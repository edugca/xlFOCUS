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xml" ContentType="application/vnd.openxmlformats-officedocument.spreadsheetml.pivotTab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EstaPastaDeTrabalho" hidePivotFieldList="1" defaultThemeVersion="166925"/>
  <mc:AlternateContent xmlns:mc="http://schemas.openxmlformats.org/markup-compatibility/2006">
    <mc:Choice Requires="x15">
      <x15ac:absPath xmlns:x15ac="http://schemas.microsoft.com/office/spreadsheetml/2010/11/ac" url="https://d.docs.live.net/1bfa2ac83e16c31e/MATLAB/Resources/xlFOCUS/History/"/>
    </mc:Choice>
  </mc:AlternateContent>
  <xr:revisionPtr revIDLastSave="1" documentId="13_ncr:1_{1CABDE89-6169-4101-8473-2422CB2D34A7}" xr6:coauthVersionLast="47" xr6:coauthVersionMax="47" xr10:uidLastSave="{62EA5925-622F-46EC-A170-2C2CE391C97F}"/>
  <bookViews>
    <workbookView xWindow="-120" yWindow="-120" windowWidth="26760" windowHeight="14520" xr2:uid="{9E6A8D97-B289-41C5-8A9F-017379FD1A6C}"/>
  </bookViews>
  <sheets>
    <sheet name="General" sheetId="2" r:id="rId1"/>
    <sheet name="Summary" sheetId="4" r:id="rId2"/>
    <sheet name="Exp Monthly" sheetId="5" r:id="rId3"/>
    <sheet name="Exp Quarterly" sheetId="6" r:id="rId4"/>
    <sheet name="Exp Annual" sheetId="7" r:id="rId5"/>
    <sheet name="Exp 12 Months" sheetId="8" r:id="rId6"/>
    <sheet name="Top5 Monthly" sheetId="9" r:id="rId7"/>
    <sheet name="Top5 Annual" sheetId="10" r:id="rId8"/>
    <sheet name="Exp Institutions" sheetId="11" r:id="rId9"/>
    <sheet name="URL to Table" sheetId="3" r:id="rId10"/>
    <sheet name="File to Table" sheetId="12" r:id="rId11"/>
    <sheet name="SGS" sheetId="13" r:id="rId12"/>
    <sheet name="SCR" sheetId="16" r:id="rId13"/>
    <sheet name="SCR 2" sheetId="17" r:id="rId14"/>
    <sheet name="SCR Daily" sheetId="19" r:id="rId15"/>
    <sheet name="SCR Monthly" sheetId="23" r:id="rId16"/>
    <sheet name="Real Estate" sheetId="25" r:id="rId17"/>
    <sheet name="SGS vs FOCUS" sheetId="20" r:id="rId18"/>
    <sheet name="Holidays" sheetId="21" r:id="rId19"/>
  </sheets>
  <functionGroups builtInGroupCount="19"/>
  <definedNames>
    <definedName name="_xlpm.x" hidden="1" xlm="1">#NAME?</definedName>
    <definedName name="Holidays">Holidays!$A$2:$A$937</definedName>
  </definedNames>
  <calcPr calcId="191029"/>
  <pivotCaches>
    <pivotCache cacheId="0" r:id="rId20"/>
    <pivotCache cacheId="1"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 i="25" l="1"/>
  <c r="H1" i="23"/>
  <c r="B18" i="20"/>
  <c r="B11" i="20"/>
  <c r="B3" i="20"/>
  <c r="H1" i="19"/>
  <c r="B3" i="13"/>
  <c r="J1" i="13"/>
  <c r="J1" i="11"/>
  <c r="J1" i="10"/>
  <c r="J1" i="9"/>
  <c r="J1" i="8"/>
  <c r="J1" i="7"/>
  <c r="J1" i="6"/>
  <c r="J1" i="5"/>
  <c r="I2" i="4"/>
  <c r="P2" i="4" s="1"/>
  <c r="P7" i="4" a="1"/>
  <c r="J6" i="4" a="1"/>
  <c r="Q9" i="4" a="1"/>
  <c r="T8" i="4" a="1"/>
  <c r="N11" i="4" a="1"/>
  <c r="I11" i="4" a="1"/>
  <c r="M5" i="4" a="1"/>
  <c r="D5" i="25" a="1"/>
  <c r="Q14" i="4" a="1"/>
  <c r="S4" i="4" a="1"/>
  <c r="M8" i="4" a="1"/>
  <c r="K13" i="4" a="1"/>
  <c r="N10" i="4" a="1"/>
  <c r="T14" i="4" a="1"/>
  <c r="Q8" i="4" a="1"/>
  <c r="U14" i="4" a="1"/>
  <c r="D5" i="13" a="1"/>
  <c r="Q5" i="4" a="1"/>
  <c r="R15" i="4" a="1"/>
  <c r="D4" i="9" a="1"/>
  <c r="P4" i="4" a="1"/>
  <c r="A5" i="16" a="1"/>
  <c r="M15" i="4" a="1"/>
  <c r="M12" i="4" a="1"/>
  <c r="S7" i="4" a="1"/>
  <c r="N15" i="4" a="1"/>
  <c r="Q4" i="4" a="1"/>
  <c r="L10" i="4" a="1"/>
  <c r="L13" i="4" a="1"/>
  <c r="S15" i="4" a="1"/>
  <c r="D4" i="23" a="1"/>
  <c r="U15" i="4" a="1"/>
  <c r="A5" i="17" a="1"/>
  <c r="N8" i="4" a="1"/>
  <c r="U7" i="4" a="1"/>
  <c r="Q11" i="4" a="1"/>
  <c r="T5" i="4" a="1"/>
  <c r="J13" i="4" a="1"/>
  <c r="S13" i="4" a="1"/>
  <c r="P11" i="4" a="1"/>
  <c r="I9" i="4" a="1"/>
  <c r="R9" i="4" a="1"/>
  <c r="R11" i="4" a="1"/>
  <c r="R13" i="4" a="1"/>
  <c r="K10" i="4" a="1"/>
  <c r="K12" i="4" a="1"/>
  <c r="R8" i="4" a="1"/>
  <c r="I13" i="4" a="1"/>
  <c r="P8" i="4" a="1"/>
  <c r="J12" i="4" a="1"/>
  <c r="D4" i="10" a="1"/>
  <c r="R4" i="4" a="1"/>
  <c r="J10" i="4" a="1"/>
  <c r="N4" i="4" a="1"/>
  <c r="N14" i="4" a="1"/>
  <c r="L4" i="4" a="1"/>
  <c r="L12" i="4" a="1"/>
  <c r="K8" i="4" a="1"/>
  <c r="P9" i="4" a="1"/>
  <c r="P10" i="4" a="1"/>
  <c r="I5" i="4" a="1"/>
  <c r="U10" i="4" a="1"/>
  <c r="T7" i="4" a="1"/>
  <c r="P12" i="4" a="1"/>
  <c r="D4" i="11" a="1"/>
  <c r="A5" i="12" a="1"/>
  <c r="M11" i="4" a="1"/>
  <c r="P15" i="4" a="1"/>
  <c r="T15" i="4" a="1"/>
  <c r="Q10" i="4" a="1"/>
  <c r="P6" i="4" a="1"/>
  <c r="I7" i="4" a="1"/>
  <c r="M4" i="4" a="1"/>
  <c r="J11" i="4" a="1"/>
  <c r="T10" i="4" a="1"/>
  <c r="K11" i="4" a="1"/>
  <c r="M9" i="4" a="1"/>
  <c r="P14" i="4" a="1"/>
  <c r="N5" i="4" a="1"/>
  <c r="Q7" i="4" a="1"/>
  <c r="L9" i="4" a="1"/>
  <c r="T13" i="4" a="1"/>
  <c r="S14" i="4" a="1"/>
  <c r="L11" i="4" a="1"/>
  <c r="S10" i="4" a="1"/>
  <c r="L6" i="4" a="1"/>
  <c r="J15" i="4" a="1"/>
  <c r="U4" i="4" a="1"/>
  <c r="L5" i="4" a="1"/>
  <c r="S5" i="4" a="1"/>
  <c r="T4" i="4" a="1"/>
  <c r="P5" i="4" a="1"/>
  <c r="U8" i="4" a="1"/>
  <c r="J7" i="4" a="1"/>
  <c r="L14" i="4" a="1"/>
  <c r="D4" i="19" a="1"/>
  <c r="T9" i="4" a="1"/>
  <c r="M7" i="4" a="1"/>
  <c r="J9" i="4" a="1"/>
  <c r="U13" i="4" a="1"/>
  <c r="L8" i="4" a="1"/>
  <c r="R5" i="4" a="1"/>
  <c r="S8" i="4" a="1"/>
  <c r="K4" i="4" a="1"/>
  <c r="S9" i="4" a="1"/>
  <c r="K9" i="4" a="1"/>
  <c r="K6" i="4" a="1"/>
  <c r="U5" i="4" a="1"/>
  <c r="Q13" i="4" a="1"/>
  <c r="L7" i="4" a="1"/>
  <c r="M10" i="4" a="1"/>
  <c r="M14" i="4" a="1"/>
  <c r="R7" i="4" a="1"/>
  <c r="Q6" i="4" a="1"/>
  <c r="K5" i="4" a="1"/>
  <c r="N9" i="4" a="1"/>
  <c r="J4" i="4" a="1"/>
  <c r="S11" i="4" a="1"/>
  <c r="F5" i="20" a="1"/>
  <c r="T12" i="4" a="1"/>
  <c r="J8" i="4" a="1"/>
  <c r="T6" i="4" a="1"/>
  <c r="I12" i="4" a="1"/>
  <c r="N7" i="4" a="1"/>
  <c r="D4" i="7" a="1"/>
  <c r="R14" i="4" a="1"/>
  <c r="I6" i="4" a="1"/>
  <c r="K15" i="4" a="1"/>
  <c r="K7" i="4" a="1"/>
  <c r="R10" i="4" a="1"/>
  <c r="K14" i="4" a="1"/>
  <c r="R12" i="4" a="1"/>
  <c r="I4" i="4" a="1"/>
  <c r="I10" i="4" a="1"/>
  <c r="R6" i="4" a="1"/>
  <c r="U9" i="4" a="1"/>
  <c r="Y5" i="20" a="1"/>
  <c r="D4" i="8" a="1"/>
  <c r="M6" i="4" a="1"/>
  <c r="U11" i="4" a="1"/>
  <c r="S12" i="4" a="1"/>
  <c r="L15" i="4" a="1"/>
  <c r="I14" i="4" a="1"/>
  <c r="D4" i="6" a="1"/>
  <c r="A5" i="3" a="1"/>
  <c r="D4" i="5" a="1"/>
  <c r="P13" i="4" a="1"/>
  <c r="T11" i="4" a="1"/>
  <c r="I15" i="4" a="1"/>
  <c r="N13" i="4" a="1"/>
  <c r="Q5" i="20" a="1"/>
  <c r="S6" i="4" a="1"/>
  <c r="N6" i="4" a="1"/>
  <c r="J14" i="4" a="1"/>
  <c r="I8" i="4" a="1"/>
  <c r="Q12" i="4" a="1"/>
  <c r="M13" i="4" a="1"/>
  <c r="J5" i="4" a="1"/>
  <c r="Q15" i="4" a="1"/>
  <c r="N12" i="4" a="1"/>
  <c r="U12" i="4" a="1"/>
  <c r="U6" i="4" a="1"/>
  <c r="A5" i="3" l="1"/>
  <c r="D4" i="7"/>
  <c r="J5" i="4"/>
  <c r="D5" i="13"/>
  <c r="D5" i="25"/>
  <c r="D4" i="19"/>
  <c r="D4" i="23"/>
  <c r="F5" i="20"/>
  <c r="D4" i="8"/>
  <c r="D4" i="5"/>
  <c r="Q7" i="4"/>
  <c r="N6" i="4"/>
  <c r="M8" i="4"/>
  <c r="I5" i="4"/>
  <c r="I4" i="4"/>
  <c r="U11" i="4"/>
  <c r="Q11" i="4"/>
  <c r="M11" i="4"/>
  <c r="M5" i="4"/>
  <c r="J4" i="4"/>
  <c r="J6" i="4"/>
  <c r="E42" i="20"/>
  <c r="D42" i="20" s="1"/>
  <c r="E31" i="20"/>
  <c r="D31" i="20" s="1"/>
  <c r="E21" i="20"/>
  <c r="D21" i="20" s="1"/>
  <c r="E13" i="20"/>
  <c r="D13" i="20" s="1"/>
  <c r="E30" i="20"/>
  <c r="D30" i="20" s="1"/>
  <c r="E41" i="20"/>
  <c r="D41" i="20" s="1"/>
  <c r="E29" i="20"/>
  <c r="D29" i="20" s="1"/>
  <c r="E20" i="20"/>
  <c r="D20" i="20" s="1"/>
  <c r="E12" i="20"/>
  <c r="D12" i="20" s="1"/>
  <c r="E11" i="20"/>
  <c r="D11" i="20" s="1"/>
  <c r="E51" i="20"/>
  <c r="D51" i="20" s="1"/>
  <c r="E40" i="20"/>
  <c r="D40" i="20" s="1"/>
  <c r="E28" i="20"/>
  <c r="D28" i="20" s="1"/>
  <c r="E19" i="20"/>
  <c r="D19" i="20" s="1"/>
  <c r="E18" i="20"/>
  <c r="D18" i="20" s="1"/>
  <c r="E10" i="20"/>
  <c r="D10" i="20" s="1"/>
  <c r="E50" i="20"/>
  <c r="D50" i="20" s="1"/>
  <c r="E39" i="20"/>
  <c r="D39" i="20" s="1"/>
  <c r="E27" i="20"/>
  <c r="D27" i="20" s="1"/>
  <c r="E49" i="20"/>
  <c r="D49" i="20" s="1"/>
  <c r="E38" i="20"/>
  <c r="D38" i="20" s="1"/>
  <c r="E26" i="20"/>
  <c r="D26" i="20" s="1"/>
  <c r="E9" i="20"/>
  <c r="D9" i="20" s="1"/>
  <c r="E48" i="20"/>
  <c r="D48" i="20" s="1"/>
  <c r="E37" i="20"/>
  <c r="D37" i="20" s="1"/>
  <c r="E25" i="20"/>
  <c r="D25" i="20" s="1"/>
  <c r="E17" i="20"/>
  <c r="D17" i="20" s="1"/>
  <c r="E47" i="20"/>
  <c r="D47" i="20" s="1"/>
  <c r="E36" i="20"/>
  <c r="D36" i="20" s="1"/>
  <c r="E8" i="20"/>
  <c r="D8" i="20" s="1"/>
  <c r="E46" i="20"/>
  <c r="D46" i="20" s="1"/>
  <c r="E35" i="20"/>
  <c r="D35" i="20" s="1"/>
  <c r="E24" i="20"/>
  <c r="D24" i="20" s="1"/>
  <c r="E16" i="20"/>
  <c r="D16" i="20" s="1"/>
  <c r="E7" i="20"/>
  <c r="D7" i="20" s="1"/>
  <c r="E45" i="20"/>
  <c r="D45" i="20" s="1"/>
  <c r="E6" i="20"/>
  <c r="D6" i="20" s="1"/>
  <c r="E34" i="20"/>
  <c r="D34" i="20" s="1"/>
  <c r="E23" i="20"/>
  <c r="D23" i="20" s="1"/>
  <c r="E15" i="20"/>
  <c r="D15" i="20" s="1"/>
  <c r="E44" i="20"/>
  <c r="D44" i="20" s="1"/>
  <c r="E33" i="20"/>
  <c r="D33" i="20" s="1"/>
  <c r="E43" i="20"/>
  <c r="D43" i="20" s="1"/>
  <c r="E32" i="20"/>
  <c r="D32" i="20" s="1"/>
  <c r="E22" i="20"/>
  <c r="D22" i="20" s="1"/>
  <c r="E14" i="20"/>
  <c r="D14" i="20" s="1"/>
  <c r="L14" i="4"/>
  <c r="R6" i="4"/>
  <c r="N8" i="4"/>
  <c r="T9" i="4"/>
  <c r="L11" i="4"/>
  <c r="R12" i="4"/>
  <c r="J14" i="4"/>
  <c r="P15" i="4"/>
  <c r="N4" i="4"/>
  <c r="S5" i="4"/>
  <c r="J7" i="4"/>
  <c r="S7" i="4"/>
  <c r="K9" i="4"/>
  <c r="Q10" i="4"/>
  <c r="I12" i="4"/>
  <c r="N13" i="4"/>
  <c r="T14" i="4"/>
  <c r="P8" i="4"/>
  <c r="U9" i="4"/>
  <c r="S12" i="4"/>
  <c r="K14" i="4"/>
  <c r="Q15" i="4"/>
  <c r="A5" i="12"/>
  <c r="Y5" i="20"/>
  <c r="P4" i="4"/>
  <c r="K5" i="4"/>
  <c r="T5" i="4"/>
  <c r="P6" i="4"/>
  <c r="K7" i="4"/>
  <c r="T7" i="4"/>
  <c r="L9" i="4"/>
  <c r="R10" i="4"/>
  <c r="J12" i="4"/>
  <c r="P13" i="4"/>
  <c r="U14" i="4"/>
  <c r="I10" i="4"/>
  <c r="Q4" i="4"/>
  <c r="L5" i="4"/>
  <c r="U5" i="4"/>
  <c r="Q6" i="4"/>
  <c r="L7" i="4"/>
  <c r="U7" i="4"/>
  <c r="M9" i="4"/>
  <c r="S10" i="4"/>
  <c r="K12" i="4"/>
  <c r="Q13" i="4"/>
  <c r="I15" i="4"/>
  <c r="S15" i="4"/>
  <c r="T12" i="4"/>
  <c r="R15" i="4"/>
  <c r="R8" i="4"/>
  <c r="J10" i="4"/>
  <c r="P11" i="4"/>
  <c r="U12" i="4"/>
  <c r="M14" i="4"/>
  <c r="J15" i="4"/>
  <c r="I6" i="4"/>
  <c r="T10" i="4"/>
  <c r="N14" i="4"/>
  <c r="D4" i="9"/>
  <c r="S4" i="4"/>
  <c r="S6" i="4"/>
  <c r="N7" i="4"/>
  <c r="J8" i="4"/>
  <c r="P9" i="4"/>
  <c r="U10" i="4"/>
  <c r="M12" i="4"/>
  <c r="J13" i="4"/>
  <c r="P14" i="4"/>
  <c r="U15" i="4"/>
  <c r="A5" i="17"/>
  <c r="S13" i="4"/>
  <c r="D4" i="10"/>
  <c r="I13" i="4"/>
  <c r="R11" i="4"/>
  <c r="T4" i="4"/>
  <c r="P7" i="4"/>
  <c r="K13" i="4"/>
  <c r="P12" i="4"/>
  <c r="U13" i="4"/>
  <c r="M15" i="4"/>
  <c r="Q8" i="4"/>
  <c r="N9" i="4"/>
  <c r="R13" i="4"/>
  <c r="T15" i="4"/>
  <c r="K10" i="4"/>
  <c r="K15" i="4"/>
  <c r="T8" i="4"/>
  <c r="L15" i="4"/>
  <c r="K6" i="4"/>
  <c r="I11" i="4"/>
  <c r="U6" i="4"/>
  <c r="L13" i="4"/>
  <c r="R14" i="4"/>
  <c r="M7" i="4"/>
  <c r="A5" i="16"/>
  <c r="S8" i="4"/>
  <c r="T13" i="4"/>
  <c r="K4" i="4"/>
  <c r="T6" i="4"/>
  <c r="Q9" i="4"/>
  <c r="S11" i="4"/>
  <c r="M10" i="4"/>
  <c r="U4" i="4"/>
  <c r="L6" i="4"/>
  <c r="L8" i="4"/>
  <c r="R9" i="4"/>
  <c r="T11" i="4"/>
  <c r="I9" i="4"/>
  <c r="S9" i="4"/>
  <c r="K11" i="4"/>
  <c r="Q12" i="4"/>
  <c r="I14" i="4"/>
  <c r="N15" i="4"/>
  <c r="D4" i="11"/>
  <c r="N11" i="4"/>
  <c r="R4" i="4"/>
  <c r="I8" i="4"/>
  <c r="L12" i="4"/>
  <c r="N5" i="4"/>
  <c r="L10" i="4"/>
  <c r="N12" i="4"/>
  <c r="P5" i="4"/>
  <c r="K8" i="4"/>
  <c r="Q14" i="4"/>
  <c r="U8" i="4"/>
  <c r="J11" i="4"/>
  <c r="L4" i="4"/>
  <c r="Q5" i="4"/>
  <c r="N10" i="4"/>
  <c r="M4" i="4"/>
  <c r="R5" i="4"/>
  <c r="M6" i="4"/>
  <c r="I7" i="4"/>
  <c r="R7" i="4"/>
  <c r="J9" i="4"/>
  <c r="P10" i="4"/>
  <c r="M13" i="4"/>
  <c r="S14" i="4"/>
  <c r="D4" i="6"/>
  <c r="Q5" i="20"/>
  <c r="I33" i="20" a="1"/>
  <c r="AA18" i="20" a="1"/>
  <c r="I7" i="20" a="1"/>
  <c r="AC29" i="20" a="1"/>
  <c r="T7" i="20" a="1"/>
  <c r="K38" i="20" a="1"/>
  <c r="T45" i="20" a="1"/>
  <c r="H11" i="20" a="1"/>
  <c r="AA20" i="20" a="1"/>
  <c r="AC26" i="20" a="1"/>
  <c r="AC51" i="20" a="1"/>
  <c r="S36" i="20" a="1"/>
  <c r="T35" i="20" a="1"/>
  <c r="K26" i="20" a="1"/>
  <c r="S27" i="20" a="1"/>
  <c r="T46" i="20" a="1"/>
  <c r="K48" i="20" a="1"/>
  <c r="I22" i="20" a="1"/>
  <c r="I44" i="20" a="1"/>
  <c r="K27" i="20" a="1"/>
  <c r="S35" i="20" a="1"/>
  <c r="H35" i="20" a="1"/>
  <c r="S48" i="20" a="1"/>
  <c r="K23" i="20" a="1"/>
  <c r="AC25" i="20" a="1"/>
  <c r="J33" i="20" a="1"/>
  <c r="K16" i="20" a="1"/>
  <c r="AC44" i="20" a="1"/>
  <c r="H45" i="20" a="1"/>
  <c r="AB51" i="20" a="1"/>
  <c r="K44" i="20" a="1"/>
  <c r="AA49" i="20" a="1"/>
  <c r="AB31" i="20" a="1"/>
  <c r="H8" i="20" a="1"/>
  <c r="H32" i="20" a="1"/>
  <c r="I42" i="20" a="1"/>
  <c r="S6" i="20" a="1"/>
  <c r="J43" i="20" a="1"/>
  <c r="AA33" i="20" a="1"/>
  <c r="I35" i="20" a="1"/>
  <c r="S7" i="20" a="1"/>
  <c r="H16" i="20" a="1"/>
  <c r="I24" i="20" a="1"/>
  <c r="I31" i="20" a="1"/>
  <c r="AC42" i="20" a="1"/>
  <c r="AA36" i="20" a="1"/>
  <c r="AC48" i="20" a="1"/>
  <c r="AB9" i="20" a="1"/>
  <c r="AB47" i="20" a="1"/>
  <c r="I29" i="20" a="1"/>
  <c r="K37" i="20" a="1"/>
  <c r="J48" i="20" a="1"/>
  <c r="I10" i="20" a="1"/>
  <c r="AC8" i="20" a="1"/>
  <c r="AA30" i="20" a="1"/>
  <c r="K17" i="20" a="1"/>
  <c r="I40" i="20" a="1"/>
  <c r="H17" i="20" a="1"/>
  <c r="I20" i="20" a="1"/>
  <c r="AC32" i="20" a="1"/>
  <c r="H39" i="20" a="1"/>
  <c r="AA37" i="20" a="1"/>
  <c r="AB46" i="20" a="1"/>
  <c r="J14" i="20" a="1"/>
  <c r="I32" i="20" a="1"/>
  <c r="K7" i="20" a="1"/>
  <c r="I6" i="20" a="1"/>
  <c r="H21" i="20" a="1"/>
  <c r="T41" i="20" a="1"/>
  <c r="H15" i="20" a="1"/>
  <c r="H24" i="20" a="1"/>
  <c r="AC33" i="20" a="1"/>
  <c r="H7" i="20" a="1"/>
  <c r="AC7" i="20" a="1"/>
  <c r="AC49" i="20" a="1"/>
  <c r="T19" i="20" a="1"/>
  <c r="J49" i="20" a="1"/>
  <c r="T49" i="20" a="1"/>
  <c r="AC27" i="20" a="1"/>
  <c r="S43" i="20" a="1"/>
  <c r="AC11" i="20" a="1"/>
  <c r="T43" i="20" a="1"/>
  <c r="AB43" i="20" a="1"/>
  <c r="I9" i="20" a="1"/>
  <c r="AA6" i="20" a="1"/>
  <c r="J39" i="20" a="1"/>
  <c r="H46" i="20" a="1"/>
  <c r="AB39" i="20" a="1"/>
  <c r="AB18" i="20" a="1"/>
  <c r="H44" i="20" a="1"/>
  <c r="T6" i="20" a="1"/>
  <c r="H13" i="20" a="1"/>
  <c r="K49" i="20" a="1"/>
  <c r="S46" i="20" a="1"/>
  <c r="J45" i="20" a="1"/>
  <c r="S19" i="20" a="1"/>
  <c r="T51" i="20" a="1"/>
  <c r="K15" i="20" a="1"/>
  <c r="I21" i="20" a="1"/>
  <c r="S28" i="20" a="1"/>
  <c r="AB34" i="20" a="1"/>
  <c r="J22" i="20" a="1"/>
  <c r="T26" i="20" a="1"/>
  <c r="I49" i="20" a="1"/>
  <c r="I16" i="20" a="1"/>
  <c r="S24" i="20" a="1"/>
  <c r="K43" i="20" a="1"/>
  <c r="AA28" i="20" a="1"/>
  <c r="AC20" i="20" a="1"/>
  <c r="AC34" i="20" a="1"/>
  <c r="AC21" i="20" a="1"/>
  <c r="T10" i="20" a="1"/>
  <c r="H28" i="20" a="1"/>
  <c r="H10" i="20" a="1"/>
  <c r="I27" i="20" a="1"/>
  <c r="I11" i="20" a="1"/>
  <c r="H27" i="20" a="1"/>
  <c r="AA19" i="20" a="1"/>
  <c r="T29" i="20" a="1"/>
  <c r="AB42" i="20" a="1"/>
  <c r="AB44" i="20" a="1"/>
  <c r="AA14" i="20" a="1"/>
  <c r="H25" i="20" a="1"/>
  <c r="AA15" i="20" a="1"/>
  <c r="H41" i="20" a="1"/>
  <c r="AB17" i="20" a="1"/>
  <c r="S49" i="20" a="1"/>
  <c r="AB27" i="20" a="1"/>
  <c r="K36" i="20" a="1"/>
  <c r="S14" i="20" a="1"/>
  <c r="J38" i="20" a="1"/>
  <c r="AA16" i="20" a="1"/>
  <c r="AA32" i="20" a="1"/>
  <c r="AA46" i="20" a="1"/>
  <c r="J23" i="20" a="1"/>
  <c r="AA17" i="20" a="1"/>
  <c r="J37" i="20" a="1"/>
  <c r="AC41" i="20" a="1"/>
  <c r="AA43" i="20" a="1"/>
  <c r="H12" i="20" a="1"/>
  <c r="K22" i="20" a="1"/>
  <c r="K10" i="20" a="1"/>
  <c r="T8" i="20" a="1"/>
  <c r="AB19" i="20" a="1"/>
  <c r="K32" i="20" a="1"/>
  <c r="J18" i="20" a="1"/>
  <c r="AA34" i="20" a="1"/>
  <c r="J47" i="20" a="1"/>
  <c r="S22" i="20" a="1"/>
  <c r="AA42" i="20" a="1"/>
  <c r="S20" i="20" a="1"/>
  <c r="T22" i="20" a="1"/>
  <c r="I25" i="20" a="1"/>
  <c r="T32" i="20" a="1"/>
  <c r="S10" i="20" a="1"/>
  <c r="S38" i="20" a="1"/>
  <c r="I34" i="20" a="1"/>
  <c r="S37" i="20" a="1"/>
  <c r="T18" i="20" a="1"/>
  <c r="AC38" i="20" a="1"/>
  <c r="K51" i="20" a="1"/>
  <c r="AB22" i="20" a="1"/>
  <c r="AA7" i="20" a="1"/>
  <c r="AB23" i="20" a="1"/>
  <c r="AA48" i="20" a="1"/>
  <c r="AB15" i="20" a="1"/>
  <c r="AA10" i="20" a="1"/>
  <c r="H42" i="20" a="1"/>
  <c r="AC35" i="20" a="1"/>
  <c r="AC31" i="20" a="1"/>
  <c r="S23" i="20" a="1"/>
  <c r="T14" i="20" a="1"/>
  <c r="T33" i="20" a="1"/>
  <c r="I39" i="20" a="1"/>
  <c r="K20" i="20" a="1"/>
  <c r="AA40" i="20" a="1"/>
  <c r="I50" i="20" a="1"/>
  <c r="S42" i="20" a="1"/>
  <c r="J6" i="20" a="1"/>
  <c r="H6" i="20" a="1"/>
  <c r="AA29" i="20" a="1"/>
  <c r="H18" i="20" a="1"/>
  <c r="AB50" i="20" a="1"/>
  <c r="H38" i="20" a="1"/>
  <c r="AC19" i="20" a="1"/>
  <c r="S12" i="20" a="1"/>
  <c r="T13" i="20" a="1"/>
  <c r="K8" i="20" a="1"/>
  <c r="T42" i="20" a="1"/>
  <c r="AC37" i="20" a="1"/>
  <c r="S39" i="20" a="1"/>
  <c r="T44" i="20" a="1"/>
  <c r="AA47" i="20" a="1"/>
  <c r="K39" i="20" a="1"/>
  <c r="H49" i="20" a="1"/>
  <c r="AA9" i="20" a="1"/>
  <c r="AC23" i="20" a="1"/>
  <c r="J50" i="20" a="1"/>
  <c r="J35" i="20" a="1"/>
  <c r="AB32" i="20" a="1"/>
  <c r="AC45" i="20" a="1"/>
  <c r="H51" i="20" a="1"/>
  <c r="S17" i="20" a="1"/>
  <c r="AA35" i="20" a="1"/>
  <c r="I45" i="20" a="1"/>
  <c r="S40" i="20" a="1"/>
  <c r="S26" i="20" a="1"/>
  <c r="J29" i="20" a="1"/>
  <c r="T50" i="20" a="1"/>
  <c r="K13" i="20" a="1"/>
  <c r="I43" i="20" a="1"/>
  <c r="K18" i="20" a="1"/>
  <c r="I46" i="20" a="1"/>
  <c r="H37" i="20" a="1"/>
  <c r="J13" i="20" a="1"/>
  <c r="J31" i="20" a="1"/>
  <c r="T40" i="20" a="1"/>
  <c r="AA25" i="20" a="1"/>
  <c r="S11" i="20" a="1"/>
  <c r="T28" i="20" a="1"/>
  <c r="S29" i="20" a="1"/>
  <c r="AA21" i="20" a="1"/>
  <c r="J41" i="20" a="1"/>
  <c r="AC9" i="20" a="1"/>
  <c r="AC36" i="20" a="1"/>
  <c r="I37" i="20" a="1"/>
  <c r="K46" i="20" a="1"/>
  <c r="K24" i="20" a="1"/>
  <c r="T30" i="20" a="1"/>
  <c r="AB28" i="20" a="1"/>
  <c r="J16" i="20" a="1"/>
  <c r="S15" i="20" a="1"/>
  <c r="A8" i="3" a="1"/>
  <c r="AB29" i="20" a="1"/>
  <c r="I36" i="20" a="1"/>
  <c r="J8" i="20" a="1"/>
  <c r="AB8" i="20" a="1"/>
  <c r="AB7" i="20" a="1"/>
  <c r="K47" i="20" a="1"/>
  <c r="S41" i="20" a="1"/>
  <c r="J46" i="20" a="1"/>
  <c r="H36" i="20" a="1"/>
  <c r="AC18" i="20" a="1"/>
  <c r="K9" i="20" a="1"/>
  <c r="AB36" i="20" a="1"/>
  <c r="T21" i="20" a="1"/>
  <c r="AB48" i="20" a="1"/>
  <c r="T24" i="20" a="1"/>
  <c r="AB38" i="20" a="1"/>
  <c r="K31" i="20" a="1"/>
  <c r="AC46" i="20" a="1"/>
  <c r="J30" i="20" a="1"/>
  <c r="AB35" i="20" a="1"/>
  <c r="AC28" i="20" a="1"/>
  <c r="AA50" i="20" a="1"/>
  <c r="I23" i="20" a="1"/>
  <c r="J15" i="20" a="1"/>
  <c r="AB25" i="20" a="1"/>
  <c r="AA24" i="20" a="1"/>
  <c r="AA23" i="20" a="1"/>
  <c r="AB45" i="20" a="1"/>
  <c r="T16" i="20" a="1"/>
  <c r="AA51" i="20" a="1"/>
  <c r="AA45" i="20" a="1"/>
  <c r="S21" i="20" a="1"/>
  <c r="AC15" i="20" a="1"/>
  <c r="S47" i="20" a="1"/>
  <c r="J11" i="20" a="1"/>
  <c r="J17" i="20" a="1"/>
  <c r="T36" i="20" a="1"/>
  <c r="I38" i="20" a="1"/>
  <c r="T11" i="20" a="1"/>
  <c r="T39" i="20" a="1"/>
  <c r="I8" i="20" a="1"/>
  <c r="S34" i="20" a="1"/>
  <c r="I30" i="20" a="1"/>
  <c r="AA44" i="20" a="1"/>
  <c r="S13" i="20" a="1"/>
  <c r="AA27" i="20" a="1"/>
  <c r="AA26" i="20" a="1"/>
  <c r="AA41" i="20" a="1"/>
  <c r="J27" i="20" a="1"/>
  <c r="S51" i="20" a="1"/>
  <c r="K35" i="20" a="1"/>
  <c r="T48" i="20" a="1"/>
  <c r="AC50" i="20" a="1"/>
  <c r="I26" i="20" a="1"/>
  <c r="J9" i="20" a="1"/>
  <c r="S33" i="20" a="1"/>
  <c r="J36" i="20" a="1"/>
  <c r="J7" i="20" a="1"/>
  <c r="K14" i="20" a="1"/>
  <c r="T34" i="20" a="1"/>
  <c r="AC30" i="20" a="1"/>
  <c r="K41" i="20" a="1"/>
  <c r="AA39" i="20" a="1"/>
  <c r="H26" i="20" a="1"/>
  <c r="T9" i="20" a="1"/>
  <c r="AA12" i="20" a="1"/>
  <c r="K34" i="20" a="1"/>
  <c r="AB41" i="20" a="1"/>
  <c r="J26" i="20" a="1"/>
  <c r="AB40" i="20" a="1"/>
  <c r="H43" i="20" a="1"/>
  <c r="S16" i="20" a="1"/>
  <c r="J12" i="20" a="1"/>
  <c r="I47" i="20" a="1"/>
  <c r="T20" i="20" a="1"/>
  <c r="AB6" i="20" a="1"/>
  <c r="AB26" i="20" a="1"/>
  <c r="T15" i="20" a="1"/>
  <c r="S18" i="20" a="1"/>
  <c r="AA31" i="20" a="1"/>
  <c r="J32" i="20" a="1"/>
  <c r="H22" i="20" a="1"/>
  <c r="K30" i="20" a="1"/>
  <c r="S30" i="20" a="1"/>
  <c r="AB16" i="20" a="1"/>
  <c r="J10" i="20" a="1"/>
  <c r="I15" i="20" a="1"/>
  <c r="S44" i="20" a="1"/>
  <c r="K19" i="20" a="1"/>
  <c r="H40" i="20" a="1"/>
  <c r="K29" i="20" a="1"/>
  <c r="AB11" i="20" a="1"/>
  <c r="J24" i="20" a="1"/>
  <c r="K28" i="20" a="1"/>
  <c r="T31" i="20" a="1"/>
  <c r="I18" i="20" a="1"/>
  <c r="T38" i="20" a="1"/>
  <c r="H48" i="20" a="1"/>
  <c r="I19" i="20" a="1"/>
  <c r="AA8" i="20" a="1"/>
  <c r="AB10" i="20" a="1"/>
  <c r="H9" i="20" a="1"/>
  <c r="AB37" i="20" a="1"/>
  <c r="H47" i="20" a="1"/>
  <c r="T12" i="20" a="1"/>
  <c r="S31" i="20" a="1"/>
  <c r="AC40" i="20" a="1"/>
  <c r="AA38" i="20" a="1"/>
  <c r="AC16" i="20" a="1"/>
  <c r="K50" i="20" a="1"/>
  <c r="AA13" i="20" a="1"/>
  <c r="I17" i="20" a="1"/>
  <c r="AC17" i="20" a="1"/>
  <c r="AB30" i="20" a="1"/>
  <c r="K42" i="20" a="1"/>
  <c r="J42" i="20" a="1"/>
  <c r="K21" i="20" a="1"/>
  <c r="AC43" i="20" a="1"/>
  <c r="H20" i="20" a="1"/>
  <c r="J25" i="20" a="1"/>
  <c r="I12" i="20" a="1"/>
  <c r="AC13" i="20" a="1"/>
  <c r="J28" i="20" a="1"/>
  <c r="J21" i="20" a="1"/>
  <c r="S9" i="20" a="1"/>
  <c r="J19" i="20" a="1"/>
  <c r="J44" i="20" a="1"/>
  <c r="T47" i="20" a="1"/>
  <c r="AB13" i="20" a="1"/>
  <c r="I51" i="20" a="1"/>
  <c r="K40" i="20" a="1"/>
  <c r="AB12" i="20" a="1"/>
  <c r="J20" i="20" a="1"/>
  <c r="K25" i="20" a="1"/>
  <c r="J51" i="20" a="1"/>
  <c r="S8" i="20" a="1"/>
  <c r="K33" i="20" a="1"/>
  <c r="J40" i="20" a="1"/>
  <c r="T37" i="20" a="1"/>
  <c r="H31" i="20" a="1"/>
  <c r="J34" i="20" a="1"/>
  <c r="S50" i="20" a="1"/>
  <c r="S32" i="20" a="1"/>
  <c r="AB33" i="20" a="1"/>
  <c r="AB14" i="20" a="1"/>
  <c r="AB49" i="20" a="1"/>
  <c r="AA22" i="20" a="1"/>
  <c r="AC39" i="20" a="1"/>
  <c r="S25" i="20" a="1"/>
  <c r="AC12" i="20" a="1"/>
  <c r="AB20" i="20" a="1"/>
  <c r="I48" i="20" a="1"/>
  <c r="H29" i="20" a="1"/>
  <c r="AC6" i="20" a="1"/>
  <c r="AC10" i="20" a="1"/>
  <c r="K11" i="20" a="1"/>
  <c r="H23" i="20" a="1"/>
  <c r="I28" i="20" a="1"/>
  <c r="I13" i="20" a="1"/>
  <c r="AB21" i="20" a="1"/>
  <c r="H34" i="20" a="1"/>
  <c r="AC47" i="20" a="1"/>
  <c r="T25" i="20" a="1"/>
  <c r="H30" i="20" a="1"/>
  <c r="AB24" i="20" a="1"/>
  <c r="S45" i="20" a="1"/>
  <c r="I14" i="20" a="1"/>
  <c r="K45" i="20" a="1"/>
  <c r="H33" i="20" a="1"/>
  <c r="I41" i="20" a="1"/>
  <c r="T23" i="20" a="1"/>
  <c r="AC14" i="20" a="1"/>
  <c r="T27" i="20" a="1"/>
  <c r="T17" i="20" a="1"/>
  <c r="AA11" i="20" a="1"/>
  <c r="AC22" i="20" a="1"/>
  <c r="H19" i="20" a="1"/>
  <c r="H50" i="20" a="1"/>
  <c r="K6" i="20" a="1"/>
  <c r="H14" i="20" a="1"/>
  <c r="AC24" i="20" a="1"/>
  <c r="K12" i="20" a="1"/>
  <c r="A8" i="3" l="1"/>
  <c r="H17" i="20"/>
  <c r="L17" i="20" s="1"/>
  <c r="K28" i="20"/>
  <c r="O28" i="20" s="1"/>
  <c r="J31" i="20"/>
  <c r="N31" i="20" s="1"/>
  <c r="J20" i="20"/>
  <c r="N20" i="20" s="1"/>
  <c r="I35" i="20"/>
  <c r="M35" i="20" s="1"/>
  <c r="I7" i="20"/>
  <c r="M7" i="20" s="1"/>
  <c r="K20" i="20"/>
  <c r="O20" i="20" s="1"/>
  <c r="J21" i="20"/>
  <c r="N21" i="20" s="1"/>
  <c r="K24" i="20"/>
  <c r="O24" i="20" s="1"/>
  <c r="J38" i="20"/>
  <c r="N38" i="20" s="1"/>
  <c r="I21" i="20"/>
  <c r="M21" i="20" s="1"/>
  <c r="J37" i="20"/>
  <c r="N37" i="20" s="1"/>
  <c r="I6" i="20"/>
  <c r="M6" i="20" s="1"/>
  <c r="J26" i="20"/>
  <c r="N26" i="20" s="1"/>
  <c r="I12" i="20"/>
  <c r="M12" i="20" s="1"/>
  <c r="J50" i="20"/>
  <c r="N50" i="20" s="1"/>
  <c r="H6" i="20"/>
  <c r="L6" i="20" s="1"/>
  <c r="J13" i="20"/>
  <c r="N13" i="20" s="1"/>
  <c r="J28" i="20"/>
  <c r="N28" i="20" s="1"/>
  <c r="K35" i="20"/>
  <c r="O35" i="20" s="1"/>
  <c r="I43" i="20"/>
  <c r="M43" i="20" s="1"/>
  <c r="J18" i="20"/>
  <c r="N18" i="20" s="1"/>
  <c r="H20" i="20"/>
  <c r="L20" i="20" s="1"/>
  <c r="K12" i="20"/>
  <c r="O12" i="20" s="1"/>
  <c r="I48" i="20"/>
  <c r="M48" i="20" s="1"/>
  <c r="K43" i="20"/>
  <c r="O43" i="20" s="1"/>
  <c r="H15" i="20"/>
  <c r="L15" i="20" s="1"/>
  <c r="I14" i="20"/>
  <c r="M14" i="20" s="1"/>
  <c r="K37" i="20"/>
  <c r="O37" i="20" s="1"/>
  <c r="H8" i="20"/>
  <c r="L8" i="20" s="1"/>
  <c r="K26" i="20"/>
  <c r="O26" i="20" s="1"/>
  <c r="K33" i="20"/>
  <c r="O33" i="20" s="1"/>
  <c r="J41" i="20"/>
  <c r="N41" i="20" s="1"/>
  <c r="H13" i="20"/>
  <c r="L13" i="20" s="1"/>
  <c r="K32" i="20"/>
  <c r="O32" i="20" s="1"/>
  <c r="H35" i="20"/>
  <c r="L35" i="20" s="1"/>
  <c r="K23" i="20"/>
  <c r="O23" i="20" s="1"/>
  <c r="J36" i="20"/>
  <c r="N36" i="20" s="1"/>
  <c r="K27" i="20"/>
  <c r="O27" i="20" s="1"/>
  <c r="K42" i="20"/>
  <c r="O42" i="20" s="1"/>
  <c r="I31" i="20"/>
  <c r="M31" i="20" s="1"/>
  <c r="I29" i="20"/>
  <c r="M29" i="20" s="1"/>
  <c r="I40" i="20"/>
  <c r="M40" i="20" s="1"/>
  <c r="AA40" i="20"/>
  <c r="AD40" i="20" s="1"/>
  <c r="AB6" i="20"/>
  <c r="AE6" i="20" s="1"/>
  <c r="AA43" i="20"/>
  <c r="AD43" i="20" s="1"/>
  <c r="AB35" i="20"/>
  <c r="AE35" i="20" s="1"/>
  <c r="AC34" i="20"/>
  <c r="AF34" i="20" s="1"/>
  <c r="AB16" i="20"/>
  <c r="AE16" i="20" s="1"/>
  <c r="AC49" i="20"/>
  <c r="AF49" i="20" s="1"/>
  <c r="AC42" i="20"/>
  <c r="AF42" i="20" s="1"/>
  <c r="AA29" i="20"/>
  <c r="AD29" i="20" s="1"/>
  <c r="S41" i="20"/>
  <c r="V41" i="20" s="1"/>
  <c r="S22" i="20"/>
  <c r="V22" i="20" s="1"/>
  <c r="S30" i="20"/>
  <c r="V30" i="20" s="1"/>
  <c r="S51" i="20"/>
  <c r="V51" i="20" s="1"/>
  <c r="S17" i="20"/>
  <c r="V17" i="20" s="1"/>
  <c r="H39" i="20"/>
  <c r="L39" i="20" s="1"/>
  <c r="I37" i="20"/>
  <c r="M37" i="20" s="1"/>
  <c r="J14" i="20"/>
  <c r="N14" i="20" s="1"/>
  <c r="H18" i="20"/>
  <c r="L18" i="20" s="1"/>
  <c r="I51" i="20"/>
  <c r="M51" i="20" s="1"/>
  <c r="K21" i="20"/>
  <c r="O21" i="20" s="1"/>
  <c r="H29" i="20"/>
  <c r="L29" i="20" s="1"/>
  <c r="H46" i="20"/>
  <c r="L46" i="20" s="1"/>
  <c r="I17" i="20"/>
  <c r="M17" i="20" s="1"/>
  <c r="J40" i="20"/>
  <c r="N40" i="20" s="1"/>
  <c r="AB40" i="20"/>
  <c r="AE40" i="20" s="1"/>
  <c r="AA33" i="20"/>
  <c r="AD33" i="20" s="1"/>
  <c r="AA24" i="20"/>
  <c r="AD24" i="20" s="1"/>
  <c r="AA32" i="20"/>
  <c r="AD32" i="20" s="1"/>
  <c r="AB49" i="20"/>
  <c r="AE49" i="20" s="1"/>
  <c r="AA36" i="20"/>
  <c r="AD36" i="20" s="1"/>
  <c r="AA49" i="20"/>
  <c r="AD49" i="20" s="1"/>
  <c r="AB8" i="20"/>
  <c r="AE8" i="20" s="1"/>
  <c r="AA17" i="20"/>
  <c r="AD17" i="20" s="1"/>
  <c r="T39" i="20"/>
  <c r="W39" i="20" s="1"/>
  <c r="T22" i="20"/>
  <c r="W22" i="20" s="1"/>
  <c r="S49" i="20"/>
  <c r="V49" i="20" s="1"/>
  <c r="S29" i="20"/>
  <c r="V29" i="20" s="1"/>
  <c r="S44" i="20"/>
  <c r="V44" i="20" s="1"/>
  <c r="I18" i="20"/>
  <c r="M18" i="20" s="1"/>
  <c r="K16" i="20"/>
  <c r="O16" i="20" s="1"/>
  <c r="H45" i="20"/>
  <c r="L45" i="20" s="1"/>
  <c r="H42" i="20"/>
  <c r="L42" i="20" s="1"/>
  <c r="J30" i="20"/>
  <c r="N30" i="20" s="1"/>
  <c r="J25" i="20"/>
  <c r="N25" i="20" s="1"/>
  <c r="J8" i="20"/>
  <c r="N8" i="20" s="1"/>
  <c r="I25" i="20"/>
  <c r="M25" i="20" s="1"/>
  <c r="K29" i="20"/>
  <c r="O29" i="20" s="1"/>
  <c r="H33" i="20"/>
  <c r="L33" i="20" s="1"/>
  <c r="AA44" i="20"/>
  <c r="AD44" i="20" s="1"/>
  <c r="AA10" i="20"/>
  <c r="AD10" i="20" s="1"/>
  <c r="AA7" i="20"/>
  <c r="AD7" i="20" s="1"/>
  <c r="AA6" i="20"/>
  <c r="AD6" i="20" s="1"/>
  <c r="AC23" i="20"/>
  <c r="AF23" i="20" s="1"/>
  <c r="AB19" i="20"/>
  <c r="AE19" i="20" s="1"/>
  <c r="AB17" i="20"/>
  <c r="AE17" i="20" s="1"/>
  <c r="AC36" i="20"/>
  <c r="AF36" i="20" s="1"/>
  <c r="AC29" i="20"/>
  <c r="AF29" i="20" s="1"/>
  <c r="S14" i="20"/>
  <c r="V14" i="20" s="1"/>
  <c r="T43" i="20"/>
  <c r="W43" i="20" s="1"/>
  <c r="T23" i="20"/>
  <c r="W23" i="20" s="1"/>
  <c r="S23" i="20"/>
  <c r="V23" i="20" s="1"/>
  <c r="S11" i="20"/>
  <c r="V11" i="20" s="1"/>
  <c r="I39" i="20"/>
  <c r="M39" i="20" s="1"/>
  <c r="H30" i="20"/>
  <c r="L30" i="20" s="1"/>
  <c r="K14" i="20"/>
  <c r="O14" i="20" s="1"/>
  <c r="J17" i="20"/>
  <c r="N17" i="20" s="1"/>
  <c r="K30" i="20"/>
  <c r="O30" i="20" s="1"/>
  <c r="H23" i="20"/>
  <c r="L23" i="20" s="1"/>
  <c r="K36" i="20"/>
  <c r="O36" i="20" s="1"/>
  <c r="K31" i="20"/>
  <c r="O31" i="20" s="1"/>
  <c r="K50" i="20"/>
  <c r="O50" i="20" s="1"/>
  <c r="I44" i="20"/>
  <c r="M44" i="20" s="1"/>
  <c r="AA22" i="20"/>
  <c r="AD22" i="20" s="1"/>
  <c r="AA41" i="20"/>
  <c r="AD41" i="20" s="1"/>
  <c r="AC6" i="20"/>
  <c r="AF6" i="20" s="1"/>
  <c r="AB10" i="20"/>
  <c r="AE10" i="20" s="1"/>
  <c r="AA26" i="20"/>
  <c r="AD26" i="20" s="1"/>
  <c r="AA38" i="20"/>
  <c r="AD38" i="20" s="1"/>
  <c r="AA21" i="20"/>
  <c r="AD21" i="20" s="1"/>
  <c r="AC8" i="20"/>
  <c r="AF8" i="20" s="1"/>
  <c r="AC50" i="20"/>
  <c r="AF50" i="20" s="1"/>
  <c r="S35" i="20"/>
  <c r="V35" i="20" s="1"/>
  <c r="S26" i="20"/>
  <c r="V26" i="20" s="1"/>
  <c r="T49" i="20"/>
  <c r="W49" i="20" s="1"/>
  <c r="T27" i="20"/>
  <c r="W27" i="20" s="1"/>
  <c r="S38" i="20"/>
  <c r="V38" i="20" s="1"/>
  <c r="J9" i="20"/>
  <c r="N9" i="20" s="1"/>
  <c r="I50" i="20"/>
  <c r="M50" i="20" s="1"/>
  <c r="I8" i="20"/>
  <c r="M8" i="20" s="1"/>
  <c r="H7" i="20"/>
  <c r="L7" i="20" s="1"/>
  <c r="K51" i="20"/>
  <c r="O51" i="20" s="1"/>
  <c r="J51" i="20"/>
  <c r="N51" i="20" s="1"/>
  <c r="K8" i="20"/>
  <c r="O8" i="20" s="1"/>
  <c r="J29" i="20"/>
  <c r="N29" i="20" s="1"/>
  <c r="H37" i="20"/>
  <c r="L37" i="20" s="1"/>
  <c r="I22" i="20"/>
  <c r="M22" i="20" s="1"/>
  <c r="AC39" i="20"/>
  <c r="AF39" i="20" s="1"/>
  <c r="AA28" i="20"/>
  <c r="AD28" i="20" s="1"/>
  <c r="AB38" i="20"/>
  <c r="AE38" i="20" s="1"/>
  <c r="AA37" i="20"/>
  <c r="AD37" i="20" s="1"/>
  <c r="AA12" i="20"/>
  <c r="AD12" i="20" s="1"/>
  <c r="AA9" i="20"/>
  <c r="AD9" i="20" s="1"/>
  <c r="AB42" i="20"/>
  <c r="AE42" i="20" s="1"/>
  <c r="AA34" i="20"/>
  <c r="AD34" i="20" s="1"/>
  <c r="S50" i="20"/>
  <c r="V50" i="20" s="1"/>
  <c r="T7" i="20"/>
  <c r="W7" i="20" s="1"/>
  <c r="S37" i="20"/>
  <c r="V37" i="20" s="1"/>
  <c r="S21" i="20"/>
  <c r="V21" i="20" s="1"/>
  <c r="T14" i="20"/>
  <c r="W14" i="20" s="1"/>
  <c r="S10" i="20"/>
  <c r="V10" i="20" s="1"/>
  <c r="I16" i="20"/>
  <c r="M16" i="20" s="1"/>
  <c r="H50" i="20"/>
  <c r="L50" i="20" s="1"/>
  <c r="K34" i="20"/>
  <c r="O34" i="20" s="1"/>
  <c r="H9" i="20"/>
  <c r="L9" i="20" s="1"/>
  <c r="K45" i="20"/>
  <c r="O45" i="20" s="1"/>
  <c r="J34" i="20"/>
  <c r="N34" i="20" s="1"/>
  <c r="I23" i="20"/>
  <c r="M23" i="20" s="1"/>
  <c r="I34" i="20"/>
  <c r="M34" i="20" s="1"/>
  <c r="H27" i="20"/>
  <c r="L27" i="20" s="1"/>
  <c r="K39" i="20"/>
  <c r="O39" i="20" s="1"/>
  <c r="AB45" i="20"/>
  <c r="AE45" i="20" s="1"/>
  <c r="AC33" i="20"/>
  <c r="AF33" i="20" s="1"/>
  <c r="AC22" i="20"/>
  <c r="AF22" i="20" s="1"/>
  <c r="AC16" i="20"/>
  <c r="AF16" i="20" s="1"/>
  <c r="AB43" i="20"/>
  <c r="AE43" i="20" s="1"/>
  <c r="AB32" i="20"/>
  <c r="AE32" i="20" s="1"/>
  <c r="AC25" i="20"/>
  <c r="AF25" i="20" s="1"/>
  <c r="AC40" i="20"/>
  <c r="AF40" i="20" s="1"/>
  <c r="T33" i="20"/>
  <c r="W33" i="20" s="1"/>
  <c r="T37" i="20"/>
  <c r="W37" i="20" s="1"/>
  <c r="T41" i="20"/>
  <c r="W41" i="20" s="1"/>
  <c r="S47" i="20"/>
  <c r="V47" i="20" s="1"/>
  <c r="T6" i="20"/>
  <c r="W6" i="20" s="1"/>
  <c r="T38" i="20"/>
  <c r="W38" i="20" s="1"/>
  <c r="J10" i="20"/>
  <c r="N10" i="20" s="1"/>
  <c r="K41" i="20"/>
  <c r="O41" i="20" s="1"/>
  <c r="H21" i="20"/>
  <c r="L21" i="20" s="1"/>
  <c r="I26" i="20"/>
  <c r="M26" i="20" s="1"/>
  <c r="J16" i="20"/>
  <c r="N16" i="20" s="1"/>
  <c r="H16" i="20"/>
  <c r="L16" i="20" s="1"/>
  <c r="I49" i="20"/>
  <c r="M49" i="20" s="1"/>
  <c r="K40" i="20"/>
  <c r="O40" i="20" s="1"/>
  <c r="H48" i="20"/>
  <c r="L48" i="20" s="1"/>
  <c r="I19" i="20"/>
  <c r="M19" i="20" s="1"/>
  <c r="AC27" i="20"/>
  <c r="AF27" i="20" s="1"/>
  <c r="AA8" i="20"/>
  <c r="AD8" i="20" s="1"/>
  <c r="AC43" i="20"/>
  <c r="AF43" i="20" s="1"/>
  <c r="AB9" i="20"/>
  <c r="AE9" i="20" s="1"/>
  <c r="AA19" i="20"/>
  <c r="AD19" i="20" s="1"/>
  <c r="AC10" i="20"/>
  <c r="AF10" i="20" s="1"/>
  <c r="AC13" i="20"/>
  <c r="AF13" i="20" s="1"/>
  <c r="AC18" i="20"/>
  <c r="AF18" i="20" s="1"/>
  <c r="S31" i="20"/>
  <c r="V31" i="20" s="1"/>
  <c r="T9" i="20"/>
  <c r="W9" i="20" s="1"/>
  <c r="T19" i="20"/>
  <c r="W19" i="20" s="1"/>
  <c r="S16" i="20"/>
  <c r="V16" i="20" s="1"/>
  <c r="T16" i="20"/>
  <c r="W16" i="20" s="1"/>
  <c r="S42" i="20"/>
  <c r="V42" i="20" s="1"/>
  <c r="H51" i="20"/>
  <c r="L51" i="20" s="1"/>
  <c r="J35" i="20"/>
  <c r="N35" i="20" s="1"/>
  <c r="K9" i="20"/>
  <c r="O9" i="20" s="1"/>
  <c r="K7" i="20"/>
  <c r="O7" i="20" s="1"/>
  <c r="J49" i="20"/>
  <c r="N49" i="20" s="1"/>
  <c r="I47" i="20"/>
  <c r="M47" i="20" s="1"/>
  <c r="I10" i="20"/>
  <c r="M10" i="20" s="1"/>
  <c r="I27" i="20"/>
  <c r="M27" i="20" s="1"/>
  <c r="K18" i="20"/>
  <c r="O18" i="20" s="1"/>
  <c r="H40" i="20"/>
  <c r="L40" i="20" s="1"/>
  <c r="AA15" i="20"/>
  <c r="AD15" i="20" s="1"/>
  <c r="AC17" i="20"/>
  <c r="AF17" i="20" s="1"/>
  <c r="AC37" i="20"/>
  <c r="AF37" i="20" s="1"/>
  <c r="AC41" i="20"/>
  <c r="AF41" i="20" s="1"/>
  <c r="AA45" i="20"/>
  <c r="AD45" i="20" s="1"/>
  <c r="AB47" i="20"/>
  <c r="AE47" i="20" s="1"/>
  <c r="AB23" i="20"/>
  <c r="AE23" i="20" s="1"/>
  <c r="AB33" i="20"/>
  <c r="AE33" i="20" s="1"/>
  <c r="S32" i="20"/>
  <c r="V32" i="20" s="1"/>
  <c r="T12" i="20"/>
  <c r="W12" i="20" s="1"/>
  <c r="S12" i="20"/>
  <c r="V12" i="20" s="1"/>
  <c r="S7" i="20"/>
  <c r="V7" i="20" s="1"/>
  <c r="T25" i="20"/>
  <c r="W25" i="20" s="1"/>
  <c r="S20" i="20"/>
  <c r="V20" i="20" s="1"/>
  <c r="K13" i="20"/>
  <c r="O13" i="20" s="1"/>
  <c r="H44" i="20"/>
  <c r="L44" i="20" s="1"/>
  <c r="K46" i="20"/>
  <c r="O46" i="20" s="1"/>
  <c r="J39" i="20"/>
  <c r="N39" i="20" s="1"/>
  <c r="I41" i="20"/>
  <c r="M41" i="20" s="1"/>
  <c r="J12" i="20"/>
  <c r="N12" i="20" s="1"/>
  <c r="K44" i="20"/>
  <c r="O44" i="20" s="1"/>
  <c r="J33" i="20"/>
  <c r="N33" i="20" s="1"/>
  <c r="H34" i="20"/>
  <c r="L34" i="20" s="1"/>
  <c r="AB37" i="20"/>
  <c r="AE37" i="20" s="1"/>
  <c r="AB22" i="20"/>
  <c r="AE22" i="20" s="1"/>
  <c r="AC26" i="20"/>
  <c r="AF26" i="20" s="1"/>
  <c r="AC7" i="20"/>
  <c r="AF7" i="20" s="1"/>
  <c r="AC19" i="20"/>
  <c r="AF19" i="20" s="1"/>
  <c r="AB36" i="20"/>
  <c r="AE36" i="20" s="1"/>
  <c r="AB44" i="20"/>
  <c r="AE44" i="20" s="1"/>
  <c r="AB25" i="20"/>
  <c r="AE25" i="20" s="1"/>
  <c r="T8" i="20"/>
  <c r="W8" i="20" s="1"/>
  <c r="S48" i="20"/>
  <c r="V48" i="20" s="1"/>
  <c r="S43" i="20"/>
  <c r="V43" i="20" s="1"/>
  <c r="T30" i="20"/>
  <c r="W30" i="20" s="1"/>
  <c r="S27" i="20"/>
  <c r="V27" i="20" s="1"/>
  <c r="T15" i="20"/>
  <c r="W15" i="20" s="1"/>
  <c r="H31" i="20"/>
  <c r="L31" i="20" s="1"/>
  <c r="I33" i="20"/>
  <c r="M33" i="20" s="1"/>
  <c r="H11" i="20"/>
  <c r="L11" i="20" s="1"/>
  <c r="H41" i="20"/>
  <c r="L41" i="20" s="1"/>
  <c r="H32" i="20"/>
  <c r="L32" i="20" s="1"/>
  <c r="I30" i="20"/>
  <c r="M30" i="20" s="1"/>
  <c r="K17" i="20"/>
  <c r="O17" i="20" s="1"/>
  <c r="J22" i="20"/>
  <c r="N22" i="20" s="1"/>
  <c r="J23" i="20"/>
  <c r="N23" i="20" s="1"/>
  <c r="AB31" i="20"/>
  <c r="AE31" i="20" s="1"/>
  <c r="AB48" i="20"/>
  <c r="AE48" i="20" s="1"/>
  <c r="AB41" i="20"/>
  <c r="AE41" i="20" s="1"/>
  <c r="AB39" i="20"/>
  <c r="AE39" i="20" s="1"/>
  <c r="AB12" i="20"/>
  <c r="AE12" i="20" s="1"/>
  <c r="AA51" i="20"/>
  <c r="AD51" i="20" s="1"/>
  <c r="AC21" i="20"/>
  <c r="AF21" i="20" s="1"/>
  <c r="AC11" i="20"/>
  <c r="AF11" i="20" s="1"/>
  <c r="T46" i="20"/>
  <c r="W46" i="20" s="1"/>
  <c r="T47" i="20"/>
  <c r="W47" i="20" s="1"/>
  <c r="S9" i="20"/>
  <c r="V9" i="20" s="1"/>
  <c r="T34" i="20"/>
  <c r="W34" i="20" s="1"/>
  <c r="S15" i="20"/>
  <c r="V15" i="20" s="1"/>
  <c r="T13" i="20"/>
  <c r="W13" i="20" s="1"/>
  <c r="I15" i="20"/>
  <c r="M15" i="20" s="1"/>
  <c r="I9" i="20"/>
  <c r="M9" i="20" s="1"/>
  <c r="H24" i="20"/>
  <c r="L24" i="20" s="1"/>
  <c r="K47" i="20"/>
  <c r="O47" i="20" s="1"/>
  <c r="H26" i="20"/>
  <c r="L26" i="20" s="1"/>
  <c r="H47" i="20"/>
  <c r="L47" i="20" s="1"/>
  <c r="I45" i="20"/>
  <c r="M45" i="20" s="1"/>
  <c r="I32" i="20"/>
  <c r="M32" i="20" s="1"/>
  <c r="AB24" i="20"/>
  <c r="AE24" i="20" s="1"/>
  <c r="AB20" i="20"/>
  <c r="AE20" i="20" s="1"/>
  <c r="AB26" i="20"/>
  <c r="AE26" i="20" s="1"/>
  <c r="AC20" i="20"/>
  <c r="AF20" i="20" s="1"/>
  <c r="AA11" i="20"/>
  <c r="AD11" i="20" s="1"/>
  <c r="AC45" i="20"/>
  <c r="AF45" i="20" s="1"/>
  <c r="AB30" i="20"/>
  <c r="AE30" i="20" s="1"/>
  <c r="AB51" i="20"/>
  <c r="AE51" i="20" s="1"/>
  <c r="AA31" i="20"/>
  <c r="AD31" i="20" s="1"/>
  <c r="T24" i="20"/>
  <c r="W24" i="20" s="1"/>
  <c r="S6" i="20"/>
  <c r="V6" i="20" s="1"/>
  <c r="T51" i="20"/>
  <c r="W51" i="20" s="1"/>
  <c r="T36" i="20"/>
  <c r="W36" i="20" s="1"/>
  <c r="T20" i="20"/>
  <c r="W20" i="20" s="1"/>
  <c r="S13" i="20"/>
  <c r="V13" i="20" s="1"/>
  <c r="K22" i="20"/>
  <c r="O22" i="20" s="1"/>
  <c r="J46" i="20"/>
  <c r="N46" i="20" s="1"/>
  <c r="I24" i="20"/>
  <c r="M24" i="20" s="1"/>
  <c r="I36" i="20"/>
  <c r="M36" i="20" s="1"/>
  <c r="J32" i="20"/>
  <c r="N32" i="20" s="1"/>
  <c r="K6" i="20"/>
  <c r="O6" i="20" s="1"/>
  <c r="H10" i="20"/>
  <c r="L10" i="20" s="1"/>
  <c r="J42" i="20"/>
  <c r="N42" i="20" s="1"/>
  <c r="J7" i="20"/>
  <c r="N7" i="20" s="1"/>
  <c r="AB7" i="20"/>
  <c r="AE7" i="20" s="1"/>
  <c r="AA35" i="20"/>
  <c r="AD35" i="20" s="1"/>
  <c r="AC9" i="20"/>
  <c r="AF9" i="20" s="1"/>
  <c r="AA18" i="20"/>
  <c r="AD18" i="20" s="1"/>
  <c r="AB11" i="20"/>
  <c r="AE11" i="20" s="1"/>
  <c r="AA47" i="20"/>
  <c r="AD47" i="20" s="1"/>
  <c r="AC30" i="20"/>
  <c r="AF30" i="20" s="1"/>
  <c r="AA23" i="20"/>
  <c r="AD23" i="20" s="1"/>
  <c r="AA25" i="20"/>
  <c r="AD25" i="20" s="1"/>
  <c r="T50" i="20"/>
  <c r="W50" i="20" s="1"/>
  <c r="S46" i="20"/>
  <c r="V46" i="20" s="1"/>
  <c r="T45" i="20"/>
  <c r="W45" i="20" s="1"/>
  <c r="S19" i="20"/>
  <c r="V19" i="20" s="1"/>
  <c r="S34" i="20"/>
  <c r="V34" i="20" s="1"/>
  <c r="T35" i="20"/>
  <c r="W35" i="20" s="1"/>
  <c r="H22" i="20"/>
  <c r="L22" i="20" s="1"/>
  <c r="H14" i="20"/>
  <c r="L14" i="20" s="1"/>
  <c r="J24" i="20"/>
  <c r="N24" i="20" s="1"/>
  <c r="J19" i="20"/>
  <c r="N19" i="20" s="1"/>
  <c r="H25" i="20"/>
  <c r="L25" i="20" s="1"/>
  <c r="J11" i="20"/>
  <c r="N11" i="20" s="1"/>
  <c r="H36" i="20"/>
  <c r="L36" i="20" s="1"/>
  <c r="K25" i="20"/>
  <c r="O25" i="20" s="1"/>
  <c r="I42" i="20"/>
  <c r="M42" i="20" s="1"/>
  <c r="AA42" i="20"/>
  <c r="AD42" i="20" s="1"/>
  <c r="AB13" i="20"/>
  <c r="AE13" i="20" s="1"/>
  <c r="AB46" i="20"/>
  <c r="AE46" i="20" s="1"/>
  <c r="AA39" i="20"/>
  <c r="AD39" i="20" s="1"/>
  <c r="AC32" i="20"/>
  <c r="AF32" i="20" s="1"/>
  <c r="AC28" i="20"/>
  <c r="AF28" i="20" s="1"/>
  <c r="AC51" i="20"/>
  <c r="AF51" i="20" s="1"/>
  <c r="AC44" i="20"/>
  <c r="AF44" i="20" s="1"/>
  <c r="AC31" i="20"/>
  <c r="AF31" i="20" s="1"/>
  <c r="T17" i="20"/>
  <c r="W17" i="20" s="1"/>
  <c r="S24" i="20"/>
  <c r="V24" i="20" s="1"/>
  <c r="T28" i="20"/>
  <c r="W28" i="20" s="1"/>
  <c r="T40" i="20"/>
  <c r="W40" i="20" s="1"/>
  <c r="S36" i="20"/>
  <c r="V36" i="20" s="1"/>
  <c r="T29" i="20"/>
  <c r="W29" i="20" s="1"/>
  <c r="J43" i="20"/>
  <c r="N43" i="20" s="1"/>
  <c r="J45" i="20"/>
  <c r="N45" i="20" s="1"/>
  <c r="H28" i="20"/>
  <c r="L28" i="20" s="1"/>
  <c r="K10" i="20"/>
  <c r="O10" i="20" s="1"/>
  <c r="J6" i="20"/>
  <c r="N6" i="20" s="1"/>
  <c r="K38" i="20"/>
  <c r="O38" i="20" s="1"/>
  <c r="J44" i="20"/>
  <c r="N44" i="20" s="1"/>
  <c r="H38" i="20"/>
  <c r="L38" i="20" s="1"/>
  <c r="I20" i="20"/>
  <c r="M20" i="20" s="1"/>
  <c r="AA20" i="20"/>
  <c r="AD20" i="20" s="1"/>
  <c r="AC35" i="20"/>
  <c r="AF35" i="20" s="1"/>
  <c r="AC46" i="20"/>
  <c r="AF46" i="20" s="1"/>
  <c r="AC24" i="20"/>
  <c r="AF24" i="20" s="1"/>
  <c r="AB14" i="20"/>
  <c r="AE14" i="20" s="1"/>
  <c r="AB21" i="20"/>
  <c r="AE21" i="20" s="1"/>
  <c r="AB34" i="20"/>
  <c r="AE34" i="20" s="1"/>
  <c r="AC38" i="20"/>
  <c r="AF38" i="20" s="1"/>
  <c r="AB29" i="20"/>
  <c r="AE29" i="20" s="1"/>
  <c r="T44" i="20"/>
  <c r="W44" i="20" s="1"/>
  <c r="S45" i="20"/>
  <c r="V45" i="20" s="1"/>
  <c r="T32" i="20"/>
  <c r="W32" i="20" s="1"/>
  <c r="T21" i="20"/>
  <c r="W21" i="20" s="1"/>
  <c r="T10" i="20"/>
  <c r="W10" i="20" s="1"/>
  <c r="T18" i="20"/>
  <c r="W18" i="20" s="1"/>
  <c r="K19" i="20"/>
  <c r="O19" i="20" s="1"/>
  <c r="I28" i="20"/>
  <c r="M28" i="20" s="1"/>
  <c r="H49" i="20"/>
  <c r="L49" i="20" s="1"/>
  <c r="H19" i="20"/>
  <c r="L19" i="20" s="1"/>
  <c r="I11" i="20"/>
  <c r="M11" i="20" s="1"/>
  <c r="J15" i="20"/>
  <c r="N15" i="20" s="1"/>
  <c r="H12" i="20"/>
  <c r="L12" i="20" s="1"/>
  <c r="J27" i="20"/>
  <c r="N27" i="20" s="1"/>
  <c r="I46" i="20"/>
  <c r="M46" i="20" s="1"/>
  <c r="AA46" i="20"/>
  <c r="AD46" i="20" s="1"/>
  <c r="AB18" i="20"/>
  <c r="AE18" i="20" s="1"/>
  <c r="AB50" i="20"/>
  <c r="AE50" i="20" s="1"/>
  <c r="AA16" i="20"/>
  <c r="AD16" i="20" s="1"/>
  <c r="AC14" i="20"/>
  <c r="AF14" i="20" s="1"/>
  <c r="AA14" i="20"/>
  <c r="AD14" i="20" s="1"/>
  <c r="AA27" i="20"/>
  <c r="AD27" i="20" s="1"/>
  <c r="AB15" i="20"/>
  <c r="AE15" i="20" s="1"/>
  <c r="AB27" i="20"/>
  <c r="AE27" i="20" s="1"/>
  <c r="T48" i="20"/>
  <c r="W48" i="20" s="1"/>
  <c r="S39" i="20"/>
  <c r="V39" i="20" s="1"/>
  <c r="S25" i="20"/>
  <c r="V25" i="20" s="1"/>
  <c r="T42" i="20"/>
  <c r="W42" i="20" s="1"/>
  <c r="S40" i="20"/>
  <c r="V40" i="20" s="1"/>
  <c r="S33" i="20"/>
  <c r="V33" i="20" s="1"/>
  <c r="J48" i="20"/>
  <c r="N48" i="20" s="1"/>
  <c r="H43" i="20"/>
  <c r="L43" i="20" s="1"/>
  <c r="I38" i="20"/>
  <c r="M38" i="20" s="1"/>
  <c r="J47" i="20"/>
  <c r="N47" i="20" s="1"/>
  <c r="K49" i="20"/>
  <c r="O49" i="20" s="1"/>
  <c r="K15" i="20"/>
  <c r="O15" i="20" s="1"/>
  <c r="K11" i="20"/>
  <c r="O11" i="20" s="1"/>
  <c r="K48" i="20"/>
  <c r="O48" i="20" s="1"/>
  <c r="I13" i="20"/>
  <c r="M13" i="20" s="1"/>
  <c r="AA13" i="20"/>
  <c r="AD13" i="20" s="1"/>
  <c r="AC12" i="20"/>
  <c r="AF12" i="20" s="1"/>
  <c r="AB28" i="20"/>
  <c r="AE28" i="20" s="1"/>
  <c r="AC47" i="20"/>
  <c r="AF47" i="20" s="1"/>
  <c r="AA50" i="20"/>
  <c r="AD50" i="20" s="1"/>
  <c r="AA48" i="20"/>
  <c r="AD48" i="20" s="1"/>
  <c r="AA30" i="20"/>
  <c r="AD30" i="20" s="1"/>
  <c r="AC15" i="20"/>
  <c r="AF15" i="20" s="1"/>
  <c r="AC48" i="20"/>
  <c r="AF48" i="20" s="1"/>
  <c r="T26" i="20"/>
  <c r="W26" i="20" s="1"/>
  <c r="S28" i="20"/>
  <c r="V28" i="20" s="1"/>
  <c r="S8" i="20"/>
  <c r="V8" i="20" s="1"/>
  <c r="T31" i="20"/>
  <c r="W31" i="20" s="1"/>
  <c r="S18" i="20"/>
  <c r="V18" i="20" s="1"/>
  <c r="T11" i="20"/>
  <c r="W11" i="20" s="1"/>
  <c r="E5" i="20"/>
  <c r="D5" i="20" s="1"/>
  <c r="J5" i="20" a="1"/>
  <c r="H5" i="20" a="1"/>
  <c r="AA5" i="20" a="1"/>
  <c r="S5" i="20" a="1"/>
  <c r="I5" i="20" a="1"/>
  <c r="AB5" i="20" a="1"/>
  <c r="T5" i="20" a="1"/>
  <c r="K5" i="20" a="1"/>
  <c r="AC5" i="20" a="1"/>
  <c r="AB5" i="20" l="1"/>
  <c r="AE5" i="20" s="1"/>
  <c r="AA5" i="20"/>
  <c r="AD5" i="20" s="1"/>
  <c r="T5" i="20"/>
  <c r="W5" i="20" s="1"/>
  <c r="H5" i="20"/>
  <c r="L5" i="20" s="1"/>
  <c r="I5" i="20"/>
  <c r="M5" i="20" s="1"/>
  <c r="J5" i="20"/>
  <c r="N5" i="20" s="1"/>
  <c r="K5" i="20"/>
  <c r="O5" i="20" s="1"/>
  <c r="S5" i="20"/>
  <c r="V5" i="20" s="1"/>
  <c r="AC5" i="20"/>
  <c r="AF5" i="2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<sst xmlns="http://schemas.openxmlformats.org/spreadsheetml/2006/main" count="2711" uniqueCount="615">
  <si>
    <t>https://olinda.bcb.gov.br/olinda/servico/Expectativas/versao/v1/aplicacao#!/recursos</t>
  </si>
  <si>
    <t>Function name</t>
  </si>
  <si>
    <t>Description</t>
  </si>
  <si>
    <t>Expectations for monthly indicators</t>
  </si>
  <si>
    <t>Expectations for quarterly indicators</t>
  </si>
  <si>
    <t>Expectations for annual indicators</t>
  </si>
  <si>
    <t>Expectations of each institution</t>
  </si>
  <si>
    <t>Expectations for 12 months ahead</t>
  </si>
  <si>
    <t>Expectations for monthly indicators from TOP 5 institutions</t>
  </si>
  <si>
    <t>Expectations for annual indicators from TOP 5 institutions</t>
  </si>
  <si>
    <t>Indicador</t>
  </si>
  <si>
    <t>Indicator name</t>
  </si>
  <si>
    <t>Data</t>
  </si>
  <si>
    <t>Date of the forecast</t>
  </si>
  <si>
    <t>Minimo</t>
  </si>
  <si>
    <t>Lowest forecast</t>
  </si>
  <si>
    <t>Mediana</t>
  </si>
  <si>
    <t>Median of forecasts</t>
  </si>
  <si>
    <t>Media</t>
  </si>
  <si>
    <t>Mean of forecasts</t>
  </si>
  <si>
    <t>Maximo</t>
  </si>
  <si>
    <t>DesvioPadrao</t>
  </si>
  <si>
    <t>Standard deviation of forecasts</t>
  </si>
  <si>
    <t>JSON</t>
  </si>
  <si>
    <t>From JSON to Table</t>
  </si>
  <si>
    <t>Indicator</t>
  </si>
  <si>
    <t>Detalhe do Indicador (Indicator Detail)</t>
  </si>
  <si>
    <t>Measure</t>
  </si>
  <si>
    <t>Forecast date</t>
  </si>
  <si>
    <t>4-wk ago</t>
  </si>
  <si>
    <t>1-wk ago</t>
  </si>
  <si>
    <t>Today</t>
  </si>
  <si>
    <t># Resp</t>
  </si>
  <si>
    <t>5 wd</t>
  </si>
  <si>
    <t>IPCA (% YoY)</t>
  </si>
  <si>
    <t>IPCA</t>
  </si>
  <si>
    <t>GDP (% YoY)</t>
  </si>
  <si>
    <t>PIB Total</t>
  </si>
  <si>
    <t>FX (R$/US$)</t>
  </si>
  <si>
    <t>Câmbio</t>
  </si>
  <si>
    <t>Selic (% annum)</t>
  </si>
  <si>
    <t>Selic</t>
  </si>
  <si>
    <t>IGP-M (% YoY)</t>
  </si>
  <si>
    <t>IGP-M</t>
  </si>
  <si>
    <t>IPCA Supervised (% YoY)</t>
  </si>
  <si>
    <t>IPCA Administrados</t>
  </si>
  <si>
    <t>Current account (US$ billions)</t>
  </si>
  <si>
    <t>Conta corrente</t>
  </si>
  <si>
    <t>Commercial balance (US$ billions)</t>
  </si>
  <si>
    <t>Balança comercial</t>
  </si>
  <si>
    <t>Saldo</t>
  </si>
  <si>
    <t>FDI (US$ billions)</t>
  </si>
  <si>
    <t>Investimento direto no país</t>
  </si>
  <si>
    <t>Net debt (% of GDP)</t>
  </si>
  <si>
    <t>Dívida líquida do setor público</t>
  </si>
  <si>
    <t>Primary balance (% of GDP)</t>
  </si>
  <si>
    <t>Resultado primário</t>
  </si>
  <si>
    <t>Nominal balance (% of GDP)</t>
  </si>
  <si>
    <t>Resultado nominal</t>
  </si>
  <si>
    <t>Graph title</t>
  </si>
  <si>
    <t>Indicador (Indicator)</t>
  </si>
  <si>
    <t>Indicador Detalhe (Indicator Detail)</t>
  </si>
  <si>
    <t>Data de Referência (Date of Reference)</t>
  </si>
  <si>
    <t>Data Inicial (Start Date)</t>
  </si>
  <si>
    <t>Data Final (Final Date)</t>
  </si>
  <si>
    <t>Base de Cálculo (Calculus Basis)</t>
  </si>
  <si>
    <t>Suavizada (Smoothened)</t>
  </si>
  <si>
    <t>N</t>
  </si>
  <si>
    <t>Date</t>
  </si>
  <si>
    <t>Minimum</t>
  </si>
  <si>
    <t>Median</t>
  </si>
  <si>
    <t>Maximum</t>
  </si>
  <si>
    <t>Std</t>
  </si>
  <si>
    <t>Tipo de Cálculo (Calculus Type)</t>
  </si>
  <si>
    <t>C</t>
  </si>
  <si>
    <t>Instituicao</t>
  </si>
  <si>
    <t>Valor</t>
  </si>
  <si>
    <t>URL</t>
  </si>
  <si>
    <t>https://olinda.bcb.gov.br/olinda/servico/Expectativas/versao/v1/odata/ExpectativaMercadoMensais?$top=10000&amp;$filter=Indicador%20eq%20'IPCA'%20and%20DataReferencia%20eq%20'04%2F2000'&amp;$format=json</t>
  </si>
  <si>
    <t>Summary of Annual Expectations (Resumo das Expectativas Anuais)</t>
  </si>
  <si>
    <t>Forecast of Monthly Indicators (Expectativas Mensais)</t>
  </si>
  <si>
    <t>Forecast of Quarterly Indicators (Expectativas Trimestrais)</t>
  </si>
  <si>
    <t>Field name (Campos)</t>
  </si>
  <si>
    <t>baseCalculo</t>
  </si>
  <si>
    <t>tipoCalculo</t>
  </si>
  <si>
    <t>Calculus basis</t>
  </si>
  <si>
    <t>Calculus type</t>
  </si>
  <si>
    <t>Forecast of Annual Indicators (Expectativas Anuais)</t>
  </si>
  <si>
    <t>Forecast of Inflation 12 months ahead (Expectativas 12 meses à frente)</t>
  </si>
  <si>
    <t>Forecast of Monthly Indicators by TOP5 Institutions (Expectativas TOP5 Mensais)</t>
  </si>
  <si>
    <t>Forecast of Annual Indicators by TOP5 Institutions (Expectativas TOP5 Anuais)</t>
  </si>
  <si>
    <t>Forecast of Specific Institutions (Expectativas Instituições)</t>
  </si>
  <si>
    <t>Highest forecast</t>
  </si>
  <si>
    <t>DataReferencia</t>
  </si>
  <si>
    <t>Date of the indicator forecasted</t>
  </si>
  <si>
    <t>numeroRespondentes</t>
  </si>
  <si>
    <t>Number of respondents</t>
  </si>
  <si>
    <t>Monthly</t>
  </si>
  <si>
    <t>x</t>
  </si>
  <si>
    <t>Quarterly</t>
  </si>
  <si>
    <t>Annual</t>
  </si>
  <si>
    <t>IndicadorDetalhe</t>
  </si>
  <si>
    <t>Indicator detail</t>
  </si>
  <si>
    <t>12 mths ahead</t>
  </si>
  <si>
    <t>Suavizada</t>
  </si>
  <si>
    <t>Smoothed</t>
  </si>
  <si>
    <t>TOP5 Monthly</t>
  </si>
  <si>
    <t>TOP5 Annual</t>
  </si>
  <si>
    <t>Institutions</t>
  </si>
  <si>
    <t>Institution</t>
  </si>
  <si>
    <t>Periodicidade</t>
  </si>
  <si>
    <t>Frequency</t>
  </si>
  <si>
    <t>Value</t>
  </si>
  <si>
    <t>IGP-DI</t>
  </si>
  <si>
    <t>TIPS</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</si>
  <si>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</si>
  <si>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</si>
  <si>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
  </si>
  <si>
    <t>https://github.com/VBA-tools/VBA-JSON</t>
  </si>
  <si>
    <t>https://github.com/edugca/xlFOCUS</t>
  </si>
  <si>
    <t>* Most recent version should be found in the webpage below:</t>
  </si>
  <si>
    <t>xlFOCUS_ReadJSON</t>
  </si>
  <si>
    <t>xlFOCUS_ExpectativasMensais</t>
  </si>
  <si>
    <t>xlFOCUS_ExpectativasTrimestrais</t>
  </si>
  <si>
    <t>xlFOCUS_ExpectativasAnuais</t>
  </si>
  <si>
    <t>xlFOCUS_ExpectativasInstituicoes</t>
  </si>
  <si>
    <t>xlFOCUS_Expectativas12Meses</t>
  </si>
  <si>
    <t>xlFOCUS_ExpectativasTop5Mensais</t>
  </si>
  <si>
    <t>xlFOCUS_ExpectativasTop5Anuais</t>
  </si>
  <si>
    <t>xlFOCUS_IfError</t>
  </si>
  <si>
    <t>The same as Excel's IFERROR function but able to identify xlFOCUS error messages</t>
  </si>
  <si>
    <t>* If your query is not working, try to build it on the webpage above. If the server is down, then all functions will fail to fetch data!</t>
  </si>
  <si>
    <t>Anual</t>
  </si>
  <si>
    <t>4/2021</t>
  </si>
  <si>
    <t>https://support.microsoft.com/en-us/topic/show-the-developer-tab-e1192344-5e56-4d45-931b-e5fd9bea2d45</t>
  </si>
  <si>
    <t>https://support.microsoft.com/en-us/office/enable-or-disable-macros-in-office-files-12b036fd-d140-4e74-b45e-16fed1a7e5c6</t>
  </si>
  <si>
    <t>1) With your spreadsheet open, make sure macros are enabled and the Developer tab is displayed. In the links below, you learn how to do that:</t>
  </si>
  <si>
    <t>* Version history</t>
  </si>
  <si>
    <t>2) In the ribbon, click on Developer tab, then on "Visual Basic".</t>
  </si>
  <si>
    <t>File path</t>
  </si>
  <si>
    <t>xlFOCUS_ReadJSONFile</t>
  </si>
  <si>
    <t>Read a JSON string in a cell that resulted from the FOCUS webservice and transform it into a table</t>
  </si>
  <si>
    <t>Read a JSON file that resulted from the FOCUS webservice and transform it into a table</t>
  </si>
  <si>
    <t>* To update from a previous version, just replace the old version of this spreadsheet with this one.</t>
  </si>
  <si>
    <t>To update in your own spreadsheets, you need to open each one of them in the VBA Editor and replace the module "xlFOCUS" with its current version embedded in this spreadsheet.</t>
  </si>
  <si>
    <t>* To use these functions in your own spreadsheet, use this spreadsheet as a model, it is EASIER!</t>
  </si>
  <si>
    <t>SGS Indicators</t>
  </si>
  <si>
    <t>Retornar Datas</t>
  </si>
  <si>
    <t>N Últimas Observações</t>
  </si>
  <si>
    <t>Rótulos de Linha</t>
  </si>
  <si>
    <t>2020-01</t>
  </si>
  <si>
    <t>2020-02</t>
  </si>
  <si>
    <t>2020-03</t>
  </si>
  <si>
    <t>2020-04</t>
  </si>
  <si>
    <t>2020-05</t>
  </si>
  <si>
    <t>2020-06</t>
  </si>
  <si>
    <t>2020-07</t>
  </si>
  <si>
    <t>2020-08</t>
  </si>
  <si>
    <t>2020-09</t>
  </si>
  <si>
    <t>2020-10</t>
  </si>
  <si>
    <t>2020-11</t>
  </si>
  <si>
    <t>2020-12</t>
  </si>
  <si>
    <t>2021-01</t>
  </si>
  <si>
    <t>2021-02</t>
  </si>
  <si>
    <t>2021-03</t>
  </si>
  <si>
    <t>2021-04</t>
  </si>
  <si>
    <t>2021-05</t>
  </si>
  <si>
    <t>2021-06</t>
  </si>
  <si>
    <t>2021-07</t>
  </si>
  <si>
    <t>2021-08</t>
  </si>
  <si>
    <t>2021-09</t>
  </si>
  <si>
    <t>2021-10</t>
  </si>
  <si>
    <t>2021-11</t>
  </si>
  <si>
    <t>Total Geral</t>
  </si>
  <si>
    <t>Soma de TaxaJurosAoAno</t>
  </si>
  <si>
    <t>Rótulos de Coluna</t>
  </si>
  <si>
    <t>BCO BRADESCO S.A.</t>
  </si>
  <si>
    <t>BCO DO BRASIL S.A.</t>
  </si>
  <si>
    <t>BCO SANTANDER (BRASIL) S.A.</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</si>
  <si>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</si>
  <si>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</si>
  <si>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</si>
  <si>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</si>
  <si>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</si>
  <si>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</si>
  <si>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</si>
  <si>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</si>
  <si>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</si>
  <si>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</si>
  <si>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</si>
  <si>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</si>
  <si>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</si>
  <si>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</si>
  <si>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</si>
  <si>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</si>
  <si>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</si>
  <si>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</si>
  <si>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</si>
  <si>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</si>
  <si>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</si>
  <si>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</si>
  <si>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</si>
  <si>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</si>
  <si>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</si>
  <si>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</si>
  <si>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</si>
  <si>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</si>
  <si>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</si>
  <si>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</si>
  <si>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</si>
  <si>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</si>
  <si>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</si>
  <si>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</si>
  <si>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</si>
  <si>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</si>
  <si>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</si>
  <si>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</si>
  <si>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</si>
  <si>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</si>
  <si>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</si>
  <si>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</si>
  <si>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</si>
  <si>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</si>
  <si>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</si>
  <si>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</si>
  <si>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</si>
  <si>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2015-12</t>
  </si>
  <si>
    <t>2016-01</t>
  </si>
  <si>
    <t>2016-02</t>
  </si>
  <si>
    <t>2016-03</t>
  </si>
  <si>
    <t>2016-04</t>
  </si>
  <si>
    <t>2016-05</t>
  </si>
  <si>
    <t>2016-06</t>
  </si>
  <si>
    <t>2016-07</t>
  </si>
  <si>
    <t>2016-08</t>
  </si>
  <si>
    <t>2016-09</t>
  </si>
  <si>
    <t>2016-10</t>
  </si>
  <si>
    <t>2016-11</t>
  </si>
  <si>
    <t>2016-12</t>
  </si>
  <si>
    <t>2017-01</t>
  </si>
  <si>
    <t>2017-02</t>
  </si>
  <si>
    <t>2017-03</t>
  </si>
  <si>
    <t>2017-04</t>
  </si>
  <si>
    <t>2017-05</t>
  </si>
  <si>
    <t>2017-06</t>
  </si>
  <si>
    <t>2017-07</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</si>
  <si>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</si>
  <si>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</si>
  <si>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</si>
  <si>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</si>
  <si>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</si>
  <si>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</si>
  <si>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</si>
  <si>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</si>
  <si>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</si>
  <si>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</si>
  <si>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</si>
  <si>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</si>
  <si>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</si>
  <si>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</si>
  <si>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</si>
  <si>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</si>
  <si>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</si>
  <si>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</si>
  <si>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</si>
  <si>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</si>
  <si>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</si>
  <si>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</si>
  <si>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</si>
  <si>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</si>
  <si>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</si>
  <si>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</si>
  <si>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</si>
  <si>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</si>
  <si>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</si>
  <si>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Máx. de TaxaJurosAoAno</t>
  </si>
  <si>
    <t>Modalidade</t>
  </si>
  <si>
    <t>2021-01-04</t>
  </si>
  <si>
    <t>2021-01-05</t>
  </si>
  <si>
    <t>2021-01-06</t>
  </si>
  <si>
    <t>2021-01-07</t>
  </si>
  <si>
    <t>2021-01-08</t>
  </si>
  <si>
    <t>2021-01-11</t>
  </si>
  <si>
    <t>2021-01-12</t>
  </si>
  <si>
    <t>2021-01-13</t>
  </si>
  <si>
    <t>2021-01-14</t>
  </si>
  <si>
    <t>2021-01-15</t>
  </si>
  <si>
    <t>2021-01-18</t>
  </si>
  <si>
    <t>2021-01-19</t>
  </si>
  <si>
    <t>2021-01-20</t>
  </si>
  <si>
    <t>2021-01-21</t>
  </si>
  <si>
    <t>2021-01-22</t>
  </si>
  <si>
    <t>2021-01-25</t>
  </si>
  <si>
    <t>2021-01-26</t>
  </si>
  <si>
    <t>2021-01-27</t>
  </si>
  <si>
    <t>2021-01-28</t>
  </si>
  <si>
    <t>2021-01-29</t>
  </si>
  <si>
    <t>2021-02-01</t>
  </si>
  <si>
    <t>2021-02-02</t>
  </si>
  <si>
    <t>2021-02-03</t>
  </si>
  <si>
    <t>2021-02-04</t>
  </si>
  <si>
    <t>2021-02-05</t>
  </si>
  <si>
    <t>2021-02-08</t>
  </si>
  <si>
    <t>2021-02-09</t>
  </si>
  <si>
    <t>2021-02-10</t>
  </si>
  <si>
    <t>2021-02-11</t>
  </si>
  <si>
    <t>2021-02-12</t>
  </si>
  <si>
    <t>2021-02-17</t>
  </si>
  <si>
    <t>2021-02-18</t>
  </si>
  <si>
    <t>2021-02-19</t>
  </si>
  <si>
    <t>2021-02-22</t>
  </si>
  <si>
    <t>2021-02-23</t>
  </si>
  <si>
    <t>2021-02-24</t>
  </si>
  <si>
    <t>2021-02-25</t>
  </si>
  <si>
    <t>2021-02-26</t>
  </si>
  <si>
    <t>2021-03-01</t>
  </si>
  <si>
    <t>2021-03-02</t>
  </si>
  <si>
    <t>2021-03-03</t>
  </si>
  <si>
    <t>2021-03-04</t>
  </si>
  <si>
    <t>2021-03-05</t>
  </si>
  <si>
    <t>2021-03-08</t>
  </si>
  <si>
    <t>2021-03-09</t>
  </si>
  <si>
    <t>2021-03-10</t>
  </si>
  <si>
    <t>2021-03-11</t>
  </si>
  <si>
    <t>2021-03-12</t>
  </si>
  <si>
    <t>2021-03-15</t>
  </si>
  <si>
    <t>2021-03-16</t>
  </si>
  <si>
    <t>2021-03-17</t>
  </si>
  <si>
    <t>2021-03-18</t>
  </si>
  <si>
    <t>2021-03-19</t>
  </si>
  <si>
    <t>2021-03-22</t>
  </si>
  <si>
    <t>2021-03-23</t>
  </si>
  <si>
    <t>2021-03-24</t>
  </si>
  <si>
    <t>2021-03-25</t>
  </si>
  <si>
    <t>2021-03-26</t>
  </si>
  <si>
    <t>2021-03-29</t>
  </si>
  <si>
    <t>2021-03-30</t>
  </si>
  <si>
    <t>2021-03-31</t>
  </si>
  <si>
    <t>2021-04-01</t>
  </si>
  <si>
    <t>2021-04-05</t>
  </si>
  <si>
    <t>2021-04-06</t>
  </si>
  <si>
    <t>2021-04-07</t>
  </si>
  <si>
    <t>2021-04-08</t>
  </si>
  <si>
    <t>2021-04-09</t>
  </si>
  <si>
    <t>2021-04-12</t>
  </si>
  <si>
    <t>2021-04-13</t>
  </si>
  <si>
    <t>2021-04-14</t>
  </si>
  <si>
    <t>2021-04-15</t>
  </si>
  <si>
    <t>2021-04-16</t>
  </si>
  <si>
    <t>2021-04-19</t>
  </si>
  <si>
    <t>2021-04-20</t>
  </si>
  <si>
    <t>2021-04-22</t>
  </si>
  <si>
    <t>2021-04-23</t>
  </si>
  <si>
    <t>2021-04-26</t>
  </si>
  <si>
    <t>2021-04-27</t>
  </si>
  <si>
    <t>2021-04-28</t>
  </si>
  <si>
    <t>2021-04-29</t>
  </si>
  <si>
    <t>2021-04-30</t>
  </si>
  <si>
    <t>2021-05-03</t>
  </si>
  <si>
    <t>2021-05-04</t>
  </si>
  <si>
    <t>2021-05-05</t>
  </si>
  <si>
    <t>2021-05-06</t>
  </si>
  <si>
    <t>2021-05-07</t>
  </si>
  <si>
    <t>2021-05-10</t>
  </si>
  <si>
    <t>2021-05-11</t>
  </si>
  <si>
    <t>2021-05-12</t>
  </si>
  <si>
    <t>2021-05-13</t>
  </si>
  <si>
    <t>2021-05-14</t>
  </si>
  <si>
    <t>2021-05-17</t>
  </si>
  <si>
    <t>2021-05-18</t>
  </si>
  <si>
    <t>2021-05-19</t>
  </si>
  <si>
    <t>2021-05-20</t>
  </si>
  <si>
    <t>2021-05-21</t>
  </si>
  <si>
    <t>2021-05-24</t>
  </si>
  <si>
    <t>2021-05-25</t>
  </si>
  <si>
    <t>2021-05-26</t>
  </si>
  <si>
    <t>2021-05-27</t>
  </si>
  <si>
    <t>2021-05-28</t>
  </si>
  <si>
    <t>2021-05-31</t>
  </si>
  <si>
    <t>2021-06-01</t>
  </si>
  <si>
    <t>2021-06-02</t>
  </si>
  <si>
    <t>2021-06-04</t>
  </si>
  <si>
    <t>2021-06-07</t>
  </si>
  <si>
    <t>2021-06-08</t>
  </si>
  <si>
    <t>2021-06-09</t>
  </si>
  <si>
    <t>2021-06-10</t>
  </si>
  <si>
    <t>2021-06-11</t>
  </si>
  <si>
    <t>2021-06-14</t>
  </si>
  <si>
    <t>2021-06-15</t>
  </si>
  <si>
    <t>2021-06-16</t>
  </si>
  <si>
    <t>2021-06-17</t>
  </si>
  <si>
    <t>2021-06-18</t>
  </si>
  <si>
    <t>2021-06-21</t>
  </si>
  <si>
    <t>2021-06-22</t>
  </si>
  <si>
    <t>2021-06-23</t>
  </si>
  <si>
    <t>2021-06-24</t>
  </si>
  <si>
    <t>2021-06-25</t>
  </si>
  <si>
    <t>2021-06-28</t>
  </si>
  <si>
    <t>2021-06-29</t>
  </si>
  <si>
    <t>2021-06-30</t>
  </si>
  <si>
    <t>2021-07-01</t>
  </si>
  <si>
    <t>2021-07-02</t>
  </si>
  <si>
    <t>2021-07-05</t>
  </si>
  <si>
    <t>2021-07-06</t>
  </si>
  <si>
    <t>2021-07-07</t>
  </si>
  <si>
    <t>2021-07-08</t>
  </si>
  <si>
    <t>2021-07-09</t>
  </si>
  <si>
    <t>2021-07-12</t>
  </si>
  <si>
    <t>2021-07-13</t>
  </si>
  <si>
    <t>2021-07-14</t>
  </si>
  <si>
    <t>2021-07-15</t>
  </si>
  <si>
    <t>2021-07-16</t>
  </si>
  <si>
    <t>2021-07-19</t>
  </si>
  <si>
    <t>2021-07-20</t>
  </si>
  <si>
    <t>2021-07-21</t>
  </si>
  <si>
    <t>2021-07-22</t>
  </si>
  <si>
    <t>2021-07-23</t>
  </si>
  <si>
    <t>2021-07-26</t>
  </si>
  <si>
    <t>2021-07-27</t>
  </si>
  <si>
    <t>2021-07-28</t>
  </si>
  <si>
    <t>2021-07-29</t>
  </si>
  <si>
    <t>2021-07-30</t>
  </si>
  <si>
    <t>2021-08-02</t>
  </si>
  <si>
    <t>2021-08-03</t>
  </si>
  <si>
    <t>2021-08-04</t>
  </si>
  <si>
    <t>2021-08-05</t>
  </si>
  <si>
    <t>2021-08-06</t>
  </si>
  <si>
    <t>2021-08-09</t>
  </si>
  <si>
    <t>2021-08-10</t>
  </si>
  <si>
    <t>2021-08-11</t>
  </si>
  <si>
    <t>2021-08-12</t>
  </si>
  <si>
    <t>2021-08-13</t>
  </si>
  <si>
    <t>2021-08-16</t>
  </si>
  <si>
    <t>2021-08-17</t>
  </si>
  <si>
    <t>2021-08-18</t>
  </si>
  <si>
    <t>2021-08-19</t>
  </si>
  <si>
    <t>2021-08-20</t>
  </si>
  <si>
    <t>2021-08-23</t>
  </si>
  <si>
    <t>2021-08-24</t>
  </si>
  <si>
    <t>2021-08-25</t>
  </si>
  <si>
    <t>2021-08-26</t>
  </si>
  <si>
    <t>2021-08-27</t>
  </si>
  <si>
    <t>2021-08-30</t>
  </si>
  <si>
    <t>2021-08-31</t>
  </si>
  <si>
    <t>2021-09-01</t>
  </si>
  <si>
    <t>2021-09-02</t>
  </si>
  <si>
    <t>2021-09-03</t>
  </si>
  <si>
    <t>2021-09-06</t>
  </si>
  <si>
    <t>2021-09-08</t>
  </si>
  <si>
    <t>2021-09-09</t>
  </si>
  <si>
    <t>2021-09-10</t>
  </si>
  <si>
    <t>2021-09-13</t>
  </si>
  <si>
    <t>2021-09-14</t>
  </si>
  <si>
    <t>2021-09-15</t>
  </si>
  <si>
    <t>2021-09-16</t>
  </si>
  <si>
    <t>2021-09-17</t>
  </si>
  <si>
    <t>2021-09-20</t>
  </si>
  <si>
    <t>2021-09-21</t>
  </si>
  <si>
    <t>2021-09-22</t>
  </si>
  <si>
    <t>2021-09-23</t>
  </si>
  <si>
    <t>2021-09-24</t>
  </si>
  <si>
    <t>2021-09-27</t>
  </si>
  <si>
    <t>2021-09-28</t>
  </si>
  <si>
    <t>2021-09-29</t>
  </si>
  <si>
    <t>2021-09-30</t>
  </si>
  <si>
    <t>2021-10-01</t>
  </si>
  <si>
    <t>2021-10-04</t>
  </si>
  <si>
    <t>2021-10-05</t>
  </si>
  <si>
    <t>2021-10-06</t>
  </si>
  <si>
    <t>2021-10-07</t>
  </si>
  <si>
    <t>2021-10-08</t>
  </si>
  <si>
    <t>2021-10-11</t>
  </si>
  <si>
    <t>2021-10-13</t>
  </si>
  <si>
    <t>2021-10-14</t>
  </si>
  <si>
    <t>2021-10-15</t>
  </si>
  <si>
    <t>2021-10-18</t>
  </si>
  <si>
    <t>2021-10-19</t>
  </si>
  <si>
    <t>2021-10-20</t>
  </si>
  <si>
    <t>2021-10-21</t>
  </si>
  <si>
    <t>2021-10-22</t>
  </si>
  <si>
    <t>2021-10-25</t>
  </si>
  <si>
    <t>2021-10-26</t>
  </si>
  <si>
    <t>2021-10-27</t>
  </si>
  <si>
    <t>2021-10-28</t>
  </si>
  <si>
    <t>2021-10-29</t>
  </si>
  <si>
    <t>2021-11-01</t>
  </si>
  <si>
    <t>2021-11-03</t>
  </si>
  <si>
    <t>2021-11-04</t>
  </si>
  <si>
    <t>2021-11-05</t>
  </si>
  <si>
    <t>2021-11-08</t>
  </si>
  <si>
    <t>2021-11-09</t>
  </si>
  <si>
    <t>2021-11-10</t>
  </si>
  <si>
    <t>2021-11-11</t>
  </si>
  <si>
    <t>2021-11-12</t>
  </si>
  <si>
    <t>2021-11-16</t>
  </si>
  <si>
    <t>2021-11-17</t>
  </si>
  <si>
    <t>2021-11-18</t>
  </si>
  <si>
    <t>2021-11-19</t>
  </si>
  <si>
    <t>2021-11-22</t>
  </si>
  <si>
    <t>2021-11-23</t>
  </si>
  <si>
    <t>2021-11-24</t>
  </si>
  <si>
    <t>2021-11-25</t>
  </si>
  <si>
    <t>2021-11-26</t>
  </si>
  <si>
    <t>2021-11-29</t>
  </si>
  <si>
    <t>2021-11-30</t>
  </si>
  <si>
    <t>2021-12-01</t>
  </si>
  <si>
    <t>2021-12-02</t>
  </si>
  <si>
    <t>2021-12-03</t>
  </si>
  <si>
    <t>2021-12-06</t>
  </si>
  <si>
    <t>AQUISIÇÃO DE VEÍCULOS - PRÉ-FIXADO</t>
  </si>
  <si>
    <t>ITAÚ UNIBANCO S.A.</t>
  </si>
  <si>
    <t>FINANCIAMENTO IMOBILIÁRIO COM TAXAS DE MERCADO - PÓS-FIXADO REFERENCIADO EM TR</t>
  </si>
  <si>
    <t>Metadados</t>
  </si>
  <si>
    <t>Segmento</t>
  </si>
  <si>
    <t>PESSOA FÍSICA</t>
  </si>
  <si>
    <t>CRÉDITO PESSOAL CONSIGNADO PÚBLICO - PRÉ-FIXADO</t>
  </si>
  <si>
    <t>Posição</t>
  </si>
  <si>
    <t>Instituição Financeira</t>
  </si>
  <si>
    <t>InicioPeriodo</t>
  </si>
  <si>
    <t>TaxaJurosAoAno</t>
  </si>
  <si>
    <t>Commercial Credit Interest Rates</t>
  </si>
  <si>
    <t>Dia da Semana</t>
  </si>
  <si>
    <t>Feriado</t>
  </si>
  <si>
    <t>segunda-feira</t>
  </si>
  <si>
    <t>Confraternização Universal</t>
  </si>
  <si>
    <t>Carnaval</t>
  </si>
  <si>
    <t>terça-feira</t>
  </si>
  <si>
    <t>sexta-feira</t>
  </si>
  <si>
    <t>Paixão de Cristo</t>
  </si>
  <si>
    <t>sábado</t>
  </si>
  <si>
    <t>Tiradentes</t>
  </si>
  <si>
    <t>Dia do Trabalho</t>
  </si>
  <si>
    <t>quinta-feira</t>
  </si>
  <si>
    <t>Corpus Christi</t>
  </si>
  <si>
    <t>Independência do Brasil</t>
  </si>
  <si>
    <r>
      <t>Nossa Sr.</t>
    </r>
    <r>
      <rPr>
        <vertAlign val="superscript"/>
        <sz val="9"/>
        <color indexed="8"/>
        <rFont val="Arial"/>
        <family val="2"/>
      </rPr>
      <t>a</t>
    </r>
    <r>
      <rPr>
        <sz val="9"/>
        <color indexed="8"/>
        <rFont val="Arial"/>
        <family val="2"/>
      </rPr>
      <t xml:space="preserve"> Aparecida - Padroeira do Brasil</t>
    </r>
  </si>
  <si>
    <t>Finados</t>
  </si>
  <si>
    <t>Proclamação da República</t>
  </si>
  <si>
    <t>Natal</t>
  </si>
  <si>
    <t>domingo</t>
  </si>
  <si>
    <t>quarta-feira</t>
  </si>
  <si>
    <t>Fonte: ANBIMA</t>
  </si>
  <si>
    <t>1) De acordo com a Resolução n º 2.516, a partir do ano 2000, a quinta-feira da Semana Santa foi considerada dia útil. Esta mesma Resolução dispensou as instituições financeiras do cumprimento do horário mínimo de funcionamento, desde que informem ao público.</t>
  </si>
  <si>
    <t>2) A lei nº 9.504/97 estabeleceu que, em ano eleitoral, o 1º turno das eleições será realizado no primeiro domingo de outubro; e o 2º turno, quando houver, no último domingo do referido mês.</t>
  </si>
  <si>
    <t>3) De acordo com a Resolução nº 2.596/99, no último dia útil do ano não haverá atendimento ao público.</t>
  </si>
  <si>
    <t>4) Esta listagem não inclui os feriados municipais, eleições e o último dia do ano. O critério adotado foi o de indicar os feriados em que não há sensibilização das Reservas Bancárias.</t>
  </si>
  <si>
    <t>Erro t-2</t>
  </si>
  <si>
    <t>Erro t-1</t>
  </si>
  <si>
    <t>Erro t</t>
  </si>
  <si>
    <t>Erro t+1</t>
  </si>
  <si>
    <t>Previsão t-2</t>
  </si>
  <si>
    <t>Previsão t-1</t>
  </si>
  <si>
    <t>Previsão t</t>
  </si>
  <si>
    <t>Previsão t+1</t>
  </si>
  <si>
    <t>Pós-Covid</t>
  </si>
  <si>
    <t>Pós-Choque</t>
  </si>
  <si>
    <t>Pós-Covid (-)</t>
  </si>
  <si>
    <t>More instructions on how to implement these resources on the user's spreadsheet.</t>
  </si>
  <si>
    <t>First release.</t>
  </si>
  <si>
    <t>New function to get data from the SGS system: xlFOCUS_SGS.</t>
  </si>
  <si>
    <t>New function to get data from the SCR system: xlFOCUS_SCR_TaxasDeJurosDiario.</t>
  </si>
  <si>
    <t>New function to read JSON script returned from the SGS system: xlFOCUS_SGS_ReadJSON.</t>
  </si>
  <si>
    <t>v 0.3 (2021-12-26)</t>
  </si>
  <si>
    <t>https://olinda.bcb.gov.br/olinda/servico/taxaJuros/versao/v2/aplicacao#!/recursos</t>
  </si>
  <si>
    <t>* Beware that the BCB's  webservices are case sensitive, that is, "IPCA" works but "ipca" does not.</t>
  </si>
  <si>
    <t>FOCUS</t>
  </si>
  <si>
    <t>SCR</t>
  </si>
  <si>
    <t>SPI</t>
  </si>
  <si>
    <t>SGS</t>
  </si>
  <si>
    <t>https://olinda.bcb.gov.br/olinda/servico/SPI/versao/v1/aplicacao#!/recursos</t>
  </si>
  <si>
    <t>https://dadosabertos.bcb.gov.br/dataset/20542-saldo-da-carteira-de-credito-com-recursos-livres---total/resource/6e2b0c97-afab-4790-b8aa-b9542923cf88</t>
  </si>
  <si>
    <t>* There are some known limitations with functions that directly query the webservices. Basically, avoid returning much data in a single function call and avoid many function calls:</t>
  </si>
  <si>
    <t>Fixed the encoding of the text read by the function xlFOCUS_ReadJSONFile. Now, it is correctly set to UTF-8.</t>
  </si>
  <si>
    <t>v 0.2 (2021-12-19)</t>
  </si>
  <si>
    <t>C:\Users\Eduardo\Google Drive\Meus Projetos\xlFOCUS\Example 1.json</t>
  </si>
  <si>
    <t>C:\Users\Eduardo\Google Drive\Meus Projetos\xlFOCUS\Example - Interest Rates by Institution.json</t>
  </si>
  <si>
    <t>C:\Users\Eduardo\Google Drive\Meus Projetos\xlFOCUS\Taxas de juros - Diário.json</t>
  </si>
  <si>
    <t>v 0.1 (2021-12-16)</t>
  </si>
  <si>
    <t>Major change: instead of using Excel's WEBSERVICE function to fetch data, xlFOCUS now uses the object MSXML2.serverXMLHTTP, which allows for larger query results to be fetched!</t>
  </si>
  <si>
    <t>* To read large JSON files generated by the webservices (tested with FOCUS, SCR and SPI), one can download them to a folder and then read them with the function xlFOCUS_ReadJSONFile.</t>
  </si>
  <si>
    <t>* These functions rely on fetching data from online webservices, which can be unavailable at times. So, when designing your spreadsheet, consider copying function results and pasting them as values.</t>
  </si>
  <si>
    <t>anoMes</t>
  </si>
  <si>
    <t>CAIXA ECONOMICA FEDERAL</t>
  </si>
  <si>
    <t>FINANCIAMENTO IMOBILIÁRIO COM TAXAS REGULADAS - PRÉ-FIXADO</t>
  </si>
  <si>
    <t>Real Estate Credit Interest Rates</t>
  </si>
  <si>
    <t>Real Estate Indicators</t>
  </si>
  <si>
    <t>imoveis_area_total_rj</t>
  </si>
  <si>
    <t>New function to get data from the SCR system: xlFOCUS_SCR_TaxasDeJurosMensal.</t>
  </si>
  <si>
    <t>New function to get JSON data from the MercadoImobiliario webservice of the BCB: xlFOCUS_MercadoImobiliario.</t>
  </si>
  <si>
    <t>Function xlFOCUS_SGS_ReadJSON now returns N/A for missing observations.</t>
  </si>
  <si>
    <t>New function to get time series data from the ipeadata webservice: xlFOCUS_ipeadata.</t>
  </si>
  <si>
    <t>New function to get JSON data from the ipeadata webservice: xlFOCUS_ipeadata_ReadJSON.</t>
  </si>
  <si>
    <t>All references to non-standard libraries in the VBA code are now late-binding, so there is no need to make reference to them in the user's spreadsheets.</t>
  </si>
  <si>
    <t>3) Drag the VBA modules "xlFOCUS" and "xlFOCUS_JsonConverter" from this spreadsheet to your spreadsheet. Now, close the VBA Editor. You're ready to use xlFOCUS!</t>
  </si>
  <si>
    <t>* 10,000 is the maximum number of observations returned by each function call to BCB's webservices</t>
  </si>
  <si>
    <t>* In general, the limitations of each webservice also apply to the queries demanded by this tool's functions. We recommend you to read their documentation.</t>
  </si>
  <si>
    <t>Alternatively, copy to your spreadsheet the VBA modules named xlFOCUS and xlFOCUS_JsonConverter, both embedded in this spreadsheet.</t>
  </si>
  <si>
    <t>The JsonConverter module is part of the "VBA-JSON" project developed by Tim Hall and available at the website below. The xlFOCUS_JsonConverter module is a slight modification of v2.3.1. so as to simplify its use in this tool.</t>
  </si>
  <si>
    <t>If you are updating from a version older than v. 0.4, you need to also replace the module "JsonConverter" by the current version of the module "xlFOCUS_JsonConverter" also embedded in this spreadsheet.</t>
  </si>
  <si>
    <t>If you are updating from a version as old as at least v. 0.4, you need to also replace the module "xlFOCUS_JsonConverter" by its current version also embedded in this spreadsheet.</t>
  </si>
  <si>
    <t>* There should be a function for each resource covered by this tool. One can find the metadata on their webpages:</t>
  </si>
  <si>
    <t>http://www.ipeadata.gov.br/api/</t>
  </si>
  <si>
    <t>ipeadata</t>
  </si>
  <si>
    <t>MercadoImobiliario</t>
  </si>
  <si>
    <t>https://dadosabertos.bcb.gov.br/dataset/informacoes-do-mercado-imobiliario</t>
  </si>
  <si>
    <t>New function to get the metadata from a time series from the ipeadata webservice: xlFOCUS_ipeadata_Metadados.</t>
  </si>
  <si>
    <t>* Below, one finds a quick summary of SOME of the functions and their available fields. NOT all fields are obligatory, i.e if DataFInal is left empty, query returns all available values up to the present date</t>
  </si>
  <si>
    <t>This spreadsheet exposes examples of how to fetch data from economic data webservices, including FOCUS (market expectations), SGS and ipeadata (economic indicators), SCR (credit data), SPI (payments system), and more.</t>
  </si>
  <si>
    <t>New function to read JSON files: xlFOCUS_ReadJSONFile.</t>
  </si>
  <si>
    <t>New function to fetch data from any webservice: xlFOCUS_WEBSERVICE. It does not suffer from the same data amount limitations imposed by Excel's function WEBSERVICE, but it is still limited by Excel's maximum string size.</t>
  </si>
  <si>
    <t>New function to read a JSON script from BCB's webservice: xlFOCUS_ReadJSONFromWEBSERVICE. It does not suffer from neither the same data amount limitations imposed by Excel's function WEBSERVICE nor from Excel's maximum string size.</t>
  </si>
  <si>
    <t>v 0.4 (2022-01-01)</t>
  </si>
  <si>
    <t>xlFOCUS (v. 0.41)</t>
  </si>
  <si>
    <t>v 0.41 (2022-01-01)</t>
  </si>
  <si>
    <t>In the presence of old dates (&lt; 1900-01-01), ipeadata functions return dates formatted as text 'yyyy-MM-dd'.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</si>
</sst>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16]mmm\-yy;@"/>
    <numFmt numFmtId="165" formatCode="yyyy"/>
  </numFmts>
  <fonts count="16" x14ac:knownFonts="1">
    <font>
      <sz val="11"/>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u/>
      <sz val="10"/>
      <color theme="10"/>
      <name val="Arial"/>
      <family val="2"/>
    </font>
    <font>
      <b/>
      <sz val="10"/>
      <color theme="1"/>
      <name val="Arial"/>
      <family val="2"/>
    </font>
    <font>
      <b/>
      <sz val="12"/>
      <color theme="1"/>
      <name val="Arial"/>
      <family val="2"/>
    </font>
    <font>
      <sz val="10"/>
      <color rgb="FF3F3F76"/>
      <name val="Arial"/>
      <family val="2"/>
    </font>
    <font>
      <b/>
      <sz val="11"/>
      <color theme="1"/>
      <name val="Arial"/>
      <family val="2"/>
    </font>
    <font>
      <b/>
      <sz val="10"/>
      <name val="Arial"/>
      <family val="2"/>
    </font>
    <font>
      <sz val="8"/>
      <name val="Calibri"/>
      <family val="2"/>
      <scheme val="minor"/>
    </font>
    <font>
      <sz val="10"/>
      <name val="Arial"/>
      <family val="2"/>
    </font>
    <font>
      <b/>
      <sz val="9"/>
      <color indexed="8"/>
      <name val="Arial"/>
      <family val="2"/>
    </font>
    <font>
      <sz val="9"/>
      <color indexed="8"/>
      <name val="Arial"/>
      <family val="2"/>
    </font>
    <font>
      <vertAlign val="superscript"/>
      <sz val="9"/>
      <color indexed="8"/>
      <name val="Arial"/>
      <family val="2"/>
    </font>
  </fonts>
  <fills count="10">
    <fill>
      <patternFill patternType="none"/>
    </fill>
    <fill>
      <patternFill patternType="gray125"/>
    </fill>
    <fill>
      <patternFill patternType="solid">
        <fgColor rgb="FFFFCC99"/>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indexed="22"/>
        <bgColor indexed="64"/>
      </patternFill>
    </fill>
    <fill>
      <patternFill patternType="solid">
        <fgColor indexed="47"/>
        <bgColor indexed="64"/>
      </patternFill>
    </fill>
    <fill>
      <patternFill patternType="solid">
        <fgColor indexed="9"/>
        <bgColor indexed="64"/>
      </patternFill>
    </fill>
  </fills>
  <borders count="14">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rgb="FF7F7F7F"/>
      </left>
      <right/>
      <top/>
      <bottom/>
      <diagonal/>
    </border>
    <border>
      <left style="thin">
        <color indexed="64"/>
      </left>
      <right/>
      <top/>
      <bottom style="thin">
        <color indexed="64"/>
      </bottom>
      <diagonal/>
    </border>
    <border>
      <left style="medium">
        <color indexed="23"/>
      </left>
      <right style="medium">
        <color indexed="23"/>
      </right>
      <top style="medium">
        <color indexed="23"/>
      </top>
      <bottom style="medium">
        <color indexed="23"/>
      </bottom>
      <diagonal/>
    </border>
    <border>
      <left/>
      <right style="medium">
        <color indexed="23"/>
      </right>
      <top style="medium">
        <color indexed="23"/>
      </top>
      <bottom style="medium">
        <color indexed="23"/>
      </bottom>
      <diagonal/>
    </border>
    <border>
      <left/>
      <right style="medium">
        <color indexed="55"/>
      </right>
      <top style="medium">
        <color indexed="23"/>
      </top>
      <bottom style="medium">
        <color indexed="23"/>
      </bottom>
      <diagonal/>
    </border>
    <border>
      <left style="medium">
        <color indexed="23"/>
      </left>
      <right style="medium">
        <color indexed="23"/>
      </right>
      <top/>
      <bottom style="medium">
        <color indexed="23"/>
      </bottom>
      <diagonal/>
    </border>
    <border>
      <left/>
      <right style="medium">
        <color indexed="23"/>
      </right>
      <top/>
      <bottom style="medium">
        <color indexed="23"/>
      </bottom>
      <diagonal/>
    </border>
    <border>
      <left/>
      <right style="medium">
        <color indexed="55"/>
      </right>
      <top/>
      <bottom style="medium">
        <color indexed="23"/>
      </bottom>
      <diagonal/>
    </border>
  </borders>
  <cellStyleXfs count="6">
    <xf numFmtId="0" fontId="0" fillId="0" borderId="0"/>
    <xf numFmtId="0" fontId="1" fillId="0" borderId="0" applyNumberFormat="0" applyFill="0" applyBorder="0" applyAlignment="0" applyProtection="0"/>
    <xf numFmtId="0" fontId="2" fillId="0" borderId="0"/>
    <xf numFmtId="0" fontId="5" fillId="0" borderId="0" applyNumberFormat="0" applyFill="0" applyBorder="0" applyAlignment="0" applyProtection="0"/>
    <xf numFmtId="0" fontId="8" fillId="2" borderId="1" applyNumberFormat="0" applyAlignment="0" applyProtection="0"/>
    <xf numFmtId="0" fontId="12" fillId="0" borderId="0"/>
  </cellStyleXfs>
  <cellXfs count="87">
    <xf numFmtId="0" fontId="0" fillId="0" borderId="0" xfId="0"/>
    <xf numFmtId="0" fontId="2" fillId="0" borderId="0" xfId="2"/>
    <xf numFmtId="0" fontId="4" fillId="0" borderId="0" xfId="2" applyFont="1"/>
    <xf numFmtId="0" fontId="6" fillId="0" borderId="0" xfId="2" applyFont="1"/>
    <xf numFmtId="0" fontId="2" fillId="0" borderId="2" xfId="2" applyBorder="1"/>
    <xf numFmtId="0" fontId="2" fillId="0" borderId="3" xfId="2" applyBorder="1"/>
    <xf numFmtId="0" fontId="2" fillId="0" borderId="4" xfId="2" applyBorder="1"/>
    <xf numFmtId="0" fontId="6" fillId="3" borderId="0" xfId="2" applyFont="1" applyFill="1"/>
    <xf numFmtId="0" fontId="2" fillId="3" borderId="0" xfId="2" applyFill="1"/>
    <xf numFmtId="0" fontId="7" fillId="0" borderId="0" xfId="2" applyFont="1"/>
    <xf numFmtId="164" fontId="2" fillId="0" borderId="0" xfId="2" applyNumberFormat="1"/>
    <xf numFmtId="2" fontId="2" fillId="0" borderId="0" xfId="2" applyNumberFormat="1"/>
    <xf numFmtId="164" fontId="6" fillId="0" borderId="0" xfId="2" applyNumberFormat="1" applyFont="1"/>
    <xf numFmtId="165" fontId="6" fillId="0" borderId="0" xfId="2" applyNumberFormat="1" applyFont="1"/>
    <xf numFmtId="14" fontId="8" fillId="2" borderId="1" xfId="4" applyNumberFormat="1"/>
    <xf numFmtId="0" fontId="2" fillId="0" borderId="5" xfId="2" applyBorder="1"/>
    <xf numFmtId="2" fontId="2" fillId="0" borderId="5" xfId="2" applyNumberFormat="1" applyBorder="1"/>
    <xf numFmtId="14" fontId="2" fillId="0" borderId="0" xfId="2" applyNumberFormat="1"/>
    <xf numFmtId="0" fontId="8" fillId="2" borderId="1" xfId="4"/>
    <xf numFmtId="0" fontId="5" fillId="0" borderId="0" xfId="3"/>
    <xf numFmtId="0" fontId="1" fillId="0" borderId="0" xfId="1"/>
    <xf numFmtId="165" fontId="6" fillId="0" borderId="4" xfId="2" applyNumberFormat="1" applyFont="1" applyBorder="1"/>
    <xf numFmtId="2" fontId="2" fillId="0" borderId="7" xfId="2" applyNumberFormat="1" applyBorder="1"/>
    <xf numFmtId="0" fontId="2" fillId="0" borderId="0" xfId="2" applyBorder="1"/>
    <xf numFmtId="0" fontId="6" fillId="0" borderId="5" xfId="2" applyFont="1" applyBorder="1"/>
    <xf numFmtId="2" fontId="6" fillId="0" borderId="0" xfId="2" applyNumberFormat="1" applyFont="1"/>
    <xf numFmtId="164" fontId="2" fillId="4" borderId="0" xfId="2" applyNumberFormat="1" applyFill="1"/>
    <xf numFmtId="2" fontId="2" fillId="4" borderId="0" xfId="2" applyNumberFormat="1" applyFill="1"/>
    <xf numFmtId="2" fontId="2" fillId="4" borderId="0" xfId="2" applyNumberFormat="1" applyFill="1" applyAlignment="1">
      <alignment horizontal="right"/>
    </xf>
    <xf numFmtId="1" fontId="2" fillId="4" borderId="0" xfId="2" applyNumberFormat="1" applyFill="1" applyAlignment="1">
      <alignment horizontal="right"/>
    </xf>
    <xf numFmtId="2" fontId="2" fillId="4" borderId="4" xfId="2" applyNumberFormat="1" applyFill="1" applyBorder="1" applyAlignment="1">
      <alignment horizontal="right"/>
    </xf>
    <xf numFmtId="164" fontId="2" fillId="5" borderId="0" xfId="2" applyNumberFormat="1" applyFill="1"/>
    <xf numFmtId="2" fontId="2" fillId="5" borderId="0" xfId="2" applyNumberFormat="1" applyFill="1"/>
    <xf numFmtId="2" fontId="2" fillId="5" borderId="0" xfId="2" applyNumberFormat="1" applyFill="1" applyAlignment="1">
      <alignment horizontal="right"/>
    </xf>
    <xf numFmtId="1" fontId="2" fillId="5" borderId="0" xfId="2" applyNumberFormat="1" applyFill="1" applyAlignment="1">
      <alignment horizontal="right"/>
    </xf>
    <xf numFmtId="2" fontId="2" fillId="5" borderId="4" xfId="2" applyNumberFormat="1" applyFill="1" applyBorder="1" applyAlignment="1">
      <alignment horizontal="right"/>
    </xf>
    <xf numFmtId="164" fontId="2" fillId="5" borderId="3" xfId="2" applyNumberFormat="1" applyFill="1" applyBorder="1"/>
    <xf numFmtId="2" fontId="2" fillId="5" borderId="3" xfId="2" applyNumberFormat="1" applyFill="1" applyBorder="1"/>
    <xf numFmtId="2" fontId="2" fillId="5" borderId="3" xfId="2" applyNumberFormat="1" applyFill="1" applyBorder="1" applyAlignment="1">
      <alignment horizontal="right"/>
    </xf>
    <xf numFmtId="0" fontId="2" fillId="5" borderId="3" xfId="2" applyFill="1" applyBorder="1" applyAlignment="1">
      <alignment horizontal="right"/>
    </xf>
    <xf numFmtId="2" fontId="2" fillId="5" borderId="2" xfId="2" applyNumberFormat="1" applyFill="1" applyBorder="1" applyAlignment="1">
      <alignment horizontal="right"/>
    </xf>
    <xf numFmtId="164" fontId="2" fillId="5" borderId="5" xfId="2" applyNumberFormat="1" applyFill="1" applyBorder="1"/>
    <xf numFmtId="2" fontId="2" fillId="5" borderId="5" xfId="2" applyNumberFormat="1" applyFill="1" applyBorder="1" applyAlignment="1">
      <alignment horizontal="right"/>
    </xf>
    <xf numFmtId="1" fontId="2" fillId="5" borderId="5" xfId="2" applyNumberFormat="1" applyFill="1" applyBorder="1" applyAlignment="1">
      <alignment horizontal="right"/>
    </xf>
    <xf numFmtId="2" fontId="2" fillId="5" borderId="7" xfId="2" applyNumberFormat="1" applyFill="1" applyBorder="1" applyAlignment="1">
      <alignment horizontal="right"/>
    </xf>
    <xf numFmtId="0" fontId="2" fillId="4" borderId="0" xfId="2" applyFill="1"/>
    <xf numFmtId="0" fontId="2" fillId="5" borderId="0" xfId="2" applyFill="1"/>
    <xf numFmtId="0" fontId="6" fillId="0" borderId="0" xfId="2" applyFont="1" applyAlignment="1">
      <alignment horizontal="right"/>
    </xf>
    <xf numFmtId="0" fontId="6" fillId="0" borderId="4" xfId="2" applyFont="1" applyBorder="1" applyAlignment="1">
      <alignment horizontal="right"/>
    </xf>
    <xf numFmtId="0" fontId="2" fillId="0" borderId="5" xfId="2" applyBorder="1" applyAlignment="1">
      <alignment horizontal="center"/>
    </xf>
    <xf numFmtId="0" fontId="2" fillId="0" borderId="0" xfId="2" applyAlignment="1">
      <alignment horizontal="center"/>
    </xf>
    <xf numFmtId="0" fontId="2" fillId="0" borderId="7" xfId="2" applyBorder="1"/>
    <xf numFmtId="0" fontId="9" fillId="0" borderId="0" xfId="2" applyFont="1"/>
    <xf numFmtId="0" fontId="6" fillId="0" borderId="0" xfId="2" applyFont="1" applyAlignment="1">
      <alignment horizontal="center"/>
    </xf>
    <xf numFmtId="0" fontId="6" fillId="0" borderId="5" xfId="2" applyFont="1" applyBorder="1" applyAlignment="1">
      <alignment horizontal="center"/>
    </xf>
    <xf numFmtId="0" fontId="10" fillId="0" borderId="0" xfId="2" applyFont="1" applyAlignment="1">
      <alignment horizontal="center"/>
    </xf>
    <xf numFmtId="0" fontId="3" fillId="6" borderId="0" xfId="2" applyFont="1" applyFill="1"/>
    <xf numFmtId="0" fontId="2" fillId="6" borderId="0" xfId="2" applyFill="1"/>
    <xf numFmtId="0" fontId="2" fillId="0" borderId="0" xfId="2" quotePrefix="1"/>
    <xf numFmtId="49" fontId="8" fillId="2" borderId="1" xfId="4" applyNumberFormat="1" applyAlignment="1">
      <alignment horizontal="left"/>
    </xf>
    <xf numFmtId="0" fontId="0" fillId="0" borderId="0" xfId="0" pivotButton="1"/>
    <xf numFmtId="0" fontId="0" fillId="0" borderId="0" xfId="0" applyAlignment="1">
      <alignment horizontal="left"/>
    </xf>
    <xf numFmtId="0" fontId="0" fillId="0" borderId="0" xfId="0" applyNumberFormat="1"/>
    <xf numFmtId="0" fontId="2" fillId="0" borderId="0" xfId="2" applyAlignment="1">
      <alignment wrapText="1"/>
    </xf>
    <xf numFmtId="0" fontId="13" fillId="7" borderId="8" xfId="5" applyFont="1" applyFill="1" applyBorder="1" applyAlignment="1">
      <alignment horizontal="left" wrapText="1"/>
    </xf>
    <xf numFmtId="0" fontId="13" fillId="7" borderId="9" xfId="5" applyFont="1" applyFill="1" applyBorder="1" applyAlignment="1">
      <alignment horizontal="left" wrapText="1"/>
    </xf>
    <xf numFmtId="0" fontId="13" fillId="7" borderId="10" xfId="5" applyFont="1" applyFill="1" applyBorder="1" applyAlignment="1">
      <alignment horizontal="left" wrapText="1"/>
    </xf>
    <xf numFmtId="0" fontId="12" fillId="0" borderId="0" xfId="5"/>
    <xf numFmtId="14" fontId="14" fillId="8" borderId="11" xfId="5" applyNumberFormat="1" applyFont="1" applyFill="1" applyBorder="1" applyAlignment="1">
      <alignment horizontal="left" wrapText="1"/>
    </xf>
    <xf numFmtId="0" fontId="14" fillId="8" borderId="12" xfId="5" applyFont="1" applyFill="1" applyBorder="1" applyAlignment="1">
      <alignment horizontal="left" wrapText="1"/>
    </xf>
    <xf numFmtId="0" fontId="14" fillId="8" borderId="13" xfId="5" applyFont="1" applyFill="1" applyBorder="1" applyAlignment="1">
      <alignment horizontal="left" wrapText="1"/>
    </xf>
    <xf numFmtId="14" fontId="14" fillId="9" borderId="8" xfId="5" applyNumberFormat="1" applyFont="1" applyFill="1" applyBorder="1" applyAlignment="1">
      <alignment horizontal="left" wrapText="1"/>
    </xf>
    <xf numFmtId="0" fontId="14" fillId="9" borderId="9" xfId="5" applyFont="1" applyFill="1" applyBorder="1" applyAlignment="1">
      <alignment horizontal="left" wrapText="1"/>
    </xf>
    <xf numFmtId="0" fontId="14" fillId="9" borderId="10" xfId="5" applyFont="1" applyFill="1" applyBorder="1" applyAlignment="1">
      <alignment horizontal="left" wrapText="1"/>
    </xf>
    <xf numFmtId="14" fontId="14" fillId="9" borderId="11" xfId="5" applyNumberFormat="1" applyFont="1" applyFill="1" applyBorder="1" applyAlignment="1">
      <alignment horizontal="left" wrapText="1"/>
    </xf>
    <xf numFmtId="0" fontId="14" fillId="9" borderId="12" xfId="5" applyFont="1" applyFill="1" applyBorder="1" applyAlignment="1">
      <alignment horizontal="left" wrapText="1"/>
    </xf>
    <xf numFmtId="0" fontId="14" fillId="9" borderId="13" xfId="5" applyFont="1" applyFill="1" applyBorder="1" applyAlignment="1">
      <alignment horizontal="left" wrapText="1"/>
    </xf>
    <xf numFmtId="14" fontId="14" fillId="8" borderId="8" xfId="5" applyNumberFormat="1" applyFont="1" applyFill="1" applyBorder="1" applyAlignment="1">
      <alignment horizontal="left" wrapText="1"/>
    </xf>
    <xf numFmtId="0" fontId="14" fillId="8" borderId="9" xfId="5" applyFont="1" applyFill="1" applyBorder="1" applyAlignment="1">
      <alignment horizontal="left" wrapText="1"/>
    </xf>
    <xf numFmtId="0" fontId="14" fillId="8" borderId="10" xfId="5" applyFont="1" applyFill="1" applyBorder="1" applyAlignment="1">
      <alignment horizontal="left" wrapText="1"/>
    </xf>
    <xf numFmtId="0" fontId="13" fillId="0" borderId="0" xfId="5" applyFont="1"/>
    <xf numFmtId="0" fontId="14" fillId="0" borderId="0" xfId="5" applyFont="1" applyAlignment="1">
      <alignment horizontal="left"/>
    </xf>
    <xf numFmtId="0" fontId="8" fillId="2" borderId="1" xfId="4" applyAlignment="1">
      <alignment wrapText="1"/>
    </xf>
    <xf numFmtId="0" fontId="4" fillId="0" borderId="0" xfId="2" applyFont="1" applyFill="1"/>
    <xf numFmtId="0" fontId="2" fillId="0" borderId="0" xfId="2" applyFill="1"/>
    <xf numFmtId="0" fontId="8" fillId="2" borderId="6" xfId="4" applyBorder="1" applyAlignment="1">
      <alignment horizontal="left"/>
    </xf>
    <xf numFmtId="0" fontId="8" fillId="2" borderId="0" xfId="4" applyBorder="1" applyAlignment="1">
      <alignment horizontal="left"/>
    </xf>
  </cellXfs>
  <cellStyles count="6">
    <cellStyle name="Entrada 2" xfId="4" xr:uid="{3571552F-01C5-46A9-B6A2-427FD46A3187}"/>
    <cellStyle name="Hiperlink" xfId="1" builtinId="8"/>
    <cellStyle name="Hiperlink 2" xfId="3" xr:uid="{4FE85F15-950E-4C1A-9045-74450B8FACC8}"/>
    <cellStyle name="Normal" xfId="0" builtinId="0"/>
    <cellStyle name="Normal 2" xfId="2" xr:uid="{44EBA60F-36FD-40B9-B1DB-FB01AEDB0EE1}"/>
    <cellStyle name="Normal 3" xfId="5" xr:uid="{0BB86BF2-9AD8-4FF0-8F5B-7284CFFD9BDB}"/>
  </cellStyles>
  <dxfs count="0"/>
  <tableStyles count="1" defaultTableStyle="TableStyleMedium2" defaultPivotStyle="PivotStyleLight16">
    <tableStyle name="Invisible" pivot="0" table="0" count="0" xr9:uid="{6304E80C-FF5A-4CFF-AE49-ED201168DF0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Monthly'!$J$1:$P$1</c:f>
          <c:strCache>
            <c:ptCount val="7"/>
            <c:pt idx="0">
              <c:v>FOCUS forecast for IPCA of Jan/22</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Monthly'!$E$3</c:f>
              <c:strCache>
                <c:ptCount val="1"/>
                <c:pt idx="0">
                  <c:v>Minimo</c:v>
                </c:pt>
              </c:strCache>
            </c:strRef>
          </c:tx>
          <c:spPr>
            <a:ln w="28575" cap="rnd">
              <a:solidFill>
                <a:schemeClr val="accent2"/>
              </a:solidFill>
              <a:round/>
            </a:ln>
            <a:effectLst/>
          </c:spPr>
          <c:marker>
            <c:symbol val="none"/>
          </c:marker>
          <c:cat>
            <c:strRef>
              <c:f>'Exp Monthly'!$D$4:$D$239</c:f>
              <c:strCache>
                <c:ptCount val="1"/>
                <c:pt idx="0">
                  <c:v># Barra de fórmulas aberta</c:v>
                </c:pt>
              </c:strCache>
            </c:strRef>
          </c:cat>
          <c:val>
            <c:numRef>
              <c:f>'Exp Monthly'!$E$4:$E$239</c:f>
              <c:numCache>
                <c:formatCode>General</c:formatCode>
                <c:ptCount val="236"/>
              </c:numCache>
            </c:numRef>
          </c:val>
          <c:smooth val="0"/>
          <c:extLst>
            <c:ext xmlns:c16="http://schemas.microsoft.com/office/drawing/2014/chart" uri="{C3380CC4-5D6E-409C-BE32-E72D297353CC}">
              <c16:uniqueId val="{00000000-7AD6-4F8A-9664-282BF69C6434}"/>
            </c:ext>
          </c:extLst>
        </c:ser>
        <c:ser>
          <c:idx val="2"/>
          <c:order val="1"/>
          <c:tx>
            <c:strRef>
              <c:f>'Exp Monthly'!$F$3</c:f>
              <c:strCache>
                <c:ptCount val="1"/>
                <c:pt idx="0">
                  <c:v>Mediana</c:v>
                </c:pt>
              </c:strCache>
            </c:strRef>
          </c:tx>
          <c:spPr>
            <a:ln w="28575" cap="rnd">
              <a:solidFill>
                <a:schemeClr val="accent3"/>
              </a:solidFill>
              <a:round/>
            </a:ln>
            <a:effectLst/>
          </c:spPr>
          <c:marker>
            <c:symbol val="none"/>
          </c:marker>
          <c:cat>
            <c:strRef>
              <c:f>'Exp Monthly'!$D$4:$D$239</c:f>
              <c:strCache>
                <c:ptCount val="1"/>
                <c:pt idx="0">
                  <c:v># Barra de fórmulas aberta</c:v>
                </c:pt>
              </c:strCache>
            </c:strRef>
          </c:cat>
          <c:val>
            <c:numRef>
              <c:f>'Exp Monthly'!$F$4:$F$239</c:f>
              <c:numCache>
                <c:formatCode>General</c:formatCode>
                <c:ptCount val="236"/>
              </c:numCache>
            </c:numRef>
          </c:val>
          <c:smooth val="0"/>
          <c:extLst>
            <c:ext xmlns:c16="http://schemas.microsoft.com/office/drawing/2014/chart" uri="{C3380CC4-5D6E-409C-BE32-E72D297353CC}">
              <c16:uniqueId val="{00000001-7AD6-4F8A-9664-282BF69C6434}"/>
            </c:ext>
          </c:extLst>
        </c:ser>
        <c:ser>
          <c:idx val="3"/>
          <c:order val="2"/>
          <c:tx>
            <c:strRef>
              <c:f>'Exp Monthly'!$G$3</c:f>
              <c:strCache>
                <c:ptCount val="1"/>
                <c:pt idx="0">
                  <c:v>Maximo</c:v>
                </c:pt>
              </c:strCache>
            </c:strRef>
          </c:tx>
          <c:spPr>
            <a:ln w="28575" cap="rnd">
              <a:solidFill>
                <a:schemeClr val="accent4"/>
              </a:solidFill>
              <a:round/>
            </a:ln>
            <a:effectLst/>
          </c:spPr>
          <c:marker>
            <c:symbol val="none"/>
          </c:marker>
          <c:cat>
            <c:strRef>
              <c:f>'Exp Monthly'!$D$4:$D$239</c:f>
              <c:strCache>
                <c:ptCount val="1"/>
                <c:pt idx="0">
                  <c:v># Barra de fórmulas aberta</c:v>
                </c:pt>
              </c:strCache>
            </c:strRef>
          </c:cat>
          <c:val>
            <c:numRef>
              <c:f>'Exp Monthly'!$G$4:$G$239</c:f>
              <c:numCache>
                <c:formatCode>General</c:formatCode>
                <c:ptCount val="236"/>
              </c:numCache>
            </c:numRef>
          </c:val>
          <c:smooth val="0"/>
          <c:extLst>
            <c:ext xmlns:c16="http://schemas.microsoft.com/office/drawing/2014/chart" uri="{C3380CC4-5D6E-409C-BE32-E72D297353CC}">
              <c16:uniqueId val="{00000002-7AD6-4F8A-9664-282BF69C643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Quarterly'!$J$1:$P$1</c:f>
          <c:strCache>
            <c:ptCount val="7"/>
            <c:pt idx="0">
              <c:v>FOCUS forecast for PIB Total of Q4/2021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Quarterly'!$E$3</c:f>
              <c:strCache>
                <c:ptCount val="1"/>
                <c:pt idx="0">
                  <c:v>Minimo</c:v>
                </c:pt>
              </c:strCache>
            </c:strRef>
          </c:tx>
          <c:spPr>
            <a:ln w="28575" cap="rnd">
              <a:solidFill>
                <a:schemeClr val="accent2"/>
              </a:solidFill>
              <a:round/>
            </a:ln>
            <a:effectLst/>
          </c:spPr>
          <c:marker>
            <c:symbol val="none"/>
          </c:marker>
          <c:cat>
            <c:strRef>
              <c:f>'Exp Quarterly'!$D$4:$D$189</c:f>
              <c:strCache>
                <c:ptCount val="1"/>
                <c:pt idx="0">
                  <c:v># Barra de fórmulas aberta</c:v>
                </c:pt>
              </c:strCache>
            </c:strRef>
          </c:cat>
          <c:val>
            <c:numRef>
              <c:f>'Exp Quarterly'!$E$4:$E$189</c:f>
              <c:numCache>
                <c:formatCode>General</c:formatCode>
                <c:ptCount val="186"/>
              </c:numCache>
            </c:numRef>
          </c:val>
          <c:smooth val="0"/>
          <c:extLst>
            <c:ext xmlns:c16="http://schemas.microsoft.com/office/drawing/2014/chart" uri="{C3380CC4-5D6E-409C-BE32-E72D297353CC}">
              <c16:uniqueId val="{00000000-C1CB-44D3-BA86-81320F0B368B}"/>
            </c:ext>
          </c:extLst>
        </c:ser>
        <c:ser>
          <c:idx val="2"/>
          <c:order val="1"/>
          <c:tx>
            <c:strRef>
              <c:f>'Exp Quarterly'!$F$3</c:f>
              <c:strCache>
                <c:ptCount val="1"/>
                <c:pt idx="0">
                  <c:v>Mediana</c:v>
                </c:pt>
              </c:strCache>
            </c:strRef>
          </c:tx>
          <c:spPr>
            <a:ln w="28575" cap="rnd">
              <a:solidFill>
                <a:schemeClr val="accent3"/>
              </a:solidFill>
              <a:round/>
            </a:ln>
            <a:effectLst/>
          </c:spPr>
          <c:marker>
            <c:symbol val="none"/>
          </c:marker>
          <c:cat>
            <c:strRef>
              <c:f>'Exp Quarterly'!$D$4:$D$189</c:f>
              <c:strCache>
                <c:ptCount val="1"/>
                <c:pt idx="0">
                  <c:v># Barra de fórmulas aberta</c:v>
                </c:pt>
              </c:strCache>
            </c:strRef>
          </c:cat>
          <c:val>
            <c:numRef>
              <c:f>'Exp Quarterly'!$F$4:$F$189</c:f>
              <c:numCache>
                <c:formatCode>General</c:formatCode>
                <c:ptCount val="186"/>
              </c:numCache>
            </c:numRef>
          </c:val>
          <c:smooth val="0"/>
          <c:extLst>
            <c:ext xmlns:c16="http://schemas.microsoft.com/office/drawing/2014/chart" uri="{C3380CC4-5D6E-409C-BE32-E72D297353CC}">
              <c16:uniqueId val="{00000001-C1CB-44D3-BA86-81320F0B368B}"/>
            </c:ext>
          </c:extLst>
        </c:ser>
        <c:ser>
          <c:idx val="3"/>
          <c:order val="2"/>
          <c:tx>
            <c:strRef>
              <c:f>'Exp Quarterly'!$G$3</c:f>
              <c:strCache>
                <c:ptCount val="1"/>
                <c:pt idx="0">
                  <c:v>Maximo</c:v>
                </c:pt>
              </c:strCache>
            </c:strRef>
          </c:tx>
          <c:spPr>
            <a:ln w="28575" cap="rnd">
              <a:solidFill>
                <a:schemeClr val="accent4"/>
              </a:solidFill>
              <a:round/>
            </a:ln>
            <a:effectLst/>
          </c:spPr>
          <c:marker>
            <c:symbol val="none"/>
          </c:marker>
          <c:cat>
            <c:strRef>
              <c:f>'Exp Quarterly'!$D$4:$D$189</c:f>
              <c:strCache>
                <c:ptCount val="1"/>
                <c:pt idx="0">
                  <c:v># Barra de fórmulas aberta</c:v>
                </c:pt>
              </c:strCache>
            </c:strRef>
          </c:cat>
          <c:val>
            <c:numRef>
              <c:f>'Exp Quarterly'!$G$4:$G$189</c:f>
              <c:numCache>
                <c:formatCode>General</c:formatCode>
                <c:ptCount val="186"/>
              </c:numCache>
            </c:numRef>
          </c:val>
          <c:smooth val="0"/>
          <c:extLst>
            <c:ext xmlns:c16="http://schemas.microsoft.com/office/drawing/2014/chart" uri="{C3380CC4-5D6E-409C-BE32-E72D297353CC}">
              <c16:uniqueId val="{00000002-C1CB-44D3-BA86-81320F0B368B}"/>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Annual'!$J$1:$P$1</c:f>
          <c:strCache>
            <c:ptCount val="7"/>
            <c:pt idx="0">
              <c:v>FOCUS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Annual'!$E$3</c:f>
              <c:strCache>
                <c:ptCount val="1"/>
                <c:pt idx="0">
                  <c:v>Minimo</c:v>
                </c:pt>
              </c:strCache>
            </c:strRef>
          </c:tx>
          <c:spPr>
            <a:ln w="28575" cap="rnd">
              <a:solidFill>
                <a:schemeClr val="accent2"/>
              </a:solidFill>
              <a:round/>
            </a:ln>
            <a:effectLst/>
          </c:spPr>
          <c:marker>
            <c:symbol val="none"/>
          </c:marker>
          <c:cat>
            <c:strRef>
              <c:f>'Exp Annual'!$D$4:$D$461</c:f>
              <c:strCache>
                <c:ptCount val="1"/>
                <c:pt idx="0">
                  <c:v># Barra de fórmulas aberta</c:v>
                </c:pt>
              </c:strCache>
            </c:strRef>
          </c:cat>
          <c:val>
            <c:numRef>
              <c:f>'Exp Annual'!$E$4:$E$461</c:f>
              <c:numCache>
                <c:formatCode>General</c:formatCode>
                <c:ptCount val="458"/>
              </c:numCache>
            </c:numRef>
          </c:val>
          <c:smooth val="0"/>
          <c:extLst>
            <c:ext xmlns:c16="http://schemas.microsoft.com/office/drawing/2014/chart" uri="{C3380CC4-5D6E-409C-BE32-E72D297353CC}">
              <c16:uniqueId val="{00000000-85DD-4CDB-B67A-07656B5110EF}"/>
            </c:ext>
          </c:extLst>
        </c:ser>
        <c:ser>
          <c:idx val="2"/>
          <c:order val="1"/>
          <c:tx>
            <c:strRef>
              <c:f>'Exp Annual'!$F$3</c:f>
              <c:strCache>
                <c:ptCount val="1"/>
                <c:pt idx="0">
                  <c:v>Mediana</c:v>
                </c:pt>
              </c:strCache>
            </c:strRef>
          </c:tx>
          <c:spPr>
            <a:ln w="28575" cap="rnd">
              <a:solidFill>
                <a:schemeClr val="accent3"/>
              </a:solidFill>
              <a:round/>
            </a:ln>
            <a:effectLst/>
          </c:spPr>
          <c:marker>
            <c:symbol val="none"/>
          </c:marker>
          <c:cat>
            <c:strRef>
              <c:f>'Exp Annual'!$D$4:$D$461</c:f>
              <c:strCache>
                <c:ptCount val="1"/>
                <c:pt idx="0">
                  <c:v># Barra de fórmulas aberta</c:v>
                </c:pt>
              </c:strCache>
            </c:strRef>
          </c:cat>
          <c:val>
            <c:numRef>
              <c:f>'Exp Annual'!$F$4:$F$461</c:f>
              <c:numCache>
                <c:formatCode>General</c:formatCode>
                <c:ptCount val="458"/>
              </c:numCache>
            </c:numRef>
          </c:val>
          <c:smooth val="0"/>
          <c:extLst>
            <c:ext xmlns:c16="http://schemas.microsoft.com/office/drawing/2014/chart" uri="{C3380CC4-5D6E-409C-BE32-E72D297353CC}">
              <c16:uniqueId val="{00000001-85DD-4CDB-B67A-07656B5110EF}"/>
            </c:ext>
          </c:extLst>
        </c:ser>
        <c:ser>
          <c:idx val="3"/>
          <c:order val="2"/>
          <c:tx>
            <c:strRef>
              <c:f>'Exp Annual'!$G$3</c:f>
              <c:strCache>
                <c:ptCount val="1"/>
                <c:pt idx="0">
                  <c:v>Maximo</c:v>
                </c:pt>
              </c:strCache>
            </c:strRef>
          </c:tx>
          <c:spPr>
            <a:ln w="28575" cap="rnd">
              <a:solidFill>
                <a:schemeClr val="accent4"/>
              </a:solidFill>
              <a:round/>
            </a:ln>
            <a:effectLst/>
          </c:spPr>
          <c:marker>
            <c:symbol val="none"/>
          </c:marker>
          <c:cat>
            <c:strRef>
              <c:f>'Exp Annual'!$D$4:$D$461</c:f>
              <c:strCache>
                <c:ptCount val="1"/>
                <c:pt idx="0">
                  <c:v># Barra de fórmulas aberta</c:v>
                </c:pt>
              </c:strCache>
            </c:strRef>
          </c:cat>
          <c:val>
            <c:numRef>
              <c:f>'Exp Annual'!$G$4:$G$461</c:f>
              <c:numCache>
                <c:formatCode>General</c:formatCode>
                <c:ptCount val="458"/>
              </c:numCache>
            </c:numRef>
          </c:val>
          <c:smooth val="0"/>
          <c:extLst>
            <c:ext xmlns:c16="http://schemas.microsoft.com/office/drawing/2014/chart" uri="{C3380CC4-5D6E-409C-BE32-E72D297353CC}">
              <c16:uniqueId val="{00000002-85DD-4CDB-B67A-07656B5110EF}"/>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12 Months'!$J$1:$P$1</c:f>
          <c:strCache>
            <c:ptCount val="7"/>
            <c:pt idx="0">
              <c:v>FOCUS forecast for IGP-DI 12 months ahead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'Exp 12 Months'!$E$3</c:f>
              <c:strCache>
                <c:ptCount val="1"/>
                <c:pt idx="0">
                  <c:v>Minimo</c:v>
                </c:pt>
              </c:strCache>
            </c:strRef>
          </c:tx>
          <c:spPr>
            <a:ln w="28575" cap="rnd">
              <a:solidFill>
                <a:schemeClr val="accent2"/>
              </a:solidFill>
              <a:round/>
            </a:ln>
            <a:effectLst/>
          </c:spPr>
          <c:marker>
            <c:symbol val="none"/>
          </c:marker>
          <c:cat>
            <c:strRef>
              <c:f>'Exp 12 Months'!$D$4:$D$189</c:f>
              <c:strCache>
                <c:ptCount val="1"/>
                <c:pt idx="0">
                  <c:v># Barra de fórmulas aberta</c:v>
                </c:pt>
              </c:strCache>
            </c:strRef>
          </c:cat>
          <c:val>
            <c:numRef>
              <c:f>'Exp 12 Months'!$E$4:$E$189</c:f>
              <c:numCache>
                <c:formatCode>General</c:formatCode>
                <c:ptCount val="186"/>
              </c:numCache>
            </c:numRef>
          </c:val>
          <c:smooth val="0"/>
          <c:extLst>
            <c:ext xmlns:c16="http://schemas.microsoft.com/office/drawing/2014/chart" uri="{C3380CC4-5D6E-409C-BE32-E72D297353CC}">
              <c16:uniqueId val="{00000000-F997-4A74-A1EC-7FDE743632F3}"/>
            </c:ext>
          </c:extLst>
        </c:ser>
        <c:ser>
          <c:idx val="2"/>
          <c:order val="1"/>
          <c:tx>
            <c:strRef>
              <c:f>'Exp 12 Months'!$F$3</c:f>
              <c:strCache>
                <c:ptCount val="1"/>
                <c:pt idx="0">
                  <c:v>Mediana</c:v>
                </c:pt>
              </c:strCache>
            </c:strRef>
          </c:tx>
          <c:spPr>
            <a:ln w="28575" cap="rnd">
              <a:solidFill>
                <a:schemeClr val="accent3"/>
              </a:solidFill>
              <a:round/>
            </a:ln>
            <a:effectLst/>
          </c:spPr>
          <c:marker>
            <c:symbol val="none"/>
          </c:marker>
          <c:cat>
            <c:strRef>
              <c:f>'Exp 12 Months'!$D$4:$D$189</c:f>
              <c:strCache>
                <c:ptCount val="1"/>
                <c:pt idx="0">
                  <c:v># Barra de fórmulas aberta</c:v>
                </c:pt>
              </c:strCache>
            </c:strRef>
          </c:cat>
          <c:val>
            <c:numRef>
              <c:f>'Exp 12 Months'!$F$4:$F$189</c:f>
              <c:numCache>
                <c:formatCode>General</c:formatCode>
                <c:ptCount val="186"/>
              </c:numCache>
            </c:numRef>
          </c:val>
          <c:smooth val="0"/>
          <c:extLst>
            <c:ext xmlns:c16="http://schemas.microsoft.com/office/drawing/2014/chart" uri="{C3380CC4-5D6E-409C-BE32-E72D297353CC}">
              <c16:uniqueId val="{00000001-F997-4A74-A1EC-7FDE743632F3}"/>
            </c:ext>
          </c:extLst>
        </c:ser>
        <c:ser>
          <c:idx val="3"/>
          <c:order val="2"/>
          <c:tx>
            <c:strRef>
              <c:f>'Exp 12 Months'!$G$3</c:f>
              <c:strCache>
                <c:ptCount val="1"/>
                <c:pt idx="0">
                  <c:v>Maximo</c:v>
                </c:pt>
              </c:strCache>
            </c:strRef>
          </c:tx>
          <c:spPr>
            <a:ln w="28575" cap="rnd">
              <a:solidFill>
                <a:schemeClr val="accent4"/>
              </a:solidFill>
              <a:round/>
            </a:ln>
            <a:effectLst/>
          </c:spPr>
          <c:marker>
            <c:symbol val="none"/>
          </c:marker>
          <c:cat>
            <c:strRef>
              <c:f>'Exp 12 Months'!$D$4:$D$189</c:f>
              <c:strCache>
                <c:ptCount val="1"/>
                <c:pt idx="0">
                  <c:v># Barra de fórmulas aberta</c:v>
                </c:pt>
              </c:strCache>
            </c:strRef>
          </c:cat>
          <c:val>
            <c:numRef>
              <c:f>'Exp 12 Months'!$G$4:$G$189</c:f>
              <c:numCache>
                <c:formatCode>General</c:formatCode>
                <c:ptCount val="186"/>
              </c:numCache>
            </c:numRef>
          </c:val>
          <c:smooth val="0"/>
          <c:extLst>
            <c:ext xmlns:c16="http://schemas.microsoft.com/office/drawing/2014/chart" uri="{C3380CC4-5D6E-409C-BE32-E72D297353CC}">
              <c16:uniqueId val="{00000002-F997-4A74-A1EC-7FDE743632F3}"/>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Monthly'!$J$1:$P$1</c:f>
          <c:strCache>
            <c:ptCount val="7"/>
            <c:pt idx="0">
              <c:v>FOCUS TOP 5 forecast for IPCA of Oct/21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Monthly'!$E$3</c:f>
              <c:strCache>
                <c:ptCount val="1"/>
                <c:pt idx="0">
                  <c:v>Minimum</c:v>
                </c:pt>
              </c:strCache>
            </c:strRef>
          </c:tx>
          <c:spPr>
            <a:ln w="28575" cap="rnd">
              <a:solidFill>
                <a:schemeClr val="accent2"/>
              </a:solidFill>
              <a:round/>
            </a:ln>
            <a:effectLst/>
          </c:spPr>
          <c:marker>
            <c:symbol val="none"/>
          </c:marker>
          <c:cat>
            <c:strRef>
              <c:f>'Top5 Monthly'!$D$4:$D$189</c:f>
              <c:strCache>
                <c:ptCount val="1"/>
                <c:pt idx="0">
                  <c:v># Barra de fórmulas aberta</c:v>
                </c:pt>
              </c:strCache>
            </c:strRef>
          </c:cat>
          <c:val>
            <c:numRef>
              <c:f>'Top5 Monthly'!$E$4:$E$189</c:f>
              <c:numCache>
                <c:formatCode>General</c:formatCode>
                <c:ptCount val="186"/>
              </c:numCache>
            </c:numRef>
          </c:val>
          <c:smooth val="0"/>
          <c:extLst>
            <c:ext xmlns:c16="http://schemas.microsoft.com/office/drawing/2014/chart" uri="{C3380CC4-5D6E-409C-BE32-E72D297353CC}">
              <c16:uniqueId val="{00000000-1C64-4161-B0CB-F2AA374369F8}"/>
            </c:ext>
          </c:extLst>
        </c:ser>
        <c:ser>
          <c:idx val="2"/>
          <c:order val="1"/>
          <c:tx>
            <c:strRef>
              <c:f>'Top5 Monthly'!$F$3</c:f>
              <c:strCache>
                <c:ptCount val="1"/>
                <c:pt idx="0">
                  <c:v>Median</c:v>
                </c:pt>
              </c:strCache>
            </c:strRef>
          </c:tx>
          <c:spPr>
            <a:ln w="28575" cap="rnd">
              <a:solidFill>
                <a:schemeClr val="accent3"/>
              </a:solidFill>
              <a:round/>
            </a:ln>
            <a:effectLst/>
          </c:spPr>
          <c:marker>
            <c:symbol val="none"/>
          </c:marker>
          <c:cat>
            <c:strRef>
              <c:f>'Top5 Monthly'!$D$4:$D$189</c:f>
              <c:strCache>
                <c:ptCount val="1"/>
                <c:pt idx="0">
                  <c:v># Barra de fórmulas aberta</c:v>
                </c:pt>
              </c:strCache>
            </c:strRef>
          </c:cat>
          <c:val>
            <c:numRef>
              <c:f>'Top5 Monthly'!$F$4:$F$189</c:f>
              <c:numCache>
                <c:formatCode>General</c:formatCode>
                <c:ptCount val="186"/>
              </c:numCache>
            </c:numRef>
          </c:val>
          <c:smooth val="0"/>
          <c:extLst>
            <c:ext xmlns:c16="http://schemas.microsoft.com/office/drawing/2014/chart" uri="{C3380CC4-5D6E-409C-BE32-E72D297353CC}">
              <c16:uniqueId val="{00000001-1C64-4161-B0CB-F2AA374369F8}"/>
            </c:ext>
          </c:extLst>
        </c:ser>
        <c:ser>
          <c:idx val="3"/>
          <c:order val="2"/>
          <c:tx>
            <c:strRef>
              <c:f>'Top5 Monthly'!$G$3</c:f>
              <c:strCache>
                <c:ptCount val="1"/>
                <c:pt idx="0">
                  <c:v>Maximum</c:v>
                </c:pt>
              </c:strCache>
            </c:strRef>
          </c:tx>
          <c:spPr>
            <a:ln w="28575" cap="rnd">
              <a:solidFill>
                <a:schemeClr val="accent4"/>
              </a:solidFill>
              <a:round/>
            </a:ln>
            <a:effectLst/>
          </c:spPr>
          <c:marker>
            <c:symbol val="none"/>
          </c:marker>
          <c:cat>
            <c:strRef>
              <c:f>'Top5 Monthly'!$D$4:$D$189</c:f>
              <c:strCache>
                <c:ptCount val="1"/>
                <c:pt idx="0">
                  <c:v># Barra de fórmulas aberta</c:v>
                </c:pt>
              </c:strCache>
            </c:strRef>
          </c:cat>
          <c:val>
            <c:numRef>
              <c:f>'Top5 Monthly'!$G$4:$G$189</c:f>
              <c:numCache>
                <c:formatCode>General</c:formatCode>
                <c:ptCount val="186"/>
              </c:numCache>
            </c:numRef>
          </c:val>
          <c:smooth val="0"/>
          <c:extLst>
            <c:ext xmlns:c16="http://schemas.microsoft.com/office/drawing/2014/chart" uri="{C3380CC4-5D6E-409C-BE32-E72D297353CC}">
              <c16:uniqueId val="{00000002-1C64-4161-B0CB-F2AA374369F8}"/>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'Top5 Annual'!$J$1:$P$1</c:f>
          <c:strCache>
            <c:ptCount val="7"/>
            <c:pt idx="0">
              <c:v>FOCUS TOP 5 forecast for IPCA of 2021</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'Top5 Annual'!$E$3</c:f>
              <c:strCache>
                <c:ptCount val="1"/>
                <c:pt idx="0">
                  <c:v>Minimo</c:v>
                </c:pt>
              </c:strCache>
            </c:strRef>
          </c:tx>
          <c:spPr>
            <a:ln w="28575" cap="rnd">
              <a:solidFill>
                <a:schemeClr val="accent2"/>
              </a:solidFill>
              <a:round/>
            </a:ln>
            <a:effectLst/>
          </c:spPr>
          <c:marker>
            <c:symbol val="none"/>
          </c:marker>
          <c:cat>
            <c:strRef>
              <c:f>'Top5 Annual'!$D$4:$D$461</c:f>
              <c:strCache>
                <c:ptCount val="1"/>
                <c:pt idx="0">
                  <c:v># Barra de fórmulas aberta</c:v>
                </c:pt>
              </c:strCache>
            </c:strRef>
          </c:cat>
          <c:val>
            <c:numRef>
              <c:f>'Top5 Annual'!$E$4:$E$461</c:f>
              <c:numCache>
                <c:formatCode>General</c:formatCode>
                <c:ptCount val="458"/>
              </c:numCache>
            </c:numRef>
          </c:val>
          <c:smooth val="0"/>
          <c:extLst>
            <c:ext xmlns:c16="http://schemas.microsoft.com/office/drawing/2014/chart" uri="{C3380CC4-5D6E-409C-BE32-E72D297353CC}">
              <c16:uniqueId val="{00000000-70A7-4BCD-BF38-417EDA9D17ED}"/>
            </c:ext>
          </c:extLst>
        </c:ser>
        <c:ser>
          <c:idx val="2"/>
          <c:order val="1"/>
          <c:tx>
            <c:strRef>
              <c:f>'Top5 Annual'!$F$3</c:f>
              <c:strCache>
                <c:ptCount val="1"/>
                <c:pt idx="0">
                  <c:v>Mediana</c:v>
                </c:pt>
              </c:strCache>
            </c:strRef>
          </c:tx>
          <c:spPr>
            <a:ln w="28575" cap="rnd">
              <a:solidFill>
                <a:schemeClr val="accent3"/>
              </a:solidFill>
              <a:round/>
            </a:ln>
            <a:effectLst/>
          </c:spPr>
          <c:marker>
            <c:symbol val="none"/>
          </c:marker>
          <c:cat>
            <c:strRef>
              <c:f>'Top5 Annual'!$D$4:$D$461</c:f>
              <c:strCache>
                <c:ptCount val="1"/>
                <c:pt idx="0">
                  <c:v># Barra de fórmulas aberta</c:v>
                </c:pt>
              </c:strCache>
            </c:strRef>
          </c:cat>
          <c:val>
            <c:numRef>
              <c:f>'Top5 Annual'!$F$4:$F$461</c:f>
              <c:numCache>
                <c:formatCode>General</c:formatCode>
                <c:ptCount val="458"/>
              </c:numCache>
            </c:numRef>
          </c:val>
          <c:smooth val="0"/>
          <c:extLst>
            <c:ext xmlns:c16="http://schemas.microsoft.com/office/drawing/2014/chart" uri="{C3380CC4-5D6E-409C-BE32-E72D297353CC}">
              <c16:uniqueId val="{00000001-70A7-4BCD-BF38-417EDA9D17ED}"/>
            </c:ext>
          </c:extLst>
        </c:ser>
        <c:ser>
          <c:idx val="3"/>
          <c:order val="2"/>
          <c:tx>
            <c:strRef>
              <c:f>'Top5 Annual'!$G$3</c:f>
              <c:strCache>
                <c:ptCount val="1"/>
                <c:pt idx="0">
                  <c:v>Maximo</c:v>
                </c:pt>
              </c:strCache>
            </c:strRef>
          </c:tx>
          <c:spPr>
            <a:ln w="28575" cap="rnd">
              <a:solidFill>
                <a:schemeClr val="accent4"/>
              </a:solidFill>
              <a:round/>
            </a:ln>
            <a:effectLst/>
          </c:spPr>
          <c:marker>
            <c:symbol val="none"/>
          </c:marker>
          <c:cat>
            <c:strRef>
              <c:f>'Top5 Annual'!$D$4:$D$461</c:f>
              <c:strCache>
                <c:ptCount val="1"/>
                <c:pt idx="0">
                  <c:v># Barra de fórmulas aberta</c:v>
                </c:pt>
              </c:strCache>
            </c:strRef>
          </c:cat>
          <c:val>
            <c:numRef>
              <c:f>'Top5 Annual'!$G$4:$G$461</c:f>
              <c:numCache>
                <c:formatCode>General</c:formatCode>
                <c:ptCount val="458"/>
              </c:numCache>
            </c:numRef>
          </c:val>
          <c:smooth val="0"/>
          <c:extLst>
            <c:ext xmlns:c16="http://schemas.microsoft.com/office/drawing/2014/chart" uri="{C3380CC4-5D6E-409C-BE32-E72D297353CC}">
              <c16:uniqueId val="{00000002-70A7-4BCD-BF38-417EDA9D17ED}"/>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'Exp Institutions'!$J$1:$P$1</c:f>
          <c:strCache>
            <c:ptCount val="7"/>
            <c:pt idx="0">
              <c:v>FOCUS forecast by Institution 16 for IPCA of 2020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'Exp Institutions'!$F$3</c:f>
              <c:strCache>
                <c:ptCount val="1"/>
                <c:pt idx="0">
                  <c:v>Valor</c:v>
                </c:pt>
              </c:strCache>
            </c:strRef>
          </c:tx>
          <c:spPr>
            <a:ln w="28575" cap="rnd">
              <a:solidFill>
                <a:schemeClr val="accent3"/>
              </a:solidFill>
              <a:round/>
            </a:ln>
            <a:effectLst/>
          </c:spPr>
          <c:marker>
            <c:symbol val="none"/>
          </c:marker>
          <c:cat>
            <c:strRef>
              <c:f>'Exp Institutions'!$D$4:$D$461</c:f>
              <c:strCache>
                <c:ptCount val="1"/>
                <c:pt idx="0">
                  <c:v># Barra de fórmulas aberta</c:v>
                </c:pt>
              </c:strCache>
            </c:strRef>
          </c:cat>
          <c:val>
            <c:numRef>
              <c:f>'Exp Institutions'!$F$4:$F$461</c:f>
              <c:numCache>
                <c:formatCode>General</c:formatCode>
                <c:ptCount val="458"/>
              </c:numCache>
            </c:numRef>
          </c:val>
          <c:smooth val="0"/>
          <c:extLst>
            <c:ext xmlns:c16="http://schemas.microsoft.com/office/drawing/2014/chart" uri="{C3380CC4-5D6E-409C-BE32-E72D297353CC}">
              <c16:uniqueId val="{00000001-572E-42D4-87AF-0D7B5F71FF9F}"/>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SGS!$J$1:$P$1</c:f>
          <c:strCache>
            <c:ptCount val="7"/>
            <c:pt idx="0">
              <c:v>Indicator values for SGS series 433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SGS!$E$4</c:f>
              <c:strCache>
                <c:ptCount val="1"/>
                <c:pt idx="0">
                  <c:v>Value</c:v>
                </c:pt>
              </c:strCache>
            </c:strRef>
          </c:tx>
          <c:spPr>
            <a:ln w="28575" cap="rnd">
              <a:solidFill>
                <a:schemeClr val="accent2"/>
              </a:solidFill>
              <a:round/>
            </a:ln>
            <a:effectLst/>
          </c:spPr>
          <c:marker>
            <c:symbol val="none"/>
          </c:marker>
          <c:cat>
            <c:strRef>
              <c:f>SGS!$D$5:$D$240</c:f>
              <c:strCache>
                <c:ptCount val="1"/>
                <c:pt idx="0">
                  <c:v># Barra de fórmulas aberta</c:v>
                </c:pt>
              </c:strCache>
            </c:strRef>
          </c:cat>
          <c:val>
            <c:numRef>
              <c:f>SGS!$E$5:$E$240</c:f>
              <c:numCache>
                <c:formatCode>0.00</c:formatCode>
                <c:ptCount val="236"/>
              </c:numCache>
            </c:numRef>
          </c:val>
          <c:smooth val="0"/>
          <c:extLst>
            <c:ext xmlns:c16="http://schemas.microsoft.com/office/drawing/2014/chart" uri="{C3380CC4-5D6E-409C-BE32-E72D297353CC}">
              <c16:uniqueId val="{00000000-4F2C-4124-89FA-16B20970F5E8}"/>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[xlFOCUS.xlsm]SCR!Tabela dinâmica2</c:name>
    <c:fmtId val="5"/>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SCR!$L$5:$L$6</c:f>
              <c:strCache>
                <c:ptCount val="1"/>
                <c:pt idx="0">
                  <c:v>BCO BRADESCO S.A.</c:v>
                </c:pt>
              </c:strCache>
            </c:strRef>
          </c:tx>
          <c:spPr>
            <a:ln w="28575" cap="rnd">
              <a:solidFill>
                <a:schemeClr val="accent1"/>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SCR!$L$7:$L$125</c:f>
              <c:numCache>
                <c:formatCode>General</c:formatCode>
                <c:ptCount val="119"/>
                <c:pt idx="0">
                  <c:v>10.38</c:v>
                </c:pt>
                <c:pt idx="1">
                  <c:v>10.16</c:v>
                </c:pt>
                <c:pt idx="2">
                  <c:v>10.06</c:v>
                </c:pt>
                <c:pt idx="3">
                  <c:v>10.17</c:v>
                </c:pt>
                <c:pt idx="4">
                  <c:v>10.25</c:v>
                </c:pt>
                <c:pt idx="5">
                  <c:v>9.99</c:v>
                </c:pt>
                <c:pt idx="6">
                  <c:v>9.9</c:v>
                </c:pt>
                <c:pt idx="7">
                  <c:v>9.83</c:v>
                </c:pt>
                <c:pt idx="8">
                  <c:v>9.6199999999999992</c:v>
                </c:pt>
                <c:pt idx="9">
                  <c:v>9.6199999999999992</c:v>
                </c:pt>
                <c:pt idx="10">
                  <c:v>9.51</c:v>
                </c:pt>
                <c:pt idx="11">
                  <c:v>9.5500000000000007</c:v>
                </c:pt>
                <c:pt idx="12">
                  <c:v>9.25</c:v>
                </c:pt>
                <c:pt idx="13">
                  <c:v>9.4</c:v>
                </c:pt>
                <c:pt idx="14">
                  <c:v>9.07</c:v>
                </c:pt>
                <c:pt idx="15">
                  <c:v>8.83</c:v>
                </c:pt>
                <c:pt idx="16">
                  <c:v>8.7200000000000006</c:v>
                </c:pt>
                <c:pt idx="17">
                  <c:v>8.64</c:v>
                </c:pt>
                <c:pt idx="18">
                  <c:v>8.6999999999999993</c:v>
                </c:pt>
                <c:pt idx="19">
                  <c:v>8.7799999999999994</c:v>
                </c:pt>
                <c:pt idx="20">
                  <c:v>8.74</c:v>
                </c:pt>
                <c:pt idx="21">
                  <c:v>8.69</c:v>
                </c:pt>
                <c:pt idx="22">
                  <c:v>8.76</c:v>
                </c:pt>
                <c:pt idx="23">
                  <c:v>8.8800000000000008</c:v>
                </c:pt>
                <c:pt idx="24">
                  <c:v>8.85</c:v>
                </c:pt>
                <c:pt idx="25">
                  <c:v>8.8699999999999992</c:v>
                </c:pt>
                <c:pt idx="26">
                  <c:v>8.81</c:v>
                </c:pt>
                <c:pt idx="27">
                  <c:v>8.8800000000000008</c:v>
                </c:pt>
                <c:pt idx="28">
                  <c:v>8.85</c:v>
                </c:pt>
                <c:pt idx="29">
                  <c:v>8.9700000000000006</c:v>
                </c:pt>
                <c:pt idx="30">
                  <c:v>9.08</c:v>
                </c:pt>
                <c:pt idx="31">
                  <c:v>9</c:v>
                </c:pt>
                <c:pt idx="32">
                  <c:v>8.92</c:v>
                </c:pt>
                <c:pt idx="33">
                  <c:v>8.91</c:v>
                </c:pt>
                <c:pt idx="34">
                  <c:v>9.01</c:v>
                </c:pt>
                <c:pt idx="35">
                  <c:v>8.9499999999999993</c:v>
                </c:pt>
                <c:pt idx="36">
                  <c:v>8.9499999999999993</c:v>
                </c:pt>
                <c:pt idx="37">
                  <c:v>9.08</c:v>
                </c:pt>
                <c:pt idx="38">
                  <c:v>9.42</c:v>
                </c:pt>
                <c:pt idx="39">
                  <c:v>9.64</c:v>
                </c:pt>
                <c:pt idx="40">
                  <c:v>9.75</c:v>
                </c:pt>
                <c:pt idx="41">
                  <c:v>10.119999999999999</c:v>
                </c:pt>
                <c:pt idx="42">
                  <c:v>10.25</c:v>
                </c:pt>
                <c:pt idx="43">
                  <c:v>10.39</c:v>
                </c:pt>
                <c:pt idx="44">
                  <c:v>10.4</c:v>
                </c:pt>
                <c:pt idx="45">
                  <c:v>10.68</c:v>
                </c:pt>
                <c:pt idx="46">
                  <c:v>10.62</c:v>
                </c:pt>
                <c:pt idx="47">
                  <c:v>11.01</c:v>
                </c:pt>
                <c:pt idx="48">
                  <c:v>11.31</c:v>
                </c:pt>
                <c:pt idx="49">
                  <c:v>11.38</c:v>
                </c:pt>
                <c:pt idx="50">
                  <c:v>11.64</c:v>
                </c:pt>
                <c:pt idx="51">
                  <c:v>11.81</c:v>
                </c:pt>
                <c:pt idx="52">
                  <c:v>11.8</c:v>
                </c:pt>
                <c:pt idx="53">
                  <c:v>11.89</c:v>
                </c:pt>
                <c:pt idx="54">
                  <c:v>12.1</c:v>
                </c:pt>
                <c:pt idx="55">
                  <c:v>12.13</c:v>
                </c:pt>
                <c:pt idx="56">
                  <c:v>12.07</c:v>
                </c:pt>
                <c:pt idx="57">
                  <c:v>11.65</c:v>
                </c:pt>
                <c:pt idx="58">
                  <c:v>11.73</c:v>
                </c:pt>
                <c:pt idx="59">
                  <c:v>11.57</c:v>
                </c:pt>
                <c:pt idx="60">
                  <c:v>11.73</c:v>
                </c:pt>
                <c:pt idx="61">
                  <c:v>11.6</c:v>
                </c:pt>
                <c:pt idx="62">
                  <c:v>11.48</c:v>
                </c:pt>
                <c:pt idx="63">
                  <c:v>11.38</c:v>
                </c:pt>
                <c:pt idx="64">
                  <c:v>11.33</c:v>
                </c:pt>
                <c:pt idx="65">
                  <c:v>11.43</c:v>
                </c:pt>
                <c:pt idx="66">
                  <c:v>11.51</c:v>
                </c:pt>
                <c:pt idx="67">
                  <c:v>11.31</c:v>
                </c:pt>
                <c:pt idx="68">
                  <c:v>11.2</c:v>
                </c:pt>
                <c:pt idx="69">
                  <c:v>10.74</c:v>
                </c:pt>
                <c:pt idx="70">
                  <c:v>10.73</c:v>
                </c:pt>
                <c:pt idx="71">
                  <c:v>10.46</c:v>
                </c:pt>
                <c:pt idx="72">
                  <c:v>10.36</c:v>
                </c:pt>
                <c:pt idx="73">
                  <c:v>10.17</c:v>
                </c:pt>
                <c:pt idx="74">
                  <c:v>10.119999999999999</c:v>
                </c:pt>
                <c:pt idx="75">
                  <c:v>9.94</c:v>
                </c:pt>
                <c:pt idx="76">
                  <c:v>9.9</c:v>
                </c:pt>
                <c:pt idx="77">
                  <c:v>9.75</c:v>
                </c:pt>
                <c:pt idx="78">
                  <c:v>9.6300000000000008</c:v>
                </c:pt>
                <c:pt idx="79">
                  <c:v>9.61</c:v>
                </c:pt>
                <c:pt idx="80">
                  <c:v>9.49</c:v>
                </c:pt>
                <c:pt idx="81">
                  <c:v>9.3699999999999992</c:v>
                </c:pt>
                <c:pt idx="82">
                  <c:v>9.34</c:v>
                </c:pt>
                <c:pt idx="83">
                  <c:v>9.26</c:v>
                </c:pt>
                <c:pt idx="84">
                  <c:v>9.3699999999999992</c:v>
                </c:pt>
                <c:pt idx="85">
                  <c:v>9.4</c:v>
                </c:pt>
                <c:pt idx="86">
                  <c:v>9.35</c:v>
                </c:pt>
                <c:pt idx="87">
                  <c:v>9.2100000000000009</c:v>
                </c:pt>
                <c:pt idx="88">
                  <c:v>8.9600000000000009</c:v>
                </c:pt>
                <c:pt idx="89">
                  <c:v>8.9600000000000009</c:v>
                </c:pt>
                <c:pt idx="90">
                  <c:v>8.7899999999999991</c:v>
                </c:pt>
                <c:pt idx="91">
                  <c:v>8.7100000000000009</c:v>
                </c:pt>
                <c:pt idx="92">
                  <c:v>8.65</c:v>
                </c:pt>
                <c:pt idx="93">
                  <c:v>8.57</c:v>
                </c:pt>
                <c:pt idx="94">
                  <c:v>8.17</c:v>
                </c:pt>
                <c:pt idx="95">
                  <c:v>7.89</c:v>
                </c:pt>
                <c:pt idx="96">
                  <c:v>7.76</c:v>
                </c:pt>
                <c:pt idx="97">
                  <c:v>7.64</c:v>
                </c:pt>
                <c:pt idx="98">
                  <c:v>7.68</c:v>
                </c:pt>
                <c:pt idx="99">
                  <c:v>7.44</c:v>
                </c:pt>
                <c:pt idx="100">
                  <c:v>7.66</c:v>
                </c:pt>
                <c:pt idx="101">
                  <c:v>7.45</c:v>
                </c:pt>
                <c:pt idx="102">
                  <c:v>7.48</c:v>
                </c:pt>
                <c:pt idx="103">
                  <c:v>7.27</c:v>
                </c:pt>
                <c:pt idx="104">
                  <c:v>7.17</c:v>
                </c:pt>
                <c:pt idx="105">
                  <c:v>7.23</c:v>
                </c:pt>
                <c:pt idx="106">
                  <c:v>7.19</c:v>
                </c:pt>
                <c:pt idx="107">
                  <c:v>7.12</c:v>
                </c:pt>
                <c:pt idx="108">
                  <c:v>6.94</c:v>
                </c:pt>
                <c:pt idx="109">
                  <c:v>6.96</c:v>
                </c:pt>
                <c:pt idx="110">
                  <c:v>6.92</c:v>
                </c:pt>
                <c:pt idx="111">
                  <c:v>6.84</c:v>
                </c:pt>
                <c:pt idx="112">
                  <c:v>6.85</c:v>
                </c:pt>
                <c:pt idx="113">
                  <c:v>6.93</c:v>
                </c:pt>
                <c:pt idx="114">
                  <c:v>6.88</c:v>
                </c:pt>
                <c:pt idx="115">
                  <c:v>6.89</c:v>
                </c:pt>
                <c:pt idx="116">
                  <c:v>6.95</c:v>
                </c:pt>
                <c:pt idx="117">
                  <c:v>7.85</c:v>
                </c:pt>
                <c:pt idx="118">
                  <c:v>8.31</c:v>
                </c:pt>
              </c:numCache>
            </c:numRef>
          </c:val>
          <c:smooth val="0"/>
          <c:extLst>
            <c:ext xmlns:c16="http://schemas.microsoft.com/office/drawing/2014/chart" uri="{C3380CC4-5D6E-409C-BE32-E72D297353CC}">
              <c16:uniqueId val="{00000006-964B-410F-AFC6-2954B7F72C94}"/>
            </c:ext>
          </c:extLst>
        </c:ser>
        <c:ser>
          <c:idx val="1"/>
          <c:order val="1"/>
          <c:tx>
            <c:strRef>
              <c:f>SCR!$M$5:$M$6</c:f>
              <c:strCache>
                <c:ptCount val="1"/>
                <c:pt idx="0">
                  <c:v>BCO SANTANDER (BRASIL) S.A.</c:v>
                </c:pt>
              </c:strCache>
            </c:strRef>
          </c:tx>
          <c:spPr>
            <a:ln w="28575" cap="rnd">
              <a:solidFill>
                <a:schemeClr val="accent2"/>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SCR!$M$7:$M$125</c:f>
              <c:numCache>
                <c:formatCode>General</c:formatCode>
                <c:ptCount val="119"/>
                <c:pt idx="0">
                  <c:v>9.7899999999999991</c:v>
                </c:pt>
                <c:pt idx="1">
                  <c:v>9.7100000000000009</c:v>
                </c:pt>
                <c:pt idx="2">
                  <c:v>9.75</c:v>
                </c:pt>
                <c:pt idx="3">
                  <c:v>9.66</c:v>
                </c:pt>
                <c:pt idx="4">
                  <c:v>9.67</c:v>
                </c:pt>
                <c:pt idx="5">
                  <c:v>9.44</c:v>
                </c:pt>
                <c:pt idx="6">
                  <c:v>9.34</c:v>
                </c:pt>
                <c:pt idx="7">
                  <c:v>9.18</c:v>
                </c:pt>
                <c:pt idx="8">
                  <c:v>9.25</c:v>
                </c:pt>
                <c:pt idx="9">
                  <c:v>9.07</c:v>
                </c:pt>
                <c:pt idx="10">
                  <c:v>9.18</c:v>
                </c:pt>
                <c:pt idx="11">
                  <c:v>9.0399999999999991</c:v>
                </c:pt>
                <c:pt idx="12">
                  <c:v>8.9600000000000009</c:v>
                </c:pt>
                <c:pt idx="13">
                  <c:v>8.81</c:v>
                </c:pt>
                <c:pt idx="14">
                  <c:v>8.75</c:v>
                </c:pt>
                <c:pt idx="15">
                  <c:v>8.7100000000000009</c:v>
                </c:pt>
                <c:pt idx="16">
                  <c:v>8.67</c:v>
                </c:pt>
                <c:pt idx="17">
                  <c:v>8.67</c:v>
                </c:pt>
                <c:pt idx="18">
                  <c:v>8.57</c:v>
                </c:pt>
                <c:pt idx="19">
                  <c:v>8.49</c:v>
                </c:pt>
                <c:pt idx="20">
                  <c:v>8.6199999999999992</c:v>
                </c:pt>
                <c:pt idx="21">
                  <c:v>8.5</c:v>
                </c:pt>
                <c:pt idx="22">
                  <c:v>8.59</c:v>
                </c:pt>
                <c:pt idx="23">
                  <c:v>8.51</c:v>
                </c:pt>
                <c:pt idx="24">
                  <c:v>8.6300000000000008</c:v>
                </c:pt>
                <c:pt idx="25">
                  <c:v>8.58</c:v>
                </c:pt>
                <c:pt idx="26">
                  <c:v>8.59</c:v>
                </c:pt>
                <c:pt idx="27">
                  <c:v>8.58</c:v>
                </c:pt>
                <c:pt idx="28">
                  <c:v>8.7200000000000006</c:v>
                </c:pt>
                <c:pt idx="29">
                  <c:v>8.6999999999999993</c:v>
                </c:pt>
                <c:pt idx="30">
                  <c:v>8.7100000000000009</c:v>
                </c:pt>
                <c:pt idx="31">
                  <c:v>8.73</c:v>
                </c:pt>
                <c:pt idx="32">
                  <c:v>8.73</c:v>
                </c:pt>
                <c:pt idx="33">
                  <c:v>8.9700000000000006</c:v>
                </c:pt>
                <c:pt idx="34">
                  <c:v>9.08</c:v>
                </c:pt>
                <c:pt idx="35">
                  <c:v>9.0399999999999991</c:v>
                </c:pt>
                <c:pt idx="36">
                  <c:v>9.14</c:v>
                </c:pt>
                <c:pt idx="37">
                  <c:v>9.02</c:v>
                </c:pt>
                <c:pt idx="38">
                  <c:v>9.25</c:v>
                </c:pt>
                <c:pt idx="39">
                  <c:v>9.5299999999999994</c:v>
                </c:pt>
                <c:pt idx="40">
                  <c:v>9.75</c:v>
                </c:pt>
                <c:pt idx="41">
                  <c:v>10.31</c:v>
                </c:pt>
                <c:pt idx="42">
                  <c:v>10.95</c:v>
                </c:pt>
                <c:pt idx="43">
                  <c:v>11.34</c:v>
                </c:pt>
                <c:pt idx="44">
                  <c:v>11.39</c:v>
                </c:pt>
                <c:pt idx="45">
                  <c:v>11.42</c:v>
                </c:pt>
                <c:pt idx="46">
                  <c:v>11.43</c:v>
                </c:pt>
                <c:pt idx="47">
                  <c:v>11.29</c:v>
                </c:pt>
                <c:pt idx="48">
                  <c:v>11.4</c:v>
                </c:pt>
                <c:pt idx="49">
                  <c:v>11.43</c:v>
                </c:pt>
                <c:pt idx="50">
                  <c:v>11.36</c:v>
                </c:pt>
                <c:pt idx="51">
                  <c:v>11.36</c:v>
                </c:pt>
                <c:pt idx="52">
                  <c:v>11.49</c:v>
                </c:pt>
                <c:pt idx="53">
                  <c:v>11.59</c:v>
                </c:pt>
                <c:pt idx="54">
                  <c:v>11.95</c:v>
                </c:pt>
                <c:pt idx="55">
                  <c:v>11.92</c:v>
                </c:pt>
                <c:pt idx="56">
                  <c:v>11.94</c:v>
                </c:pt>
                <c:pt idx="57">
                  <c:v>11.69</c:v>
                </c:pt>
                <c:pt idx="58">
                  <c:v>11.73</c:v>
                </c:pt>
                <c:pt idx="59">
                  <c:v>11.59</c:v>
                </c:pt>
                <c:pt idx="60">
                  <c:v>11.64</c:v>
                </c:pt>
                <c:pt idx="61">
                  <c:v>11.68</c:v>
                </c:pt>
                <c:pt idx="62">
                  <c:v>11.35</c:v>
                </c:pt>
                <c:pt idx="63">
                  <c:v>11.67</c:v>
                </c:pt>
                <c:pt idx="64">
                  <c:v>11.45</c:v>
                </c:pt>
                <c:pt idx="65">
                  <c:v>11.33</c:v>
                </c:pt>
                <c:pt idx="66">
                  <c:v>10.97</c:v>
                </c:pt>
                <c:pt idx="67">
                  <c:v>10.38</c:v>
                </c:pt>
                <c:pt idx="68">
                  <c:v>10.26</c:v>
                </c:pt>
                <c:pt idx="69">
                  <c:v>10.19</c:v>
                </c:pt>
                <c:pt idx="70">
                  <c:v>10.16</c:v>
                </c:pt>
                <c:pt idx="71">
                  <c:v>10.07</c:v>
                </c:pt>
                <c:pt idx="72">
                  <c:v>10</c:v>
                </c:pt>
                <c:pt idx="73">
                  <c:v>10.02</c:v>
                </c:pt>
                <c:pt idx="74">
                  <c:v>10.11</c:v>
                </c:pt>
                <c:pt idx="75">
                  <c:v>9.98</c:v>
                </c:pt>
                <c:pt idx="76">
                  <c:v>9.74</c:v>
                </c:pt>
                <c:pt idx="77">
                  <c:v>9.57</c:v>
                </c:pt>
                <c:pt idx="78">
                  <c:v>9.59</c:v>
                </c:pt>
                <c:pt idx="79">
                  <c:v>9.6</c:v>
                </c:pt>
                <c:pt idx="80">
                  <c:v>9.56</c:v>
                </c:pt>
                <c:pt idx="81">
                  <c:v>9.5500000000000007</c:v>
                </c:pt>
                <c:pt idx="82">
                  <c:v>9.3800000000000008</c:v>
                </c:pt>
                <c:pt idx="83">
                  <c:v>9.36</c:v>
                </c:pt>
                <c:pt idx="84">
                  <c:v>9.35</c:v>
                </c:pt>
                <c:pt idx="85">
                  <c:v>9.23</c:v>
                </c:pt>
                <c:pt idx="86">
                  <c:v>9.2100000000000009</c:v>
                </c:pt>
                <c:pt idx="87">
                  <c:v>9.15</c:v>
                </c:pt>
                <c:pt idx="88">
                  <c:v>8.8800000000000008</c:v>
                </c:pt>
                <c:pt idx="89">
                  <c:v>9.27</c:v>
                </c:pt>
                <c:pt idx="90">
                  <c:v>9.15</c:v>
                </c:pt>
                <c:pt idx="91">
                  <c:v>8.9600000000000009</c:v>
                </c:pt>
                <c:pt idx="92">
                  <c:v>8.2899999999999991</c:v>
                </c:pt>
                <c:pt idx="93">
                  <c:v>8.26</c:v>
                </c:pt>
                <c:pt idx="94">
                  <c:v>8.41</c:v>
                </c:pt>
                <c:pt idx="95">
                  <c:v>8.36</c:v>
                </c:pt>
                <c:pt idx="96">
                  <c:v>8.35</c:v>
                </c:pt>
                <c:pt idx="97">
                  <c:v>8.14</c:v>
                </c:pt>
                <c:pt idx="98">
                  <c:v>8.36</c:v>
                </c:pt>
                <c:pt idx="99">
                  <c:v>8.17</c:v>
                </c:pt>
                <c:pt idx="100">
                  <c:v>8.14</c:v>
                </c:pt>
                <c:pt idx="101">
                  <c:v>8.09</c:v>
                </c:pt>
                <c:pt idx="102">
                  <c:v>7.36</c:v>
                </c:pt>
                <c:pt idx="103">
                  <c:v>7.36</c:v>
                </c:pt>
                <c:pt idx="104">
                  <c:v>7.31</c:v>
                </c:pt>
                <c:pt idx="105">
                  <c:v>7.32</c:v>
                </c:pt>
                <c:pt idx="106">
                  <c:v>7.25</c:v>
                </c:pt>
                <c:pt idx="107">
                  <c:v>7.38</c:v>
                </c:pt>
                <c:pt idx="108">
                  <c:v>7.38</c:v>
                </c:pt>
                <c:pt idx="109">
                  <c:v>7.44</c:v>
                </c:pt>
                <c:pt idx="110">
                  <c:v>7.34</c:v>
                </c:pt>
                <c:pt idx="111">
                  <c:v>7.36</c:v>
                </c:pt>
                <c:pt idx="112">
                  <c:v>7.43</c:v>
                </c:pt>
                <c:pt idx="113">
                  <c:v>7.56</c:v>
                </c:pt>
                <c:pt idx="114">
                  <c:v>7.51</c:v>
                </c:pt>
                <c:pt idx="115">
                  <c:v>7.66</c:v>
                </c:pt>
                <c:pt idx="116">
                  <c:v>7.83</c:v>
                </c:pt>
                <c:pt idx="117">
                  <c:v>8.35</c:v>
                </c:pt>
                <c:pt idx="118">
                  <c:v>8.73</c:v>
                </c:pt>
              </c:numCache>
            </c:numRef>
          </c:val>
          <c:smooth val="0"/>
          <c:extLst>
            <c:ext xmlns:c16="http://schemas.microsoft.com/office/drawing/2014/chart" uri="{C3380CC4-5D6E-409C-BE32-E72D297353CC}">
              <c16:uniqueId val="{00000007-964B-410F-AFC6-2954B7F72C94}"/>
            </c:ext>
          </c:extLst>
        </c:ser>
        <c:ser>
          <c:idx val="2"/>
          <c:order val="2"/>
          <c:tx>
            <c:strRef>
              <c:f>SCR!$N$5:$N$6</c:f>
              <c:strCache>
                <c:ptCount val="1"/>
                <c:pt idx="0">
                  <c:v>ITAÚ UNIBANCO S.A.</c:v>
                </c:pt>
              </c:strCache>
            </c:strRef>
          </c:tx>
          <c:spPr>
            <a:ln w="28575" cap="rnd">
              <a:solidFill>
                <a:schemeClr val="accent3"/>
              </a:solidFill>
              <a:round/>
            </a:ln>
            <a:effectLst/>
          </c:spPr>
          <c:marker>
            <c:symbol val="none"/>
          </c:marker>
          <c:cat>
            <c:strRef>
              <c:f>SCR!$K$7:$K$125</c:f>
              <c:strCache>
                <c:ptCount val="119"/>
                <c:pt idx="0">
                  <c:v>2012-01</c:v>
                </c:pt>
                <c:pt idx="1">
                  <c:v>2012-02</c:v>
                </c:pt>
                <c:pt idx="2">
                  <c:v>2012-03</c:v>
                </c:pt>
                <c:pt idx="3">
                  <c:v>2012-04</c:v>
                </c:pt>
                <c:pt idx="4">
                  <c:v>2012-05</c:v>
                </c:pt>
                <c:pt idx="5">
                  <c:v>2012-06</c:v>
                </c:pt>
                <c:pt idx="6">
                  <c:v>2012-07</c:v>
                </c:pt>
                <c:pt idx="7">
                  <c:v>2012-08</c:v>
                </c:pt>
                <c:pt idx="8">
                  <c:v>2012-09</c:v>
                </c:pt>
                <c:pt idx="9">
                  <c:v>2012-10</c:v>
                </c:pt>
                <c:pt idx="10">
                  <c:v>2012-11</c:v>
                </c:pt>
                <c:pt idx="11">
                  <c:v>2012-12</c:v>
                </c:pt>
                <c:pt idx="12">
                  <c:v>2013-01</c:v>
                </c:pt>
                <c:pt idx="13">
                  <c:v>2013-02</c:v>
                </c:pt>
                <c:pt idx="14">
                  <c:v>2013-03</c:v>
                </c:pt>
                <c:pt idx="15">
                  <c:v>2013-04</c:v>
                </c:pt>
                <c:pt idx="16">
                  <c:v>2013-05</c:v>
                </c:pt>
                <c:pt idx="17">
                  <c:v>2013-06</c:v>
                </c:pt>
                <c:pt idx="18">
                  <c:v>2013-07</c:v>
                </c:pt>
                <c:pt idx="19">
                  <c:v>2013-08</c:v>
                </c:pt>
                <c:pt idx="20">
                  <c:v>2013-09</c:v>
                </c:pt>
                <c:pt idx="21">
                  <c:v>2013-10</c:v>
                </c:pt>
                <c:pt idx="22">
                  <c:v>2013-11</c:v>
                </c:pt>
                <c:pt idx="23">
                  <c:v>2013-12</c:v>
                </c:pt>
                <c:pt idx="24">
                  <c:v>2014-01</c:v>
                </c:pt>
                <c:pt idx="25">
                  <c:v>2014-02</c:v>
                </c:pt>
                <c:pt idx="26">
                  <c:v>2014-03</c:v>
                </c:pt>
                <c:pt idx="27">
                  <c:v>2014-04</c:v>
                </c:pt>
                <c:pt idx="28">
                  <c:v>2014-05</c:v>
                </c:pt>
                <c:pt idx="29">
                  <c:v>2014-06</c:v>
                </c:pt>
                <c:pt idx="30">
                  <c:v>2014-07</c:v>
                </c:pt>
                <c:pt idx="31">
                  <c:v>2014-08</c:v>
                </c:pt>
                <c:pt idx="32">
                  <c:v>2014-09</c:v>
                </c:pt>
                <c:pt idx="33">
                  <c:v>2014-10</c:v>
                </c:pt>
                <c:pt idx="34">
                  <c:v>2014-11</c:v>
                </c:pt>
                <c:pt idx="35">
                  <c:v>2014-12</c:v>
                </c:pt>
                <c:pt idx="36">
                  <c:v>2015-01</c:v>
                </c:pt>
                <c:pt idx="37">
                  <c:v>2015-02</c:v>
                </c:pt>
                <c:pt idx="38">
                  <c:v>2015-03</c:v>
                </c:pt>
                <c:pt idx="39">
                  <c:v>2015-04</c:v>
                </c:pt>
                <c:pt idx="40">
                  <c:v>2015-05</c:v>
                </c:pt>
                <c:pt idx="41">
                  <c:v>2015-06</c:v>
                </c:pt>
                <c:pt idx="42">
                  <c:v>2015-07</c:v>
                </c:pt>
                <c:pt idx="43">
                  <c:v>2015-08</c:v>
                </c:pt>
                <c:pt idx="44">
                  <c:v>2015-09</c:v>
                </c:pt>
                <c:pt idx="45">
                  <c:v>2015-10</c:v>
                </c:pt>
                <c:pt idx="46">
                  <c:v>2015-11</c:v>
                </c:pt>
                <c:pt idx="47">
                  <c:v>2015-12</c:v>
                </c:pt>
                <c:pt idx="48">
                  <c:v>2016-01</c:v>
                </c:pt>
                <c:pt idx="49">
                  <c:v>2016-02</c:v>
                </c:pt>
                <c:pt idx="50">
                  <c:v>2016-03</c:v>
                </c:pt>
                <c:pt idx="51">
                  <c:v>2016-04</c:v>
                </c:pt>
                <c:pt idx="52">
                  <c:v>2016-05</c:v>
                </c:pt>
                <c:pt idx="53">
                  <c:v>2016-06</c:v>
                </c:pt>
                <c:pt idx="54">
                  <c:v>2016-07</c:v>
                </c:pt>
                <c:pt idx="55">
                  <c:v>2016-08</c:v>
                </c:pt>
                <c:pt idx="56">
                  <c:v>2016-09</c:v>
                </c:pt>
                <c:pt idx="57">
                  <c:v>2016-10</c:v>
                </c:pt>
                <c:pt idx="58">
                  <c:v>2016-11</c:v>
                </c:pt>
                <c:pt idx="59">
                  <c:v>2016-12</c:v>
                </c:pt>
                <c:pt idx="60">
                  <c:v>2017-01</c:v>
                </c:pt>
                <c:pt idx="61">
                  <c:v>2017-02</c:v>
                </c:pt>
                <c:pt idx="62">
                  <c:v>2017-03</c:v>
                </c:pt>
                <c:pt idx="63">
                  <c:v>2017-04</c:v>
                </c:pt>
                <c:pt idx="64">
                  <c:v>2017-05</c:v>
                </c:pt>
                <c:pt idx="65">
                  <c:v>2017-06</c:v>
                </c:pt>
                <c:pt idx="66">
                  <c:v>2017-07</c:v>
                </c:pt>
                <c:pt idx="67">
                  <c:v>2017-08</c:v>
                </c:pt>
                <c:pt idx="68">
                  <c:v>2017-09</c:v>
                </c:pt>
                <c:pt idx="69">
                  <c:v>2017-10</c:v>
                </c:pt>
                <c:pt idx="70">
                  <c:v>2017-11</c:v>
                </c:pt>
                <c:pt idx="71">
                  <c:v>2017-12</c:v>
                </c:pt>
                <c:pt idx="72">
                  <c:v>2018-01</c:v>
                </c:pt>
                <c:pt idx="73">
                  <c:v>2018-02</c:v>
                </c:pt>
                <c:pt idx="74">
                  <c:v>2018-03</c:v>
                </c:pt>
                <c:pt idx="75">
                  <c:v>2018-04</c:v>
                </c:pt>
                <c:pt idx="76">
                  <c:v>2018-05</c:v>
                </c:pt>
                <c:pt idx="77">
                  <c:v>2018-06</c:v>
                </c:pt>
                <c:pt idx="78">
                  <c:v>2018-07</c:v>
                </c:pt>
                <c:pt idx="79">
                  <c:v>2018-08</c:v>
                </c:pt>
                <c:pt idx="80">
                  <c:v>2018-09</c:v>
                </c:pt>
                <c:pt idx="81">
                  <c:v>2018-10</c:v>
                </c:pt>
                <c:pt idx="82">
                  <c:v>2018-11</c:v>
                </c:pt>
                <c:pt idx="83">
                  <c:v>2018-12</c:v>
                </c:pt>
                <c:pt idx="84">
                  <c:v>2019-01</c:v>
                </c:pt>
                <c:pt idx="85">
                  <c:v>2019-02</c:v>
                </c:pt>
                <c:pt idx="86">
                  <c:v>2019-03</c:v>
                </c:pt>
                <c:pt idx="87">
                  <c:v>2019-04</c:v>
                </c:pt>
                <c:pt idx="88">
                  <c:v>2019-05</c:v>
                </c:pt>
                <c:pt idx="89">
                  <c:v>2019-06</c:v>
                </c:pt>
                <c:pt idx="90">
                  <c:v>2019-07</c:v>
                </c:pt>
                <c:pt idx="91">
                  <c:v>2019-08</c:v>
                </c:pt>
                <c:pt idx="92">
                  <c:v>2019-09</c:v>
                </c:pt>
                <c:pt idx="93">
                  <c:v>2019-10</c:v>
                </c:pt>
                <c:pt idx="94">
                  <c:v>2019-11</c:v>
                </c:pt>
                <c:pt idx="95">
                  <c:v>2019-12</c:v>
                </c:pt>
                <c:pt idx="96">
                  <c:v>2020-01</c:v>
                </c:pt>
                <c:pt idx="97">
                  <c:v>2020-02</c:v>
                </c:pt>
                <c:pt idx="98">
                  <c:v>2020-03</c:v>
                </c:pt>
                <c:pt idx="99">
                  <c:v>2020-04</c:v>
                </c:pt>
                <c:pt idx="100">
                  <c:v>2020-05</c:v>
                </c:pt>
                <c:pt idx="101">
                  <c:v>2020-06</c:v>
                </c:pt>
                <c:pt idx="102">
                  <c:v>2020-07</c:v>
                </c:pt>
                <c:pt idx="103">
                  <c:v>2020-08</c:v>
                </c:pt>
                <c:pt idx="104">
                  <c:v>2020-09</c:v>
                </c:pt>
                <c:pt idx="105">
                  <c:v>2020-10</c:v>
                </c:pt>
                <c:pt idx="106">
                  <c:v>2020-11</c:v>
                </c:pt>
                <c:pt idx="107">
                  <c:v>2020-12</c:v>
                </c:pt>
                <c:pt idx="108">
                  <c:v>2021-01</c:v>
                </c:pt>
                <c:pt idx="109">
                  <c:v>2021-02</c:v>
                </c:pt>
                <c:pt idx="110">
                  <c:v>2021-03</c:v>
                </c:pt>
                <c:pt idx="111">
                  <c:v>2021-04</c:v>
                </c:pt>
                <c:pt idx="112">
                  <c:v>2021-05</c:v>
                </c:pt>
                <c:pt idx="113">
                  <c:v>2021-06</c:v>
                </c:pt>
                <c:pt idx="114">
                  <c:v>2021-07</c:v>
                </c:pt>
                <c:pt idx="115">
                  <c:v>2021-08</c:v>
                </c:pt>
                <c:pt idx="116">
                  <c:v>2021-09</c:v>
                </c:pt>
                <c:pt idx="117">
                  <c:v>2021-10</c:v>
                </c:pt>
                <c:pt idx="118">
                  <c:v>2021-11</c:v>
                </c:pt>
              </c:strCache>
            </c:strRef>
          </c:cat>
          <c:val>
            <c:numRef>
              <c:f>SCR!$N$7:$N$125</c:f>
              <c:numCache>
                <c:formatCode>General</c:formatCode>
                <c:ptCount val="119"/>
                <c:pt idx="28">
                  <c:v>9.4700000000000006</c:v>
                </c:pt>
                <c:pt idx="29">
                  <c:v>9.49</c:v>
                </c:pt>
                <c:pt idx="30">
                  <c:v>9.4499999999999993</c:v>
                </c:pt>
                <c:pt idx="31">
                  <c:v>9.48</c:v>
                </c:pt>
                <c:pt idx="32">
                  <c:v>9.3800000000000008</c:v>
                </c:pt>
                <c:pt idx="33">
                  <c:v>9.36</c:v>
                </c:pt>
                <c:pt idx="34">
                  <c:v>9.36</c:v>
                </c:pt>
                <c:pt idx="35">
                  <c:v>9.4</c:v>
                </c:pt>
                <c:pt idx="36">
                  <c:v>9.36</c:v>
                </c:pt>
                <c:pt idx="37">
                  <c:v>9.3800000000000008</c:v>
                </c:pt>
                <c:pt idx="38">
                  <c:v>9.51</c:v>
                </c:pt>
                <c:pt idx="39">
                  <c:v>9.6</c:v>
                </c:pt>
                <c:pt idx="40">
                  <c:v>9.6999999999999993</c:v>
                </c:pt>
                <c:pt idx="41">
                  <c:v>10.039999999999999</c:v>
                </c:pt>
                <c:pt idx="42">
                  <c:v>10.119999999999999</c:v>
                </c:pt>
                <c:pt idx="43">
                  <c:v>10.210000000000001</c:v>
                </c:pt>
                <c:pt idx="44">
                  <c:v>10.31</c:v>
                </c:pt>
                <c:pt idx="45">
                  <c:v>10.62</c:v>
                </c:pt>
                <c:pt idx="46">
                  <c:v>10.93</c:v>
                </c:pt>
                <c:pt idx="47">
                  <c:v>11.07</c:v>
                </c:pt>
                <c:pt idx="48">
                  <c:v>11.29</c:v>
                </c:pt>
                <c:pt idx="49">
                  <c:v>10.88</c:v>
                </c:pt>
                <c:pt idx="50">
                  <c:v>11.58</c:v>
                </c:pt>
                <c:pt idx="51">
                  <c:v>11.73</c:v>
                </c:pt>
                <c:pt idx="52">
                  <c:v>11.72</c:v>
                </c:pt>
                <c:pt idx="53">
                  <c:v>11.83</c:v>
                </c:pt>
                <c:pt idx="54">
                  <c:v>11.76</c:v>
                </c:pt>
                <c:pt idx="55">
                  <c:v>11.78</c:v>
                </c:pt>
                <c:pt idx="56">
                  <c:v>11.81</c:v>
                </c:pt>
                <c:pt idx="57">
                  <c:v>11.78</c:v>
                </c:pt>
                <c:pt idx="58">
                  <c:v>11.8</c:v>
                </c:pt>
                <c:pt idx="59">
                  <c:v>11.78</c:v>
                </c:pt>
                <c:pt idx="60">
                  <c:v>11.8</c:v>
                </c:pt>
                <c:pt idx="61">
                  <c:v>11.8</c:v>
                </c:pt>
                <c:pt idx="62">
                  <c:v>11.63</c:v>
                </c:pt>
                <c:pt idx="63">
                  <c:v>11.5</c:v>
                </c:pt>
                <c:pt idx="64">
                  <c:v>11.62</c:v>
                </c:pt>
                <c:pt idx="65">
                  <c:v>11.52</c:v>
                </c:pt>
                <c:pt idx="66">
                  <c:v>11.42</c:v>
                </c:pt>
                <c:pt idx="67">
                  <c:v>10.85</c:v>
                </c:pt>
                <c:pt idx="68">
                  <c:v>10.59</c:v>
                </c:pt>
                <c:pt idx="69">
                  <c:v>10.51</c:v>
                </c:pt>
                <c:pt idx="70">
                  <c:v>10.49</c:v>
                </c:pt>
                <c:pt idx="71">
                  <c:v>9.98</c:v>
                </c:pt>
                <c:pt idx="72">
                  <c:v>9.83</c:v>
                </c:pt>
                <c:pt idx="73">
                  <c:v>9.81</c:v>
                </c:pt>
                <c:pt idx="74">
                  <c:v>9.6199999999999992</c:v>
                </c:pt>
                <c:pt idx="75">
                  <c:v>9.5299999999999994</c:v>
                </c:pt>
                <c:pt idx="76">
                  <c:v>9.4700000000000006</c:v>
                </c:pt>
                <c:pt idx="77">
                  <c:v>9.33</c:v>
                </c:pt>
                <c:pt idx="78">
                  <c:v>9.3000000000000007</c:v>
                </c:pt>
                <c:pt idx="79">
                  <c:v>9.1</c:v>
                </c:pt>
                <c:pt idx="80">
                  <c:v>8.9600000000000009</c:v>
                </c:pt>
                <c:pt idx="81">
                  <c:v>8.84</c:v>
                </c:pt>
                <c:pt idx="82">
                  <c:v>8.66</c:v>
                </c:pt>
                <c:pt idx="83">
                  <c:v>8.6999999999999993</c:v>
                </c:pt>
                <c:pt idx="84">
                  <c:v>8.66</c:v>
                </c:pt>
                <c:pt idx="85">
                  <c:v>8.57</c:v>
                </c:pt>
                <c:pt idx="86">
                  <c:v>8.48</c:v>
                </c:pt>
                <c:pt idx="87">
                  <c:v>8.5</c:v>
                </c:pt>
                <c:pt idx="88">
                  <c:v>8.56</c:v>
                </c:pt>
                <c:pt idx="89">
                  <c:v>8.48</c:v>
                </c:pt>
                <c:pt idx="90">
                  <c:v>8.48</c:v>
                </c:pt>
                <c:pt idx="91">
                  <c:v>8.34</c:v>
                </c:pt>
                <c:pt idx="92">
                  <c:v>8.31</c:v>
                </c:pt>
                <c:pt idx="93">
                  <c:v>7.81</c:v>
                </c:pt>
                <c:pt idx="94">
                  <c:v>7.7</c:v>
                </c:pt>
                <c:pt idx="95">
                  <c:v>7.7</c:v>
                </c:pt>
                <c:pt idx="96">
                  <c:v>7.63</c:v>
                </c:pt>
                <c:pt idx="97">
                  <c:v>7.53</c:v>
                </c:pt>
                <c:pt idx="98">
                  <c:v>7.56</c:v>
                </c:pt>
                <c:pt idx="99">
                  <c:v>7.4</c:v>
                </c:pt>
                <c:pt idx="100">
                  <c:v>7.44</c:v>
                </c:pt>
                <c:pt idx="101">
                  <c:v>7.38</c:v>
                </c:pt>
                <c:pt idx="102">
                  <c:v>7.36</c:v>
                </c:pt>
                <c:pt idx="103">
                  <c:v>7.25</c:v>
                </c:pt>
                <c:pt idx="104">
                  <c:v>7.15</c:v>
                </c:pt>
                <c:pt idx="105">
                  <c:v>7.13</c:v>
                </c:pt>
                <c:pt idx="106">
                  <c:v>7.19</c:v>
                </c:pt>
                <c:pt idx="107">
                  <c:v>7.14</c:v>
                </c:pt>
                <c:pt idx="108">
                  <c:v>7.08</c:v>
                </c:pt>
                <c:pt idx="109">
                  <c:v>7.08</c:v>
                </c:pt>
                <c:pt idx="110">
                  <c:v>7.08</c:v>
                </c:pt>
                <c:pt idx="111">
                  <c:v>6.97</c:v>
                </c:pt>
                <c:pt idx="112">
                  <c:v>7</c:v>
                </c:pt>
                <c:pt idx="113">
                  <c:v>6.93</c:v>
                </c:pt>
                <c:pt idx="114">
                  <c:v>6.95</c:v>
                </c:pt>
                <c:pt idx="115">
                  <c:v>7.01</c:v>
                </c:pt>
                <c:pt idx="116">
                  <c:v>7.19</c:v>
                </c:pt>
                <c:pt idx="117">
                  <c:v>7.47</c:v>
                </c:pt>
                <c:pt idx="118">
                  <c:v>8</c:v>
                </c:pt>
              </c:numCache>
            </c:numRef>
          </c:val>
          <c:smooth val="0"/>
          <c:extLst>
            <c:ext xmlns:c16="http://schemas.microsoft.com/office/drawing/2014/chart" uri="{C3380CC4-5D6E-409C-BE32-E72D297353CC}">
              <c16:uniqueId val="{00000009-964B-410F-AFC6-2954B7F72C94}"/>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[xlFOCUS.xlsm]SCR 2!Tabela dinâmica2</c:name>
    <c:fmtId val="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
        <c:idx val="1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'SCR 2'!$L$5:$L$6</c:f>
              <c:strCache>
                <c:ptCount val="1"/>
                <c:pt idx="0">
                  <c:v>BCO BRADESCO S.A.</c:v>
                </c:pt>
              </c:strCache>
            </c:strRef>
          </c:tx>
          <c:spPr>
            <a:ln w="28575" cap="rnd">
              <a:solidFill>
                <a:schemeClr val="accent1"/>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2'!$L$7:$L$238</c:f>
              <c:numCache>
                <c:formatCode>General</c:formatCode>
                <c:ptCount val="232"/>
                <c:pt idx="0">
                  <c:v>15.55</c:v>
                </c:pt>
                <c:pt idx="1">
                  <c:v>15.36</c:v>
                </c:pt>
                <c:pt idx="2">
                  <c:v>15.49</c:v>
                </c:pt>
                <c:pt idx="3">
                  <c:v>15.34</c:v>
                </c:pt>
                <c:pt idx="4">
                  <c:v>15.27</c:v>
                </c:pt>
                <c:pt idx="5">
                  <c:v>15.11</c:v>
                </c:pt>
                <c:pt idx="6">
                  <c:v>15.04</c:v>
                </c:pt>
                <c:pt idx="7">
                  <c:v>14.88</c:v>
                </c:pt>
                <c:pt idx="8">
                  <c:v>15.01</c:v>
                </c:pt>
                <c:pt idx="9">
                  <c:v>15.03</c:v>
                </c:pt>
                <c:pt idx="10">
                  <c:v>15.13</c:v>
                </c:pt>
                <c:pt idx="11">
                  <c:v>15.2</c:v>
                </c:pt>
                <c:pt idx="12">
                  <c:v>15.28</c:v>
                </c:pt>
                <c:pt idx="13">
                  <c:v>15.22</c:v>
                </c:pt>
                <c:pt idx="14">
                  <c:v>15.1</c:v>
                </c:pt>
                <c:pt idx="15">
                  <c:v>15.09</c:v>
                </c:pt>
                <c:pt idx="16">
                  <c:v>14.83</c:v>
                </c:pt>
                <c:pt idx="17">
                  <c:v>14.79</c:v>
                </c:pt>
                <c:pt idx="18">
                  <c:v>14.67</c:v>
                </c:pt>
                <c:pt idx="19">
                  <c:v>14.69</c:v>
                </c:pt>
                <c:pt idx="20">
                  <c:v>14.56</c:v>
                </c:pt>
                <c:pt idx="21">
                  <c:v>14.73</c:v>
                </c:pt>
                <c:pt idx="22">
                  <c:v>14.66</c:v>
                </c:pt>
                <c:pt idx="23">
                  <c:v>14.6</c:v>
                </c:pt>
                <c:pt idx="24">
                  <c:v>14.68</c:v>
                </c:pt>
                <c:pt idx="25">
                  <c:v>14.67</c:v>
                </c:pt>
                <c:pt idx="26">
                  <c:v>14.65</c:v>
                </c:pt>
                <c:pt idx="27">
                  <c:v>14.72</c:v>
                </c:pt>
                <c:pt idx="28">
                  <c:v>14.82</c:v>
                </c:pt>
                <c:pt idx="29">
                  <c:v>14.81</c:v>
                </c:pt>
                <c:pt idx="30">
                  <c:v>14.93</c:v>
                </c:pt>
                <c:pt idx="31">
                  <c:v>14.89</c:v>
                </c:pt>
                <c:pt idx="32">
                  <c:v>15.06</c:v>
                </c:pt>
                <c:pt idx="33">
                  <c:v>15.17</c:v>
                </c:pt>
                <c:pt idx="34">
                  <c:v>15.13</c:v>
                </c:pt>
                <c:pt idx="35">
                  <c:v>15.17</c:v>
                </c:pt>
                <c:pt idx="36">
                  <c:v>15.42</c:v>
                </c:pt>
                <c:pt idx="37">
                  <c:v>15.53</c:v>
                </c:pt>
                <c:pt idx="38">
                  <c:v>15.7</c:v>
                </c:pt>
                <c:pt idx="39">
                  <c:v>15.92</c:v>
                </c:pt>
                <c:pt idx="40">
                  <c:v>15.98</c:v>
                </c:pt>
                <c:pt idx="41">
                  <c:v>16.02</c:v>
                </c:pt>
                <c:pt idx="42">
                  <c:v>15.98</c:v>
                </c:pt>
                <c:pt idx="43">
                  <c:v>15.9</c:v>
                </c:pt>
                <c:pt idx="44">
                  <c:v>16.05</c:v>
                </c:pt>
                <c:pt idx="45">
                  <c:v>16.12</c:v>
                </c:pt>
                <c:pt idx="46">
                  <c:v>16.059999999999999</c:v>
                </c:pt>
                <c:pt idx="47">
                  <c:v>16.05</c:v>
                </c:pt>
                <c:pt idx="48">
                  <c:v>16.010000000000002</c:v>
                </c:pt>
                <c:pt idx="49">
                  <c:v>15.84</c:v>
                </c:pt>
                <c:pt idx="50">
                  <c:v>15.69</c:v>
                </c:pt>
                <c:pt idx="51">
                  <c:v>15.76</c:v>
                </c:pt>
                <c:pt idx="52">
                  <c:v>15.73</c:v>
                </c:pt>
                <c:pt idx="53">
                  <c:v>15.8</c:v>
                </c:pt>
                <c:pt idx="54">
                  <c:v>15.93</c:v>
                </c:pt>
                <c:pt idx="55">
                  <c:v>16.05</c:v>
                </c:pt>
                <c:pt idx="56">
                  <c:v>16.059999999999999</c:v>
                </c:pt>
                <c:pt idx="57">
                  <c:v>16.05</c:v>
                </c:pt>
                <c:pt idx="58">
                  <c:v>16.11</c:v>
                </c:pt>
                <c:pt idx="59">
                  <c:v>16.07</c:v>
                </c:pt>
                <c:pt idx="60">
                  <c:v>16.25</c:v>
                </c:pt>
                <c:pt idx="61">
                  <c:v>16.3</c:v>
                </c:pt>
                <c:pt idx="62">
                  <c:v>16.54</c:v>
                </c:pt>
                <c:pt idx="63">
                  <c:v>16.579999999999998</c:v>
                </c:pt>
                <c:pt idx="64">
                  <c:v>16.71</c:v>
                </c:pt>
                <c:pt idx="65">
                  <c:v>16.71</c:v>
                </c:pt>
                <c:pt idx="66">
                  <c:v>16.760000000000002</c:v>
                </c:pt>
                <c:pt idx="67">
                  <c:v>16.760000000000002</c:v>
                </c:pt>
                <c:pt idx="68">
                  <c:v>16.77</c:v>
                </c:pt>
                <c:pt idx="69">
                  <c:v>16.690000000000001</c:v>
                </c:pt>
                <c:pt idx="70">
                  <c:v>16.62</c:v>
                </c:pt>
                <c:pt idx="71">
                  <c:v>16.62</c:v>
                </c:pt>
                <c:pt idx="72">
                  <c:v>16.43</c:v>
                </c:pt>
                <c:pt idx="73">
                  <c:v>16.36</c:v>
                </c:pt>
                <c:pt idx="74">
                  <c:v>16.22</c:v>
                </c:pt>
                <c:pt idx="75">
                  <c:v>16.100000000000001</c:v>
                </c:pt>
                <c:pt idx="76">
                  <c:v>16.02</c:v>
                </c:pt>
                <c:pt idx="77">
                  <c:v>16.059999999999999</c:v>
                </c:pt>
                <c:pt idx="78">
                  <c:v>16.05</c:v>
                </c:pt>
                <c:pt idx="79">
                  <c:v>16.190000000000001</c:v>
                </c:pt>
                <c:pt idx="80">
                  <c:v>16.350000000000001</c:v>
                </c:pt>
                <c:pt idx="81">
                  <c:v>16.53</c:v>
                </c:pt>
                <c:pt idx="82">
                  <c:v>16.63</c:v>
                </c:pt>
                <c:pt idx="83">
                  <c:v>16.72</c:v>
                </c:pt>
                <c:pt idx="84">
                  <c:v>16.78</c:v>
                </c:pt>
                <c:pt idx="85">
                  <c:v>16.77</c:v>
                </c:pt>
                <c:pt idx="86">
                  <c:v>16.809999999999999</c:v>
                </c:pt>
                <c:pt idx="87">
                  <c:v>16.899999999999999</c:v>
                </c:pt>
                <c:pt idx="88">
                  <c:v>16.88</c:v>
                </c:pt>
                <c:pt idx="89">
                  <c:v>16.71</c:v>
                </c:pt>
                <c:pt idx="90">
                  <c:v>16.760000000000002</c:v>
                </c:pt>
                <c:pt idx="91">
                  <c:v>16.64</c:v>
                </c:pt>
                <c:pt idx="92">
                  <c:v>16.579999999999998</c:v>
                </c:pt>
                <c:pt idx="93">
                  <c:v>16.68</c:v>
                </c:pt>
                <c:pt idx="94">
                  <c:v>16.829999999999998</c:v>
                </c:pt>
                <c:pt idx="95">
                  <c:v>16.78</c:v>
                </c:pt>
                <c:pt idx="96">
                  <c:v>16.72</c:v>
                </c:pt>
                <c:pt idx="97">
                  <c:v>16.670000000000002</c:v>
                </c:pt>
                <c:pt idx="98">
                  <c:v>16.600000000000001</c:v>
                </c:pt>
                <c:pt idx="99">
                  <c:v>16.57</c:v>
                </c:pt>
                <c:pt idx="100">
                  <c:v>16.5</c:v>
                </c:pt>
                <c:pt idx="101">
                  <c:v>16.62</c:v>
                </c:pt>
                <c:pt idx="102">
                  <c:v>16.63</c:v>
                </c:pt>
                <c:pt idx="103">
                  <c:v>16.72</c:v>
                </c:pt>
                <c:pt idx="104">
                  <c:v>16.7</c:v>
                </c:pt>
                <c:pt idx="105">
                  <c:v>16.78</c:v>
                </c:pt>
                <c:pt idx="106">
                  <c:v>16.760000000000002</c:v>
                </c:pt>
                <c:pt idx="107">
                  <c:v>16.95</c:v>
                </c:pt>
                <c:pt idx="108">
                  <c:v>16.809999999999999</c:v>
                </c:pt>
                <c:pt idx="109">
                  <c:v>16.91</c:v>
                </c:pt>
                <c:pt idx="110">
                  <c:v>16.91</c:v>
                </c:pt>
                <c:pt idx="111">
                  <c:v>17.02</c:v>
                </c:pt>
                <c:pt idx="112">
                  <c:v>16.899999999999999</c:v>
                </c:pt>
                <c:pt idx="113">
                  <c:v>17.170000000000002</c:v>
                </c:pt>
                <c:pt idx="114">
                  <c:v>17.21</c:v>
                </c:pt>
                <c:pt idx="115">
                  <c:v>17.420000000000002</c:v>
                </c:pt>
                <c:pt idx="116">
                  <c:v>17.37</c:v>
                </c:pt>
                <c:pt idx="117">
                  <c:v>17.440000000000001</c:v>
                </c:pt>
                <c:pt idx="118">
                  <c:v>17.27</c:v>
                </c:pt>
                <c:pt idx="119">
                  <c:v>17.37</c:v>
                </c:pt>
                <c:pt idx="120">
                  <c:v>17.260000000000002</c:v>
                </c:pt>
                <c:pt idx="121">
                  <c:v>17.34</c:v>
                </c:pt>
                <c:pt idx="122">
                  <c:v>17.489999999999998</c:v>
                </c:pt>
                <c:pt idx="123">
                  <c:v>17.73</c:v>
                </c:pt>
                <c:pt idx="124">
                  <c:v>17.84</c:v>
                </c:pt>
                <c:pt idx="125">
                  <c:v>18.100000000000001</c:v>
                </c:pt>
                <c:pt idx="126">
                  <c:v>18.2</c:v>
                </c:pt>
                <c:pt idx="127">
                  <c:v>18.22</c:v>
                </c:pt>
                <c:pt idx="128">
                  <c:v>18.190000000000001</c:v>
                </c:pt>
                <c:pt idx="129">
                  <c:v>18.350000000000001</c:v>
                </c:pt>
                <c:pt idx="130">
                  <c:v>18.309999999999999</c:v>
                </c:pt>
                <c:pt idx="131">
                  <c:v>18.41</c:v>
                </c:pt>
                <c:pt idx="132">
                  <c:v>18.3</c:v>
                </c:pt>
                <c:pt idx="133">
                  <c:v>18.350000000000001</c:v>
                </c:pt>
                <c:pt idx="134">
                  <c:v>18.14</c:v>
                </c:pt>
                <c:pt idx="135">
                  <c:v>18.13</c:v>
                </c:pt>
                <c:pt idx="136">
                  <c:v>17.989999999999998</c:v>
                </c:pt>
                <c:pt idx="137">
                  <c:v>18.11</c:v>
                </c:pt>
                <c:pt idx="138">
                  <c:v>18.04</c:v>
                </c:pt>
                <c:pt idx="139">
                  <c:v>18.03</c:v>
                </c:pt>
                <c:pt idx="140">
                  <c:v>17.87</c:v>
                </c:pt>
                <c:pt idx="141">
                  <c:v>17.89</c:v>
                </c:pt>
                <c:pt idx="142">
                  <c:v>17.809999999999999</c:v>
                </c:pt>
                <c:pt idx="143">
                  <c:v>17.899999999999999</c:v>
                </c:pt>
                <c:pt idx="144">
                  <c:v>17.98</c:v>
                </c:pt>
                <c:pt idx="145">
                  <c:v>18.260000000000002</c:v>
                </c:pt>
                <c:pt idx="146">
                  <c:v>18.329999999999998</c:v>
                </c:pt>
                <c:pt idx="147">
                  <c:v>18.46</c:v>
                </c:pt>
                <c:pt idx="148">
                  <c:v>18.54</c:v>
                </c:pt>
                <c:pt idx="149">
                  <c:v>18.68</c:v>
                </c:pt>
                <c:pt idx="150">
                  <c:v>18.72</c:v>
                </c:pt>
                <c:pt idx="151">
                  <c:v>18.829999999999998</c:v>
                </c:pt>
                <c:pt idx="152">
                  <c:v>18.98</c:v>
                </c:pt>
                <c:pt idx="153">
                  <c:v>19.02</c:v>
                </c:pt>
                <c:pt idx="154">
                  <c:v>18.8</c:v>
                </c:pt>
                <c:pt idx="155">
                  <c:v>18.829999999999998</c:v>
                </c:pt>
                <c:pt idx="156">
                  <c:v>18.649999999999999</c:v>
                </c:pt>
                <c:pt idx="157">
                  <c:v>18.670000000000002</c:v>
                </c:pt>
                <c:pt idx="158">
                  <c:v>18.760000000000002</c:v>
                </c:pt>
                <c:pt idx="159">
                  <c:v>18.899999999999999</c:v>
                </c:pt>
                <c:pt idx="160">
                  <c:v>18.89</c:v>
                </c:pt>
                <c:pt idx="161">
                  <c:v>19.07</c:v>
                </c:pt>
                <c:pt idx="162">
                  <c:v>18.88</c:v>
                </c:pt>
                <c:pt idx="163">
                  <c:v>18.760000000000002</c:v>
                </c:pt>
                <c:pt idx="164">
                  <c:v>18.829999999999998</c:v>
                </c:pt>
                <c:pt idx="165">
                  <c:v>18.78</c:v>
                </c:pt>
                <c:pt idx="166">
                  <c:v>18.73</c:v>
                </c:pt>
                <c:pt idx="167">
                  <c:v>18.899999999999999</c:v>
                </c:pt>
                <c:pt idx="168">
                  <c:v>18.98</c:v>
                </c:pt>
                <c:pt idx="169">
                  <c:v>19.100000000000001</c:v>
                </c:pt>
                <c:pt idx="170">
                  <c:v>19.32</c:v>
                </c:pt>
                <c:pt idx="171">
                  <c:v>19.600000000000001</c:v>
                </c:pt>
                <c:pt idx="172">
                  <c:v>19.71</c:v>
                </c:pt>
                <c:pt idx="173">
                  <c:v>19.89</c:v>
                </c:pt>
                <c:pt idx="174">
                  <c:v>19.8</c:v>
                </c:pt>
                <c:pt idx="175">
                  <c:v>19.95</c:v>
                </c:pt>
                <c:pt idx="176">
                  <c:v>19.88</c:v>
                </c:pt>
                <c:pt idx="177">
                  <c:v>19.95</c:v>
                </c:pt>
                <c:pt idx="178">
                  <c:v>20</c:v>
                </c:pt>
                <c:pt idx="179">
                  <c:v>20.29</c:v>
                </c:pt>
                <c:pt idx="180">
                  <c:v>20.28</c:v>
                </c:pt>
                <c:pt idx="181">
                  <c:v>20.66</c:v>
                </c:pt>
                <c:pt idx="182">
                  <c:v>20.7</c:v>
                </c:pt>
                <c:pt idx="183">
                  <c:v>20.88</c:v>
                </c:pt>
                <c:pt idx="184">
                  <c:v>21.01</c:v>
                </c:pt>
                <c:pt idx="185">
                  <c:v>21.1</c:v>
                </c:pt>
                <c:pt idx="186">
                  <c:v>21.18</c:v>
                </c:pt>
                <c:pt idx="187">
                  <c:v>21.46</c:v>
                </c:pt>
                <c:pt idx="188">
                  <c:v>21.64</c:v>
                </c:pt>
                <c:pt idx="189">
                  <c:v>21.73</c:v>
                </c:pt>
                <c:pt idx="190">
                  <c:v>21.84</c:v>
                </c:pt>
                <c:pt idx="191">
                  <c:v>21.5</c:v>
                </c:pt>
                <c:pt idx="192">
                  <c:v>21.3</c:v>
                </c:pt>
                <c:pt idx="193">
                  <c:v>21.3</c:v>
                </c:pt>
                <c:pt idx="194">
                  <c:v>21.29</c:v>
                </c:pt>
                <c:pt idx="195">
                  <c:v>21.23</c:v>
                </c:pt>
                <c:pt idx="196">
                  <c:v>21.49</c:v>
                </c:pt>
                <c:pt idx="197">
                  <c:v>21.5</c:v>
                </c:pt>
                <c:pt idx="198">
                  <c:v>21.79</c:v>
                </c:pt>
                <c:pt idx="199">
                  <c:v>21.75</c:v>
                </c:pt>
                <c:pt idx="200">
                  <c:v>22.04</c:v>
                </c:pt>
                <c:pt idx="201">
                  <c:v>21.99</c:v>
                </c:pt>
                <c:pt idx="202">
                  <c:v>22.53</c:v>
                </c:pt>
                <c:pt idx="203">
                  <c:v>22.42</c:v>
                </c:pt>
                <c:pt idx="204">
                  <c:v>22.76</c:v>
                </c:pt>
                <c:pt idx="205">
                  <c:v>22.78</c:v>
                </c:pt>
                <c:pt idx="206">
                  <c:v>23.25</c:v>
                </c:pt>
                <c:pt idx="207">
                  <c:v>23.23</c:v>
                </c:pt>
                <c:pt idx="208">
                  <c:v>23.48</c:v>
                </c:pt>
                <c:pt idx="209">
                  <c:v>23.64</c:v>
                </c:pt>
                <c:pt idx="210">
                  <c:v>23.64</c:v>
                </c:pt>
                <c:pt idx="211">
                  <c:v>23.52</c:v>
                </c:pt>
                <c:pt idx="212">
                  <c:v>23.56</c:v>
                </c:pt>
                <c:pt idx="213">
                  <c:v>23.64</c:v>
                </c:pt>
                <c:pt idx="214">
                  <c:v>23.84</c:v>
                </c:pt>
                <c:pt idx="215">
                  <c:v>23.82</c:v>
                </c:pt>
                <c:pt idx="216">
                  <c:v>23.86</c:v>
                </c:pt>
                <c:pt idx="217">
                  <c:v>23.94</c:v>
                </c:pt>
                <c:pt idx="218">
                  <c:v>24.02</c:v>
                </c:pt>
                <c:pt idx="219">
                  <c:v>23.96</c:v>
                </c:pt>
                <c:pt idx="220">
                  <c:v>23.92</c:v>
                </c:pt>
                <c:pt idx="221">
                  <c:v>23.84</c:v>
                </c:pt>
                <c:pt idx="222">
                  <c:v>23.63</c:v>
                </c:pt>
                <c:pt idx="223">
                  <c:v>23.49</c:v>
                </c:pt>
                <c:pt idx="224">
                  <c:v>23.35</c:v>
                </c:pt>
                <c:pt idx="225">
                  <c:v>23.18</c:v>
                </c:pt>
                <c:pt idx="226">
                  <c:v>23</c:v>
                </c:pt>
                <c:pt idx="227">
                  <c:v>22.93</c:v>
                </c:pt>
                <c:pt idx="228">
                  <c:v>22.91</c:v>
                </c:pt>
                <c:pt idx="229">
                  <c:v>22.88</c:v>
                </c:pt>
                <c:pt idx="230">
                  <c:v>22.92</c:v>
                </c:pt>
                <c:pt idx="231">
                  <c:v>22.86</c:v>
                </c:pt>
              </c:numCache>
            </c:numRef>
          </c:val>
          <c:smooth val="0"/>
          <c:extLst>
            <c:ext xmlns:c16="http://schemas.microsoft.com/office/drawing/2014/chart" uri="{C3380CC4-5D6E-409C-BE32-E72D297353CC}">
              <c16:uniqueId val="{00000037-2203-4D43-B168-0A79B812BF3E}"/>
            </c:ext>
          </c:extLst>
        </c:ser>
        <c:ser>
          <c:idx val="1"/>
          <c:order val="1"/>
          <c:tx>
            <c:strRef>
              <c:f>'SCR 2'!$M$5:$M$6</c:f>
              <c:strCache>
                <c:ptCount val="1"/>
                <c:pt idx="0">
                  <c:v>BCO DO BRASIL S.A.</c:v>
                </c:pt>
              </c:strCache>
            </c:strRef>
          </c:tx>
          <c:spPr>
            <a:ln w="28575" cap="rnd">
              <a:solidFill>
                <a:schemeClr val="accent2"/>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2'!$M$7:$M$238</c:f>
              <c:numCache>
                <c:formatCode>General</c:formatCode>
                <c:ptCount val="232"/>
                <c:pt idx="0">
                  <c:v>15.97</c:v>
                </c:pt>
                <c:pt idx="1">
                  <c:v>15.77</c:v>
                </c:pt>
                <c:pt idx="2">
                  <c:v>15.65</c:v>
                </c:pt>
                <c:pt idx="3">
                  <c:v>15.67</c:v>
                </c:pt>
                <c:pt idx="4">
                  <c:v>15.89</c:v>
                </c:pt>
                <c:pt idx="5">
                  <c:v>15.75</c:v>
                </c:pt>
                <c:pt idx="6">
                  <c:v>15.86</c:v>
                </c:pt>
                <c:pt idx="7">
                  <c:v>15.92</c:v>
                </c:pt>
                <c:pt idx="8">
                  <c:v>15.88</c:v>
                </c:pt>
                <c:pt idx="9">
                  <c:v>15.71</c:v>
                </c:pt>
                <c:pt idx="10">
                  <c:v>15.7</c:v>
                </c:pt>
                <c:pt idx="11">
                  <c:v>15.59</c:v>
                </c:pt>
                <c:pt idx="12">
                  <c:v>15.5</c:v>
                </c:pt>
                <c:pt idx="13">
                  <c:v>15.06</c:v>
                </c:pt>
                <c:pt idx="14">
                  <c:v>14.89</c:v>
                </c:pt>
                <c:pt idx="15">
                  <c:v>14.61</c:v>
                </c:pt>
                <c:pt idx="16">
                  <c:v>14.55</c:v>
                </c:pt>
                <c:pt idx="17">
                  <c:v>14.47</c:v>
                </c:pt>
                <c:pt idx="18">
                  <c:v>14.73</c:v>
                </c:pt>
                <c:pt idx="19">
                  <c:v>14.73</c:v>
                </c:pt>
                <c:pt idx="20">
                  <c:v>14.81</c:v>
                </c:pt>
                <c:pt idx="21">
                  <c:v>14.72</c:v>
                </c:pt>
                <c:pt idx="22">
                  <c:v>14.7</c:v>
                </c:pt>
                <c:pt idx="23">
                  <c:v>14.47</c:v>
                </c:pt>
                <c:pt idx="24">
                  <c:v>14.42</c:v>
                </c:pt>
                <c:pt idx="25">
                  <c:v>14.38</c:v>
                </c:pt>
                <c:pt idx="26">
                  <c:v>14.34</c:v>
                </c:pt>
                <c:pt idx="27">
                  <c:v>14.25</c:v>
                </c:pt>
                <c:pt idx="28">
                  <c:v>14.27</c:v>
                </c:pt>
                <c:pt idx="29">
                  <c:v>14.28</c:v>
                </c:pt>
                <c:pt idx="30">
                  <c:v>14.16</c:v>
                </c:pt>
                <c:pt idx="31">
                  <c:v>14.17</c:v>
                </c:pt>
                <c:pt idx="32">
                  <c:v>14.29</c:v>
                </c:pt>
                <c:pt idx="33">
                  <c:v>14.22</c:v>
                </c:pt>
                <c:pt idx="34">
                  <c:v>14.09</c:v>
                </c:pt>
                <c:pt idx="35">
                  <c:v>14.01</c:v>
                </c:pt>
                <c:pt idx="36">
                  <c:v>13.91</c:v>
                </c:pt>
                <c:pt idx="37">
                  <c:v>13.95</c:v>
                </c:pt>
                <c:pt idx="38">
                  <c:v>14.08</c:v>
                </c:pt>
                <c:pt idx="39">
                  <c:v>14.33</c:v>
                </c:pt>
                <c:pt idx="40">
                  <c:v>14.7</c:v>
                </c:pt>
                <c:pt idx="41">
                  <c:v>14.95</c:v>
                </c:pt>
                <c:pt idx="42">
                  <c:v>14.71</c:v>
                </c:pt>
                <c:pt idx="43">
                  <c:v>14.71</c:v>
                </c:pt>
                <c:pt idx="44">
                  <c:v>14.47</c:v>
                </c:pt>
                <c:pt idx="45">
                  <c:v>14.31</c:v>
                </c:pt>
                <c:pt idx="46">
                  <c:v>14.15</c:v>
                </c:pt>
                <c:pt idx="47">
                  <c:v>14.2</c:v>
                </c:pt>
                <c:pt idx="48">
                  <c:v>14.04</c:v>
                </c:pt>
                <c:pt idx="49">
                  <c:v>14.06</c:v>
                </c:pt>
                <c:pt idx="50">
                  <c:v>14.07</c:v>
                </c:pt>
                <c:pt idx="51">
                  <c:v>14.19</c:v>
                </c:pt>
                <c:pt idx="52">
                  <c:v>14.5</c:v>
                </c:pt>
                <c:pt idx="53">
                  <c:v>14.54</c:v>
                </c:pt>
                <c:pt idx="54">
                  <c:v>14.85</c:v>
                </c:pt>
                <c:pt idx="55">
                  <c:v>14.87</c:v>
                </c:pt>
                <c:pt idx="56">
                  <c:v>14.69</c:v>
                </c:pt>
                <c:pt idx="57">
                  <c:v>14.49</c:v>
                </c:pt>
                <c:pt idx="58">
                  <c:v>14.64</c:v>
                </c:pt>
                <c:pt idx="59">
                  <c:v>14.66</c:v>
                </c:pt>
                <c:pt idx="60">
                  <c:v>14.92</c:v>
                </c:pt>
                <c:pt idx="61">
                  <c:v>15.2</c:v>
                </c:pt>
                <c:pt idx="62">
                  <c:v>15.35</c:v>
                </c:pt>
                <c:pt idx="63">
                  <c:v>15.45</c:v>
                </c:pt>
                <c:pt idx="64">
                  <c:v>15.25</c:v>
                </c:pt>
                <c:pt idx="65">
                  <c:v>15.21</c:v>
                </c:pt>
                <c:pt idx="66">
                  <c:v>15.41</c:v>
                </c:pt>
                <c:pt idx="67">
                  <c:v>15.53</c:v>
                </c:pt>
                <c:pt idx="68">
                  <c:v>15.28</c:v>
                </c:pt>
                <c:pt idx="69">
                  <c:v>15.44</c:v>
                </c:pt>
                <c:pt idx="70">
                  <c:v>15.35</c:v>
                </c:pt>
                <c:pt idx="71">
                  <c:v>15.19</c:v>
                </c:pt>
                <c:pt idx="72">
                  <c:v>15</c:v>
                </c:pt>
                <c:pt idx="73">
                  <c:v>15.09</c:v>
                </c:pt>
                <c:pt idx="74">
                  <c:v>15.09</c:v>
                </c:pt>
                <c:pt idx="75">
                  <c:v>15.11</c:v>
                </c:pt>
                <c:pt idx="76">
                  <c:v>15.12</c:v>
                </c:pt>
                <c:pt idx="77">
                  <c:v>15.31</c:v>
                </c:pt>
                <c:pt idx="78">
                  <c:v>15.36</c:v>
                </c:pt>
                <c:pt idx="79">
                  <c:v>15.56</c:v>
                </c:pt>
                <c:pt idx="80">
                  <c:v>15.61</c:v>
                </c:pt>
                <c:pt idx="81">
                  <c:v>15.81</c:v>
                </c:pt>
                <c:pt idx="82">
                  <c:v>15.82</c:v>
                </c:pt>
                <c:pt idx="83">
                  <c:v>15.87</c:v>
                </c:pt>
                <c:pt idx="84">
                  <c:v>15.58</c:v>
                </c:pt>
                <c:pt idx="85">
                  <c:v>15.71</c:v>
                </c:pt>
                <c:pt idx="86">
                  <c:v>15.58</c:v>
                </c:pt>
                <c:pt idx="87">
                  <c:v>15.46</c:v>
                </c:pt>
                <c:pt idx="88">
                  <c:v>15.65</c:v>
                </c:pt>
                <c:pt idx="89">
                  <c:v>15.67</c:v>
                </c:pt>
                <c:pt idx="90">
                  <c:v>15.68</c:v>
                </c:pt>
                <c:pt idx="91">
                  <c:v>15.67</c:v>
                </c:pt>
                <c:pt idx="92">
                  <c:v>15.79</c:v>
                </c:pt>
                <c:pt idx="93">
                  <c:v>15.69</c:v>
                </c:pt>
                <c:pt idx="94">
                  <c:v>15.72</c:v>
                </c:pt>
                <c:pt idx="95">
                  <c:v>15.68</c:v>
                </c:pt>
                <c:pt idx="96">
                  <c:v>15.71</c:v>
                </c:pt>
                <c:pt idx="97">
                  <c:v>15.58</c:v>
                </c:pt>
                <c:pt idx="98">
                  <c:v>15.53</c:v>
                </c:pt>
                <c:pt idx="99">
                  <c:v>15.73</c:v>
                </c:pt>
                <c:pt idx="100">
                  <c:v>15.7</c:v>
                </c:pt>
                <c:pt idx="101">
                  <c:v>15.71</c:v>
                </c:pt>
                <c:pt idx="102">
                  <c:v>15.88</c:v>
                </c:pt>
                <c:pt idx="103">
                  <c:v>16.05</c:v>
                </c:pt>
                <c:pt idx="104">
                  <c:v>15.86</c:v>
                </c:pt>
                <c:pt idx="105">
                  <c:v>15.86</c:v>
                </c:pt>
                <c:pt idx="106">
                  <c:v>15.86</c:v>
                </c:pt>
                <c:pt idx="107">
                  <c:v>15.81</c:v>
                </c:pt>
                <c:pt idx="108">
                  <c:v>15.55</c:v>
                </c:pt>
                <c:pt idx="109">
                  <c:v>15.53</c:v>
                </c:pt>
                <c:pt idx="110">
                  <c:v>15.46</c:v>
                </c:pt>
                <c:pt idx="111">
                  <c:v>15.26</c:v>
                </c:pt>
                <c:pt idx="112">
                  <c:v>15.17</c:v>
                </c:pt>
                <c:pt idx="113">
                  <c:v>15.24</c:v>
                </c:pt>
                <c:pt idx="114">
                  <c:v>15.2</c:v>
                </c:pt>
                <c:pt idx="115">
                  <c:v>15.21</c:v>
                </c:pt>
                <c:pt idx="116">
                  <c:v>15.27</c:v>
                </c:pt>
                <c:pt idx="117">
                  <c:v>15.25</c:v>
                </c:pt>
                <c:pt idx="118">
                  <c:v>15.26</c:v>
                </c:pt>
                <c:pt idx="119">
                  <c:v>15.12</c:v>
                </c:pt>
                <c:pt idx="120">
                  <c:v>15.18</c:v>
                </c:pt>
                <c:pt idx="121">
                  <c:v>15.21</c:v>
                </c:pt>
                <c:pt idx="122">
                  <c:v>15.23</c:v>
                </c:pt>
                <c:pt idx="123">
                  <c:v>15.19</c:v>
                </c:pt>
                <c:pt idx="124">
                  <c:v>15.58</c:v>
                </c:pt>
                <c:pt idx="125">
                  <c:v>15.99</c:v>
                </c:pt>
                <c:pt idx="126">
                  <c:v>15.86</c:v>
                </c:pt>
                <c:pt idx="127">
                  <c:v>15.9</c:v>
                </c:pt>
                <c:pt idx="128">
                  <c:v>15.91</c:v>
                </c:pt>
                <c:pt idx="129">
                  <c:v>15.92</c:v>
                </c:pt>
                <c:pt idx="130">
                  <c:v>15.77</c:v>
                </c:pt>
                <c:pt idx="131">
                  <c:v>15.84</c:v>
                </c:pt>
                <c:pt idx="132">
                  <c:v>15.85</c:v>
                </c:pt>
                <c:pt idx="133">
                  <c:v>15.73</c:v>
                </c:pt>
                <c:pt idx="134">
                  <c:v>15.8</c:v>
                </c:pt>
                <c:pt idx="135">
                  <c:v>15.83</c:v>
                </c:pt>
                <c:pt idx="136">
                  <c:v>15.77</c:v>
                </c:pt>
                <c:pt idx="137">
                  <c:v>15.7</c:v>
                </c:pt>
                <c:pt idx="138">
                  <c:v>15.91</c:v>
                </c:pt>
                <c:pt idx="139">
                  <c:v>15.73</c:v>
                </c:pt>
                <c:pt idx="140">
                  <c:v>15.77</c:v>
                </c:pt>
                <c:pt idx="141">
                  <c:v>15.63</c:v>
                </c:pt>
                <c:pt idx="142">
                  <c:v>15.46</c:v>
                </c:pt>
                <c:pt idx="143">
                  <c:v>15.26</c:v>
                </c:pt>
                <c:pt idx="144">
                  <c:v>15.27</c:v>
                </c:pt>
                <c:pt idx="145">
                  <c:v>15.34</c:v>
                </c:pt>
                <c:pt idx="146">
                  <c:v>15.74</c:v>
                </c:pt>
                <c:pt idx="147">
                  <c:v>16.14</c:v>
                </c:pt>
                <c:pt idx="148">
                  <c:v>16.32</c:v>
                </c:pt>
                <c:pt idx="149">
                  <c:v>16.46</c:v>
                </c:pt>
                <c:pt idx="150">
                  <c:v>16.489999999999998</c:v>
                </c:pt>
                <c:pt idx="151">
                  <c:v>16.45</c:v>
                </c:pt>
                <c:pt idx="152">
                  <c:v>16.45</c:v>
                </c:pt>
                <c:pt idx="153">
                  <c:v>16.47</c:v>
                </c:pt>
                <c:pt idx="154">
                  <c:v>16.66</c:v>
                </c:pt>
                <c:pt idx="155">
                  <c:v>16.649999999999999</c:v>
                </c:pt>
                <c:pt idx="156">
                  <c:v>16.5</c:v>
                </c:pt>
                <c:pt idx="157">
                  <c:v>16.48</c:v>
                </c:pt>
                <c:pt idx="158">
                  <c:v>16.600000000000001</c:v>
                </c:pt>
                <c:pt idx="159">
                  <c:v>16.510000000000002</c:v>
                </c:pt>
                <c:pt idx="160">
                  <c:v>16.53</c:v>
                </c:pt>
                <c:pt idx="161">
                  <c:v>16.68</c:v>
                </c:pt>
                <c:pt idx="162">
                  <c:v>16.55</c:v>
                </c:pt>
                <c:pt idx="163">
                  <c:v>16.38</c:v>
                </c:pt>
                <c:pt idx="164">
                  <c:v>16.45</c:v>
                </c:pt>
                <c:pt idx="165">
                  <c:v>16.420000000000002</c:v>
                </c:pt>
                <c:pt idx="166">
                  <c:v>16.57</c:v>
                </c:pt>
                <c:pt idx="167">
                  <c:v>16.71</c:v>
                </c:pt>
                <c:pt idx="168">
                  <c:v>16.89</c:v>
                </c:pt>
                <c:pt idx="169">
                  <c:v>16.989999999999998</c:v>
                </c:pt>
                <c:pt idx="170">
                  <c:v>16.95</c:v>
                </c:pt>
                <c:pt idx="171">
                  <c:v>16.66</c:v>
                </c:pt>
                <c:pt idx="172">
                  <c:v>16.73</c:v>
                </c:pt>
                <c:pt idx="173">
                  <c:v>16.66</c:v>
                </c:pt>
                <c:pt idx="174">
                  <c:v>16.48</c:v>
                </c:pt>
                <c:pt idx="175">
                  <c:v>16.46</c:v>
                </c:pt>
                <c:pt idx="176">
                  <c:v>16.54</c:v>
                </c:pt>
                <c:pt idx="177">
                  <c:v>16.54</c:v>
                </c:pt>
                <c:pt idx="178">
                  <c:v>16.63</c:v>
                </c:pt>
                <c:pt idx="179">
                  <c:v>16.79</c:v>
                </c:pt>
                <c:pt idx="180">
                  <c:v>17.010000000000002</c:v>
                </c:pt>
                <c:pt idx="181">
                  <c:v>17.149999999999999</c:v>
                </c:pt>
                <c:pt idx="182">
                  <c:v>17.239999999999998</c:v>
                </c:pt>
                <c:pt idx="183">
                  <c:v>17.21</c:v>
                </c:pt>
                <c:pt idx="184">
                  <c:v>17.329999999999998</c:v>
                </c:pt>
                <c:pt idx="185">
                  <c:v>17.420000000000002</c:v>
                </c:pt>
                <c:pt idx="186">
                  <c:v>17.53</c:v>
                </c:pt>
                <c:pt idx="187">
                  <c:v>17.68</c:v>
                </c:pt>
                <c:pt idx="188">
                  <c:v>17.940000000000001</c:v>
                </c:pt>
                <c:pt idx="189">
                  <c:v>18.13</c:v>
                </c:pt>
                <c:pt idx="190">
                  <c:v>18.37</c:v>
                </c:pt>
                <c:pt idx="191">
                  <c:v>18.5</c:v>
                </c:pt>
                <c:pt idx="192">
                  <c:v>18.579999999999998</c:v>
                </c:pt>
                <c:pt idx="193">
                  <c:v>18.829999999999998</c:v>
                </c:pt>
                <c:pt idx="194">
                  <c:v>19.079999999999998</c:v>
                </c:pt>
                <c:pt idx="195">
                  <c:v>18.899999999999999</c:v>
                </c:pt>
                <c:pt idx="196">
                  <c:v>18.989999999999998</c:v>
                </c:pt>
                <c:pt idx="197">
                  <c:v>19.149999999999999</c:v>
                </c:pt>
                <c:pt idx="198">
                  <c:v>19.03</c:v>
                </c:pt>
                <c:pt idx="199">
                  <c:v>18.850000000000001</c:v>
                </c:pt>
                <c:pt idx="200">
                  <c:v>18.89</c:v>
                </c:pt>
                <c:pt idx="201">
                  <c:v>18.82</c:v>
                </c:pt>
                <c:pt idx="202">
                  <c:v>18.78</c:v>
                </c:pt>
                <c:pt idx="203">
                  <c:v>18.899999999999999</c:v>
                </c:pt>
                <c:pt idx="204">
                  <c:v>18.920000000000002</c:v>
                </c:pt>
                <c:pt idx="205">
                  <c:v>19.04</c:v>
                </c:pt>
                <c:pt idx="206">
                  <c:v>19.09</c:v>
                </c:pt>
                <c:pt idx="207">
                  <c:v>19.489999999999998</c:v>
                </c:pt>
                <c:pt idx="208">
                  <c:v>19.670000000000002</c:v>
                </c:pt>
                <c:pt idx="209">
                  <c:v>19.940000000000001</c:v>
                </c:pt>
                <c:pt idx="210">
                  <c:v>20.51</c:v>
                </c:pt>
                <c:pt idx="211">
                  <c:v>20.73</c:v>
                </c:pt>
                <c:pt idx="212">
                  <c:v>20.73</c:v>
                </c:pt>
                <c:pt idx="213">
                  <c:v>20.83</c:v>
                </c:pt>
                <c:pt idx="214">
                  <c:v>20.55</c:v>
                </c:pt>
                <c:pt idx="215">
                  <c:v>20.350000000000001</c:v>
                </c:pt>
                <c:pt idx="216">
                  <c:v>20.32</c:v>
                </c:pt>
                <c:pt idx="217">
                  <c:v>20.079999999999998</c:v>
                </c:pt>
                <c:pt idx="218">
                  <c:v>19.809999999999999</c:v>
                </c:pt>
                <c:pt idx="219">
                  <c:v>19.86</c:v>
                </c:pt>
                <c:pt idx="220">
                  <c:v>19.760000000000002</c:v>
                </c:pt>
                <c:pt idx="221">
                  <c:v>19.75</c:v>
                </c:pt>
                <c:pt idx="222">
                  <c:v>19.829999999999998</c:v>
                </c:pt>
                <c:pt idx="223">
                  <c:v>19.89</c:v>
                </c:pt>
                <c:pt idx="224">
                  <c:v>19.88</c:v>
                </c:pt>
                <c:pt idx="225">
                  <c:v>19.96</c:v>
                </c:pt>
                <c:pt idx="226">
                  <c:v>20</c:v>
                </c:pt>
                <c:pt idx="227">
                  <c:v>20.04</c:v>
                </c:pt>
                <c:pt idx="228">
                  <c:v>20.07</c:v>
                </c:pt>
                <c:pt idx="229">
                  <c:v>20.05</c:v>
                </c:pt>
                <c:pt idx="230">
                  <c:v>20.190000000000001</c:v>
                </c:pt>
                <c:pt idx="231">
                  <c:v>20.07</c:v>
                </c:pt>
              </c:numCache>
            </c:numRef>
          </c:val>
          <c:smooth val="0"/>
          <c:extLst>
            <c:ext xmlns:c16="http://schemas.microsoft.com/office/drawing/2014/chart" uri="{C3380CC4-5D6E-409C-BE32-E72D297353CC}">
              <c16:uniqueId val="{00000038-2203-4D43-B168-0A79B812BF3E}"/>
            </c:ext>
          </c:extLst>
        </c:ser>
        <c:ser>
          <c:idx val="2"/>
          <c:order val="2"/>
          <c:tx>
            <c:strRef>
              <c:f>'SCR 2'!$N$5:$N$6</c:f>
              <c:strCache>
                <c:ptCount val="1"/>
                <c:pt idx="0">
                  <c:v>BCO SANTANDER (BRASIL) S.A.</c:v>
                </c:pt>
              </c:strCache>
            </c:strRef>
          </c:tx>
          <c:spPr>
            <a:ln w="28575" cap="rnd">
              <a:solidFill>
                <a:schemeClr val="accent3"/>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2'!$N$7:$N$238</c:f>
              <c:numCache>
                <c:formatCode>General</c:formatCode>
                <c:ptCount val="232"/>
                <c:pt idx="0">
                  <c:v>15.63</c:v>
                </c:pt>
                <c:pt idx="1">
                  <c:v>15.57</c:v>
                </c:pt>
                <c:pt idx="2">
                  <c:v>15.46</c:v>
                </c:pt>
                <c:pt idx="3">
                  <c:v>15.52</c:v>
                </c:pt>
                <c:pt idx="4">
                  <c:v>15.65</c:v>
                </c:pt>
                <c:pt idx="5">
                  <c:v>15.85</c:v>
                </c:pt>
                <c:pt idx="6">
                  <c:v>15.96</c:v>
                </c:pt>
                <c:pt idx="7">
                  <c:v>15.98</c:v>
                </c:pt>
                <c:pt idx="8">
                  <c:v>15.88</c:v>
                </c:pt>
                <c:pt idx="9">
                  <c:v>15.92</c:v>
                </c:pt>
                <c:pt idx="10">
                  <c:v>15.96</c:v>
                </c:pt>
                <c:pt idx="11">
                  <c:v>15.9</c:v>
                </c:pt>
                <c:pt idx="12">
                  <c:v>15.84</c:v>
                </c:pt>
                <c:pt idx="13">
                  <c:v>16.04</c:v>
                </c:pt>
                <c:pt idx="14">
                  <c:v>16.03</c:v>
                </c:pt>
                <c:pt idx="15">
                  <c:v>16.190000000000001</c:v>
                </c:pt>
                <c:pt idx="16">
                  <c:v>16.37</c:v>
                </c:pt>
                <c:pt idx="17">
                  <c:v>16.260000000000002</c:v>
                </c:pt>
                <c:pt idx="18">
                  <c:v>16.260000000000002</c:v>
                </c:pt>
                <c:pt idx="19">
                  <c:v>16.329999999999998</c:v>
                </c:pt>
                <c:pt idx="20">
                  <c:v>16.18</c:v>
                </c:pt>
                <c:pt idx="21">
                  <c:v>16.420000000000002</c:v>
                </c:pt>
                <c:pt idx="22">
                  <c:v>16.350000000000001</c:v>
                </c:pt>
                <c:pt idx="23">
                  <c:v>16.440000000000001</c:v>
                </c:pt>
                <c:pt idx="24">
                  <c:v>16.55</c:v>
                </c:pt>
                <c:pt idx="25">
                  <c:v>16.420000000000002</c:v>
                </c:pt>
                <c:pt idx="26">
                  <c:v>16.440000000000001</c:v>
                </c:pt>
                <c:pt idx="27">
                  <c:v>16.5</c:v>
                </c:pt>
                <c:pt idx="28">
                  <c:v>16.45</c:v>
                </c:pt>
                <c:pt idx="29">
                  <c:v>16.34</c:v>
                </c:pt>
                <c:pt idx="30">
                  <c:v>16.579999999999998</c:v>
                </c:pt>
                <c:pt idx="31">
                  <c:v>16.52</c:v>
                </c:pt>
                <c:pt idx="32">
                  <c:v>16.600000000000001</c:v>
                </c:pt>
                <c:pt idx="33">
                  <c:v>16.48</c:v>
                </c:pt>
                <c:pt idx="34">
                  <c:v>16.579999999999998</c:v>
                </c:pt>
                <c:pt idx="35">
                  <c:v>16.149999999999999</c:v>
                </c:pt>
                <c:pt idx="36">
                  <c:v>16.14</c:v>
                </c:pt>
                <c:pt idx="37">
                  <c:v>16.079999999999998</c:v>
                </c:pt>
                <c:pt idx="38">
                  <c:v>16.11</c:v>
                </c:pt>
                <c:pt idx="39">
                  <c:v>16.23</c:v>
                </c:pt>
                <c:pt idx="40">
                  <c:v>16.36</c:v>
                </c:pt>
                <c:pt idx="41">
                  <c:v>16.21</c:v>
                </c:pt>
                <c:pt idx="42">
                  <c:v>16.38</c:v>
                </c:pt>
                <c:pt idx="43">
                  <c:v>16.34</c:v>
                </c:pt>
                <c:pt idx="44">
                  <c:v>16.53</c:v>
                </c:pt>
                <c:pt idx="45">
                  <c:v>16.510000000000002</c:v>
                </c:pt>
                <c:pt idx="46">
                  <c:v>16.350000000000001</c:v>
                </c:pt>
                <c:pt idx="47">
                  <c:v>16.27</c:v>
                </c:pt>
                <c:pt idx="48">
                  <c:v>16.32</c:v>
                </c:pt>
                <c:pt idx="49">
                  <c:v>16.2</c:v>
                </c:pt>
                <c:pt idx="50">
                  <c:v>16.23</c:v>
                </c:pt>
                <c:pt idx="51">
                  <c:v>16.239999999999998</c:v>
                </c:pt>
                <c:pt idx="52">
                  <c:v>16.170000000000002</c:v>
                </c:pt>
                <c:pt idx="54">
                  <c:v>15.99</c:v>
                </c:pt>
                <c:pt idx="55">
                  <c:v>16.02</c:v>
                </c:pt>
                <c:pt idx="56">
                  <c:v>16.059999999999999</c:v>
                </c:pt>
                <c:pt idx="57">
                  <c:v>16.12</c:v>
                </c:pt>
                <c:pt idx="58">
                  <c:v>16.05</c:v>
                </c:pt>
                <c:pt idx="59">
                  <c:v>16.170000000000002</c:v>
                </c:pt>
                <c:pt idx="60">
                  <c:v>16.45</c:v>
                </c:pt>
                <c:pt idx="61">
                  <c:v>16.38</c:v>
                </c:pt>
                <c:pt idx="62">
                  <c:v>16.5</c:v>
                </c:pt>
                <c:pt idx="63">
                  <c:v>16.63</c:v>
                </c:pt>
                <c:pt idx="64">
                  <c:v>16.46</c:v>
                </c:pt>
                <c:pt idx="65">
                  <c:v>16.350000000000001</c:v>
                </c:pt>
                <c:pt idx="66">
                  <c:v>16.37</c:v>
                </c:pt>
                <c:pt idx="67">
                  <c:v>16.23</c:v>
                </c:pt>
                <c:pt idx="68">
                  <c:v>16.2</c:v>
                </c:pt>
                <c:pt idx="69">
                  <c:v>16.38</c:v>
                </c:pt>
                <c:pt idx="70">
                  <c:v>16.25</c:v>
                </c:pt>
                <c:pt idx="71">
                  <c:v>16.18</c:v>
                </c:pt>
                <c:pt idx="72">
                  <c:v>16.190000000000001</c:v>
                </c:pt>
                <c:pt idx="73">
                  <c:v>15.99</c:v>
                </c:pt>
                <c:pt idx="74">
                  <c:v>15.92</c:v>
                </c:pt>
                <c:pt idx="75">
                  <c:v>15.97</c:v>
                </c:pt>
                <c:pt idx="76">
                  <c:v>15.94</c:v>
                </c:pt>
                <c:pt idx="77">
                  <c:v>15.89</c:v>
                </c:pt>
                <c:pt idx="78">
                  <c:v>15.82</c:v>
                </c:pt>
                <c:pt idx="79">
                  <c:v>16.03</c:v>
                </c:pt>
                <c:pt idx="80">
                  <c:v>16.18</c:v>
                </c:pt>
                <c:pt idx="81">
                  <c:v>16.510000000000002</c:v>
                </c:pt>
                <c:pt idx="82">
                  <c:v>16.88</c:v>
                </c:pt>
                <c:pt idx="83">
                  <c:v>17.3</c:v>
                </c:pt>
                <c:pt idx="84">
                  <c:v>17.3</c:v>
                </c:pt>
                <c:pt idx="85">
                  <c:v>17.52</c:v>
                </c:pt>
                <c:pt idx="86">
                  <c:v>17.59</c:v>
                </c:pt>
                <c:pt idx="87">
                  <c:v>17.43</c:v>
                </c:pt>
                <c:pt idx="88">
                  <c:v>17.66</c:v>
                </c:pt>
                <c:pt idx="89">
                  <c:v>17.59</c:v>
                </c:pt>
                <c:pt idx="90">
                  <c:v>17.510000000000002</c:v>
                </c:pt>
                <c:pt idx="91">
                  <c:v>17.47</c:v>
                </c:pt>
                <c:pt idx="92">
                  <c:v>17.559999999999999</c:v>
                </c:pt>
                <c:pt idx="93">
                  <c:v>17.45</c:v>
                </c:pt>
                <c:pt idx="94">
                  <c:v>17.59</c:v>
                </c:pt>
                <c:pt idx="95">
                  <c:v>17.63</c:v>
                </c:pt>
                <c:pt idx="96">
                  <c:v>17.440000000000001</c:v>
                </c:pt>
                <c:pt idx="97">
                  <c:v>17.45</c:v>
                </c:pt>
                <c:pt idx="98">
                  <c:v>17.34</c:v>
                </c:pt>
                <c:pt idx="99">
                  <c:v>17.260000000000002</c:v>
                </c:pt>
                <c:pt idx="100">
                  <c:v>17.309999999999999</c:v>
                </c:pt>
                <c:pt idx="101">
                  <c:v>17.61</c:v>
                </c:pt>
                <c:pt idx="102">
                  <c:v>17.739999999999998</c:v>
                </c:pt>
                <c:pt idx="103">
                  <c:v>17.899999999999999</c:v>
                </c:pt>
                <c:pt idx="104">
                  <c:v>18.27</c:v>
                </c:pt>
                <c:pt idx="105">
                  <c:v>18.22</c:v>
                </c:pt>
                <c:pt idx="106">
                  <c:v>18.309999999999999</c:v>
                </c:pt>
                <c:pt idx="107">
                  <c:v>18.579999999999998</c:v>
                </c:pt>
                <c:pt idx="108">
                  <c:v>18.600000000000001</c:v>
                </c:pt>
                <c:pt idx="109">
                  <c:v>18.53</c:v>
                </c:pt>
                <c:pt idx="110">
                  <c:v>18.73</c:v>
                </c:pt>
                <c:pt idx="111">
                  <c:v>18.63</c:v>
                </c:pt>
                <c:pt idx="112">
                  <c:v>18.28</c:v>
                </c:pt>
                <c:pt idx="113">
                  <c:v>18.34</c:v>
                </c:pt>
                <c:pt idx="114">
                  <c:v>18.309999999999999</c:v>
                </c:pt>
                <c:pt idx="115">
                  <c:v>18.28</c:v>
                </c:pt>
                <c:pt idx="116">
                  <c:v>18.21</c:v>
                </c:pt>
                <c:pt idx="117">
                  <c:v>18.36</c:v>
                </c:pt>
                <c:pt idx="118">
                  <c:v>18.53</c:v>
                </c:pt>
                <c:pt idx="119">
                  <c:v>18.32</c:v>
                </c:pt>
                <c:pt idx="120">
                  <c:v>18.39</c:v>
                </c:pt>
                <c:pt idx="121">
                  <c:v>18.579999999999998</c:v>
                </c:pt>
                <c:pt idx="122">
                  <c:v>18.48</c:v>
                </c:pt>
                <c:pt idx="123">
                  <c:v>18.38</c:v>
                </c:pt>
                <c:pt idx="124">
                  <c:v>18.88</c:v>
                </c:pt>
                <c:pt idx="125">
                  <c:v>18.62</c:v>
                </c:pt>
                <c:pt idx="126">
                  <c:v>18.600000000000001</c:v>
                </c:pt>
                <c:pt idx="127">
                  <c:v>18.73</c:v>
                </c:pt>
                <c:pt idx="128">
                  <c:v>18.850000000000001</c:v>
                </c:pt>
                <c:pt idx="129">
                  <c:v>16.91</c:v>
                </c:pt>
                <c:pt idx="133">
                  <c:v>18.260000000000002</c:v>
                </c:pt>
                <c:pt idx="134">
                  <c:v>18.61</c:v>
                </c:pt>
                <c:pt idx="135">
                  <c:v>18.68</c:v>
                </c:pt>
                <c:pt idx="136">
                  <c:v>18.809999999999999</c:v>
                </c:pt>
                <c:pt idx="137">
                  <c:v>19.2</c:v>
                </c:pt>
                <c:pt idx="138">
                  <c:v>18.84</c:v>
                </c:pt>
                <c:pt idx="139">
                  <c:v>18.2</c:v>
                </c:pt>
                <c:pt idx="140">
                  <c:v>18.600000000000001</c:v>
                </c:pt>
                <c:pt idx="141">
                  <c:v>18.47</c:v>
                </c:pt>
                <c:pt idx="142">
                  <c:v>19.09</c:v>
                </c:pt>
                <c:pt idx="143">
                  <c:v>19.309999999999999</c:v>
                </c:pt>
                <c:pt idx="144">
                  <c:v>18.88</c:v>
                </c:pt>
                <c:pt idx="145">
                  <c:v>20.05</c:v>
                </c:pt>
                <c:pt idx="146">
                  <c:v>20.38</c:v>
                </c:pt>
                <c:pt idx="147">
                  <c:v>20.03</c:v>
                </c:pt>
                <c:pt idx="148">
                  <c:v>21.24</c:v>
                </c:pt>
                <c:pt idx="149">
                  <c:v>22.73</c:v>
                </c:pt>
                <c:pt idx="150">
                  <c:v>22.99</c:v>
                </c:pt>
                <c:pt idx="151">
                  <c:v>23.73</c:v>
                </c:pt>
                <c:pt idx="152">
                  <c:v>24.21</c:v>
                </c:pt>
                <c:pt idx="153">
                  <c:v>23.18</c:v>
                </c:pt>
                <c:pt idx="154">
                  <c:v>22.73</c:v>
                </c:pt>
                <c:pt idx="155">
                  <c:v>22.93</c:v>
                </c:pt>
                <c:pt idx="156">
                  <c:v>23.3</c:v>
                </c:pt>
                <c:pt idx="157">
                  <c:v>23.03</c:v>
                </c:pt>
                <c:pt idx="158">
                  <c:v>24.5</c:v>
                </c:pt>
                <c:pt idx="159">
                  <c:v>23.5</c:v>
                </c:pt>
                <c:pt idx="160">
                  <c:v>24.15</c:v>
                </c:pt>
                <c:pt idx="161">
                  <c:v>24.24</c:v>
                </c:pt>
                <c:pt idx="162">
                  <c:v>23.98</c:v>
                </c:pt>
                <c:pt idx="163">
                  <c:v>23.13</c:v>
                </c:pt>
                <c:pt idx="164">
                  <c:v>23.95</c:v>
                </c:pt>
                <c:pt idx="165">
                  <c:v>22.75</c:v>
                </c:pt>
                <c:pt idx="166">
                  <c:v>22.67</c:v>
                </c:pt>
                <c:pt idx="167">
                  <c:v>22.69</c:v>
                </c:pt>
                <c:pt idx="168">
                  <c:v>22.26</c:v>
                </c:pt>
                <c:pt idx="169">
                  <c:v>21.9</c:v>
                </c:pt>
                <c:pt idx="170">
                  <c:v>21.87</c:v>
                </c:pt>
                <c:pt idx="171">
                  <c:v>22.09</c:v>
                </c:pt>
                <c:pt idx="172">
                  <c:v>22.17</c:v>
                </c:pt>
                <c:pt idx="173">
                  <c:v>22.63</c:v>
                </c:pt>
                <c:pt idx="174">
                  <c:v>22.64</c:v>
                </c:pt>
                <c:pt idx="175">
                  <c:v>23.06</c:v>
                </c:pt>
                <c:pt idx="176">
                  <c:v>23.39</c:v>
                </c:pt>
                <c:pt idx="177">
                  <c:v>23.95</c:v>
                </c:pt>
                <c:pt idx="178">
                  <c:v>23.92</c:v>
                </c:pt>
                <c:pt idx="179">
                  <c:v>24.54</c:v>
                </c:pt>
                <c:pt idx="180">
                  <c:v>24.56</c:v>
                </c:pt>
                <c:pt idx="181">
                  <c:v>24.3</c:v>
                </c:pt>
                <c:pt idx="182">
                  <c:v>24.3</c:v>
                </c:pt>
                <c:pt idx="183">
                  <c:v>24.66</c:v>
                </c:pt>
                <c:pt idx="184">
                  <c:v>24.94</c:v>
                </c:pt>
                <c:pt idx="185">
                  <c:v>25.1</c:v>
                </c:pt>
                <c:pt idx="186">
                  <c:v>24.71</c:v>
                </c:pt>
                <c:pt idx="187">
                  <c:v>24.5</c:v>
                </c:pt>
                <c:pt idx="188">
                  <c:v>24.51</c:v>
                </c:pt>
                <c:pt idx="189">
                  <c:v>24.02</c:v>
                </c:pt>
                <c:pt idx="190">
                  <c:v>24.07</c:v>
                </c:pt>
                <c:pt idx="191">
                  <c:v>24.76</c:v>
                </c:pt>
                <c:pt idx="192">
                  <c:v>24.4</c:v>
                </c:pt>
                <c:pt idx="193">
                  <c:v>23.98</c:v>
                </c:pt>
                <c:pt idx="194">
                  <c:v>23.85</c:v>
                </c:pt>
                <c:pt idx="195">
                  <c:v>24.59</c:v>
                </c:pt>
                <c:pt idx="196">
                  <c:v>23.78</c:v>
                </c:pt>
                <c:pt idx="197">
                  <c:v>24.97</c:v>
                </c:pt>
                <c:pt idx="198">
                  <c:v>25.43</c:v>
                </c:pt>
                <c:pt idx="199">
                  <c:v>26.25</c:v>
                </c:pt>
                <c:pt idx="200">
                  <c:v>25.93</c:v>
                </c:pt>
                <c:pt idx="201">
                  <c:v>25.05</c:v>
                </c:pt>
                <c:pt idx="202">
                  <c:v>23.99</c:v>
                </c:pt>
                <c:pt idx="203">
                  <c:v>24.74</c:v>
                </c:pt>
                <c:pt idx="204">
                  <c:v>25.28</c:v>
                </c:pt>
                <c:pt idx="205">
                  <c:v>25.04</c:v>
                </c:pt>
                <c:pt idx="206">
                  <c:v>24.57</c:v>
                </c:pt>
                <c:pt idx="207">
                  <c:v>24.27</c:v>
                </c:pt>
                <c:pt idx="208">
                  <c:v>23.59</c:v>
                </c:pt>
                <c:pt idx="209">
                  <c:v>23.32</c:v>
                </c:pt>
                <c:pt idx="210">
                  <c:v>26.24</c:v>
                </c:pt>
                <c:pt idx="211">
                  <c:v>26.12</c:v>
                </c:pt>
                <c:pt idx="212">
                  <c:v>27.75</c:v>
                </c:pt>
                <c:pt idx="213">
                  <c:v>27.98</c:v>
                </c:pt>
                <c:pt idx="214">
                  <c:v>28.5</c:v>
                </c:pt>
                <c:pt idx="215">
                  <c:v>27.34</c:v>
                </c:pt>
                <c:pt idx="216">
                  <c:v>28.38</c:v>
                </c:pt>
                <c:pt idx="217">
                  <c:v>27.93</c:v>
                </c:pt>
                <c:pt idx="218">
                  <c:v>27.83</c:v>
                </c:pt>
                <c:pt idx="219">
                  <c:v>26.46</c:v>
                </c:pt>
                <c:pt idx="220">
                  <c:v>27.1</c:v>
                </c:pt>
                <c:pt idx="221">
                  <c:v>28.21</c:v>
                </c:pt>
                <c:pt idx="222">
                  <c:v>26.51</c:v>
                </c:pt>
                <c:pt idx="223">
                  <c:v>26.59</c:v>
                </c:pt>
                <c:pt idx="224">
                  <c:v>27.52</c:v>
                </c:pt>
                <c:pt idx="225">
                  <c:v>27.46</c:v>
                </c:pt>
                <c:pt idx="226">
                  <c:v>27.32</c:v>
                </c:pt>
                <c:pt idx="227">
                  <c:v>29.73</c:v>
                </c:pt>
                <c:pt idx="228">
                  <c:v>28.15</c:v>
                </c:pt>
                <c:pt idx="229">
                  <c:v>28.35</c:v>
                </c:pt>
                <c:pt idx="230">
                  <c:v>27.85</c:v>
                </c:pt>
                <c:pt idx="231">
                  <c:v>27.67</c:v>
                </c:pt>
              </c:numCache>
            </c:numRef>
          </c:val>
          <c:smooth val="0"/>
          <c:extLst>
            <c:ext xmlns:c16="http://schemas.microsoft.com/office/drawing/2014/chart" uri="{C3380CC4-5D6E-409C-BE32-E72D297353CC}">
              <c16:uniqueId val="{00000039-2203-4D43-B168-0A79B812BF3E}"/>
            </c:ext>
          </c:extLst>
        </c:ser>
        <c:ser>
          <c:idx val="3"/>
          <c:order val="3"/>
          <c:tx>
            <c:strRef>
              <c:f>'SCR 2'!$O$5:$O$6</c:f>
              <c:strCache>
                <c:ptCount val="1"/>
                <c:pt idx="0">
                  <c:v>ITAÚ UNIBANCO S.A.</c:v>
                </c:pt>
              </c:strCache>
            </c:strRef>
          </c:tx>
          <c:spPr>
            <a:ln w="28575" cap="rnd">
              <a:solidFill>
                <a:schemeClr val="accent4"/>
              </a:solidFill>
              <a:round/>
            </a:ln>
            <a:effectLst/>
          </c:spPr>
          <c:marker>
            <c:symbol val="none"/>
          </c:marker>
          <c:cat>
            <c:strRef>
              <c:f>'SCR 2'!$K$7:$K$238</c:f>
              <c:strCache>
                <c:ptCount val="232"/>
                <c:pt idx="0">
                  <c:v>2021-01-04</c:v>
                </c:pt>
                <c:pt idx="1">
                  <c:v>2021-01-05</c:v>
                </c:pt>
                <c:pt idx="2">
                  <c:v>2021-01-06</c:v>
                </c:pt>
                <c:pt idx="3">
                  <c:v>2021-01-07</c:v>
                </c:pt>
                <c:pt idx="4">
                  <c:v>2021-01-08</c:v>
                </c:pt>
                <c:pt idx="5">
                  <c:v>2021-01-11</c:v>
                </c:pt>
                <c:pt idx="6">
                  <c:v>2021-01-12</c:v>
                </c:pt>
                <c:pt idx="7">
                  <c:v>2021-01-13</c:v>
                </c:pt>
                <c:pt idx="8">
                  <c:v>2021-01-14</c:v>
                </c:pt>
                <c:pt idx="9">
                  <c:v>2021-01-15</c:v>
                </c:pt>
                <c:pt idx="10">
                  <c:v>2021-01-18</c:v>
                </c:pt>
                <c:pt idx="11">
                  <c:v>2021-01-19</c:v>
                </c:pt>
                <c:pt idx="12">
                  <c:v>2021-01-20</c:v>
                </c:pt>
                <c:pt idx="13">
                  <c:v>2021-01-21</c:v>
                </c:pt>
                <c:pt idx="14">
                  <c:v>2021-01-22</c:v>
                </c:pt>
                <c:pt idx="15">
                  <c:v>2021-01-25</c:v>
                </c:pt>
                <c:pt idx="16">
                  <c:v>2021-01-26</c:v>
                </c:pt>
                <c:pt idx="17">
                  <c:v>2021-01-27</c:v>
                </c:pt>
                <c:pt idx="18">
                  <c:v>2021-01-28</c:v>
                </c:pt>
                <c:pt idx="19">
                  <c:v>2021-01-29</c:v>
                </c:pt>
                <c:pt idx="20">
                  <c:v>2021-02-01</c:v>
                </c:pt>
                <c:pt idx="21">
                  <c:v>2021-02-02</c:v>
                </c:pt>
                <c:pt idx="22">
                  <c:v>2021-02-03</c:v>
                </c:pt>
                <c:pt idx="23">
                  <c:v>2021-02-04</c:v>
                </c:pt>
                <c:pt idx="24">
                  <c:v>2021-02-05</c:v>
                </c:pt>
                <c:pt idx="25">
                  <c:v>2021-02-08</c:v>
                </c:pt>
                <c:pt idx="26">
                  <c:v>2021-02-09</c:v>
                </c:pt>
                <c:pt idx="27">
                  <c:v>2021-02-10</c:v>
                </c:pt>
                <c:pt idx="28">
                  <c:v>2021-02-11</c:v>
                </c:pt>
                <c:pt idx="29">
                  <c:v>2021-02-12</c:v>
                </c:pt>
                <c:pt idx="30">
                  <c:v>2021-02-17</c:v>
                </c:pt>
                <c:pt idx="31">
                  <c:v>2021-02-18</c:v>
                </c:pt>
                <c:pt idx="32">
                  <c:v>2021-02-19</c:v>
                </c:pt>
                <c:pt idx="33">
                  <c:v>2021-02-22</c:v>
                </c:pt>
                <c:pt idx="34">
                  <c:v>2021-02-23</c:v>
                </c:pt>
                <c:pt idx="35">
                  <c:v>2021-02-24</c:v>
                </c:pt>
                <c:pt idx="36">
                  <c:v>2021-02-25</c:v>
                </c:pt>
                <c:pt idx="37">
                  <c:v>2021-02-26</c:v>
                </c:pt>
                <c:pt idx="38">
                  <c:v>2021-03-01</c:v>
                </c:pt>
                <c:pt idx="39">
                  <c:v>2021-03-02</c:v>
                </c:pt>
                <c:pt idx="40">
                  <c:v>2021-03-03</c:v>
                </c:pt>
                <c:pt idx="41">
                  <c:v>2021-03-04</c:v>
                </c:pt>
                <c:pt idx="42">
                  <c:v>2021-03-05</c:v>
                </c:pt>
                <c:pt idx="43">
                  <c:v>2021-03-08</c:v>
                </c:pt>
                <c:pt idx="44">
                  <c:v>2021-03-09</c:v>
                </c:pt>
                <c:pt idx="45">
                  <c:v>2021-03-10</c:v>
                </c:pt>
                <c:pt idx="46">
                  <c:v>2021-03-11</c:v>
                </c:pt>
                <c:pt idx="47">
                  <c:v>2021-03-12</c:v>
                </c:pt>
                <c:pt idx="48">
                  <c:v>2021-03-15</c:v>
                </c:pt>
                <c:pt idx="49">
                  <c:v>2021-03-16</c:v>
                </c:pt>
                <c:pt idx="50">
                  <c:v>2021-03-17</c:v>
                </c:pt>
                <c:pt idx="51">
                  <c:v>2021-03-18</c:v>
                </c:pt>
                <c:pt idx="52">
                  <c:v>2021-03-19</c:v>
                </c:pt>
                <c:pt idx="53">
                  <c:v>2021-03-22</c:v>
                </c:pt>
                <c:pt idx="54">
                  <c:v>2021-03-23</c:v>
                </c:pt>
                <c:pt idx="55">
                  <c:v>2021-03-24</c:v>
                </c:pt>
                <c:pt idx="56">
                  <c:v>2021-03-25</c:v>
                </c:pt>
                <c:pt idx="57">
                  <c:v>2021-03-26</c:v>
                </c:pt>
                <c:pt idx="58">
                  <c:v>2021-03-29</c:v>
                </c:pt>
                <c:pt idx="59">
                  <c:v>2021-03-30</c:v>
                </c:pt>
                <c:pt idx="60">
                  <c:v>2021-03-31</c:v>
                </c:pt>
                <c:pt idx="61">
                  <c:v>2021-04-01</c:v>
                </c:pt>
                <c:pt idx="62">
                  <c:v>2021-04-05</c:v>
                </c:pt>
                <c:pt idx="63">
                  <c:v>2021-04-06</c:v>
                </c:pt>
                <c:pt idx="64">
                  <c:v>2021-04-07</c:v>
                </c:pt>
                <c:pt idx="65">
                  <c:v>2021-04-08</c:v>
                </c:pt>
                <c:pt idx="66">
                  <c:v>2021-04-09</c:v>
                </c:pt>
                <c:pt idx="67">
                  <c:v>2021-04-12</c:v>
                </c:pt>
                <c:pt idx="68">
                  <c:v>2021-04-13</c:v>
                </c:pt>
                <c:pt idx="69">
                  <c:v>2021-04-14</c:v>
                </c:pt>
                <c:pt idx="70">
                  <c:v>2021-04-15</c:v>
                </c:pt>
                <c:pt idx="71">
                  <c:v>2021-04-16</c:v>
                </c:pt>
                <c:pt idx="72">
                  <c:v>2021-04-19</c:v>
                </c:pt>
                <c:pt idx="73">
                  <c:v>2021-04-20</c:v>
                </c:pt>
                <c:pt idx="74">
                  <c:v>2021-04-22</c:v>
                </c:pt>
                <c:pt idx="75">
                  <c:v>2021-04-23</c:v>
                </c:pt>
                <c:pt idx="76">
                  <c:v>2021-04-26</c:v>
                </c:pt>
                <c:pt idx="77">
                  <c:v>2021-04-27</c:v>
                </c:pt>
                <c:pt idx="78">
                  <c:v>2021-04-28</c:v>
                </c:pt>
                <c:pt idx="79">
                  <c:v>2021-04-29</c:v>
                </c:pt>
                <c:pt idx="80">
                  <c:v>2021-04-30</c:v>
                </c:pt>
                <c:pt idx="81">
                  <c:v>2021-05-03</c:v>
                </c:pt>
                <c:pt idx="82">
                  <c:v>2021-05-04</c:v>
                </c:pt>
                <c:pt idx="83">
                  <c:v>2021-05-05</c:v>
                </c:pt>
                <c:pt idx="84">
                  <c:v>2021-05-06</c:v>
                </c:pt>
                <c:pt idx="85">
                  <c:v>2021-05-07</c:v>
                </c:pt>
                <c:pt idx="86">
                  <c:v>2021-05-10</c:v>
                </c:pt>
                <c:pt idx="87">
                  <c:v>2021-05-11</c:v>
                </c:pt>
                <c:pt idx="88">
                  <c:v>2021-05-12</c:v>
                </c:pt>
                <c:pt idx="89">
                  <c:v>2021-05-13</c:v>
                </c:pt>
                <c:pt idx="90">
                  <c:v>2021-05-14</c:v>
                </c:pt>
                <c:pt idx="91">
                  <c:v>2021-05-17</c:v>
                </c:pt>
                <c:pt idx="92">
                  <c:v>2021-05-18</c:v>
                </c:pt>
                <c:pt idx="93">
                  <c:v>2021-05-19</c:v>
                </c:pt>
                <c:pt idx="94">
                  <c:v>2021-05-20</c:v>
                </c:pt>
                <c:pt idx="95">
                  <c:v>2021-05-21</c:v>
                </c:pt>
                <c:pt idx="96">
                  <c:v>2021-05-24</c:v>
                </c:pt>
                <c:pt idx="97">
                  <c:v>2021-05-25</c:v>
                </c:pt>
                <c:pt idx="98">
                  <c:v>2021-05-26</c:v>
                </c:pt>
                <c:pt idx="99">
                  <c:v>2021-05-27</c:v>
                </c:pt>
                <c:pt idx="100">
                  <c:v>2021-05-28</c:v>
                </c:pt>
                <c:pt idx="101">
                  <c:v>2021-05-31</c:v>
                </c:pt>
                <c:pt idx="102">
                  <c:v>2021-06-01</c:v>
                </c:pt>
                <c:pt idx="103">
                  <c:v>2021-06-02</c:v>
                </c:pt>
                <c:pt idx="104">
                  <c:v>2021-06-04</c:v>
                </c:pt>
                <c:pt idx="105">
                  <c:v>2021-06-07</c:v>
                </c:pt>
                <c:pt idx="106">
                  <c:v>2021-06-08</c:v>
                </c:pt>
                <c:pt idx="107">
                  <c:v>2021-06-09</c:v>
                </c:pt>
                <c:pt idx="108">
                  <c:v>2021-06-10</c:v>
                </c:pt>
                <c:pt idx="109">
                  <c:v>2021-06-11</c:v>
                </c:pt>
                <c:pt idx="110">
                  <c:v>2021-06-14</c:v>
                </c:pt>
                <c:pt idx="111">
                  <c:v>2021-06-15</c:v>
                </c:pt>
                <c:pt idx="112">
                  <c:v>2021-06-16</c:v>
                </c:pt>
                <c:pt idx="113">
                  <c:v>2021-06-17</c:v>
                </c:pt>
                <c:pt idx="114">
                  <c:v>2021-06-18</c:v>
                </c:pt>
                <c:pt idx="115">
                  <c:v>2021-06-21</c:v>
                </c:pt>
                <c:pt idx="116">
                  <c:v>2021-06-22</c:v>
                </c:pt>
                <c:pt idx="117">
                  <c:v>2021-06-23</c:v>
                </c:pt>
                <c:pt idx="118">
                  <c:v>2021-06-24</c:v>
                </c:pt>
                <c:pt idx="119">
                  <c:v>2021-06-25</c:v>
                </c:pt>
                <c:pt idx="120">
                  <c:v>2021-06-28</c:v>
                </c:pt>
                <c:pt idx="121">
                  <c:v>2021-06-29</c:v>
                </c:pt>
                <c:pt idx="122">
                  <c:v>2021-06-30</c:v>
                </c:pt>
                <c:pt idx="123">
                  <c:v>2021-07-01</c:v>
                </c:pt>
                <c:pt idx="124">
                  <c:v>2021-07-02</c:v>
                </c:pt>
                <c:pt idx="125">
                  <c:v>2021-07-05</c:v>
                </c:pt>
                <c:pt idx="126">
                  <c:v>2021-07-06</c:v>
                </c:pt>
                <c:pt idx="127">
                  <c:v>2021-07-07</c:v>
                </c:pt>
                <c:pt idx="128">
                  <c:v>2021-07-08</c:v>
                </c:pt>
                <c:pt idx="129">
                  <c:v>2021-07-09</c:v>
                </c:pt>
                <c:pt idx="130">
                  <c:v>2021-07-12</c:v>
                </c:pt>
                <c:pt idx="131">
                  <c:v>2021-07-13</c:v>
                </c:pt>
                <c:pt idx="132">
                  <c:v>2021-07-14</c:v>
                </c:pt>
                <c:pt idx="133">
                  <c:v>2021-07-15</c:v>
                </c:pt>
                <c:pt idx="134">
                  <c:v>2021-07-16</c:v>
                </c:pt>
                <c:pt idx="135">
                  <c:v>2021-07-19</c:v>
                </c:pt>
                <c:pt idx="136">
                  <c:v>2021-07-20</c:v>
                </c:pt>
                <c:pt idx="137">
                  <c:v>2021-07-21</c:v>
                </c:pt>
                <c:pt idx="138">
                  <c:v>2021-07-22</c:v>
                </c:pt>
                <c:pt idx="139">
                  <c:v>2021-07-23</c:v>
                </c:pt>
                <c:pt idx="140">
                  <c:v>2021-07-26</c:v>
                </c:pt>
                <c:pt idx="141">
                  <c:v>2021-07-27</c:v>
                </c:pt>
                <c:pt idx="142">
                  <c:v>2021-07-28</c:v>
                </c:pt>
                <c:pt idx="143">
                  <c:v>2021-07-29</c:v>
                </c:pt>
                <c:pt idx="144">
                  <c:v>2021-07-30</c:v>
                </c:pt>
                <c:pt idx="145">
                  <c:v>2021-08-02</c:v>
                </c:pt>
                <c:pt idx="146">
                  <c:v>2021-08-03</c:v>
                </c:pt>
                <c:pt idx="147">
                  <c:v>2021-08-04</c:v>
                </c:pt>
                <c:pt idx="148">
                  <c:v>2021-08-05</c:v>
                </c:pt>
                <c:pt idx="149">
                  <c:v>2021-08-06</c:v>
                </c:pt>
                <c:pt idx="150">
                  <c:v>2021-08-09</c:v>
                </c:pt>
                <c:pt idx="151">
                  <c:v>2021-08-10</c:v>
                </c:pt>
                <c:pt idx="152">
                  <c:v>2021-08-11</c:v>
                </c:pt>
                <c:pt idx="153">
                  <c:v>2021-08-12</c:v>
                </c:pt>
                <c:pt idx="154">
                  <c:v>2021-08-13</c:v>
                </c:pt>
                <c:pt idx="155">
                  <c:v>2021-08-16</c:v>
                </c:pt>
                <c:pt idx="156">
                  <c:v>2021-08-17</c:v>
                </c:pt>
                <c:pt idx="157">
                  <c:v>2021-08-18</c:v>
                </c:pt>
                <c:pt idx="158">
                  <c:v>2021-08-19</c:v>
                </c:pt>
                <c:pt idx="159">
                  <c:v>2021-08-20</c:v>
                </c:pt>
                <c:pt idx="160">
                  <c:v>2021-08-23</c:v>
                </c:pt>
                <c:pt idx="161">
                  <c:v>2021-08-24</c:v>
                </c:pt>
                <c:pt idx="162">
                  <c:v>2021-08-25</c:v>
                </c:pt>
                <c:pt idx="163">
                  <c:v>2021-08-26</c:v>
                </c:pt>
                <c:pt idx="164">
                  <c:v>2021-08-27</c:v>
                </c:pt>
                <c:pt idx="165">
                  <c:v>2021-08-30</c:v>
                </c:pt>
                <c:pt idx="166">
                  <c:v>2021-08-31</c:v>
                </c:pt>
                <c:pt idx="167">
                  <c:v>2021-09-01</c:v>
                </c:pt>
                <c:pt idx="168">
                  <c:v>2021-09-02</c:v>
                </c:pt>
                <c:pt idx="169">
                  <c:v>2021-09-03</c:v>
                </c:pt>
                <c:pt idx="170">
                  <c:v>2021-09-06</c:v>
                </c:pt>
                <c:pt idx="171">
                  <c:v>2021-09-08</c:v>
                </c:pt>
                <c:pt idx="172">
                  <c:v>2021-09-09</c:v>
                </c:pt>
                <c:pt idx="173">
                  <c:v>2021-09-10</c:v>
                </c:pt>
                <c:pt idx="174">
                  <c:v>2021-09-13</c:v>
                </c:pt>
                <c:pt idx="175">
                  <c:v>2021-09-14</c:v>
                </c:pt>
                <c:pt idx="176">
                  <c:v>2021-09-15</c:v>
                </c:pt>
                <c:pt idx="177">
                  <c:v>2021-09-16</c:v>
                </c:pt>
                <c:pt idx="178">
                  <c:v>2021-09-17</c:v>
                </c:pt>
                <c:pt idx="179">
                  <c:v>2021-09-20</c:v>
                </c:pt>
                <c:pt idx="180">
                  <c:v>2021-09-21</c:v>
                </c:pt>
                <c:pt idx="181">
                  <c:v>2021-09-22</c:v>
                </c:pt>
                <c:pt idx="182">
                  <c:v>2021-09-23</c:v>
                </c:pt>
                <c:pt idx="183">
                  <c:v>2021-09-24</c:v>
                </c:pt>
                <c:pt idx="184">
                  <c:v>2021-09-27</c:v>
                </c:pt>
                <c:pt idx="185">
                  <c:v>2021-09-28</c:v>
                </c:pt>
                <c:pt idx="186">
                  <c:v>2021-09-29</c:v>
                </c:pt>
                <c:pt idx="187">
                  <c:v>2021-09-30</c:v>
                </c:pt>
                <c:pt idx="188">
                  <c:v>2021-10-01</c:v>
                </c:pt>
                <c:pt idx="189">
                  <c:v>2021-10-04</c:v>
                </c:pt>
                <c:pt idx="190">
                  <c:v>2021-10-05</c:v>
                </c:pt>
                <c:pt idx="191">
                  <c:v>2021-10-06</c:v>
                </c:pt>
                <c:pt idx="192">
                  <c:v>2021-10-07</c:v>
                </c:pt>
                <c:pt idx="193">
                  <c:v>2021-10-08</c:v>
                </c:pt>
                <c:pt idx="194">
                  <c:v>2021-10-11</c:v>
                </c:pt>
                <c:pt idx="195">
                  <c:v>2021-10-13</c:v>
                </c:pt>
                <c:pt idx="196">
                  <c:v>2021-10-14</c:v>
                </c:pt>
                <c:pt idx="197">
                  <c:v>2021-10-15</c:v>
                </c:pt>
                <c:pt idx="198">
                  <c:v>2021-10-18</c:v>
                </c:pt>
                <c:pt idx="199">
                  <c:v>2021-10-19</c:v>
                </c:pt>
                <c:pt idx="200">
                  <c:v>2021-10-20</c:v>
                </c:pt>
                <c:pt idx="201">
                  <c:v>2021-10-21</c:v>
                </c:pt>
                <c:pt idx="202">
                  <c:v>2021-10-22</c:v>
                </c:pt>
                <c:pt idx="203">
                  <c:v>2021-10-25</c:v>
                </c:pt>
                <c:pt idx="204">
                  <c:v>2021-10-26</c:v>
                </c:pt>
                <c:pt idx="205">
                  <c:v>2021-10-27</c:v>
                </c:pt>
                <c:pt idx="206">
                  <c:v>2021-10-28</c:v>
                </c:pt>
                <c:pt idx="207">
                  <c:v>2021-10-29</c:v>
                </c:pt>
                <c:pt idx="208">
                  <c:v>2021-11-01</c:v>
                </c:pt>
                <c:pt idx="209">
                  <c:v>2021-11-03</c:v>
                </c:pt>
                <c:pt idx="210">
                  <c:v>2021-11-04</c:v>
                </c:pt>
                <c:pt idx="211">
                  <c:v>2021-11-05</c:v>
                </c:pt>
                <c:pt idx="212">
                  <c:v>2021-11-08</c:v>
                </c:pt>
                <c:pt idx="213">
                  <c:v>2021-11-09</c:v>
                </c:pt>
                <c:pt idx="214">
                  <c:v>2021-11-10</c:v>
                </c:pt>
                <c:pt idx="215">
                  <c:v>2021-11-11</c:v>
                </c:pt>
                <c:pt idx="216">
                  <c:v>2021-11-12</c:v>
                </c:pt>
                <c:pt idx="217">
                  <c:v>2021-11-16</c:v>
                </c:pt>
                <c:pt idx="218">
                  <c:v>2021-11-17</c:v>
                </c:pt>
                <c:pt idx="219">
                  <c:v>2021-11-18</c:v>
                </c:pt>
                <c:pt idx="220">
                  <c:v>2021-11-19</c:v>
                </c:pt>
                <c:pt idx="221">
                  <c:v>2021-11-22</c:v>
                </c:pt>
                <c:pt idx="222">
                  <c:v>2021-11-23</c:v>
                </c:pt>
                <c:pt idx="223">
                  <c:v>2021-11-24</c:v>
                </c:pt>
                <c:pt idx="224">
                  <c:v>2021-11-25</c:v>
                </c:pt>
                <c:pt idx="225">
                  <c:v>2021-11-26</c:v>
                </c:pt>
                <c:pt idx="226">
                  <c:v>2021-11-29</c:v>
                </c:pt>
                <c:pt idx="227">
                  <c:v>2021-11-30</c:v>
                </c:pt>
                <c:pt idx="228">
                  <c:v>2021-12-01</c:v>
                </c:pt>
                <c:pt idx="229">
                  <c:v>2021-12-02</c:v>
                </c:pt>
                <c:pt idx="230">
                  <c:v>2021-12-03</c:v>
                </c:pt>
                <c:pt idx="231">
                  <c:v>2021-12-06</c:v>
                </c:pt>
              </c:strCache>
            </c:strRef>
          </c:cat>
          <c:val>
            <c:numRef>
              <c:f>'SCR 2'!$O$7:$O$238</c:f>
              <c:numCache>
                <c:formatCode>General</c:formatCode>
                <c:ptCount val="232"/>
                <c:pt idx="0">
                  <c:v>15.37</c:v>
                </c:pt>
                <c:pt idx="1">
                  <c:v>15.51</c:v>
                </c:pt>
                <c:pt idx="2">
                  <c:v>15.61</c:v>
                </c:pt>
                <c:pt idx="3">
                  <c:v>15.61</c:v>
                </c:pt>
                <c:pt idx="4">
                  <c:v>15.69</c:v>
                </c:pt>
                <c:pt idx="5">
                  <c:v>15.95</c:v>
                </c:pt>
                <c:pt idx="6">
                  <c:v>15.98</c:v>
                </c:pt>
                <c:pt idx="7">
                  <c:v>15.91</c:v>
                </c:pt>
                <c:pt idx="8">
                  <c:v>15.84</c:v>
                </c:pt>
                <c:pt idx="9">
                  <c:v>15.81</c:v>
                </c:pt>
                <c:pt idx="10">
                  <c:v>15.76</c:v>
                </c:pt>
                <c:pt idx="11">
                  <c:v>15.69</c:v>
                </c:pt>
                <c:pt idx="12">
                  <c:v>15.72</c:v>
                </c:pt>
                <c:pt idx="13">
                  <c:v>15.8</c:v>
                </c:pt>
                <c:pt idx="14">
                  <c:v>15.54</c:v>
                </c:pt>
                <c:pt idx="15">
                  <c:v>15.36</c:v>
                </c:pt>
                <c:pt idx="16">
                  <c:v>15.23</c:v>
                </c:pt>
                <c:pt idx="17">
                  <c:v>15.04</c:v>
                </c:pt>
                <c:pt idx="18">
                  <c:v>14.89</c:v>
                </c:pt>
                <c:pt idx="19">
                  <c:v>15.05</c:v>
                </c:pt>
                <c:pt idx="20">
                  <c:v>15.21</c:v>
                </c:pt>
                <c:pt idx="21">
                  <c:v>15.36</c:v>
                </c:pt>
                <c:pt idx="22">
                  <c:v>15.43</c:v>
                </c:pt>
                <c:pt idx="23">
                  <c:v>15.48</c:v>
                </c:pt>
                <c:pt idx="24">
                  <c:v>15.56</c:v>
                </c:pt>
                <c:pt idx="25">
                  <c:v>15.52</c:v>
                </c:pt>
                <c:pt idx="26">
                  <c:v>15.57</c:v>
                </c:pt>
                <c:pt idx="27">
                  <c:v>15.7</c:v>
                </c:pt>
                <c:pt idx="28">
                  <c:v>15.85</c:v>
                </c:pt>
                <c:pt idx="29">
                  <c:v>15.85</c:v>
                </c:pt>
                <c:pt idx="30">
                  <c:v>16.079999999999998</c:v>
                </c:pt>
                <c:pt idx="31">
                  <c:v>15.82</c:v>
                </c:pt>
                <c:pt idx="32">
                  <c:v>16.12</c:v>
                </c:pt>
                <c:pt idx="33">
                  <c:v>15.68</c:v>
                </c:pt>
                <c:pt idx="34">
                  <c:v>15.63</c:v>
                </c:pt>
                <c:pt idx="35">
                  <c:v>15.46</c:v>
                </c:pt>
                <c:pt idx="36">
                  <c:v>15.71</c:v>
                </c:pt>
                <c:pt idx="37">
                  <c:v>15.62</c:v>
                </c:pt>
                <c:pt idx="38">
                  <c:v>16.440000000000001</c:v>
                </c:pt>
                <c:pt idx="39">
                  <c:v>16.899999999999999</c:v>
                </c:pt>
                <c:pt idx="40">
                  <c:v>17.23</c:v>
                </c:pt>
                <c:pt idx="41">
                  <c:v>17.5</c:v>
                </c:pt>
                <c:pt idx="42">
                  <c:v>17.7</c:v>
                </c:pt>
                <c:pt idx="43">
                  <c:v>17.71</c:v>
                </c:pt>
                <c:pt idx="44">
                  <c:v>17.8</c:v>
                </c:pt>
                <c:pt idx="45">
                  <c:v>17.91</c:v>
                </c:pt>
                <c:pt idx="46">
                  <c:v>17.78</c:v>
                </c:pt>
                <c:pt idx="47">
                  <c:v>17.690000000000001</c:v>
                </c:pt>
                <c:pt idx="48">
                  <c:v>17.690000000000001</c:v>
                </c:pt>
                <c:pt idx="49">
                  <c:v>17.54</c:v>
                </c:pt>
                <c:pt idx="50">
                  <c:v>17.45</c:v>
                </c:pt>
                <c:pt idx="51">
                  <c:v>17.25</c:v>
                </c:pt>
                <c:pt idx="52">
                  <c:v>17.18</c:v>
                </c:pt>
                <c:pt idx="53">
                  <c:v>16.93</c:v>
                </c:pt>
                <c:pt idx="54">
                  <c:v>16.79</c:v>
                </c:pt>
                <c:pt idx="55">
                  <c:v>16.73</c:v>
                </c:pt>
                <c:pt idx="56">
                  <c:v>16.53</c:v>
                </c:pt>
                <c:pt idx="57">
                  <c:v>16.48</c:v>
                </c:pt>
                <c:pt idx="58">
                  <c:v>16.579999999999998</c:v>
                </c:pt>
                <c:pt idx="59">
                  <c:v>16.82</c:v>
                </c:pt>
                <c:pt idx="60">
                  <c:v>16.86</c:v>
                </c:pt>
                <c:pt idx="61">
                  <c:v>17.32</c:v>
                </c:pt>
                <c:pt idx="62">
                  <c:v>17.46</c:v>
                </c:pt>
                <c:pt idx="63">
                  <c:v>17.5</c:v>
                </c:pt>
                <c:pt idx="64">
                  <c:v>17.25</c:v>
                </c:pt>
                <c:pt idx="65">
                  <c:v>17.399999999999999</c:v>
                </c:pt>
                <c:pt idx="66">
                  <c:v>17.13</c:v>
                </c:pt>
                <c:pt idx="67">
                  <c:v>17.13</c:v>
                </c:pt>
                <c:pt idx="68">
                  <c:v>17.100000000000001</c:v>
                </c:pt>
                <c:pt idx="69">
                  <c:v>17.13</c:v>
                </c:pt>
                <c:pt idx="70">
                  <c:v>16.850000000000001</c:v>
                </c:pt>
                <c:pt idx="71">
                  <c:v>16.940000000000001</c:v>
                </c:pt>
                <c:pt idx="72">
                  <c:v>17.100000000000001</c:v>
                </c:pt>
                <c:pt idx="73">
                  <c:v>17.010000000000002</c:v>
                </c:pt>
                <c:pt idx="74">
                  <c:v>17.03</c:v>
                </c:pt>
                <c:pt idx="75">
                  <c:v>17.12</c:v>
                </c:pt>
                <c:pt idx="76">
                  <c:v>17.059999999999999</c:v>
                </c:pt>
                <c:pt idx="77">
                  <c:v>16.809999999999999</c:v>
                </c:pt>
                <c:pt idx="78">
                  <c:v>16.91</c:v>
                </c:pt>
                <c:pt idx="79">
                  <c:v>16.96</c:v>
                </c:pt>
                <c:pt idx="80">
                  <c:v>16.95</c:v>
                </c:pt>
                <c:pt idx="81">
                  <c:v>17.23</c:v>
                </c:pt>
                <c:pt idx="82">
                  <c:v>17.34</c:v>
                </c:pt>
                <c:pt idx="83">
                  <c:v>17.32</c:v>
                </c:pt>
                <c:pt idx="84">
                  <c:v>17.440000000000001</c:v>
                </c:pt>
                <c:pt idx="85">
                  <c:v>17.55</c:v>
                </c:pt>
                <c:pt idx="86">
                  <c:v>17.48</c:v>
                </c:pt>
                <c:pt idx="87">
                  <c:v>17.61</c:v>
                </c:pt>
                <c:pt idx="88">
                  <c:v>17.579999999999998</c:v>
                </c:pt>
                <c:pt idx="89">
                  <c:v>17.53</c:v>
                </c:pt>
                <c:pt idx="90">
                  <c:v>17.510000000000002</c:v>
                </c:pt>
                <c:pt idx="91">
                  <c:v>17.510000000000002</c:v>
                </c:pt>
                <c:pt idx="92">
                  <c:v>17.61</c:v>
                </c:pt>
                <c:pt idx="93">
                  <c:v>17.64</c:v>
                </c:pt>
                <c:pt idx="94">
                  <c:v>17.66</c:v>
                </c:pt>
                <c:pt idx="95">
                  <c:v>17.57</c:v>
                </c:pt>
                <c:pt idx="96">
                  <c:v>17.670000000000002</c:v>
                </c:pt>
                <c:pt idx="97">
                  <c:v>17.41</c:v>
                </c:pt>
                <c:pt idx="98">
                  <c:v>17.36</c:v>
                </c:pt>
                <c:pt idx="99">
                  <c:v>17.43</c:v>
                </c:pt>
                <c:pt idx="100">
                  <c:v>17.72</c:v>
                </c:pt>
                <c:pt idx="101">
                  <c:v>17.739999999999998</c:v>
                </c:pt>
                <c:pt idx="102">
                  <c:v>17.96</c:v>
                </c:pt>
                <c:pt idx="103">
                  <c:v>18.13</c:v>
                </c:pt>
                <c:pt idx="104">
                  <c:v>18.16</c:v>
                </c:pt>
                <c:pt idx="105">
                  <c:v>18.100000000000001</c:v>
                </c:pt>
                <c:pt idx="106">
                  <c:v>18.09</c:v>
                </c:pt>
                <c:pt idx="107">
                  <c:v>17.899999999999999</c:v>
                </c:pt>
                <c:pt idx="108">
                  <c:v>17.82</c:v>
                </c:pt>
                <c:pt idx="109">
                  <c:v>17.68</c:v>
                </c:pt>
                <c:pt idx="110">
                  <c:v>17.670000000000002</c:v>
                </c:pt>
                <c:pt idx="111">
                  <c:v>17.66</c:v>
                </c:pt>
                <c:pt idx="112">
                  <c:v>17.89</c:v>
                </c:pt>
                <c:pt idx="113">
                  <c:v>17.940000000000001</c:v>
                </c:pt>
                <c:pt idx="114">
                  <c:v>17.95</c:v>
                </c:pt>
                <c:pt idx="115">
                  <c:v>17.88</c:v>
                </c:pt>
                <c:pt idx="116">
                  <c:v>17.88</c:v>
                </c:pt>
                <c:pt idx="117">
                  <c:v>17.690000000000001</c:v>
                </c:pt>
                <c:pt idx="118">
                  <c:v>17.62</c:v>
                </c:pt>
                <c:pt idx="119">
                  <c:v>17.63</c:v>
                </c:pt>
                <c:pt idx="120">
                  <c:v>17.87</c:v>
                </c:pt>
                <c:pt idx="121">
                  <c:v>17.97</c:v>
                </c:pt>
                <c:pt idx="122">
                  <c:v>18.260000000000002</c:v>
                </c:pt>
                <c:pt idx="123">
                  <c:v>18.53</c:v>
                </c:pt>
                <c:pt idx="124">
                  <c:v>18.760000000000002</c:v>
                </c:pt>
                <c:pt idx="125">
                  <c:v>18.75</c:v>
                </c:pt>
                <c:pt idx="126">
                  <c:v>18.75</c:v>
                </c:pt>
                <c:pt idx="127">
                  <c:v>18.63</c:v>
                </c:pt>
                <c:pt idx="128">
                  <c:v>18.61</c:v>
                </c:pt>
                <c:pt idx="129">
                  <c:v>18.73</c:v>
                </c:pt>
                <c:pt idx="130">
                  <c:v>18.559999999999999</c:v>
                </c:pt>
                <c:pt idx="131">
                  <c:v>18.579999999999998</c:v>
                </c:pt>
                <c:pt idx="132">
                  <c:v>18.690000000000001</c:v>
                </c:pt>
                <c:pt idx="133">
                  <c:v>18.63</c:v>
                </c:pt>
                <c:pt idx="134">
                  <c:v>18.559999999999999</c:v>
                </c:pt>
                <c:pt idx="135">
                  <c:v>18.66</c:v>
                </c:pt>
                <c:pt idx="136">
                  <c:v>18.690000000000001</c:v>
                </c:pt>
                <c:pt idx="137">
                  <c:v>18.64</c:v>
                </c:pt>
                <c:pt idx="138">
                  <c:v>18.52</c:v>
                </c:pt>
                <c:pt idx="139">
                  <c:v>18.46</c:v>
                </c:pt>
                <c:pt idx="140">
                  <c:v>18.309999999999999</c:v>
                </c:pt>
                <c:pt idx="141">
                  <c:v>18.21</c:v>
                </c:pt>
                <c:pt idx="142">
                  <c:v>18.23</c:v>
                </c:pt>
                <c:pt idx="143">
                  <c:v>18.440000000000001</c:v>
                </c:pt>
                <c:pt idx="144">
                  <c:v>18.62</c:v>
                </c:pt>
                <c:pt idx="145">
                  <c:v>18.96</c:v>
                </c:pt>
                <c:pt idx="146">
                  <c:v>19.079999999999998</c:v>
                </c:pt>
                <c:pt idx="147">
                  <c:v>19.22</c:v>
                </c:pt>
                <c:pt idx="148">
                  <c:v>19.350000000000001</c:v>
                </c:pt>
                <c:pt idx="149">
                  <c:v>19.55</c:v>
                </c:pt>
                <c:pt idx="150">
                  <c:v>19.54</c:v>
                </c:pt>
                <c:pt idx="151">
                  <c:v>19.53</c:v>
                </c:pt>
                <c:pt idx="152">
                  <c:v>19.420000000000002</c:v>
                </c:pt>
                <c:pt idx="153">
                  <c:v>19.41</c:v>
                </c:pt>
                <c:pt idx="154">
                  <c:v>19.32</c:v>
                </c:pt>
                <c:pt idx="155">
                  <c:v>19.5</c:v>
                </c:pt>
                <c:pt idx="156">
                  <c:v>19.68</c:v>
                </c:pt>
                <c:pt idx="157">
                  <c:v>19.8</c:v>
                </c:pt>
                <c:pt idx="158">
                  <c:v>19.72</c:v>
                </c:pt>
                <c:pt idx="159">
                  <c:v>19.82</c:v>
                </c:pt>
                <c:pt idx="160">
                  <c:v>19.88</c:v>
                </c:pt>
                <c:pt idx="161">
                  <c:v>19.850000000000001</c:v>
                </c:pt>
                <c:pt idx="162">
                  <c:v>19.82</c:v>
                </c:pt>
                <c:pt idx="163">
                  <c:v>20</c:v>
                </c:pt>
                <c:pt idx="164">
                  <c:v>19.899999999999999</c:v>
                </c:pt>
                <c:pt idx="165">
                  <c:v>19.8</c:v>
                </c:pt>
                <c:pt idx="166">
                  <c:v>19.84</c:v>
                </c:pt>
                <c:pt idx="167">
                  <c:v>20.04</c:v>
                </c:pt>
                <c:pt idx="168">
                  <c:v>20.059999999999999</c:v>
                </c:pt>
                <c:pt idx="169">
                  <c:v>20.05</c:v>
                </c:pt>
                <c:pt idx="170">
                  <c:v>20.239999999999998</c:v>
                </c:pt>
                <c:pt idx="171">
                  <c:v>20.100000000000001</c:v>
                </c:pt>
                <c:pt idx="172">
                  <c:v>20.11</c:v>
                </c:pt>
                <c:pt idx="173">
                  <c:v>20.14</c:v>
                </c:pt>
                <c:pt idx="174">
                  <c:v>20.100000000000001</c:v>
                </c:pt>
                <c:pt idx="175">
                  <c:v>20.14</c:v>
                </c:pt>
                <c:pt idx="176">
                  <c:v>20.34</c:v>
                </c:pt>
                <c:pt idx="177">
                  <c:v>20.399999999999999</c:v>
                </c:pt>
                <c:pt idx="178">
                  <c:v>20.350000000000001</c:v>
                </c:pt>
                <c:pt idx="179">
                  <c:v>20.56</c:v>
                </c:pt>
                <c:pt idx="180">
                  <c:v>20.440000000000001</c:v>
                </c:pt>
                <c:pt idx="181">
                  <c:v>20.309999999999999</c:v>
                </c:pt>
                <c:pt idx="182">
                  <c:v>20.28</c:v>
                </c:pt>
                <c:pt idx="183">
                  <c:v>20.190000000000001</c:v>
                </c:pt>
                <c:pt idx="184">
                  <c:v>20.239999999999998</c:v>
                </c:pt>
                <c:pt idx="185">
                  <c:v>20.21</c:v>
                </c:pt>
                <c:pt idx="186">
                  <c:v>20.309999999999999</c:v>
                </c:pt>
                <c:pt idx="187">
                  <c:v>20.55</c:v>
                </c:pt>
                <c:pt idx="188">
                  <c:v>20.95</c:v>
                </c:pt>
                <c:pt idx="189">
                  <c:v>21.13</c:v>
                </c:pt>
                <c:pt idx="190">
                  <c:v>21.33</c:v>
                </c:pt>
                <c:pt idx="191">
                  <c:v>21.26</c:v>
                </c:pt>
                <c:pt idx="192">
                  <c:v>21</c:v>
                </c:pt>
                <c:pt idx="193">
                  <c:v>21.12</c:v>
                </c:pt>
                <c:pt idx="194">
                  <c:v>20.91</c:v>
                </c:pt>
                <c:pt idx="195">
                  <c:v>20.87</c:v>
                </c:pt>
                <c:pt idx="196">
                  <c:v>20.74</c:v>
                </c:pt>
                <c:pt idx="197">
                  <c:v>21.06</c:v>
                </c:pt>
                <c:pt idx="198">
                  <c:v>21.05</c:v>
                </c:pt>
                <c:pt idx="199">
                  <c:v>21.11</c:v>
                </c:pt>
                <c:pt idx="200">
                  <c:v>21.22</c:v>
                </c:pt>
                <c:pt idx="201">
                  <c:v>21.91</c:v>
                </c:pt>
                <c:pt idx="202">
                  <c:v>21.97</c:v>
                </c:pt>
                <c:pt idx="203">
                  <c:v>22.26</c:v>
                </c:pt>
                <c:pt idx="204">
                  <c:v>22.74</c:v>
                </c:pt>
                <c:pt idx="205">
                  <c:v>23.31</c:v>
                </c:pt>
                <c:pt idx="206">
                  <c:v>23.63</c:v>
                </c:pt>
                <c:pt idx="207">
                  <c:v>24.1</c:v>
                </c:pt>
                <c:pt idx="208">
                  <c:v>24.54</c:v>
                </c:pt>
                <c:pt idx="209">
                  <c:v>24.7</c:v>
                </c:pt>
                <c:pt idx="210">
                  <c:v>25.14</c:v>
                </c:pt>
                <c:pt idx="211">
                  <c:v>25.35</c:v>
                </c:pt>
                <c:pt idx="212">
                  <c:v>25.44</c:v>
                </c:pt>
                <c:pt idx="213">
                  <c:v>25.39</c:v>
                </c:pt>
                <c:pt idx="214">
                  <c:v>25.29</c:v>
                </c:pt>
                <c:pt idx="215">
                  <c:v>25.04</c:v>
                </c:pt>
                <c:pt idx="216">
                  <c:v>24.91</c:v>
                </c:pt>
                <c:pt idx="217">
                  <c:v>24.72</c:v>
                </c:pt>
                <c:pt idx="218">
                  <c:v>24.6</c:v>
                </c:pt>
                <c:pt idx="219">
                  <c:v>24.52</c:v>
                </c:pt>
                <c:pt idx="220">
                  <c:v>24.3</c:v>
                </c:pt>
                <c:pt idx="221">
                  <c:v>24</c:v>
                </c:pt>
                <c:pt idx="222">
                  <c:v>23.83</c:v>
                </c:pt>
                <c:pt idx="223">
                  <c:v>23.64</c:v>
                </c:pt>
                <c:pt idx="224">
                  <c:v>23.42</c:v>
                </c:pt>
                <c:pt idx="225">
                  <c:v>23.47</c:v>
                </c:pt>
                <c:pt idx="226">
                  <c:v>23.81</c:v>
                </c:pt>
                <c:pt idx="227">
                  <c:v>24.05</c:v>
                </c:pt>
                <c:pt idx="228">
                  <c:v>24.19</c:v>
                </c:pt>
                <c:pt idx="229">
                  <c:v>24.24</c:v>
                </c:pt>
                <c:pt idx="230">
                  <c:v>24.32</c:v>
                </c:pt>
                <c:pt idx="231">
                  <c:v>23.99</c:v>
                </c:pt>
              </c:numCache>
            </c:numRef>
          </c:val>
          <c:smooth val="0"/>
          <c:extLst>
            <c:ext xmlns:c16="http://schemas.microsoft.com/office/drawing/2014/chart" uri="{C3380CC4-5D6E-409C-BE32-E72D297353CC}">
              <c16:uniqueId val="{00000001-088D-4768-B1C8-10AF955FF9F8}"/>
            </c:ext>
          </c:extLst>
        </c:ser>
        <c:dLbls>
          <c:showLegendKey val="0"/>
          <c:showVal val="0"/>
          <c:showCatName val="0"/>
          <c:showSerName val="0"/>
          <c:showPercent val="0"/>
          <c:showBubbleSize val="0"/>
        </c:dLbls>
        <c:smooth val="0"/>
        <c:axId val="1433639760"/>
        <c:axId val="1433640592"/>
      </c:lineChart>
      <c:catAx>
        <c:axId val="143363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40592"/>
        <c:crosses val="autoZero"/>
        <c:auto val="1"/>
        <c:lblAlgn val="ctr"/>
        <c:lblOffset val="100"/>
        <c:noMultiLvlLbl val="0"/>
      </c:catAx>
      <c:valAx>
        <c:axId val="1433640592"/>
        <c:scaling>
          <c:orientation val="minMax"/>
          <c:max val="30"/>
          <c:min val="1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3639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Daily'!$H$1:$N$1</c:f>
          <c:strCache>
            <c:ptCount val="7"/>
            <c:pt idx="0">
              <c:v>Interest rate for CRÉDITO PESSOAL CONSIGNADO PÚBLICO - PRÉ-FIXADO of BCO BRADESCO S.A.</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Daily'!$E$3</c:f>
              <c:strCache>
                <c:ptCount val="1"/>
                <c:pt idx="0">
                  <c:v>TaxaJurosAoAno</c:v>
                </c:pt>
              </c:strCache>
            </c:strRef>
          </c:tx>
          <c:spPr>
            <a:ln w="28575" cap="rnd">
              <a:solidFill>
                <a:schemeClr val="accent3"/>
              </a:solidFill>
              <a:round/>
            </a:ln>
            <a:effectLst/>
          </c:spPr>
          <c:marker>
            <c:symbol val="none"/>
          </c:marker>
          <c:cat>
            <c:strRef>
              <c:f>'SCR Daily'!$D$4:$D$239</c:f>
              <c:strCache>
                <c:ptCount val="1"/>
                <c:pt idx="0">
                  <c:v># Barra de fórmulas aberta</c:v>
                </c:pt>
              </c:strCache>
            </c:strRef>
          </c:cat>
          <c:val>
            <c:numRef>
              <c:f>'SCR Daily'!$E$4:$E$235</c:f>
              <c:numCache>
                <c:formatCode>General</c:formatCode>
                <c:ptCount val="232"/>
              </c:numCache>
            </c:numRef>
          </c:val>
          <c:smooth val="0"/>
          <c:extLst>
            <c:ext xmlns:c16="http://schemas.microsoft.com/office/drawing/2014/chart" uri="{C3380CC4-5D6E-409C-BE32-E72D297353CC}">
              <c16:uniqueId val="{00000001-8612-4C5F-83F9-E4881C0F8A1E}"/>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in val="2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'SCR Monthly'!$H$1:$N$1</c:f>
          <c:strCache>
            <c:ptCount val="7"/>
            <c:pt idx="0">
              <c:v>Interest rate for FINANCIAMENTO IMOBILIÁRIO COM TAXAS REGULADAS - PRÉ-FIXADO of CAIXA ECONOMICA FEDERAL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2"/>
          <c:order val="0"/>
          <c:tx>
            <c:strRef>
              <c:f>'SCR Monthly'!$E$3</c:f>
              <c:strCache>
                <c:ptCount val="1"/>
                <c:pt idx="0">
                  <c:v>TaxaJurosAoAno</c:v>
                </c:pt>
              </c:strCache>
            </c:strRef>
          </c:tx>
          <c:spPr>
            <a:ln w="28575" cap="rnd">
              <a:solidFill>
                <a:schemeClr val="accent3"/>
              </a:solidFill>
              <a:round/>
            </a:ln>
            <a:effectLst/>
          </c:spPr>
          <c:marker>
            <c:symbol val="none"/>
          </c:marker>
          <c:cat>
            <c:strRef>
              <c:f>'SCR Monthly'!$D$4:$D$53</c:f>
              <c:strCache>
                <c:ptCount val="1"/>
                <c:pt idx="0">
                  <c:v># Barra de fórmulas aberta</c:v>
                </c:pt>
              </c:strCache>
            </c:strRef>
          </c:cat>
          <c:val>
            <c:numRef>
              <c:f>'SCR Monthly'!$E$4:$E$53</c:f>
              <c:numCache>
                <c:formatCode>General</c:formatCode>
                <c:ptCount val="50"/>
              </c:numCache>
            </c:numRef>
          </c:val>
          <c:smooth val="0"/>
          <c:extLst>
            <c:ext xmlns:c16="http://schemas.microsoft.com/office/drawing/2014/chart" uri="{C3380CC4-5D6E-409C-BE32-E72D297353CC}">
              <c16:uniqueId val="{00000000-13C2-4225-8951-B3A2022D1E77}"/>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'Real Estate'!$J$1:$P$1</c:f>
          <c:strCache>
            <c:ptCount val="7"/>
            <c:pt idx="0">
              <c:v>Indicator values for Real Estate series imoveis_area_total_rj</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'Real Estate'!$E$4</c:f>
              <c:strCache>
                <c:ptCount val="1"/>
                <c:pt idx="0">
                  <c:v>Value</c:v>
                </c:pt>
              </c:strCache>
            </c:strRef>
          </c:tx>
          <c:spPr>
            <a:ln w="28575" cap="rnd">
              <a:solidFill>
                <a:schemeClr val="accent2"/>
              </a:solidFill>
              <a:round/>
            </a:ln>
            <a:effectLst/>
          </c:spPr>
          <c:marker>
            <c:symbol val="none"/>
          </c:marker>
          <c:cat>
            <c:strRef>
              <c:f>'Real Estate'!$D$5:$D$240</c:f>
              <c:strCache>
                <c:ptCount val="1"/>
                <c:pt idx="0">
                  <c:v># Barra de fórmulas aberta</c:v>
                </c:pt>
              </c:strCache>
            </c:strRef>
          </c:cat>
          <c:val>
            <c:numRef>
              <c:f>'Real Estate'!$E$5:$E$240</c:f>
              <c:numCache>
                <c:formatCode>0.00</c:formatCode>
                <c:ptCount val="236"/>
              </c:numCache>
            </c:numRef>
          </c:val>
          <c:smooth val="0"/>
          <c:extLst>
            <c:ext xmlns:c16="http://schemas.microsoft.com/office/drawing/2014/chart" uri="{C3380CC4-5D6E-409C-BE32-E72D297353CC}">
              <c16:uniqueId val="{00000000-EF60-494D-960D-3C1FBF7B0EE4}"/>
            </c:ext>
          </c:extLst>
        </c:ser>
        <c:dLbls>
          <c:showLegendKey val="0"/>
          <c:showVal val="0"/>
          <c:showCatName val="0"/>
          <c:showSerName val="0"/>
          <c:showPercent val="0"/>
          <c:showBubbleSize val="0"/>
        </c:dLbls>
        <c:smooth val="0"/>
        <c:axId val="990173536"/>
        <c:axId val="990173208"/>
      </c:lineChart>
      <c:catAx>
        <c:axId val="99017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IPCA MoM vs.</a:t>
            </a:r>
            <a:r>
              <a:rPr lang="en-US" b="1" baseline="0"/>
              <a:t> Focus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0.11346176959912956"/>
          <c:y val="0.18976115373258415"/>
          <c:w val="0.86444512623275405"/>
          <c:h val="0.59228153393732985"/>
        </c:manualLayout>
      </c:layout>
      <c:areaChart>
        <c:grouping val="standard"/>
        <c:varyColors val="0"/>
        <c:ser>
          <c:idx val="0"/>
          <c:order val="4"/>
          <c:tx>
            <c:strRef>
              <c:f>'SGS vs FOCUS'!$E$4</c:f>
              <c:strCache>
                <c:ptCount val="1"/>
                <c:pt idx="0">
                  <c:v>Pós-Covid</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FOCUS'!$E$5:$E$51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2C76-4B7A-ABBE-86D54F38B5AE}"/>
            </c:ext>
          </c:extLst>
        </c:ser>
        <c:ser>
          <c:idx val="5"/>
          <c:order val="5"/>
          <c:tx>
            <c:strRef>
              <c:f>'SGS vs FOCUS'!$D$4</c:f>
              <c:strCache>
                <c:ptCount val="1"/>
                <c:pt idx="0">
                  <c:v>Pós-Covid (-)</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FOCUS'!$D$5:$D$51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2C76-4B7A-ABBE-86D54F38B5AE}"/>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FOCUS'!$M$4</c:f>
              <c:strCache>
                <c:ptCount val="1"/>
                <c:pt idx="0">
                  <c:v>Erro t-1</c:v>
                </c:pt>
              </c:strCache>
            </c:strRef>
          </c:tx>
          <c:spPr>
            <a:solidFill>
              <a:schemeClr val="accent6">
                <a:lumMod val="60000"/>
                <a:lumOff val="40000"/>
              </a:schemeClr>
            </a:solidFill>
            <a:ln>
              <a:noFill/>
            </a:ln>
            <a:effectLst/>
          </c:spPr>
          <c:invertIfNegative val="0"/>
          <c:cat>
            <c:strRef>
              <c:f>'SGS vs FOCUS'!$F$5:$F$240</c:f>
              <c:strCache>
                <c:ptCount val="1"/>
                <c:pt idx="0">
                  <c:v># Barra de fórmulas aberta</c:v>
                </c:pt>
              </c:strCache>
            </c:strRef>
          </c:cat>
          <c:val>
            <c:numRef>
              <c:f>'SGS vs FOCUS'!$M$5:$M$51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3-EB8D-40E8-A665-AC1F910BE0DB}"/>
            </c:ext>
          </c:extLst>
        </c:ser>
        <c:ser>
          <c:idx val="3"/>
          <c:order val="2"/>
          <c:tx>
            <c:strRef>
              <c:f>'SGS vs FOCUS'!$N$4</c:f>
              <c:strCache>
                <c:ptCount val="1"/>
                <c:pt idx="0">
                  <c:v>Erro t</c:v>
                </c:pt>
              </c:strCache>
            </c:strRef>
          </c:tx>
          <c:spPr>
            <a:solidFill>
              <a:schemeClr val="accent6">
                <a:lumMod val="75000"/>
              </a:schemeClr>
            </a:solidFill>
            <a:ln>
              <a:noFill/>
            </a:ln>
            <a:effectLst/>
          </c:spPr>
          <c:invertIfNegative val="0"/>
          <c:cat>
            <c:strRef>
              <c:f>'SGS vs FOCUS'!$F$5:$F$240</c:f>
              <c:strCache>
                <c:ptCount val="1"/>
                <c:pt idx="0">
                  <c:v># Barra de fórmulas aberta</c:v>
                </c:pt>
              </c:strCache>
            </c:strRef>
          </c:cat>
          <c:val>
            <c:numRef>
              <c:f>'SGS vs FOCUS'!$N$5:$N$51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4-EB8D-40E8-A665-AC1F910BE0DB}"/>
            </c:ext>
          </c:extLst>
        </c:ser>
        <c:ser>
          <c:idx val="4"/>
          <c:order val="3"/>
          <c:tx>
            <c:strRef>
              <c:f>'SGS vs FOCUS'!$O$4</c:f>
              <c:strCache>
                <c:ptCount val="1"/>
                <c:pt idx="0">
                  <c:v>Erro t+1</c:v>
                </c:pt>
              </c:strCache>
            </c:strRef>
          </c:tx>
          <c:spPr>
            <a:solidFill>
              <a:schemeClr val="accent6">
                <a:lumMod val="50000"/>
              </a:schemeClr>
            </a:solidFill>
            <a:ln>
              <a:noFill/>
            </a:ln>
            <a:effectLst/>
          </c:spPr>
          <c:invertIfNegative val="0"/>
          <c:cat>
            <c:strRef>
              <c:f>'SGS vs FOCUS'!$F$5:$F$240</c:f>
              <c:strCache>
                <c:ptCount val="1"/>
                <c:pt idx="0">
                  <c:v># Barra de fórmulas aberta</c:v>
                </c:pt>
              </c:strCache>
            </c:strRef>
          </c:cat>
          <c:val>
            <c:numRef>
              <c:f>'SGS vs FOCUS'!$O$5:$O$51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5-EB8D-40E8-A665-AC1F910BE0DB}"/>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FOCUS'!$G$4</c:f>
              <c:strCache>
                <c:ptCount val="1"/>
                <c:pt idx="0">
                  <c:v>Valor</c:v>
                </c:pt>
              </c:strCache>
            </c:strRef>
          </c:tx>
          <c:spPr>
            <a:ln w="28575" cap="rnd">
              <a:solidFill>
                <a:schemeClr val="accent2"/>
              </a:solidFill>
              <a:round/>
            </a:ln>
            <a:effectLst/>
          </c:spPr>
          <c:marker>
            <c:symbol val="none"/>
          </c:marker>
          <c:cat>
            <c:strRef>
              <c:f>'SGS vs FOCUS'!$F$5:$F$240</c:f>
              <c:strCache>
                <c:ptCount val="1"/>
                <c:pt idx="0">
                  <c:v># Barra de fórmulas aberta</c:v>
                </c:pt>
              </c:strCache>
            </c:strRef>
          </c:cat>
          <c:val>
            <c:numRef>
              <c:f>'SGS vs FOCUS'!$G$5:$G$240</c:f>
              <c:numCache>
                <c:formatCode>0.00</c:formatCode>
                <c:ptCount val="236"/>
              </c:numCache>
            </c:numRef>
          </c:val>
          <c:smooth val="0"/>
          <c:extLst>
            <c:ext xmlns:c16="http://schemas.microsoft.com/office/drawing/2014/chart" uri="{C3380CC4-5D6E-409C-BE32-E72D297353CC}">
              <c16:uniqueId val="{00000000-EB8D-40E8-A665-AC1F910BE0DB}"/>
            </c:ext>
          </c:extLst>
        </c:ser>
        <c:dLbls>
          <c:showLegendKey val="0"/>
          <c:showVal val="0"/>
          <c:showCatName val="0"/>
          <c:showSerName val="0"/>
          <c:showPercent val="0"/>
          <c:showBubbleSize val="0"/>
        </c:dLbls>
        <c:marker val="1"/>
        <c:smooth val="0"/>
        <c:axId val="990173536"/>
        <c:axId val="990173208"/>
      </c:lineChart>
      <c:cat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ax val="1.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Câmbio médio mensal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8.9840565308007145E-2"/>
          <c:y val="0.18976115373258415"/>
          <c:w val="0.80234534537432767"/>
          <c:h val="0.5892742594112893"/>
        </c:manualLayout>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FOCUS'!$D$5:$D$51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F5F-46DA-BC8A-9F2590E75B28}"/>
            </c:ext>
          </c:extLst>
        </c:ser>
        <c:ser>
          <c:idx val="4"/>
          <c:order val="4"/>
          <c:tx>
            <c:strRef>
              <c:f>'SGS vs FOCUS'!$E$4</c:f>
              <c:strCache>
                <c:ptCount val="1"/>
                <c:pt idx="0">
                  <c:v>Pós-Covid</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FOCUS'!$E$5:$E$51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8F5F-46DA-BC8A-9F2590E75B28}"/>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FOCUS'!$V$4</c:f>
              <c:strCache>
                <c:ptCount val="1"/>
                <c:pt idx="0">
                  <c:v>Erro t-2</c:v>
                </c:pt>
              </c:strCache>
            </c:strRef>
          </c:tx>
          <c:spPr>
            <a:solidFill>
              <a:schemeClr val="accent6">
                <a:lumMod val="40000"/>
                <a:lumOff val="60000"/>
              </a:schemeClr>
            </a:solidFill>
            <a:ln>
              <a:noFill/>
            </a:ln>
            <a:effectLst/>
          </c:spPr>
          <c:invertIfNegative val="0"/>
          <c:cat>
            <c:strRef>
              <c:f>'SGS vs FOCUS'!$F$5:$F$240</c:f>
              <c:strCache>
                <c:ptCount val="1"/>
                <c:pt idx="0">
                  <c:v># Barra de fórmulas aberta</c:v>
                </c:pt>
              </c:strCache>
            </c:strRef>
          </c:cat>
          <c:val>
            <c:numRef>
              <c:f>'SGS vs FOCUS'!$V$5:$V$51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0-81BB-4CC1-B0F1-0ABC509030B8}"/>
            </c:ext>
          </c:extLst>
        </c:ser>
        <c:ser>
          <c:idx val="3"/>
          <c:order val="2"/>
          <c:tx>
            <c:strRef>
              <c:f>'SGS vs FOCUS'!$W$4</c:f>
              <c:strCache>
                <c:ptCount val="1"/>
                <c:pt idx="0">
                  <c:v>Erro t-1</c:v>
                </c:pt>
              </c:strCache>
            </c:strRef>
          </c:tx>
          <c:spPr>
            <a:solidFill>
              <a:schemeClr val="accent6">
                <a:lumMod val="60000"/>
                <a:lumOff val="40000"/>
              </a:schemeClr>
            </a:solidFill>
            <a:ln>
              <a:noFill/>
            </a:ln>
            <a:effectLst/>
          </c:spPr>
          <c:invertIfNegative val="0"/>
          <c:cat>
            <c:strRef>
              <c:f>'SGS vs FOCUS'!$F$5:$F$240</c:f>
              <c:strCache>
                <c:ptCount val="1"/>
                <c:pt idx="0">
                  <c:v># Barra de fórmulas aberta</c:v>
                </c:pt>
              </c:strCache>
            </c:strRef>
          </c:cat>
          <c:val>
            <c:numRef>
              <c:f>'SGS vs FOCUS'!$W$5:$W$51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81BB-4CC1-B0F1-0ABC509030B8}"/>
            </c:ext>
          </c:extLst>
        </c:ser>
        <c:dLbls>
          <c:showLegendKey val="0"/>
          <c:showVal val="0"/>
          <c:showCatName val="0"/>
          <c:showSerName val="0"/>
          <c:showPercent val="0"/>
          <c:showBubbleSize val="0"/>
        </c:dLbls>
        <c:gapWidth val="150"/>
        <c:axId val="215679968"/>
        <c:axId val="215677056"/>
      </c:barChart>
      <c:lineChart>
        <c:grouping val="standard"/>
        <c:varyColors val="0"/>
        <c:ser>
          <c:idx val="1"/>
          <c:order val="0"/>
          <c:tx>
            <c:v>USD em BRL (esq.)</c:v>
          </c:tx>
          <c:spPr>
            <a:ln w="28575" cap="rnd">
              <a:solidFill>
                <a:schemeClr val="accent2"/>
              </a:solidFill>
              <a:round/>
            </a:ln>
            <a:effectLst/>
          </c:spPr>
          <c:marker>
            <c:symbol val="none"/>
          </c:marker>
          <c:cat>
            <c:strRef>
              <c:f>'SGS vs FOCUS'!$F$5:$F$240</c:f>
              <c:strCache>
                <c:ptCount val="1"/>
                <c:pt idx="0">
                  <c:v># Barra de fórmulas aberta</c:v>
                </c:pt>
              </c:strCache>
            </c:strRef>
          </c:cat>
          <c:val>
            <c:numRef>
              <c:f>'SGS vs FOCUS'!$R$5:$R$240</c:f>
              <c:numCache>
                <c:formatCode>0.00</c:formatCode>
                <c:ptCount val="236"/>
              </c:numCache>
            </c:numRef>
          </c:val>
          <c:smooth val="0"/>
          <c:extLst>
            <c:ext xmlns:c16="http://schemas.microsoft.com/office/drawing/2014/chart" uri="{C3380CC4-5D6E-409C-BE32-E72D297353CC}">
              <c16:uniqueId val="{00000003-81BB-4CC1-B0F1-0ABC509030B8}"/>
            </c:ext>
          </c:extLst>
        </c:ser>
        <c:dLbls>
          <c:showLegendKey val="0"/>
          <c:showVal val="0"/>
          <c:showCatName val="0"/>
          <c:showSerName val="0"/>
          <c:showPercent val="0"/>
          <c:showBubbleSize val="0"/>
        </c:dLbls>
        <c:marker val="1"/>
        <c:smooth val="0"/>
        <c:axId val="990173536"/>
        <c:axId val="990173208"/>
      </c:lineChart>
      <c:catAx>
        <c:axId val="990173536"/>
        <c:scaling>
          <c:orientation val="minMax"/>
        </c:scaling>
        <c:delete val="0"/>
        <c:axPos val="b"/>
        <c:numFmt formatCode="[$-416]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ax val="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R$</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valAx>
        <c:axId val="215677056"/>
        <c:scaling>
          <c:orientation val="minMax"/>
          <c:max val="35"/>
          <c:min val="-20"/>
        </c:scaling>
        <c:delete val="0"/>
        <c:axPos val="r"/>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215679968"/>
        <c:crosses val="max"/>
        <c:crossBetween val="between"/>
        <c:majorUnit val="5"/>
      </c:valAx>
      <c:catAx>
        <c:axId val="215679968"/>
        <c:scaling>
          <c:orientation val="minMax"/>
        </c:scaling>
        <c:delete val="1"/>
        <c:axPos val="b"/>
        <c:numFmt formatCode="General" sourceLinked="1"/>
        <c:majorTickMark val="out"/>
        <c:minorTickMark val="none"/>
        <c:tickLblPos val="nextTo"/>
        <c:crossAx val="215677056"/>
        <c:crosses val="autoZero"/>
        <c:auto val="1"/>
        <c:lblAlgn val="ctr"/>
        <c:lblOffset val="100"/>
        <c:noMultiLvlLbl val="1"/>
      </c:catAx>
      <c:spPr>
        <a:noFill/>
        <a:ln>
          <a:noFill/>
        </a:ln>
        <a:effectLst/>
      </c:spPr>
    </c:plotArea>
    <c:legend>
      <c:legendPos val="t"/>
      <c:legendEntry>
        <c:idx val="0"/>
        <c:delete val="1"/>
      </c:legendEntry>
      <c:legendEntry>
        <c:idx val="1"/>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FOCUS'!$W$5:$W$51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FOCUS'!$AE$5:$AE$51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197E-4A1B-B80E-87C92C0652F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FOCUS'!$V$5:$V$51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FOCUS'!$AD$5:$AD$51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78C8-4659-8FDA-B07EE4376205}"/>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IGP-M MoM vs. Focus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ndard"/>
        <c:varyColors val="0"/>
        <c:ser>
          <c:idx val="0"/>
          <c:order val="3"/>
          <c:tx>
            <c:strRef>
              <c:f>'SGS vs FOCUS'!$D$4</c:f>
              <c:strCache>
                <c:ptCount val="1"/>
                <c:pt idx="0">
                  <c:v>Pós-Covid (-)</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FOCUS'!$D$5:$D$51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D899-40E9-A42A-9E8A2F5CDBDD}"/>
            </c:ext>
          </c:extLst>
        </c:ser>
        <c:ser>
          <c:idx val="4"/>
          <c:order val="4"/>
          <c:tx>
            <c:strRef>
              <c:f>'SGS vs FOCUS'!$E$4</c:f>
              <c:strCache>
                <c:ptCount val="1"/>
                <c:pt idx="0">
                  <c:v>Pós-Covid</c:v>
                </c:pt>
              </c:strCache>
            </c:strRef>
          </c:tx>
          <c:spPr>
            <a:solidFill>
              <a:schemeClr val="bg1">
                <a:lumMod val="85000"/>
                <a:alpha val="30000"/>
              </a:schemeClr>
            </a:solidFill>
            <a:ln>
              <a:noFill/>
            </a:ln>
            <a:effectLst/>
          </c:spPr>
          <c:cat>
            <c:strRef>
              <c:f>'SGS vs FOCUS'!$F$5:$F$240</c:f>
              <c:strCache>
                <c:ptCount val="1"/>
                <c:pt idx="0">
                  <c:v># Barra de fórmulas aberta</c:v>
                </c:pt>
              </c:strCache>
            </c:strRef>
          </c:cat>
          <c:val>
            <c:numRef>
              <c:f>'SGS vs FOCUS'!$E$5:$E$51</c:f>
              <c:numCache>
                <c:formatCode>General</c:formatCode>
                <c:ptCount val="47"/>
                <c:pt idx="0">
                  <c:v>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2-D899-40E9-A42A-9E8A2F5CDBDD}"/>
            </c:ext>
          </c:extLst>
        </c:ser>
        <c:dLbls>
          <c:showLegendKey val="0"/>
          <c:showVal val="0"/>
          <c:showCatName val="0"/>
          <c:showSerName val="0"/>
          <c:showPercent val="0"/>
          <c:showBubbleSize val="0"/>
        </c:dLbls>
        <c:axId val="990173536"/>
        <c:axId val="990173208"/>
      </c:areaChart>
      <c:barChart>
        <c:barDir val="col"/>
        <c:grouping val="clustered"/>
        <c:varyColors val="0"/>
        <c:ser>
          <c:idx val="2"/>
          <c:order val="1"/>
          <c:tx>
            <c:strRef>
              <c:f>'SGS vs FOCUS'!$AE$4</c:f>
              <c:strCache>
                <c:ptCount val="1"/>
                <c:pt idx="0">
                  <c:v>Erro t-1</c:v>
                </c:pt>
              </c:strCache>
            </c:strRef>
          </c:tx>
          <c:spPr>
            <a:solidFill>
              <a:schemeClr val="accent6">
                <a:lumMod val="60000"/>
                <a:lumOff val="40000"/>
              </a:schemeClr>
            </a:solidFill>
            <a:ln>
              <a:noFill/>
            </a:ln>
            <a:effectLst/>
          </c:spPr>
          <c:invertIfNegative val="0"/>
          <c:cat>
            <c:strRef>
              <c:f>'SGS vs FOCUS'!$F$5:$F$240</c:f>
              <c:strCache>
                <c:ptCount val="1"/>
                <c:pt idx="0">
                  <c:v># Barra de fórmulas aberta</c:v>
                </c:pt>
              </c:strCache>
            </c:strRef>
          </c:cat>
          <c:val>
            <c:numRef>
              <c:f>'SGS vs FOCUS'!$AE$5:$AE$51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0-1FB6-4AEE-9B06-FC330B30D9C3}"/>
            </c:ext>
          </c:extLst>
        </c:ser>
        <c:ser>
          <c:idx val="3"/>
          <c:order val="2"/>
          <c:tx>
            <c:strRef>
              <c:f>'SGS vs FOCUS'!$AF$4</c:f>
              <c:strCache>
                <c:ptCount val="1"/>
                <c:pt idx="0">
                  <c:v>Erro t</c:v>
                </c:pt>
              </c:strCache>
            </c:strRef>
          </c:tx>
          <c:spPr>
            <a:solidFill>
              <a:schemeClr val="accent6">
                <a:lumMod val="75000"/>
              </a:schemeClr>
            </a:solidFill>
            <a:ln>
              <a:noFill/>
            </a:ln>
            <a:effectLst/>
          </c:spPr>
          <c:invertIfNegative val="0"/>
          <c:cat>
            <c:strRef>
              <c:f>'SGS vs FOCUS'!$F$5:$F$240</c:f>
              <c:strCache>
                <c:ptCount val="1"/>
                <c:pt idx="0">
                  <c:v># Barra de fórmulas aberta</c:v>
                </c:pt>
              </c:strCache>
            </c:strRef>
          </c:cat>
          <c:val>
            <c:numRef>
              <c:f>'SGS vs FOCUS'!$AF$5:$AF$51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val>
          <c:extLst>
            <c:ext xmlns:c16="http://schemas.microsoft.com/office/drawing/2014/chart" uri="{C3380CC4-5D6E-409C-BE32-E72D297353CC}">
              <c16:uniqueId val="{00000001-1FB6-4AEE-9B06-FC330B30D9C3}"/>
            </c:ext>
          </c:extLst>
        </c:ser>
        <c:dLbls>
          <c:showLegendKey val="0"/>
          <c:showVal val="0"/>
          <c:showCatName val="0"/>
          <c:showSerName val="0"/>
          <c:showPercent val="0"/>
          <c:showBubbleSize val="0"/>
        </c:dLbls>
        <c:gapWidth val="150"/>
        <c:axId val="990173536"/>
        <c:axId val="990173208"/>
      </c:barChart>
      <c:lineChart>
        <c:grouping val="standard"/>
        <c:varyColors val="0"/>
        <c:ser>
          <c:idx val="1"/>
          <c:order val="0"/>
          <c:tx>
            <c:strRef>
              <c:f>'SGS vs FOCUS'!$Z$4</c:f>
              <c:strCache>
                <c:ptCount val="1"/>
                <c:pt idx="0">
                  <c:v>Valor</c:v>
                </c:pt>
              </c:strCache>
            </c:strRef>
          </c:tx>
          <c:spPr>
            <a:ln w="28575" cap="rnd">
              <a:solidFill>
                <a:schemeClr val="accent2"/>
              </a:solidFill>
              <a:round/>
            </a:ln>
            <a:effectLst/>
          </c:spPr>
          <c:marker>
            <c:symbol val="none"/>
          </c:marker>
          <c:cat>
            <c:strRef>
              <c:f>'SGS vs FOCUS'!$F$5:$F$240</c:f>
              <c:strCache>
                <c:ptCount val="1"/>
                <c:pt idx="0">
                  <c:v># Barra de fórmulas aberta</c:v>
                </c:pt>
              </c:strCache>
            </c:strRef>
          </c:cat>
          <c:val>
            <c:numRef>
              <c:f>'SGS vs FOCUS'!$Z$5:$Z$51</c:f>
              <c:numCache>
                <c:formatCode>0.00</c:formatCode>
                <c:ptCount val="47"/>
              </c:numCache>
            </c:numRef>
          </c:val>
          <c:smooth val="0"/>
          <c:extLst>
            <c:ext xmlns:c16="http://schemas.microsoft.com/office/drawing/2014/chart" uri="{C3380CC4-5D6E-409C-BE32-E72D297353CC}">
              <c16:uniqueId val="{00000002-1FB6-4AEE-9B06-FC330B30D9C3}"/>
            </c:ext>
          </c:extLst>
        </c:ser>
        <c:dLbls>
          <c:showLegendKey val="0"/>
          <c:showVal val="0"/>
          <c:showCatName val="0"/>
          <c:showSerName val="0"/>
          <c:showPercent val="0"/>
          <c:showBubbleSize val="0"/>
        </c:dLbls>
        <c:marker val="1"/>
        <c:smooth val="0"/>
        <c:axId val="990173536"/>
        <c:axId val="990173208"/>
      </c:lineChart>
      <c:catAx>
        <c:axId val="990173536"/>
        <c:scaling>
          <c:orientation val="minMax"/>
        </c:scaling>
        <c:delete val="0"/>
        <c:axPos val="b"/>
        <c:numFmt formatCode="[$-416]mmm\-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990173208"/>
        <c:crosses val="autoZero"/>
        <c:auto val="1"/>
        <c:lblAlgn val="ctr"/>
        <c:lblOffset val="100"/>
        <c:noMultiLvlLbl val="1"/>
      </c:catAx>
      <c:valAx>
        <c:axId val="990173208"/>
        <c:scaling>
          <c:orientation val="minMax"/>
          <c:max val="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pt-BR" sz="1100" b="1"/>
                  <a:t>p.p.</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990173536"/>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FOCUS'!$W$5:$W$51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8A6F-4315-94D9-E98BA9110634}"/>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t-2</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2931846019247584"/>
                  <c:y val="-0.64925707203266259"/>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FOCUS'!$V$5:$V$51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5AFF-4784-A4F1-ED7CFCA18302}"/>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FOCUS'!$M$5:$M$51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FOCUS'!$AE$5:$AE$51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AF2D-4633-92A7-6C7012D9D71B}"/>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v>t-1</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layout>
                <c:manualLayout>
                  <c:x val="0.17946391076115487"/>
                  <c:y val="-0.650872338874307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trendlineLbl>
          </c:trendline>
          <c:xVal>
            <c:numRef>
              <c:f>'SGS vs FOCUS'!$L$5:$L$51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xVal>
          <c:yVal>
            <c:numRef>
              <c:f>'SGS vs FOCUS'!$AD$5:$AD$51</c:f>
              <c:numCache>
                <c:formatCode>0.00</c:formatCode>
                <c:ptCount val="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numCache>
            </c:numRef>
          </c:yVal>
          <c:smooth val="0"/>
          <c:extLst>
            <c:ext xmlns:c16="http://schemas.microsoft.com/office/drawing/2014/chart" uri="{C3380CC4-5D6E-409C-BE32-E72D297353CC}">
              <c16:uniqueId val="{00000001-4A66-4800-BBDB-9664207861C0}"/>
            </c:ext>
          </c:extLst>
        </c:ser>
        <c:dLbls>
          <c:showLegendKey val="0"/>
          <c:showVal val="0"/>
          <c:showCatName val="0"/>
          <c:showSerName val="0"/>
          <c:showPercent val="0"/>
          <c:showBubbleSize val="0"/>
        </c:dLbls>
        <c:axId val="309227728"/>
        <c:axId val="309224816"/>
      </c:scatterChart>
      <c:valAx>
        <c:axId val="309227728"/>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4816"/>
        <c:crosses val="autoZero"/>
        <c:crossBetween val="midCat"/>
      </c:valAx>
      <c:valAx>
        <c:axId val="30922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92277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 Id="rId9"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2</xdr:col>
      <xdr:colOff>161925</xdr:colOff>
      <xdr:row>28</xdr:row>
      <xdr:rowOff>95249</xdr:rowOff>
    </xdr:from>
    <xdr:to>
      <xdr:col>10</xdr:col>
      <xdr:colOff>595916</xdr:colOff>
      <xdr:row>28</xdr:row>
      <xdr:rowOff>1238474</xdr:rowOff>
    </xdr:to>
    <xdr:grpSp>
      <xdr:nvGrpSpPr>
        <xdr:cNvPr id="5" name="Agrupar 4">
          <a:extLst>
            <a:ext uri="{FF2B5EF4-FFF2-40B4-BE49-F238E27FC236}">
              <a16:creationId xmlns:a16="http://schemas.microsoft.com/office/drawing/2014/main" id="{D1C41F04-3850-4991-8691-C4202B0128C5}"/>
            </a:ext>
          </a:extLst>
        </xdr:cNvPr>
        <xdr:cNvGrpSpPr/>
      </xdr:nvGrpSpPr>
      <xdr:grpSpPr>
        <a:xfrm>
          <a:off x="952500" y="5172074"/>
          <a:ext cx="5987066" cy="1143225"/>
          <a:chOff x="161925" y="3752849"/>
          <a:chExt cx="5310791" cy="1143225"/>
        </a:xfrm>
      </xdr:grpSpPr>
      <xdr:pic>
        <xdr:nvPicPr>
          <xdr:cNvPr id="2" name="Imagem 1">
            <a:extLst>
              <a:ext uri="{FF2B5EF4-FFF2-40B4-BE49-F238E27FC236}">
                <a16:creationId xmlns:a16="http://schemas.microsoft.com/office/drawing/2014/main" id="{07373140-21AD-43FF-A60F-25A0D1810AF8}"/>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3" name="Elipse 2">
            <a:extLst>
              <a:ext uri="{FF2B5EF4-FFF2-40B4-BE49-F238E27FC236}">
                <a16:creationId xmlns:a16="http://schemas.microsoft.com/office/drawing/2014/main" id="{637F658B-73E5-40AB-BD91-2D877B915B7F}"/>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238125</xdr:colOff>
      <xdr:row>31</xdr:row>
      <xdr:rowOff>95250</xdr:rowOff>
    </xdr:from>
    <xdr:to>
      <xdr:col>5</xdr:col>
      <xdr:colOff>75706</xdr:colOff>
      <xdr:row>31</xdr:row>
      <xdr:rowOff>2952750</xdr:rowOff>
    </xdr:to>
    <xdr:grpSp>
      <xdr:nvGrpSpPr>
        <xdr:cNvPr id="12" name="Agrupar 11">
          <a:extLst>
            <a:ext uri="{FF2B5EF4-FFF2-40B4-BE49-F238E27FC236}">
              <a16:creationId xmlns:a16="http://schemas.microsoft.com/office/drawing/2014/main" id="{981BE3ED-5CF0-425D-8FA9-BC801FDB3AE3}"/>
            </a:ext>
          </a:extLst>
        </xdr:cNvPr>
        <xdr:cNvGrpSpPr/>
      </xdr:nvGrpSpPr>
      <xdr:grpSpPr>
        <a:xfrm>
          <a:off x="1028700" y="6972300"/>
          <a:ext cx="2342656" cy="2857500"/>
          <a:chOff x="1028700" y="7781925"/>
          <a:chExt cx="1666381" cy="2857500"/>
        </a:xfrm>
      </xdr:grpSpPr>
      <xdr:pic>
        <xdr:nvPicPr>
          <xdr:cNvPr id="9" name="Imagem 8">
            <a:extLst>
              <a:ext uri="{FF2B5EF4-FFF2-40B4-BE49-F238E27FC236}">
                <a16:creationId xmlns:a16="http://schemas.microsoft.com/office/drawing/2014/main" id="{65BC5962-AA84-4338-AA1F-E6AC7FC34A51}"/>
              </a:ext>
            </a:extLst>
          </xdr:cNvPr>
          <xdr:cNvPicPr>
            <a:picLocks noChangeAspect="1"/>
          </xdr:cNvPicPr>
        </xdr:nvPicPr>
        <xdr:blipFill>
          <a:blip xmlns:r="http://schemas.openxmlformats.org/officeDocument/2006/relationships" r:embed="rId2"/>
          <a:stretch>
            <a:fillRect/>
          </a:stretch>
        </xdr:blipFill>
        <xdr:spPr>
          <a:xfrm>
            <a:off x="1076325" y="7781925"/>
            <a:ext cx="1618756" cy="2857500"/>
          </a:xfrm>
          <a:prstGeom prst="rect">
            <a:avLst/>
          </a:prstGeom>
        </xdr:spPr>
      </xdr:pic>
      <xdr:sp macro="" textlink="">
        <xdr:nvSpPr>
          <xdr:cNvPr id="10" name="Elipse 9">
            <a:extLst>
              <a:ext uri="{FF2B5EF4-FFF2-40B4-BE49-F238E27FC236}">
                <a16:creationId xmlns:a16="http://schemas.microsoft.com/office/drawing/2014/main" id="{94B37906-EE6E-47A1-9756-C2A227A81BA9}"/>
              </a:ext>
            </a:extLst>
          </xdr:cNvPr>
          <xdr:cNvSpPr/>
        </xdr:nvSpPr>
        <xdr:spPr>
          <a:xfrm>
            <a:off x="1028700" y="8924925"/>
            <a:ext cx="885825"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sp macro="" textlink="">
        <xdr:nvSpPr>
          <xdr:cNvPr id="11" name="Elipse 10">
            <a:extLst>
              <a:ext uri="{FF2B5EF4-FFF2-40B4-BE49-F238E27FC236}">
                <a16:creationId xmlns:a16="http://schemas.microsoft.com/office/drawing/2014/main" id="{33436466-059E-49CB-8534-A180D4FC7FD8}"/>
              </a:ext>
            </a:extLst>
          </xdr:cNvPr>
          <xdr:cNvSpPr/>
        </xdr:nvSpPr>
        <xdr:spPr>
          <a:xfrm>
            <a:off x="1038225" y="10125075"/>
            <a:ext cx="1028700" cy="39052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3CC3F89D-4442-4CA7-88F0-7F3FEA00E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8FA24985-0E13-471E-A0CA-D686D1BE5C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4A55784-2649-471B-8EC1-914C15D04D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486E6266-B258-489C-9658-052FC2347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BA1DEA8E-7BCE-480D-9C60-D0E22C2DF6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2F5F4EB6-E043-4FEA-A030-51C6DE39F6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388620</xdr:colOff>
      <xdr:row>2</xdr:row>
      <xdr:rowOff>129540</xdr:rowOff>
    </xdr:from>
    <xdr:to>
      <xdr:col>17</xdr:col>
      <xdr:colOff>495300</xdr:colOff>
      <xdr:row>27</xdr:row>
      <xdr:rowOff>45720</xdr:rowOff>
    </xdr:to>
    <xdr:graphicFrame macro="">
      <xdr:nvGraphicFramePr>
        <xdr:cNvPr id="2" name="Gráfico 1">
          <a:extLst>
            <a:ext uri="{FF2B5EF4-FFF2-40B4-BE49-F238E27FC236}">
              <a16:creationId xmlns:a16="http://schemas.microsoft.com/office/drawing/2014/main" id="{5A251708-DFC4-441A-BAD1-D50B33D3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A1852CF1-41BD-4AB5-8BE2-EAE07F487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571498</xdr:colOff>
      <xdr:row>7</xdr:row>
      <xdr:rowOff>47625</xdr:rowOff>
    </xdr:from>
    <xdr:to>
      <xdr:col>11</xdr:col>
      <xdr:colOff>4857750</xdr:colOff>
      <xdr:row>29</xdr:row>
      <xdr:rowOff>104774</xdr:rowOff>
    </xdr:to>
    <xdr:graphicFrame macro="">
      <xdr:nvGraphicFramePr>
        <xdr:cNvPr id="3" name="Gráfico 2">
          <a:extLst>
            <a:ext uri="{FF2B5EF4-FFF2-40B4-BE49-F238E27FC236}">
              <a16:creationId xmlns:a16="http://schemas.microsoft.com/office/drawing/2014/main" id="{6F18EAD3-2505-435D-BC91-E443F5F761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10</xdr:col>
      <xdr:colOff>628650</xdr:colOff>
      <xdr:row>7</xdr:row>
      <xdr:rowOff>76200</xdr:rowOff>
    </xdr:from>
    <xdr:to>
      <xdr:col>13</xdr:col>
      <xdr:colOff>885825</xdr:colOff>
      <xdr:row>29</xdr:row>
      <xdr:rowOff>85726</xdr:rowOff>
    </xdr:to>
    <xdr:graphicFrame macro="">
      <xdr:nvGraphicFramePr>
        <xdr:cNvPr id="2" name="Gráfico 1">
          <a:extLst>
            <a:ext uri="{FF2B5EF4-FFF2-40B4-BE49-F238E27FC236}">
              <a16:creationId xmlns:a16="http://schemas.microsoft.com/office/drawing/2014/main" id="{2A492148-38FD-467C-A694-2CB1895374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CF63FD44-608F-44FA-9CD3-43F68EA16F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388619</xdr:colOff>
      <xdr:row>2</xdr:row>
      <xdr:rowOff>129540</xdr:rowOff>
    </xdr:from>
    <xdr:to>
      <xdr:col>15</xdr:col>
      <xdr:colOff>561974</xdr:colOff>
      <xdr:row>27</xdr:row>
      <xdr:rowOff>19050</xdr:rowOff>
    </xdr:to>
    <xdr:graphicFrame macro="">
      <xdr:nvGraphicFramePr>
        <xdr:cNvPr id="2" name="Gráfico 1">
          <a:extLst>
            <a:ext uri="{FF2B5EF4-FFF2-40B4-BE49-F238E27FC236}">
              <a16:creationId xmlns:a16="http://schemas.microsoft.com/office/drawing/2014/main" id="{5DC44D76-7725-43F7-BBFF-0BC9FFB90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8</xdr:col>
      <xdr:colOff>388620</xdr:colOff>
      <xdr:row>3</xdr:row>
      <xdr:rowOff>129540</xdr:rowOff>
    </xdr:from>
    <xdr:to>
      <xdr:col>17</xdr:col>
      <xdr:colOff>495300</xdr:colOff>
      <xdr:row>28</xdr:row>
      <xdr:rowOff>45720</xdr:rowOff>
    </xdr:to>
    <xdr:graphicFrame macro="">
      <xdr:nvGraphicFramePr>
        <xdr:cNvPr id="2" name="Gráfico 1">
          <a:extLst>
            <a:ext uri="{FF2B5EF4-FFF2-40B4-BE49-F238E27FC236}">
              <a16:creationId xmlns:a16="http://schemas.microsoft.com/office/drawing/2014/main" id="{73885D14-1D4B-4973-855D-01C52FB546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33</xdr:col>
      <xdr:colOff>135524</xdr:colOff>
      <xdr:row>1</xdr:row>
      <xdr:rowOff>70401</xdr:rowOff>
    </xdr:from>
    <xdr:to>
      <xdr:col>43</xdr:col>
      <xdr:colOff>362764</xdr:colOff>
      <xdr:row>27</xdr:row>
      <xdr:rowOff>83444</xdr:rowOff>
    </xdr:to>
    <xdr:graphicFrame macro="">
      <xdr:nvGraphicFramePr>
        <xdr:cNvPr id="2" name="Gráfico 1">
          <a:extLst>
            <a:ext uri="{FF2B5EF4-FFF2-40B4-BE49-F238E27FC236}">
              <a16:creationId xmlns:a16="http://schemas.microsoft.com/office/drawing/2014/main" id="{2F7024ED-1030-4BD7-BD6F-20CA595B43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155567</xdr:colOff>
      <xdr:row>25</xdr:row>
      <xdr:rowOff>55834</xdr:rowOff>
    </xdr:from>
    <xdr:to>
      <xdr:col>44</xdr:col>
      <xdr:colOff>313764</xdr:colOff>
      <xdr:row>51</xdr:row>
      <xdr:rowOff>68876</xdr:rowOff>
    </xdr:to>
    <xdr:graphicFrame macro="">
      <xdr:nvGraphicFramePr>
        <xdr:cNvPr id="3" name="Gráfico 2">
          <a:extLst>
            <a:ext uri="{FF2B5EF4-FFF2-40B4-BE49-F238E27FC236}">
              <a16:creationId xmlns:a16="http://schemas.microsoft.com/office/drawing/2014/main" id="{9DC24164-3F0D-4F6F-93E3-520F262B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0</xdr:colOff>
      <xdr:row>67</xdr:row>
      <xdr:rowOff>0</xdr:rowOff>
    </xdr:from>
    <xdr:to>
      <xdr:col>41</xdr:col>
      <xdr:colOff>304800</xdr:colOff>
      <xdr:row>83</xdr:row>
      <xdr:rowOff>152400</xdr:rowOff>
    </xdr:to>
    <xdr:graphicFrame macro="">
      <xdr:nvGraphicFramePr>
        <xdr:cNvPr id="8" name="Gráfico 7">
          <a:extLst>
            <a:ext uri="{FF2B5EF4-FFF2-40B4-BE49-F238E27FC236}">
              <a16:creationId xmlns:a16="http://schemas.microsoft.com/office/drawing/2014/main" id="{961596D6-3C13-407A-A39B-23941C1B55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447675</xdr:colOff>
      <xdr:row>67</xdr:row>
      <xdr:rowOff>19050</xdr:rowOff>
    </xdr:from>
    <xdr:to>
      <xdr:col>49</xdr:col>
      <xdr:colOff>142875</xdr:colOff>
      <xdr:row>84</xdr:row>
      <xdr:rowOff>9525</xdr:rowOff>
    </xdr:to>
    <xdr:graphicFrame macro="">
      <xdr:nvGraphicFramePr>
        <xdr:cNvPr id="9" name="Gráfico 8">
          <a:extLst>
            <a:ext uri="{FF2B5EF4-FFF2-40B4-BE49-F238E27FC236}">
              <a16:creationId xmlns:a16="http://schemas.microsoft.com/office/drawing/2014/main" id="{5F65A5AC-F01B-4DBF-9AB3-44C4FCB3E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18089</xdr:colOff>
      <xdr:row>1</xdr:row>
      <xdr:rowOff>138437</xdr:rowOff>
    </xdr:from>
    <xdr:to>
      <xdr:col>56</xdr:col>
      <xdr:colOff>245944</xdr:colOff>
      <xdr:row>27</xdr:row>
      <xdr:rowOff>149114</xdr:rowOff>
    </xdr:to>
    <xdr:graphicFrame macro="">
      <xdr:nvGraphicFramePr>
        <xdr:cNvPr id="11" name="Gráfico 10">
          <a:extLst>
            <a:ext uri="{FF2B5EF4-FFF2-40B4-BE49-F238E27FC236}">
              <a16:creationId xmlns:a16="http://schemas.microsoft.com/office/drawing/2014/main" id="{03DCAC99-381E-479B-82BF-335F2C92BC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33</xdr:col>
      <xdr:colOff>214993</xdr:colOff>
      <xdr:row>1</xdr:row>
      <xdr:rowOff>77562</xdr:rowOff>
    </xdr:from>
    <xdr:to>
      <xdr:col>36</xdr:col>
      <xdr:colOff>532040</xdr:colOff>
      <xdr:row>2</xdr:row>
      <xdr:rowOff>155122</xdr:rowOff>
    </xdr:to>
    <xdr:sp macro="" textlink="">
      <xdr:nvSpPr>
        <xdr:cNvPr id="10" name="CaixaDeTexto 9">
          <a:extLst>
            <a:ext uri="{FF2B5EF4-FFF2-40B4-BE49-F238E27FC236}">
              <a16:creationId xmlns:a16="http://schemas.microsoft.com/office/drawing/2014/main" id="{E1673B5B-586C-486A-A7AF-8C90AA19301F}"/>
            </a:ext>
          </a:extLst>
        </xdr:cNvPr>
        <xdr:cNvSpPr txBox="1"/>
      </xdr:nvSpPr>
      <xdr:spPr>
        <a:xfrm>
          <a:off x="23170243" y="281669"/>
          <a:ext cx="2154011" cy="2408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ln>
                <a:noFill/>
              </a:ln>
            </a:rPr>
            <a:t>t = mês</a:t>
          </a:r>
          <a:r>
            <a:rPr lang="pt-BR" sz="1100" baseline="0">
              <a:ln>
                <a:noFill/>
              </a:ln>
            </a:rPr>
            <a:t> de referência </a:t>
          </a:r>
          <a:r>
            <a:rPr lang="pt-BR" sz="1100">
              <a:ln>
                <a:noFill/>
              </a:ln>
            </a:rPr>
            <a:t>do indicador</a:t>
          </a:r>
        </a:p>
      </xdr:txBody>
    </xdr:sp>
    <xdr:clientData/>
  </xdr:twoCellAnchor>
  <xdr:twoCellAnchor>
    <xdr:from>
      <xdr:col>57</xdr:col>
      <xdr:colOff>258536</xdr:colOff>
      <xdr:row>2</xdr:row>
      <xdr:rowOff>122465</xdr:rowOff>
    </xdr:from>
    <xdr:to>
      <xdr:col>64</xdr:col>
      <xdr:colOff>563336</xdr:colOff>
      <xdr:row>19</xdr:row>
      <xdr:rowOff>111579</xdr:rowOff>
    </xdr:to>
    <xdr:graphicFrame macro="">
      <xdr:nvGraphicFramePr>
        <xdr:cNvPr id="12" name="Gráfico 11">
          <a:extLst>
            <a:ext uri="{FF2B5EF4-FFF2-40B4-BE49-F238E27FC236}">
              <a16:creationId xmlns:a16="http://schemas.microsoft.com/office/drawing/2014/main" id="{60C9D6DF-AD13-438F-BA44-69523FFD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65</xdr:col>
      <xdr:colOff>246289</xdr:colOff>
      <xdr:row>2</xdr:row>
      <xdr:rowOff>146278</xdr:rowOff>
    </xdr:from>
    <xdr:to>
      <xdr:col>72</xdr:col>
      <xdr:colOff>553811</xdr:colOff>
      <xdr:row>19</xdr:row>
      <xdr:rowOff>136753</xdr:rowOff>
    </xdr:to>
    <xdr:graphicFrame macro="">
      <xdr:nvGraphicFramePr>
        <xdr:cNvPr id="13" name="Gráfico 12">
          <a:extLst>
            <a:ext uri="{FF2B5EF4-FFF2-40B4-BE49-F238E27FC236}">
              <a16:creationId xmlns:a16="http://schemas.microsoft.com/office/drawing/2014/main" id="{239A9B00-A20B-4E7C-BEE4-F2CB3831C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57</xdr:col>
      <xdr:colOff>382361</xdr:colOff>
      <xdr:row>21</xdr:row>
      <xdr:rowOff>2042</xdr:rowOff>
    </xdr:from>
    <xdr:to>
      <xdr:col>65</xdr:col>
      <xdr:colOff>74839</xdr:colOff>
      <xdr:row>37</xdr:row>
      <xdr:rowOff>155803</xdr:rowOff>
    </xdr:to>
    <xdr:graphicFrame macro="">
      <xdr:nvGraphicFramePr>
        <xdr:cNvPr id="14" name="Gráfico 13">
          <a:extLst>
            <a:ext uri="{FF2B5EF4-FFF2-40B4-BE49-F238E27FC236}">
              <a16:creationId xmlns:a16="http://schemas.microsoft.com/office/drawing/2014/main" id="{675483B0-F644-4CCF-9017-939C4F836E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65</xdr:col>
      <xdr:colOff>217714</xdr:colOff>
      <xdr:row>21</xdr:row>
      <xdr:rowOff>21092</xdr:rowOff>
    </xdr:from>
    <xdr:to>
      <xdr:col>72</xdr:col>
      <xdr:colOff>525236</xdr:colOff>
      <xdr:row>38</xdr:row>
      <xdr:rowOff>11567</xdr:rowOff>
    </xdr:to>
    <xdr:graphicFrame macro="">
      <xdr:nvGraphicFramePr>
        <xdr:cNvPr id="15" name="Gráfico 14">
          <a:extLst>
            <a:ext uri="{FF2B5EF4-FFF2-40B4-BE49-F238E27FC236}">
              <a16:creationId xmlns:a16="http://schemas.microsoft.com/office/drawing/2014/main" id="{3135EB26-4A8D-4948-B8D1-7D64E2286A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33</xdr:col>
      <xdr:colOff>291353</xdr:colOff>
      <xdr:row>49</xdr:row>
      <xdr:rowOff>44824</xdr:rowOff>
    </xdr:from>
    <xdr:to>
      <xdr:col>38</xdr:col>
      <xdr:colOff>593911</xdr:colOff>
      <xdr:row>50</xdr:row>
      <xdr:rowOff>100854</xdr:rowOff>
    </xdr:to>
    <xdr:sp macro="" textlink="">
      <xdr:nvSpPr>
        <xdr:cNvPr id="16" name="CaixaDeTexto 1">
          <a:extLst>
            <a:ext uri="{FF2B5EF4-FFF2-40B4-BE49-F238E27FC236}">
              <a16:creationId xmlns:a16="http://schemas.microsoft.com/office/drawing/2014/main" id="{940FE36B-E9EF-4921-9148-D96E6A8C1B5B}"/>
            </a:ext>
          </a:extLst>
        </xdr:cNvPr>
        <xdr:cNvSpPr txBox="1"/>
      </xdr:nvSpPr>
      <xdr:spPr>
        <a:xfrm>
          <a:off x="23016882" y="7776883"/>
          <a:ext cx="3328147"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Fonte: xlFOCUS com dados do</a:t>
          </a:r>
          <a:r>
            <a:rPr lang="pt-BR" sz="1100" b="1" baseline="0">
              <a:solidFill>
                <a:sysClr val="windowText" lastClr="000000"/>
              </a:solidFill>
            </a:rPr>
            <a:t> </a:t>
          </a:r>
          <a:r>
            <a:rPr lang="pt-BR" sz="1100" b="1">
              <a:solidFill>
                <a:sysClr val="windowText" lastClr="000000"/>
              </a:solidFill>
            </a:rPr>
            <a:t>SGS e do Focus</a:t>
          </a:r>
          <a:r>
            <a:rPr lang="pt-BR" sz="1100" b="1" baseline="0">
              <a:solidFill>
                <a:sysClr val="windowText" lastClr="000000"/>
              </a:solidFill>
            </a:rPr>
            <a:t> do BCB</a:t>
          </a:r>
          <a:endParaRPr lang="pt-BR" sz="1100" b="1">
            <a:solidFill>
              <a:sysClr val="windowText" lastClr="000000"/>
            </a:solidFill>
          </a:endParaRPr>
        </a:p>
      </xdr:txBody>
    </xdr:sp>
    <xdr:clientData/>
  </xdr:twoCellAnchor>
  <xdr:twoCellAnchor>
    <xdr:from>
      <xdr:col>40</xdr:col>
      <xdr:colOff>33618</xdr:colOff>
      <xdr:row>49</xdr:row>
      <xdr:rowOff>44824</xdr:rowOff>
    </xdr:from>
    <xdr:to>
      <xdr:col>44</xdr:col>
      <xdr:colOff>2690</xdr:colOff>
      <xdr:row>50</xdr:row>
      <xdr:rowOff>100854</xdr:rowOff>
    </xdr:to>
    <xdr:sp macro="" textlink="">
      <xdr:nvSpPr>
        <xdr:cNvPr id="17" name="CaixaDeTexto 1">
          <a:extLst>
            <a:ext uri="{FF2B5EF4-FFF2-40B4-BE49-F238E27FC236}">
              <a16:creationId xmlns:a16="http://schemas.microsoft.com/office/drawing/2014/main" id="{234BE454-C169-4F67-9B73-085DF4E7B289}"/>
            </a:ext>
          </a:extLst>
        </xdr:cNvPr>
        <xdr:cNvSpPr txBox="1"/>
      </xdr:nvSpPr>
      <xdr:spPr>
        <a:xfrm>
          <a:off x="26994971" y="7776883"/>
          <a:ext cx="2389543" cy="21291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pt-BR" sz="1100" b="1">
              <a:solidFill>
                <a:sysClr val="windowText" lastClr="000000"/>
              </a:solidFill>
            </a:rPr>
            <a:t>https://github.com/edugca/xlFOCUS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4552893517" missingItemsLimit="0" createdVersion="7" refreshedVersion="7" minRefreshableVersion="3" recordCount="9990" xr:uid="{18EE6D74-CDB1-46B5-8EB3-C803E2450DD7}">
  <cacheSource type="worksheet">
    <worksheetSource ref="A5:I9995" sheet="SCR 2"/>
  </cacheSource>
  <cacheFields count="9">
    <cacheField name="InicioPeriodo" numFmtId="0">
      <sharedItems count="232">
        <s v="2021-01-04"/>
        <s v="2021-01-05"/>
        <s v="2021-01-06"/>
        <s v="2021-01-07"/>
        <s v="2021-01-08"/>
        <s v="2021-01-11"/>
        <s v="2021-01-12"/>
        <s v="2021-01-13"/>
        <s v="2021-01-14"/>
        <s v="2021-01-15"/>
        <s v="2021-01-18"/>
        <s v="2021-01-19"/>
        <s v="2021-01-20"/>
        <s v="2021-01-21"/>
        <s v="2021-01-22"/>
        <s v="2021-01-25"/>
        <s v="2021-01-26"/>
        <s v="2021-01-27"/>
        <s v="2021-01-28"/>
        <s v="2021-01-29"/>
        <s v="2021-02-01"/>
        <s v="2021-02-02"/>
        <s v="2021-02-03"/>
        <s v="2021-02-04"/>
        <s v="2021-02-05"/>
        <s v="2021-02-08"/>
        <s v="2021-02-09"/>
        <s v="2021-02-10"/>
        <s v="2021-02-11"/>
        <s v="2021-02-12"/>
        <s v="2021-02-17"/>
        <s v="2021-02-18"/>
        <s v="2021-02-19"/>
        <s v="2021-02-22"/>
        <s v="2021-02-23"/>
        <s v="2021-02-24"/>
        <s v="2021-02-25"/>
        <s v="2021-02-26"/>
        <s v="2021-03-01"/>
        <s v="2021-03-02"/>
        <s v="2021-03-03"/>
        <s v="2021-03-04"/>
        <s v="2021-03-05"/>
        <s v="2021-03-08"/>
        <s v="2021-03-09"/>
        <s v="2021-03-10"/>
        <s v="2021-03-11"/>
        <s v="2021-03-12"/>
        <s v="2021-03-15"/>
        <s v="2021-03-16"/>
        <s v="2021-03-17"/>
        <s v="2021-03-18"/>
        <s v="2021-03-19"/>
        <s v="2021-03-22"/>
        <s v="2021-03-23"/>
        <s v="2021-03-24"/>
        <s v="2021-03-25"/>
        <s v="2021-03-26"/>
        <s v="2021-03-29"/>
        <s v="2021-03-30"/>
        <s v="2021-03-31"/>
        <s v="2021-04-01"/>
        <s v="2021-04-05"/>
        <s v="2021-04-06"/>
        <s v="2021-04-07"/>
        <s v="2021-04-08"/>
        <s v="2021-04-09"/>
        <s v="2021-04-12"/>
        <s v="2021-04-13"/>
        <s v="2021-04-14"/>
        <s v="2021-04-15"/>
        <s v="2021-04-16"/>
        <s v="2021-04-19"/>
        <s v="2021-04-20"/>
        <s v="2021-04-22"/>
        <s v="2021-04-23"/>
        <s v="2021-04-26"/>
        <s v="2021-04-27"/>
        <s v="2021-04-28"/>
        <s v="2021-04-29"/>
        <s v="2021-04-30"/>
        <s v="2021-05-03"/>
        <s v="2021-05-04"/>
        <s v="2021-05-05"/>
        <s v="2021-05-06"/>
        <s v="2021-05-07"/>
        <s v="2021-05-10"/>
        <s v="2021-05-11"/>
        <s v="2021-05-12"/>
        <s v="2021-05-13"/>
        <s v="2021-05-14"/>
        <s v="2021-05-17"/>
        <s v="2021-05-18"/>
        <s v="2021-05-19"/>
        <s v="2021-05-20"/>
        <s v="2021-05-21"/>
        <s v="2021-05-24"/>
        <s v="2021-05-25"/>
        <s v="2021-05-26"/>
        <s v="2021-05-27"/>
        <s v="2021-05-28"/>
        <s v="2021-05-31"/>
        <s v="2021-06-01"/>
        <s v="2021-06-02"/>
        <s v="2021-06-04"/>
        <s v="2021-06-07"/>
        <s v="2021-06-08"/>
        <s v="2021-06-09"/>
        <s v="2021-06-10"/>
        <s v="2021-06-11"/>
        <s v="2021-06-14"/>
        <s v="2021-06-15"/>
        <s v="2021-06-16"/>
        <s v="2021-06-17"/>
        <s v="2021-06-18"/>
        <s v="2021-06-21"/>
        <s v="2021-06-22"/>
        <s v="2021-06-23"/>
        <s v="2021-06-24"/>
        <s v="2021-06-25"/>
        <s v="2021-06-28"/>
        <s v="2021-06-29"/>
        <s v="2021-06-30"/>
        <s v="2021-07-01"/>
        <s v="2021-07-02"/>
        <s v="2021-07-05"/>
        <s v="2021-07-06"/>
        <s v="2021-07-07"/>
        <s v="2021-07-08"/>
        <s v="2021-07-09"/>
        <s v="2021-07-12"/>
        <s v="2021-07-13"/>
        <s v="2021-07-14"/>
        <s v="2021-07-15"/>
        <s v="2021-07-16"/>
        <s v="2021-07-19"/>
        <s v="2021-07-20"/>
        <s v="2021-07-21"/>
        <s v="2021-07-22"/>
        <s v="2021-07-23"/>
        <s v="2021-07-26"/>
        <s v="2021-07-27"/>
        <s v="2021-07-28"/>
        <s v="2021-07-29"/>
        <s v="2021-07-30"/>
        <s v="2021-08-02"/>
        <s v="2021-08-03"/>
        <s v="2021-08-04"/>
        <s v="2021-08-05"/>
        <s v="2021-08-06"/>
        <s v="2021-08-09"/>
        <s v="2021-08-10"/>
        <s v="2021-08-11"/>
        <s v="2021-08-12"/>
        <s v="2021-08-13"/>
        <s v="2021-08-16"/>
        <s v="2021-08-17"/>
        <s v="2021-08-18"/>
        <s v="2021-08-19"/>
        <s v="2021-08-20"/>
        <s v="2021-08-23"/>
        <s v="2021-08-24"/>
        <s v="2021-08-25"/>
        <s v="2021-08-26"/>
        <s v="2021-08-27"/>
        <s v="2021-08-30"/>
        <s v="2021-08-31"/>
        <s v="2021-09-01"/>
        <s v="2021-09-02"/>
        <s v="2021-09-03"/>
        <s v="2021-09-06"/>
        <s v="2021-09-08"/>
        <s v="2021-09-09"/>
        <s v="2021-09-10"/>
        <s v="2021-09-13"/>
        <s v="2021-09-14"/>
        <s v="2021-09-15"/>
        <s v="2021-09-16"/>
        <s v="2021-09-17"/>
        <s v="2021-09-20"/>
        <s v="2021-09-21"/>
        <s v="2021-09-22"/>
        <s v="2021-09-23"/>
        <s v="2021-09-24"/>
        <s v="2021-09-27"/>
        <s v="2021-09-28"/>
        <s v="2021-09-29"/>
        <s v="2021-09-30"/>
        <s v="2021-10-01"/>
        <s v="2021-10-04"/>
        <s v="2021-10-05"/>
        <s v="2021-10-06"/>
        <s v="2021-10-07"/>
        <s v="2021-10-08"/>
        <s v="2021-10-11"/>
        <s v="2021-10-13"/>
        <s v="2021-10-14"/>
        <s v="2021-10-15"/>
        <s v="2021-10-18"/>
        <s v="2021-10-19"/>
        <s v="2021-10-20"/>
        <s v="2021-10-21"/>
        <s v="2021-10-22"/>
        <s v="2021-10-25"/>
        <s v="2021-10-26"/>
        <s v="2021-10-27"/>
        <s v="2021-10-28"/>
        <s v="2021-10-29"/>
        <s v="2021-11-01"/>
        <s v="2021-11-03"/>
        <s v="2021-11-04"/>
        <s v="2021-11-05"/>
        <s v="2021-11-08"/>
        <s v="2021-11-09"/>
        <s v="2021-11-10"/>
        <s v="2021-11-11"/>
        <s v="2021-11-12"/>
        <s v="2021-11-16"/>
        <s v="2021-11-17"/>
        <s v="2021-11-18"/>
        <s v="2021-11-19"/>
        <s v="2021-11-22"/>
        <s v="2021-11-23"/>
        <s v="2021-11-24"/>
        <s v="2021-11-25"/>
        <s v="2021-11-26"/>
        <s v="2021-11-29"/>
        <s v="2021-11-30"/>
        <s v="2021-12-01"/>
        <s v="2021-12-02"/>
        <s v="2021-12-03"/>
        <s v="2021-12-06"/>
      </sharedItems>
    </cacheField>
    <cacheField name="FimPeriodo" numFmtId="0">
      <sharedItems/>
    </cacheField>
    <cacheField name="Segmento" numFmtId="0">
      <sharedItems count="1">
        <s v="PESSOA FÍSICA"/>
      </sharedItems>
    </cacheField>
    <cacheField name="Modalidade" numFmtId="0">
      <sharedItems count="1">
        <s v="AQUISIÇÃO DE VEÍCULOS - PRÉ-FIXADO"/>
      </sharedItems>
    </cacheField>
    <cacheField name="Posicao" numFmtId="0">
      <sharedItems containsSemiMixedTypes="0" containsString="0" containsNumber="1" containsInteger="1" minValue="1" maxValue="47"/>
    </cacheField>
    <cacheField name="InstituicaoFinanceira" numFmtId="0">
      <sharedItems count="54">
        <s v="OMNI BANCO S.A."/>
        <s v="PORTOCRED S.A. - CFI"/>
        <s v="OMNI SA CFI"/>
        <s v="SF3 CRÉDITO, FINANCIAMENTO E INVESTIMENTO S.A."/>
        <s v="BCO DAYCOVAL S.A"/>
        <s v="BCO RNX S.A."/>
        <s v="CREDIARE CFI S.A."/>
        <s v="BCO DIGIMAIS S.A."/>
        <s v="BANCO PAN"/>
        <s v="FINAMAX S.A. CFI"/>
        <s v="BCO YAMAHA MOTOR S.A."/>
        <s v="BCO HONDA S.A."/>
        <s v="PORTOSEG S.A. CFI"/>
        <s v="AYMORÉ CFI S.A."/>
        <s v="CAIXA ECONOMICA FEDERAL"/>
        <s v="BCO VOTORANTIM S.A."/>
        <s v="BCO BRADESCO FINANC. S.A."/>
        <s v="BANCO INBURSA"/>
        <s v="BCO BANESTES S.A."/>
        <s v="BCO DO ESTADO DO RS S.A."/>
        <s v="BCO ITAUCARD S.A."/>
        <s v="BCO. J.SAFRA S.A."/>
        <s v="SCANIA BCO S.A."/>
        <s v="BCO TOYOTA DO BRASIL S.A."/>
        <s v="SINOSSERRA S/A - SCFI"/>
        <s v="BCO GM S.A."/>
        <s v="BANCO HYUNDAI CAPITAL BRASIL"/>
        <s v="BCO DO BRASIL S.A."/>
        <s v="BCO SANTANDER (BRASIL) S.A."/>
        <s v="BCO BRADESCO S.A."/>
        <s v="BCO PSA FINANCE BRASIL S.A."/>
        <s v="FINANC ALFA S.A. CFI"/>
        <s v="ITAÚ UNIBANCO S.A."/>
        <s v="BCO RCI BRASIL S.A."/>
        <s v="BCO RODOBENS S.A."/>
        <s v="BCO VOLKSWAGEN S.A"/>
        <s v="BRB - CFI S/A"/>
        <s v="BMW FINANCEIRA S.A. - CFI"/>
        <s v="BCO MERCEDES-BENZ S.A."/>
        <s v="BCO DA AMAZONIA S.A."/>
        <s v="BANCO CNH INDUSTRIAL CAPITAL S.A"/>
        <s v="BECKER FINANCEIRA SA - CFI"/>
        <s v="SIMPALA S.A. CFI"/>
        <s v="BANCO MONEO S.A."/>
        <s v="BCO VOLVO BRASIL S.A."/>
        <s v="MERCANTIL BRASIL FIN S.A. CFI"/>
        <s v="GAZINCRED S.A. SCFI"/>
        <s v="BCO PACCAR S.A."/>
        <s v="AL5 S.A. CFI"/>
        <s v="BCO SAFRA S.A."/>
        <s v="BCO GUANABARA S.A."/>
        <s v="BANCO FIDIS"/>
        <s v="BCO LUSO BRASILEIRO S.A."/>
        <s v="BCO C6 S.A."/>
      </sharedItems>
    </cacheField>
    <cacheField name="TaxaJurosAoMes" numFmtId="0">
      <sharedItems containsSemiMixedTypes="0" containsString="0" containsNumber="1" minValue="0.57999999999999996" maxValue="3.75"/>
    </cacheField>
    <cacheField name="TaxaJurosAoAno" numFmtId="0">
      <sharedItems containsSemiMixedTypes="0" containsString="0" containsNumber="1" minValue="7.21" maxValue="55.61"/>
    </cacheField>
    <cacheField name="cnpj8"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uardo" refreshedDate="44555.586365972224" missingItemsLimit="0" createdVersion="7" refreshedVersion="7" minRefreshableVersion="3" recordCount="3568" xr:uid="{DC47377F-4E61-4523-9BC2-882AD525E0EA}">
  <cacheSource type="worksheet">
    <worksheetSource ref="A5:H3573" sheet="SCR"/>
  </cacheSource>
  <cacheFields count="8">
    <cacheField name="Mes" numFmtId="0">
      <sharedItems/>
    </cacheField>
    <cacheField name="Modalidade" numFmtId="0">
      <sharedItems count="6">
        <s v="FINANCIAMENTO IMOBILIÁRIO COM TAXAS REGULADAS - PÓS-FIXADO REFERENCIADO EM TR"/>
        <s v="FINANCIAMENTO IMOBILIÁRIO COM TAXAS DE MERCADO - PÓS-FIXADO REFERENCIADO EM TR"/>
        <s v="FINANCIAMENTO IMOBILIÁRIO COM TAXAS DE MERCADO - PRÉ-FIXADO"/>
        <s v="FINANCIAMENTO IMOBILIÁRIO COM TAXAS REGULADAS - PRÉ-FIXADO"/>
        <s v="FINANCIAMENTO IMOBILIÁRIO COM TAXAS DE MERCADO - PÓS-FIXADO REFERENCIADO EM IPCA"/>
        <s v="FINANCIAMENTO IMOBILIÁRIO COM TAXAS REGULADAS - PÓS-FIXADO REFERENCIADO EM IPCA"/>
      </sharedItems>
    </cacheField>
    <cacheField name="Posicao" numFmtId="0">
      <sharedItems containsSemiMixedTypes="0" containsString="0" containsNumber="1" containsInteger="1" minValue="1" maxValue="1407"/>
    </cacheField>
    <cacheField name="InstituicaoFinanceira" numFmtId="0">
      <sharedItems count="33">
        <s v="APE POUPEX"/>
        <s v="RODOBENS CH"/>
        <s v="ITAÚ UNIBANCO S.A."/>
        <s v="KIRTON BANK"/>
        <s v="CAIXA ECONOMICA FEDERAL"/>
        <s v="BCO MERCANTIL DO BRASIL S.A."/>
        <s v="BARI CIA HIPOTECÁRIA"/>
        <s v="BCO BRADESCO S.A."/>
        <s v="CHB - CIA HIPOT. BRASILEIRA"/>
        <s v="BCO SANTANDER (BRASIL) S.A."/>
        <s v="BCO DO BRASIL S.A."/>
        <s v="BCO BANESTES S.A."/>
        <s v="BCO RIBEIRAO PRETO S.A."/>
        <s v="BRB - BCO DE BRASILIA S.A."/>
        <s v="BRAZILIAN MORTGAGES CH S.A."/>
        <s v="BCO DO EST. DE SE S.A."/>
        <s v="ECONOMISA"/>
        <s v="BANCO INTER"/>
        <s v="BCO DO ESTADO DO RS S.A."/>
        <s v="BCO CITIBANK S.A."/>
        <s v="CPCI"/>
        <s v="BANCO ORIGINAL"/>
        <s v="BCO SAFRA S.A."/>
        <s v="TRADIÇÃO"/>
        <s v="DOMUS CH"/>
        <s v="BCO BMG S.A."/>
        <s v="CH PIRATINI - CHP"/>
        <s v="BANCO SICOOB S.A."/>
        <s v="BANCO SEMEAR"/>
        <s v="BANCO BARI S.A."/>
        <s v="BCO RODOBENS S.A."/>
        <s v="BCO DO EST. DO PA S.A."/>
        <s v="BCO LUSO BRASILEIRO S.A."/>
      </sharedItems>
    </cacheField>
    <cacheField name="TaxaJurosAoMes" numFmtId="0">
      <sharedItems containsSemiMixedTypes="0" containsString="0" containsNumber="1" minValue="0" maxValue="2.33"/>
    </cacheField>
    <cacheField name="TaxaJurosAoAno" numFmtId="0">
      <sharedItems containsSemiMixedTypes="0" containsString="0" containsNumber="1" minValue="0" maxValue="31.78"/>
    </cacheField>
    <cacheField name="cnpj8" numFmtId="0">
      <sharedItems/>
    </cacheField>
    <cacheField name="anoMes" numFmtId="0">
      <sharedItems count="119">
        <s v="2012-01"/>
        <s v="2012-02"/>
        <s v="2012-03"/>
        <s v="2012-04"/>
        <s v="2012-05"/>
        <s v="2012-06"/>
        <s v="2012-07"/>
        <s v="2012-08"/>
        <s v="2012-09"/>
        <s v="2012-10"/>
        <s v="2012-11"/>
        <s v="2012-12"/>
        <s v="2013-01"/>
        <s v="2013-02"/>
        <s v="2013-03"/>
        <s v="2013-04"/>
        <s v="2013-05"/>
        <s v="2013-06"/>
        <s v="2013-07"/>
        <s v="2013-08"/>
        <s v="2013-09"/>
        <s v="2013-10"/>
        <s v="2013-11"/>
        <s v="2013-12"/>
        <s v="2014-01"/>
        <s v="2014-02"/>
        <s v="2014-03"/>
        <s v="2014-04"/>
        <s v="2014-05"/>
        <s v="2014-06"/>
        <s v="2014-07"/>
        <s v="2014-08"/>
        <s v="2014-09"/>
        <s v="2014-10"/>
        <s v="2014-11"/>
        <s v="2014-12"/>
        <s v="2015-01"/>
        <s v="2015-02"/>
        <s v="2015-03"/>
        <s v="2015-04"/>
        <s v="2015-05"/>
        <s v="2015-06"/>
        <s v="2015-07"/>
        <s v="2015-08"/>
        <s v="2015-09"/>
        <s v="2015-10"/>
        <s v="2015-11"/>
        <s v="2015-12"/>
        <s v="2016-01"/>
        <s v="2016-02"/>
        <s v="2016-03"/>
        <s v="2016-04"/>
        <s v="2016-05"/>
        <s v="2016-06"/>
        <s v="2016-07"/>
        <s v="2016-08"/>
        <s v="2016-09"/>
        <s v="2016-10"/>
        <s v="2016-11"/>
        <s v="2016-12"/>
        <s v="2017-01"/>
        <s v="2017-02"/>
        <s v="2017-03"/>
        <s v="2017-04"/>
        <s v="2017-05"/>
        <s v="2017-06"/>
        <s v="2017-07"/>
        <s v="2017-08"/>
        <s v="2017-09"/>
        <s v="2017-10"/>
        <s v="2017-11"/>
        <s v="2017-12"/>
        <s v="2018-01"/>
        <s v="2018-02"/>
        <s v="2018-03"/>
        <s v="2018-04"/>
        <s v="2018-05"/>
        <s v="2018-06"/>
        <s v="2018-07"/>
        <s v="2018-08"/>
        <s v="2018-09"/>
        <s v="2018-10"/>
        <s v="2018-11"/>
        <s v="2018-12"/>
        <s v="2019-01"/>
        <s v="2019-02"/>
        <s v="2019-03"/>
        <s v="2019-04"/>
        <s v="2019-05"/>
        <s v="2019-06"/>
        <s v="2019-07"/>
        <s v="2019-08"/>
        <s v="2019-09"/>
        <s v="2019-10"/>
        <s v="2019-11"/>
        <s v="2019-12"/>
        <s v="2020-01"/>
        <s v="2020-02"/>
        <s v="2020-03"/>
        <s v="2020-04"/>
        <s v="2020-05"/>
        <s v="2020-06"/>
        <s v="2020-07"/>
        <s v="2020-08"/>
        <s v="2020-09"/>
        <s v="2020-10"/>
        <s v="2020-11"/>
        <s v="2020-12"/>
        <s v="2021-01"/>
        <s v="2021-02"/>
        <s v="2021-03"/>
        <s v="2021-04"/>
        <s v="2021-05"/>
        <s v="2021-06"/>
        <s v="2021-07"/>
        <s v="2021-08"/>
        <s v="2021-09"/>
        <s v="2021-10"/>
        <s v="2021-1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0">
  <r>
    <x v="0"/>
    <s v="2021-01-08"/>
    <x v="0"/>
    <x v="0"/>
    <n v="41"/>
    <x v="0"/>
    <n v="3.56"/>
    <n v="52.21"/>
    <s v="60850229"/>
  </r>
  <r>
    <x v="0"/>
    <s v="2021-01-08"/>
    <x v="0"/>
    <x v="0"/>
    <n v="40"/>
    <x v="1"/>
    <n v="3.49"/>
    <n v="50.91"/>
    <s v="01800019"/>
  </r>
  <r>
    <x v="0"/>
    <s v="2021-01-08"/>
    <x v="0"/>
    <x v="0"/>
    <n v="39"/>
    <x v="2"/>
    <n v="3.26"/>
    <n v="46.96"/>
    <s v="92228410"/>
  </r>
  <r>
    <x v="0"/>
    <s v="2021-01-08"/>
    <x v="0"/>
    <x v="0"/>
    <n v="38"/>
    <x v="3"/>
    <n v="3.22"/>
    <n v="46.32"/>
    <s v="05503849"/>
  </r>
  <r>
    <x v="0"/>
    <s v="2021-01-08"/>
    <x v="0"/>
    <x v="0"/>
    <n v="37"/>
    <x v="4"/>
    <n v="2.82"/>
    <n v="39.64"/>
    <s v="62232889"/>
  </r>
  <r>
    <x v="0"/>
    <s v="2021-01-08"/>
    <x v="0"/>
    <x v="0"/>
    <n v="36"/>
    <x v="5"/>
    <n v="2.61"/>
    <n v="36.21"/>
    <s v="80271455"/>
  </r>
  <r>
    <x v="0"/>
    <s v="2021-01-08"/>
    <x v="0"/>
    <x v="0"/>
    <n v="35"/>
    <x v="6"/>
    <n v="2.38"/>
    <n v="32.57"/>
    <s v="05676026"/>
  </r>
  <r>
    <x v="0"/>
    <s v="2021-01-08"/>
    <x v="0"/>
    <x v="0"/>
    <n v="34"/>
    <x v="7"/>
    <n v="2.2999999999999998"/>
    <n v="31.41"/>
    <s v="92874270"/>
  </r>
  <r>
    <x v="0"/>
    <s v="2021-01-08"/>
    <x v="0"/>
    <x v="0"/>
    <n v="33"/>
    <x v="8"/>
    <n v="2.2400000000000002"/>
    <n v="30.4"/>
    <s v="59285411"/>
  </r>
  <r>
    <x v="0"/>
    <s v="2021-01-08"/>
    <x v="0"/>
    <x v="0"/>
    <n v="32"/>
    <x v="9"/>
    <n v="2.06"/>
    <n v="27.71"/>
    <s v="00411939"/>
  </r>
  <r>
    <x v="0"/>
    <s v="2021-01-08"/>
    <x v="0"/>
    <x v="0"/>
    <n v="31"/>
    <x v="10"/>
    <n v="1.87"/>
    <n v="24.9"/>
    <s v="10371492"/>
  </r>
  <r>
    <x v="0"/>
    <s v="2021-01-08"/>
    <x v="0"/>
    <x v="0"/>
    <n v="30"/>
    <x v="11"/>
    <n v="1.85"/>
    <n v="24.59"/>
    <s v="03634220"/>
  </r>
  <r>
    <x v="0"/>
    <s v="2021-01-08"/>
    <x v="0"/>
    <x v="0"/>
    <n v="29"/>
    <x v="12"/>
    <n v="1.7"/>
    <n v="22.36"/>
    <s v="04862600"/>
  </r>
  <r>
    <x v="0"/>
    <s v="2021-01-08"/>
    <x v="0"/>
    <x v="0"/>
    <n v="28"/>
    <x v="13"/>
    <n v="1.62"/>
    <n v="21.3"/>
    <s v="07707650"/>
  </r>
  <r>
    <x v="0"/>
    <s v="2021-01-08"/>
    <x v="0"/>
    <x v="0"/>
    <n v="27"/>
    <x v="14"/>
    <n v="1.62"/>
    <n v="21.26"/>
    <s v="00360305"/>
  </r>
  <r>
    <x v="0"/>
    <s v="2021-01-08"/>
    <x v="0"/>
    <x v="0"/>
    <n v="26"/>
    <x v="15"/>
    <n v="1.58"/>
    <n v="20.63"/>
    <s v="59588111"/>
  </r>
  <r>
    <x v="0"/>
    <s v="2021-01-08"/>
    <x v="0"/>
    <x v="0"/>
    <n v="25"/>
    <x v="16"/>
    <n v="1.57"/>
    <n v="20.48"/>
    <s v="07207996"/>
  </r>
  <r>
    <x v="0"/>
    <s v="2021-01-08"/>
    <x v="0"/>
    <x v="0"/>
    <n v="24"/>
    <x v="17"/>
    <n v="1.56"/>
    <n v="20.43"/>
    <s v="04866275"/>
  </r>
  <r>
    <x v="0"/>
    <s v="2021-01-08"/>
    <x v="0"/>
    <x v="0"/>
    <n v="23"/>
    <x v="18"/>
    <n v="1.52"/>
    <n v="19.899999999999999"/>
    <s v="28127603"/>
  </r>
  <r>
    <x v="0"/>
    <s v="2021-01-08"/>
    <x v="0"/>
    <x v="0"/>
    <n v="22"/>
    <x v="19"/>
    <n v="1.48"/>
    <n v="19.21"/>
    <s v="92702067"/>
  </r>
  <r>
    <x v="0"/>
    <s v="2021-01-08"/>
    <x v="0"/>
    <x v="0"/>
    <n v="21"/>
    <x v="20"/>
    <n v="1.44"/>
    <n v="18.72"/>
    <s v="17192451"/>
  </r>
  <r>
    <x v="0"/>
    <s v="2021-01-08"/>
    <x v="0"/>
    <x v="0"/>
    <n v="20"/>
    <x v="21"/>
    <n v="1.35"/>
    <n v="17.440000000000001"/>
    <s v="03017677"/>
  </r>
  <r>
    <x v="0"/>
    <s v="2021-01-08"/>
    <x v="0"/>
    <x v="0"/>
    <n v="19"/>
    <x v="22"/>
    <n v="1.32"/>
    <n v="17.03"/>
    <s v="11417016"/>
  </r>
  <r>
    <x v="0"/>
    <s v="2021-01-08"/>
    <x v="0"/>
    <x v="0"/>
    <n v="18"/>
    <x v="23"/>
    <n v="1.29"/>
    <n v="16.600000000000001"/>
    <s v="03215790"/>
  </r>
  <r>
    <x v="0"/>
    <s v="2021-01-08"/>
    <x v="0"/>
    <x v="0"/>
    <n v="17"/>
    <x v="24"/>
    <n v="1.27"/>
    <n v="16.28"/>
    <s v="22639377"/>
  </r>
  <r>
    <x v="0"/>
    <s v="2021-01-08"/>
    <x v="0"/>
    <x v="0"/>
    <n v="16"/>
    <x v="25"/>
    <n v="1.25"/>
    <n v="16.12"/>
    <s v="59274605"/>
  </r>
  <r>
    <x v="0"/>
    <s v="2021-01-08"/>
    <x v="0"/>
    <x v="0"/>
    <n v="15"/>
    <x v="26"/>
    <n v="1.25"/>
    <n v="16.05"/>
    <s v="30172491"/>
  </r>
  <r>
    <x v="0"/>
    <s v="2021-01-08"/>
    <x v="0"/>
    <x v="0"/>
    <n v="14"/>
    <x v="27"/>
    <n v="1.24"/>
    <n v="15.97"/>
    <s v="00000000"/>
  </r>
  <r>
    <x v="0"/>
    <s v="2021-01-08"/>
    <x v="0"/>
    <x v="0"/>
    <n v="13"/>
    <x v="28"/>
    <n v="1.22"/>
    <n v="15.63"/>
    <s v="90400888"/>
  </r>
  <r>
    <x v="0"/>
    <s v="2021-01-08"/>
    <x v="0"/>
    <x v="0"/>
    <n v="12"/>
    <x v="29"/>
    <n v="1.21"/>
    <n v="15.55"/>
    <s v="60746948"/>
  </r>
  <r>
    <x v="0"/>
    <s v="2021-01-08"/>
    <x v="0"/>
    <x v="0"/>
    <n v="11"/>
    <x v="30"/>
    <n v="1.21"/>
    <n v="15.51"/>
    <s v="03502961"/>
  </r>
  <r>
    <x v="0"/>
    <s v="2021-01-08"/>
    <x v="0"/>
    <x v="0"/>
    <n v="10"/>
    <x v="31"/>
    <n v="1.2"/>
    <n v="15.4"/>
    <s v="17167412"/>
  </r>
  <r>
    <x v="0"/>
    <s v="2021-01-08"/>
    <x v="0"/>
    <x v="0"/>
    <n v="9"/>
    <x v="32"/>
    <n v="1.2"/>
    <n v="15.37"/>
    <s v="60701190"/>
  </r>
  <r>
    <x v="0"/>
    <s v="2021-01-08"/>
    <x v="0"/>
    <x v="0"/>
    <n v="8"/>
    <x v="33"/>
    <n v="1.1299999999999999"/>
    <n v="14.47"/>
    <s v="62307848"/>
  </r>
  <r>
    <x v="0"/>
    <s v="2021-01-08"/>
    <x v="0"/>
    <x v="0"/>
    <n v="7"/>
    <x v="34"/>
    <n v="1.06"/>
    <n v="13.53"/>
    <s v="33603457"/>
  </r>
  <r>
    <x v="0"/>
    <s v="2021-01-08"/>
    <x v="0"/>
    <x v="0"/>
    <n v="6"/>
    <x v="35"/>
    <n v="1.03"/>
    <n v="13.04"/>
    <s v="59109165"/>
  </r>
  <r>
    <x v="0"/>
    <s v="2021-01-08"/>
    <x v="0"/>
    <x v="0"/>
    <n v="5"/>
    <x v="36"/>
    <n v="1.01"/>
    <n v="12.8"/>
    <s v="33136888"/>
  </r>
  <r>
    <x v="0"/>
    <s v="2021-01-08"/>
    <x v="0"/>
    <x v="0"/>
    <n v="4"/>
    <x v="37"/>
    <n v="0.98"/>
    <n v="12.41"/>
    <s v="04452473"/>
  </r>
  <r>
    <x v="0"/>
    <s v="2021-01-08"/>
    <x v="0"/>
    <x v="0"/>
    <n v="3"/>
    <x v="38"/>
    <n v="0.89"/>
    <n v="11.22"/>
    <s v="60814191"/>
  </r>
  <r>
    <x v="0"/>
    <s v="2021-01-08"/>
    <x v="0"/>
    <x v="0"/>
    <n v="2"/>
    <x v="39"/>
    <n v="0.86"/>
    <n v="10.86"/>
    <s v="04902979"/>
  </r>
  <r>
    <x v="0"/>
    <s v="2021-01-08"/>
    <x v="0"/>
    <x v="0"/>
    <n v="1"/>
    <x v="40"/>
    <n v="0.83"/>
    <n v="10.41"/>
    <s v="02992446"/>
  </r>
  <r>
    <x v="1"/>
    <s v="2021-01-11"/>
    <x v="0"/>
    <x v="0"/>
    <n v="42"/>
    <x v="0"/>
    <n v="3.6"/>
    <n v="52.93"/>
    <s v="60850229"/>
  </r>
  <r>
    <x v="1"/>
    <s v="2021-01-11"/>
    <x v="0"/>
    <x v="0"/>
    <n v="41"/>
    <x v="1"/>
    <n v="3.57"/>
    <n v="52.28"/>
    <s v="01800019"/>
  </r>
  <r>
    <x v="1"/>
    <s v="2021-01-11"/>
    <x v="0"/>
    <x v="0"/>
    <n v="40"/>
    <x v="2"/>
    <n v="3.27"/>
    <n v="47.08"/>
    <s v="92228410"/>
  </r>
  <r>
    <x v="1"/>
    <s v="2021-01-11"/>
    <x v="0"/>
    <x v="0"/>
    <n v="39"/>
    <x v="3"/>
    <n v="3.26"/>
    <n v="46.97"/>
    <s v="05503849"/>
  </r>
  <r>
    <x v="1"/>
    <s v="2021-01-11"/>
    <x v="0"/>
    <x v="0"/>
    <n v="38"/>
    <x v="4"/>
    <n v="2.82"/>
    <n v="39.67"/>
    <s v="62232889"/>
  </r>
  <r>
    <x v="1"/>
    <s v="2021-01-11"/>
    <x v="0"/>
    <x v="0"/>
    <n v="37"/>
    <x v="5"/>
    <n v="2.61"/>
    <n v="36.229999999999997"/>
    <s v="80271455"/>
  </r>
  <r>
    <x v="1"/>
    <s v="2021-01-11"/>
    <x v="0"/>
    <x v="0"/>
    <n v="36"/>
    <x v="6"/>
    <n v="2.42"/>
    <n v="33.18"/>
    <s v="05676026"/>
  </r>
  <r>
    <x v="1"/>
    <s v="2021-01-11"/>
    <x v="0"/>
    <x v="0"/>
    <n v="35"/>
    <x v="7"/>
    <n v="2.2999999999999998"/>
    <n v="31.35"/>
    <s v="92874270"/>
  </r>
  <r>
    <x v="1"/>
    <s v="2021-01-11"/>
    <x v="0"/>
    <x v="0"/>
    <n v="34"/>
    <x v="8"/>
    <n v="2.2400000000000002"/>
    <n v="30.44"/>
    <s v="59285411"/>
  </r>
  <r>
    <x v="1"/>
    <s v="2021-01-11"/>
    <x v="0"/>
    <x v="0"/>
    <n v="33"/>
    <x v="9"/>
    <n v="2.11"/>
    <n v="28.49"/>
    <s v="00411939"/>
  </r>
  <r>
    <x v="1"/>
    <s v="2021-01-11"/>
    <x v="0"/>
    <x v="0"/>
    <n v="32"/>
    <x v="10"/>
    <n v="1.88"/>
    <n v="25.02"/>
    <s v="10371492"/>
  </r>
  <r>
    <x v="1"/>
    <s v="2021-01-11"/>
    <x v="0"/>
    <x v="0"/>
    <n v="31"/>
    <x v="11"/>
    <n v="1.83"/>
    <n v="24.37"/>
    <s v="03634220"/>
  </r>
  <r>
    <x v="1"/>
    <s v="2021-01-11"/>
    <x v="0"/>
    <x v="0"/>
    <n v="30"/>
    <x v="41"/>
    <n v="1.79"/>
    <n v="23.73"/>
    <s v="20443996"/>
  </r>
  <r>
    <x v="1"/>
    <s v="2021-01-11"/>
    <x v="0"/>
    <x v="0"/>
    <n v="29"/>
    <x v="12"/>
    <n v="1.71"/>
    <n v="22.63"/>
    <s v="04862600"/>
  </r>
  <r>
    <x v="1"/>
    <s v="2021-01-11"/>
    <x v="0"/>
    <x v="0"/>
    <n v="28"/>
    <x v="18"/>
    <n v="1.66"/>
    <n v="21.8"/>
    <s v="28127603"/>
  </r>
  <r>
    <x v="1"/>
    <s v="2021-01-11"/>
    <x v="0"/>
    <x v="0"/>
    <n v="27"/>
    <x v="13"/>
    <n v="1.63"/>
    <n v="21.35"/>
    <s v="07707650"/>
  </r>
  <r>
    <x v="1"/>
    <s v="2021-01-11"/>
    <x v="0"/>
    <x v="0"/>
    <n v="26"/>
    <x v="15"/>
    <n v="1.58"/>
    <n v="20.65"/>
    <s v="59588111"/>
  </r>
  <r>
    <x v="1"/>
    <s v="2021-01-11"/>
    <x v="0"/>
    <x v="0"/>
    <n v="25"/>
    <x v="14"/>
    <n v="1.57"/>
    <n v="20.52"/>
    <s v="00360305"/>
  </r>
  <r>
    <x v="1"/>
    <s v="2021-01-11"/>
    <x v="0"/>
    <x v="0"/>
    <n v="24"/>
    <x v="16"/>
    <n v="1.57"/>
    <n v="20.5"/>
    <s v="07207996"/>
  </r>
  <r>
    <x v="1"/>
    <s v="2021-01-11"/>
    <x v="0"/>
    <x v="0"/>
    <n v="23"/>
    <x v="17"/>
    <n v="1.56"/>
    <n v="20.43"/>
    <s v="04866275"/>
  </r>
  <r>
    <x v="1"/>
    <s v="2021-01-11"/>
    <x v="0"/>
    <x v="0"/>
    <n v="22"/>
    <x v="19"/>
    <n v="1.48"/>
    <n v="19.21"/>
    <s v="92702067"/>
  </r>
  <r>
    <x v="1"/>
    <s v="2021-01-11"/>
    <x v="0"/>
    <x v="0"/>
    <n v="21"/>
    <x v="20"/>
    <n v="1.44"/>
    <n v="18.670000000000002"/>
    <s v="17192451"/>
  </r>
  <r>
    <x v="1"/>
    <s v="2021-01-11"/>
    <x v="0"/>
    <x v="0"/>
    <n v="20"/>
    <x v="21"/>
    <n v="1.34"/>
    <n v="17.37"/>
    <s v="03017677"/>
  </r>
  <r>
    <x v="1"/>
    <s v="2021-01-11"/>
    <x v="0"/>
    <x v="0"/>
    <n v="19"/>
    <x v="24"/>
    <n v="1.33"/>
    <n v="17.2"/>
    <s v="22639377"/>
  </r>
  <r>
    <x v="1"/>
    <s v="2021-01-11"/>
    <x v="0"/>
    <x v="0"/>
    <n v="18"/>
    <x v="22"/>
    <n v="1.32"/>
    <n v="17.03"/>
    <s v="11417016"/>
  </r>
  <r>
    <x v="1"/>
    <s v="2021-01-11"/>
    <x v="0"/>
    <x v="0"/>
    <n v="17"/>
    <x v="23"/>
    <n v="1.29"/>
    <n v="16.59"/>
    <s v="03215790"/>
  </r>
  <r>
    <x v="1"/>
    <s v="2021-01-11"/>
    <x v="0"/>
    <x v="0"/>
    <n v="16"/>
    <x v="25"/>
    <n v="1.25"/>
    <n v="16.14"/>
    <s v="59274605"/>
  </r>
  <r>
    <x v="1"/>
    <s v="2021-01-11"/>
    <x v="0"/>
    <x v="0"/>
    <n v="15"/>
    <x v="26"/>
    <n v="1.24"/>
    <n v="15.99"/>
    <s v="30172491"/>
  </r>
  <r>
    <x v="1"/>
    <s v="2021-01-11"/>
    <x v="0"/>
    <x v="0"/>
    <n v="14"/>
    <x v="30"/>
    <n v="1.23"/>
    <n v="15.8"/>
    <s v="03502961"/>
  </r>
  <r>
    <x v="1"/>
    <s v="2021-01-11"/>
    <x v="0"/>
    <x v="0"/>
    <n v="13"/>
    <x v="27"/>
    <n v="1.23"/>
    <n v="15.77"/>
    <s v="00000000"/>
  </r>
  <r>
    <x v="1"/>
    <s v="2021-01-11"/>
    <x v="0"/>
    <x v="0"/>
    <n v="12"/>
    <x v="28"/>
    <n v="1.21"/>
    <n v="15.57"/>
    <s v="90400888"/>
  </r>
  <r>
    <x v="1"/>
    <s v="2021-01-11"/>
    <x v="0"/>
    <x v="0"/>
    <n v="11"/>
    <x v="32"/>
    <n v="1.21"/>
    <n v="15.51"/>
    <s v="60701190"/>
  </r>
  <r>
    <x v="1"/>
    <s v="2021-01-11"/>
    <x v="0"/>
    <x v="0"/>
    <n v="10"/>
    <x v="29"/>
    <n v="1.2"/>
    <n v="15.36"/>
    <s v="60746948"/>
  </r>
  <r>
    <x v="1"/>
    <s v="2021-01-11"/>
    <x v="0"/>
    <x v="0"/>
    <n v="9"/>
    <x v="31"/>
    <n v="1.17"/>
    <n v="14.94"/>
    <s v="17167412"/>
  </r>
  <r>
    <x v="1"/>
    <s v="2021-01-11"/>
    <x v="0"/>
    <x v="0"/>
    <n v="8"/>
    <x v="33"/>
    <n v="1.1399999999999999"/>
    <n v="14.59"/>
    <s v="62307848"/>
  </r>
  <r>
    <x v="1"/>
    <s v="2021-01-11"/>
    <x v="0"/>
    <x v="0"/>
    <n v="7"/>
    <x v="34"/>
    <n v="1.06"/>
    <n v="13.42"/>
    <s v="33603457"/>
  </r>
  <r>
    <x v="1"/>
    <s v="2021-01-11"/>
    <x v="0"/>
    <x v="0"/>
    <n v="6"/>
    <x v="35"/>
    <n v="1.03"/>
    <n v="13.06"/>
    <s v="59109165"/>
  </r>
  <r>
    <x v="1"/>
    <s v="2021-01-11"/>
    <x v="0"/>
    <x v="0"/>
    <n v="5"/>
    <x v="36"/>
    <n v="1.02"/>
    <n v="12.89"/>
    <s v="33136888"/>
  </r>
  <r>
    <x v="1"/>
    <s v="2021-01-11"/>
    <x v="0"/>
    <x v="0"/>
    <n v="4"/>
    <x v="37"/>
    <n v="0.98"/>
    <n v="12.48"/>
    <s v="04452473"/>
  </r>
  <r>
    <x v="1"/>
    <s v="2021-01-11"/>
    <x v="0"/>
    <x v="0"/>
    <n v="3"/>
    <x v="38"/>
    <n v="0.89"/>
    <n v="11.2"/>
    <s v="60814191"/>
  </r>
  <r>
    <x v="1"/>
    <s v="2021-01-11"/>
    <x v="0"/>
    <x v="0"/>
    <n v="2"/>
    <x v="39"/>
    <n v="0.86"/>
    <n v="10.86"/>
    <s v="04902979"/>
  </r>
  <r>
    <x v="1"/>
    <s v="2021-01-11"/>
    <x v="0"/>
    <x v="0"/>
    <n v="1"/>
    <x v="40"/>
    <n v="0.83"/>
    <n v="10.41"/>
    <s v="02992446"/>
  </r>
  <r>
    <x v="2"/>
    <s v="2021-01-12"/>
    <x v="0"/>
    <x v="0"/>
    <n v="44"/>
    <x v="0"/>
    <n v="3.65"/>
    <n v="53.71"/>
    <s v="60850229"/>
  </r>
  <r>
    <x v="2"/>
    <s v="2021-01-12"/>
    <x v="0"/>
    <x v="0"/>
    <n v="43"/>
    <x v="1"/>
    <n v="3.57"/>
    <n v="52.29"/>
    <s v="01800019"/>
  </r>
  <r>
    <x v="2"/>
    <s v="2021-01-12"/>
    <x v="0"/>
    <x v="0"/>
    <n v="42"/>
    <x v="2"/>
    <n v="3.27"/>
    <n v="47.13"/>
    <s v="92228410"/>
  </r>
  <r>
    <x v="2"/>
    <s v="2021-01-12"/>
    <x v="0"/>
    <x v="0"/>
    <n v="41"/>
    <x v="3"/>
    <n v="3.17"/>
    <n v="45.41"/>
    <s v="05503849"/>
  </r>
  <r>
    <x v="2"/>
    <s v="2021-01-12"/>
    <x v="0"/>
    <x v="0"/>
    <n v="40"/>
    <x v="4"/>
    <n v="2.83"/>
    <n v="39.69"/>
    <s v="62232889"/>
  </r>
  <r>
    <x v="2"/>
    <s v="2021-01-12"/>
    <x v="0"/>
    <x v="0"/>
    <n v="39"/>
    <x v="5"/>
    <n v="2.67"/>
    <n v="37.11"/>
    <s v="80271455"/>
  </r>
  <r>
    <x v="2"/>
    <s v="2021-01-12"/>
    <x v="0"/>
    <x v="0"/>
    <n v="38"/>
    <x v="6"/>
    <n v="2.41"/>
    <n v="33.08"/>
    <s v="05676026"/>
  </r>
  <r>
    <x v="2"/>
    <s v="2021-01-12"/>
    <x v="0"/>
    <x v="0"/>
    <n v="37"/>
    <x v="7"/>
    <n v="2.2999999999999998"/>
    <n v="31.37"/>
    <s v="92874270"/>
  </r>
  <r>
    <x v="2"/>
    <s v="2021-01-12"/>
    <x v="0"/>
    <x v="0"/>
    <n v="36"/>
    <x v="8"/>
    <n v="2.23"/>
    <n v="30.22"/>
    <s v="59285411"/>
  </r>
  <r>
    <x v="2"/>
    <s v="2021-01-12"/>
    <x v="0"/>
    <x v="0"/>
    <n v="35"/>
    <x v="9"/>
    <n v="2.15"/>
    <n v="29.14"/>
    <s v="00411939"/>
  </r>
  <r>
    <x v="2"/>
    <s v="2021-01-12"/>
    <x v="0"/>
    <x v="0"/>
    <n v="34"/>
    <x v="10"/>
    <n v="1.9"/>
    <n v="25.33"/>
    <s v="10371492"/>
  </r>
  <r>
    <x v="2"/>
    <s v="2021-01-12"/>
    <x v="0"/>
    <x v="0"/>
    <n v="33"/>
    <x v="41"/>
    <n v="1.79"/>
    <n v="23.73"/>
    <s v="20443996"/>
  </r>
  <r>
    <x v="2"/>
    <s v="2021-01-12"/>
    <x v="0"/>
    <x v="0"/>
    <n v="32"/>
    <x v="11"/>
    <n v="1.78"/>
    <n v="23.55"/>
    <s v="03634220"/>
  </r>
  <r>
    <x v="2"/>
    <s v="2021-01-12"/>
    <x v="0"/>
    <x v="0"/>
    <n v="31"/>
    <x v="42"/>
    <n v="1.77"/>
    <n v="23.43"/>
    <s v="34991938"/>
  </r>
  <r>
    <x v="2"/>
    <s v="2021-01-12"/>
    <x v="0"/>
    <x v="0"/>
    <n v="30"/>
    <x v="12"/>
    <n v="1.71"/>
    <n v="22.6"/>
    <s v="04862600"/>
  </r>
  <r>
    <x v="2"/>
    <s v="2021-01-12"/>
    <x v="0"/>
    <x v="0"/>
    <n v="29"/>
    <x v="13"/>
    <n v="1.62"/>
    <n v="21.31"/>
    <s v="07707650"/>
  </r>
  <r>
    <x v="2"/>
    <s v="2021-01-12"/>
    <x v="0"/>
    <x v="0"/>
    <n v="28"/>
    <x v="14"/>
    <n v="1.61"/>
    <n v="21.06"/>
    <s v="00360305"/>
  </r>
  <r>
    <x v="2"/>
    <s v="2021-01-12"/>
    <x v="0"/>
    <x v="0"/>
    <n v="27"/>
    <x v="18"/>
    <n v="1.6"/>
    <n v="20.96"/>
    <s v="28127603"/>
  </r>
  <r>
    <x v="2"/>
    <s v="2021-01-12"/>
    <x v="0"/>
    <x v="0"/>
    <n v="26"/>
    <x v="15"/>
    <n v="1.58"/>
    <n v="20.63"/>
    <s v="59588111"/>
  </r>
  <r>
    <x v="2"/>
    <s v="2021-01-12"/>
    <x v="0"/>
    <x v="0"/>
    <n v="25"/>
    <x v="17"/>
    <n v="1.56"/>
    <n v="20.43"/>
    <s v="04866275"/>
  </r>
  <r>
    <x v="2"/>
    <s v="2021-01-12"/>
    <x v="0"/>
    <x v="0"/>
    <n v="24"/>
    <x v="16"/>
    <n v="1.56"/>
    <n v="20.34"/>
    <s v="07207996"/>
  </r>
  <r>
    <x v="2"/>
    <s v="2021-01-12"/>
    <x v="0"/>
    <x v="0"/>
    <n v="23"/>
    <x v="19"/>
    <n v="1.48"/>
    <n v="19.21"/>
    <s v="92702067"/>
  </r>
  <r>
    <x v="2"/>
    <s v="2021-01-12"/>
    <x v="0"/>
    <x v="0"/>
    <n v="22"/>
    <x v="20"/>
    <n v="1.42"/>
    <n v="18.41"/>
    <s v="17192451"/>
  </r>
  <r>
    <x v="2"/>
    <s v="2021-01-12"/>
    <x v="0"/>
    <x v="0"/>
    <n v="21"/>
    <x v="24"/>
    <n v="1.4"/>
    <n v="18.12"/>
    <s v="22639377"/>
  </r>
  <r>
    <x v="2"/>
    <s v="2021-01-12"/>
    <x v="0"/>
    <x v="0"/>
    <n v="20"/>
    <x v="21"/>
    <n v="1.34"/>
    <n v="17.29"/>
    <s v="03017677"/>
  </r>
  <r>
    <x v="2"/>
    <s v="2021-01-12"/>
    <x v="0"/>
    <x v="0"/>
    <n v="19"/>
    <x v="22"/>
    <n v="1.32"/>
    <n v="17.03"/>
    <s v="11417016"/>
  </r>
  <r>
    <x v="2"/>
    <s v="2021-01-12"/>
    <x v="0"/>
    <x v="0"/>
    <n v="18"/>
    <x v="23"/>
    <n v="1.28"/>
    <n v="16.55"/>
    <s v="03215790"/>
  </r>
  <r>
    <x v="2"/>
    <s v="2021-01-12"/>
    <x v="0"/>
    <x v="0"/>
    <n v="17"/>
    <x v="25"/>
    <n v="1.26"/>
    <n v="16.239999999999998"/>
    <s v="59274605"/>
  </r>
  <r>
    <x v="2"/>
    <s v="2021-01-12"/>
    <x v="0"/>
    <x v="0"/>
    <n v="16"/>
    <x v="43"/>
    <n v="1.25"/>
    <n v="16.11"/>
    <s v="07441209"/>
  </r>
  <r>
    <x v="2"/>
    <s v="2021-01-12"/>
    <x v="0"/>
    <x v="0"/>
    <n v="15"/>
    <x v="26"/>
    <n v="1.24"/>
    <n v="15.89"/>
    <s v="30172491"/>
  </r>
  <r>
    <x v="2"/>
    <s v="2021-01-12"/>
    <x v="0"/>
    <x v="0"/>
    <n v="14"/>
    <x v="27"/>
    <n v="1.22"/>
    <n v="15.65"/>
    <s v="00000000"/>
  </r>
  <r>
    <x v="2"/>
    <s v="2021-01-12"/>
    <x v="0"/>
    <x v="0"/>
    <n v="13"/>
    <x v="32"/>
    <n v="1.22"/>
    <n v="15.61"/>
    <s v="60701190"/>
  </r>
  <r>
    <x v="2"/>
    <s v="2021-01-12"/>
    <x v="0"/>
    <x v="0"/>
    <n v="12"/>
    <x v="29"/>
    <n v="1.21"/>
    <n v="15.49"/>
    <s v="60746948"/>
  </r>
  <r>
    <x v="2"/>
    <s v="2021-01-12"/>
    <x v="0"/>
    <x v="0"/>
    <n v="11"/>
    <x v="28"/>
    <n v="1.21"/>
    <n v="15.46"/>
    <s v="90400888"/>
  </r>
  <r>
    <x v="2"/>
    <s v="2021-01-12"/>
    <x v="0"/>
    <x v="0"/>
    <n v="10"/>
    <x v="30"/>
    <n v="1.2"/>
    <n v="15.45"/>
    <s v="03502961"/>
  </r>
  <r>
    <x v="2"/>
    <s v="2021-01-12"/>
    <x v="0"/>
    <x v="0"/>
    <n v="9"/>
    <x v="31"/>
    <n v="1.1499999999999999"/>
    <n v="14.69"/>
    <s v="17167412"/>
  </r>
  <r>
    <x v="2"/>
    <s v="2021-01-12"/>
    <x v="0"/>
    <x v="0"/>
    <n v="8"/>
    <x v="33"/>
    <n v="1.1399999999999999"/>
    <n v="14.6"/>
    <s v="62307848"/>
  </r>
  <r>
    <x v="2"/>
    <s v="2021-01-12"/>
    <x v="0"/>
    <x v="0"/>
    <n v="7"/>
    <x v="34"/>
    <n v="1.04"/>
    <n v="13.23"/>
    <s v="33603457"/>
  </r>
  <r>
    <x v="2"/>
    <s v="2021-01-12"/>
    <x v="0"/>
    <x v="0"/>
    <n v="6"/>
    <x v="35"/>
    <n v="1.02"/>
    <n v="13"/>
    <s v="59109165"/>
  </r>
  <r>
    <x v="2"/>
    <s v="2021-01-12"/>
    <x v="0"/>
    <x v="0"/>
    <n v="5"/>
    <x v="36"/>
    <n v="1.02"/>
    <n v="12.89"/>
    <s v="33136888"/>
  </r>
  <r>
    <x v="2"/>
    <s v="2021-01-12"/>
    <x v="0"/>
    <x v="0"/>
    <n v="4"/>
    <x v="37"/>
    <n v="1"/>
    <n v="12.62"/>
    <s v="04452473"/>
  </r>
  <r>
    <x v="2"/>
    <s v="2021-01-12"/>
    <x v="0"/>
    <x v="0"/>
    <n v="3"/>
    <x v="39"/>
    <n v="0.91"/>
    <n v="11.45"/>
    <s v="04902979"/>
  </r>
  <r>
    <x v="2"/>
    <s v="2021-01-12"/>
    <x v="0"/>
    <x v="0"/>
    <n v="2"/>
    <x v="38"/>
    <n v="0.9"/>
    <n v="11.33"/>
    <s v="60814191"/>
  </r>
  <r>
    <x v="2"/>
    <s v="2021-01-12"/>
    <x v="0"/>
    <x v="0"/>
    <n v="1"/>
    <x v="40"/>
    <n v="0.87"/>
    <n v="10.92"/>
    <s v="02992446"/>
  </r>
  <r>
    <x v="3"/>
    <s v="2021-01-13"/>
    <x v="0"/>
    <x v="0"/>
    <n v="45"/>
    <x v="0"/>
    <n v="3.58"/>
    <n v="52.5"/>
    <s v="60850229"/>
  </r>
  <r>
    <x v="3"/>
    <s v="2021-01-13"/>
    <x v="0"/>
    <x v="0"/>
    <n v="44"/>
    <x v="1"/>
    <n v="3.53"/>
    <n v="51.59"/>
    <s v="01800019"/>
  </r>
  <r>
    <x v="3"/>
    <s v="2021-01-13"/>
    <x v="0"/>
    <x v="0"/>
    <n v="43"/>
    <x v="2"/>
    <n v="3.26"/>
    <n v="47.02"/>
    <s v="92228410"/>
  </r>
  <r>
    <x v="3"/>
    <s v="2021-01-13"/>
    <x v="0"/>
    <x v="0"/>
    <n v="42"/>
    <x v="3"/>
    <n v="3.18"/>
    <n v="45.62"/>
    <s v="05503849"/>
  </r>
  <r>
    <x v="3"/>
    <s v="2021-01-13"/>
    <x v="0"/>
    <x v="0"/>
    <n v="41"/>
    <x v="4"/>
    <n v="2.84"/>
    <n v="39.94"/>
    <s v="62232889"/>
  </r>
  <r>
    <x v="3"/>
    <s v="2021-01-13"/>
    <x v="0"/>
    <x v="0"/>
    <n v="40"/>
    <x v="5"/>
    <n v="2.81"/>
    <n v="39.44"/>
    <s v="80271455"/>
  </r>
  <r>
    <x v="3"/>
    <s v="2021-01-13"/>
    <x v="0"/>
    <x v="0"/>
    <n v="39"/>
    <x v="6"/>
    <n v="2.42"/>
    <n v="33.18"/>
    <s v="05676026"/>
  </r>
  <r>
    <x v="3"/>
    <s v="2021-01-13"/>
    <x v="0"/>
    <x v="0"/>
    <n v="38"/>
    <x v="7"/>
    <n v="2.2999999999999998"/>
    <n v="31.35"/>
    <s v="92874270"/>
  </r>
  <r>
    <x v="3"/>
    <s v="2021-01-13"/>
    <x v="0"/>
    <x v="0"/>
    <n v="37"/>
    <x v="8"/>
    <n v="2.2200000000000002"/>
    <n v="30.08"/>
    <s v="59285411"/>
  </r>
  <r>
    <x v="3"/>
    <s v="2021-01-13"/>
    <x v="0"/>
    <x v="0"/>
    <n v="36"/>
    <x v="9"/>
    <n v="2.2000000000000002"/>
    <n v="29.87"/>
    <s v="00411939"/>
  </r>
  <r>
    <x v="3"/>
    <s v="2021-01-13"/>
    <x v="0"/>
    <x v="0"/>
    <n v="35"/>
    <x v="10"/>
    <n v="1.91"/>
    <n v="25.46"/>
    <s v="10371492"/>
  </r>
  <r>
    <x v="3"/>
    <s v="2021-01-13"/>
    <x v="0"/>
    <x v="0"/>
    <n v="34"/>
    <x v="42"/>
    <n v="1.77"/>
    <n v="23.43"/>
    <s v="34991938"/>
  </r>
  <r>
    <x v="3"/>
    <s v="2021-01-13"/>
    <x v="0"/>
    <x v="0"/>
    <n v="33"/>
    <x v="11"/>
    <n v="1.73"/>
    <n v="22.78"/>
    <s v="03634220"/>
  </r>
  <r>
    <x v="3"/>
    <s v="2021-01-13"/>
    <x v="0"/>
    <x v="0"/>
    <n v="32"/>
    <x v="12"/>
    <n v="1.71"/>
    <n v="22.5"/>
    <s v="04862600"/>
  </r>
  <r>
    <x v="3"/>
    <s v="2021-01-13"/>
    <x v="0"/>
    <x v="0"/>
    <n v="31"/>
    <x v="41"/>
    <n v="1.7"/>
    <n v="22.46"/>
    <s v="20443996"/>
  </r>
  <r>
    <x v="3"/>
    <s v="2021-01-13"/>
    <x v="0"/>
    <x v="0"/>
    <n v="30"/>
    <x v="13"/>
    <n v="1.62"/>
    <n v="21.3"/>
    <s v="07707650"/>
  </r>
  <r>
    <x v="3"/>
    <s v="2021-01-13"/>
    <x v="0"/>
    <x v="0"/>
    <n v="29"/>
    <x v="14"/>
    <n v="1.6"/>
    <n v="20.95"/>
    <s v="00360305"/>
  </r>
  <r>
    <x v="3"/>
    <s v="2021-01-13"/>
    <x v="0"/>
    <x v="0"/>
    <n v="28"/>
    <x v="15"/>
    <n v="1.58"/>
    <n v="20.7"/>
    <s v="59588111"/>
  </r>
  <r>
    <x v="3"/>
    <s v="2021-01-13"/>
    <x v="0"/>
    <x v="0"/>
    <n v="27"/>
    <x v="18"/>
    <n v="1.56"/>
    <n v="20.43"/>
    <s v="28127603"/>
  </r>
  <r>
    <x v="3"/>
    <s v="2021-01-13"/>
    <x v="0"/>
    <x v="0"/>
    <n v="26"/>
    <x v="17"/>
    <n v="1.56"/>
    <n v="20.43"/>
    <s v="04866275"/>
  </r>
  <r>
    <x v="3"/>
    <s v="2021-01-13"/>
    <x v="0"/>
    <x v="0"/>
    <n v="25"/>
    <x v="16"/>
    <n v="1.54"/>
    <n v="20.09"/>
    <s v="07207996"/>
  </r>
  <r>
    <x v="3"/>
    <s v="2021-01-13"/>
    <x v="0"/>
    <x v="0"/>
    <n v="24"/>
    <x v="19"/>
    <n v="1.48"/>
    <n v="19.21"/>
    <s v="92702067"/>
  </r>
  <r>
    <x v="3"/>
    <s v="2021-01-13"/>
    <x v="0"/>
    <x v="0"/>
    <n v="23"/>
    <x v="20"/>
    <n v="1.41"/>
    <n v="18.239999999999998"/>
    <s v="17192451"/>
  </r>
  <r>
    <x v="3"/>
    <s v="2021-01-13"/>
    <x v="0"/>
    <x v="0"/>
    <n v="22"/>
    <x v="24"/>
    <n v="1.39"/>
    <n v="18.010000000000002"/>
    <s v="22639377"/>
  </r>
  <r>
    <x v="3"/>
    <s v="2021-01-13"/>
    <x v="0"/>
    <x v="0"/>
    <n v="21"/>
    <x v="21"/>
    <n v="1.33"/>
    <n v="17.11"/>
    <s v="03017677"/>
  </r>
  <r>
    <x v="3"/>
    <s v="2021-01-13"/>
    <x v="0"/>
    <x v="0"/>
    <n v="20"/>
    <x v="22"/>
    <n v="1.32"/>
    <n v="17.03"/>
    <s v="11417016"/>
  </r>
  <r>
    <x v="3"/>
    <s v="2021-01-13"/>
    <x v="0"/>
    <x v="0"/>
    <n v="19"/>
    <x v="23"/>
    <n v="1.29"/>
    <n v="16.670000000000002"/>
    <s v="03215790"/>
  </r>
  <r>
    <x v="3"/>
    <s v="2021-01-13"/>
    <x v="0"/>
    <x v="0"/>
    <n v="18"/>
    <x v="25"/>
    <n v="1.26"/>
    <n v="16.21"/>
    <s v="59274605"/>
  </r>
  <r>
    <x v="3"/>
    <s v="2021-01-13"/>
    <x v="0"/>
    <x v="0"/>
    <n v="17"/>
    <x v="26"/>
    <n v="1.24"/>
    <n v="15.9"/>
    <s v="30172491"/>
  </r>
  <r>
    <x v="3"/>
    <s v="2021-01-13"/>
    <x v="0"/>
    <x v="0"/>
    <n v="16"/>
    <x v="27"/>
    <n v="1.22"/>
    <n v="15.67"/>
    <s v="00000000"/>
  </r>
  <r>
    <x v="3"/>
    <s v="2021-01-13"/>
    <x v="0"/>
    <x v="0"/>
    <n v="15"/>
    <x v="32"/>
    <n v="1.22"/>
    <n v="15.61"/>
    <s v="60701190"/>
  </r>
  <r>
    <x v="3"/>
    <s v="2021-01-13"/>
    <x v="0"/>
    <x v="0"/>
    <n v="14"/>
    <x v="28"/>
    <n v="1.21"/>
    <n v="15.52"/>
    <s v="90400888"/>
  </r>
  <r>
    <x v="3"/>
    <s v="2021-01-13"/>
    <x v="0"/>
    <x v="0"/>
    <n v="13"/>
    <x v="30"/>
    <n v="1.2"/>
    <n v="15.45"/>
    <s v="03502961"/>
  </r>
  <r>
    <x v="3"/>
    <s v="2021-01-13"/>
    <x v="0"/>
    <x v="0"/>
    <n v="12"/>
    <x v="29"/>
    <n v="1.2"/>
    <n v="15.34"/>
    <s v="60746948"/>
  </r>
  <r>
    <x v="3"/>
    <s v="2021-01-13"/>
    <x v="0"/>
    <x v="0"/>
    <n v="11"/>
    <x v="31"/>
    <n v="1.17"/>
    <n v="14.93"/>
    <s v="17167412"/>
  </r>
  <r>
    <x v="3"/>
    <s v="2021-01-13"/>
    <x v="0"/>
    <x v="0"/>
    <n v="10"/>
    <x v="43"/>
    <n v="1.1499999999999999"/>
    <n v="14.7"/>
    <s v="07441209"/>
  </r>
  <r>
    <x v="3"/>
    <s v="2021-01-13"/>
    <x v="0"/>
    <x v="0"/>
    <n v="9"/>
    <x v="33"/>
    <n v="1.1399999999999999"/>
    <n v="14.5"/>
    <s v="62307848"/>
  </r>
  <r>
    <x v="3"/>
    <s v="2021-01-13"/>
    <x v="0"/>
    <x v="0"/>
    <n v="8"/>
    <x v="44"/>
    <n v="1.07"/>
    <n v="13.6"/>
    <s v="58017179"/>
  </r>
  <r>
    <x v="3"/>
    <s v="2021-01-13"/>
    <x v="0"/>
    <x v="0"/>
    <n v="7"/>
    <x v="36"/>
    <n v="1.06"/>
    <n v="13.46"/>
    <s v="33136888"/>
  </r>
  <r>
    <x v="3"/>
    <s v="2021-01-13"/>
    <x v="0"/>
    <x v="0"/>
    <n v="6"/>
    <x v="34"/>
    <n v="1.05"/>
    <n v="13.33"/>
    <s v="33603457"/>
  </r>
  <r>
    <x v="3"/>
    <s v="2021-01-13"/>
    <x v="0"/>
    <x v="0"/>
    <n v="5"/>
    <x v="35"/>
    <n v="1.01"/>
    <n v="12.87"/>
    <s v="59109165"/>
  </r>
  <r>
    <x v="3"/>
    <s v="2021-01-13"/>
    <x v="0"/>
    <x v="0"/>
    <n v="4"/>
    <x v="37"/>
    <n v="1"/>
    <n v="12.69"/>
    <s v="04452473"/>
  </r>
  <r>
    <x v="3"/>
    <s v="2021-01-13"/>
    <x v="0"/>
    <x v="0"/>
    <n v="3"/>
    <x v="39"/>
    <n v="0.94"/>
    <n v="11.87"/>
    <s v="04902979"/>
  </r>
  <r>
    <x v="3"/>
    <s v="2021-01-13"/>
    <x v="0"/>
    <x v="0"/>
    <n v="2"/>
    <x v="38"/>
    <n v="0.91"/>
    <n v="11.53"/>
    <s v="60814191"/>
  </r>
  <r>
    <x v="3"/>
    <s v="2021-01-13"/>
    <x v="0"/>
    <x v="0"/>
    <n v="1"/>
    <x v="40"/>
    <n v="0.87"/>
    <n v="10.89"/>
    <s v="02992446"/>
  </r>
  <r>
    <x v="4"/>
    <s v="2021-01-14"/>
    <x v="0"/>
    <x v="0"/>
    <n v="42"/>
    <x v="0"/>
    <n v="3.65"/>
    <n v="53.75"/>
    <s v="60850229"/>
  </r>
  <r>
    <x v="4"/>
    <s v="2021-01-14"/>
    <x v="0"/>
    <x v="0"/>
    <n v="41"/>
    <x v="1"/>
    <n v="3.44"/>
    <n v="50.09"/>
    <s v="01800019"/>
  </r>
  <r>
    <x v="4"/>
    <s v="2021-01-14"/>
    <x v="0"/>
    <x v="0"/>
    <n v="40"/>
    <x v="2"/>
    <n v="3.27"/>
    <n v="47.14"/>
    <s v="92228410"/>
  </r>
  <r>
    <x v="4"/>
    <s v="2021-01-14"/>
    <x v="0"/>
    <x v="0"/>
    <n v="39"/>
    <x v="3"/>
    <n v="3.14"/>
    <n v="44.88"/>
    <s v="05503849"/>
  </r>
  <r>
    <x v="4"/>
    <s v="2021-01-14"/>
    <x v="0"/>
    <x v="0"/>
    <n v="38"/>
    <x v="4"/>
    <n v="2.86"/>
    <n v="40.19"/>
    <s v="62232889"/>
  </r>
  <r>
    <x v="4"/>
    <s v="2021-01-14"/>
    <x v="0"/>
    <x v="0"/>
    <n v="37"/>
    <x v="5"/>
    <n v="2.79"/>
    <n v="39.049999999999997"/>
    <s v="80271455"/>
  </r>
  <r>
    <x v="4"/>
    <s v="2021-01-14"/>
    <x v="0"/>
    <x v="0"/>
    <n v="36"/>
    <x v="6"/>
    <n v="2.41"/>
    <n v="33.119999999999997"/>
    <s v="05676026"/>
  </r>
  <r>
    <x v="4"/>
    <s v="2021-01-14"/>
    <x v="0"/>
    <x v="0"/>
    <n v="35"/>
    <x v="7"/>
    <n v="2.29"/>
    <n v="31.19"/>
    <s v="92874270"/>
  </r>
  <r>
    <x v="4"/>
    <s v="2021-01-14"/>
    <x v="0"/>
    <x v="0"/>
    <n v="34"/>
    <x v="8"/>
    <n v="2.21"/>
    <n v="30.04"/>
    <s v="59285411"/>
  </r>
  <r>
    <x v="4"/>
    <s v="2021-01-14"/>
    <x v="0"/>
    <x v="0"/>
    <n v="33"/>
    <x v="9"/>
    <n v="2.19"/>
    <n v="29.75"/>
    <s v="00411939"/>
  </r>
  <r>
    <x v="4"/>
    <s v="2021-01-14"/>
    <x v="0"/>
    <x v="0"/>
    <n v="32"/>
    <x v="42"/>
    <n v="2.0699999999999998"/>
    <n v="27.8"/>
    <s v="34991938"/>
  </r>
  <r>
    <x v="4"/>
    <s v="2021-01-14"/>
    <x v="0"/>
    <x v="0"/>
    <n v="31"/>
    <x v="10"/>
    <n v="1.9"/>
    <n v="25.37"/>
    <s v="10371492"/>
  </r>
  <r>
    <x v="4"/>
    <s v="2021-01-14"/>
    <x v="0"/>
    <x v="0"/>
    <n v="30"/>
    <x v="12"/>
    <n v="1.71"/>
    <n v="22.63"/>
    <s v="04862600"/>
  </r>
  <r>
    <x v="4"/>
    <s v="2021-01-14"/>
    <x v="0"/>
    <x v="0"/>
    <n v="29"/>
    <x v="41"/>
    <n v="1.7"/>
    <n v="22.46"/>
    <s v="20443996"/>
  </r>
  <r>
    <x v="4"/>
    <s v="2021-01-14"/>
    <x v="0"/>
    <x v="0"/>
    <n v="28"/>
    <x v="11"/>
    <n v="1.64"/>
    <n v="21.56"/>
    <s v="03634220"/>
  </r>
  <r>
    <x v="4"/>
    <s v="2021-01-14"/>
    <x v="0"/>
    <x v="0"/>
    <n v="27"/>
    <x v="13"/>
    <n v="1.62"/>
    <n v="21.3"/>
    <s v="07707650"/>
  </r>
  <r>
    <x v="4"/>
    <s v="2021-01-14"/>
    <x v="0"/>
    <x v="0"/>
    <n v="26"/>
    <x v="15"/>
    <n v="1.58"/>
    <n v="20.71"/>
    <s v="59588111"/>
  </r>
  <r>
    <x v="4"/>
    <s v="2021-01-14"/>
    <x v="0"/>
    <x v="0"/>
    <n v="25"/>
    <x v="18"/>
    <n v="1.55"/>
    <n v="20.3"/>
    <s v="28127603"/>
  </r>
  <r>
    <x v="4"/>
    <s v="2021-01-14"/>
    <x v="0"/>
    <x v="0"/>
    <n v="24"/>
    <x v="16"/>
    <n v="1.54"/>
    <n v="20.059999999999999"/>
    <s v="07207996"/>
  </r>
  <r>
    <x v="4"/>
    <s v="2021-01-14"/>
    <x v="0"/>
    <x v="0"/>
    <n v="23"/>
    <x v="14"/>
    <n v="1.52"/>
    <n v="19.84"/>
    <s v="00360305"/>
  </r>
  <r>
    <x v="4"/>
    <s v="2021-01-14"/>
    <x v="0"/>
    <x v="0"/>
    <n v="22"/>
    <x v="24"/>
    <n v="1.43"/>
    <n v="18.579999999999998"/>
    <s v="22639377"/>
  </r>
  <r>
    <x v="4"/>
    <s v="2021-01-14"/>
    <x v="0"/>
    <x v="0"/>
    <n v="21"/>
    <x v="20"/>
    <n v="1.4"/>
    <n v="18.13"/>
    <s v="17192451"/>
  </r>
  <r>
    <x v="4"/>
    <s v="2021-01-14"/>
    <x v="0"/>
    <x v="0"/>
    <n v="20"/>
    <x v="21"/>
    <n v="1.32"/>
    <n v="17.02"/>
    <s v="03017677"/>
  </r>
  <r>
    <x v="4"/>
    <s v="2021-01-14"/>
    <x v="0"/>
    <x v="0"/>
    <n v="19"/>
    <x v="23"/>
    <n v="1.28"/>
    <n v="16.5"/>
    <s v="03215790"/>
  </r>
  <r>
    <x v="4"/>
    <s v="2021-01-14"/>
    <x v="0"/>
    <x v="0"/>
    <n v="18"/>
    <x v="25"/>
    <n v="1.26"/>
    <n v="16.2"/>
    <s v="59274605"/>
  </r>
  <r>
    <x v="4"/>
    <s v="2021-01-14"/>
    <x v="0"/>
    <x v="0"/>
    <n v="17"/>
    <x v="27"/>
    <n v="1.24"/>
    <n v="15.89"/>
    <s v="00000000"/>
  </r>
  <r>
    <x v="4"/>
    <s v="2021-01-14"/>
    <x v="0"/>
    <x v="0"/>
    <n v="16"/>
    <x v="26"/>
    <n v="1.23"/>
    <n v="15.86"/>
    <s v="30172491"/>
  </r>
  <r>
    <x v="4"/>
    <s v="2021-01-14"/>
    <x v="0"/>
    <x v="0"/>
    <n v="15"/>
    <x v="30"/>
    <n v="1.23"/>
    <n v="15.73"/>
    <s v="03502961"/>
  </r>
  <r>
    <x v="4"/>
    <s v="2021-01-14"/>
    <x v="0"/>
    <x v="0"/>
    <n v="14"/>
    <x v="32"/>
    <n v="1.22"/>
    <n v="15.69"/>
    <s v="60701190"/>
  </r>
  <r>
    <x v="4"/>
    <s v="2021-01-14"/>
    <x v="0"/>
    <x v="0"/>
    <n v="13"/>
    <x v="28"/>
    <n v="1.22"/>
    <n v="15.65"/>
    <s v="90400888"/>
  </r>
  <r>
    <x v="4"/>
    <s v="2021-01-14"/>
    <x v="0"/>
    <x v="0"/>
    <n v="12"/>
    <x v="29"/>
    <n v="1.19"/>
    <n v="15.27"/>
    <s v="60746948"/>
  </r>
  <r>
    <x v="4"/>
    <s v="2021-01-14"/>
    <x v="0"/>
    <x v="0"/>
    <n v="11"/>
    <x v="36"/>
    <n v="1.18"/>
    <n v="15.15"/>
    <s v="33136888"/>
  </r>
  <r>
    <x v="4"/>
    <s v="2021-01-14"/>
    <x v="0"/>
    <x v="0"/>
    <n v="10"/>
    <x v="31"/>
    <n v="1.1599999999999999"/>
    <n v="14.8"/>
    <s v="17167412"/>
  </r>
  <r>
    <x v="4"/>
    <s v="2021-01-14"/>
    <x v="0"/>
    <x v="0"/>
    <n v="9"/>
    <x v="43"/>
    <n v="1.1499999999999999"/>
    <n v="14.7"/>
    <s v="07441209"/>
  </r>
  <r>
    <x v="4"/>
    <s v="2021-01-14"/>
    <x v="0"/>
    <x v="0"/>
    <n v="8"/>
    <x v="33"/>
    <n v="1.1399999999999999"/>
    <n v="14.52"/>
    <s v="62307848"/>
  </r>
  <r>
    <x v="4"/>
    <s v="2021-01-14"/>
    <x v="0"/>
    <x v="0"/>
    <n v="7"/>
    <x v="34"/>
    <n v="1.0900000000000001"/>
    <n v="13.87"/>
    <s v="33603457"/>
  </r>
  <r>
    <x v="4"/>
    <s v="2021-01-14"/>
    <x v="0"/>
    <x v="0"/>
    <n v="6"/>
    <x v="44"/>
    <n v="1.07"/>
    <n v="13.6"/>
    <s v="58017179"/>
  </r>
  <r>
    <x v="4"/>
    <s v="2021-01-14"/>
    <x v="0"/>
    <x v="0"/>
    <n v="5"/>
    <x v="37"/>
    <n v="1.01"/>
    <n v="12.83"/>
    <s v="04452473"/>
  </r>
  <r>
    <x v="4"/>
    <s v="2021-01-14"/>
    <x v="0"/>
    <x v="0"/>
    <n v="4"/>
    <x v="35"/>
    <n v="1.01"/>
    <n v="12.81"/>
    <s v="59109165"/>
  </r>
  <r>
    <x v="4"/>
    <s v="2021-01-14"/>
    <x v="0"/>
    <x v="0"/>
    <n v="3"/>
    <x v="39"/>
    <n v="0.98"/>
    <n v="12.38"/>
    <s v="04902979"/>
  </r>
  <r>
    <x v="4"/>
    <s v="2021-01-14"/>
    <x v="0"/>
    <x v="0"/>
    <n v="2"/>
    <x v="40"/>
    <n v="0.89"/>
    <n v="11.19"/>
    <s v="02992446"/>
  </r>
  <r>
    <x v="4"/>
    <s v="2021-01-14"/>
    <x v="0"/>
    <x v="0"/>
    <n v="1"/>
    <x v="38"/>
    <n v="0.88"/>
    <n v="11.13"/>
    <s v="60814191"/>
  </r>
  <r>
    <x v="5"/>
    <s v="2021-01-15"/>
    <x v="0"/>
    <x v="0"/>
    <n v="42"/>
    <x v="0"/>
    <n v="3.55"/>
    <n v="51.99"/>
    <s v="60850229"/>
  </r>
  <r>
    <x v="5"/>
    <s v="2021-01-15"/>
    <x v="0"/>
    <x v="0"/>
    <n v="41"/>
    <x v="1"/>
    <n v="3.35"/>
    <n v="48.56"/>
    <s v="01800019"/>
  </r>
  <r>
    <x v="5"/>
    <s v="2021-01-15"/>
    <x v="0"/>
    <x v="0"/>
    <n v="40"/>
    <x v="2"/>
    <n v="3.28"/>
    <n v="47.26"/>
    <s v="92228410"/>
  </r>
  <r>
    <x v="5"/>
    <s v="2021-01-15"/>
    <x v="0"/>
    <x v="0"/>
    <n v="39"/>
    <x v="3"/>
    <n v="3.17"/>
    <n v="45.41"/>
    <s v="05503849"/>
  </r>
  <r>
    <x v="5"/>
    <s v="2021-01-15"/>
    <x v="0"/>
    <x v="0"/>
    <n v="38"/>
    <x v="4"/>
    <n v="2.87"/>
    <n v="40.5"/>
    <s v="62232889"/>
  </r>
  <r>
    <x v="5"/>
    <s v="2021-01-15"/>
    <x v="0"/>
    <x v="0"/>
    <n v="37"/>
    <x v="5"/>
    <n v="2.75"/>
    <n v="38.47"/>
    <s v="80271455"/>
  </r>
  <r>
    <x v="5"/>
    <s v="2021-01-15"/>
    <x v="0"/>
    <x v="0"/>
    <n v="36"/>
    <x v="6"/>
    <n v="2.42"/>
    <n v="33.18"/>
    <s v="05676026"/>
  </r>
  <r>
    <x v="5"/>
    <s v="2021-01-15"/>
    <x v="0"/>
    <x v="0"/>
    <n v="35"/>
    <x v="7"/>
    <n v="2.29"/>
    <n v="31.29"/>
    <s v="92874270"/>
  </r>
  <r>
    <x v="5"/>
    <s v="2021-01-15"/>
    <x v="0"/>
    <x v="0"/>
    <n v="34"/>
    <x v="8"/>
    <n v="2.21"/>
    <n v="29.97"/>
    <s v="59285411"/>
  </r>
  <r>
    <x v="5"/>
    <s v="2021-01-15"/>
    <x v="0"/>
    <x v="0"/>
    <n v="33"/>
    <x v="9"/>
    <n v="2.12"/>
    <n v="28.6"/>
    <s v="00411939"/>
  </r>
  <r>
    <x v="5"/>
    <s v="2021-01-15"/>
    <x v="0"/>
    <x v="0"/>
    <n v="32"/>
    <x v="42"/>
    <n v="2.0699999999999998"/>
    <n v="27.8"/>
    <s v="34991938"/>
  </r>
  <r>
    <x v="5"/>
    <s v="2021-01-15"/>
    <x v="0"/>
    <x v="0"/>
    <n v="31"/>
    <x v="10"/>
    <n v="1.9"/>
    <n v="25.36"/>
    <s v="10371492"/>
  </r>
  <r>
    <x v="5"/>
    <s v="2021-01-15"/>
    <x v="0"/>
    <x v="0"/>
    <n v="30"/>
    <x v="12"/>
    <n v="1.71"/>
    <n v="22.58"/>
    <s v="04862600"/>
  </r>
  <r>
    <x v="5"/>
    <s v="2021-01-15"/>
    <x v="0"/>
    <x v="0"/>
    <n v="29"/>
    <x v="41"/>
    <n v="1.7"/>
    <n v="22.46"/>
    <s v="20443996"/>
  </r>
  <r>
    <x v="5"/>
    <s v="2021-01-15"/>
    <x v="0"/>
    <x v="0"/>
    <n v="28"/>
    <x v="13"/>
    <n v="1.63"/>
    <n v="21.35"/>
    <s v="07707650"/>
  </r>
  <r>
    <x v="5"/>
    <s v="2021-01-15"/>
    <x v="0"/>
    <x v="0"/>
    <n v="27"/>
    <x v="11"/>
    <n v="1.59"/>
    <n v="20.85"/>
    <s v="03634220"/>
  </r>
  <r>
    <x v="5"/>
    <s v="2021-01-15"/>
    <x v="0"/>
    <x v="0"/>
    <n v="26"/>
    <x v="15"/>
    <n v="1.58"/>
    <n v="20.72"/>
    <s v="59588111"/>
  </r>
  <r>
    <x v="5"/>
    <s v="2021-01-15"/>
    <x v="0"/>
    <x v="0"/>
    <n v="25"/>
    <x v="18"/>
    <n v="1.56"/>
    <n v="20.350000000000001"/>
    <s v="28127603"/>
  </r>
  <r>
    <x v="5"/>
    <s v="2021-01-15"/>
    <x v="0"/>
    <x v="0"/>
    <n v="24"/>
    <x v="14"/>
    <n v="1.53"/>
    <n v="20.04"/>
    <s v="00360305"/>
  </r>
  <r>
    <x v="5"/>
    <s v="2021-01-15"/>
    <x v="0"/>
    <x v="0"/>
    <n v="23"/>
    <x v="16"/>
    <n v="1.53"/>
    <n v="19.989999999999998"/>
    <s v="07207996"/>
  </r>
  <r>
    <x v="5"/>
    <s v="2021-01-15"/>
    <x v="0"/>
    <x v="0"/>
    <n v="22"/>
    <x v="24"/>
    <n v="1.48"/>
    <n v="19.23"/>
    <s v="22639377"/>
  </r>
  <r>
    <x v="5"/>
    <s v="2021-01-15"/>
    <x v="0"/>
    <x v="0"/>
    <n v="21"/>
    <x v="20"/>
    <n v="1.39"/>
    <n v="18.010000000000002"/>
    <s v="17192451"/>
  </r>
  <r>
    <x v="5"/>
    <s v="2021-01-15"/>
    <x v="0"/>
    <x v="0"/>
    <n v="20"/>
    <x v="21"/>
    <n v="1.31"/>
    <n v="16.91"/>
    <s v="03017677"/>
  </r>
  <r>
    <x v="5"/>
    <s v="2021-01-15"/>
    <x v="0"/>
    <x v="0"/>
    <n v="19"/>
    <x v="23"/>
    <n v="1.29"/>
    <n v="16.68"/>
    <s v="03215790"/>
  </r>
  <r>
    <x v="5"/>
    <s v="2021-01-15"/>
    <x v="0"/>
    <x v="0"/>
    <n v="18"/>
    <x v="36"/>
    <n v="1.28"/>
    <n v="16.45"/>
    <s v="33136888"/>
  </r>
  <r>
    <x v="5"/>
    <s v="2021-01-15"/>
    <x v="0"/>
    <x v="0"/>
    <n v="17"/>
    <x v="25"/>
    <n v="1.26"/>
    <n v="16.21"/>
    <s v="59274605"/>
  </r>
  <r>
    <x v="5"/>
    <s v="2021-01-15"/>
    <x v="0"/>
    <x v="0"/>
    <n v="16"/>
    <x v="32"/>
    <n v="1.24"/>
    <n v="15.95"/>
    <s v="60701190"/>
  </r>
  <r>
    <x v="5"/>
    <s v="2021-01-15"/>
    <x v="0"/>
    <x v="0"/>
    <n v="15"/>
    <x v="26"/>
    <n v="1.24"/>
    <n v="15.87"/>
    <s v="30172491"/>
  </r>
  <r>
    <x v="5"/>
    <s v="2021-01-15"/>
    <x v="0"/>
    <x v="0"/>
    <n v="14"/>
    <x v="28"/>
    <n v="1.23"/>
    <n v="15.85"/>
    <s v="90400888"/>
  </r>
  <r>
    <x v="5"/>
    <s v="2021-01-15"/>
    <x v="0"/>
    <x v="0"/>
    <n v="13"/>
    <x v="27"/>
    <n v="1.23"/>
    <n v="15.75"/>
    <s v="00000000"/>
  </r>
  <r>
    <x v="5"/>
    <s v="2021-01-15"/>
    <x v="0"/>
    <x v="0"/>
    <n v="12"/>
    <x v="30"/>
    <n v="1.22"/>
    <n v="15.7"/>
    <s v="03502961"/>
  </r>
  <r>
    <x v="5"/>
    <s v="2021-01-15"/>
    <x v="0"/>
    <x v="0"/>
    <n v="11"/>
    <x v="29"/>
    <n v="1.18"/>
    <n v="15.11"/>
    <s v="60746948"/>
  </r>
  <r>
    <x v="5"/>
    <s v="2021-01-15"/>
    <x v="0"/>
    <x v="0"/>
    <n v="10"/>
    <x v="31"/>
    <n v="1.1599999999999999"/>
    <n v="14.77"/>
    <s v="17167412"/>
  </r>
  <r>
    <x v="5"/>
    <s v="2021-01-15"/>
    <x v="0"/>
    <x v="0"/>
    <n v="9"/>
    <x v="43"/>
    <n v="1.1499999999999999"/>
    <n v="14.7"/>
    <s v="07441209"/>
  </r>
  <r>
    <x v="5"/>
    <s v="2021-01-15"/>
    <x v="0"/>
    <x v="0"/>
    <n v="8"/>
    <x v="33"/>
    <n v="1.1399999999999999"/>
    <n v="14.57"/>
    <s v="62307848"/>
  </r>
  <r>
    <x v="5"/>
    <s v="2021-01-15"/>
    <x v="0"/>
    <x v="0"/>
    <n v="7"/>
    <x v="34"/>
    <n v="1.1000000000000001"/>
    <n v="14.04"/>
    <s v="33603457"/>
  </r>
  <r>
    <x v="5"/>
    <s v="2021-01-15"/>
    <x v="0"/>
    <x v="0"/>
    <n v="6"/>
    <x v="44"/>
    <n v="1.07"/>
    <n v="13.6"/>
    <s v="58017179"/>
  </r>
  <r>
    <x v="5"/>
    <s v="2021-01-15"/>
    <x v="0"/>
    <x v="0"/>
    <n v="5"/>
    <x v="37"/>
    <n v="1.02"/>
    <n v="12.95"/>
    <s v="04452473"/>
  </r>
  <r>
    <x v="5"/>
    <s v="2021-01-15"/>
    <x v="0"/>
    <x v="0"/>
    <n v="4"/>
    <x v="35"/>
    <n v="1"/>
    <n v="12.72"/>
    <s v="59109165"/>
  </r>
  <r>
    <x v="5"/>
    <s v="2021-01-15"/>
    <x v="0"/>
    <x v="0"/>
    <n v="3"/>
    <x v="39"/>
    <n v="0.98"/>
    <n v="12.38"/>
    <s v="04902979"/>
  </r>
  <r>
    <x v="5"/>
    <s v="2021-01-15"/>
    <x v="0"/>
    <x v="0"/>
    <n v="2"/>
    <x v="38"/>
    <n v="0.91"/>
    <n v="11.42"/>
    <s v="60814191"/>
  </r>
  <r>
    <x v="5"/>
    <s v="2021-01-15"/>
    <x v="0"/>
    <x v="0"/>
    <n v="1"/>
    <x v="40"/>
    <n v="0.9"/>
    <n v="11.36"/>
    <s v="02992446"/>
  </r>
  <r>
    <x v="6"/>
    <s v="2021-01-18"/>
    <x v="0"/>
    <x v="0"/>
    <n v="42"/>
    <x v="0"/>
    <n v="3.49"/>
    <n v="50.99"/>
    <s v="60850229"/>
  </r>
  <r>
    <x v="6"/>
    <s v="2021-01-18"/>
    <x v="0"/>
    <x v="0"/>
    <n v="41"/>
    <x v="1"/>
    <n v="3.28"/>
    <n v="47.37"/>
    <s v="01800019"/>
  </r>
  <r>
    <x v="6"/>
    <s v="2021-01-18"/>
    <x v="0"/>
    <x v="0"/>
    <n v="40"/>
    <x v="2"/>
    <n v="3.27"/>
    <n v="47.16"/>
    <s v="92228410"/>
  </r>
  <r>
    <x v="6"/>
    <s v="2021-01-18"/>
    <x v="0"/>
    <x v="0"/>
    <n v="39"/>
    <x v="3"/>
    <n v="3.16"/>
    <n v="45.3"/>
    <s v="05503849"/>
  </r>
  <r>
    <x v="6"/>
    <s v="2021-01-18"/>
    <x v="0"/>
    <x v="0"/>
    <n v="38"/>
    <x v="4"/>
    <n v="2.86"/>
    <n v="40.299999999999997"/>
    <s v="62232889"/>
  </r>
  <r>
    <x v="6"/>
    <s v="2021-01-18"/>
    <x v="0"/>
    <x v="0"/>
    <n v="37"/>
    <x v="5"/>
    <n v="2.69"/>
    <n v="37.58"/>
    <s v="80271455"/>
  </r>
  <r>
    <x v="6"/>
    <s v="2021-01-18"/>
    <x v="0"/>
    <x v="0"/>
    <n v="36"/>
    <x v="42"/>
    <n v="2.5"/>
    <n v="34.450000000000003"/>
    <s v="34991938"/>
  </r>
  <r>
    <x v="6"/>
    <s v="2021-01-18"/>
    <x v="0"/>
    <x v="0"/>
    <n v="35"/>
    <x v="6"/>
    <n v="2.41"/>
    <n v="33.14"/>
    <s v="05676026"/>
  </r>
  <r>
    <x v="6"/>
    <s v="2021-01-18"/>
    <x v="0"/>
    <x v="0"/>
    <n v="34"/>
    <x v="7"/>
    <n v="2.29"/>
    <n v="31.22"/>
    <s v="92874270"/>
  </r>
  <r>
    <x v="6"/>
    <s v="2021-01-18"/>
    <x v="0"/>
    <x v="0"/>
    <n v="33"/>
    <x v="8"/>
    <n v="2.2000000000000002"/>
    <n v="29.9"/>
    <s v="59285411"/>
  </r>
  <r>
    <x v="6"/>
    <s v="2021-01-18"/>
    <x v="0"/>
    <x v="0"/>
    <n v="32"/>
    <x v="9"/>
    <n v="2.09"/>
    <n v="28.16"/>
    <s v="00411939"/>
  </r>
  <r>
    <x v="6"/>
    <s v="2021-01-18"/>
    <x v="0"/>
    <x v="0"/>
    <n v="31"/>
    <x v="10"/>
    <n v="1.9"/>
    <n v="25.3"/>
    <s v="10371492"/>
  </r>
  <r>
    <x v="6"/>
    <s v="2021-01-18"/>
    <x v="0"/>
    <x v="0"/>
    <n v="30"/>
    <x v="12"/>
    <n v="1.71"/>
    <n v="22.6"/>
    <s v="04862600"/>
  </r>
  <r>
    <x v="6"/>
    <s v="2021-01-18"/>
    <x v="0"/>
    <x v="0"/>
    <n v="29"/>
    <x v="41"/>
    <n v="1.64"/>
    <n v="21.51"/>
    <s v="20443996"/>
  </r>
  <r>
    <x v="6"/>
    <s v="2021-01-18"/>
    <x v="0"/>
    <x v="0"/>
    <n v="28"/>
    <x v="13"/>
    <n v="1.62"/>
    <n v="21.33"/>
    <s v="07707650"/>
  </r>
  <r>
    <x v="6"/>
    <s v="2021-01-18"/>
    <x v="0"/>
    <x v="0"/>
    <n v="27"/>
    <x v="14"/>
    <n v="1.62"/>
    <n v="21.25"/>
    <s v="00360305"/>
  </r>
  <r>
    <x v="6"/>
    <s v="2021-01-18"/>
    <x v="0"/>
    <x v="0"/>
    <n v="26"/>
    <x v="15"/>
    <n v="1.59"/>
    <n v="20.79"/>
    <s v="59588111"/>
  </r>
  <r>
    <x v="6"/>
    <s v="2021-01-18"/>
    <x v="0"/>
    <x v="0"/>
    <n v="25"/>
    <x v="16"/>
    <n v="1.52"/>
    <n v="19.91"/>
    <s v="07207996"/>
  </r>
  <r>
    <x v="6"/>
    <s v="2021-01-18"/>
    <x v="0"/>
    <x v="0"/>
    <n v="24"/>
    <x v="11"/>
    <n v="1.52"/>
    <n v="19.79"/>
    <s v="03634220"/>
  </r>
  <r>
    <x v="6"/>
    <s v="2021-01-18"/>
    <x v="0"/>
    <x v="0"/>
    <n v="23"/>
    <x v="18"/>
    <n v="1.49"/>
    <n v="19.47"/>
    <s v="28127603"/>
  </r>
  <r>
    <x v="6"/>
    <s v="2021-01-18"/>
    <x v="0"/>
    <x v="0"/>
    <n v="22"/>
    <x v="24"/>
    <n v="1.49"/>
    <n v="19.43"/>
    <s v="22639377"/>
  </r>
  <r>
    <x v="6"/>
    <s v="2021-01-18"/>
    <x v="0"/>
    <x v="0"/>
    <n v="21"/>
    <x v="20"/>
    <n v="1.38"/>
    <n v="17.91"/>
    <s v="17192451"/>
  </r>
  <r>
    <x v="6"/>
    <s v="2021-01-18"/>
    <x v="0"/>
    <x v="0"/>
    <n v="20"/>
    <x v="21"/>
    <n v="1.31"/>
    <n v="16.88"/>
    <s v="03017677"/>
  </r>
  <r>
    <x v="6"/>
    <s v="2021-01-18"/>
    <x v="0"/>
    <x v="0"/>
    <n v="19"/>
    <x v="36"/>
    <n v="1.3"/>
    <n v="16.690000000000001"/>
    <s v="33136888"/>
  </r>
  <r>
    <x v="6"/>
    <s v="2021-01-18"/>
    <x v="0"/>
    <x v="0"/>
    <n v="18"/>
    <x v="23"/>
    <n v="1.29"/>
    <n v="16.670000000000002"/>
    <s v="03215790"/>
  </r>
  <r>
    <x v="6"/>
    <s v="2021-01-18"/>
    <x v="0"/>
    <x v="0"/>
    <n v="17"/>
    <x v="25"/>
    <n v="1.26"/>
    <n v="16.149999999999999"/>
    <s v="59274605"/>
  </r>
  <r>
    <x v="6"/>
    <s v="2021-01-18"/>
    <x v="0"/>
    <x v="0"/>
    <n v="16"/>
    <x v="32"/>
    <n v="1.24"/>
    <n v="15.98"/>
    <s v="60701190"/>
  </r>
  <r>
    <x v="6"/>
    <s v="2021-01-18"/>
    <x v="0"/>
    <x v="0"/>
    <n v="15"/>
    <x v="28"/>
    <n v="1.24"/>
    <n v="15.96"/>
    <s v="90400888"/>
  </r>
  <r>
    <x v="6"/>
    <s v="2021-01-18"/>
    <x v="0"/>
    <x v="0"/>
    <n v="14"/>
    <x v="27"/>
    <n v="1.23"/>
    <n v="15.86"/>
    <s v="00000000"/>
  </r>
  <r>
    <x v="6"/>
    <s v="2021-01-18"/>
    <x v="0"/>
    <x v="0"/>
    <n v="13"/>
    <x v="26"/>
    <n v="1.23"/>
    <n v="15.86"/>
    <s v="30172491"/>
  </r>
  <r>
    <x v="6"/>
    <s v="2021-01-18"/>
    <x v="0"/>
    <x v="0"/>
    <n v="12"/>
    <x v="30"/>
    <n v="1.19"/>
    <n v="15.2"/>
    <s v="03502961"/>
  </r>
  <r>
    <x v="6"/>
    <s v="2021-01-18"/>
    <x v="0"/>
    <x v="0"/>
    <n v="11"/>
    <x v="31"/>
    <n v="1.18"/>
    <n v="15.08"/>
    <s v="17167412"/>
  </r>
  <r>
    <x v="6"/>
    <s v="2021-01-18"/>
    <x v="0"/>
    <x v="0"/>
    <n v="10"/>
    <x v="29"/>
    <n v="1.18"/>
    <n v="15.04"/>
    <s v="60746948"/>
  </r>
  <r>
    <x v="6"/>
    <s v="2021-01-18"/>
    <x v="0"/>
    <x v="0"/>
    <n v="9"/>
    <x v="43"/>
    <n v="1.1499999999999999"/>
    <n v="14.7"/>
    <s v="07441209"/>
  </r>
  <r>
    <x v="6"/>
    <s v="2021-01-18"/>
    <x v="0"/>
    <x v="0"/>
    <n v="8"/>
    <x v="33"/>
    <n v="1.1399999999999999"/>
    <n v="14.56"/>
    <s v="62307848"/>
  </r>
  <r>
    <x v="6"/>
    <s v="2021-01-18"/>
    <x v="0"/>
    <x v="0"/>
    <n v="7"/>
    <x v="34"/>
    <n v="1.1100000000000001"/>
    <n v="14.14"/>
    <s v="33603457"/>
  </r>
  <r>
    <x v="6"/>
    <s v="2021-01-18"/>
    <x v="0"/>
    <x v="0"/>
    <n v="6"/>
    <x v="44"/>
    <n v="1.07"/>
    <n v="13.6"/>
    <s v="58017179"/>
  </r>
  <r>
    <x v="6"/>
    <s v="2021-01-18"/>
    <x v="0"/>
    <x v="0"/>
    <n v="5"/>
    <x v="37"/>
    <n v="1.02"/>
    <n v="13.01"/>
    <s v="04452473"/>
  </r>
  <r>
    <x v="6"/>
    <s v="2021-01-18"/>
    <x v="0"/>
    <x v="0"/>
    <n v="4"/>
    <x v="35"/>
    <n v="1"/>
    <n v="12.71"/>
    <s v="59109165"/>
  </r>
  <r>
    <x v="6"/>
    <s v="2021-01-18"/>
    <x v="0"/>
    <x v="0"/>
    <n v="3"/>
    <x v="39"/>
    <n v="0.98"/>
    <n v="12.38"/>
    <s v="04902979"/>
  </r>
  <r>
    <x v="6"/>
    <s v="2021-01-18"/>
    <x v="0"/>
    <x v="0"/>
    <n v="2"/>
    <x v="40"/>
    <n v="0.92"/>
    <n v="11.66"/>
    <s v="02992446"/>
  </r>
  <r>
    <x v="6"/>
    <s v="2021-01-18"/>
    <x v="0"/>
    <x v="0"/>
    <n v="1"/>
    <x v="38"/>
    <n v="0.89"/>
    <n v="11.26"/>
    <s v="60814191"/>
  </r>
  <r>
    <x v="7"/>
    <s v="2021-01-19"/>
    <x v="0"/>
    <x v="0"/>
    <n v="42"/>
    <x v="0"/>
    <n v="3.51"/>
    <n v="51.21"/>
    <s v="60850229"/>
  </r>
  <r>
    <x v="7"/>
    <s v="2021-01-19"/>
    <x v="0"/>
    <x v="0"/>
    <n v="41"/>
    <x v="1"/>
    <n v="3.28"/>
    <n v="47.33"/>
    <s v="01800019"/>
  </r>
  <r>
    <x v="7"/>
    <s v="2021-01-19"/>
    <x v="0"/>
    <x v="0"/>
    <n v="40"/>
    <x v="2"/>
    <n v="3.26"/>
    <n v="47"/>
    <s v="92228410"/>
  </r>
  <r>
    <x v="7"/>
    <s v="2021-01-19"/>
    <x v="0"/>
    <x v="0"/>
    <n v="39"/>
    <x v="3"/>
    <n v="3.26"/>
    <n v="46.94"/>
    <s v="05503849"/>
  </r>
  <r>
    <x v="7"/>
    <s v="2021-01-19"/>
    <x v="0"/>
    <x v="0"/>
    <n v="38"/>
    <x v="4"/>
    <n v="2.86"/>
    <n v="40.299999999999997"/>
    <s v="62232889"/>
  </r>
  <r>
    <x v="7"/>
    <s v="2021-01-19"/>
    <x v="0"/>
    <x v="0"/>
    <n v="37"/>
    <x v="5"/>
    <n v="2.69"/>
    <n v="37.58"/>
    <s v="80271455"/>
  </r>
  <r>
    <x v="7"/>
    <s v="2021-01-19"/>
    <x v="0"/>
    <x v="0"/>
    <n v="36"/>
    <x v="42"/>
    <n v="2.5"/>
    <n v="34.450000000000003"/>
    <s v="34991938"/>
  </r>
  <r>
    <x v="7"/>
    <s v="2021-01-19"/>
    <x v="0"/>
    <x v="0"/>
    <n v="35"/>
    <x v="6"/>
    <n v="2.41"/>
    <n v="33.15"/>
    <s v="05676026"/>
  </r>
  <r>
    <x v="7"/>
    <s v="2021-01-19"/>
    <x v="0"/>
    <x v="0"/>
    <n v="34"/>
    <x v="7"/>
    <n v="2.29"/>
    <n v="31.2"/>
    <s v="92874270"/>
  </r>
  <r>
    <x v="7"/>
    <s v="2021-01-19"/>
    <x v="0"/>
    <x v="0"/>
    <n v="33"/>
    <x v="8"/>
    <n v="2.2000000000000002"/>
    <n v="29.79"/>
    <s v="59285411"/>
  </r>
  <r>
    <x v="7"/>
    <s v="2021-01-19"/>
    <x v="0"/>
    <x v="0"/>
    <n v="32"/>
    <x v="9"/>
    <n v="2.09"/>
    <n v="28.11"/>
    <s v="00411939"/>
  </r>
  <r>
    <x v="7"/>
    <s v="2021-01-19"/>
    <x v="0"/>
    <x v="0"/>
    <n v="31"/>
    <x v="10"/>
    <n v="1.88"/>
    <n v="25.03"/>
    <s v="10371492"/>
  </r>
  <r>
    <x v="7"/>
    <s v="2021-01-19"/>
    <x v="0"/>
    <x v="0"/>
    <n v="30"/>
    <x v="12"/>
    <n v="1.72"/>
    <n v="22.73"/>
    <s v="04862600"/>
  </r>
  <r>
    <x v="7"/>
    <s v="2021-01-19"/>
    <x v="0"/>
    <x v="0"/>
    <n v="29"/>
    <x v="13"/>
    <n v="1.63"/>
    <n v="21.36"/>
    <s v="07707650"/>
  </r>
  <r>
    <x v="7"/>
    <s v="2021-01-19"/>
    <x v="0"/>
    <x v="0"/>
    <n v="28"/>
    <x v="14"/>
    <n v="1.6"/>
    <n v="21.01"/>
    <s v="00360305"/>
  </r>
  <r>
    <x v="7"/>
    <s v="2021-01-19"/>
    <x v="0"/>
    <x v="0"/>
    <n v="27"/>
    <x v="41"/>
    <n v="1.6"/>
    <n v="20.96"/>
    <s v="20443996"/>
  </r>
  <r>
    <x v="7"/>
    <s v="2021-01-19"/>
    <x v="0"/>
    <x v="0"/>
    <n v="26"/>
    <x v="15"/>
    <n v="1.59"/>
    <n v="20.86"/>
    <s v="59588111"/>
  </r>
  <r>
    <x v="7"/>
    <s v="2021-01-19"/>
    <x v="0"/>
    <x v="0"/>
    <n v="25"/>
    <x v="16"/>
    <n v="1.51"/>
    <n v="19.760000000000002"/>
    <s v="07207996"/>
  </r>
  <r>
    <x v="7"/>
    <s v="2021-01-19"/>
    <x v="0"/>
    <x v="0"/>
    <n v="24"/>
    <x v="11"/>
    <n v="1.48"/>
    <n v="19.23"/>
    <s v="03634220"/>
  </r>
  <r>
    <x v="7"/>
    <s v="2021-01-19"/>
    <x v="0"/>
    <x v="0"/>
    <n v="23"/>
    <x v="24"/>
    <n v="1.48"/>
    <n v="19.22"/>
    <s v="22639377"/>
  </r>
  <r>
    <x v="7"/>
    <s v="2021-01-19"/>
    <x v="0"/>
    <x v="0"/>
    <n v="22"/>
    <x v="18"/>
    <n v="1.38"/>
    <n v="17.850000000000001"/>
    <s v="28127603"/>
  </r>
  <r>
    <x v="7"/>
    <s v="2021-01-19"/>
    <x v="0"/>
    <x v="0"/>
    <n v="21"/>
    <x v="20"/>
    <n v="1.38"/>
    <n v="17.850000000000001"/>
    <s v="17192451"/>
  </r>
  <r>
    <x v="7"/>
    <s v="2021-01-19"/>
    <x v="0"/>
    <x v="0"/>
    <n v="20"/>
    <x v="21"/>
    <n v="1.3"/>
    <n v="16.809999999999999"/>
    <s v="03017677"/>
  </r>
  <r>
    <x v="7"/>
    <s v="2021-01-19"/>
    <x v="0"/>
    <x v="0"/>
    <n v="19"/>
    <x v="23"/>
    <n v="1.3"/>
    <n v="16.760000000000002"/>
    <s v="03215790"/>
  </r>
  <r>
    <x v="7"/>
    <s v="2021-01-19"/>
    <x v="0"/>
    <x v="0"/>
    <n v="18"/>
    <x v="36"/>
    <n v="1.28"/>
    <n v="16.43"/>
    <s v="33136888"/>
  </r>
  <r>
    <x v="7"/>
    <s v="2021-01-19"/>
    <x v="0"/>
    <x v="0"/>
    <n v="17"/>
    <x v="25"/>
    <n v="1.26"/>
    <n v="16.2"/>
    <s v="59274605"/>
  </r>
  <r>
    <x v="7"/>
    <s v="2021-01-19"/>
    <x v="0"/>
    <x v="0"/>
    <n v="16"/>
    <x v="28"/>
    <n v="1.24"/>
    <n v="15.98"/>
    <s v="90400888"/>
  </r>
  <r>
    <x v="7"/>
    <s v="2021-01-19"/>
    <x v="0"/>
    <x v="0"/>
    <n v="15"/>
    <x v="27"/>
    <n v="1.24"/>
    <n v="15.92"/>
    <s v="00000000"/>
  </r>
  <r>
    <x v="7"/>
    <s v="2021-01-19"/>
    <x v="0"/>
    <x v="0"/>
    <n v="14"/>
    <x v="32"/>
    <n v="1.24"/>
    <n v="15.91"/>
    <s v="60701190"/>
  </r>
  <r>
    <x v="7"/>
    <s v="2021-01-19"/>
    <x v="0"/>
    <x v="0"/>
    <n v="13"/>
    <x v="26"/>
    <n v="1.24"/>
    <n v="15.89"/>
    <s v="30172491"/>
  </r>
  <r>
    <x v="7"/>
    <s v="2021-01-19"/>
    <x v="0"/>
    <x v="0"/>
    <n v="12"/>
    <x v="30"/>
    <n v="1.22"/>
    <n v="15.66"/>
    <s v="03502961"/>
  </r>
  <r>
    <x v="7"/>
    <s v="2021-01-19"/>
    <x v="0"/>
    <x v="0"/>
    <n v="11"/>
    <x v="31"/>
    <n v="1.19"/>
    <n v="15.2"/>
    <s v="17167412"/>
  </r>
  <r>
    <x v="7"/>
    <s v="2021-01-19"/>
    <x v="0"/>
    <x v="0"/>
    <n v="10"/>
    <x v="29"/>
    <n v="1.1599999999999999"/>
    <n v="14.88"/>
    <s v="60746948"/>
  </r>
  <r>
    <x v="7"/>
    <s v="2021-01-19"/>
    <x v="0"/>
    <x v="0"/>
    <n v="9"/>
    <x v="33"/>
    <n v="1.1299999999999999"/>
    <n v="14.48"/>
    <s v="62307848"/>
  </r>
  <r>
    <x v="7"/>
    <s v="2021-01-19"/>
    <x v="0"/>
    <x v="0"/>
    <n v="8"/>
    <x v="34"/>
    <n v="1.1100000000000001"/>
    <n v="14.09"/>
    <s v="33603457"/>
  </r>
  <r>
    <x v="7"/>
    <s v="2021-01-19"/>
    <x v="0"/>
    <x v="0"/>
    <n v="7"/>
    <x v="44"/>
    <n v="1.07"/>
    <n v="13.6"/>
    <s v="58017179"/>
  </r>
  <r>
    <x v="7"/>
    <s v="2021-01-19"/>
    <x v="0"/>
    <x v="0"/>
    <n v="6"/>
    <x v="37"/>
    <n v="1.03"/>
    <n v="13.08"/>
    <s v="04452473"/>
  </r>
  <r>
    <x v="7"/>
    <s v="2021-01-19"/>
    <x v="0"/>
    <x v="0"/>
    <n v="5"/>
    <x v="35"/>
    <n v="0.99"/>
    <n v="12.56"/>
    <s v="59109165"/>
  </r>
  <r>
    <x v="7"/>
    <s v="2021-01-19"/>
    <x v="0"/>
    <x v="0"/>
    <n v="4"/>
    <x v="43"/>
    <n v="0.98"/>
    <n v="12.38"/>
    <s v="07441209"/>
  </r>
  <r>
    <x v="7"/>
    <s v="2021-01-19"/>
    <x v="0"/>
    <x v="0"/>
    <n v="3"/>
    <x v="39"/>
    <n v="0.98"/>
    <n v="12.38"/>
    <s v="04902979"/>
  </r>
  <r>
    <x v="7"/>
    <s v="2021-01-19"/>
    <x v="0"/>
    <x v="0"/>
    <n v="2"/>
    <x v="38"/>
    <n v="0.89"/>
    <n v="11.15"/>
    <s v="60814191"/>
  </r>
  <r>
    <x v="7"/>
    <s v="2021-01-19"/>
    <x v="0"/>
    <x v="0"/>
    <n v="1"/>
    <x v="40"/>
    <n v="0.87"/>
    <n v="10.94"/>
    <s v="02992446"/>
  </r>
  <r>
    <x v="8"/>
    <s v="2021-01-20"/>
    <x v="0"/>
    <x v="0"/>
    <n v="41"/>
    <x v="0"/>
    <n v="3.4"/>
    <n v="49.3"/>
    <s v="60850229"/>
  </r>
  <r>
    <x v="8"/>
    <s v="2021-01-20"/>
    <x v="0"/>
    <x v="0"/>
    <n v="40"/>
    <x v="2"/>
    <n v="3.28"/>
    <n v="47.24"/>
    <s v="92228410"/>
  </r>
  <r>
    <x v="8"/>
    <s v="2021-01-20"/>
    <x v="0"/>
    <x v="0"/>
    <n v="39"/>
    <x v="1"/>
    <n v="3.28"/>
    <n v="47.23"/>
    <s v="01800019"/>
  </r>
  <r>
    <x v="8"/>
    <s v="2021-01-20"/>
    <x v="0"/>
    <x v="0"/>
    <n v="38"/>
    <x v="3"/>
    <n v="3.22"/>
    <n v="46.22"/>
    <s v="05503849"/>
  </r>
  <r>
    <x v="8"/>
    <s v="2021-01-20"/>
    <x v="0"/>
    <x v="0"/>
    <n v="37"/>
    <x v="4"/>
    <n v="2.84"/>
    <n v="39.9"/>
    <s v="62232889"/>
  </r>
  <r>
    <x v="8"/>
    <s v="2021-01-20"/>
    <x v="0"/>
    <x v="0"/>
    <n v="36"/>
    <x v="5"/>
    <n v="2.4900000000000002"/>
    <n v="34.29"/>
    <s v="80271455"/>
  </r>
  <r>
    <x v="8"/>
    <s v="2021-01-20"/>
    <x v="0"/>
    <x v="0"/>
    <n v="35"/>
    <x v="6"/>
    <n v="2.41"/>
    <n v="33.11"/>
    <s v="05676026"/>
  </r>
  <r>
    <x v="8"/>
    <s v="2021-01-20"/>
    <x v="0"/>
    <x v="0"/>
    <n v="34"/>
    <x v="7"/>
    <n v="2.2799999999999998"/>
    <n v="31.11"/>
    <s v="92874270"/>
  </r>
  <r>
    <x v="8"/>
    <s v="2021-01-20"/>
    <x v="0"/>
    <x v="0"/>
    <n v="33"/>
    <x v="8"/>
    <n v="2.2000000000000002"/>
    <n v="29.84"/>
    <s v="59285411"/>
  </r>
  <r>
    <x v="8"/>
    <s v="2021-01-20"/>
    <x v="0"/>
    <x v="0"/>
    <n v="32"/>
    <x v="42"/>
    <n v="2.14"/>
    <n v="28.98"/>
    <s v="34991938"/>
  </r>
  <r>
    <x v="8"/>
    <s v="2021-01-20"/>
    <x v="0"/>
    <x v="0"/>
    <n v="31"/>
    <x v="9"/>
    <n v="2.04"/>
    <n v="27.44"/>
    <s v="00411939"/>
  </r>
  <r>
    <x v="8"/>
    <s v="2021-01-20"/>
    <x v="0"/>
    <x v="0"/>
    <n v="30"/>
    <x v="10"/>
    <n v="1.87"/>
    <n v="24.92"/>
    <s v="10371492"/>
  </r>
  <r>
    <x v="8"/>
    <s v="2021-01-20"/>
    <x v="0"/>
    <x v="0"/>
    <n v="29"/>
    <x v="12"/>
    <n v="1.74"/>
    <n v="22.97"/>
    <s v="04862600"/>
  </r>
  <r>
    <x v="8"/>
    <s v="2021-01-20"/>
    <x v="0"/>
    <x v="0"/>
    <n v="28"/>
    <x v="13"/>
    <n v="1.63"/>
    <n v="21.39"/>
    <s v="07707650"/>
  </r>
  <r>
    <x v="8"/>
    <s v="2021-01-20"/>
    <x v="0"/>
    <x v="0"/>
    <n v="27"/>
    <x v="15"/>
    <n v="1.59"/>
    <n v="20.84"/>
    <s v="59588111"/>
  </r>
  <r>
    <x v="8"/>
    <s v="2021-01-20"/>
    <x v="0"/>
    <x v="0"/>
    <n v="26"/>
    <x v="41"/>
    <n v="1.58"/>
    <n v="20.67"/>
    <s v="20443996"/>
  </r>
  <r>
    <x v="8"/>
    <s v="2021-01-20"/>
    <x v="0"/>
    <x v="0"/>
    <n v="25"/>
    <x v="14"/>
    <n v="1.57"/>
    <n v="20.53"/>
    <s v="00360305"/>
  </r>
  <r>
    <x v="8"/>
    <s v="2021-01-20"/>
    <x v="0"/>
    <x v="0"/>
    <n v="24"/>
    <x v="16"/>
    <n v="1.51"/>
    <n v="19.760000000000002"/>
    <s v="07207996"/>
  </r>
  <r>
    <x v="8"/>
    <s v="2021-01-20"/>
    <x v="0"/>
    <x v="0"/>
    <n v="23"/>
    <x v="24"/>
    <n v="1.47"/>
    <n v="19.170000000000002"/>
    <s v="22639377"/>
  </r>
  <r>
    <x v="8"/>
    <s v="2021-01-20"/>
    <x v="0"/>
    <x v="0"/>
    <n v="22"/>
    <x v="11"/>
    <n v="1.45"/>
    <n v="18.87"/>
    <s v="03634220"/>
  </r>
  <r>
    <x v="8"/>
    <s v="2021-01-20"/>
    <x v="0"/>
    <x v="0"/>
    <n v="21"/>
    <x v="19"/>
    <n v="1.41"/>
    <n v="18.23"/>
    <s v="92702067"/>
  </r>
  <r>
    <x v="8"/>
    <s v="2021-01-20"/>
    <x v="0"/>
    <x v="0"/>
    <n v="20"/>
    <x v="20"/>
    <n v="1.38"/>
    <n v="17.86"/>
    <s v="17192451"/>
  </r>
  <r>
    <x v="8"/>
    <s v="2021-01-20"/>
    <x v="0"/>
    <x v="0"/>
    <n v="19"/>
    <x v="18"/>
    <n v="1.37"/>
    <n v="17.71"/>
    <s v="28127603"/>
  </r>
  <r>
    <x v="8"/>
    <s v="2021-01-20"/>
    <x v="0"/>
    <x v="0"/>
    <n v="18"/>
    <x v="21"/>
    <n v="1.3"/>
    <n v="16.79"/>
    <s v="03017677"/>
  </r>
  <r>
    <x v="8"/>
    <s v="2021-01-20"/>
    <x v="0"/>
    <x v="0"/>
    <n v="17"/>
    <x v="23"/>
    <n v="1.3"/>
    <n v="16.739999999999998"/>
    <s v="03215790"/>
  </r>
  <r>
    <x v="8"/>
    <s v="2021-01-20"/>
    <x v="0"/>
    <x v="0"/>
    <n v="16"/>
    <x v="36"/>
    <n v="1.28"/>
    <n v="16.43"/>
    <s v="33136888"/>
  </r>
  <r>
    <x v="8"/>
    <s v="2021-01-20"/>
    <x v="0"/>
    <x v="0"/>
    <n v="15"/>
    <x v="25"/>
    <n v="1.25"/>
    <n v="16.12"/>
    <s v="59274605"/>
  </r>
  <r>
    <x v="8"/>
    <s v="2021-01-20"/>
    <x v="0"/>
    <x v="0"/>
    <n v="14"/>
    <x v="28"/>
    <n v="1.24"/>
    <n v="15.88"/>
    <s v="90400888"/>
  </r>
  <r>
    <x v="8"/>
    <s v="2021-01-20"/>
    <x v="0"/>
    <x v="0"/>
    <n v="13"/>
    <x v="27"/>
    <n v="1.24"/>
    <n v="15.88"/>
    <s v="00000000"/>
  </r>
  <r>
    <x v="8"/>
    <s v="2021-01-20"/>
    <x v="0"/>
    <x v="0"/>
    <n v="12"/>
    <x v="32"/>
    <n v="1.23"/>
    <n v="15.84"/>
    <s v="60701190"/>
  </r>
  <r>
    <x v="8"/>
    <s v="2021-01-20"/>
    <x v="0"/>
    <x v="0"/>
    <n v="11"/>
    <x v="30"/>
    <n v="1.23"/>
    <n v="15.78"/>
    <s v="03502961"/>
  </r>
  <r>
    <x v="8"/>
    <s v="2021-01-20"/>
    <x v="0"/>
    <x v="0"/>
    <n v="10"/>
    <x v="26"/>
    <n v="1.22"/>
    <n v="15.72"/>
    <s v="30172491"/>
  </r>
  <r>
    <x v="8"/>
    <s v="2021-01-20"/>
    <x v="0"/>
    <x v="0"/>
    <n v="9"/>
    <x v="31"/>
    <n v="1.18"/>
    <n v="15.16"/>
    <s v="17167412"/>
  </r>
  <r>
    <x v="8"/>
    <s v="2021-01-20"/>
    <x v="0"/>
    <x v="0"/>
    <n v="8"/>
    <x v="29"/>
    <n v="1.17"/>
    <n v="15.01"/>
    <s v="60746948"/>
  </r>
  <r>
    <x v="8"/>
    <s v="2021-01-20"/>
    <x v="0"/>
    <x v="0"/>
    <n v="7"/>
    <x v="33"/>
    <n v="1.1299999999999999"/>
    <n v="14.47"/>
    <s v="62307848"/>
  </r>
  <r>
    <x v="8"/>
    <s v="2021-01-20"/>
    <x v="0"/>
    <x v="0"/>
    <n v="6"/>
    <x v="34"/>
    <n v="1.0900000000000001"/>
    <n v="13.89"/>
    <s v="33603457"/>
  </r>
  <r>
    <x v="8"/>
    <s v="2021-01-20"/>
    <x v="0"/>
    <x v="0"/>
    <n v="5"/>
    <x v="37"/>
    <n v="1.03"/>
    <n v="13.13"/>
    <s v="04452473"/>
  </r>
  <r>
    <x v="8"/>
    <s v="2021-01-20"/>
    <x v="0"/>
    <x v="0"/>
    <n v="4"/>
    <x v="22"/>
    <n v="1.02"/>
    <n v="12.97"/>
    <s v="11417016"/>
  </r>
  <r>
    <x v="8"/>
    <s v="2021-01-20"/>
    <x v="0"/>
    <x v="0"/>
    <n v="3"/>
    <x v="35"/>
    <n v="0.99"/>
    <n v="12.48"/>
    <s v="59109165"/>
  </r>
  <r>
    <x v="8"/>
    <s v="2021-01-20"/>
    <x v="0"/>
    <x v="0"/>
    <n v="2"/>
    <x v="38"/>
    <n v="0.88"/>
    <n v="11.03"/>
    <s v="60814191"/>
  </r>
  <r>
    <x v="8"/>
    <s v="2021-01-20"/>
    <x v="0"/>
    <x v="0"/>
    <n v="1"/>
    <x v="40"/>
    <n v="0.87"/>
    <n v="11"/>
    <s v="02992446"/>
  </r>
  <r>
    <x v="9"/>
    <s v="2021-01-21"/>
    <x v="0"/>
    <x v="0"/>
    <n v="42"/>
    <x v="1"/>
    <n v="3.3"/>
    <n v="47.62"/>
    <s v="01800019"/>
  </r>
  <r>
    <x v="9"/>
    <s v="2021-01-21"/>
    <x v="0"/>
    <x v="0"/>
    <n v="41"/>
    <x v="2"/>
    <n v="3.27"/>
    <n v="47.19"/>
    <s v="92228410"/>
  </r>
  <r>
    <x v="9"/>
    <s v="2021-01-21"/>
    <x v="0"/>
    <x v="0"/>
    <n v="40"/>
    <x v="0"/>
    <n v="3.26"/>
    <n v="46.87"/>
    <s v="60850229"/>
  </r>
  <r>
    <x v="9"/>
    <s v="2021-01-21"/>
    <x v="0"/>
    <x v="0"/>
    <n v="39"/>
    <x v="3"/>
    <n v="3.19"/>
    <n v="45.74"/>
    <s v="05503849"/>
  </r>
  <r>
    <x v="9"/>
    <s v="2021-01-21"/>
    <x v="0"/>
    <x v="0"/>
    <n v="38"/>
    <x v="4"/>
    <n v="2.82"/>
    <n v="39.64"/>
    <s v="62232889"/>
  </r>
  <r>
    <x v="9"/>
    <s v="2021-01-21"/>
    <x v="0"/>
    <x v="0"/>
    <n v="37"/>
    <x v="5"/>
    <n v="2.46"/>
    <n v="33.78"/>
    <s v="80271455"/>
  </r>
  <r>
    <x v="9"/>
    <s v="2021-01-21"/>
    <x v="0"/>
    <x v="0"/>
    <n v="36"/>
    <x v="6"/>
    <n v="2.41"/>
    <n v="33.090000000000003"/>
    <s v="05676026"/>
  </r>
  <r>
    <x v="9"/>
    <s v="2021-01-21"/>
    <x v="0"/>
    <x v="0"/>
    <n v="35"/>
    <x v="7"/>
    <n v="2.2999999999999998"/>
    <n v="31.3"/>
    <s v="92874270"/>
  </r>
  <r>
    <x v="9"/>
    <s v="2021-01-21"/>
    <x v="0"/>
    <x v="0"/>
    <n v="34"/>
    <x v="8"/>
    <n v="2.2000000000000002"/>
    <n v="29.8"/>
    <s v="59285411"/>
  </r>
  <r>
    <x v="9"/>
    <s v="2021-01-21"/>
    <x v="0"/>
    <x v="0"/>
    <n v="33"/>
    <x v="9"/>
    <n v="2.02"/>
    <n v="27.08"/>
    <s v="00411939"/>
  </r>
  <r>
    <x v="9"/>
    <s v="2021-01-21"/>
    <x v="0"/>
    <x v="0"/>
    <n v="32"/>
    <x v="42"/>
    <n v="1.97"/>
    <n v="26.41"/>
    <s v="34991938"/>
  </r>
  <r>
    <x v="9"/>
    <s v="2021-01-21"/>
    <x v="0"/>
    <x v="0"/>
    <n v="31"/>
    <x v="10"/>
    <n v="1.86"/>
    <n v="24.73"/>
    <s v="10371492"/>
  </r>
  <r>
    <x v="9"/>
    <s v="2021-01-21"/>
    <x v="0"/>
    <x v="0"/>
    <n v="30"/>
    <x v="12"/>
    <n v="1.73"/>
    <n v="22.89"/>
    <s v="04862600"/>
  </r>
  <r>
    <x v="9"/>
    <s v="2021-01-21"/>
    <x v="0"/>
    <x v="0"/>
    <n v="29"/>
    <x v="13"/>
    <n v="1.64"/>
    <n v="21.57"/>
    <s v="07707650"/>
  </r>
  <r>
    <x v="9"/>
    <s v="2021-01-21"/>
    <x v="0"/>
    <x v="0"/>
    <n v="28"/>
    <x v="15"/>
    <n v="1.59"/>
    <n v="20.88"/>
    <s v="59588111"/>
  </r>
  <r>
    <x v="9"/>
    <s v="2021-01-21"/>
    <x v="0"/>
    <x v="0"/>
    <n v="27"/>
    <x v="41"/>
    <n v="1.58"/>
    <n v="20.67"/>
    <s v="20443996"/>
  </r>
  <r>
    <x v="9"/>
    <s v="2021-01-21"/>
    <x v="0"/>
    <x v="0"/>
    <n v="26"/>
    <x v="14"/>
    <n v="1.58"/>
    <n v="20.67"/>
    <s v="00360305"/>
  </r>
  <r>
    <x v="9"/>
    <s v="2021-01-21"/>
    <x v="0"/>
    <x v="0"/>
    <n v="25"/>
    <x v="16"/>
    <n v="1.51"/>
    <n v="19.64"/>
    <s v="07207996"/>
  </r>
  <r>
    <x v="9"/>
    <s v="2021-01-21"/>
    <x v="0"/>
    <x v="0"/>
    <n v="24"/>
    <x v="11"/>
    <n v="1.44"/>
    <n v="18.71"/>
    <s v="03634220"/>
  </r>
  <r>
    <x v="9"/>
    <s v="2021-01-21"/>
    <x v="0"/>
    <x v="0"/>
    <n v="23"/>
    <x v="19"/>
    <n v="1.4"/>
    <n v="18.11"/>
    <s v="92702067"/>
  </r>
  <r>
    <x v="9"/>
    <s v="2021-01-21"/>
    <x v="0"/>
    <x v="0"/>
    <n v="22"/>
    <x v="20"/>
    <n v="1.38"/>
    <n v="17.829999999999998"/>
    <s v="17192451"/>
  </r>
  <r>
    <x v="9"/>
    <s v="2021-01-21"/>
    <x v="0"/>
    <x v="0"/>
    <n v="21"/>
    <x v="24"/>
    <n v="1.37"/>
    <n v="17.739999999999998"/>
    <s v="22639377"/>
  </r>
  <r>
    <x v="9"/>
    <s v="2021-01-21"/>
    <x v="0"/>
    <x v="0"/>
    <n v="20"/>
    <x v="18"/>
    <n v="1.33"/>
    <n v="17.14"/>
    <s v="28127603"/>
  </r>
  <r>
    <x v="9"/>
    <s v="2021-01-21"/>
    <x v="0"/>
    <x v="0"/>
    <n v="19"/>
    <x v="23"/>
    <n v="1.32"/>
    <n v="17.03"/>
    <s v="03215790"/>
  </r>
  <r>
    <x v="9"/>
    <s v="2021-01-21"/>
    <x v="0"/>
    <x v="0"/>
    <n v="18"/>
    <x v="21"/>
    <n v="1.3"/>
    <n v="16.73"/>
    <s v="03017677"/>
  </r>
  <r>
    <x v="9"/>
    <s v="2021-01-21"/>
    <x v="0"/>
    <x v="0"/>
    <n v="17"/>
    <x v="36"/>
    <n v="1.28"/>
    <n v="16.5"/>
    <s v="33136888"/>
  </r>
  <r>
    <x v="9"/>
    <s v="2021-01-21"/>
    <x v="0"/>
    <x v="0"/>
    <n v="16"/>
    <x v="43"/>
    <n v="1.26"/>
    <n v="16.190000000000001"/>
    <s v="07441209"/>
  </r>
  <r>
    <x v="9"/>
    <s v="2021-01-21"/>
    <x v="0"/>
    <x v="0"/>
    <n v="15"/>
    <x v="25"/>
    <n v="1.25"/>
    <n v="16.059999999999999"/>
    <s v="59274605"/>
  </r>
  <r>
    <x v="9"/>
    <s v="2021-01-21"/>
    <x v="0"/>
    <x v="0"/>
    <n v="14"/>
    <x v="28"/>
    <n v="1.24"/>
    <n v="15.92"/>
    <s v="90400888"/>
  </r>
  <r>
    <x v="9"/>
    <s v="2021-01-21"/>
    <x v="0"/>
    <x v="0"/>
    <n v="13"/>
    <x v="30"/>
    <n v="1.24"/>
    <n v="15.87"/>
    <s v="03502961"/>
  </r>
  <r>
    <x v="9"/>
    <s v="2021-01-21"/>
    <x v="0"/>
    <x v="0"/>
    <n v="12"/>
    <x v="32"/>
    <n v="1.23"/>
    <n v="15.81"/>
    <s v="60701190"/>
  </r>
  <r>
    <x v="9"/>
    <s v="2021-01-21"/>
    <x v="0"/>
    <x v="0"/>
    <n v="11"/>
    <x v="26"/>
    <n v="1.22"/>
    <n v="15.71"/>
    <s v="30172491"/>
  </r>
  <r>
    <x v="9"/>
    <s v="2021-01-21"/>
    <x v="0"/>
    <x v="0"/>
    <n v="10"/>
    <x v="27"/>
    <n v="1.22"/>
    <n v="15.71"/>
    <s v="00000000"/>
  </r>
  <r>
    <x v="9"/>
    <s v="2021-01-21"/>
    <x v="0"/>
    <x v="0"/>
    <n v="9"/>
    <x v="31"/>
    <n v="1.18"/>
    <n v="15.14"/>
    <s v="17167412"/>
  </r>
  <r>
    <x v="9"/>
    <s v="2021-01-21"/>
    <x v="0"/>
    <x v="0"/>
    <n v="8"/>
    <x v="29"/>
    <n v="1.17"/>
    <n v="15.03"/>
    <s v="60746948"/>
  </r>
  <r>
    <x v="9"/>
    <s v="2021-01-21"/>
    <x v="0"/>
    <x v="0"/>
    <n v="7"/>
    <x v="33"/>
    <n v="1.1299999999999999"/>
    <n v="14.4"/>
    <s v="62307848"/>
  </r>
  <r>
    <x v="9"/>
    <s v="2021-01-21"/>
    <x v="0"/>
    <x v="0"/>
    <n v="6"/>
    <x v="34"/>
    <n v="1.1200000000000001"/>
    <n v="14.3"/>
    <s v="33603457"/>
  </r>
  <r>
    <x v="9"/>
    <s v="2021-01-21"/>
    <x v="0"/>
    <x v="0"/>
    <n v="5"/>
    <x v="37"/>
    <n v="1.03"/>
    <n v="13.14"/>
    <s v="04452473"/>
  </r>
  <r>
    <x v="9"/>
    <s v="2021-01-21"/>
    <x v="0"/>
    <x v="0"/>
    <n v="4"/>
    <x v="22"/>
    <n v="1.02"/>
    <n v="12.97"/>
    <s v="11417016"/>
  </r>
  <r>
    <x v="9"/>
    <s v="2021-01-21"/>
    <x v="0"/>
    <x v="0"/>
    <n v="3"/>
    <x v="35"/>
    <n v="0.98"/>
    <n v="12.46"/>
    <s v="59109165"/>
  </r>
  <r>
    <x v="9"/>
    <s v="2021-01-21"/>
    <x v="0"/>
    <x v="0"/>
    <n v="2"/>
    <x v="38"/>
    <n v="0.87"/>
    <n v="10.98"/>
    <s v="60814191"/>
  </r>
  <r>
    <x v="9"/>
    <s v="2021-01-21"/>
    <x v="0"/>
    <x v="0"/>
    <n v="1"/>
    <x v="40"/>
    <n v="0.83"/>
    <n v="10.43"/>
    <s v="02992446"/>
  </r>
  <r>
    <x v="10"/>
    <s v="2021-01-22"/>
    <x v="0"/>
    <x v="0"/>
    <n v="42"/>
    <x v="1"/>
    <n v="3.34"/>
    <n v="48.37"/>
    <s v="01800019"/>
  </r>
  <r>
    <x v="10"/>
    <s v="2021-01-22"/>
    <x v="0"/>
    <x v="0"/>
    <n v="41"/>
    <x v="0"/>
    <n v="3.34"/>
    <n v="48.27"/>
    <s v="60850229"/>
  </r>
  <r>
    <x v="10"/>
    <s v="2021-01-22"/>
    <x v="0"/>
    <x v="0"/>
    <n v="40"/>
    <x v="2"/>
    <n v="3.27"/>
    <n v="47.17"/>
    <s v="92228410"/>
  </r>
  <r>
    <x v="10"/>
    <s v="2021-01-22"/>
    <x v="0"/>
    <x v="0"/>
    <n v="39"/>
    <x v="3"/>
    <n v="3.2"/>
    <n v="45.98"/>
    <s v="05503849"/>
  </r>
  <r>
    <x v="10"/>
    <s v="2021-01-22"/>
    <x v="0"/>
    <x v="0"/>
    <n v="38"/>
    <x v="4"/>
    <n v="2.79"/>
    <n v="39.08"/>
    <s v="62232889"/>
  </r>
  <r>
    <x v="10"/>
    <s v="2021-01-22"/>
    <x v="0"/>
    <x v="0"/>
    <n v="37"/>
    <x v="5"/>
    <n v="2.5099999999999998"/>
    <n v="34.71"/>
    <s v="80271455"/>
  </r>
  <r>
    <x v="10"/>
    <s v="2021-01-22"/>
    <x v="0"/>
    <x v="0"/>
    <n v="36"/>
    <x v="6"/>
    <n v="2.41"/>
    <n v="33.130000000000003"/>
    <s v="05676026"/>
  </r>
  <r>
    <x v="10"/>
    <s v="2021-01-22"/>
    <x v="0"/>
    <x v="0"/>
    <n v="35"/>
    <x v="7"/>
    <n v="2.29"/>
    <n v="31.2"/>
    <s v="92874270"/>
  </r>
  <r>
    <x v="10"/>
    <s v="2021-01-22"/>
    <x v="0"/>
    <x v="0"/>
    <n v="34"/>
    <x v="8"/>
    <n v="2.2000000000000002"/>
    <n v="29.78"/>
    <s v="59285411"/>
  </r>
  <r>
    <x v="10"/>
    <s v="2021-01-22"/>
    <x v="0"/>
    <x v="0"/>
    <n v="33"/>
    <x v="9"/>
    <n v="2.0299999999999998"/>
    <n v="27.26"/>
    <s v="00411939"/>
  </r>
  <r>
    <x v="10"/>
    <s v="2021-01-22"/>
    <x v="0"/>
    <x v="0"/>
    <n v="32"/>
    <x v="42"/>
    <n v="1.87"/>
    <n v="24.84"/>
    <s v="34991938"/>
  </r>
  <r>
    <x v="10"/>
    <s v="2021-01-22"/>
    <x v="0"/>
    <x v="0"/>
    <n v="31"/>
    <x v="10"/>
    <n v="1.86"/>
    <n v="24.77"/>
    <s v="10371492"/>
  </r>
  <r>
    <x v="10"/>
    <s v="2021-01-22"/>
    <x v="0"/>
    <x v="0"/>
    <n v="30"/>
    <x v="12"/>
    <n v="1.75"/>
    <n v="23.11"/>
    <s v="04862600"/>
  </r>
  <r>
    <x v="10"/>
    <s v="2021-01-22"/>
    <x v="0"/>
    <x v="0"/>
    <n v="29"/>
    <x v="13"/>
    <n v="1.65"/>
    <n v="21.73"/>
    <s v="07707650"/>
  </r>
  <r>
    <x v="10"/>
    <s v="2021-01-22"/>
    <x v="0"/>
    <x v="0"/>
    <n v="28"/>
    <x v="14"/>
    <n v="1.63"/>
    <n v="21.36"/>
    <s v="00360305"/>
  </r>
  <r>
    <x v="10"/>
    <s v="2021-01-22"/>
    <x v="0"/>
    <x v="0"/>
    <n v="27"/>
    <x v="15"/>
    <n v="1.6"/>
    <n v="20.94"/>
    <s v="59588111"/>
  </r>
  <r>
    <x v="10"/>
    <s v="2021-01-22"/>
    <x v="0"/>
    <x v="0"/>
    <n v="26"/>
    <x v="41"/>
    <n v="1.58"/>
    <n v="20.67"/>
    <s v="20443996"/>
  </r>
  <r>
    <x v="10"/>
    <s v="2021-01-22"/>
    <x v="0"/>
    <x v="0"/>
    <n v="25"/>
    <x v="16"/>
    <n v="1.51"/>
    <n v="19.670000000000002"/>
    <s v="07207996"/>
  </r>
  <r>
    <x v="10"/>
    <s v="2021-01-22"/>
    <x v="0"/>
    <x v="0"/>
    <n v="24"/>
    <x v="11"/>
    <n v="1.43"/>
    <n v="18.55"/>
    <s v="03634220"/>
  </r>
  <r>
    <x v="10"/>
    <s v="2021-01-22"/>
    <x v="0"/>
    <x v="0"/>
    <n v="23"/>
    <x v="19"/>
    <n v="1.4"/>
    <n v="18.11"/>
    <s v="92702067"/>
  </r>
  <r>
    <x v="10"/>
    <s v="2021-01-22"/>
    <x v="0"/>
    <x v="0"/>
    <n v="22"/>
    <x v="20"/>
    <n v="1.38"/>
    <n v="17.84"/>
    <s v="17192451"/>
  </r>
  <r>
    <x v="10"/>
    <s v="2021-01-22"/>
    <x v="0"/>
    <x v="0"/>
    <n v="21"/>
    <x v="24"/>
    <n v="1.37"/>
    <n v="17.739999999999998"/>
    <s v="22639377"/>
  </r>
  <r>
    <x v="10"/>
    <s v="2021-01-22"/>
    <x v="0"/>
    <x v="0"/>
    <n v="20"/>
    <x v="18"/>
    <n v="1.32"/>
    <n v="17.07"/>
    <s v="28127603"/>
  </r>
  <r>
    <x v="10"/>
    <s v="2021-01-22"/>
    <x v="0"/>
    <x v="0"/>
    <n v="19"/>
    <x v="23"/>
    <n v="1.31"/>
    <n v="16.940000000000001"/>
    <s v="03215790"/>
  </r>
  <r>
    <x v="10"/>
    <s v="2021-01-22"/>
    <x v="0"/>
    <x v="0"/>
    <n v="18"/>
    <x v="21"/>
    <n v="1.3"/>
    <n v="16.79"/>
    <s v="03017677"/>
  </r>
  <r>
    <x v="10"/>
    <s v="2021-01-22"/>
    <x v="0"/>
    <x v="0"/>
    <n v="17"/>
    <x v="36"/>
    <n v="1.29"/>
    <n v="16.57"/>
    <s v="33136888"/>
  </r>
  <r>
    <x v="10"/>
    <s v="2021-01-22"/>
    <x v="0"/>
    <x v="0"/>
    <n v="16"/>
    <x v="43"/>
    <n v="1.26"/>
    <n v="16.190000000000001"/>
    <s v="07441209"/>
  </r>
  <r>
    <x v="10"/>
    <s v="2021-01-22"/>
    <x v="0"/>
    <x v="0"/>
    <n v="15"/>
    <x v="25"/>
    <n v="1.24"/>
    <n v="16"/>
    <s v="59274605"/>
  </r>
  <r>
    <x v="10"/>
    <s v="2021-01-22"/>
    <x v="0"/>
    <x v="0"/>
    <n v="14"/>
    <x v="28"/>
    <n v="1.24"/>
    <n v="15.96"/>
    <s v="90400888"/>
  </r>
  <r>
    <x v="10"/>
    <s v="2021-01-22"/>
    <x v="0"/>
    <x v="0"/>
    <n v="13"/>
    <x v="32"/>
    <n v="1.23"/>
    <n v="15.76"/>
    <s v="60701190"/>
  </r>
  <r>
    <x v="10"/>
    <s v="2021-01-22"/>
    <x v="0"/>
    <x v="0"/>
    <n v="12"/>
    <x v="27"/>
    <n v="1.22"/>
    <n v="15.7"/>
    <s v="00000000"/>
  </r>
  <r>
    <x v="10"/>
    <s v="2021-01-22"/>
    <x v="0"/>
    <x v="0"/>
    <n v="11"/>
    <x v="26"/>
    <n v="1.22"/>
    <n v="15.66"/>
    <s v="30172491"/>
  </r>
  <r>
    <x v="10"/>
    <s v="2021-01-22"/>
    <x v="0"/>
    <x v="0"/>
    <n v="10"/>
    <x v="30"/>
    <n v="1.2"/>
    <n v="15.4"/>
    <s v="03502961"/>
  </r>
  <r>
    <x v="10"/>
    <s v="2021-01-22"/>
    <x v="0"/>
    <x v="0"/>
    <n v="9"/>
    <x v="29"/>
    <n v="1.18"/>
    <n v="15.13"/>
    <s v="60746948"/>
  </r>
  <r>
    <x v="10"/>
    <s v="2021-01-22"/>
    <x v="0"/>
    <x v="0"/>
    <n v="8"/>
    <x v="31"/>
    <n v="1.17"/>
    <n v="15.04"/>
    <s v="17167412"/>
  </r>
  <r>
    <x v="10"/>
    <s v="2021-01-22"/>
    <x v="0"/>
    <x v="0"/>
    <n v="7"/>
    <x v="33"/>
    <n v="1.1299999999999999"/>
    <n v="14.46"/>
    <s v="62307848"/>
  </r>
  <r>
    <x v="10"/>
    <s v="2021-01-22"/>
    <x v="0"/>
    <x v="0"/>
    <n v="6"/>
    <x v="34"/>
    <n v="1.1100000000000001"/>
    <n v="14.15"/>
    <s v="33603457"/>
  </r>
  <r>
    <x v="10"/>
    <s v="2021-01-22"/>
    <x v="0"/>
    <x v="0"/>
    <n v="5"/>
    <x v="37"/>
    <n v="1.03"/>
    <n v="13.07"/>
    <s v="04452473"/>
  </r>
  <r>
    <x v="10"/>
    <s v="2021-01-22"/>
    <x v="0"/>
    <x v="0"/>
    <n v="4"/>
    <x v="22"/>
    <n v="1.02"/>
    <n v="12.97"/>
    <s v="11417016"/>
  </r>
  <r>
    <x v="10"/>
    <s v="2021-01-22"/>
    <x v="0"/>
    <x v="0"/>
    <n v="3"/>
    <x v="35"/>
    <n v="0.99"/>
    <n v="12.48"/>
    <s v="59109165"/>
  </r>
  <r>
    <x v="10"/>
    <s v="2021-01-22"/>
    <x v="0"/>
    <x v="0"/>
    <n v="2"/>
    <x v="40"/>
    <n v="0.88"/>
    <n v="11.08"/>
    <s v="02992446"/>
  </r>
  <r>
    <x v="10"/>
    <s v="2021-01-22"/>
    <x v="0"/>
    <x v="0"/>
    <n v="1"/>
    <x v="38"/>
    <n v="0.87"/>
    <n v="11.01"/>
    <s v="60814191"/>
  </r>
  <r>
    <x v="11"/>
    <s v="2021-01-25"/>
    <x v="0"/>
    <x v="0"/>
    <n v="43"/>
    <x v="0"/>
    <n v="3.39"/>
    <n v="49.16"/>
    <s v="60850229"/>
  </r>
  <r>
    <x v="11"/>
    <s v="2021-01-25"/>
    <x v="0"/>
    <x v="0"/>
    <n v="42"/>
    <x v="1"/>
    <n v="3.29"/>
    <n v="47.53"/>
    <s v="01800019"/>
  </r>
  <r>
    <x v="11"/>
    <s v="2021-01-25"/>
    <x v="0"/>
    <x v="0"/>
    <n v="41"/>
    <x v="2"/>
    <n v="3.28"/>
    <n v="47.25"/>
    <s v="92228410"/>
  </r>
  <r>
    <x v="11"/>
    <s v="2021-01-25"/>
    <x v="0"/>
    <x v="0"/>
    <n v="40"/>
    <x v="3"/>
    <n v="3.16"/>
    <n v="45.25"/>
    <s v="05503849"/>
  </r>
  <r>
    <x v="11"/>
    <s v="2021-01-25"/>
    <x v="0"/>
    <x v="0"/>
    <n v="39"/>
    <x v="4"/>
    <n v="2.79"/>
    <n v="39.08"/>
    <s v="62232889"/>
  </r>
  <r>
    <x v="11"/>
    <s v="2021-01-25"/>
    <x v="0"/>
    <x v="0"/>
    <n v="38"/>
    <x v="5"/>
    <n v="2.5299999999999998"/>
    <n v="35.01"/>
    <s v="80271455"/>
  </r>
  <r>
    <x v="11"/>
    <s v="2021-01-25"/>
    <x v="0"/>
    <x v="0"/>
    <n v="37"/>
    <x v="6"/>
    <n v="2.41"/>
    <n v="33.119999999999997"/>
    <s v="05676026"/>
  </r>
  <r>
    <x v="11"/>
    <s v="2021-01-25"/>
    <x v="0"/>
    <x v="0"/>
    <n v="36"/>
    <x v="7"/>
    <n v="2.2999999999999998"/>
    <n v="31.32"/>
    <s v="92874270"/>
  </r>
  <r>
    <x v="11"/>
    <s v="2021-01-25"/>
    <x v="0"/>
    <x v="0"/>
    <n v="35"/>
    <x v="8"/>
    <n v="2.2000000000000002"/>
    <n v="29.81"/>
    <s v="59285411"/>
  </r>
  <r>
    <x v="11"/>
    <s v="2021-01-25"/>
    <x v="0"/>
    <x v="0"/>
    <n v="34"/>
    <x v="9"/>
    <n v="2.04"/>
    <n v="27.44"/>
    <s v="00411939"/>
  </r>
  <r>
    <x v="11"/>
    <s v="2021-01-25"/>
    <x v="0"/>
    <x v="0"/>
    <n v="33"/>
    <x v="10"/>
    <n v="1.86"/>
    <n v="24.76"/>
    <s v="10371492"/>
  </r>
  <r>
    <x v="11"/>
    <s v="2021-01-25"/>
    <x v="0"/>
    <x v="0"/>
    <n v="32"/>
    <x v="12"/>
    <n v="1.74"/>
    <n v="23.07"/>
    <s v="04862600"/>
  </r>
  <r>
    <x v="11"/>
    <s v="2021-01-25"/>
    <x v="0"/>
    <x v="0"/>
    <n v="31"/>
    <x v="42"/>
    <n v="1.7"/>
    <n v="22.36"/>
    <s v="34991938"/>
  </r>
  <r>
    <x v="11"/>
    <s v="2021-01-25"/>
    <x v="0"/>
    <x v="0"/>
    <n v="30"/>
    <x v="13"/>
    <n v="1.67"/>
    <n v="22.04"/>
    <s v="07707650"/>
  </r>
  <r>
    <x v="11"/>
    <s v="2021-01-25"/>
    <x v="0"/>
    <x v="0"/>
    <n v="29"/>
    <x v="14"/>
    <n v="1.65"/>
    <n v="21.75"/>
    <s v="00360305"/>
  </r>
  <r>
    <x v="11"/>
    <s v="2021-01-25"/>
    <x v="0"/>
    <x v="0"/>
    <n v="28"/>
    <x v="15"/>
    <n v="1.6"/>
    <n v="21.03"/>
    <s v="59588111"/>
  </r>
  <r>
    <x v="11"/>
    <s v="2021-01-25"/>
    <x v="0"/>
    <x v="0"/>
    <n v="27"/>
    <x v="41"/>
    <n v="1.58"/>
    <n v="20.67"/>
    <s v="20443996"/>
  </r>
  <r>
    <x v="11"/>
    <s v="2021-01-25"/>
    <x v="0"/>
    <x v="0"/>
    <n v="26"/>
    <x v="16"/>
    <n v="1.5"/>
    <n v="19.62"/>
    <s v="07207996"/>
  </r>
  <r>
    <x v="11"/>
    <s v="2021-01-25"/>
    <x v="0"/>
    <x v="0"/>
    <n v="25"/>
    <x v="11"/>
    <n v="1.43"/>
    <n v="18.579999999999998"/>
    <s v="03634220"/>
  </r>
  <r>
    <x v="11"/>
    <s v="2021-01-25"/>
    <x v="0"/>
    <x v="0"/>
    <n v="24"/>
    <x v="19"/>
    <n v="1.4"/>
    <n v="18.11"/>
    <s v="92702067"/>
  </r>
  <r>
    <x v="11"/>
    <s v="2021-01-25"/>
    <x v="0"/>
    <x v="0"/>
    <n v="23"/>
    <x v="20"/>
    <n v="1.37"/>
    <n v="17.79"/>
    <s v="17192451"/>
  </r>
  <r>
    <x v="11"/>
    <s v="2021-01-25"/>
    <x v="0"/>
    <x v="0"/>
    <n v="22"/>
    <x v="24"/>
    <n v="1.33"/>
    <n v="17.12"/>
    <s v="22639377"/>
  </r>
  <r>
    <x v="11"/>
    <s v="2021-01-25"/>
    <x v="0"/>
    <x v="0"/>
    <n v="21"/>
    <x v="23"/>
    <n v="1.32"/>
    <n v="17.09"/>
    <s v="03215790"/>
  </r>
  <r>
    <x v="11"/>
    <s v="2021-01-25"/>
    <x v="0"/>
    <x v="0"/>
    <n v="20"/>
    <x v="18"/>
    <n v="1.31"/>
    <n v="16.920000000000002"/>
    <s v="28127603"/>
  </r>
  <r>
    <x v="11"/>
    <s v="2021-01-25"/>
    <x v="0"/>
    <x v="0"/>
    <n v="19"/>
    <x v="21"/>
    <n v="1.3"/>
    <n v="16.78"/>
    <s v="03017677"/>
  </r>
  <r>
    <x v="11"/>
    <s v="2021-01-25"/>
    <x v="0"/>
    <x v="0"/>
    <n v="18"/>
    <x v="36"/>
    <n v="1.27"/>
    <n v="16.39"/>
    <s v="33136888"/>
  </r>
  <r>
    <x v="11"/>
    <s v="2021-01-25"/>
    <x v="0"/>
    <x v="0"/>
    <n v="17"/>
    <x v="43"/>
    <n v="1.26"/>
    <n v="16.190000000000001"/>
    <s v="07441209"/>
  </r>
  <r>
    <x v="11"/>
    <s v="2021-01-25"/>
    <x v="0"/>
    <x v="0"/>
    <n v="16"/>
    <x v="25"/>
    <n v="1.25"/>
    <n v="16.07"/>
    <s v="59274605"/>
  </r>
  <r>
    <x v="11"/>
    <s v="2021-01-25"/>
    <x v="0"/>
    <x v="0"/>
    <n v="15"/>
    <x v="28"/>
    <n v="1.24"/>
    <n v="15.9"/>
    <s v="90400888"/>
  </r>
  <r>
    <x v="11"/>
    <s v="2021-01-25"/>
    <x v="0"/>
    <x v="0"/>
    <n v="14"/>
    <x v="30"/>
    <n v="1.22"/>
    <n v="15.72"/>
    <s v="03502961"/>
  </r>
  <r>
    <x v="11"/>
    <s v="2021-01-25"/>
    <x v="0"/>
    <x v="0"/>
    <n v="13"/>
    <x v="26"/>
    <n v="1.22"/>
    <n v="15.71"/>
    <s v="30172491"/>
  </r>
  <r>
    <x v="11"/>
    <s v="2021-01-25"/>
    <x v="0"/>
    <x v="0"/>
    <n v="12"/>
    <x v="32"/>
    <n v="1.22"/>
    <n v="15.69"/>
    <s v="60701190"/>
  </r>
  <r>
    <x v="11"/>
    <s v="2021-01-25"/>
    <x v="0"/>
    <x v="0"/>
    <n v="11"/>
    <x v="27"/>
    <n v="1.22"/>
    <n v="15.59"/>
    <s v="00000000"/>
  </r>
  <r>
    <x v="11"/>
    <s v="2021-01-25"/>
    <x v="0"/>
    <x v="0"/>
    <n v="10"/>
    <x v="29"/>
    <n v="1.19"/>
    <n v="15.2"/>
    <s v="60746948"/>
  </r>
  <r>
    <x v="11"/>
    <s v="2021-01-25"/>
    <x v="0"/>
    <x v="0"/>
    <n v="9"/>
    <x v="31"/>
    <n v="1.17"/>
    <n v="14.95"/>
    <s v="17167412"/>
  </r>
  <r>
    <x v="11"/>
    <s v="2021-01-25"/>
    <x v="0"/>
    <x v="0"/>
    <n v="8"/>
    <x v="33"/>
    <n v="1.1299999999999999"/>
    <n v="14.45"/>
    <s v="62307848"/>
  </r>
  <r>
    <x v="11"/>
    <s v="2021-01-25"/>
    <x v="0"/>
    <x v="0"/>
    <n v="7"/>
    <x v="34"/>
    <n v="1.1100000000000001"/>
    <n v="14.14"/>
    <s v="33603457"/>
  </r>
  <r>
    <x v="11"/>
    <s v="2021-01-25"/>
    <x v="0"/>
    <x v="0"/>
    <n v="6"/>
    <x v="37"/>
    <n v="1.03"/>
    <n v="13.04"/>
    <s v="04452473"/>
  </r>
  <r>
    <x v="11"/>
    <s v="2021-01-25"/>
    <x v="0"/>
    <x v="0"/>
    <n v="5"/>
    <x v="22"/>
    <n v="1.02"/>
    <n v="12.97"/>
    <s v="11417016"/>
  </r>
  <r>
    <x v="11"/>
    <s v="2021-01-25"/>
    <x v="0"/>
    <x v="0"/>
    <n v="4"/>
    <x v="35"/>
    <n v="1"/>
    <n v="12.69"/>
    <s v="59109165"/>
  </r>
  <r>
    <x v="11"/>
    <s v="2021-01-25"/>
    <x v="0"/>
    <x v="0"/>
    <n v="3"/>
    <x v="38"/>
    <n v="0.89"/>
    <n v="11.17"/>
    <s v="60814191"/>
  </r>
  <r>
    <x v="11"/>
    <s v="2021-01-25"/>
    <x v="0"/>
    <x v="0"/>
    <n v="2"/>
    <x v="40"/>
    <n v="0.88"/>
    <n v="11.08"/>
    <s v="02992446"/>
  </r>
  <r>
    <x v="11"/>
    <s v="2021-01-25"/>
    <x v="0"/>
    <x v="0"/>
    <n v="1"/>
    <x v="39"/>
    <n v="0.82"/>
    <n v="10.25"/>
    <s v="04902979"/>
  </r>
  <r>
    <x v="12"/>
    <s v="2021-01-26"/>
    <x v="0"/>
    <x v="0"/>
    <n v="42"/>
    <x v="0"/>
    <n v="3.35"/>
    <n v="48.45"/>
    <s v="60850229"/>
  </r>
  <r>
    <x v="12"/>
    <s v="2021-01-26"/>
    <x v="0"/>
    <x v="0"/>
    <n v="41"/>
    <x v="1"/>
    <n v="3.28"/>
    <n v="47.34"/>
    <s v="01800019"/>
  </r>
  <r>
    <x v="12"/>
    <s v="2021-01-26"/>
    <x v="0"/>
    <x v="0"/>
    <n v="40"/>
    <x v="2"/>
    <n v="3.27"/>
    <n v="47.07"/>
    <s v="92228410"/>
  </r>
  <r>
    <x v="12"/>
    <s v="2021-01-26"/>
    <x v="0"/>
    <x v="0"/>
    <n v="39"/>
    <x v="3"/>
    <n v="3.18"/>
    <n v="45.58"/>
    <s v="05503849"/>
  </r>
  <r>
    <x v="12"/>
    <s v="2021-01-26"/>
    <x v="0"/>
    <x v="0"/>
    <n v="38"/>
    <x v="4"/>
    <n v="2.77"/>
    <n v="38.799999999999997"/>
    <s v="62232889"/>
  </r>
  <r>
    <x v="12"/>
    <s v="2021-01-26"/>
    <x v="0"/>
    <x v="0"/>
    <n v="37"/>
    <x v="5"/>
    <n v="2.5299999999999998"/>
    <n v="34.93"/>
    <s v="80271455"/>
  </r>
  <r>
    <x v="12"/>
    <s v="2021-01-26"/>
    <x v="0"/>
    <x v="0"/>
    <n v="36"/>
    <x v="6"/>
    <n v="2.41"/>
    <n v="33.119999999999997"/>
    <s v="05676026"/>
  </r>
  <r>
    <x v="12"/>
    <s v="2021-01-26"/>
    <x v="0"/>
    <x v="0"/>
    <n v="35"/>
    <x v="7"/>
    <n v="2.2999999999999998"/>
    <n v="31.31"/>
    <s v="92874270"/>
  </r>
  <r>
    <x v="12"/>
    <s v="2021-01-26"/>
    <x v="0"/>
    <x v="0"/>
    <n v="34"/>
    <x v="8"/>
    <n v="2.21"/>
    <n v="29.92"/>
    <s v="59285411"/>
  </r>
  <r>
    <x v="12"/>
    <s v="2021-01-26"/>
    <x v="0"/>
    <x v="0"/>
    <n v="33"/>
    <x v="9"/>
    <n v="1.98"/>
    <n v="26.57"/>
    <s v="00411939"/>
  </r>
  <r>
    <x v="12"/>
    <s v="2021-01-26"/>
    <x v="0"/>
    <x v="0"/>
    <n v="32"/>
    <x v="10"/>
    <n v="1.88"/>
    <n v="25"/>
    <s v="10371492"/>
  </r>
  <r>
    <x v="12"/>
    <s v="2021-01-26"/>
    <x v="0"/>
    <x v="0"/>
    <n v="31"/>
    <x v="12"/>
    <n v="1.75"/>
    <n v="23.09"/>
    <s v="04862600"/>
  </r>
  <r>
    <x v="12"/>
    <s v="2021-01-26"/>
    <x v="0"/>
    <x v="0"/>
    <n v="30"/>
    <x v="42"/>
    <n v="1.7"/>
    <n v="22.36"/>
    <s v="34991938"/>
  </r>
  <r>
    <x v="12"/>
    <s v="2021-01-26"/>
    <x v="0"/>
    <x v="0"/>
    <n v="29"/>
    <x v="14"/>
    <n v="1.69"/>
    <n v="22.25"/>
    <s v="00360305"/>
  </r>
  <r>
    <x v="12"/>
    <s v="2021-01-26"/>
    <x v="0"/>
    <x v="0"/>
    <n v="28"/>
    <x v="13"/>
    <n v="1.69"/>
    <n v="22.21"/>
    <s v="07707650"/>
  </r>
  <r>
    <x v="12"/>
    <s v="2021-01-26"/>
    <x v="0"/>
    <x v="0"/>
    <n v="27"/>
    <x v="15"/>
    <n v="1.61"/>
    <n v="21.1"/>
    <s v="59588111"/>
  </r>
  <r>
    <x v="12"/>
    <s v="2021-01-26"/>
    <x v="0"/>
    <x v="0"/>
    <n v="26"/>
    <x v="18"/>
    <n v="1.52"/>
    <n v="19.86"/>
    <s v="28127603"/>
  </r>
  <r>
    <x v="12"/>
    <s v="2021-01-26"/>
    <x v="0"/>
    <x v="0"/>
    <n v="25"/>
    <x v="16"/>
    <n v="1.51"/>
    <n v="19.670000000000002"/>
    <s v="07207996"/>
  </r>
  <r>
    <x v="12"/>
    <s v="2021-01-26"/>
    <x v="0"/>
    <x v="0"/>
    <n v="24"/>
    <x v="19"/>
    <n v="1.49"/>
    <n v="19.47"/>
    <s v="92702067"/>
  </r>
  <r>
    <x v="12"/>
    <s v="2021-01-26"/>
    <x v="0"/>
    <x v="0"/>
    <n v="23"/>
    <x v="11"/>
    <n v="1.45"/>
    <n v="18.87"/>
    <s v="03634220"/>
  </r>
  <r>
    <x v="12"/>
    <s v="2021-01-26"/>
    <x v="0"/>
    <x v="0"/>
    <n v="22"/>
    <x v="20"/>
    <n v="1.37"/>
    <n v="17.760000000000002"/>
    <s v="17192451"/>
  </r>
  <r>
    <x v="12"/>
    <s v="2021-01-26"/>
    <x v="0"/>
    <x v="0"/>
    <n v="21"/>
    <x v="24"/>
    <n v="1.31"/>
    <n v="16.88"/>
    <s v="22639377"/>
  </r>
  <r>
    <x v="12"/>
    <s v="2021-01-26"/>
    <x v="0"/>
    <x v="0"/>
    <n v="20"/>
    <x v="21"/>
    <n v="1.3"/>
    <n v="16.739999999999998"/>
    <s v="03017677"/>
  </r>
  <r>
    <x v="12"/>
    <s v="2021-01-26"/>
    <x v="0"/>
    <x v="0"/>
    <n v="19"/>
    <x v="23"/>
    <n v="1.3"/>
    <n v="16.72"/>
    <s v="03215790"/>
  </r>
  <r>
    <x v="12"/>
    <s v="2021-01-26"/>
    <x v="0"/>
    <x v="0"/>
    <n v="18"/>
    <x v="43"/>
    <n v="1.26"/>
    <n v="16.190000000000001"/>
    <s v="07441209"/>
  </r>
  <r>
    <x v="12"/>
    <s v="2021-01-26"/>
    <x v="0"/>
    <x v="0"/>
    <n v="17"/>
    <x v="25"/>
    <n v="1.25"/>
    <n v="16.07"/>
    <s v="59274605"/>
  </r>
  <r>
    <x v="12"/>
    <s v="2021-01-26"/>
    <x v="0"/>
    <x v="0"/>
    <n v="16"/>
    <x v="36"/>
    <n v="1.25"/>
    <n v="16.04"/>
    <s v="33136888"/>
  </r>
  <r>
    <x v="12"/>
    <s v="2021-01-26"/>
    <x v="0"/>
    <x v="0"/>
    <n v="15"/>
    <x v="28"/>
    <n v="1.23"/>
    <n v="15.84"/>
    <s v="90400888"/>
  </r>
  <r>
    <x v="12"/>
    <s v="2021-01-26"/>
    <x v="0"/>
    <x v="0"/>
    <n v="14"/>
    <x v="32"/>
    <n v="1.22"/>
    <n v="15.72"/>
    <s v="60701190"/>
  </r>
  <r>
    <x v="12"/>
    <s v="2021-01-26"/>
    <x v="0"/>
    <x v="0"/>
    <n v="13"/>
    <x v="26"/>
    <n v="1.22"/>
    <n v="15.6"/>
    <s v="30172491"/>
  </r>
  <r>
    <x v="12"/>
    <s v="2021-01-26"/>
    <x v="0"/>
    <x v="0"/>
    <n v="12"/>
    <x v="27"/>
    <n v="1.21"/>
    <n v="15.5"/>
    <s v="00000000"/>
  </r>
  <r>
    <x v="12"/>
    <s v="2021-01-26"/>
    <x v="0"/>
    <x v="0"/>
    <n v="11"/>
    <x v="29"/>
    <n v="1.19"/>
    <n v="15.28"/>
    <s v="60746948"/>
  </r>
  <r>
    <x v="12"/>
    <s v="2021-01-26"/>
    <x v="0"/>
    <x v="0"/>
    <n v="10"/>
    <x v="30"/>
    <n v="1.17"/>
    <n v="14.96"/>
    <s v="03502961"/>
  </r>
  <r>
    <x v="12"/>
    <s v="2021-01-26"/>
    <x v="0"/>
    <x v="0"/>
    <n v="9"/>
    <x v="33"/>
    <n v="1.1399999999999999"/>
    <n v="14.62"/>
    <s v="62307848"/>
  </r>
  <r>
    <x v="12"/>
    <s v="2021-01-26"/>
    <x v="0"/>
    <x v="0"/>
    <n v="8"/>
    <x v="31"/>
    <n v="1.1299999999999999"/>
    <n v="14.38"/>
    <s v="17167412"/>
  </r>
  <r>
    <x v="12"/>
    <s v="2021-01-26"/>
    <x v="0"/>
    <x v="0"/>
    <n v="7"/>
    <x v="34"/>
    <n v="1.1100000000000001"/>
    <n v="14.19"/>
    <s v="33603457"/>
  </r>
  <r>
    <x v="12"/>
    <s v="2021-01-26"/>
    <x v="0"/>
    <x v="0"/>
    <n v="6"/>
    <x v="37"/>
    <n v="1.02"/>
    <n v="13.01"/>
    <s v="04452473"/>
  </r>
  <r>
    <x v="12"/>
    <s v="2021-01-26"/>
    <x v="0"/>
    <x v="0"/>
    <n v="5"/>
    <x v="22"/>
    <n v="1.02"/>
    <n v="12.97"/>
    <s v="11417016"/>
  </r>
  <r>
    <x v="12"/>
    <s v="2021-01-26"/>
    <x v="0"/>
    <x v="0"/>
    <n v="4"/>
    <x v="35"/>
    <n v="1.01"/>
    <n v="12.84"/>
    <s v="59109165"/>
  </r>
  <r>
    <x v="12"/>
    <s v="2021-01-26"/>
    <x v="0"/>
    <x v="0"/>
    <n v="3"/>
    <x v="40"/>
    <n v="0.91"/>
    <n v="11.42"/>
    <s v="02992446"/>
  </r>
  <r>
    <x v="12"/>
    <s v="2021-01-26"/>
    <x v="0"/>
    <x v="0"/>
    <n v="2"/>
    <x v="38"/>
    <n v="0.86"/>
    <n v="10.86"/>
    <s v="60814191"/>
  </r>
  <r>
    <x v="12"/>
    <s v="2021-01-26"/>
    <x v="0"/>
    <x v="0"/>
    <n v="1"/>
    <x v="39"/>
    <n v="0.82"/>
    <n v="10.25"/>
    <s v="04902979"/>
  </r>
  <r>
    <x v="13"/>
    <s v="2021-01-27"/>
    <x v="0"/>
    <x v="0"/>
    <n v="41"/>
    <x v="0"/>
    <n v="3.46"/>
    <n v="50.48"/>
    <s v="60850229"/>
  </r>
  <r>
    <x v="13"/>
    <s v="2021-01-27"/>
    <x v="0"/>
    <x v="0"/>
    <n v="40"/>
    <x v="1"/>
    <n v="3.31"/>
    <n v="47.84"/>
    <s v="01800019"/>
  </r>
  <r>
    <x v="13"/>
    <s v="2021-01-27"/>
    <x v="0"/>
    <x v="0"/>
    <n v="39"/>
    <x v="3"/>
    <n v="3.26"/>
    <n v="46.93"/>
    <s v="05503849"/>
  </r>
  <r>
    <x v="13"/>
    <s v="2021-01-27"/>
    <x v="0"/>
    <x v="0"/>
    <n v="38"/>
    <x v="2"/>
    <n v="3.25"/>
    <n v="46.81"/>
    <s v="92228410"/>
  </r>
  <r>
    <x v="13"/>
    <s v="2021-01-27"/>
    <x v="0"/>
    <x v="0"/>
    <n v="37"/>
    <x v="4"/>
    <n v="2.78"/>
    <n v="38.94"/>
    <s v="62232889"/>
  </r>
  <r>
    <x v="13"/>
    <s v="2021-01-27"/>
    <x v="0"/>
    <x v="0"/>
    <n v="36"/>
    <x v="5"/>
    <n v="2.5299999999999998"/>
    <n v="34.950000000000003"/>
    <s v="80271455"/>
  </r>
  <r>
    <x v="13"/>
    <s v="2021-01-27"/>
    <x v="0"/>
    <x v="0"/>
    <n v="35"/>
    <x v="6"/>
    <n v="2.41"/>
    <n v="33.15"/>
    <s v="05676026"/>
  </r>
  <r>
    <x v="13"/>
    <s v="2021-01-27"/>
    <x v="0"/>
    <x v="0"/>
    <n v="34"/>
    <x v="7"/>
    <n v="2.2999999999999998"/>
    <n v="31.3"/>
    <s v="92874270"/>
  </r>
  <r>
    <x v="13"/>
    <s v="2021-01-27"/>
    <x v="0"/>
    <x v="0"/>
    <n v="33"/>
    <x v="8"/>
    <n v="2.2000000000000002"/>
    <n v="29.84"/>
    <s v="59285411"/>
  </r>
  <r>
    <x v="13"/>
    <s v="2021-01-27"/>
    <x v="0"/>
    <x v="0"/>
    <n v="32"/>
    <x v="9"/>
    <n v="1.98"/>
    <n v="26.54"/>
    <s v="00411939"/>
  </r>
  <r>
    <x v="13"/>
    <s v="2021-01-27"/>
    <x v="0"/>
    <x v="0"/>
    <n v="31"/>
    <x v="10"/>
    <n v="1.88"/>
    <n v="25.11"/>
    <s v="10371492"/>
  </r>
  <r>
    <x v="13"/>
    <s v="2021-01-27"/>
    <x v="0"/>
    <x v="0"/>
    <n v="30"/>
    <x v="12"/>
    <n v="1.74"/>
    <n v="22.97"/>
    <s v="04862600"/>
  </r>
  <r>
    <x v="13"/>
    <s v="2021-01-27"/>
    <x v="0"/>
    <x v="0"/>
    <n v="29"/>
    <x v="14"/>
    <n v="1.71"/>
    <n v="22.62"/>
    <s v="00360305"/>
  </r>
  <r>
    <x v="13"/>
    <s v="2021-01-27"/>
    <x v="0"/>
    <x v="0"/>
    <n v="28"/>
    <x v="13"/>
    <n v="1.7"/>
    <n v="22.35"/>
    <s v="07707650"/>
  </r>
  <r>
    <x v="13"/>
    <s v="2021-01-27"/>
    <x v="0"/>
    <x v="0"/>
    <n v="27"/>
    <x v="42"/>
    <n v="1.69"/>
    <n v="22.33"/>
    <s v="34991938"/>
  </r>
  <r>
    <x v="13"/>
    <s v="2021-01-27"/>
    <x v="0"/>
    <x v="0"/>
    <n v="26"/>
    <x v="15"/>
    <n v="1.61"/>
    <n v="21.19"/>
    <s v="59588111"/>
  </r>
  <r>
    <x v="13"/>
    <s v="2021-01-27"/>
    <x v="0"/>
    <x v="0"/>
    <n v="25"/>
    <x v="18"/>
    <n v="1.54"/>
    <n v="20.07"/>
    <s v="28127603"/>
  </r>
  <r>
    <x v="13"/>
    <s v="2021-01-27"/>
    <x v="0"/>
    <x v="0"/>
    <n v="24"/>
    <x v="19"/>
    <n v="1.51"/>
    <n v="19.64"/>
    <s v="92702067"/>
  </r>
  <r>
    <x v="13"/>
    <s v="2021-01-27"/>
    <x v="0"/>
    <x v="0"/>
    <n v="23"/>
    <x v="16"/>
    <n v="1.51"/>
    <n v="19.64"/>
    <s v="07207996"/>
  </r>
  <r>
    <x v="13"/>
    <s v="2021-01-27"/>
    <x v="0"/>
    <x v="0"/>
    <n v="22"/>
    <x v="11"/>
    <n v="1.45"/>
    <n v="18.91"/>
    <s v="03634220"/>
  </r>
  <r>
    <x v="13"/>
    <s v="2021-01-27"/>
    <x v="0"/>
    <x v="0"/>
    <n v="21"/>
    <x v="20"/>
    <n v="1.37"/>
    <n v="17.739999999999998"/>
    <s v="17192451"/>
  </r>
  <r>
    <x v="13"/>
    <s v="2021-01-27"/>
    <x v="0"/>
    <x v="0"/>
    <n v="20"/>
    <x v="24"/>
    <n v="1.33"/>
    <n v="17.16"/>
    <s v="22639377"/>
  </r>
  <r>
    <x v="13"/>
    <s v="2021-01-27"/>
    <x v="0"/>
    <x v="0"/>
    <n v="19"/>
    <x v="21"/>
    <n v="1.3"/>
    <n v="16.77"/>
    <s v="03017677"/>
  </r>
  <r>
    <x v="13"/>
    <s v="2021-01-27"/>
    <x v="0"/>
    <x v="0"/>
    <n v="18"/>
    <x v="23"/>
    <n v="1.3"/>
    <n v="16.7"/>
    <s v="03215790"/>
  </r>
  <r>
    <x v="13"/>
    <s v="2021-01-27"/>
    <x v="0"/>
    <x v="0"/>
    <n v="17"/>
    <x v="43"/>
    <n v="1.26"/>
    <n v="16.170000000000002"/>
    <s v="07441209"/>
  </r>
  <r>
    <x v="13"/>
    <s v="2021-01-27"/>
    <x v="0"/>
    <x v="0"/>
    <n v="16"/>
    <x v="25"/>
    <n v="1.25"/>
    <n v="16.079999999999998"/>
    <s v="59274605"/>
  </r>
  <r>
    <x v="13"/>
    <s v="2021-01-27"/>
    <x v="0"/>
    <x v="0"/>
    <n v="15"/>
    <x v="28"/>
    <n v="1.25"/>
    <n v="16.04"/>
    <s v="90400888"/>
  </r>
  <r>
    <x v="13"/>
    <s v="2021-01-27"/>
    <x v="0"/>
    <x v="0"/>
    <n v="14"/>
    <x v="36"/>
    <n v="1.25"/>
    <n v="16.04"/>
    <s v="33136888"/>
  </r>
  <r>
    <x v="13"/>
    <s v="2021-01-27"/>
    <x v="0"/>
    <x v="0"/>
    <n v="13"/>
    <x v="26"/>
    <n v="1.24"/>
    <n v="15.88"/>
    <s v="30172491"/>
  </r>
  <r>
    <x v="13"/>
    <s v="2021-01-27"/>
    <x v="0"/>
    <x v="0"/>
    <n v="12"/>
    <x v="32"/>
    <n v="1.23"/>
    <n v="15.8"/>
    <s v="60701190"/>
  </r>
  <r>
    <x v="13"/>
    <s v="2021-01-27"/>
    <x v="0"/>
    <x v="0"/>
    <n v="11"/>
    <x v="29"/>
    <n v="1.19"/>
    <n v="15.22"/>
    <s v="60746948"/>
  </r>
  <r>
    <x v="13"/>
    <s v="2021-01-27"/>
    <x v="0"/>
    <x v="0"/>
    <n v="10"/>
    <x v="27"/>
    <n v="1.18"/>
    <n v="15.06"/>
    <s v="00000000"/>
  </r>
  <r>
    <x v="13"/>
    <s v="2021-01-27"/>
    <x v="0"/>
    <x v="0"/>
    <n v="9"/>
    <x v="30"/>
    <n v="1.1499999999999999"/>
    <n v="14.76"/>
    <s v="03502961"/>
  </r>
  <r>
    <x v="13"/>
    <s v="2021-01-27"/>
    <x v="0"/>
    <x v="0"/>
    <n v="8"/>
    <x v="33"/>
    <n v="1.1499999999999999"/>
    <n v="14.69"/>
    <s v="62307848"/>
  </r>
  <r>
    <x v="13"/>
    <s v="2021-01-27"/>
    <x v="0"/>
    <x v="0"/>
    <n v="7"/>
    <x v="31"/>
    <n v="1.1299999999999999"/>
    <n v="14.46"/>
    <s v="17167412"/>
  </r>
  <r>
    <x v="13"/>
    <s v="2021-01-27"/>
    <x v="0"/>
    <x v="0"/>
    <n v="6"/>
    <x v="34"/>
    <n v="1.1100000000000001"/>
    <n v="14.22"/>
    <s v="33603457"/>
  </r>
  <r>
    <x v="13"/>
    <s v="2021-01-27"/>
    <x v="0"/>
    <x v="0"/>
    <n v="5"/>
    <x v="37"/>
    <n v="1.03"/>
    <n v="13.02"/>
    <s v="04452473"/>
  </r>
  <r>
    <x v="13"/>
    <s v="2021-01-27"/>
    <x v="0"/>
    <x v="0"/>
    <n v="4"/>
    <x v="35"/>
    <n v="1.01"/>
    <n v="12.77"/>
    <s v="59109165"/>
  </r>
  <r>
    <x v="13"/>
    <s v="2021-01-27"/>
    <x v="0"/>
    <x v="0"/>
    <n v="3"/>
    <x v="40"/>
    <n v="0.91"/>
    <n v="11.42"/>
    <s v="02992446"/>
  </r>
  <r>
    <x v="13"/>
    <s v="2021-01-27"/>
    <x v="0"/>
    <x v="0"/>
    <n v="2"/>
    <x v="38"/>
    <n v="0.82"/>
    <n v="10.32"/>
    <s v="60814191"/>
  </r>
  <r>
    <x v="13"/>
    <s v="2021-01-27"/>
    <x v="0"/>
    <x v="0"/>
    <n v="1"/>
    <x v="39"/>
    <n v="0.82"/>
    <n v="10.25"/>
    <s v="04902979"/>
  </r>
  <r>
    <x v="14"/>
    <s v="2021-01-28"/>
    <x v="0"/>
    <x v="0"/>
    <n v="42"/>
    <x v="0"/>
    <n v="3.62"/>
    <n v="53.26"/>
    <s v="60850229"/>
  </r>
  <r>
    <x v="14"/>
    <s v="2021-01-28"/>
    <x v="0"/>
    <x v="0"/>
    <n v="41"/>
    <x v="3"/>
    <n v="3.34"/>
    <n v="48.25"/>
    <s v="05503849"/>
  </r>
  <r>
    <x v="14"/>
    <s v="2021-01-28"/>
    <x v="0"/>
    <x v="0"/>
    <n v="40"/>
    <x v="2"/>
    <n v="3.26"/>
    <n v="46.91"/>
    <s v="92228410"/>
  </r>
  <r>
    <x v="14"/>
    <s v="2021-01-28"/>
    <x v="0"/>
    <x v="0"/>
    <n v="39"/>
    <x v="1"/>
    <n v="3.23"/>
    <n v="46.39"/>
    <s v="01800019"/>
  </r>
  <r>
    <x v="14"/>
    <s v="2021-01-28"/>
    <x v="0"/>
    <x v="0"/>
    <n v="38"/>
    <x v="4"/>
    <n v="2.79"/>
    <n v="39.119999999999997"/>
    <s v="62232889"/>
  </r>
  <r>
    <x v="14"/>
    <s v="2021-01-28"/>
    <x v="0"/>
    <x v="0"/>
    <n v="37"/>
    <x v="5"/>
    <n v="2.5499999999999998"/>
    <n v="35.340000000000003"/>
    <s v="80271455"/>
  </r>
  <r>
    <x v="14"/>
    <s v="2021-01-28"/>
    <x v="0"/>
    <x v="0"/>
    <n v="36"/>
    <x v="6"/>
    <n v="2.42"/>
    <n v="33.24"/>
    <s v="05676026"/>
  </r>
  <r>
    <x v="14"/>
    <s v="2021-01-28"/>
    <x v="0"/>
    <x v="0"/>
    <n v="35"/>
    <x v="7"/>
    <n v="2.2999999999999998"/>
    <n v="31.43"/>
    <s v="92874270"/>
  </r>
  <r>
    <x v="14"/>
    <s v="2021-01-28"/>
    <x v="0"/>
    <x v="0"/>
    <n v="34"/>
    <x v="8"/>
    <n v="2.2000000000000002"/>
    <n v="29.82"/>
    <s v="59285411"/>
  </r>
  <r>
    <x v="14"/>
    <s v="2021-01-28"/>
    <x v="0"/>
    <x v="0"/>
    <n v="33"/>
    <x v="9"/>
    <n v="1.99"/>
    <n v="26.74"/>
    <s v="00411939"/>
  </r>
  <r>
    <x v="14"/>
    <s v="2021-01-28"/>
    <x v="0"/>
    <x v="0"/>
    <n v="32"/>
    <x v="10"/>
    <n v="1.89"/>
    <n v="25.24"/>
    <s v="10371492"/>
  </r>
  <r>
    <x v="14"/>
    <s v="2021-01-28"/>
    <x v="0"/>
    <x v="0"/>
    <n v="31"/>
    <x v="19"/>
    <n v="1.75"/>
    <n v="23.12"/>
    <s v="92702067"/>
  </r>
  <r>
    <x v="14"/>
    <s v="2021-01-28"/>
    <x v="0"/>
    <x v="0"/>
    <n v="30"/>
    <x v="12"/>
    <n v="1.74"/>
    <n v="22.97"/>
    <s v="04862600"/>
  </r>
  <r>
    <x v="14"/>
    <s v="2021-01-28"/>
    <x v="0"/>
    <x v="0"/>
    <n v="29"/>
    <x v="13"/>
    <n v="1.7"/>
    <n v="22.36"/>
    <s v="07707650"/>
  </r>
  <r>
    <x v="14"/>
    <s v="2021-01-28"/>
    <x v="0"/>
    <x v="0"/>
    <n v="28"/>
    <x v="42"/>
    <n v="1.69"/>
    <n v="22.33"/>
    <s v="34991938"/>
  </r>
  <r>
    <x v="14"/>
    <s v="2021-01-28"/>
    <x v="0"/>
    <x v="0"/>
    <n v="27"/>
    <x v="14"/>
    <n v="1.66"/>
    <n v="21.83"/>
    <s v="00360305"/>
  </r>
  <r>
    <x v="14"/>
    <s v="2021-01-28"/>
    <x v="0"/>
    <x v="0"/>
    <n v="26"/>
    <x v="15"/>
    <n v="1.62"/>
    <n v="21.26"/>
    <s v="59588111"/>
  </r>
  <r>
    <x v="14"/>
    <s v="2021-01-28"/>
    <x v="0"/>
    <x v="0"/>
    <n v="25"/>
    <x v="18"/>
    <n v="1.52"/>
    <n v="19.77"/>
    <s v="28127603"/>
  </r>
  <r>
    <x v="14"/>
    <s v="2021-01-28"/>
    <x v="0"/>
    <x v="0"/>
    <n v="24"/>
    <x v="16"/>
    <n v="1.5"/>
    <n v="19.63"/>
    <s v="07207996"/>
  </r>
  <r>
    <x v="14"/>
    <s v="2021-01-28"/>
    <x v="0"/>
    <x v="0"/>
    <n v="23"/>
    <x v="11"/>
    <n v="1.46"/>
    <n v="19.010000000000002"/>
    <s v="03634220"/>
  </r>
  <r>
    <x v="14"/>
    <s v="2021-01-28"/>
    <x v="0"/>
    <x v="0"/>
    <n v="22"/>
    <x v="20"/>
    <n v="1.37"/>
    <n v="17.7"/>
    <s v="17192451"/>
  </r>
  <r>
    <x v="14"/>
    <s v="2021-01-28"/>
    <x v="0"/>
    <x v="0"/>
    <n v="21"/>
    <x v="24"/>
    <n v="1.36"/>
    <n v="17.54"/>
    <s v="22639377"/>
  </r>
  <r>
    <x v="14"/>
    <s v="2021-01-28"/>
    <x v="0"/>
    <x v="0"/>
    <n v="20"/>
    <x v="21"/>
    <n v="1.31"/>
    <n v="16.829999999999998"/>
    <s v="03017677"/>
  </r>
  <r>
    <x v="14"/>
    <s v="2021-01-28"/>
    <x v="0"/>
    <x v="0"/>
    <n v="19"/>
    <x v="23"/>
    <n v="1.28"/>
    <n v="16.52"/>
    <s v="03215790"/>
  </r>
  <r>
    <x v="14"/>
    <s v="2021-01-28"/>
    <x v="0"/>
    <x v="0"/>
    <n v="18"/>
    <x v="43"/>
    <n v="1.26"/>
    <n v="16.170000000000002"/>
    <s v="07441209"/>
  </r>
  <r>
    <x v="14"/>
    <s v="2021-01-28"/>
    <x v="0"/>
    <x v="0"/>
    <n v="17"/>
    <x v="25"/>
    <n v="1.25"/>
    <n v="16.11"/>
    <s v="59274605"/>
  </r>
  <r>
    <x v="14"/>
    <s v="2021-01-28"/>
    <x v="0"/>
    <x v="0"/>
    <n v="16"/>
    <x v="28"/>
    <n v="1.25"/>
    <n v="16.03"/>
    <s v="90400888"/>
  </r>
  <r>
    <x v="14"/>
    <s v="2021-01-28"/>
    <x v="0"/>
    <x v="0"/>
    <n v="15"/>
    <x v="26"/>
    <n v="1.23"/>
    <n v="15.8"/>
    <s v="30172491"/>
  </r>
  <r>
    <x v="14"/>
    <s v="2021-01-28"/>
    <x v="0"/>
    <x v="0"/>
    <n v="14"/>
    <x v="36"/>
    <n v="1.22"/>
    <n v="15.64"/>
    <s v="33136888"/>
  </r>
  <r>
    <x v="14"/>
    <s v="2021-01-28"/>
    <x v="0"/>
    <x v="0"/>
    <n v="13"/>
    <x v="32"/>
    <n v="1.21"/>
    <n v="15.54"/>
    <s v="60701190"/>
  </r>
  <r>
    <x v="14"/>
    <s v="2021-01-28"/>
    <x v="0"/>
    <x v="0"/>
    <n v="12"/>
    <x v="29"/>
    <n v="1.18"/>
    <n v="15.1"/>
    <s v="60746948"/>
  </r>
  <r>
    <x v="14"/>
    <s v="2021-01-28"/>
    <x v="0"/>
    <x v="0"/>
    <n v="11"/>
    <x v="27"/>
    <n v="1.1599999999999999"/>
    <n v="14.89"/>
    <s v="00000000"/>
  </r>
  <r>
    <x v="14"/>
    <s v="2021-01-28"/>
    <x v="0"/>
    <x v="0"/>
    <n v="10"/>
    <x v="33"/>
    <n v="1.1499999999999999"/>
    <n v="14.69"/>
    <s v="62307848"/>
  </r>
  <r>
    <x v="14"/>
    <s v="2021-01-28"/>
    <x v="0"/>
    <x v="0"/>
    <n v="9"/>
    <x v="31"/>
    <n v="1.1299999999999999"/>
    <n v="14.49"/>
    <s v="17167412"/>
  </r>
  <r>
    <x v="14"/>
    <s v="2021-01-28"/>
    <x v="0"/>
    <x v="0"/>
    <n v="8"/>
    <x v="30"/>
    <n v="1.1299999999999999"/>
    <n v="14.4"/>
    <s v="03502961"/>
  </r>
  <r>
    <x v="14"/>
    <s v="2021-01-28"/>
    <x v="0"/>
    <x v="0"/>
    <n v="7"/>
    <x v="34"/>
    <n v="1.07"/>
    <n v="13.63"/>
    <s v="33603457"/>
  </r>
  <r>
    <x v="14"/>
    <s v="2021-01-28"/>
    <x v="0"/>
    <x v="0"/>
    <n v="6"/>
    <x v="22"/>
    <n v="1.04"/>
    <n v="13.16"/>
    <s v="11417016"/>
  </r>
  <r>
    <x v="14"/>
    <s v="2021-01-28"/>
    <x v="0"/>
    <x v="0"/>
    <n v="5"/>
    <x v="37"/>
    <n v="1.03"/>
    <n v="13.1"/>
    <s v="04452473"/>
  </r>
  <r>
    <x v="14"/>
    <s v="2021-01-28"/>
    <x v="0"/>
    <x v="0"/>
    <n v="4"/>
    <x v="35"/>
    <n v="1"/>
    <n v="12.74"/>
    <s v="59109165"/>
  </r>
  <r>
    <x v="14"/>
    <s v="2021-01-28"/>
    <x v="0"/>
    <x v="0"/>
    <n v="3"/>
    <x v="38"/>
    <n v="0.87"/>
    <n v="10.98"/>
    <s v="60814191"/>
  </r>
  <r>
    <x v="14"/>
    <s v="2021-01-28"/>
    <x v="0"/>
    <x v="0"/>
    <n v="2"/>
    <x v="39"/>
    <n v="0.82"/>
    <n v="10.25"/>
    <s v="04902979"/>
  </r>
  <r>
    <x v="14"/>
    <s v="2021-01-28"/>
    <x v="0"/>
    <x v="0"/>
    <n v="1"/>
    <x v="40"/>
    <n v="0.79"/>
    <n v="9.89"/>
    <s v="02992446"/>
  </r>
  <r>
    <x v="15"/>
    <s v="2021-01-29"/>
    <x v="0"/>
    <x v="0"/>
    <n v="43"/>
    <x v="0"/>
    <n v="3.48"/>
    <n v="50.74"/>
    <s v="60850229"/>
  </r>
  <r>
    <x v="15"/>
    <s v="2021-01-29"/>
    <x v="0"/>
    <x v="0"/>
    <n v="42"/>
    <x v="3"/>
    <n v="3.4"/>
    <n v="49.28"/>
    <s v="05503849"/>
  </r>
  <r>
    <x v="15"/>
    <s v="2021-01-29"/>
    <x v="0"/>
    <x v="0"/>
    <n v="41"/>
    <x v="2"/>
    <n v="3.25"/>
    <n v="46.8"/>
    <s v="92228410"/>
  </r>
  <r>
    <x v="15"/>
    <s v="2021-01-29"/>
    <x v="0"/>
    <x v="0"/>
    <n v="40"/>
    <x v="1"/>
    <n v="3.23"/>
    <n v="46.37"/>
    <s v="01800019"/>
  </r>
  <r>
    <x v="15"/>
    <s v="2021-01-29"/>
    <x v="0"/>
    <x v="0"/>
    <n v="39"/>
    <x v="4"/>
    <n v="2.8"/>
    <n v="39.229999999999997"/>
    <s v="62232889"/>
  </r>
  <r>
    <x v="15"/>
    <s v="2021-01-29"/>
    <x v="0"/>
    <x v="0"/>
    <n v="38"/>
    <x v="5"/>
    <n v="2.4500000000000002"/>
    <n v="33.76"/>
    <s v="80271455"/>
  </r>
  <r>
    <x v="15"/>
    <s v="2021-01-29"/>
    <x v="0"/>
    <x v="0"/>
    <n v="37"/>
    <x v="6"/>
    <n v="2.42"/>
    <n v="33.21"/>
    <s v="05676026"/>
  </r>
  <r>
    <x v="15"/>
    <s v="2021-01-29"/>
    <x v="0"/>
    <x v="0"/>
    <n v="36"/>
    <x v="7"/>
    <n v="2.2999999999999998"/>
    <n v="31.39"/>
    <s v="92874270"/>
  </r>
  <r>
    <x v="15"/>
    <s v="2021-01-29"/>
    <x v="0"/>
    <x v="0"/>
    <n v="35"/>
    <x v="8"/>
    <n v="2.2000000000000002"/>
    <n v="29.79"/>
    <s v="59285411"/>
  </r>
  <r>
    <x v="15"/>
    <s v="2021-01-29"/>
    <x v="0"/>
    <x v="0"/>
    <n v="34"/>
    <x v="9"/>
    <n v="2.0499999999999998"/>
    <n v="27.53"/>
    <s v="00411939"/>
  </r>
  <r>
    <x v="15"/>
    <s v="2021-01-29"/>
    <x v="0"/>
    <x v="0"/>
    <n v="33"/>
    <x v="10"/>
    <n v="1.89"/>
    <n v="25.19"/>
    <s v="10371492"/>
  </r>
  <r>
    <x v="15"/>
    <s v="2021-01-29"/>
    <x v="0"/>
    <x v="0"/>
    <n v="32"/>
    <x v="19"/>
    <n v="1.75"/>
    <n v="23.12"/>
    <s v="92702067"/>
  </r>
  <r>
    <x v="15"/>
    <s v="2021-01-29"/>
    <x v="0"/>
    <x v="0"/>
    <n v="31"/>
    <x v="12"/>
    <n v="1.72"/>
    <n v="22.68"/>
    <s v="04862600"/>
  </r>
  <r>
    <x v="15"/>
    <s v="2021-01-29"/>
    <x v="0"/>
    <x v="0"/>
    <n v="30"/>
    <x v="13"/>
    <n v="1.69"/>
    <n v="22.27"/>
    <s v="07707650"/>
  </r>
  <r>
    <x v="15"/>
    <s v="2021-01-29"/>
    <x v="0"/>
    <x v="0"/>
    <n v="29"/>
    <x v="42"/>
    <n v="1.68"/>
    <n v="22.11"/>
    <s v="34991938"/>
  </r>
  <r>
    <x v="15"/>
    <s v="2021-01-29"/>
    <x v="0"/>
    <x v="0"/>
    <n v="28"/>
    <x v="15"/>
    <n v="1.62"/>
    <n v="21.29"/>
    <s v="59588111"/>
  </r>
  <r>
    <x v="15"/>
    <s v="2021-01-29"/>
    <x v="0"/>
    <x v="0"/>
    <n v="27"/>
    <x v="14"/>
    <n v="1.6"/>
    <n v="20.94"/>
    <s v="00360305"/>
  </r>
  <r>
    <x v="15"/>
    <s v="2021-01-29"/>
    <x v="0"/>
    <x v="0"/>
    <n v="26"/>
    <x v="16"/>
    <n v="1.5"/>
    <n v="19.5"/>
    <s v="07207996"/>
  </r>
  <r>
    <x v="15"/>
    <s v="2021-01-29"/>
    <x v="0"/>
    <x v="0"/>
    <n v="25"/>
    <x v="11"/>
    <n v="1.49"/>
    <n v="19.37"/>
    <s v="03634220"/>
  </r>
  <r>
    <x v="15"/>
    <s v="2021-01-29"/>
    <x v="0"/>
    <x v="0"/>
    <n v="24"/>
    <x v="18"/>
    <n v="1.48"/>
    <n v="19.21"/>
    <s v="28127603"/>
  </r>
  <r>
    <x v="15"/>
    <s v="2021-01-29"/>
    <x v="0"/>
    <x v="0"/>
    <n v="23"/>
    <x v="20"/>
    <n v="1.36"/>
    <n v="17.53"/>
    <s v="17192451"/>
  </r>
  <r>
    <x v="15"/>
    <s v="2021-01-29"/>
    <x v="0"/>
    <x v="0"/>
    <n v="22"/>
    <x v="24"/>
    <n v="1.34"/>
    <n v="17.37"/>
    <s v="22639377"/>
  </r>
  <r>
    <x v="15"/>
    <s v="2021-01-29"/>
    <x v="0"/>
    <x v="0"/>
    <n v="21"/>
    <x v="21"/>
    <n v="1.31"/>
    <n v="16.84"/>
    <s v="03017677"/>
  </r>
  <r>
    <x v="15"/>
    <s v="2021-01-29"/>
    <x v="0"/>
    <x v="0"/>
    <n v="20"/>
    <x v="23"/>
    <n v="1.27"/>
    <n v="16.399999999999999"/>
    <s v="03215790"/>
  </r>
  <r>
    <x v="15"/>
    <s v="2021-01-29"/>
    <x v="0"/>
    <x v="0"/>
    <n v="19"/>
    <x v="28"/>
    <n v="1.26"/>
    <n v="16.190000000000001"/>
    <s v="90400888"/>
  </r>
  <r>
    <x v="15"/>
    <s v="2021-01-29"/>
    <x v="0"/>
    <x v="0"/>
    <n v="18"/>
    <x v="36"/>
    <n v="1.25"/>
    <n v="16.12"/>
    <s v="33136888"/>
  </r>
  <r>
    <x v="15"/>
    <s v="2021-01-29"/>
    <x v="0"/>
    <x v="0"/>
    <n v="17"/>
    <x v="25"/>
    <n v="1.25"/>
    <n v="16.05"/>
    <s v="59274605"/>
  </r>
  <r>
    <x v="15"/>
    <s v="2021-01-29"/>
    <x v="0"/>
    <x v="0"/>
    <n v="16"/>
    <x v="26"/>
    <n v="1.23"/>
    <n v="15.84"/>
    <s v="30172491"/>
  </r>
  <r>
    <x v="15"/>
    <s v="2021-01-29"/>
    <x v="0"/>
    <x v="0"/>
    <n v="15"/>
    <x v="32"/>
    <n v="1.2"/>
    <n v="15.36"/>
    <s v="60701190"/>
  </r>
  <r>
    <x v="15"/>
    <s v="2021-01-29"/>
    <x v="0"/>
    <x v="0"/>
    <n v="14"/>
    <x v="29"/>
    <n v="1.18"/>
    <n v="15.09"/>
    <s v="60746948"/>
  </r>
  <r>
    <x v="15"/>
    <s v="2021-01-29"/>
    <x v="0"/>
    <x v="0"/>
    <n v="13"/>
    <x v="27"/>
    <n v="1.1399999999999999"/>
    <n v="14.61"/>
    <s v="00000000"/>
  </r>
  <r>
    <x v="15"/>
    <s v="2021-01-29"/>
    <x v="0"/>
    <x v="0"/>
    <n v="12"/>
    <x v="30"/>
    <n v="1.1399999999999999"/>
    <n v="14.58"/>
    <s v="03502961"/>
  </r>
  <r>
    <x v="15"/>
    <s v="2021-01-29"/>
    <x v="0"/>
    <x v="0"/>
    <n v="11"/>
    <x v="33"/>
    <n v="1.1399999999999999"/>
    <n v="14.57"/>
    <s v="62307848"/>
  </r>
  <r>
    <x v="15"/>
    <s v="2021-01-29"/>
    <x v="0"/>
    <x v="0"/>
    <n v="10"/>
    <x v="31"/>
    <n v="1.1399999999999999"/>
    <n v="14.5"/>
    <s v="17167412"/>
  </r>
  <r>
    <x v="15"/>
    <s v="2021-01-29"/>
    <x v="0"/>
    <x v="0"/>
    <n v="9"/>
    <x v="43"/>
    <n v="1.1100000000000001"/>
    <n v="14.22"/>
    <s v="07441209"/>
  </r>
  <r>
    <x v="15"/>
    <s v="2021-01-29"/>
    <x v="0"/>
    <x v="0"/>
    <n v="8"/>
    <x v="34"/>
    <n v="1.08"/>
    <n v="13.74"/>
    <s v="33603457"/>
  </r>
  <r>
    <x v="15"/>
    <s v="2021-01-29"/>
    <x v="0"/>
    <x v="0"/>
    <n v="7"/>
    <x v="22"/>
    <n v="1.04"/>
    <n v="13.16"/>
    <s v="11417016"/>
  </r>
  <r>
    <x v="15"/>
    <s v="2021-01-29"/>
    <x v="0"/>
    <x v="0"/>
    <n v="6"/>
    <x v="37"/>
    <n v="1.04"/>
    <n v="13.16"/>
    <s v="04452473"/>
  </r>
  <r>
    <x v="15"/>
    <s v="2021-01-29"/>
    <x v="0"/>
    <x v="0"/>
    <n v="5"/>
    <x v="45"/>
    <n v="1.03"/>
    <n v="13.09"/>
    <s v="33040601"/>
  </r>
  <r>
    <x v="15"/>
    <s v="2021-01-29"/>
    <x v="0"/>
    <x v="0"/>
    <n v="4"/>
    <x v="35"/>
    <n v="1"/>
    <n v="12.69"/>
    <s v="59109165"/>
  </r>
  <r>
    <x v="15"/>
    <s v="2021-01-29"/>
    <x v="0"/>
    <x v="0"/>
    <n v="3"/>
    <x v="39"/>
    <n v="0.89"/>
    <n v="11.22"/>
    <s v="04902979"/>
  </r>
  <r>
    <x v="15"/>
    <s v="2021-01-29"/>
    <x v="0"/>
    <x v="0"/>
    <n v="2"/>
    <x v="38"/>
    <n v="0.87"/>
    <n v="10.91"/>
    <s v="60814191"/>
  </r>
  <r>
    <x v="15"/>
    <s v="2021-01-29"/>
    <x v="0"/>
    <x v="0"/>
    <n v="1"/>
    <x v="40"/>
    <n v="0.7"/>
    <n v="8.7200000000000006"/>
    <s v="02992446"/>
  </r>
  <r>
    <x v="16"/>
    <s v="2021-02-01"/>
    <x v="0"/>
    <x v="0"/>
    <n v="43"/>
    <x v="3"/>
    <n v="3.42"/>
    <n v="49.76"/>
    <s v="05503849"/>
  </r>
  <r>
    <x v="16"/>
    <s v="2021-02-01"/>
    <x v="0"/>
    <x v="0"/>
    <n v="42"/>
    <x v="0"/>
    <n v="3.39"/>
    <n v="49.25"/>
    <s v="60850229"/>
  </r>
  <r>
    <x v="16"/>
    <s v="2021-02-01"/>
    <x v="0"/>
    <x v="0"/>
    <n v="41"/>
    <x v="1"/>
    <n v="3.26"/>
    <n v="46.93"/>
    <s v="01800019"/>
  </r>
  <r>
    <x v="16"/>
    <s v="2021-02-01"/>
    <x v="0"/>
    <x v="0"/>
    <n v="40"/>
    <x v="2"/>
    <n v="3.25"/>
    <n v="46.76"/>
    <s v="92228410"/>
  </r>
  <r>
    <x v="16"/>
    <s v="2021-02-01"/>
    <x v="0"/>
    <x v="0"/>
    <n v="39"/>
    <x v="4"/>
    <n v="2.79"/>
    <n v="39.159999999999997"/>
    <s v="62232889"/>
  </r>
  <r>
    <x v="16"/>
    <s v="2021-02-01"/>
    <x v="0"/>
    <x v="0"/>
    <n v="38"/>
    <x v="5"/>
    <n v="2.44"/>
    <n v="33.5"/>
    <s v="80271455"/>
  </r>
  <r>
    <x v="16"/>
    <s v="2021-02-01"/>
    <x v="0"/>
    <x v="0"/>
    <n v="37"/>
    <x v="6"/>
    <n v="2.42"/>
    <n v="33.24"/>
    <s v="05676026"/>
  </r>
  <r>
    <x v="16"/>
    <s v="2021-02-01"/>
    <x v="0"/>
    <x v="0"/>
    <n v="36"/>
    <x v="7"/>
    <n v="2.2999999999999998"/>
    <n v="31.37"/>
    <s v="92874270"/>
  </r>
  <r>
    <x v="16"/>
    <s v="2021-02-01"/>
    <x v="0"/>
    <x v="0"/>
    <n v="35"/>
    <x v="8"/>
    <n v="2.19"/>
    <n v="29.75"/>
    <s v="59285411"/>
  </r>
  <r>
    <x v="16"/>
    <s v="2021-02-01"/>
    <x v="0"/>
    <x v="0"/>
    <n v="34"/>
    <x v="9"/>
    <n v="2.02"/>
    <n v="27.16"/>
    <s v="00411939"/>
  </r>
  <r>
    <x v="16"/>
    <s v="2021-02-01"/>
    <x v="0"/>
    <x v="0"/>
    <n v="33"/>
    <x v="10"/>
    <n v="1.9"/>
    <n v="25.32"/>
    <s v="10371492"/>
  </r>
  <r>
    <x v="16"/>
    <s v="2021-02-01"/>
    <x v="0"/>
    <x v="0"/>
    <n v="32"/>
    <x v="19"/>
    <n v="1.75"/>
    <n v="23.12"/>
    <s v="92702067"/>
  </r>
  <r>
    <x v="16"/>
    <s v="2021-02-01"/>
    <x v="0"/>
    <x v="0"/>
    <n v="31"/>
    <x v="12"/>
    <n v="1.72"/>
    <n v="22.67"/>
    <s v="04862600"/>
  </r>
  <r>
    <x v="16"/>
    <s v="2021-02-01"/>
    <x v="0"/>
    <x v="0"/>
    <n v="30"/>
    <x v="13"/>
    <n v="1.68"/>
    <n v="22.12"/>
    <s v="07707650"/>
  </r>
  <r>
    <x v="16"/>
    <s v="2021-02-01"/>
    <x v="0"/>
    <x v="0"/>
    <n v="29"/>
    <x v="15"/>
    <n v="1.63"/>
    <n v="21.34"/>
    <s v="59588111"/>
  </r>
  <r>
    <x v="16"/>
    <s v="2021-02-01"/>
    <x v="0"/>
    <x v="0"/>
    <n v="28"/>
    <x v="14"/>
    <n v="1.58"/>
    <n v="20.71"/>
    <s v="00360305"/>
  </r>
  <r>
    <x v="16"/>
    <s v="2021-02-01"/>
    <x v="0"/>
    <x v="0"/>
    <n v="27"/>
    <x v="11"/>
    <n v="1.49"/>
    <n v="19.45"/>
    <s v="03634220"/>
  </r>
  <r>
    <x v="16"/>
    <s v="2021-02-01"/>
    <x v="0"/>
    <x v="0"/>
    <n v="26"/>
    <x v="16"/>
    <n v="1.49"/>
    <n v="19.43"/>
    <s v="07207996"/>
  </r>
  <r>
    <x v="16"/>
    <s v="2021-02-01"/>
    <x v="0"/>
    <x v="0"/>
    <n v="25"/>
    <x v="18"/>
    <n v="1.45"/>
    <n v="18.91"/>
    <s v="28127603"/>
  </r>
  <r>
    <x v="16"/>
    <s v="2021-02-01"/>
    <x v="0"/>
    <x v="0"/>
    <n v="24"/>
    <x v="20"/>
    <n v="1.35"/>
    <n v="17.43"/>
    <s v="17192451"/>
  </r>
  <r>
    <x v="16"/>
    <s v="2021-02-01"/>
    <x v="0"/>
    <x v="0"/>
    <n v="23"/>
    <x v="24"/>
    <n v="1.35"/>
    <n v="17.43"/>
    <s v="22639377"/>
  </r>
  <r>
    <x v="16"/>
    <s v="2021-02-01"/>
    <x v="0"/>
    <x v="0"/>
    <n v="22"/>
    <x v="21"/>
    <n v="1.3"/>
    <n v="16.760000000000002"/>
    <s v="03017677"/>
  </r>
  <r>
    <x v="16"/>
    <s v="2021-02-01"/>
    <x v="0"/>
    <x v="0"/>
    <n v="21"/>
    <x v="23"/>
    <n v="1.27"/>
    <n v="16.399999999999999"/>
    <s v="03215790"/>
  </r>
  <r>
    <x v="16"/>
    <s v="2021-02-01"/>
    <x v="0"/>
    <x v="0"/>
    <n v="20"/>
    <x v="28"/>
    <n v="1.27"/>
    <n v="16.37"/>
    <s v="90400888"/>
  </r>
  <r>
    <x v="16"/>
    <s v="2021-02-01"/>
    <x v="0"/>
    <x v="0"/>
    <n v="19"/>
    <x v="36"/>
    <n v="1.25"/>
    <n v="16"/>
    <s v="33136888"/>
  </r>
  <r>
    <x v="16"/>
    <s v="2021-02-01"/>
    <x v="0"/>
    <x v="0"/>
    <n v="18"/>
    <x v="25"/>
    <n v="1.24"/>
    <n v="15.92"/>
    <s v="59274605"/>
  </r>
  <r>
    <x v="16"/>
    <s v="2021-02-01"/>
    <x v="0"/>
    <x v="0"/>
    <n v="17"/>
    <x v="26"/>
    <n v="1.23"/>
    <n v="15.82"/>
    <s v="30172491"/>
  </r>
  <r>
    <x v="16"/>
    <s v="2021-02-01"/>
    <x v="0"/>
    <x v="0"/>
    <n v="16"/>
    <x v="32"/>
    <n v="1.19"/>
    <n v="15.23"/>
    <s v="60701190"/>
  </r>
  <r>
    <x v="16"/>
    <s v="2021-02-01"/>
    <x v="0"/>
    <x v="0"/>
    <n v="15"/>
    <x v="31"/>
    <n v="1.1599999999999999"/>
    <n v="14.85"/>
    <s v="17167412"/>
  </r>
  <r>
    <x v="16"/>
    <s v="2021-02-01"/>
    <x v="0"/>
    <x v="0"/>
    <n v="14"/>
    <x v="29"/>
    <n v="1.1599999999999999"/>
    <n v="14.83"/>
    <s v="60746948"/>
  </r>
  <r>
    <x v="16"/>
    <s v="2021-02-01"/>
    <x v="0"/>
    <x v="0"/>
    <n v="13"/>
    <x v="30"/>
    <n v="1.1399999999999999"/>
    <n v="14.6"/>
    <s v="03502961"/>
  </r>
  <r>
    <x v="16"/>
    <s v="2021-02-01"/>
    <x v="0"/>
    <x v="0"/>
    <n v="12"/>
    <x v="27"/>
    <n v="1.1399999999999999"/>
    <n v="14.55"/>
    <s v="00000000"/>
  </r>
  <r>
    <x v="16"/>
    <s v="2021-02-01"/>
    <x v="0"/>
    <x v="0"/>
    <n v="11"/>
    <x v="33"/>
    <n v="1.1399999999999999"/>
    <n v="14.55"/>
    <s v="62307848"/>
  </r>
  <r>
    <x v="16"/>
    <s v="2021-02-01"/>
    <x v="0"/>
    <x v="0"/>
    <n v="10"/>
    <x v="43"/>
    <n v="1.1100000000000001"/>
    <n v="14.22"/>
    <s v="07441209"/>
  </r>
  <r>
    <x v="16"/>
    <s v="2021-02-01"/>
    <x v="0"/>
    <x v="0"/>
    <n v="9"/>
    <x v="34"/>
    <n v="1.08"/>
    <n v="13.69"/>
    <s v="33603457"/>
  </r>
  <r>
    <x v="16"/>
    <s v="2021-02-01"/>
    <x v="0"/>
    <x v="0"/>
    <n v="8"/>
    <x v="37"/>
    <n v="1.03"/>
    <n v="13.14"/>
    <s v="04452473"/>
  </r>
  <r>
    <x v="16"/>
    <s v="2021-02-01"/>
    <x v="0"/>
    <x v="0"/>
    <n v="7"/>
    <x v="45"/>
    <n v="1.03"/>
    <n v="13.09"/>
    <s v="33040601"/>
  </r>
  <r>
    <x v="16"/>
    <s v="2021-02-01"/>
    <x v="0"/>
    <x v="0"/>
    <n v="6"/>
    <x v="35"/>
    <n v="0.99"/>
    <n v="12.57"/>
    <s v="59109165"/>
  </r>
  <r>
    <x v="16"/>
    <s v="2021-02-01"/>
    <x v="0"/>
    <x v="0"/>
    <n v="5"/>
    <x v="39"/>
    <n v="0.95"/>
    <n v="12"/>
    <s v="04902979"/>
  </r>
  <r>
    <x v="16"/>
    <s v="2021-02-01"/>
    <x v="0"/>
    <x v="0"/>
    <n v="4"/>
    <x v="44"/>
    <n v="0.91"/>
    <n v="11.45"/>
    <s v="58017179"/>
  </r>
  <r>
    <x v="16"/>
    <s v="2021-02-01"/>
    <x v="0"/>
    <x v="0"/>
    <n v="3"/>
    <x v="22"/>
    <n v="0.88"/>
    <n v="11.14"/>
    <s v="11417016"/>
  </r>
  <r>
    <x v="16"/>
    <s v="2021-02-01"/>
    <x v="0"/>
    <x v="0"/>
    <n v="2"/>
    <x v="38"/>
    <n v="0.85"/>
    <n v="10.73"/>
    <s v="60814191"/>
  </r>
  <r>
    <x v="16"/>
    <s v="2021-02-01"/>
    <x v="0"/>
    <x v="0"/>
    <n v="1"/>
    <x v="40"/>
    <n v="0.7"/>
    <n v="8.7200000000000006"/>
    <s v="02992446"/>
  </r>
  <r>
    <x v="17"/>
    <s v="2021-02-02"/>
    <x v="0"/>
    <x v="0"/>
    <n v="43"/>
    <x v="3"/>
    <n v="3.32"/>
    <n v="48.03"/>
    <s v="05503849"/>
  </r>
  <r>
    <x v="17"/>
    <s v="2021-02-02"/>
    <x v="0"/>
    <x v="0"/>
    <n v="42"/>
    <x v="0"/>
    <n v="3.3"/>
    <n v="47.68"/>
    <s v="60850229"/>
  </r>
  <r>
    <x v="17"/>
    <s v="2021-02-02"/>
    <x v="0"/>
    <x v="0"/>
    <n v="41"/>
    <x v="2"/>
    <n v="3.26"/>
    <n v="46.92"/>
    <s v="92228410"/>
  </r>
  <r>
    <x v="17"/>
    <s v="2021-02-02"/>
    <x v="0"/>
    <x v="0"/>
    <n v="40"/>
    <x v="1"/>
    <n v="3.22"/>
    <n v="46.35"/>
    <s v="01800019"/>
  </r>
  <r>
    <x v="17"/>
    <s v="2021-02-02"/>
    <x v="0"/>
    <x v="0"/>
    <n v="39"/>
    <x v="4"/>
    <n v="2.8"/>
    <n v="39.33"/>
    <s v="62232889"/>
  </r>
  <r>
    <x v="17"/>
    <s v="2021-02-02"/>
    <x v="0"/>
    <x v="0"/>
    <n v="38"/>
    <x v="6"/>
    <n v="2.42"/>
    <n v="33.24"/>
    <s v="05676026"/>
  </r>
  <r>
    <x v="17"/>
    <s v="2021-02-02"/>
    <x v="0"/>
    <x v="0"/>
    <n v="37"/>
    <x v="5"/>
    <n v="2.34"/>
    <n v="31.94"/>
    <s v="80271455"/>
  </r>
  <r>
    <x v="17"/>
    <s v="2021-02-02"/>
    <x v="0"/>
    <x v="0"/>
    <n v="36"/>
    <x v="7"/>
    <n v="2.31"/>
    <n v="31.45"/>
    <s v="92874270"/>
  </r>
  <r>
    <x v="17"/>
    <s v="2021-02-02"/>
    <x v="0"/>
    <x v="0"/>
    <n v="35"/>
    <x v="8"/>
    <n v="2.19"/>
    <n v="29.63"/>
    <s v="59285411"/>
  </r>
  <r>
    <x v="17"/>
    <s v="2021-02-02"/>
    <x v="0"/>
    <x v="0"/>
    <n v="34"/>
    <x v="9"/>
    <n v="2.04"/>
    <n v="27.35"/>
    <s v="00411939"/>
  </r>
  <r>
    <x v="17"/>
    <s v="2021-02-02"/>
    <x v="0"/>
    <x v="0"/>
    <n v="33"/>
    <x v="19"/>
    <n v="1.92"/>
    <n v="25.68"/>
    <s v="92702067"/>
  </r>
  <r>
    <x v="17"/>
    <s v="2021-02-02"/>
    <x v="0"/>
    <x v="0"/>
    <n v="32"/>
    <x v="10"/>
    <n v="1.9"/>
    <n v="25.37"/>
    <s v="10371492"/>
  </r>
  <r>
    <x v="17"/>
    <s v="2021-02-02"/>
    <x v="0"/>
    <x v="0"/>
    <n v="31"/>
    <x v="12"/>
    <n v="1.71"/>
    <n v="22.49"/>
    <s v="04862600"/>
  </r>
  <r>
    <x v="17"/>
    <s v="2021-02-02"/>
    <x v="0"/>
    <x v="0"/>
    <n v="30"/>
    <x v="13"/>
    <n v="1.68"/>
    <n v="22.15"/>
    <s v="07707650"/>
  </r>
  <r>
    <x v="17"/>
    <s v="2021-02-02"/>
    <x v="0"/>
    <x v="0"/>
    <n v="29"/>
    <x v="15"/>
    <n v="1.62"/>
    <n v="21.33"/>
    <s v="59588111"/>
  </r>
  <r>
    <x v="17"/>
    <s v="2021-02-02"/>
    <x v="0"/>
    <x v="0"/>
    <n v="28"/>
    <x v="14"/>
    <n v="1.53"/>
    <n v="20.04"/>
    <s v="00360305"/>
  </r>
  <r>
    <x v="17"/>
    <s v="2021-02-02"/>
    <x v="0"/>
    <x v="0"/>
    <n v="27"/>
    <x v="16"/>
    <n v="1.49"/>
    <n v="19.46"/>
    <s v="07207996"/>
  </r>
  <r>
    <x v="17"/>
    <s v="2021-02-02"/>
    <x v="0"/>
    <x v="0"/>
    <n v="26"/>
    <x v="11"/>
    <n v="1.49"/>
    <n v="19.36"/>
    <s v="03634220"/>
  </r>
  <r>
    <x v="17"/>
    <s v="2021-02-02"/>
    <x v="0"/>
    <x v="0"/>
    <n v="25"/>
    <x v="18"/>
    <n v="1.42"/>
    <n v="18.47"/>
    <s v="28127603"/>
  </r>
  <r>
    <x v="17"/>
    <s v="2021-02-02"/>
    <x v="0"/>
    <x v="0"/>
    <n v="24"/>
    <x v="24"/>
    <n v="1.36"/>
    <n v="17.57"/>
    <s v="22639377"/>
  </r>
  <r>
    <x v="17"/>
    <s v="2021-02-02"/>
    <x v="0"/>
    <x v="0"/>
    <n v="23"/>
    <x v="20"/>
    <n v="1.35"/>
    <n v="17.43"/>
    <s v="17192451"/>
  </r>
  <r>
    <x v="17"/>
    <s v="2021-02-02"/>
    <x v="0"/>
    <x v="0"/>
    <n v="22"/>
    <x v="21"/>
    <n v="1.3"/>
    <n v="16.78"/>
    <s v="03017677"/>
  </r>
  <r>
    <x v="17"/>
    <s v="2021-02-02"/>
    <x v="0"/>
    <x v="0"/>
    <n v="21"/>
    <x v="23"/>
    <n v="1.28"/>
    <n v="16.5"/>
    <s v="03215790"/>
  </r>
  <r>
    <x v="17"/>
    <s v="2021-02-02"/>
    <x v="0"/>
    <x v="0"/>
    <n v="20"/>
    <x v="36"/>
    <n v="1.27"/>
    <n v="16.38"/>
    <s v="33136888"/>
  </r>
  <r>
    <x v="17"/>
    <s v="2021-02-02"/>
    <x v="0"/>
    <x v="0"/>
    <n v="19"/>
    <x v="28"/>
    <n v="1.26"/>
    <n v="16.260000000000002"/>
    <s v="90400888"/>
  </r>
  <r>
    <x v="17"/>
    <s v="2021-02-02"/>
    <x v="0"/>
    <x v="0"/>
    <n v="18"/>
    <x v="26"/>
    <n v="1.24"/>
    <n v="15.9"/>
    <s v="30172491"/>
  </r>
  <r>
    <x v="17"/>
    <s v="2021-02-02"/>
    <x v="0"/>
    <x v="0"/>
    <n v="17"/>
    <x v="25"/>
    <n v="1.23"/>
    <n v="15.81"/>
    <s v="59274605"/>
  </r>
  <r>
    <x v="17"/>
    <s v="2021-02-02"/>
    <x v="0"/>
    <x v="0"/>
    <n v="16"/>
    <x v="32"/>
    <n v="1.17"/>
    <n v="15.04"/>
    <s v="60701190"/>
  </r>
  <r>
    <x v="17"/>
    <s v="2021-02-02"/>
    <x v="0"/>
    <x v="0"/>
    <n v="15"/>
    <x v="31"/>
    <n v="1.17"/>
    <n v="14.92"/>
    <s v="17167412"/>
  </r>
  <r>
    <x v="17"/>
    <s v="2021-02-02"/>
    <x v="0"/>
    <x v="0"/>
    <n v="14"/>
    <x v="29"/>
    <n v="1.1599999999999999"/>
    <n v="14.79"/>
    <s v="60746948"/>
  </r>
  <r>
    <x v="17"/>
    <s v="2021-02-02"/>
    <x v="0"/>
    <x v="0"/>
    <n v="13"/>
    <x v="30"/>
    <n v="1.1499999999999999"/>
    <n v="14.64"/>
    <s v="03502961"/>
  </r>
  <r>
    <x v="17"/>
    <s v="2021-02-02"/>
    <x v="0"/>
    <x v="0"/>
    <n v="12"/>
    <x v="27"/>
    <n v="1.1299999999999999"/>
    <n v="14.47"/>
    <s v="00000000"/>
  </r>
  <r>
    <x v="17"/>
    <s v="2021-02-02"/>
    <x v="0"/>
    <x v="0"/>
    <n v="11"/>
    <x v="33"/>
    <n v="1.1299999999999999"/>
    <n v="14.42"/>
    <s v="62307848"/>
  </r>
  <r>
    <x v="17"/>
    <s v="2021-02-02"/>
    <x v="0"/>
    <x v="0"/>
    <n v="10"/>
    <x v="34"/>
    <n v="1.07"/>
    <n v="13.56"/>
    <s v="33603457"/>
  </r>
  <r>
    <x v="17"/>
    <s v="2021-02-02"/>
    <x v="0"/>
    <x v="0"/>
    <n v="9"/>
    <x v="43"/>
    <n v="1.05"/>
    <n v="13.36"/>
    <s v="07441209"/>
  </r>
  <r>
    <x v="17"/>
    <s v="2021-02-02"/>
    <x v="0"/>
    <x v="0"/>
    <n v="8"/>
    <x v="37"/>
    <n v="1.03"/>
    <n v="13.12"/>
    <s v="04452473"/>
  </r>
  <r>
    <x v="17"/>
    <s v="2021-02-02"/>
    <x v="0"/>
    <x v="0"/>
    <n v="7"/>
    <x v="45"/>
    <n v="1.03"/>
    <n v="13.09"/>
    <s v="33040601"/>
  </r>
  <r>
    <x v="17"/>
    <s v="2021-02-02"/>
    <x v="0"/>
    <x v="0"/>
    <n v="6"/>
    <x v="35"/>
    <n v="0.99"/>
    <n v="12.51"/>
    <s v="59109165"/>
  </r>
  <r>
    <x v="17"/>
    <s v="2021-02-02"/>
    <x v="0"/>
    <x v="0"/>
    <n v="5"/>
    <x v="39"/>
    <n v="0.95"/>
    <n v="12"/>
    <s v="04902979"/>
  </r>
  <r>
    <x v="17"/>
    <s v="2021-02-02"/>
    <x v="0"/>
    <x v="0"/>
    <n v="4"/>
    <x v="38"/>
    <n v="0.91"/>
    <n v="11.51"/>
    <s v="60814191"/>
  </r>
  <r>
    <x v="17"/>
    <s v="2021-02-02"/>
    <x v="0"/>
    <x v="0"/>
    <n v="3"/>
    <x v="44"/>
    <n v="0.89"/>
    <n v="11.23"/>
    <s v="58017179"/>
  </r>
  <r>
    <x v="17"/>
    <s v="2021-02-02"/>
    <x v="0"/>
    <x v="0"/>
    <n v="2"/>
    <x v="22"/>
    <n v="0.84"/>
    <n v="10.51"/>
    <s v="11417016"/>
  </r>
  <r>
    <x v="17"/>
    <s v="2021-02-02"/>
    <x v="0"/>
    <x v="0"/>
    <n v="1"/>
    <x v="40"/>
    <n v="0.73"/>
    <n v="9.08"/>
    <s v="02992446"/>
  </r>
  <r>
    <x v="18"/>
    <s v="2021-02-03"/>
    <x v="0"/>
    <x v="0"/>
    <n v="44"/>
    <x v="3"/>
    <n v="3.29"/>
    <n v="47.4"/>
    <s v="05503849"/>
  </r>
  <r>
    <x v="18"/>
    <s v="2021-02-03"/>
    <x v="0"/>
    <x v="0"/>
    <n v="43"/>
    <x v="0"/>
    <n v="3.28"/>
    <n v="47.21"/>
    <s v="60850229"/>
  </r>
  <r>
    <x v="18"/>
    <s v="2021-02-03"/>
    <x v="0"/>
    <x v="0"/>
    <n v="42"/>
    <x v="2"/>
    <n v="3.27"/>
    <n v="47.04"/>
    <s v="92228410"/>
  </r>
  <r>
    <x v="18"/>
    <s v="2021-02-03"/>
    <x v="0"/>
    <x v="0"/>
    <n v="41"/>
    <x v="1"/>
    <n v="3.26"/>
    <n v="46.94"/>
    <s v="01800019"/>
  </r>
  <r>
    <x v="18"/>
    <s v="2021-02-03"/>
    <x v="0"/>
    <x v="0"/>
    <n v="40"/>
    <x v="4"/>
    <n v="2.8"/>
    <n v="39.340000000000003"/>
    <s v="62232889"/>
  </r>
  <r>
    <x v="18"/>
    <s v="2021-02-03"/>
    <x v="0"/>
    <x v="0"/>
    <n v="39"/>
    <x v="6"/>
    <n v="2.42"/>
    <n v="33.229999999999997"/>
    <s v="05676026"/>
  </r>
  <r>
    <x v="18"/>
    <s v="2021-02-03"/>
    <x v="0"/>
    <x v="0"/>
    <n v="38"/>
    <x v="5"/>
    <n v="2.42"/>
    <n v="33.159999999999997"/>
    <s v="80271455"/>
  </r>
  <r>
    <x v="18"/>
    <s v="2021-02-03"/>
    <x v="0"/>
    <x v="0"/>
    <n v="37"/>
    <x v="7"/>
    <n v="2.31"/>
    <n v="31.51"/>
    <s v="92874270"/>
  </r>
  <r>
    <x v="18"/>
    <s v="2021-02-03"/>
    <x v="0"/>
    <x v="0"/>
    <n v="36"/>
    <x v="8"/>
    <n v="2.1800000000000002"/>
    <n v="29.54"/>
    <s v="59285411"/>
  </r>
  <r>
    <x v="18"/>
    <s v="2021-02-03"/>
    <x v="0"/>
    <x v="0"/>
    <n v="35"/>
    <x v="9"/>
    <n v="2.0499999999999998"/>
    <n v="27.6"/>
    <s v="00411939"/>
  </r>
  <r>
    <x v="18"/>
    <s v="2021-02-03"/>
    <x v="0"/>
    <x v="0"/>
    <n v="34"/>
    <x v="19"/>
    <n v="1.92"/>
    <n v="25.68"/>
    <s v="92702067"/>
  </r>
  <r>
    <x v="18"/>
    <s v="2021-02-03"/>
    <x v="0"/>
    <x v="0"/>
    <n v="33"/>
    <x v="10"/>
    <n v="1.9"/>
    <n v="25.4"/>
    <s v="10371492"/>
  </r>
  <r>
    <x v="18"/>
    <s v="2021-02-03"/>
    <x v="0"/>
    <x v="0"/>
    <n v="32"/>
    <x v="12"/>
    <n v="1.7"/>
    <n v="22.44"/>
    <s v="04862600"/>
  </r>
  <r>
    <x v="18"/>
    <s v="2021-02-03"/>
    <x v="0"/>
    <x v="0"/>
    <n v="31"/>
    <x v="13"/>
    <n v="1.68"/>
    <n v="22.17"/>
    <s v="07707650"/>
  </r>
  <r>
    <x v="18"/>
    <s v="2021-02-03"/>
    <x v="0"/>
    <x v="0"/>
    <n v="30"/>
    <x v="15"/>
    <n v="1.63"/>
    <n v="21.35"/>
    <s v="59588111"/>
  </r>
  <r>
    <x v="18"/>
    <s v="2021-02-03"/>
    <x v="0"/>
    <x v="0"/>
    <n v="29"/>
    <x v="17"/>
    <n v="1.61"/>
    <n v="21.09"/>
    <s v="04866275"/>
  </r>
  <r>
    <x v="18"/>
    <s v="2021-02-03"/>
    <x v="0"/>
    <x v="0"/>
    <n v="28"/>
    <x v="14"/>
    <n v="1.54"/>
    <n v="20.14"/>
    <s v="00360305"/>
  </r>
  <r>
    <x v="18"/>
    <s v="2021-02-03"/>
    <x v="0"/>
    <x v="0"/>
    <n v="27"/>
    <x v="16"/>
    <n v="1.5"/>
    <n v="19.510000000000002"/>
    <s v="07207996"/>
  </r>
  <r>
    <x v="18"/>
    <s v="2021-02-03"/>
    <x v="0"/>
    <x v="0"/>
    <n v="26"/>
    <x v="11"/>
    <n v="1.41"/>
    <n v="18.329999999999998"/>
    <s v="03634220"/>
  </r>
  <r>
    <x v="18"/>
    <s v="2021-02-03"/>
    <x v="0"/>
    <x v="0"/>
    <n v="25"/>
    <x v="18"/>
    <n v="1.38"/>
    <n v="17.88"/>
    <s v="28127603"/>
  </r>
  <r>
    <x v="18"/>
    <s v="2021-02-03"/>
    <x v="0"/>
    <x v="0"/>
    <n v="24"/>
    <x v="24"/>
    <n v="1.36"/>
    <n v="17.579999999999998"/>
    <s v="22639377"/>
  </r>
  <r>
    <x v="18"/>
    <s v="2021-02-03"/>
    <x v="0"/>
    <x v="0"/>
    <n v="23"/>
    <x v="20"/>
    <n v="1.35"/>
    <n v="17.45"/>
    <s v="17192451"/>
  </r>
  <r>
    <x v="18"/>
    <s v="2021-02-03"/>
    <x v="0"/>
    <x v="0"/>
    <n v="22"/>
    <x v="21"/>
    <n v="1.3"/>
    <n v="16.75"/>
    <s v="03017677"/>
  </r>
  <r>
    <x v="18"/>
    <s v="2021-02-03"/>
    <x v="0"/>
    <x v="0"/>
    <n v="21"/>
    <x v="36"/>
    <n v="1.27"/>
    <n v="16.38"/>
    <s v="33136888"/>
  </r>
  <r>
    <x v="18"/>
    <s v="2021-02-03"/>
    <x v="0"/>
    <x v="0"/>
    <n v="20"/>
    <x v="23"/>
    <n v="1.27"/>
    <n v="16.34"/>
    <s v="03215790"/>
  </r>
  <r>
    <x v="18"/>
    <s v="2021-02-03"/>
    <x v="0"/>
    <x v="0"/>
    <n v="19"/>
    <x v="28"/>
    <n v="1.26"/>
    <n v="16.260000000000002"/>
    <s v="90400888"/>
  </r>
  <r>
    <x v="18"/>
    <s v="2021-02-03"/>
    <x v="0"/>
    <x v="0"/>
    <n v="18"/>
    <x v="25"/>
    <n v="1.24"/>
    <n v="15.89"/>
    <s v="59274605"/>
  </r>
  <r>
    <x v="18"/>
    <s v="2021-02-03"/>
    <x v="0"/>
    <x v="0"/>
    <n v="17"/>
    <x v="26"/>
    <n v="1.22"/>
    <n v="15.72"/>
    <s v="30172491"/>
  </r>
  <r>
    <x v="18"/>
    <s v="2021-02-03"/>
    <x v="0"/>
    <x v="0"/>
    <n v="16"/>
    <x v="32"/>
    <n v="1.1599999999999999"/>
    <n v="14.89"/>
    <s v="60701190"/>
  </r>
  <r>
    <x v="18"/>
    <s v="2021-02-03"/>
    <x v="0"/>
    <x v="0"/>
    <n v="15"/>
    <x v="27"/>
    <n v="1.1499999999999999"/>
    <n v="14.73"/>
    <s v="00000000"/>
  </r>
  <r>
    <x v="18"/>
    <s v="2021-02-03"/>
    <x v="0"/>
    <x v="0"/>
    <n v="14"/>
    <x v="31"/>
    <n v="1.1499999999999999"/>
    <n v="14.68"/>
    <s v="17167412"/>
  </r>
  <r>
    <x v="18"/>
    <s v="2021-02-03"/>
    <x v="0"/>
    <x v="0"/>
    <n v="13"/>
    <x v="29"/>
    <n v="1.1499999999999999"/>
    <n v="14.67"/>
    <s v="60746948"/>
  </r>
  <r>
    <x v="18"/>
    <s v="2021-02-03"/>
    <x v="0"/>
    <x v="0"/>
    <n v="12"/>
    <x v="30"/>
    <n v="1.1399999999999999"/>
    <n v="14.6"/>
    <s v="03502961"/>
  </r>
  <r>
    <x v="18"/>
    <s v="2021-02-03"/>
    <x v="0"/>
    <x v="0"/>
    <n v="11"/>
    <x v="33"/>
    <n v="1.1200000000000001"/>
    <n v="14.26"/>
    <s v="62307848"/>
  </r>
  <r>
    <x v="18"/>
    <s v="2021-02-03"/>
    <x v="0"/>
    <x v="0"/>
    <n v="10"/>
    <x v="34"/>
    <n v="1.05"/>
    <n v="13.4"/>
    <s v="33603457"/>
  </r>
  <r>
    <x v="18"/>
    <s v="2021-02-03"/>
    <x v="0"/>
    <x v="0"/>
    <n v="9"/>
    <x v="37"/>
    <n v="1.03"/>
    <n v="13.12"/>
    <s v="04452473"/>
  </r>
  <r>
    <x v="18"/>
    <s v="2021-02-03"/>
    <x v="0"/>
    <x v="0"/>
    <n v="8"/>
    <x v="45"/>
    <n v="1.03"/>
    <n v="13.09"/>
    <s v="33040601"/>
  </r>
  <r>
    <x v="18"/>
    <s v="2021-02-03"/>
    <x v="0"/>
    <x v="0"/>
    <n v="7"/>
    <x v="43"/>
    <n v="1.01"/>
    <n v="12.87"/>
    <s v="07441209"/>
  </r>
  <r>
    <x v="18"/>
    <s v="2021-02-03"/>
    <x v="0"/>
    <x v="0"/>
    <n v="6"/>
    <x v="35"/>
    <n v="0.99"/>
    <n v="12.48"/>
    <s v="59109165"/>
  </r>
  <r>
    <x v="18"/>
    <s v="2021-02-03"/>
    <x v="0"/>
    <x v="0"/>
    <n v="5"/>
    <x v="39"/>
    <n v="0.95"/>
    <n v="12"/>
    <s v="04902979"/>
  </r>
  <r>
    <x v="18"/>
    <s v="2021-02-03"/>
    <x v="0"/>
    <x v="0"/>
    <n v="4"/>
    <x v="38"/>
    <n v="0.93"/>
    <n v="11.81"/>
    <s v="60814191"/>
  </r>
  <r>
    <x v="18"/>
    <s v="2021-02-03"/>
    <x v="0"/>
    <x v="0"/>
    <n v="3"/>
    <x v="44"/>
    <n v="0.89"/>
    <n v="11.23"/>
    <s v="58017179"/>
  </r>
  <r>
    <x v="18"/>
    <s v="2021-02-03"/>
    <x v="0"/>
    <x v="0"/>
    <n v="2"/>
    <x v="22"/>
    <n v="0.84"/>
    <n v="10.51"/>
    <s v="11417016"/>
  </r>
  <r>
    <x v="18"/>
    <s v="2021-02-03"/>
    <x v="0"/>
    <x v="0"/>
    <n v="1"/>
    <x v="40"/>
    <n v="0.74"/>
    <n v="9.19"/>
    <s v="02992446"/>
  </r>
  <r>
    <x v="19"/>
    <s v="2021-02-04"/>
    <x v="0"/>
    <x v="0"/>
    <n v="43"/>
    <x v="1"/>
    <n v="3.31"/>
    <n v="47.76"/>
    <s v="01800019"/>
  </r>
  <r>
    <x v="19"/>
    <s v="2021-02-04"/>
    <x v="0"/>
    <x v="0"/>
    <n v="42"/>
    <x v="2"/>
    <n v="3.27"/>
    <n v="47.05"/>
    <s v="92228410"/>
  </r>
  <r>
    <x v="19"/>
    <s v="2021-02-04"/>
    <x v="0"/>
    <x v="0"/>
    <n v="41"/>
    <x v="3"/>
    <n v="3.26"/>
    <n v="46.93"/>
    <s v="05503849"/>
  </r>
  <r>
    <x v="19"/>
    <s v="2021-02-04"/>
    <x v="0"/>
    <x v="0"/>
    <n v="40"/>
    <x v="0"/>
    <n v="3.21"/>
    <n v="46.07"/>
    <s v="60850229"/>
  </r>
  <r>
    <x v="19"/>
    <s v="2021-02-04"/>
    <x v="0"/>
    <x v="0"/>
    <n v="39"/>
    <x v="4"/>
    <n v="2.79"/>
    <n v="39.200000000000003"/>
    <s v="62232889"/>
  </r>
  <r>
    <x v="19"/>
    <s v="2021-02-04"/>
    <x v="0"/>
    <x v="0"/>
    <n v="38"/>
    <x v="5"/>
    <n v="2.42"/>
    <n v="33.25"/>
    <s v="80271455"/>
  </r>
  <r>
    <x v="19"/>
    <s v="2021-02-04"/>
    <x v="0"/>
    <x v="0"/>
    <n v="37"/>
    <x v="6"/>
    <n v="2.42"/>
    <n v="33.19"/>
    <s v="05676026"/>
  </r>
  <r>
    <x v="19"/>
    <s v="2021-02-04"/>
    <x v="0"/>
    <x v="0"/>
    <n v="36"/>
    <x v="7"/>
    <n v="2.2999999999999998"/>
    <n v="31.4"/>
    <s v="92874270"/>
  </r>
  <r>
    <x v="19"/>
    <s v="2021-02-04"/>
    <x v="0"/>
    <x v="0"/>
    <n v="35"/>
    <x v="8"/>
    <n v="2.1800000000000002"/>
    <n v="29.55"/>
    <s v="59285411"/>
  </r>
  <r>
    <x v="19"/>
    <s v="2021-02-04"/>
    <x v="0"/>
    <x v="0"/>
    <n v="34"/>
    <x v="9"/>
    <n v="2.0699999999999998"/>
    <n v="27.87"/>
    <s v="00411939"/>
  </r>
  <r>
    <x v="19"/>
    <s v="2021-02-04"/>
    <x v="0"/>
    <x v="0"/>
    <n v="33"/>
    <x v="10"/>
    <n v="1.9"/>
    <n v="25.28"/>
    <s v="10371492"/>
  </r>
  <r>
    <x v="19"/>
    <s v="2021-02-04"/>
    <x v="0"/>
    <x v="0"/>
    <n v="32"/>
    <x v="12"/>
    <n v="1.71"/>
    <n v="22.53"/>
    <s v="04862600"/>
  </r>
  <r>
    <x v="19"/>
    <s v="2021-02-04"/>
    <x v="0"/>
    <x v="0"/>
    <n v="31"/>
    <x v="13"/>
    <n v="1.68"/>
    <n v="22.18"/>
    <s v="07707650"/>
  </r>
  <r>
    <x v="19"/>
    <s v="2021-02-04"/>
    <x v="0"/>
    <x v="0"/>
    <n v="30"/>
    <x v="15"/>
    <n v="1.63"/>
    <n v="21.35"/>
    <s v="59588111"/>
  </r>
  <r>
    <x v="19"/>
    <s v="2021-02-04"/>
    <x v="0"/>
    <x v="0"/>
    <n v="29"/>
    <x v="17"/>
    <n v="1.61"/>
    <n v="21.09"/>
    <s v="04866275"/>
  </r>
  <r>
    <x v="19"/>
    <s v="2021-02-04"/>
    <x v="0"/>
    <x v="0"/>
    <n v="28"/>
    <x v="14"/>
    <n v="1.56"/>
    <n v="20.38"/>
    <s v="00360305"/>
  </r>
  <r>
    <x v="19"/>
    <s v="2021-02-04"/>
    <x v="0"/>
    <x v="0"/>
    <n v="27"/>
    <x v="16"/>
    <n v="1.5"/>
    <n v="19.579999999999998"/>
    <s v="07207996"/>
  </r>
  <r>
    <x v="19"/>
    <s v="2021-02-04"/>
    <x v="0"/>
    <x v="0"/>
    <n v="26"/>
    <x v="11"/>
    <n v="1.4"/>
    <n v="18.11"/>
    <s v="03634220"/>
  </r>
  <r>
    <x v="19"/>
    <s v="2021-02-04"/>
    <x v="0"/>
    <x v="0"/>
    <n v="25"/>
    <x v="18"/>
    <n v="1.36"/>
    <n v="17.62"/>
    <s v="28127603"/>
  </r>
  <r>
    <x v="19"/>
    <s v="2021-02-04"/>
    <x v="0"/>
    <x v="0"/>
    <n v="24"/>
    <x v="24"/>
    <n v="1.36"/>
    <n v="17.579999999999998"/>
    <s v="22639377"/>
  </r>
  <r>
    <x v="19"/>
    <s v="2021-02-04"/>
    <x v="0"/>
    <x v="0"/>
    <n v="23"/>
    <x v="20"/>
    <n v="1.35"/>
    <n v="17.510000000000002"/>
    <s v="17192451"/>
  </r>
  <r>
    <x v="19"/>
    <s v="2021-02-04"/>
    <x v="0"/>
    <x v="0"/>
    <n v="22"/>
    <x v="21"/>
    <n v="1.29"/>
    <n v="16.68"/>
    <s v="03017677"/>
  </r>
  <r>
    <x v="19"/>
    <s v="2021-02-04"/>
    <x v="0"/>
    <x v="0"/>
    <n v="21"/>
    <x v="36"/>
    <n v="1.29"/>
    <n v="16.64"/>
    <s v="33136888"/>
  </r>
  <r>
    <x v="19"/>
    <s v="2021-02-04"/>
    <x v="0"/>
    <x v="0"/>
    <n v="20"/>
    <x v="28"/>
    <n v="1.27"/>
    <n v="16.329999999999998"/>
    <s v="90400888"/>
  </r>
  <r>
    <x v="19"/>
    <s v="2021-02-04"/>
    <x v="0"/>
    <x v="0"/>
    <n v="19"/>
    <x v="23"/>
    <n v="1.27"/>
    <n v="16.3"/>
    <s v="03215790"/>
  </r>
  <r>
    <x v="19"/>
    <s v="2021-02-04"/>
    <x v="0"/>
    <x v="0"/>
    <n v="18"/>
    <x v="25"/>
    <n v="1.24"/>
    <n v="15.87"/>
    <s v="59274605"/>
  </r>
  <r>
    <x v="19"/>
    <s v="2021-02-04"/>
    <x v="0"/>
    <x v="0"/>
    <n v="17"/>
    <x v="26"/>
    <n v="1.23"/>
    <n v="15.79"/>
    <s v="30172491"/>
  </r>
  <r>
    <x v="19"/>
    <s v="2021-02-04"/>
    <x v="0"/>
    <x v="0"/>
    <n v="16"/>
    <x v="32"/>
    <n v="1.18"/>
    <n v="15.05"/>
    <s v="60701190"/>
  </r>
  <r>
    <x v="19"/>
    <s v="2021-02-04"/>
    <x v="0"/>
    <x v="0"/>
    <n v="15"/>
    <x v="27"/>
    <n v="1.1499999999999999"/>
    <n v="14.73"/>
    <s v="00000000"/>
  </r>
  <r>
    <x v="19"/>
    <s v="2021-02-04"/>
    <x v="0"/>
    <x v="0"/>
    <n v="14"/>
    <x v="29"/>
    <n v="1.1499999999999999"/>
    <n v="14.69"/>
    <s v="60746948"/>
  </r>
  <r>
    <x v="19"/>
    <s v="2021-02-04"/>
    <x v="0"/>
    <x v="0"/>
    <n v="13"/>
    <x v="30"/>
    <n v="1.1499999999999999"/>
    <n v="14.67"/>
    <s v="03502961"/>
  </r>
  <r>
    <x v="19"/>
    <s v="2021-02-04"/>
    <x v="0"/>
    <x v="0"/>
    <n v="12"/>
    <x v="31"/>
    <n v="1.1299999999999999"/>
    <n v="14.4"/>
    <s v="17167412"/>
  </r>
  <r>
    <x v="19"/>
    <s v="2021-02-04"/>
    <x v="0"/>
    <x v="0"/>
    <n v="11"/>
    <x v="33"/>
    <n v="1.1200000000000001"/>
    <n v="14.25"/>
    <s v="62307848"/>
  </r>
  <r>
    <x v="19"/>
    <s v="2021-02-04"/>
    <x v="0"/>
    <x v="0"/>
    <n v="10"/>
    <x v="34"/>
    <n v="1.08"/>
    <n v="13.79"/>
    <s v="33603457"/>
  </r>
  <r>
    <x v="19"/>
    <s v="2021-02-04"/>
    <x v="0"/>
    <x v="0"/>
    <n v="9"/>
    <x v="45"/>
    <n v="1.03"/>
    <n v="13.09"/>
    <s v="33040601"/>
  </r>
  <r>
    <x v="19"/>
    <s v="2021-02-04"/>
    <x v="0"/>
    <x v="0"/>
    <n v="8"/>
    <x v="37"/>
    <n v="1.03"/>
    <n v="13.06"/>
    <s v="04452473"/>
  </r>
  <r>
    <x v="19"/>
    <s v="2021-02-04"/>
    <x v="0"/>
    <x v="0"/>
    <n v="7"/>
    <x v="43"/>
    <n v="1.01"/>
    <n v="12.87"/>
    <s v="07441209"/>
  </r>
  <r>
    <x v="19"/>
    <s v="2021-02-04"/>
    <x v="0"/>
    <x v="0"/>
    <n v="6"/>
    <x v="35"/>
    <n v="0.99"/>
    <n v="12.53"/>
    <s v="59109165"/>
  </r>
  <r>
    <x v="19"/>
    <s v="2021-02-04"/>
    <x v="0"/>
    <x v="0"/>
    <n v="5"/>
    <x v="39"/>
    <n v="0.96"/>
    <n v="12.16"/>
    <s v="04902979"/>
  </r>
  <r>
    <x v="19"/>
    <s v="2021-02-04"/>
    <x v="0"/>
    <x v="0"/>
    <n v="4"/>
    <x v="38"/>
    <n v="0.92"/>
    <n v="11.55"/>
    <s v="60814191"/>
  </r>
  <r>
    <x v="19"/>
    <s v="2021-02-04"/>
    <x v="0"/>
    <x v="0"/>
    <n v="3"/>
    <x v="44"/>
    <n v="0.89"/>
    <n v="11.23"/>
    <s v="58017179"/>
  </r>
  <r>
    <x v="19"/>
    <s v="2021-02-04"/>
    <x v="0"/>
    <x v="0"/>
    <n v="2"/>
    <x v="22"/>
    <n v="0.81"/>
    <n v="10.199999999999999"/>
    <s v="11417016"/>
  </r>
  <r>
    <x v="19"/>
    <s v="2021-02-04"/>
    <x v="0"/>
    <x v="0"/>
    <n v="1"/>
    <x v="40"/>
    <n v="0.74"/>
    <n v="9.27"/>
    <s v="02992446"/>
  </r>
  <r>
    <x v="20"/>
    <s v="2021-02-05"/>
    <x v="0"/>
    <x v="0"/>
    <n v="45"/>
    <x v="2"/>
    <n v="3.27"/>
    <n v="47.17"/>
    <s v="92228410"/>
  </r>
  <r>
    <x v="20"/>
    <s v="2021-02-05"/>
    <x v="0"/>
    <x v="0"/>
    <n v="44"/>
    <x v="1"/>
    <n v="3.24"/>
    <n v="46.69"/>
    <s v="01800019"/>
  </r>
  <r>
    <x v="20"/>
    <s v="2021-02-05"/>
    <x v="0"/>
    <x v="0"/>
    <n v="43"/>
    <x v="0"/>
    <n v="3.19"/>
    <n v="45.7"/>
    <s v="60850229"/>
  </r>
  <r>
    <x v="20"/>
    <s v="2021-02-05"/>
    <x v="0"/>
    <x v="0"/>
    <n v="42"/>
    <x v="3"/>
    <n v="3.12"/>
    <n v="44.65"/>
    <s v="05503849"/>
  </r>
  <r>
    <x v="20"/>
    <s v="2021-02-05"/>
    <x v="0"/>
    <x v="0"/>
    <n v="41"/>
    <x v="4"/>
    <n v="2.81"/>
    <n v="39.4"/>
    <s v="62232889"/>
  </r>
  <r>
    <x v="20"/>
    <s v="2021-02-05"/>
    <x v="0"/>
    <x v="0"/>
    <n v="40"/>
    <x v="5"/>
    <n v="2.4700000000000002"/>
    <n v="34.01"/>
    <s v="80271455"/>
  </r>
  <r>
    <x v="20"/>
    <s v="2021-02-05"/>
    <x v="0"/>
    <x v="0"/>
    <n v="39"/>
    <x v="6"/>
    <n v="2.42"/>
    <n v="33.200000000000003"/>
    <s v="05676026"/>
  </r>
  <r>
    <x v="20"/>
    <s v="2021-02-05"/>
    <x v="0"/>
    <x v="0"/>
    <n v="38"/>
    <x v="7"/>
    <n v="2.31"/>
    <n v="31.55"/>
    <s v="92874270"/>
  </r>
  <r>
    <x v="20"/>
    <s v="2021-02-05"/>
    <x v="0"/>
    <x v="0"/>
    <n v="37"/>
    <x v="8"/>
    <n v="2.1800000000000002"/>
    <n v="29.53"/>
    <s v="59285411"/>
  </r>
  <r>
    <x v="20"/>
    <s v="2021-02-05"/>
    <x v="0"/>
    <x v="0"/>
    <n v="36"/>
    <x v="9"/>
    <n v="2.0499999999999998"/>
    <n v="27.64"/>
    <s v="00411939"/>
  </r>
  <r>
    <x v="20"/>
    <s v="2021-02-05"/>
    <x v="0"/>
    <x v="0"/>
    <n v="35"/>
    <x v="46"/>
    <n v="1.97"/>
    <n v="26.4"/>
    <s v="11760553"/>
  </r>
  <r>
    <x v="20"/>
    <s v="2021-02-05"/>
    <x v="0"/>
    <x v="0"/>
    <n v="34"/>
    <x v="10"/>
    <n v="1.9"/>
    <n v="25.36"/>
    <s v="10371492"/>
  </r>
  <r>
    <x v="20"/>
    <s v="2021-02-05"/>
    <x v="0"/>
    <x v="0"/>
    <n v="33"/>
    <x v="12"/>
    <n v="1.7"/>
    <n v="22.47"/>
    <s v="04862600"/>
  </r>
  <r>
    <x v="20"/>
    <s v="2021-02-05"/>
    <x v="0"/>
    <x v="0"/>
    <n v="32"/>
    <x v="13"/>
    <n v="1.69"/>
    <n v="22.25"/>
    <s v="07707650"/>
  </r>
  <r>
    <x v="20"/>
    <s v="2021-02-05"/>
    <x v="0"/>
    <x v="0"/>
    <n v="31"/>
    <x v="15"/>
    <n v="1.63"/>
    <n v="21.36"/>
    <s v="59588111"/>
  </r>
  <r>
    <x v="20"/>
    <s v="2021-02-05"/>
    <x v="0"/>
    <x v="0"/>
    <n v="30"/>
    <x v="17"/>
    <n v="1.61"/>
    <n v="21.09"/>
    <s v="04866275"/>
  </r>
  <r>
    <x v="20"/>
    <s v="2021-02-05"/>
    <x v="0"/>
    <x v="0"/>
    <n v="29"/>
    <x v="14"/>
    <n v="1.57"/>
    <n v="20.48"/>
    <s v="00360305"/>
  </r>
  <r>
    <x v="20"/>
    <s v="2021-02-05"/>
    <x v="0"/>
    <x v="0"/>
    <n v="28"/>
    <x v="16"/>
    <n v="1.51"/>
    <n v="19.68"/>
    <s v="07207996"/>
  </r>
  <r>
    <x v="20"/>
    <s v="2021-02-05"/>
    <x v="0"/>
    <x v="0"/>
    <n v="27"/>
    <x v="18"/>
    <n v="1.39"/>
    <n v="18.05"/>
    <s v="28127603"/>
  </r>
  <r>
    <x v="20"/>
    <s v="2021-02-05"/>
    <x v="0"/>
    <x v="0"/>
    <n v="26"/>
    <x v="20"/>
    <n v="1.37"/>
    <n v="17.66"/>
    <s v="17192451"/>
  </r>
  <r>
    <x v="20"/>
    <s v="2021-02-05"/>
    <x v="0"/>
    <x v="0"/>
    <n v="25"/>
    <x v="24"/>
    <n v="1.36"/>
    <n v="17.62"/>
    <s v="22639377"/>
  </r>
  <r>
    <x v="20"/>
    <s v="2021-02-05"/>
    <x v="0"/>
    <x v="0"/>
    <n v="24"/>
    <x v="11"/>
    <n v="1.36"/>
    <n v="17.54"/>
    <s v="03634220"/>
  </r>
  <r>
    <x v="20"/>
    <s v="2021-02-05"/>
    <x v="0"/>
    <x v="0"/>
    <n v="23"/>
    <x v="45"/>
    <n v="1.33"/>
    <n v="17.13"/>
    <s v="33040601"/>
  </r>
  <r>
    <x v="20"/>
    <s v="2021-02-05"/>
    <x v="0"/>
    <x v="0"/>
    <n v="22"/>
    <x v="21"/>
    <n v="1.29"/>
    <n v="16.64"/>
    <s v="03017677"/>
  </r>
  <r>
    <x v="20"/>
    <s v="2021-02-05"/>
    <x v="0"/>
    <x v="0"/>
    <n v="21"/>
    <x v="36"/>
    <n v="1.28"/>
    <n v="16.420000000000002"/>
    <s v="33136888"/>
  </r>
  <r>
    <x v="20"/>
    <s v="2021-02-05"/>
    <x v="0"/>
    <x v="0"/>
    <n v="20"/>
    <x v="23"/>
    <n v="1.27"/>
    <n v="16.38"/>
    <s v="03215790"/>
  </r>
  <r>
    <x v="20"/>
    <s v="2021-02-05"/>
    <x v="0"/>
    <x v="0"/>
    <n v="19"/>
    <x v="28"/>
    <n v="1.26"/>
    <n v="16.18"/>
    <s v="90400888"/>
  </r>
  <r>
    <x v="20"/>
    <s v="2021-02-05"/>
    <x v="0"/>
    <x v="0"/>
    <n v="18"/>
    <x v="25"/>
    <n v="1.24"/>
    <n v="15.96"/>
    <s v="59274605"/>
  </r>
  <r>
    <x v="20"/>
    <s v="2021-02-05"/>
    <x v="0"/>
    <x v="0"/>
    <n v="17"/>
    <x v="26"/>
    <n v="1.22"/>
    <n v="15.7"/>
    <s v="30172491"/>
  </r>
  <r>
    <x v="20"/>
    <s v="2021-02-05"/>
    <x v="0"/>
    <x v="0"/>
    <n v="16"/>
    <x v="32"/>
    <n v="1.19"/>
    <n v="15.21"/>
    <s v="60701190"/>
  </r>
  <r>
    <x v="20"/>
    <s v="2021-02-05"/>
    <x v="0"/>
    <x v="0"/>
    <n v="15"/>
    <x v="30"/>
    <n v="1.17"/>
    <n v="14.92"/>
    <s v="03502961"/>
  </r>
  <r>
    <x v="20"/>
    <s v="2021-02-05"/>
    <x v="0"/>
    <x v="0"/>
    <n v="14"/>
    <x v="27"/>
    <n v="1.1599999999999999"/>
    <n v="14.81"/>
    <s v="00000000"/>
  </r>
  <r>
    <x v="20"/>
    <s v="2021-02-05"/>
    <x v="0"/>
    <x v="0"/>
    <n v="13"/>
    <x v="29"/>
    <n v="1.1399999999999999"/>
    <n v="14.56"/>
    <s v="60746948"/>
  </r>
  <r>
    <x v="20"/>
    <s v="2021-02-05"/>
    <x v="0"/>
    <x v="0"/>
    <n v="12"/>
    <x v="31"/>
    <n v="1.1299999999999999"/>
    <n v="14.46"/>
    <s v="17167412"/>
  </r>
  <r>
    <x v="20"/>
    <s v="2021-02-05"/>
    <x v="0"/>
    <x v="0"/>
    <n v="11"/>
    <x v="33"/>
    <n v="1.1200000000000001"/>
    <n v="14.26"/>
    <s v="62307848"/>
  </r>
  <r>
    <x v="20"/>
    <s v="2021-02-05"/>
    <x v="0"/>
    <x v="0"/>
    <n v="10"/>
    <x v="34"/>
    <n v="1.08"/>
    <n v="13.8"/>
    <s v="33603457"/>
  </r>
  <r>
    <x v="20"/>
    <s v="2021-02-05"/>
    <x v="0"/>
    <x v="0"/>
    <n v="9"/>
    <x v="43"/>
    <n v="1.02"/>
    <n v="12.99"/>
    <s v="07441209"/>
  </r>
  <r>
    <x v="20"/>
    <s v="2021-02-05"/>
    <x v="0"/>
    <x v="0"/>
    <n v="8"/>
    <x v="37"/>
    <n v="1.02"/>
    <n v="12.97"/>
    <s v="04452473"/>
  </r>
  <r>
    <x v="20"/>
    <s v="2021-02-05"/>
    <x v="0"/>
    <x v="0"/>
    <n v="7"/>
    <x v="35"/>
    <n v="0.98"/>
    <n v="12.45"/>
    <s v="59109165"/>
  </r>
  <r>
    <x v="20"/>
    <s v="2021-02-05"/>
    <x v="0"/>
    <x v="0"/>
    <n v="6"/>
    <x v="39"/>
    <n v="0.96"/>
    <n v="12.17"/>
    <s v="04902979"/>
  </r>
  <r>
    <x v="20"/>
    <s v="2021-02-05"/>
    <x v="0"/>
    <x v="0"/>
    <n v="5"/>
    <x v="44"/>
    <n v="0.91"/>
    <n v="11.42"/>
    <s v="58017179"/>
  </r>
  <r>
    <x v="20"/>
    <s v="2021-02-05"/>
    <x v="0"/>
    <x v="0"/>
    <n v="4"/>
    <x v="47"/>
    <n v="0.89"/>
    <n v="11.19"/>
    <s v="28517628"/>
  </r>
  <r>
    <x v="20"/>
    <s v="2021-02-05"/>
    <x v="0"/>
    <x v="0"/>
    <n v="3"/>
    <x v="38"/>
    <n v="0.89"/>
    <n v="11.17"/>
    <s v="60814191"/>
  </r>
  <r>
    <x v="20"/>
    <s v="2021-02-05"/>
    <x v="0"/>
    <x v="0"/>
    <n v="2"/>
    <x v="22"/>
    <n v="0.82"/>
    <n v="10.35"/>
    <s v="11417016"/>
  </r>
  <r>
    <x v="20"/>
    <s v="2021-02-05"/>
    <x v="0"/>
    <x v="0"/>
    <n v="1"/>
    <x v="40"/>
    <n v="0.74"/>
    <n v="9.3000000000000007"/>
    <s v="02992446"/>
  </r>
  <r>
    <x v="21"/>
    <s v="2021-02-08"/>
    <x v="0"/>
    <x v="0"/>
    <n v="45"/>
    <x v="2"/>
    <n v="3.26"/>
    <n v="47.01"/>
    <s v="92228410"/>
  </r>
  <r>
    <x v="21"/>
    <s v="2021-02-08"/>
    <x v="0"/>
    <x v="0"/>
    <n v="44"/>
    <x v="0"/>
    <n v="3.26"/>
    <n v="46.97"/>
    <s v="60850229"/>
  </r>
  <r>
    <x v="21"/>
    <s v="2021-02-08"/>
    <x v="0"/>
    <x v="0"/>
    <n v="43"/>
    <x v="1"/>
    <n v="3.17"/>
    <n v="45.45"/>
    <s v="01800019"/>
  </r>
  <r>
    <x v="21"/>
    <s v="2021-02-08"/>
    <x v="0"/>
    <x v="0"/>
    <n v="42"/>
    <x v="3"/>
    <n v="3.14"/>
    <n v="44.84"/>
    <s v="05503849"/>
  </r>
  <r>
    <x v="21"/>
    <s v="2021-02-08"/>
    <x v="0"/>
    <x v="0"/>
    <n v="41"/>
    <x v="4"/>
    <n v="2.79"/>
    <n v="39.200000000000003"/>
    <s v="62232889"/>
  </r>
  <r>
    <x v="21"/>
    <s v="2021-02-08"/>
    <x v="0"/>
    <x v="0"/>
    <n v="40"/>
    <x v="5"/>
    <n v="2.42"/>
    <n v="33.29"/>
    <s v="80271455"/>
  </r>
  <r>
    <x v="21"/>
    <s v="2021-02-08"/>
    <x v="0"/>
    <x v="0"/>
    <n v="39"/>
    <x v="6"/>
    <n v="2.42"/>
    <n v="33.159999999999997"/>
    <s v="05676026"/>
  </r>
  <r>
    <x v="21"/>
    <s v="2021-02-08"/>
    <x v="0"/>
    <x v="0"/>
    <n v="38"/>
    <x v="7"/>
    <n v="2.31"/>
    <n v="31.49"/>
    <s v="92874270"/>
  </r>
  <r>
    <x v="21"/>
    <s v="2021-02-08"/>
    <x v="0"/>
    <x v="0"/>
    <n v="37"/>
    <x v="8"/>
    <n v="2.1800000000000002"/>
    <n v="29.54"/>
    <s v="59285411"/>
  </r>
  <r>
    <x v="21"/>
    <s v="2021-02-08"/>
    <x v="0"/>
    <x v="0"/>
    <n v="36"/>
    <x v="9"/>
    <n v="2.04"/>
    <n v="27.41"/>
    <s v="00411939"/>
  </r>
  <r>
    <x v="21"/>
    <s v="2021-02-08"/>
    <x v="0"/>
    <x v="0"/>
    <n v="35"/>
    <x v="46"/>
    <n v="1.97"/>
    <n v="26.4"/>
    <s v="11760553"/>
  </r>
  <r>
    <x v="21"/>
    <s v="2021-02-08"/>
    <x v="0"/>
    <x v="0"/>
    <n v="34"/>
    <x v="10"/>
    <n v="1.88"/>
    <n v="25.1"/>
    <s v="10371492"/>
  </r>
  <r>
    <x v="21"/>
    <s v="2021-02-08"/>
    <x v="0"/>
    <x v="0"/>
    <n v="33"/>
    <x v="13"/>
    <n v="1.71"/>
    <n v="22.52"/>
    <s v="07707650"/>
  </r>
  <r>
    <x v="21"/>
    <s v="2021-02-08"/>
    <x v="0"/>
    <x v="0"/>
    <n v="32"/>
    <x v="12"/>
    <n v="1.69"/>
    <n v="22.29"/>
    <s v="04862600"/>
  </r>
  <r>
    <x v="21"/>
    <s v="2021-02-08"/>
    <x v="0"/>
    <x v="0"/>
    <n v="31"/>
    <x v="15"/>
    <n v="1.63"/>
    <n v="21.43"/>
    <s v="59588111"/>
  </r>
  <r>
    <x v="21"/>
    <s v="2021-02-08"/>
    <x v="0"/>
    <x v="0"/>
    <n v="30"/>
    <x v="17"/>
    <n v="1.61"/>
    <n v="21.09"/>
    <s v="04866275"/>
  </r>
  <r>
    <x v="21"/>
    <s v="2021-02-08"/>
    <x v="0"/>
    <x v="0"/>
    <n v="29"/>
    <x v="14"/>
    <n v="1.54"/>
    <n v="20.100000000000001"/>
    <s v="00360305"/>
  </r>
  <r>
    <x v="21"/>
    <s v="2021-02-08"/>
    <x v="0"/>
    <x v="0"/>
    <n v="28"/>
    <x v="16"/>
    <n v="1.51"/>
    <n v="19.760000000000002"/>
    <s v="07207996"/>
  </r>
  <r>
    <x v="21"/>
    <s v="2021-02-08"/>
    <x v="0"/>
    <x v="0"/>
    <n v="27"/>
    <x v="18"/>
    <n v="1.44"/>
    <n v="18.690000000000001"/>
    <s v="28127603"/>
  </r>
  <r>
    <x v="21"/>
    <s v="2021-02-08"/>
    <x v="0"/>
    <x v="0"/>
    <n v="26"/>
    <x v="24"/>
    <n v="1.38"/>
    <n v="17.87"/>
    <s v="22639377"/>
  </r>
  <r>
    <x v="21"/>
    <s v="2021-02-08"/>
    <x v="0"/>
    <x v="0"/>
    <n v="25"/>
    <x v="20"/>
    <n v="1.38"/>
    <n v="17.82"/>
    <s v="17192451"/>
  </r>
  <r>
    <x v="21"/>
    <s v="2021-02-08"/>
    <x v="0"/>
    <x v="0"/>
    <n v="24"/>
    <x v="36"/>
    <n v="1.37"/>
    <n v="17.68"/>
    <s v="33136888"/>
  </r>
  <r>
    <x v="21"/>
    <s v="2021-02-08"/>
    <x v="0"/>
    <x v="0"/>
    <n v="23"/>
    <x v="45"/>
    <n v="1.33"/>
    <n v="17.13"/>
    <s v="33040601"/>
  </r>
  <r>
    <x v="21"/>
    <s v="2021-02-08"/>
    <x v="0"/>
    <x v="0"/>
    <n v="22"/>
    <x v="11"/>
    <n v="1.32"/>
    <n v="17.100000000000001"/>
    <s v="03634220"/>
  </r>
  <r>
    <x v="21"/>
    <s v="2021-02-08"/>
    <x v="0"/>
    <x v="0"/>
    <n v="21"/>
    <x v="21"/>
    <n v="1.3"/>
    <n v="16.760000000000002"/>
    <s v="03017677"/>
  </r>
  <r>
    <x v="21"/>
    <s v="2021-02-08"/>
    <x v="0"/>
    <x v="0"/>
    <n v="20"/>
    <x v="28"/>
    <n v="1.28"/>
    <n v="16.420000000000002"/>
    <s v="90400888"/>
  </r>
  <r>
    <x v="21"/>
    <s v="2021-02-08"/>
    <x v="0"/>
    <x v="0"/>
    <n v="19"/>
    <x v="23"/>
    <n v="1.27"/>
    <n v="16.38"/>
    <s v="03215790"/>
  </r>
  <r>
    <x v="21"/>
    <s v="2021-02-08"/>
    <x v="0"/>
    <x v="0"/>
    <n v="18"/>
    <x v="25"/>
    <n v="1.26"/>
    <n v="16.170000000000002"/>
    <s v="59274605"/>
  </r>
  <r>
    <x v="21"/>
    <s v="2021-02-08"/>
    <x v="0"/>
    <x v="0"/>
    <n v="17"/>
    <x v="26"/>
    <n v="1.22"/>
    <n v="15.62"/>
    <s v="30172491"/>
  </r>
  <r>
    <x v="21"/>
    <s v="2021-02-08"/>
    <x v="0"/>
    <x v="0"/>
    <n v="16"/>
    <x v="32"/>
    <n v="1.2"/>
    <n v="15.36"/>
    <s v="60701190"/>
  </r>
  <r>
    <x v="21"/>
    <s v="2021-02-08"/>
    <x v="0"/>
    <x v="0"/>
    <n v="15"/>
    <x v="30"/>
    <n v="1.1599999999999999"/>
    <n v="14.86"/>
    <s v="03502961"/>
  </r>
  <r>
    <x v="21"/>
    <s v="2021-02-08"/>
    <x v="0"/>
    <x v="0"/>
    <n v="14"/>
    <x v="29"/>
    <n v="1.1499999999999999"/>
    <n v="14.73"/>
    <s v="60746948"/>
  </r>
  <r>
    <x v="21"/>
    <s v="2021-02-08"/>
    <x v="0"/>
    <x v="0"/>
    <n v="13"/>
    <x v="27"/>
    <n v="1.1499999999999999"/>
    <n v="14.72"/>
    <s v="00000000"/>
  </r>
  <r>
    <x v="21"/>
    <s v="2021-02-08"/>
    <x v="0"/>
    <x v="0"/>
    <n v="12"/>
    <x v="31"/>
    <n v="1.1399999999999999"/>
    <n v="14.59"/>
    <s v="17167412"/>
  </r>
  <r>
    <x v="21"/>
    <s v="2021-02-08"/>
    <x v="0"/>
    <x v="0"/>
    <n v="11"/>
    <x v="33"/>
    <n v="1.1100000000000001"/>
    <n v="14.21"/>
    <s v="62307848"/>
  </r>
  <r>
    <x v="21"/>
    <s v="2021-02-08"/>
    <x v="0"/>
    <x v="0"/>
    <n v="10"/>
    <x v="34"/>
    <n v="1.0900000000000001"/>
    <n v="13.87"/>
    <s v="33603457"/>
  </r>
  <r>
    <x v="21"/>
    <s v="2021-02-08"/>
    <x v="0"/>
    <x v="0"/>
    <n v="9"/>
    <x v="43"/>
    <n v="1.02"/>
    <n v="12.99"/>
    <s v="07441209"/>
  </r>
  <r>
    <x v="21"/>
    <s v="2021-02-08"/>
    <x v="0"/>
    <x v="0"/>
    <n v="8"/>
    <x v="37"/>
    <n v="1.02"/>
    <n v="12.91"/>
    <s v="04452473"/>
  </r>
  <r>
    <x v="21"/>
    <s v="2021-02-08"/>
    <x v="0"/>
    <x v="0"/>
    <n v="7"/>
    <x v="35"/>
    <n v="0.98"/>
    <n v="12.38"/>
    <s v="59109165"/>
  </r>
  <r>
    <x v="21"/>
    <s v="2021-02-08"/>
    <x v="0"/>
    <x v="0"/>
    <n v="6"/>
    <x v="39"/>
    <n v="0.96"/>
    <n v="12.17"/>
    <s v="04902979"/>
  </r>
  <r>
    <x v="21"/>
    <s v="2021-02-08"/>
    <x v="0"/>
    <x v="0"/>
    <n v="5"/>
    <x v="38"/>
    <n v="0.91"/>
    <n v="11.42"/>
    <s v="60814191"/>
  </r>
  <r>
    <x v="21"/>
    <s v="2021-02-08"/>
    <x v="0"/>
    <x v="0"/>
    <n v="4"/>
    <x v="44"/>
    <n v="0.89"/>
    <n v="11.26"/>
    <s v="58017179"/>
  </r>
  <r>
    <x v="21"/>
    <s v="2021-02-08"/>
    <x v="0"/>
    <x v="0"/>
    <n v="3"/>
    <x v="47"/>
    <n v="0.89"/>
    <n v="11.19"/>
    <s v="28517628"/>
  </r>
  <r>
    <x v="21"/>
    <s v="2021-02-08"/>
    <x v="0"/>
    <x v="0"/>
    <n v="2"/>
    <x v="40"/>
    <n v="0.85"/>
    <n v="10.69"/>
    <s v="02992446"/>
  </r>
  <r>
    <x v="21"/>
    <s v="2021-02-08"/>
    <x v="0"/>
    <x v="0"/>
    <n v="1"/>
    <x v="22"/>
    <n v="0.82"/>
    <n v="10.33"/>
    <s v="11417016"/>
  </r>
  <r>
    <x v="22"/>
    <s v="2021-02-09"/>
    <x v="0"/>
    <x v="0"/>
    <n v="46"/>
    <x v="0"/>
    <n v="3.34"/>
    <n v="48.4"/>
    <s v="60850229"/>
  </r>
  <r>
    <x v="22"/>
    <s v="2021-02-09"/>
    <x v="0"/>
    <x v="0"/>
    <n v="45"/>
    <x v="2"/>
    <n v="3.24"/>
    <n v="46.67"/>
    <s v="92228410"/>
  </r>
  <r>
    <x v="22"/>
    <s v="2021-02-09"/>
    <x v="0"/>
    <x v="0"/>
    <n v="44"/>
    <x v="3"/>
    <n v="3.17"/>
    <n v="45.42"/>
    <s v="05503849"/>
  </r>
  <r>
    <x v="22"/>
    <s v="2021-02-09"/>
    <x v="0"/>
    <x v="0"/>
    <n v="43"/>
    <x v="1"/>
    <n v="3.12"/>
    <n v="44.62"/>
    <s v="01800019"/>
  </r>
  <r>
    <x v="22"/>
    <s v="2021-02-09"/>
    <x v="0"/>
    <x v="0"/>
    <n v="42"/>
    <x v="4"/>
    <n v="2.78"/>
    <n v="39.01"/>
    <s v="62232889"/>
  </r>
  <r>
    <x v="22"/>
    <s v="2021-02-09"/>
    <x v="0"/>
    <x v="0"/>
    <n v="41"/>
    <x v="5"/>
    <n v="2.5"/>
    <n v="34.5"/>
    <s v="80271455"/>
  </r>
  <r>
    <x v="22"/>
    <s v="2021-02-09"/>
    <x v="0"/>
    <x v="0"/>
    <n v="40"/>
    <x v="6"/>
    <n v="2.41"/>
    <n v="33.14"/>
    <s v="05676026"/>
  </r>
  <r>
    <x v="22"/>
    <s v="2021-02-09"/>
    <x v="0"/>
    <x v="0"/>
    <n v="39"/>
    <x v="7"/>
    <n v="2.29"/>
    <n v="31.28"/>
    <s v="92874270"/>
  </r>
  <r>
    <x v="22"/>
    <s v="2021-02-09"/>
    <x v="0"/>
    <x v="0"/>
    <n v="38"/>
    <x v="8"/>
    <n v="2.1800000000000002"/>
    <n v="29.52"/>
    <s v="59285411"/>
  </r>
  <r>
    <x v="22"/>
    <s v="2021-02-09"/>
    <x v="0"/>
    <x v="0"/>
    <n v="37"/>
    <x v="9"/>
    <n v="2.08"/>
    <n v="27.95"/>
    <s v="00411939"/>
  </r>
  <r>
    <x v="22"/>
    <s v="2021-02-09"/>
    <x v="0"/>
    <x v="0"/>
    <n v="36"/>
    <x v="46"/>
    <n v="1.97"/>
    <n v="26.4"/>
    <s v="11760553"/>
  </r>
  <r>
    <x v="22"/>
    <s v="2021-02-09"/>
    <x v="0"/>
    <x v="0"/>
    <n v="35"/>
    <x v="10"/>
    <n v="1.88"/>
    <n v="24.97"/>
    <s v="10371492"/>
  </r>
  <r>
    <x v="22"/>
    <s v="2021-02-09"/>
    <x v="0"/>
    <x v="0"/>
    <n v="34"/>
    <x v="19"/>
    <n v="1.8"/>
    <n v="23.92"/>
    <s v="92702067"/>
  </r>
  <r>
    <x v="22"/>
    <s v="2021-02-09"/>
    <x v="0"/>
    <x v="0"/>
    <n v="33"/>
    <x v="13"/>
    <n v="1.7"/>
    <n v="22.48"/>
    <s v="07707650"/>
  </r>
  <r>
    <x v="22"/>
    <s v="2021-02-09"/>
    <x v="0"/>
    <x v="0"/>
    <n v="32"/>
    <x v="12"/>
    <n v="1.69"/>
    <n v="22.29"/>
    <s v="04862600"/>
  </r>
  <r>
    <x v="22"/>
    <s v="2021-02-09"/>
    <x v="0"/>
    <x v="0"/>
    <n v="31"/>
    <x v="15"/>
    <n v="1.63"/>
    <n v="21.46"/>
    <s v="59588111"/>
  </r>
  <r>
    <x v="22"/>
    <s v="2021-02-09"/>
    <x v="0"/>
    <x v="0"/>
    <n v="30"/>
    <x v="17"/>
    <n v="1.61"/>
    <n v="21.09"/>
    <s v="04866275"/>
  </r>
  <r>
    <x v="22"/>
    <s v="2021-02-09"/>
    <x v="0"/>
    <x v="0"/>
    <n v="29"/>
    <x v="14"/>
    <n v="1.52"/>
    <n v="19.78"/>
    <s v="00360305"/>
  </r>
  <r>
    <x v="22"/>
    <s v="2021-02-09"/>
    <x v="0"/>
    <x v="0"/>
    <n v="28"/>
    <x v="16"/>
    <n v="1.51"/>
    <n v="19.649999999999999"/>
    <s v="07207996"/>
  </r>
  <r>
    <x v="22"/>
    <s v="2021-02-09"/>
    <x v="0"/>
    <x v="0"/>
    <n v="27"/>
    <x v="18"/>
    <n v="1.47"/>
    <n v="19.18"/>
    <s v="28127603"/>
  </r>
  <r>
    <x v="22"/>
    <s v="2021-02-09"/>
    <x v="0"/>
    <x v="0"/>
    <n v="26"/>
    <x v="20"/>
    <n v="1.38"/>
    <n v="17.87"/>
    <s v="17192451"/>
  </r>
  <r>
    <x v="22"/>
    <s v="2021-02-09"/>
    <x v="0"/>
    <x v="0"/>
    <n v="25"/>
    <x v="24"/>
    <n v="1.38"/>
    <n v="17.829999999999998"/>
    <s v="22639377"/>
  </r>
  <r>
    <x v="22"/>
    <s v="2021-02-09"/>
    <x v="0"/>
    <x v="0"/>
    <n v="24"/>
    <x v="36"/>
    <n v="1.37"/>
    <n v="17.68"/>
    <s v="33136888"/>
  </r>
  <r>
    <x v="22"/>
    <s v="2021-02-09"/>
    <x v="0"/>
    <x v="0"/>
    <n v="23"/>
    <x v="45"/>
    <n v="1.33"/>
    <n v="17.13"/>
    <s v="33040601"/>
  </r>
  <r>
    <x v="22"/>
    <s v="2021-02-09"/>
    <x v="0"/>
    <x v="0"/>
    <n v="22"/>
    <x v="21"/>
    <n v="1.3"/>
    <n v="16.760000000000002"/>
    <s v="03017677"/>
  </r>
  <r>
    <x v="22"/>
    <s v="2021-02-09"/>
    <x v="0"/>
    <x v="0"/>
    <n v="21"/>
    <x v="11"/>
    <n v="1.29"/>
    <n v="16.64"/>
    <s v="03634220"/>
  </r>
  <r>
    <x v="22"/>
    <s v="2021-02-09"/>
    <x v="0"/>
    <x v="0"/>
    <n v="20"/>
    <x v="23"/>
    <n v="1.28"/>
    <n v="16.54"/>
    <s v="03215790"/>
  </r>
  <r>
    <x v="22"/>
    <s v="2021-02-09"/>
    <x v="0"/>
    <x v="0"/>
    <n v="19"/>
    <x v="25"/>
    <n v="1.28"/>
    <n v="16.420000000000002"/>
    <s v="59274605"/>
  </r>
  <r>
    <x v="22"/>
    <s v="2021-02-09"/>
    <x v="0"/>
    <x v="0"/>
    <n v="18"/>
    <x v="28"/>
    <n v="1.27"/>
    <n v="16.350000000000001"/>
    <s v="90400888"/>
  </r>
  <r>
    <x v="22"/>
    <s v="2021-02-09"/>
    <x v="0"/>
    <x v="0"/>
    <n v="17"/>
    <x v="26"/>
    <n v="1.21"/>
    <n v="15.5"/>
    <s v="30172491"/>
  </r>
  <r>
    <x v="22"/>
    <s v="2021-02-09"/>
    <x v="0"/>
    <x v="0"/>
    <n v="16"/>
    <x v="32"/>
    <n v="1.2"/>
    <n v="15.43"/>
    <s v="60701190"/>
  </r>
  <r>
    <x v="22"/>
    <s v="2021-02-09"/>
    <x v="0"/>
    <x v="0"/>
    <n v="15"/>
    <x v="30"/>
    <n v="1.1599999999999999"/>
    <n v="14.89"/>
    <s v="03502961"/>
  </r>
  <r>
    <x v="22"/>
    <s v="2021-02-09"/>
    <x v="0"/>
    <x v="0"/>
    <n v="14"/>
    <x v="27"/>
    <n v="1.1499999999999999"/>
    <n v="14.7"/>
    <s v="00000000"/>
  </r>
  <r>
    <x v="22"/>
    <s v="2021-02-09"/>
    <x v="0"/>
    <x v="0"/>
    <n v="13"/>
    <x v="29"/>
    <n v="1.1499999999999999"/>
    <n v="14.66"/>
    <s v="60746948"/>
  </r>
  <r>
    <x v="22"/>
    <s v="2021-02-09"/>
    <x v="0"/>
    <x v="0"/>
    <n v="12"/>
    <x v="31"/>
    <n v="1.1399999999999999"/>
    <n v="14.62"/>
    <s v="17167412"/>
  </r>
  <r>
    <x v="22"/>
    <s v="2021-02-09"/>
    <x v="0"/>
    <x v="0"/>
    <n v="11"/>
    <x v="33"/>
    <n v="1.1100000000000001"/>
    <n v="14.19"/>
    <s v="62307848"/>
  </r>
  <r>
    <x v="22"/>
    <s v="2021-02-09"/>
    <x v="0"/>
    <x v="0"/>
    <n v="10"/>
    <x v="43"/>
    <n v="1.1000000000000001"/>
    <n v="14.03"/>
    <s v="07441209"/>
  </r>
  <r>
    <x v="22"/>
    <s v="2021-02-09"/>
    <x v="0"/>
    <x v="0"/>
    <n v="9"/>
    <x v="34"/>
    <n v="1.1000000000000001"/>
    <n v="13.98"/>
    <s v="33603457"/>
  </r>
  <r>
    <x v="22"/>
    <s v="2021-02-09"/>
    <x v="0"/>
    <x v="0"/>
    <n v="8"/>
    <x v="37"/>
    <n v="1.02"/>
    <n v="12.95"/>
    <s v="04452473"/>
  </r>
  <r>
    <x v="22"/>
    <s v="2021-02-09"/>
    <x v="0"/>
    <x v="0"/>
    <n v="7"/>
    <x v="35"/>
    <n v="0.97"/>
    <n v="12.31"/>
    <s v="59109165"/>
  </r>
  <r>
    <x v="22"/>
    <s v="2021-02-09"/>
    <x v="0"/>
    <x v="0"/>
    <n v="6"/>
    <x v="39"/>
    <n v="0.93"/>
    <n v="11.72"/>
    <s v="04902979"/>
  </r>
  <r>
    <x v="22"/>
    <s v="2021-02-09"/>
    <x v="0"/>
    <x v="0"/>
    <n v="5"/>
    <x v="44"/>
    <n v="0.92"/>
    <n v="11.66"/>
    <s v="58017179"/>
  </r>
  <r>
    <x v="22"/>
    <s v="2021-02-09"/>
    <x v="0"/>
    <x v="0"/>
    <n v="4"/>
    <x v="47"/>
    <n v="0.89"/>
    <n v="11.19"/>
    <s v="28517628"/>
  </r>
  <r>
    <x v="22"/>
    <s v="2021-02-09"/>
    <x v="0"/>
    <x v="0"/>
    <n v="3"/>
    <x v="38"/>
    <n v="0.86"/>
    <n v="10.86"/>
    <s v="60814191"/>
  </r>
  <r>
    <x v="22"/>
    <s v="2021-02-09"/>
    <x v="0"/>
    <x v="0"/>
    <n v="2"/>
    <x v="40"/>
    <n v="0.86"/>
    <n v="10.85"/>
    <s v="02992446"/>
  </r>
  <r>
    <x v="22"/>
    <s v="2021-02-09"/>
    <x v="0"/>
    <x v="0"/>
    <n v="1"/>
    <x v="22"/>
    <n v="0.84"/>
    <n v="10.54"/>
    <s v="11417016"/>
  </r>
  <r>
    <x v="23"/>
    <s v="2021-02-10"/>
    <x v="0"/>
    <x v="0"/>
    <n v="44"/>
    <x v="0"/>
    <n v="3.33"/>
    <n v="48.09"/>
    <s v="60850229"/>
  </r>
  <r>
    <x v="23"/>
    <s v="2021-02-10"/>
    <x v="0"/>
    <x v="0"/>
    <n v="43"/>
    <x v="2"/>
    <n v="3.22"/>
    <n v="46.29"/>
    <s v="92228410"/>
  </r>
  <r>
    <x v="23"/>
    <s v="2021-02-10"/>
    <x v="0"/>
    <x v="0"/>
    <n v="42"/>
    <x v="3"/>
    <n v="3.19"/>
    <n v="45.73"/>
    <s v="05503849"/>
  </r>
  <r>
    <x v="23"/>
    <s v="2021-02-10"/>
    <x v="0"/>
    <x v="0"/>
    <n v="41"/>
    <x v="1"/>
    <n v="3.06"/>
    <n v="43.62"/>
    <s v="01800019"/>
  </r>
  <r>
    <x v="23"/>
    <s v="2021-02-10"/>
    <x v="0"/>
    <x v="0"/>
    <n v="40"/>
    <x v="4"/>
    <n v="2.8"/>
    <n v="39.299999999999997"/>
    <s v="62232889"/>
  </r>
  <r>
    <x v="23"/>
    <s v="2021-02-10"/>
    <x v="0"/>
    <x v="0"/>
    <n v="39"/>
    <x v="5"/>
    <n v="2.4300000000000002"/>
    <n v="33.409999999999997"/>
    <s v="80271455"/>
  </r>
  <r>
    <x v="23"/>
    <s v="2021-02-10"/>
    <x v="0"/>
    <x v="0"/>
    <n v="38"/>
    <x v="6"/>
    <n v="2.41"/>
    <n v="33.14"/>
    <s v="05676026"/>
  </r>
  <r>
    <x v="23"/>
    <s v="2021-02-10"/>
    <x v="0"/>
    <x v="0"/>
    <n v="37"/>
    <x v="7"/>
    <n v="2.2999999999999998"/>
    <n v="31.29"/>
    <s v="92874270"/>
  </r>
  <r>
    <x v="23"/>
    <s v="2021-02-10"/>
    <x v="0"/>
    <x v="0"/>
    <n v="36"/>
    <x v="8"/>
    <n v="2.1800000000000002"/>
    <n v="29.5"/>
    <s v="59285411"/>
  </r>
  <r>
    <x v="23"/>
    <s v="2021-02-10"/>
    <x v="0"/>
    <x v="0"/>
    <n v="35"/>
    <x v="9"/>
    <n v="2.0699999999999998"/>
    <n v="27.85"/>
    <s v="00411939"/>
  </r>
  <r>
    <x v="23"/>
    <s v="2021-02-10"/>
    <x v="0"/>
    <x v="0"/>
    <n v="34"/>
    <x v="46"/>
    <n v="1.97"/>
    <n v="26.4"/>
    <s v="11760553"/>
  </r>
  <r>
    <x v="23"/>
    <s v="2021-02-10"/>
    <x v="0"/>
    <x v="0"/>
    <n v="33"/>
    <x v="10"/>
    <n v="1.87"/>
    <n v="24.88"/>
    <s v="10371492"/>
  </r>
  <r>
    <x v="23"/>
    <s v="2021-02-10"/>
    <x v="0"/>
    <x v="0"/>
    <n v="32"/>
    <x v="19"/>
    <n v="1.8"/>
    <n v="23.92"/>
    <s v="92702067"/>
  </r>
  <r>
    <x v="23"/>
    <s v="2021-02-10"/>
    <x v="0"/>
    <x v="0"/>
    <n v="31"/>
    <x v="13"/>
    <n v="1.7"/>
    <n v="22.47"/>
    <s v="07707650"/>
  </r>
  <r>
    <x v="23"/>
    <s v="2021-02-10"/>
    <x v="0"/>
    <x v="0"/>
    <n v="30"/>
    <x v="12"/>
    <n v="1.67"/>
    <n v="22.04"/>
    <s v="04862600"/>
  </r>
  <r>
    <x v="23"/>
    <s v="2021-02-10"/>
    <x v="0"/>
    <x v="0"/>
    <n v="29"/>
    <x v="15"/>
    <n v="1.63"/>
    <n v="21.41"/>
    <s v="59588111"/>
  </r>
  <r>
    <x v="23"/>
    <s v="2021-02-10"/>
    <x v="0"/>
    <x v="0"/>
    <n v="28"/>
    <x v="16"/>
    <n v="1.5"/>
    <n v="19.54"/>
    <s v="07207996"/>
  </r>
  <r>
    <x v="23"/>
    <s v="2021-02-10"/>
    <x v="0"/>
    <x v="0"/>
    <n v="27"/>
    <x v="14"/>
    <n v="1.48"/>
    <n v="19.25"/>
    <s v="00360305"/>
  </r>
  <r>
    <x v="23"/>
    <s v="2021-02-10"/>
    <x v="0"/>
    <x v="0"/>
    <n v="26"/>
    <x v="18"/>
    <n v="1.47"/>
    <n v="19.149999999999999"/>
    <s v="28127603"/>
  </r>
  <r>
    <x v="23"/>
    <s v="2021-02-10"/>
    <x v="0"/>
    <x v="0"/>
    <n v="25"/>
    <x v="20"/>
    <n v="1.38"/>
    <n v="17.829999999999998"/>
    <s v="17192451"/>
  </r>
  <r>
    <x v="23"/>
    <s v="2021-02-10"/>
    <x v="0"/>
    <x v="0"/>
    <n v="24"/>
    <x v="24"/>
    <n v="1.37"/>
    <n v="17.73"/>
    <s v="22639377"/>
  </r>
  <r>
    <x v="23"/>
    <s v="2021-02-10"/>
    <x v="0"/>
    <x v="0"/>
    <n v="23"/>
    <x v="36"/>
    <n v="1.37"/>
    <n v="17.68"/>
    <s v="33136888"/>
  </r>
  <r>
    <x v="23"/>
    <s v="2021-02-10"/>
    <x v="0"/>
    <x v="0"/>
    <n v="22"/>
    <x v="45"/>
    <n v="1.33"/>
    <n v="17.13"/>
    <s v="33040601"/>
  </r>
  <r>
    <x v="23"/>
    <s v="2021-02-10"/>
    <x v="0"/>
    <x v="0"/>
    <n v="21"/>
    <x v="11"/>
    <n v="1.32"/>
    <n v="17.05"/>
    <s v="03634220"/>
  </r>
  <r>
    <x v="23"/>
    <s v="2021-02-10"/>
    <x v="0"/>
    <x v="0"/>
    <n v="20"/>
    <x v="21"/>
    <n v="1.3"/>
    <n v="16.760000000000002"/>
    <s v="03017677"/>
  </r>
  <r>
    <x v="23"/>
    <s v="2021-02-10"/>
    <x v="0"/>
    <x v="0"/>
    <n v="19"/>
    <x v="23"/>
    <n v="1.3"/>
    <n v="16.7"/>
    <s v="03215790"/>
  </r>
  <r>
    <x v="23"/>
    <s v="2021-02-10"/>
    <x v="0"/>
    <x v="0"/>
    <n v="18"/>
    <x v="25"/>
    <n v="1.28"/>
    <n v="16.48"/>
    <s v="59274605"/>
  </r>
  <r>
    <x v="23"/>
    <s v="2021-02-10"/>
    <x v="0"/>
    <x v="0"/>
    <n v="17"/>
    <x v="28"/>
    <n v="1.28"/>
    <n v="16.440000000000001"/>
    <s v="90400888"/>
  </r>
  <r>
    <x v="23"/>
    <s v="2021-02-10"/>
    <x v="0"/>
    <x v="0"/>
    <n v="16"/>
    <x v="26"/>
    <n v="1.21"/>
    <n v="15.51"/>
    <s v="30172491"/>
  </r>
  <r>
    <x v="23"/>
    <s v="2021-02-10"/>
    <x v="0"/>
    <x v="0"/>
    <n v="15"/>
    <x v="32"/>
    <n v="1.21"/>
    <n v="15.48"/>
    <s v="60701190"/>
  </r>
  <r>
    <x v="23"/>
    <s v="2021-02-10"/>
    <x v="0"/>
    <x v="0"/>
    <n v="14"/>
    <x v="30"/>
    <n v="1.1599999999999999"/>
    <n v="14.79"/>
    <s v="03502961"/>
  </r>
  <r>
    <x v="23"/>
    <s v="2021-02-10"/>
    <x v="0"/>
    <x v="0"/>
    <n v="13"/>
    <x v="31"/>
    <n v="1.1499999999999999"/>
    <n v="14.75"/>
    <s v="17167412"/>
  </r>
  <r>
    <x v="23"/>
    <s v="2021-02-10"/>
    <x v="0"/>
    <x v="0"/>
    <n v="12"/>
    <x v="29"/>
    <n v="1.1399999999999999"/>
    <n v="14.6"/>
    <s v="60746948"/>
  </r>
  <r>
    <x v="23"/>
    <s v="2021-02-10"/>
    <x v="0"/>
    <x v="0"/>
    <n v="11"/>
    <x v="27"/>
    <n v="1.1299999999999999"/>
    <n v="14.47"/>
    <s v="00000000"/>
  </r>
  <r>
    <x v="23"/>
    <s v="2021-02-10"/>
    <x v="0"/>
    <x v="0"/>
    <n v="10"/>
    <x v="33"/>
    <n v="1.1200000000000001"/>
    <n v="14.31"/>
    <s v="62307848"/>
  </r>
  <r>
    <x v="23"/>
    <s v="2021-02-10"/>
    <x v="0"/>
    <x v="0"/>
    <n v="9"/>
    <x v="34"/>
    <n v="1.1200000000000001"/>
    <n v="14.24"/>
    <s v="33603457"/>
  </r>
  <r>
    <x v="23"/>
    <s v="2021-02-10"/>
    <x v="0"/>
    <x v="0"/>
    <n v="8"/>
    <x v="37"/>
    <n v="1.02"/>
    <n v="12.95"/>
    <s v="04452473"/>
  </r>
  <r>
    <x v="23"/>
    <s v="2021-02-10"/>
    <x v="0"/>
    <x v="0"/>
    <n v="7"/>
    <x v="35"/>
    <n v="0.98"/>
    <n v="12.47"/>
    <s v="59109165"/>
  </r>
  <r>
    <x v="23"/>
    <s v="2021-02-10"/>
    <x v="0"/>
    <x v="0"/>
    <n v="6"/>
    <x v="44"/>
    <n v="0.92"/>
    <n v="11.67"/>
    <s v="58017179"/>
  </r>
  <r>
    <x v="23"/>
    <s v="2021-02-10"/>
    <x v="0"/>
    <x v="0"/>
    <n v="5"/>
    <x v="47"/>
    <n v="0.89"/>
    <n v="11.19"/>
    <s v="28517628"/>
  </r>
  <r>
    <x v="23"/>
    <s v="2021-02-10"/>
    <x v="0"/>
    <x v="0"/>
    <n v="4"/>
    <x v="39"/>
    <n v="0.88"/>
    <n v="11.12"/>
    <s v="04902979"/>
  </r>
  <r>
    <x v="23"/>
    <s v="2021-02-10"/>
    <x v="0"/>
    <x v="0"/>
    <n v="3"/>
    <x v="40"/>
    <n v="0.86"/>
    <n v="10.81"/>
    <s v="02992446"/>
  </r>
  <r>
    <x v="23"/>
    <s v="2021-02-10"/>
    <x v="0"/>
    <x v="0"/>
    <n v="2"/>
    <x v="38"/>
    <n v="0.84"/>
    <n v="10.61"/>
    <s v="60814191"/>
  </r>
  <r>
    <x v="23"/>
    <s v="2021-02-10"/>
    <x v="0"/>
    <x v="0"/>
    <n v="1"/>
    <x v="22"/>
    <n v="0.84"/>
    <n v="10.54"/>
    <s v="11417016"/>
  </r>
  <r>
    <x v="24"/>
    <s v="2021-02-11"/>
    <x v="0"/>
    <x v="0"/>
    <n v="43"/>
    <x v="0"/>
    <n v="3.33"/>
    <n v="48.23"/>
    <s v="60850229"/>
  </r>
  <r>
    <x v="24"/>
    <s v="2021-02-11"/>
    <x v="0"/>
    <x v="0"/>
    <n v="42"/>
    <x v="3"/>
    <n v="3.23"/>
    <n v="46.37"/>
    <s v="05503849"/>
  </r>
  <r>
    <x v="24"/>
    <s v="2021-02-11"/>
    <x v="0"/>
    <x v="0"/>
    <n v="41"/>
    <x v="2"/>
    <n v="3.19"/>
    <n v="45.71"/>
    <s v="92228410"/>
  </r>
  <r>
    <x v="24"/>
    <s v="2021-02-11"/>
    <x v="0"/>
    <x v="0"/>
    <n v="40"/>
    <x v="1"/>
    <n v="3.07"/>
    <n v="43.67"/>
    <s v="01800019"/>
  </r>
  <r>
    <x v="24"/>
    <s v="2021-02-11"/>
    <x v="0"/>
    <x v="0"/>
    <n v="39"/>
    <x v="4"/>
    <n v="2.81"/>
    <n v="39.39"/>
    <s v="62232889"/>
  </r>
  <r>
    <x v="24"/>
    <s v="2021-02-11"/>
    <x v="0"/>
    <x v="0"/>
    <n v="38"/>
    <x v="5"/>
    <n v="2.4700000000000002"/>
    <n v="34.049999999999997"/>
    <s v="80271455"/>
  </r>
  <r>
    <x v="24"/>
    <s v="2021-02-11"/>
    <x v="0"/>
    <x v="0"/>
    <n v="37"/>
    <x v="6"/>
    <n v="2.41"/>
    <n v="33.119999999999997"/>
    <s v="05676026"/>
  </r>
  <r>
    <x v="24"/>
    <s v="2021-02-11"/>
    <x v="0"/>
    <x v="0"/>
    <n v="36"/>
    <x v="7"/>
    <n v="2.29"/>
    <n v="31.29"/>
    <s v="92874270"/>
  </r>
  <r>
    <x v="24"/>
    <s v="2021-02-11"/>
    <x v="0"/>
    <x v="0"/>
    <n v="35"/>
    <x v="8"/>
    <n v="2.17"/>
    <n v="29.44"/>
    <s v="59285411"/>
  </r>
  <r>
    <x v="24"/>
    <s v="2021-02-11"/>
    <x v="0"/>
    <x v="0"/>
    <n v="34"/>
    <x v="9"/>
    <n v="2.06"/>
    <n v="27.77"/>
    <s v="00411939"/>
  </r>
  <r>
    <x v="24"/>
    <s v="2021-02-11"/>
    <x v="0"/>
    <x v="0"/>
    <n v="33"/>
    <x v="46"/>
    <n v="1.97"/>
    <n v="26.4"/>
    <s v="11760553"/>
  </r>
  <r>
    <x v="24"/>
    <s v="2021-02-11"/>
    <x v="0"/>
    <x v="0"/>
    <n v="32"/>
    <x v="10"/>
    <n v="1.87"/>
    <n v="24.86"/>
    <s v="10371492"/>
  </r>
  <r>
    <x v="24"/>
    <s v="2021-02-11"/>
    <x v="0"/>
    <x v="0"/>
    <n v="31"/>
    <x v="19"/>
    <n v="1.8"/>
    <n v="23.92"/>
    <s v="92702067"/>
  </r>
  <r>
    <x v="24"/>
    <s v="2021-02-11"/>
    <x v="0"/>
    <x v="0"/>
    <n v="30"/>
    <x v="13"/>
    <n v="1.7"/>
    <n v="22.46"/>
    <s v="07707650"/>
  </r>
  <r>
    <x v="24"/>
    <s v="2021-02-11"/>
    <x v="0"/>
    <x v="0"/>
    <n v="29"/>
    <x v="12"/>
    <n v="1.66"/>
    <n v="21.81"/>
    <s v="04862600"/>
  </r>
  <r>
    <x v="24"/>
    <s v="2021-02-11"/>
    <x v="0"/>
    <x v="0"/>
    <n v="28"/>
    <x v="15"/>
    <n v="1.63"/>
    <n v="21.44"/>
    <s v="59588111"/>
  </r>
  <r>
    <x v="24"/>
    <s v="2021-02-11"/>
    <x v="0"/>
    <x v="0"/>
    <n v="27"/>
    <x v="14"/>
    <n v="1.53"/>
    <n v="19.940000000000001"/>
    <s v="00360305"/>
  </r>
  <r>
    <x v="24"/>
    <s v="2021-02-11"/>
    <x v="0"/>
    <x v="0"/>
    <n v="26"/>
    <x v="16"/>
    <n v="1.49"/>
    <n v="19.46"/>
    <s v="07207996"/>
  </r>
  <r>
    <x v="24"/>
    <s v="2021-02-11"/>
    <x v="0"/>
    <x v="0"/>
    <n v="25"/>
    <x v="18"/>
    <n v="1.46"/>
    <n v="19.03"/>
    <s v="28127603"/>
  </r>
  <r>
    <x v="24"/>
    <s v="2021-02-11"/>
    <x v="0"/>
    <x v="0"/>
    <n v="24"/>
    <x v="24"/>
    <n v="1.38"/>
    <n v="17.88"/>
    <s v="22639377"/>
  </r>
  <r>
    <x v="24"/>
    <s v="2021-02-11"/>
    <x v="0"/>
    <x v="0"/>
    <n v="23"/>
    <x v="20"/>
    <n v="1.38"/>
    <n v="17.84"/>
    <s v="17192451"/>
  </r>
  <r>
    <x v="24"/>
    <s v="2021-02-11"/>
    <x v="0"/>
    <x v="0"/>
    <n v="22"/>
    <x v="45"/>
    <n v="1.33"/>
    <n v="17.13"/>
    <s v="33040601"/>
  </r>
  <r>
    <x v="24"/>
    <s v="2021-02-11"/>
    <x v="0"/>
    <x v="0"/>
    <n v="21"/>
    <x v="11"/>
    <n v="1.31"/>
    <n v="16.850000000000001"/>
    <s v="03634220"/>
  </r>
  <r>
    <x v="24"/>
    <s v="2021-02-11"/>
    <x v="0"/>
    <x v="0"/>
    <n v="20"/>
    <x v="21"/>
    <n v="1.31"/>
    <n v="16.84"/>
    <s v="03017677"/>
  </r>
  <r>
    <x v="24"/>
    <s v="2021-02-11"/>
    <x v="0"/>
    <x v="0"/>
    <n v="19"/>
    <x v="23"/>
    <n v="1.3"/>
    <n v="16.77"/>
    <s v="03215790"/>
  </r>
  <r>
    <x v="24"/>
    <s v="2021-02-11"/>
    <x v="0"/>
    <x v="0"/>
    <n v="18"/>
    <x v="28"/>
    <n v="1.28"/>
    <n v="16.55"/>
    <s v="90400888"/>
  </r>
  <r>
    <x v="24"/>
    <s v="2021-02-11"/>
    <x v="0"/>
    <x v="0"/>
    <n v="17"/>
    <x v="25"/>
    <n v="1.28"/>
    <n v="16.54"/>
    <s v="59274605"/>
  </r>
  <r>
    <x v="24"/>
    <s v="2021-02-11"/>
    <x v="0"/>
    <x v="0"/>
    <n v="16"/>
    <x v="32"/>
    <n v="1.21"/>
    <n v="15.56"/>
    <s v="60701190"/>
  </r>
  <r>
    <x v="24"/>
    <s v="2021-02-11"/>
    <x v="0"/>
    <x v="0"/>
    <n v="15"/>
    <x v="26"/>
    <n v="1.21"/>
    <n v="15.49"/>
    <s v="30172491"/>
  </r>
  <r>
    <x v="24"/>
    <s v="2021-02-11"/>
    <x v="0"/>
    <x v="0"/>
    <n v="14"/>
    <x v="31"/>
    <n v="1.1599999999999999"/>
    <n v="14.9"/>
    <s v="17167412"/>
  </r>
  <r>
    <x v="24"/>
    <s v="2021-02-11"/>
    <x v="0"/>
    <x v="0"/>
    <n v="13"/>
    <x v="30"/>
    <n v="1.1499999999999999"/>
    <n v="14.77"/>
    <s v="03502961"/>
  </r>
  <r>
    <x v="24"/>
    <s v="2021-02-11"/>
    <x v="0"/>
    <x v="0"/>
    <n v="12"/>
    <x v="29"/>
    <n v="1.1499999999999999"/>
    <n v="14.68"/>
    <s v="60746948"/>
  </r>
  <r>
    <x v="24"/>
    <s v="2021-02-11"/>
    <x v="0"/>
    <x v="0"/>
    <n v="11"/>
    <x v="27"/>
    <n v="1.1299999999999999"/>
    <n v="14.42"/>
    <s v="00000000"/>
  </r>
  <r>
    <x v="24"/>
    <s v="2021-02-11"/>
    <x v="0"/>
    <x v="0"/>
    <n v="10"/>
    <x v="34"/>
    <n v="1.1200000000000001"/>
    <n v="14.3"/>
    <s v="33603457"/>
  </r>
  <r>
    <x v="24"/>
    <s v="2021-02-11"/>
    <x v="0"/>
    <x v="0"/>
    <n v="9"/>
    <x v="33"/>
    <n v="1.1100000000000001"/>
    <n v="14.19"/>
    <s v="62307848"/>
  </r>
  <r>
    <x v="24"/>
    <s v="2021-02-11"/>
    <x v="0"/>
    <x v="0"/>
    <n v="8"/>
    <x v="37"/>
    <n v="1.02"/>
    <n v="12.95"/>
    <s v="04452473"/>
  </r>
  <r>
    <x v="24"/>
    <s v="2021-02-11"/>
    <x v="0"/>
    <x v="0"/>
    <n v="7"/>
    <x v="35"/>
    <n v="0.99"/>
    <n v="12.57"/>
    <s v="59109165"/>
  </r>
  <r>
    <x v="24"/>
    <s v="2021-02-11"/>
    <x v="0"/>
    <x v="0"/>
    <n v="6"/>
    <x v="44"/>
    <n v="0.95"/>
    <n v="12"/>
    <s v="58017179"/>
  </r>
  <r>
    <x v="24"/>
    <s v="2021-02-11"/>
    <x v="0"/>
    <x v="0"/>
    <n v="5"/>
    <x v="47"/>
    <n v="0.89"/>
    <n v="11.19"/>
    <s v="28517628"/>
  </r>
  <r>
    <x v="24"/>
    <s v="2021-02-11"/>
    <x v="0"/>
    <x v="0"/>
    <n v="4"/>
    <x v="39"/>
    <n v="0.85"/>
    <n v="10.72"/>
    <s v="04902979"/>
  </r>
  <r>
    <x v="24"/>
    <s v="2021-02-11"/>
    <x v="0"/>
    <x v="0"/>
    <n v="3"/>
    <x v="40"/>
    <n v="0.84"/>
    <n v="10.5"/>
    <s v="02992446"/>
  </r>
  <r>
    <x v="24"/>
    <s v="2021-02-11"/>
    <x v="0"/>
    <x v="0"/>
    <n v="2"/>
    <x v="38"/>
    <n v="0.83"/>
    <n v="10.45"/>
    <s v="60814191"/>
  </r>
  <r>
    <x v="24"/>
    <s v="2021-02-11"/>
    <x v="0"/>
    <x v="0"/>
    <n v="1"/>
    <x v="22"/>
    <n v="0.79"/>
    <n v="9.9600000000000009"/>
    <s v="11417016"/>
  </r>
  <r>
    <x v="25"/>
    <s v="2021-02-12"/>
    <x v="0"/>
    <x v="0"/>
    <n v="40"/>
    <x v="0"/>
    <n v="3.3"/>
    <n v="47.61"/>
    <s v="60850229"/>
  </r>
  <r>
    <x v="25"/>
    <s v="2021-02-12"/>
    <x v="0"/>
    <x v="0"/>
    <n v="39"/>
    <x v="3"/>
    <n v="3.26"/>
    <n v="47.01"/>
    <s v="05503849"/>
  </r>
  <r>
    <x v="25"/>
    <s v="2021-02-12"/>
    <x v="0"/>
    <x v="0"/>
    <n v="38"/>
    <x v="2"/>
    <n v="3.16"/>
    <n v="45.19"/>
    <s v="92228410"/>
  </r>
  <r>
    <x v="25"/>
    <s v="2021-02-12"/>
    <x v="0"/>
    <x v="0"/>
    <n v="37"/>
    <x v="1"/>
    <n v="3.08"/>
    <n v="43.93"/>
    <s v="01800019"/>
  </r>
  <r>
    <x v="25"/>
    <s v="2021-02-12"/>
    <x v="0"/>
    <x v="0"/>
    <n v="36"/>
    <x v="4"/>
    <n v="2.78"/>
    <n v="39"/>
    <s v="62232889"/>
  </r>
  <r>
    <x v="25"/>
    <s v="2021-02-12"/>
    <x v="0"/>
    <x v="0"/>
    <n v="35"/>
    <x v="5"/>
    <n v="2.48"/>
    <n v="34.1"/>
    <s v="80271455"/>
  </r>
  <r>
    <x v="25"/>
    <s v="2021-02-12"/>
    <x v="0"/>
    <x v="0"/>
    <n v="34"/>
    <x v="6"/>
    <n v="2.41"/>
    <n v="33.06"/>
    <s v="05676026"/>
  </r>
  <r>
    <x v="25"/>
    <s v="2021-02-12"/>
    <x v="0"/>
    <x v="0"/>
    <n v="33"/>
    <x v="7"/>
    <n v="2.2799999999999998"/>
    <n v="31.11"/>
    <s v="92874270"/>
  </r>
  <r>
    <x v="25"/>
    <s v="2021-02-12"/>
    <x v="0"/>
    <x v="0"/>
    <n v="32"/>
    <x v="8"/>
    <n v="2.1800000000000002"/>
    <n v="29.47"/>
    <s v="59285411"/>
  </r>
  <r>
    <x v="25"/>
    <s v="2021-02-12"/>
    <x v="0"/>
    <x v="0"/>
    <n v="31"/>
    <x v="9"/>
    <n v="2.0699999999999998"/>
    <n v="27.81"/>
    <s v="00411939"/>
  </r>
  <r>
    <x v="25"/>
    <s v="2021-02-12"/>
    <x v="0"/>
    <x v="0"/>
    <n v="30"/>
    <x v="10"/>
    <n v="1.87"/>
    <n v="24.82"/>
    <s v="10371492"/>
  </r>
  <r>
    <x v="25"/>
    <s v="2021-02-12"/>
    <x v="0"/>
    <x v="0"/>
    <n v="29"/>
    <x v="19"/>
    <n v="1.8"/>
    <n v="23.92"/>
    <s v="92702067"/>
  </r>
  <r>
    <x v="25"/>
    <s v="2021-02-12"/>
    <x v="0"/>
    <x v="0"/>
    <n v="28"/>
    <x v="13"/>
    <n v="1.71"/>
    <n v="22.49"/>
    <s v="07707650"/>
  </r>
  <r>
    <x v="25"/>
    <s v="2021-02-12"/>
    <x v="0"/>
    <x v="0"/>
    <n v="27"/>
    <x v="12"/>
    <n v="1.66"/>
    <n v="21.89"/>
    <s v="04862600"/>
  </r>
  <r>
    <x v="25"/>
    <s v="2021-02-12"/>
    <x v="0"/>
    <x v="0"/>
    <n v="26"/>
    <x v="15"/>
    <n v="1.63"/>
    <n v="21.45"/>
    <s v="59588111"/>
  </r>
  <r>
    <x v="25"/>
    <s v="2021-02-12"/>
    <x v="0"/>
    <x v="0"/>
    <n v="25"/>
    <x v="14"/>
    <n v="1.56"/>
    <n v="20.43"/>
    <s v="00360305"/>
  </r>
  <r>
    <x v="25"/>
    <s v="2021-02-12"/>
    <x v="0"/>
    <x v="0"/>
    <n v="24"/>
    <x v="18"/>
    <n v="1.48"/>
    <n v="19.34"/>
    <s v="28127603"/>
  </r>
  <r>
    <x v="25"/>
    <s v="2021-02-12"/>
    <x v="0"/>
    <x v="0"/>
    <n v="23"/>
    <x v="16"/>
    <n v="1.48"/>
    <n v="19.329999999999998"/>
    <s v="07207996"/>
  </r>
  <r>
    <x v="25"/>
    <s v="2021-02-12"/>
    <x v="0"/>
    <x v="0"/>
    <n v="22"/>
    <x v="24"/>
    <n v="1.4"/>
    <n v="18.170000000000002"/>
    <s v="22639377"/>
  </r>
  <r>
    <x v="25"/>
    <s v="2021-02-12"/>
    <x v="0"/>
    <x v="0"/>
    <n v="21"/>
    <x v="20"/>
    <n v="1.38"/>
    <n v="17.88"/>
    <s v="17192451"/>
  </r>
  <r>
    <x v="25"/>
    <s v="2021-02-12"/>
    <x v="0"/>
    <x v="0"/>
    <n v="20"/>
    <x v="21"/>
    <n v="1.3"/>
    <n v="16.82"/>
    <s v="03017677"/>
  </r>
  <r>
    <x v="25"/>
    <s v="2021-02-12"/>
    <x v="0"/>
    <x v="0"/>
    <n v="19"/>
    <x v="23"/>
    <n v="1.3"/>
    <n v="16.72"/>
    <s v="03215790"/>
  </r>
  <r>
    <x v="25"/>
    <s v="2021-02-12"/>
    <x v="0"/>
    <x v="0"/>
    <n v="18"/>
    <x v="11"/>
    <n v="1.3"/>
    <n v="16.71"/>
    <s v="03634220"/>
  </r>
  <r>
    <x v="25"/>
    <s v="2021-02-12"/>
    <x v="0"/>
    <x v="0"/>
    <n v="17"/>
    <x v="25"/>
    <n v="1.29"/>
    <n v="16.66"/>
    <s v="59274605"/>
  </r>
  <r>
    <x v="25"/>
    <s v="2021-02-12"/>
    <x v="0"/>
    <x v="0"/>
    <n v="16"/>
    <x v="28"/>
    <n v="1.28"/>
    <n v="16.420000000000002"/>
    <s v="90400888"/>
  </r>
  <r>
    <x v="25"/>
    <s v="2021-02-12"/>
    <x v="0"/>
    <x v="0"/>
    <n v="15"/>
    <x v="26"/>
    <n v="1.21"/>
    <n v="15.56"/>
    <s v="30172491"/>
  </r>
  <r>
    <x v="25"/>
    <s v="2021-02-12"/>
    <x v="0"/>
    <x v="0"/>
    <n v="14"/>
    <x v="32"/>
    <n v="1.21"/>
    <n v="15.52"/>
    <s v="60701190"/>
  </r>
  <r>
    <x v="25"/>
    <s v="2021-02-12"/>
    <x v="0"/>
    <x v="0"/>
    <n v="13"/>
    <x v="31"/>
    <n v="1.1599999999999999"/>
    <n v="14.89"/>
    <s v="17167412"/>
  </r>
  <r>
    <x v="25"/>
    <s v="2021-02-12"/>
    <x v="0"/>
    <x v="0"/>
    <n v="12"/>
    <x v="29"/>
    <n v="1.1499999999999999"/>
    <n v="14.67"/>
    <s v="60746948"/>
  </r>
  <r>
    <x v="25"/>
    <s v="2021-02-12"/>
    <x v="0"/>
    <x v="0"/>
    <n v="11"/>
    <x v="30"/>
    <n v="1.1399999999999999"/>
    <n v="14.56"/>
    <s v="03502961"/>
  </r>
  <r>
    <x v="25"/>
    <s v="2021-02-12"/>
    <x v="0"/>
    <x v="0"/>
    <n v="10"/>
    <x v="27"/>
    <n v="1.1299999999999999"/>
    <n v="14.38"/>
    <s v="00000000"/>
  </r>
  <r>
    <x v="25"/>
    <s v="2021-02-12"/>
    <x v="0"/>
    <x v="0"/>
    <n v="9"/>
    <x v="34"/>
    <n v="1.1200000000000001"/>
    <n v="14.25"/>
    <s v="33603457"/>
  </r>
  <r>
    <x v="25"/>
    <s v="2021-02-12"/>
    <x v="0"/>
    <x v="0"/>
    <n v="8"/>
    <x v="33"/>
    <n v="1.1100000000000001"/>
    <n v="14.17"/>
    <s v="62307848"/>
  </r>
  <r>
    <x v="25"/>
    <s v="2021-02-12"/>
    <x v="0"/>
    <x v="0"/>
    <n v="7"/>
    <x v="37"/>
    <n v="1.02"/>
    <n v="12.99"/>
    <s v="04452473"/>
  </r>
  <r>
    <x v="25"/>
    <s v="2021-02-12"/>
    <x v="0"/>
    <x v="0"/>
    <n v="6"/>
    <x v="35"/>
    <n v="1"/>
    <n v="12.68"/>
    <s v="59109165"/>
  </r>
  <r>
    <x v="25"/>
    <s v="2021-02-12"/>
    <x v="0"/>
    <x v="0"/>
    <n v="5"/>
    <x v="44"/>
    <n v="0.99"/>
    <n v="12.54"/>
    <s v="58017179"/>
  </r>
  <r>
    <x v="25"/>
    <s v="2021-02-12"/>
    <x v="0"/>
    <x v="0"/>
    <n v="4"/>
    <x v="40"/>
    <n v="0.91"/>
    <n v="11.51"/>
    <s v="02992446"/>
  </r>
  <r>
    <x v="25"/>
    <s v="2021-02-12"/>
    <x v="0"/>
    <x v="0"/>
    <n v="3"/>
    <x v="38"/>
    <n v="0.88"/>
    <n v="11.04"/>
    <s v="60814191"/>
  </r>
  <r>
    <x v="25"/>
    <s v="2021-02-12"/>
    <x v="0"/>
    <x v="0"/>
    <n v="2"/>
    <x v="39"/>
    <n v="0.8"/>
    <n v="10.029999999999999"/>
    <s v="04902979"/>
  </r>
  <r>
    <x v="25"/>
    <s v="2021-02-12"/>
    <x v="0"/>
    <x v="0"/>
    <n v="1"/>
    <x v="22"/>
    <n v="0.75"/>
    <n v="9.41"/>
    <s v="11417016"/>
  </r>
  <r>
    <x v="26"/>
    <s v="2021-02-17"/>
    <x v="0"/>
    <x v="0"/>
    <n v="40"/>
    <x v="3"/>
    <n v="3.33"/>
    <n v="48.07"/>
    <s v="05503849"/>
  </r>
  <r>
    <x v="26"/>
    <s v="2021-02-17"/>
    <x v="0"/>
    <x v="0"/>
    <n v="39"/>
    <x v="0"/>
    <n v="3.27"/>
    <n v="47.14"/>
    <s v="60850229"/>
  </r>
  <r>
    <x v="26"/>
    <s v="2021-02-17"/>
    <x v="0"/>
    <x v="0"/>
    <n v="38"/>
    <x v="2"/>
    <n v="3.15"/>
    <n v="45.09"/>
    <s v="92228410"/>
  </r>
  <r>
    <x v="26"/>
    <s v="2021-02-17"/>
    <x v="0"/>
    <x v="0"/>
    <n v="37"/>
    <x v="1"/>
    <n v="3.06"/>
    <n v="43.59"/>
    <s v="01800019"/>
  </r>
  <r>
    <x v="26"/>
    <s v="2021-02-17"/>
    <x v="0"/>
    <x v="0"/>
    <n v="36"/>
    <x v="4"/>
    <n v="2.79"/>
    <n v="39.159999999999997"/>
    <s v="62232889"/>
  </r>
  <r>
    <x v="26"/>
    <s v="2021-02-17"/>
    <x v="0"/>
    <x v="0"/>
    <n v="35"/>
    <x v="5"/>
    <n v="2.5"/>
    <n v="34.450000000000003"/>
    <s v="80271455"/>
  </r>
  <r>
    <x v="26"/>
    <s v="2021-02-17"/>
    <x v="0"/>
    <x v="0"/>
    <n v="34"/>
    <x v="6"/>
    <n v="2.41"/>
    <n v="33.130000000000003"/>
    <s v="05676026"/>
  </r>
  <r>
    <x v="26"/>
    <s v="2021-02-17"/>
    <x v="0"/>
    <x v="0"/>
    <n v="33"/>
    <x v="7"/>
    <n v="2.2799999999999998"/>
    <n v="31.05"/>
    <s v="92874270"/>
  </r>
  <r>
    <x v="26"/>
    <s v="2021-02-17"/>
    <x v="0"/>
    <x v="0"/>
    <n v="32"/>
    <x v="8"/>
    <n v="2.17"/>
    <n v="29.4"/>
    <s v="59285411"/>
  </r>
  <r>
    <x v="26"/>
    <s v="2021-02-17"/>
    <x v="0"/>
    <x v="0"/>
    <n v="31"/>
    <x v="9"/>
    <n v="2.14"/>
    <n v="28.99"/>
    <s v="00411939"/>
  </r>
  <r>
    <x v="26"/>
    <s v="2021-02-17"/>
    <x v="0"/>
    <x v="0"/>
    <n v="30"/>
    <x v="10"/>
    <n v="1.87"/>
    <n v="24.92"/>
    <s v="10371492"/>
  </r>
  <r>
    <x v="26"/>
    <s v="2021-02-17"/>
    <x v="0"/>
    <x v="0"/>
    <n v="29"/>
    <x v="19"/>
    <n v="1.8"/>
    <n v="23.92"/>
    <s v="92702067"/>
  </r>
  <r>
    <x v="26"/>
    <s v="2021-02-17"/>
    <x v="0"/>
    <x v="0"/>
    <n v="28"/>
    <x v="13"/>
    <n v="1.69"/>
    <n v="22.28"/>
    <s v="07707650"/>
  </r>
  <r>
    <x v="26"/>
    <s v="2021-02-17"/>
    <x v="0"/>
    <x v="0"/>
    <n v="27"/>
    <x v="12"/>
    <n v="1.66"/>
    <n v="21.83"/>
    <s v="04862600"/>
  </r>
  <r>
    <x v="26"/>
    <s v="2021-02-17"/>
    <x v="0"/>
    <x v="0"/>
    <n v="26"/>
    <x v="15"/>
    <n v="1.63"/>
    <n v="21.36"/>
    <s v="59588111"/>
  </r>
  <r>
    <x v="26"/>
    <s v="2021-02-17"/>
    <x v="0"/>
    <x v="0"/>
    <n v="25"/>
    <x v="14"/>
    <n v="1.5"/>
    <n v="19.559999999999999"/>
    <s v="00360305"/>
  </r>
  <r>
    <x v="26"/>
    <s v="2021-02-17"/>
    <x v="0"/>
    <x v="0"/>
    <n v="24"/>
    <x v="16"/>
    <n v="1.47"/>
    <n v="19.149999999999999"/>
    <s v="07207996"/>
  </r>
  <r>
    <x v="26"/>
    <s v="2021-02-17"/>
    <x v="0"/>
    <x v="0"/>
    <n v="23"/>
    <x v="24"/>
    <n v="1.42"/>
    <n v="18.38"/>
    <s v="22639377"/>
  </r>
  <r>
    <x v="26"/>
    <s v="2021-02-17"/>
    <x v="0"/>
    <x v="0"/>
    <n v="22"/>
    <x v="20"/>
    <n v="1.38"/>
    <n v="17.87"/>
    <s v="17192451"/>
  </r>
  <r>
    <x v="26"/>
    <s v="2021-02-17"/>
    <x v="0"/>
    <x v="0"/>
    <n v="21"/>
    <x v="18"/>
    <n v="1.34"/>
    <n v="17.25"/>
    <s v="28127603"/>
  </r>
  <r>
    <x v="26"/>
    <s v="2021-02-17"/>
    <x v="0"/>
    <x v="0"/>
    <n v="20"/>
    <x v="21"/>
    <n v="1.3"/>
    <n v="16.82"/>
    <s v="03017677"/>
  </r>
  <r>
    <x v="26"/>
    <s v="2021-02-17"/>
    <x v="0"/>
    <x v="0"/>
    <n v="19"/>
    <x v="23"/>
    <n v="1.3"/>
    <n v="16.71"/>
    <s v="03215790"/>
  </r>
  <r>
    <x v="26"/>
    <s v="2021-02-17"/>
    <x v="0"/>
    <x v="0"/>
    <n v="18"/>
    <x v="11"/>
    <n v="1.29"/>
    <n v="16.66"/>
    <s v="03634220"/>
  </r>
  <r>
    <x v="26"/>
    <s v="2021-02-17"/>
    <x v="0"/>
    <x v="0"/>
    <n v="17"/>
    <x v="25"/>
    <n v="1.28"/>
    <n v="16.54"/>
    <s v="59274605"/>
  </r>
  <r>
    <x v="26"/>
    <s v="2021-02-17"/>
    <x v="0"/>
    <x v="0"/>
    <n v="16"/>
    <x v="28"/>
    <n v="1.28"/>
    <n v="16.440000000000001"/>
    <s v="90400888"/>
  </r>
  <r>
    <x v="26"/>
    <s v="2021-02-17"/>
    <x v="0"/>
    <x v="0"/>
    <n v="15"/>
    <x v="26"/>
    <n v="1.22"/>
    <n v="15.71"/>
    <s v="30172491"/>
  </r>
  <r>
    <x v="26"/>
    <s v="2021-02-17"/>
    <x v="0"/>
    <x v="0"/>
    <n v="14"/>
    <x v="32"/>
    <n v="1.21"/>
    <n v="15.57"/>
    <s v="60701190"/>
  </r>
  <r>
    <x v="26"/>
    <s v="2021-02-17"/>
    <x v="0"/>
    <x v="0"/>
    <n v="13"/>
    <x v="31"/>
    <n v="1.1599999999999999"/>
    <n v="14.83"/>
    <s v="17167412"/>
  </r>
  <r>
    <x v="26"/>
    <s v="2021-02-17"/>
    <x v="0"/>
    <x v="0"/>
    <n v="12"/>
    <x v="29"/>
    <n v="1.1499999999999999"/>
    <n v="14.65"/>
    <s v="60746948"/>
  </r>
  <r>
    <x v="26"/>
    <s v="2021-02-17"/>
    <x v="0"/>
    <x v="0"/>
    <n v="11"/>
    <x v="30"/>
    <n v="1.1399999999999999"/>
    <n v="14.61"/>
    <s v="03502961"/>
  </r>
  <r>
    <x v="26"/>
    <s v="2021-02-17"/>
    <x v="0"/>
    <x v="0"/>
    <n v="10"/>
    <x v="27"/>
    <n v="1.1200000000000001"/>
    <n v="14.34"/>
    <s v="00000000"/>
  </r>
  <r>
    <x v="26"/>
    <s v="2021-02-17"/>
    <x v="0"/>
    <x v="0"/>
    <n v="9"/>
    <x v="34"/>
    <n v="1.1100000000000001"/>
    <n v="14.16"/>
    <s v="33603457"/>
  </r>
  <r>
    <x v="26"/>
    <s v="2021-02-17"/>
    <x v="0"/>
    <x v="0"/>
    <n v="8"/>
    <x v="33"/>
    <n v="1.1100000000000001"/>
    <n v="14.1"/>
    <s v="62307848"/>
  </r>
  <r>
    <x v="26"/>
    <s v="2021-02-17"/>
    <x v="0"/>
    <x v="0"/>
    <n v="7"/>
    <x v="37"/>
    <n v="1.03"/>
    <n v="13.09"/>
    <s v="04452473"/>
  </r>
  <r>
    <x v="26"/>
    <s v="2021-02-17"/>
    <x v="0"/>
    <x v="0"/>
    <n v="6"/>
    <x v="44"/>
    <n v="1.03"/>
    <n v="13.05"/>
    <s v="58017179"/>
  </r>
  <r>
    <x v="26"/>
    <s v="2021-02-17"/>
    <x v="0"/>
    <x v="0"/>
    <n v="5"/>
    <x v="35"/>
    <n v="1"/>
    <n v="12.63"/>
    <s v="59109165"/>
  </r>
  <r>
    <x v="26"/>
    <s v="2021-02-17"/>
    <x v="0"/>
    <x v="0"/>
    <n v="4"/>
    <x v="38"/>
    <n v="0.86"/>
    <n v="10.8"/>
    <s v="60814191"/>
  </r>
  <r>
    <x v="26"/>
    <s v="2021-02-17"/>
    <x v="0"/>
    <x v="0"/>
    <n v="3"/>
    <x v="39"/>
    <n v="0.8"/>
    <n v="10.029999999999999"/>
    <s v="04902979"/>
  </r>
  <r>
    <x v="26"/>
    <s v="2021-02-17"/>
    <x v="0"/>
    <x v="0"/>
    <n v="2"/>
    <x v="22"/>
    <n v="0.75"/>
    <n v="9.41"/>
    <s v="11417016"/>
  </r>
  <r>
    <x v="26"/>
    <s v="2021-02-17"/>
    <x v="0"/>
    <x v="0"/>
    <n v="1"/>
    <x v="40"/>
    <n v="0.75"/>
    <n v="9.36"/>
    <s v="02992446"/>
  </r>
  <r>
    <x v="27"/>
    <s v="2021-02-18"/>
    <x v="0"/>
    <x v="0"/>
    <n v="39"/>
    <x v="3"/>
    <n v="3.38"/>
    <n v="49.03"/>
    <s v="05503849"/>
  </r>
  <r>
    <x v="27"/>
    <s v="2021-02-18"/>
    <x v="0"/>
    <x v="0"/>
    <n v="38"/>
    <x v="2"/>
    <n v="3.14"/>
    <n v="44.87"/>
    <s v="92228410"/>
  </r>
  <r>
    <x v="27"/>
    <s v="2021-02-18"/>
    <x v="0"/>
    <x v="0"/>
    <n v="37"/>
    <x v="1"/>
    <n v="3.13"/>
    <n v="44.8"/>
    <s v="01800019"/>
  </r>
  <r>
    <x v="27"/>
    <s v="2021-02-18"/>
    <x v="0"/>
    <x v="0"/>
    <n v="36"/>
    <x v="0"/>
    <n v="3.03"/>
    <n v="43.09"/>
    <s v="60850229"/>
  </r>
  <r>
    <x v="27"/>
    <s v="2021-02-18"/>
    <x v="0"/>
    <x v="0"/>
    <n v="35"/>
    <x v="4"/>
    <n v="2.8"/>
    <n v="39.270000000000003"/>
    <s v="62232889"/>
  </r>
  <r>
    <x v="27"/>
    <s v="2021-02-18"/>
    <x v="0"/>
    <x v="0"/>
    <n v="34"/>
    <x v="5"/>
    <n v="2.4900000000000002"/>
    <n v="34.299999999999997"/>
    <s v="80271455"/>
  </r>
  <r>
    <x v="27"/>
    <s v="2021-02-18"/>
    <x v="0"/>
    <x v="0"/>
    <n v="33"/>
    <x v="6"/>
    <n v="2.42"/>
    <n v="33.21"/>
    <s v="05676026"/>
  </r>
  <r>
    <x v="27"/>
    <s v="2021-02-18"/>
    <x v="0"/>
    <x v="0"/>
    <n v="32"/>
    <x v="7"/>
    <n v="2.29"/>
    <n v="31.24"/>
    <s v="92874270"/>
  </r>
  <r>
    <x v="27"/>
    <s v="2021-02-18"/>
    <x v="0"/>
    <x v="0"/>
    <n v="31"/>
    <x v="8"/>
    <n v="2.1800000000000002"/>
    <n v="29.47"/>
    <s v="59285411"/>
  </r>
  <r>
    <x v="27"/>
    <s v="2021-02-18"/>
    <x v="0"/>
    <x v="0"/>
    <n v="30"/>
    <x v="9"/>
    <n v="2.16"/>
    <n v="29.29"/>
    <s v="00411939"/>
  </r>
  <r>
    <x v="27"/>
    <s v="2021-02-18"/>
    <x v="0"/>
    <x v="0"/>
    <n v="29"/>
    <x v="10"/>
    <n v="1.89"/>
    <n v="25.12"/>
    <s v="10371492"/>
  </r>
  <r>
    <x v="27"/>
    <s v="2021-02-18"/>
    <x v="0"/>
    <x v="0"/>
    <n v="28"/>
    <x v="13"/>
    <n v="1.69"/>
    <n v="22.25"/>
    <s v="07707650"/>
  </r>
  <r>
    <x v="27"/>
    <s v="2021-02-18"/>
    <x v="0"/>
    <x v="0"/>
    <n v="27"/>
    <x v="12"/>
    <n v="1.65"/>
    <n v="21.68"/>
    <s v="04862600"/>
  </r>
  <r>
    <x v="27"/>
    <s v="2021-02-18"/>
    <x v="0"/>
    <x v="0"/>
    <n v="26"/>
    <x v="15"/>
    <n v="1.62"/>
    <n v="21.33"/>
    <s v="59588111"/>
  </r>
  <r>
    <x v="27"/>
    <s v="2021-02-18"/>
    <x v="0"/>
    <x v="0"/>
    <n v="25"/>
    <x v="14"/>
    <n v="1.58"/>
    <n v="20.71"/>
    <s v="00360305"/>
  </r>
  <r>
    <x v="27"/>
    <s v="2021-02-18"/>
    <x v="0"/>
    <x v="0"/>
    <n v="24"/>
    <x v="16"/>
    <n v="1.47"/>
    <n v="19.09"/>
    <s v="07207996"/>
  </r>
  <r>
    <x v="27"/>
    <s v="2021-02-18"/>
    <x v="0"/>
    <x v="0"/>
    <n v="23"/>
    <x v="24"/>
    <n v="1.4"/>
    <n v="18.11"/>
    <s v="22639377"/>
  </r>
  <r>
    <x v="27"/>
    <s v="2021-02-18"/>
    <x v="0"/>
    <x v="0"/>
    <n v="22"/>
    <x v="20"/>
    <n v="1.38"/>
    <n v="17.84"/>
    <s v="17192451"/>
  </r>
  <r>
    <x v="27"/>
    <s v="2021-02-18"/>
    <x v="0"/>
    <x v="0"/>
    <n v="21"/>
    <x v="18"/>
    <n v="1.33"/>
    <n v="17.11"/>
    <s v="28127603"/>
  </r>
  <r>
    <x v="27"/>
    <s v="2021-02-18"/>
    <x v="0"/>
    <x v="0"/>
    <n v="20"/>
    <x v="21"/>
    <n v="1.31"/>
    <n v="16.850000000000001"/>
    <s v="03017677"/>
  </r>
  <r>
    <x v="27"/>
    <s v="2021-02-18"/>
    <x v="0"/>
    <x v="0"/>
    <n v="19"/>
    <x v="11"/>
    <n v="1.3"/>
    <n v="16.73"/>
    <s v="03634220"/>
  </r>
  <r>
    <x v="27"/>
    <s v="2021-02-18"/>
    <x v="0"/>
    <x v="0"/>
    <n v="18"/>
    <x v="25"/>
    <n v="1.29"/>
    <n v="16.600000000000001"/>
    <s v="59274605"/>
  </r>
  <r>
    <x v="27"/>
    <s v="2021-02-18"/>
    <x v="0"/>
    <x v="0"/>
    <n v="17"/>
    <x v="23"/>
    <n v="1.28"/>
    <n v="16.52"/>
    <s v="03215790"/>
  </r>
  <r>
    <x v="27"/>
    <s v="2021-02-18"/>
    <x v="0"/>
    <x v="0"/>
    <n v="16"/>
    <x v="28"/>
    <n v="1.28"/>
    <n v="16.5"/>
    <s v="90400888"/>
  </r>
  <r>
    <x v="27"/>
    <s v="2021-02-18"/>
    <x v="0"/>
    <x v="0"/>
    <n v="15"/>
    <x v="26"/>
    <n v="1.23"/>
    <n v="15.76"/>
    <s v="30172491"/>
  </r>
  <r>
    <x v="27"/>
    <s v="2021-02-18"/>
    <x v="0"/>
    <x v="0"/>
    <n v="14"/>
    <x v="32"/>
    <n v="1.22"/>
    <n v="15.7"/>
    <s v="60701190"/>
  </r>
  <r>
    <x v="27"/>
    <s v="2021-02-18"/>
    <x v="0"/>
    <x v="0"/>
    <n v="13"/>
    <x v="30"/>
    <n v="1.1499999999999999"/>
    <n v="14.74"/>
    <s v="03502961"/>
  </r>
  <r>
    <x v="27"/>
    <s v="2021-02-18"/>
    <x v="0"/>
    <x v="0"/>
    <n v="12"/>
    <x v="29"/>
    <n v="1.1499999999999999"/>
    <n v="14.72"/>
    <s v="60746948"/>
  </r>
  <r>
    <x v="27"/>
    <s v="2021-02-18"/>
    <x v="0"/>
    <x v="0"/>
    <n v="11"/>
    <x v="31"/>
    <n v="1.1399999999999999"/>
    <n v="14.62"/>
    <s v="17167412"/>
  </r>
  <r>
    <x v="27"/>
    <s v="2021-02-18"/>
    <x v="0"/>
    <x v="0"/>
    <n v="10"/>
    <x v="27"/>
    <n v="1.1200000000000001"/>
    <n v="14.25"/>
    <s v="00000000"/>
  </r>
  <r>
    <x v="27"/>
    <s v="2021-02-18"/>
    <x v="0"/>
    <x v="0"/>
    <n v="9"/>
    <x v="34"/>
    <n v="1.1200000000000001"/>
    <n v="14.24"/>
    <s v="33603457"/>
  </r>
  <r>
    <x v="27"/>
    <s v="2021-02-18"/>
    <x v="0"/>
    <x v="0"/>
    <n v="8"/>
    <x v="33"/>
    <n v="1.1000000000000001"/>
    <n v="14"/>
    <s v="62307848"/>
  </r>
  <r>
    <x v="27"/>
    <s v="2021-02-18"/>
    <x v="0"/>
    <x v="0"/>
    <n v="7"/>
    <x v="37"/>
    <n v="1.03"/>
    <n v="13.14"/>
    <s v="04452473"/>
  </r>
  <r>
    <x v="27"/>
    <s v="2021-02-18"/>
    <x v="0"/>
    <x v="0"/>
    <n v="6"/>
    <x v="44"/>
    <n v="1.03"/>
    <n v="13.05"/>
    <s v="58017179"/>
  </r>
  <r>
    <x v="27"/>
    <s v="2021-02-18"/>
    <x v="0"/>
    <x v="0"/>
    <n v="5"/>
    <x v="35"/>
    <n v="0.99"/>
    <n v="12.56"/>
    <s v="59109165"/>
  </r>
  <r>
    <x v="27"/>
    <s v="2021-02-18"/>
    <x v="0"/>
    <x v="0"/>
    <n v="4"/>
    <x v="38"/>
    <n v="0.87"/>
    <n v="10.9"/>
    <s v="60814191"/>
  </r>
  <r>
    <x v="27"/>
    <s v="2021-02-18"/>
    <x v="0"/>
    <x v="0"/>
    <n v="3"/>
    <x v="39"/>
    <n v="0.8"/>
    <n v="9.99"/>
    <s v="04902979"/>
  </r>
  <r>
    <x v="27"/>
    <s v="2021-02-18"/>
    <x v="0"/>
    <x v="0"/>
    <n v="2"/>
    <x v="22"/>
    <n v="0.76"/>
    <n v="9.56"/>
    <s v="11417016"/>
  </r>
  <r>
    <x v="27"/>
    <s v="2021-02-18"/>
    <x v="0"/>
    <x v="0"/>
    <n v="1"/>
    <x v="40"/>
    <n v="0.75"/>
    <n v="9.31"/>
    <s v="02992446"/>
  </r>
  <r>
    <x v="28"/>
    <s v="2021-02-19"/>
    <x v="0"/>
    <x v="0"/>
    <n v="40"/>
    <x v="3"/>
    <n v="3.38"/>
    <n v="48.96"/>
    <s v="05503849"/>
  </r>
  <r>
    <x v="28"/>
    <s v="2021-02-19"/>
    <x v="0"/>
    <x v="0"/>
    <n v="39"/>
    <x v="2"/>
    <n v="3.13"/>
    <n v="44.74"/>
    <s v="92228410"/>
  </r>
  <r>
    <x v="28"/>
    <s v="2021-02-19"/>
    <x v="0"/>
    <x v="0"/>
    <n v="38"/>
    <x v="1"/>
    <n v="3.06"/>
    <n v="43.49"/>
    <s v="01800019"/>
  </r>
  <r>
    <x v="28"/>
    <s v="2021-02-19"/>
    <x v="0"/>
    <x v="0"/>
    <n v="37"/>
    <x v="0"/>
    <n v="2.99"/>
    <n v="42.47"/>
    <s v="60850229"/>
  </r>
  <r>
    <x v="28"/>
    <s v="2021-02-19"/>
    <x v="0"/>
    <x v="0"/>
    <n v="36"/>
    <x v="4"/>
    <n v="2.79"/>
    <n v="39.130000000000003"/>
    <s v="62232889"/>
  </r>
  <r>
    <x v="28"/>
    <s v="2021-02-19"/>
    <x v="0"/>
    <x v="0"/>
    <n v="35"/>
    <x v="5"/>
    <n v="2.5099999999999998"/>
    <n v="34.68"/>
    <s v="80271455"/>
  </r>
  <r>
    <x v="28"/>
    <s v="2021-02-19"/>
    <x v="0"/>
    <x v="0"/>
    <n v="34"/>
    <x v="6"/>
    <n v="2.42"/>
    <n v="33.22"/>
    <s v="05676026"/>
  </r>
  <r>
    <x v="28"/>
    <s v="2021-02-19"/>
    <x v="0"/>
    <x v="0"/>
    <n v="33"/>
    <x v="7"/>
    <n v="2.29"/>
    <n v="31.21"/>
    <s v="92874270"/>
  </r>
  <r>
    <x v="28"/>
    <s v="2021-02-19"/>
    <x v="0"/>
    <x v="0"/>
    <n v="32"/>
    <x v="8"/>
    <n v="2.1800000000000002"/>
    <n v="29.52"/>
    <s v="59285411"/>
  </r>
  <r>
    <x v="28"/>
    <s v="2021-02-19"/>
    <x v="0"/>
    <x v="0"/>
    <n v="31"/>
    <x v="9"/>
    <n v="2.16"/>
    <n v="29.3"/>
    <s v="00411939"/>
  </r>
  <r>
    <x v="28"/>
    <s v="2021-02-19"/>
    <x v="0"/>
    <x v="0"/>
    <n v="30"/>
    <x v="10"/>
    <n v="1.88"/>
    <n v="25.09"/>
    <s v="10371492"/>
  </r>
  <r>
    <x v="28"/>
    <s v="2021-02-19"/>
    <x v="0"/>
    <x v="0"/>
    <n v="29"/>
    <x v="13"/>
    <n v="1.69"/>
    <n v="22.25"/>
    <s v="07707650"/>
  </r>
  <r>
    <x v="28"/>
    <s v="2021-02-19"/>
    <x v="0"/>
    <x v="0"/>
    <n v="28"/>
    <x v="41"/>
    <n v="1.66"/>
    <n v="21.84"/>
    <s v="20443996"/>
  </r>
  <r>
    <x v="28"/>
    <s v="2021-02-19"/>
    <x v="0"/>
    <x v="0"/>
    <n v="27"/>
    <x v="12"/>
    <n v="1.66"/>
    <n v="21.8"/>
    <s v="04862600"/>
  </r>
  <r>
    <x v="28"/>
    <s v="2021-02-19"/>
    <x v="0"/>
    <x v="0"/>
    <n v="26"/>
    <x v="14"/>
    <n v="1.64"/>
    <n v="21.54"/>
    <s v="00360305"/>
  </r>
  <r>
    <x v="28"/>
    <s v="2021-02-19"/>
    <x v="0"/>
    <x v="0"/>
    <n v="25"/>
    <x v="15"/>
    <n v="1.63"/>
    <n v="21.38"/>
    <s v="59588111"/>
  </r>
  <r>
    <x v="28"/>
    <s v="2021-02-19"/>
    <x v="0"/>
    <x v="0"/>
    <n v="24"/>
    <x v="19"/>
    <n v="1.49"/>
    <n v="19.350000000000001"/>
    <s v="92702067"/>
  </r>
  <r>
    <x v="28"/>
    <s v="2021-02-19"/>
    <x v="0"/>
    <x v="0"/>
    <n v="23"/>
    <x v="16"/>
    <n v="1.47"/>
    <n v="19.100000000000001"/>
    <s v="07207996"/>
  </r>
  <r>
    <x v="28"/>
    <s v="2021-02-19"/>
    <x v="0"/>
    <x v="0"/>
    <n v="22"/>
    <x v="20"/>
    <n v="1.38"/>
    <n v="17.86"/>
    <s v="17192451"/>
  </r>
  <r>
    <x v="28"/>
    <s v="2021-02-19"/>
    <x v="0"/>
    <x v="0"/>
    <n v="21"/>
    <x v="24"/>
    <n v="1.34"/>
    <n v="17.350000000000001"/>
    <s v="22639377"/>
  </r>
  <r>
    <x v="28"/>
    <s v="2021-02-19"/>
    <x v="0"/>
    <x v="0"/>
    <n v="20"/>
    <x v="18"/>
    <n v="1.34"/>
    <n v="17.260000000000002"/>
    <s v="28127603"/>
  </r>
  <r>
    <x v="28"/>
    <s v="2021-02-19"/>
    <x v="0"/>
    <x v="0"/>
    <n v="19"/>
    <x v="21"/>
    <n v="1.31"/>
    <n v="16.89"/>
    <s v="03017677"/>
  </r>
  <r>
    <x v="28"/>
    <s v="2021-02-19"/>
    <x v="0"/>
    <x v="0"/>
    <n v="18"/>
    <x v="11"/>
    <n v="1.29"/>
    <n v="16.649999999999999"/>
    <s v="03634220"/>
  </r>
  <r>
    <x v="28"/>
    <s v="2021-02-19"/>
    <x v="0"/>
    <x v="0"/>
    <n v="17"/>
    <x v="23"/>
    <n v="1.28"/>
    <n v="16.47"/>
    <s v="03215790"/>
  </r>
  <r>
    <x v="28"/>
    <s v="2021-02-19"/>
    <x v="0"/>
    <x v="0"/>
    <n v="16"/>
    <x v="28"/>
    <n v="1.28"/>
    <n v="16.45"/>
    <s v="90400888"/>
  </r>
  <r>
    <x v="28"/>
    <s v="2021-02-19"/>
    <x v="0"/>
    <x v="0"/>
    <n v="15"/>
    <x v="25"/>
    <n v="1.27"/>
    <n v="16.41"/>
    <s v="59274605"/>
  </r>
  <r>
    <x v="28"/>
    <s v="2021-02-19"/>
    <x v="0"/>
    <x v="0"/>
    <n v="14"/>
    <x v="32"/>
    <n v="1.23"/>
    <n v="15.85"/>
    <s v="60701190"/>
  </r>
  <r>
    <x v="28"/>
    <s v="2021-02-19"/>
    <x v="0"/>
    <x v="0"/>
    <n v="13"/>
    <x v="26"/>
    <n v="1.22"/>
    <n v="15.7"/>
    <s v="30172491"/>
  </r>
  <r>
    <x v="28"/>
    <s v="2021-02-19"/>
    <x v="0"/>
    <x v="0"/>
    <n v="12"/>
    <x v="30"/>
    <n v="1.17"/>
    <n v="14.96"/>
    <s v="03502961"/>
  </r>
  <r>
    <x v="28"/>
    <s v="2021-02-19"/>
    <x v="0"/>
    <x v="0"/>
    <n v="11"/>
    <x v="29"/>
    <n v="1.1599999999999999"/>
    <n v="14.82"/>
    <s v="60746948"/>
  </r>
  <r>
    <x v="28"/>
    <s v="2021-02-19"/>
    <x v="0"/>
    <x v="0"/>
    <n v="10"/>
    <x v="31"/>
    <n v="1.1399999999999999"/>
    <n v="14.58"/>
    <s v="17167412"/>
  </r>
  <r>
    <x v="28"/>
    <s v="2021-02-19"/>
    <x v="0"/>
    <x v="0"/>
    <n v="9"/>
    <x v="34"/>
    <n v="1.1200000000000001"/>
    <n v="14.31"/>
    <s v="33603457"/>
  </r>
  <r>
    <x v="28"/>
    <s v="2021-02-19"/>
    <x v="0"/>
    <x v="0"/>
    <n v="8"/>
    <x v="27"/>
    <n v="1.1200000000000001"/>
    <n v="14.27"/>
    <s v="00000000"/>
  </r>
  <r>
    <x v="28"/>
    <s v="2021-02-19"/>
    <x v="0"/>
    <x v="0"/>
    <n v="7"/>
    <x v="33"/>
    <n v="1.1000000000000001"/>
    <n v="14.02"/>
    <s v="62307848"/>
  </r>
  <r>
    <x v="28"/>
    <s v="2021-02-19"/>
    <x v="0"/>
    <x v="0"/>
    <n v="6"/>
    <x v="44"/>
    <n v="1.05"/>
    <n v="13.34"/>
    <s v="58017179"/>
  </r>
  <r>
    <x v="28"/>
    <s v="2021-02-19"/>
    <x v="0"/>
    <x v="0"/>
    <n v="5"/>
    <x v="37"/>
    <n v="1.04"/>
    <n v="13.21"/>
    <s v="04452473"/>
  </r>
  <r>
    <x v="28"/>
    <s v="2021-02-19"/>
    <x v="0"/>
    <x v="0"/>
    <n v="4"/>
    <x v="35"/>
    <n v="0.99"/>
    <n v="12.5"/>
    <s v="59109165"/>
  </r>
  <r>
    <x v="28"/>
    <s v="2021-02-19"/>
    <x v="0"/>
    <x v="0"/>
    <n v="3"/>
    <x v="38"/>
    <n v="0.89"/>
    <n v="11.19"/>
    <s v="60814191"/>
  </r>
  <r>
    <x v="28"/>
    <s v="2021-02-19"/>
    <x v="0"/>
    <x v="0"/>
    <n v="2"/>
    <x v="22"/>
    <n v="0.78"/>
    <n v="9.76"/>
    <s v="11417016"/>
  </r>
  <r>
    <x v="28"/>
    <s v="2021-02-19"/>
    <x v="0"/>
    <x v="0"/>
    <n v="1"/>
    <x v="40"/>
    <n v="0.75"/>
    <n v="9.39"/>
    <s v="02992446"/>
  </r>
  <r>
    <x v="29"/>
    <s v="2021-02-22"/>
    <x v="0"/>
    <x v="0"/>
    <n v="40"/>
    <x v="3"/>
    <n v="3.3"/>
    <n v="47.67"/>
    <s v="05503849"/>
  </r>
  <r>
    <x v="29"/>
    <s v="2021-02-22"/>
    <x v="0"/>
    <x v="0"/>
    <n v="39"/>
    <x v="2"/>
    <n v="3.14"/>
    <n v="44.95"/>
    <s v="92228410"/>
  </r>
  <r>
    <x v="29"/>
    <s v="2021-02-22"/>
    <x v="0"/>
    <x v="0"/>
    <n v="38"/>
    <x v="1"/>
    <n v="3.08"/>
    <n v="43.88"/>
    <s v="01800019"/>
  </r>
  <r>
    <x v="29"/>
    <s v="2021-02-22"/>
    <x v="0"/>
    <x v="0"/>
    <n v="37"/>
    <x v="0"/>
    <n v="3.01"/>
    <n v="42.77"/>
    <s v="60850229"/>
  </r>
  <r>
    <x v="29"/>
    <s v="2021-02-22"/>
    <x v="0"/>
    <x v="0"/>
    <n v="36"/>
    <x v="4"/>
    <n v="2.78"/>
    <n v="39.020000000000003"/>
    <s v="62232889"/>
  </r>
  <r>
    <x v="29"/>
    <s v="2021-02-22"/>
    <x v="0"/>
    <x v="0"/>
    <n v="35"/>
    <x v="5"/>
    <n v="2.5"/>
    <n v="34.43"/>
    <s v="80271455"/>
  </r>
  <r>
    <x v="29"/>
    <s v="2021-02-22"/>
    <x v="0"/>
    <x v="0"/>
    <n v="34"/>
    <x v="6"/>
    <n v="2.42"/>
    <n v="33.229999999999997"/>
    <s v="05676026"/>
  </r>
  <r>
    <x v="29"/>
    <s v="2021-02-22"/>
    <x v="0"/>
    <x v="0"/>
    <n v="33"/>
    <x v="7"/>
    <n v="2.29"/>
    <n v="31.19"/>
    <s v="92874270"/>
  </r>
  <r>
    <x v="29"/>
    <s v="2021-02-22"/>
    <x v="0"/>
    <x v="0"/>
    <n v="32"/>
    <x v="8"/>
    <n v="2.1800000000000002"/>
    <n v="29.54"/>
    <s v="59285411"/>
  </r>
  <r>
    <x v="29"/>
    <s v="2021-02-22"/>
    <x v="0"/>
    <x v="0"/>
    <n v="31"/>
    <x v="9"/>
    <n v="2.15"/>
    <n v="29.03"/>
    <s v="00411939"/>
  </r>
  <r>
    <x v="29"/>
    <s v="2021-02-22"/>
    <x v="0"/>
    <x v="0"/>
    <n v="30"/>
    <x v="10"/>
    <n v="1.87"/>
    <n v="24.86"/>
    <s v="10371492"/>
  </r>
  <r>
    <x v="29"/>
    <s v="2021-02-22"/>
    <x v="0"/>
    <x v="0"/>
    <n v="29"/>
    <x v="19"/>
    <n v="1.69"/>
    <n v="22.28"/>
    <s v="92702067"/>
  </r>
  <r>
    <x v="29"/>
    <s v="2021-02-22"/>
    <x v="0"/>
    <x v="0"/>
    <n v="28"/>
    <x v="13"/>
    <n v="1.69"/>
    <n v="22.25"/>
    <s v="07707650"/>
  </r>
  <r>
    <x v="29"/>
    <s v="2021-02-22"/>
    <x v="0"/>
    <x v="0"/>
    <n v="27"/>
    <x v="41"/>
    <n v="1.66"/>
    <n v="21.84"/>
    <s v="20443996"/>
  </r>
  <r>
    <x v="29"/>
    <s v="2021-02-22"/>
    <x v="0"/>
    <x v="0"/>
    <n v="26"/>
    <x v="12"/>
    <n v="1.65"/>
    <n v="21.74"/>
    <s v="04862600"/>
  </r>
  <r>
    <x v="29"/>
    <s v="2021-02-22"/>
    <x v="0"/>
    <x v="0"/>
    <n v="25"/>
    <x v="15"/>
    <n v="1.63"/>
    <n v="21.35"/>
    <s v="59588111"/>
  </r>
  <r>
    <x v="29"/>
    <s v="2021-02-22"/>
    <x v="0"/>
    <x v="0"/>
    <n v="24"/>
    <x v="14"/>
    <n v="1.57"/>
    <n v="20.56"/>
    <s v="00360305"/>
  </r>
  <r>
    <x v="29"/>
    <s v="2021-02-22"/>
    <x v="0"/>
    <x v="0"/>
    <n v="23"/>
    <x v="16"/>
    <n v="1.46"/>
    <n v="19.03"/>
    <s v="07207996"/>
  </r>
  <r>
    <x v="29"/>
    <s v="2021-02-22"/>
    <x v="0"/>
    <x v="0"/>
    <n v="22"/>
    <x v="20"/>
    <n v="1.38"/>
    <n v="17.89"/>
    <s v="17192451"/>
  </r>
  <r>
    <x v="29"/>
    <s v="2021-02-22"/>
    <x v="0"/>
    <x v="0"/>
    <n v="21"/>
    <x v="18"/>
    <n v="1.38"/>
    <n v="17.89"/>
    <s v="28127603"/>
  </r>
  <r>
    <x v="29"/>
    <s v="2021-02-22"/>
    <x v="0"/>
    <x v="0"/>
    <n v="20"/>
    <x v="21"/>
    <n v="1.31"/>
    <n v="16.87"/>
    <s v="03017677"/>
  </r>
  <r>
    <x v="29"/>
    <s v="2021-02-22"/>
    <x v="0"/>
    <x v="0"/>
    <n v="19"/>
    <x v="11"/>
    <n v="1.29"/>
    <n v="16.690000000000001"/>
    <s v="03634220"/>
  </r>
  <r>
    <x v="29"/>
    <s v="2021-02-22"/>
    <x v="0"/>
    <x v="0"/>
    <n v="18"/>
    <x v="23"/>
    <n v="1.28"/>
    <n v="16.440000000000001"/>
    <s v="03215790"/>
  </r>
  <r>
    <x v="29"/>
    <s v="2021-02-22"/>
    <x v="0"/>
    <x v="0"/>
    <n v="17"/>
    <x v="24"/>
    <n v="1.27"/>
    <n v="16.38"/>
    <s v="22639377"/>
  </r>
  <r>
    <x v="29"/>
    <s v="2021-02-22"/>
    <x v="0"/>
    <x v="0"/>
    <n v="16"/>
    <x v="28"/>
    <n v="1.27"/>
    <n v="16.34"/>
    <s v="90400888"/>
  </r>
  <r>
    <x v="29"/>
    <s v="2021-02-22"/>
    <x v="0"/>
    <x v="0"/>
    <n v="15"/>
    <x v="25"/>
    <n v="1.26"/>
    <n v="16.170000000000002"/>
    <s v="59274605"/>
  </r>
  <r>
    <x v="29"/>
    <s v="2021-02-22"/>
    <x v="0"/>
    <x v="0"/>
    <n v="14"/>
    <x v="32"/>
    <n v="1.23"/>
    <n v="15.85"/>
    <s v="60701190"/>
  </r>
  <r>
    <x v="29"/>
    <s v="2021-02-22"/>
    <x v="0"/>
    <x v="0"/>
    <n v="13"/>
    <x v="26"/>
    <n v="1.22"/>
    <n v="15.71"/>
    <s v="30172491"/>
  </r>
  <r>
    <x v="29"/>
    <s v="2021-02-22"/>
    <x v="0"/>
    <x v="0"/>
    <n v="12"/>
    <x v="29"/>
    <n v="1.1599999999999999"/>
    <n v="14.81"/>
    <s v="60746948"/>
  </r>
  <r>
    <x v="29"/>
    <s v="2021-02-22"/>
    <x v="0"/>
    <x v="0"/>
    <n v="11"/>
    <x v="30"/>
    <n v="1.1599999999999999"/>
    <n v="14.79"/>
    <s v="03502961"/>
  </r>
  <r>
    <x v="29"/>
    <s v="2021-02-22"/>
    <x v="0"/>
    <x v="0"/>
    <n v="10"/>
    <x v="31"/>
    <n v="1.1399999999999999"/>
    <n v="14.56"/>
    <s v="17167412"/>
  </r>
  <r>
    <x v="29"/>
    <s v="2021-02-22"/>
    <x v="0"/>
    <x v="0"/>
    <n v="9"/>
    <x v="27"/>
    <n v="1.1200000000000001"/>
    <n v="14.28"/>
    <s v="00000000"/>
  </r>
  <r>
    <x v="29"/>
    <s v="2021-02-22"/>
    <x v="0"/>
    <x v="0"/>
    <n v="8"/>
    <x v="34"/>
    <n v="1.1200000000000001"/>
    <n v="14.25"/>
    <s v="33603457"/>
  </r>
  <r>
    <x v="29"/>
    <s v="2021-02-22"/>
    <x v="0"/>
    <x v="0"/>
    <n v="7"/>
    <x v="33"/>
    <n v="1.1000000000000001"/>
    <n v="14.05"/>
    <s v="62307848"/>
  </r>
  <r>
    <x v="29"/>
    <s v="2021-02-22"/>
    <x v="0"/>
    <x v="0"/>
    <n v="6"/>
    <x v="44"/>
    <n v="1.06"/>
    <n v="13.54"/>
    <s v="58017179"/>
  </r>
  <r>
    <x v="29"/>
    <s v="2021-02-22"/>
    <x v="0"/>
    <x v="0"/>
    <n v="5"/>
    <x v="37"/>
    <n v="1.05"/>
    <n v="13.29"/>
    <s v="04452473"/>
  </r>
  <r>
    <x v="29"/>
    <s v="2021-02-22"/>
    <x v="0"/>
    <x v="0"/>
    <n v="4"/>
    <x v="35"/>
    <n v="0.98"/>
    <n v="12.38"/>
    <s v="59109165"/>
  </r>
  <r>
    <x v="29"/>
    <s v="2021-02-22"/>
    <x v="0"/>
    <x v="0"/>
    <n v="3"/>
    <x v="38"/>
    <n v="0.89"/>
    <n v="11.23"/>
    <s v="60814191"/>
  </r>
  <r>
    <x v="29"/>
    <s v="2021-02-22"/>
    <x v="0"/>
    <x v="0"/>
    <n v="2"/>
    <x v="40"/>
    <n v="0.83"/>
    <n v="10.47"/>
    <s v="02992446"/>
  </r>
  <r>
    <x v="29"/>
    <s v="2021-02-22"/>
    <x v="0"/>
    <x v="0"/>
    <n v="1"/>
    <x v="22"/>
    <n v="0.79"/>
    <n v="9.91"/>
    <s v="11417016"/>
  </r>
  <r>
    <x v="30"/>
    <s v="2021-02-23"/>
    <x v="0"/>
    <x v="0"/>
    <n v="40"/>
    <x v="3"/>
    <n v="3.33"/>
    <n v="48.07"/>
    <s v="05503849"/>
  </r>
  <r>
    <x v="30"/>
    <s v="2021-02-23"/>
    <x v="0"/>
    <x v="0"/>
    <n v="39"/>
    <x v="2"/>
    <n v="3.16"/>
    <n v="45.3"/>
    <s v="92228410"/>
  </r>
  <r>
    <x v="30"/>
    <s v="2021-02-23"/>
    <x v="0"/>
    <x v="0"/>
    <n v="38"/>
    <x v="1"/>
    <n v="3.03"/>
    <n v="43.11"/>
    <s v="01800019"/>
  </r>
  <r>
    <x v="30"/>
    <s v="2021-02-23"/>
    <x v="0"/>
    <x v="0"/>
    <n v="37"/>
    <x v="0"/>
    <n v="3.01"/>
    <n v="42.69"/>
    <s v="60850229"/>
  </r>
  <r>
    <x v="30"/>
    <s v="2021-02-23"/>
    <x v="0"/>
    <x v="0"/>
    <n v="36"/>
    <x v="4"/>
    <n v="2.79"/>
    <n v="39.1"/>
    <s v="62232889"/>
  </r>
  <r>
    <x v="30"/>
    <s v="2021-02-23"/>
    <x v="0"/>
    <x v="0"/>
    <n v="35"/>
    <x v="5"/>
    <n v="2.5"/>
    <n v="34.5"/>
    <s v="80271455"/>
  </r>
  <r>
    <x v="30"/>
    <s v="2021-02-23"/>
    <x v="0"/>
    <x v="0"/>
    <n v="34"/>
    <x v="6"/>
    <n v="2.4300000000000002"/>
    <n v="33.340000000000003"/>
    <s v="05676026"/>
  </r>
  <r>
    <x v="30"/>
    <s v="2021-02-23"/>
    <x v="0"/>
    <x v="0"/>
    <n v="33"/>
    <x v="7"/>
    <n v="2.29"/>
    <n v="31.22"/>
    <s v="92874270"/>
  </r>
  <r>
    <x v="30"/>
    <s v="2021-02-23"/>
    <x v="0"/>
    <x v="0"/>
    <n v="32"/>
    <x v="8"/>
    <n v="2.17"/>
    <n v="29.45"/>
    <s v="59285411"/>
  </r>
  <r>
    <x v="30"/>
    <s v="2021-02-23"/>
    <x v="0"/>
    <x v="0"/>
    <n v="31"/>
    <x v="9"/>
    <n v="2.15"/>
    <n v="29.01"/>
    <s v="00411939"/>
  </r>
  <r>
    <x v="30"/>
    <s v="2021-02-23"/>
    <x v="0"/>
    <x v="0"/>
    <n v="30"/>
    <x v="10"/>
    <n v="1.86"/>
    <n v="24.71"/>
    <s v="10371492"/>
  </r>
  <r>
    <x v="30"/>
    <s v="2021-02-23"/>
    <x v="0"/>
    <x v="0"/>
    <n v="29"/>
    <x v="19"/>
    <n v="1.69"/>
    <n v="22.28"/>
    <s v="92702067"/>
  </r>
  <r>
    <x v="30"/>
    <s v="2021-02-23"/>
    <x v="0"/>
    <x v="0"/>
    <n v="28"/>
    <x v="13"/>
    <n v="1.68"/>
    <n v="22.17"/>
    <s v="07707650"/>
  </r>
  <r>
    <x v="30"/>
    <s v="2021-02-23"/>
    <x v="0"/>
    <x v="0"/>
    <n v="27"/>
    <x v="41"/>
    <n v="1.66"/>
    <n v="21.84"/>
    <s v="20443996"/>
  </r>
  <r>
    <x v="30"/>
    <s v="2021-02-23"/>
    <x v="0"/>
    <x v="0"/>
    <n v="26"/>
    <x v="12"/>
    <n v="1.65"/>
    <n v="21.63"/>
    <s v="04862600"/>
  </r>
  <r>
    <x v="30"/>
    <s v="2021-02-23"/>
    <x v="0"/>
    <x v="0"/>
    <n v="25"/>
    <x v="15"/>
    <n v="1.63"/>
    <n v="21.36"/>
    <s v="59588111"/>
  </r>
  <r>
    <x v="30"/>
    <s v="2021-02-23"/>
    <x v="0"/>
    <x v="0"/>
    <n v="24"/>
    <x v="14"/>
    <n v="1.55"/>
    <n v="20.260000000000002"/>
    <s v="00360305"/>
  </r>
  <r>
    <x v="30"/>
    <s v="2021-02-23"/>
    <x v="0"/>
    <x v="0"/>
    <n v="23"/>
    <x v="16"/>
    <n v="1.46"/>
    <n v="18.98"/>
    <s v="07207996"/>
  </r>
  <r>
    <x v="30"/>
    <s v="2021-02-23"/>
    <x v="0"/>
    <x v="0"/>
    <n v="22"/>
    <x v="20"/>
    <n v="1.37"/>
    <n v="17.78"/>
    <s v="17192451"/>
  </r>
  <r>
    <x v="30"/>
    <s v="2021-02-23"/>
    <x v="0"/>
    <x v="0"/>
    <n v="21"/>
    <x v="18"/>
    <n v="1.36"/>
    <n v="17.62"/>
    <s v="28127603"/>
  </r>
  <r>
    <x v="30"/>
    <s v="2021-02-23"/>
    <x v="0"/>
    <x v="0"/>
    <n v="20"/>
    <x v="36"/>
    <n v="1.31"/>
    <n v="16.88"/>
    <s v="33136888"/>
  </r>
  <r>
    <x v="30"/>
    <s v="2021-02-23"/>
    <x v="0"/>
    <x v="0"/>
    <n v="19"/>
    <x v="11"/>
    <n v="1.31"/>
    <n v="16.86"/>
    <s v="03634220"/>
  </r>
  <r>
    <x v="30"/>
    <s v="2021-02-23"/>
    <x v="0"/>
    <x v="0"/>
    <n v="18"/>
    <x v="21"/>
    <n v="1.3"/>
    <n v="16.79"/>
    <s v="03017677"/>
  </r>
  <r>
    <x v="30"/>
    <s v="2021-02-23"/>
    <x v="0"/>
    <x v="0"/>
    <n v="17"/>
    <x v="24"/>
    <n v="1.29"/>
    <n v="16.68"/>
    <s v="22639377"/>
  </r>
  <r>
    <x v="30"/>
    <s v="2021-02-23"/>
    <x v="0"/>
    <x v="0"/>
    <n v="16"/>
    <x v="28"/>
    <n v="1.29"/>
    <n v="16.579999999999998"/>
    <s v="90400888"/>
  </r>
  <r>
    <x v="30"/>
    <s v="2021-02-23"/>
    <x v="0"/>
    <x v="0"/>
    <n v="15"/>
    <x v="23"/>
    <n v="1.28"/>
    <n v="16.420000000000002"/>
    <s v="03215790"/>
  </r>
  <r>
    <x v="30"/>
    <s v="2021-02-23"/>
    <x v="0"/>
    <x v="0"/>
    <n v="14"/>
    <x v="32"/>
    <n v="1.25"/>
    <n v="16.079999999999998"/>
    <s v="60701190"/>
  </r>
  <r>
    <x v="30"/>
    <s v="2021-02-23"/>
    <x v="0"/>
    <x v="0"/>
    <n v="13"/>
    <x v="25"/>
    <n v="1.24"/>
    <n v="15.94"/>
    <s v="59274605"/>
  </r>
  <r>
    <x v="30"/>
    <s v="2021-02-23"/>
    <x v="0"/>
    <x v="0"/>
    <n v="12"/>
    <x v="26"/>
    <n v="1.2"/>
    <n v="15.38"/>
    <s v="30172491"/>
  </r>
  <r>
    <x v="30"/>
    <s v="2021-02-23"/>
    <x v="0"/>
    <x v="0"/>
    <n v="11"/>
    <x v="29"/>
    <n v="1.17"/>
    <n v="14.93"/>
    <s v="60746948"/>
  </r>
  <r>
    <x v="30"/>
    <s v="2021-02-23"/>
    <x v="0"/>
    <x v="0"/>
    <n v="10"/>
    <x v="30"/>
    <n v="1.1499999999999999"/>
    <n v="14.69"/>
    <s v="03502961"/>
  </r>
  <r>
    <x v="30"/>
    <s v="2021-02-23"/>
    <x v="0"/>
    <x v="0"/>
    <n v="9"/>
    <x v="31"/>
    <n v="1.1499999999999999"/>
    <n v="14.68"/>
    <s v="17167412"/>
  </r>
  <r>
    <x v="30"/>
    <s v="2021-02-23"/>
    <x v="0"/>
    <x v="0"/>
    <n v="8"/>
    <x v="34"/>
    <n v="1.1100000000000001"/>
    <n v="14.18"/>
    <s v="33603457"/>
  </r>
  <r>
    <x v="30"/>
    <s v="2021-02-23"/>
    <x v="0"/>
    <x v="0"/>
    <n v="7"/>
    <x v="27"/>
    <n v="1.1100000000000001"/>
    <n v="14.16"/>
    <s v="00000000"/>
  </r>
  <r>
    <x v="30"/>
    <s v="2021-02-23"/>
    <x v="0"/>
    <x v="0"/>
    <n v="6"/>
    <x v="33"/>
    <n v="1.08"/>
    <n v="13.78"/>
    <s v="62307848"/>
  </r>
  <r>
    <x v="30"/>
    <s v="2021-02-23"/>
    <x v="0"/>
    <x v="0"/>
    <n v="5"/>
    <x v="37"/>
    <n v="1.05"/>
    <n v="13.33"/>
    <s v="04452473"/>
  </r>
  <r>
    <x v="30"/>
    <s v="2021-02-23"/>
    <x v="0"/>
    <x v="0"/>
    <n v="4"/>
    <x v="35"/>
    <n v="0.96"/>
    <n v="12.15"/>
    <s v="59109165"/>
  </r>
  <r>
    <x v="30"/>
    <s v="2021-02-23"/>
    <x v="0"/>
    <x v="0"/>
    <n v="3"/>
    <x v="38"/>
    <n v="0.88"/>
    <n v="11.06"/>
    <s v="60814191"/>
  </r>
  <r>
    <x v="30"/>
    <s v="2021-02-23"/>
    <x v="0"/>
    <x v="0"/>
    <n v="2"/>
    <x v="40"/>
    <n v="0.83"/>
    <n v="10.47"/>
    <s v="02992446"/>
  </r>
  <r>
    <x v="30"/>
    <s v="2021-02-23"/>
    <x v="0"/>
    <x v="0"/>
    <n v="1"/>
    <x v="22"/>
    <n v="0.8"/>
    <n v="9.98"/>
    <s v="11417016"/>
  </r>
  <r>
    <x v="31"/>
    <s v="2021-02-24"/>
    <x v="0"/>
    <x v="0"/>
    <n v="40"/>
    <x v="3"/>
    <n v="3.37"/>
    <n v="48.85"/>
    <s v="05503849"/>
  </r>
  <r>
    <x v="31"/>
    <s v="2021-02-24"/>
    <x v="0"/>
    <x v="0"/>
    <n v="39"/>
    <x v="2"/>
    <n v="3.17"/>
    <n v="45.38"/>
    <s v="92228410"/>
  </r>
  <r>
    <x v="31"/>
    <s v="2021-02-24"/>
    <x v="0"/>
    <x v="0"/>
    <n v="38"/>
    <x v="1"/>
    <n v="3.08"/>
    <n v="43.92"/>
    <s v="01800019"/>
  </r>
  <r>
    <x v="31"/>
    <s v="2021-02-24"/>
    <x v="0"/>
    <x v="0"/>
    <n v="37"/>
    <x v="0"/>
    <n v="2.95"/>
    <n v="41.67"/>
    <s v="60850229"/>
  </r>
  <r>
    <x v="31"/>
    <s v="2021-02-24"/>
    <x v="0"/>
    <x v="0"/>
    <n v="36"/>
    <x v="4"/>
    <n v="2.79"/>
    <n v="39.17"/>
    <s v="62232889"/>
  </r>
  <r>
    <x v="31"/>
    <s v="2021-02-24"/>
    <x v="0"/>
    <x v="0"/>
    <n v="35"/>
    <x v="5"/>
    <n v="2.52"/>
    <n v="34.770000000000003"/>
    <s v="80271455"/>
  </r>
  <r>
    <x v="31"/>
    <s v="2021-02-24"/>
    <x v="0"/>
    <x v="0"/>
    <n v="34"/>
    <x v="6"/>
    <n v="2.42"/>
    <n v="33.22"/>
    <s v="05676026"/>
  </r>
  <r>
    <x v="31"/>
    <s v="2021-02-24"/>
    <x v="0"/>
    <x v="0"/>
    <n v="33"/>
    <x v="7"/>
    <n v="2.2799999999999998"/>
    <n v="31.13"/>
    <s v="92874270"/>
  </r>
  <r>
    <x v="31"/>
    <s v="2021-02-24"/>
    <x v="0"/>
    <x v="0"/>
    <n v="32"/>
    <x v="8"/>
    <n v="2.1800000000000002"/>
    <n v="29.53"/>
    <s v="59285411"/>
  </r>
  <r>
    <x v="31"/>
    <s v="2021-02-24"/>
    <x v="0"/>
    <x v="0"/>
    <n v="31"/>
    <x v="9"/>
    <n v="2.08"/>
    <n v="27.96"/>
    <s v="00411939"/>
  </r>
  <r>
    <x v="31"/>
    <s v="2021-02-24"/>
    <x v="0"/>
    <x v="0"/>
    <n v="30"/>
    <x v="10"/>
    <n v="1.86"/>
    <n v="24.75"/>
    <s v="10371492"/>
  </r>
  <r>
    <x v="31"/>
    <s v="2021-02-24"/>
    <x v="0"/>
    <x v="0"/>
    <n v="29"/>
    <x v="19"/>
    <n v="1.69"/>
    <n v="22.28"/>
    <s v="92702067"/>
  </r>
  <r>
    <x v="31"/>
    <s v="2021-02-24"/>
    <x v="0"/>
    <x v="0"/>
    <n v="28"/>
    <x v="13"/>
    <n v="1.69"/>
    <n v="22.21"/>
    <s v="07707650"/>
  </r>
  <r>
    <x v="31"/>
    <s v="2021-02-24"/>
    <x v="0"/>
    <x v="0"/>
    <n v="27"/>
    <x v="14"/>
    <n v="1.66"/>
    <n v="21.86"/>
    <s v="00360305"/>
  </r>
  <r>
    <x v="31"/>
    <s v="2021-02-24"/>
    <x v="0"/>
    <x v="0"/>
    <n v="26"/>
    <x v="41"/>
    <n v="1.66"/>
    <n v="21.84"/>
    <s v="20443996"/>
  </r>
  <r>
    <x v="31"/>
    <s v="2021-02-24"/>
    <x v="0"/>
    <x v="0"/>
    <n v="25"/>
    <x v="12"/>
    <n v="1.66"/>
    <n v="21.8"/>
    <s v="04862600"/>
  </r>
  <r>
    <x v="31"/>
    <s v="2021-02-24"/>
    <x v="0"/>
    <x v="0"/>
    <n v="24"/>
    <x v="15"/>
    <n v="1.63"/>
    <n v="21.44"/>
    <s v="59588111"/>
  </r>
  <r>
    <x v="31"/>
    <s v="2021-02-24"/>
    <x v="0"/>
    <x v="0"/>
    <n v="23"/>
    <x v="18"/>
    <n v="1.47"/>
    <n v="19.18"/>
    <s v="28127603"/>
  </r>
  <r>
    <x v="31"/>
    <s v="2021-02-24"/>
    <x v="0"/>
    <x v="0"/>
    <n v="22"/>
    <x v="16"/>
    <n v="1.46"/>
    <n v="18.93"/>
    <s v="07207996"/>
  </r>
  <r>
    <x v="31"/>
    <s v="2021-02-24"/>
    <x v="0"/>
    <x v="0"/>
    <n v="21"/>
    <x v="20"/>
    <n v="1.37"/>
    <n v="17.7"/>
    <s v="17192451"/>
  </r>
  <r>
    <x v="31"/>
    <s v="2021-02-24"/>
    <x v="0"/>
    <x v="0"/>
    <n v="20"/>
    <x v="24"/>
    <n v="1.32"/>
    <n v="17.100000000000001"/>
    <s v="22639377"/>
  </r>
  <r>
    <x v="31"/>
    <s v="2021-02-24"/>
    <x v="0"/>
    <x v="0"/>
    <n v="19"/>
    <x v="11"/>
    <n v="1.32"/>
    <n v="17.059999999999999"/>
    <s v="03634220"/>
  </r>
  <r>
    <x v="31"/>
    <s v="2021-02-24"/>
    <x v="0"/>
    <x v="0"/>
    <n v="18"/>
    <x v="21"/>
    <n v="1.3"/>
    <n v="16.760000000000002"/>
    <s v="03017677"/>
  </r>
  <r>
    <x v="31"/>
    <s v="2021-02-24"/>
    <x v="0"/>
    <x v="0"/>
    <n v="17"/>
    <x v="36"/>
    <n v="1.28"/>
    <n v="16.54"/>
    <s v="33136888"/>
  </r>
  <r>
    <x v="31"/>
    <s v="2021-02-24"/>
    <x v="0"/>
    <x v="0"/>
    <n v="16"/>
    <x v="28"/>
    <n v="1.28"/>
    <n v="16.52"/>
    <s v="90400888"/>
  </r>
  <r>
    <x v="31"/>
    <s v="2021-02-24"/>
    <x v="0"/>
    <x v="0"/>
    <n v="15"/>
    <x v="23"/>
    <n v="1.26"/>
    <n v="16.23"/>
    <s v="03215790"/>
  </r>
  <r>
    <x v="31"/>
    <s v="2021-02-24"/>
    <x v="0"/>
    <x v="0"/>
    <n v="14"/>
    <x v="25"/>
    <n v="1.24"/>
    <n v="15.9"/>
    <s v="59274605"/>
  </r>
  <r>
    <x v="31"/>
    <s v="2021-02-24"/>
    <x v="0"/>
    <x v="0"/>
    <n v="13"/>
    <x v="32"/>
    <n v="1.23"/>
    <n v="15.82"/>
    <s v="60701190"/>
  </r>
  <r>
    <x v="31"/>
    <s v="2021-02-24"/>
    <x v="0"/>
    <x v="0"/>
    <n v="12"/>
    <x v="26"/>
    <n v="1.18"/>
    <n v="15.07"/>
    <s v="30172491"/>
  </r>
  <r>
    <x v="31"/>
    <s v="2021-02-24"/>
    <x v="0"/>
    <x v="0"/>
    <n v="11"/>
    <x v="29"/>
    <n v="1.1599999999999999"/>
    <n v="14.89"/>
    <s v="60746948"/>
  </r>
  <r>
    <x v="31"/>
    <s v="2021-02-24"/>
    <x v="0"/>
    <x v="0"/>
    <n v="10"/>
    <x v="31"/>
    <n v="1.1599999999999999"/>
    <n v="14.81"/>
    <s v="17167412"/>
  </r>
  <r>
    <x v="31"/>
    <s v="2021-02-24"/>
    <x v="0"/>
    <x v="0"/>
    <n v="9"/>
    <x v="30"/>
    <n v="1.1599999999999999"/>
    <n v="14.78"/>
    <s v="03502961"/>
  </r>
  <r>
    <x v="31"/>
    <s v="2021-02-24"/>
    <x v="0"/>
    <x v="0"/>
    <n v="8"/>
    <x v="34"/>
    <n v="1.1299999999999999"/>
    <n v="14.38"/>
    <s v="33603457"/>
  </r>
  <r>
    <x v="31"/>
    <s v="2021-02-24"/>
    <x v="0"/>
    <x v="0"/>
    <n v="7"/>
    <x v="27"/>
    <n v="1.1100000000000001"/>
    <n v="14.17"/>
    <s v="00000000"/>
  </r>
  <r>
    <x v="31"/>
    <s v="2021-02-24"/>
    <x v="0"/>
    <x v="0"/>
    <n v="6"/>
    <x v="33"/>
    <n v="1.08"/>
    <n v="13.72"/>
    <s v="62307848"/>
  </r>
  <r>
    <x v="31"/>
    <s v="2021-02-24"/>
    <x v="0"/>
    <x v="0"/>
    <n v="5"/>
    <x v="37"/>
    <n v="1.05"/>
    <n v="13.36"/>
    <s v="04452473"/>
  </r>
  <r>
    <x v="31"/>
    <s v="2021-02-24"/>
    <x v="0"/>
    <x v="0"/>
    <n v="4"/>
    <x v="35"/>
    <n v="0.96"/>
    <n v="12.16"/>
    <s v="59109165"/>
  </r>
  <r>
    <x v="31"/>
    <s v="2021-02-24"/>
    <x v="0"/>
    <x v="0"/>
    <n v="3"/>
    <x v="38"/>
    <n v="0.85"/>
    <n v="10.73"/>
    <s v="60814191"/>
  </r>
  <r>
    <x v="31"/>
    <s v="2021-02-24"/>
    <x v="0"/>
    <x v="0"/>
    <n v="2"/>
    <x v="40"/>
    <n v="0.83"/>
    <n v="10.47"/>
    <s v="02992446"/>
  </r>
  <r>
    <x v="31"/>
    <s v="2021-02-24"/>
    <x v="0"/>
    <x v="0"/>
    <n v="1"/>
    <x v="22"/>
    <n v="0.8"/>
    <n v="10.050000000000001"/>
    <s v="11417016"/>
  </r>
  <r>
    <x v="32"/>
    <s v="2021-02-25"/>
    <x v="0"/>
    <x v="0"/>
    <n v="41"/>
    <x v="3"/>
    <n v="3.32"/>
    <n v="48.03"/>
    <s v="05503849"/>
  </r>
  <r>
    <x v="32"/>
    <s v="2021-02-25"/>
    <x v="0"/>
    <x v="0"/>
    <n v="40"/>
    <x v="0"/>
    <n v="3.24"/>
    <n v="46.64"/>
    <s v="60850229"/>
  </r>
  <r>
    <x v="32"/>
    <s v="2021-02-25"/>
    <x v="0"/>
    <x v="0"/>
    <n v="39"/>
    <x v="2"/>
    <n v="3.18"/>
    <n v="45.64"/>
    <s v="92228410"/>
  </r>
  <r>
    <x v="32"/>
    <s v="2021-02-25"/>
    <x v="0"/>
    <x v="0"/>
    <n v="38"/>
    <x v="1"/>
    <n v="3.05"/>
    <n v="43.46"/>
    <s v="01800019"/>
  </r>
  <r>
    <x v="32"/>
    <s v="2021-02-25"/>
    <x v="0"/>
    <x v="0"/>
    <n v="37"/>
    <x v="4"/>
    <n v="2.78"/>
    <n v="38.96"/>
    <s v="62232889"/>
  </r>
  <r>
    <x v="32"/>
    <s v="2021-02-25"/>
    <x v="0"/>
    <x v="0"/>
    <n v="36"/>
    <x v="5"/>
    <n v="2.56"/>
    <n v="35.4"/>
    <s v="80271455"/>
  </r>
  <r>
    <x v="32"/>
    <s v="2021-02-25"/>
    <x v="0"/>
    <x v="0"/>
    <n v="35"/>
    <x v="6"/>
    <n v="2.41"/>
    <n v="33.15"/>
    <s v="05676026"/>
  </r>
  <r>
    <x v="32"/>
    <s v="2021-02-25"/>
    <x v="0"/>
    <x v="0"/>
    <n v="34"/>
    <x v="7"/>
    <n v="2.2999999999999998"/>
    <n v="31.36"/>
    <s v="92874270"/>
  </r>
  <r>
    <x v="32"/>
    <s v="2021-02-25"/>
    <x v="0"/>
    <x v="0"/>
    <n v="33"/>
    <x v="8"/>
    <n v="2.1800000000000002"/>
    <n v="29.52"/>
    <s v="59285411"/>
  </r>
  <r>
    <x v="32"/>
    <s v="2021-02-25"/>
    <x v="0"/>
    <x v="0"/>
    <n v="32"/>
    <x v="42"/>
    <n v="2.11"/>
    <n v="28.49"/>
    <s v="34991938"/>
  </r>
  <r>
    <x v="32"/>
    <s v="2021-02-25"/>
    <x v="0"/>
    <x v="0"/>
    <n v="31"/>
    <x v="9"/>
    <n v="2.09"/>
    <n v="28.21"/>
    <s v="00411939"/>
  </r>
  <r>
    <x v="32"/>
    <s v="2021-02-25"/>
    <x v="0"/>
    <x v="0"/>
    <n v="30"/>
    <x v="10"/>
    <n v="1.85"/>
    <n v="24.66"/>
    <s v="10371492"/>
  </r>
  <r>
    <x v="32"/>
    <s v="2021-02-25"/>
    <x v="0"/>
    <x v="0"/>
    <n v="29"/>
    <x v="13"/>
    <n v="1.69"/>
    <n v="22.3"/>
    <s v="07707650"/>
  </r>
  <r>
    <x v="32"/>
    <s v="2021-02-25"/>
    <x v="0"/>
    <x v="0"/>
    <n v="28"/>
    <x v="19"/>
    <n v="1.69"/>
    <n v="22.28"/>
    <s v="92702067"/>
  </r>
  <r>
    <x v="32"/>
    <s v="2021-02-25"/>
    <x v="0"/>
    <x v="0"/>
    <n v="27"/>
    <x v="12"/>
    <n v="1.66"/>
    <n v="21.84"/>
    <s v="04862600"/>
  </r>
  <r>
    <x v="32"/>
    <s v="2021-02-25"/>
    <x v="0"/>
    <x v="0"/>
    <n v="26"/>
    <x v="41"/>
    <n v="1.66"/>
    <n v="21.84"/>
    <s v="20443996"/>
  </r>
  <r>
    <x v="32"/>
    <s v="2021-02-25"/>
    <x v="0"/>
    <x v="0"/>
    <n v="25"/>
    <x v="15"/>
    <n v="1.64"/>
    <n v="21.5"/>
    <s v="59588111"/>
  </r>
  <r>
    <x v="32"/>
    <s v="2021-02-25"/>
    <x v="0"/>
    <x v="0"/>
    <n v="24"/>
    <x v="14"/>
    <n v="1.63"/>
    <n v="21.35"/>
    <s v="00360305"/>
  </r>
  <r>
    <x v="32"/>
    <s v="2021-02-25"/>
    <x v="0"/>
    <x v="0"/>
    <n v="23"/>
    <x v="16"/>
    <n v="1.45"/>
    <n v="18.829999999999998"/>
    <s v="07207996"/>
  </r>
  <r>
    <x v="32"/>
    <s v="2021-02-25"/>
    <x v="0"/>
    <x v="0"/>
    <n v="22"/>
    <x v="18"/>
    <n v="1.43"/>
    <n v="18.55"/>
    <s v="28127603"/>
  </r>
  <r>
    <x v="32"/>
    <s v="2021-02-25"/>
    <x v="0"/>
    <x v="0"/>
    <n v="21"/>
    <x v="20"/>
    <n v="1.37"/>
    <n v="17.690000000000001"/>
    <s v="17192451"/>
  </r>
  <r>
    <x v="32"/>
    <s v="2021-02-25"/>
    <x v="0"/>
    <x v="0"/>
    <n v="20"/>
    <x v="11"/>
    <n v="1.35"/>
    <n v="17.46"/>
    <s v="03634220"/>
  </r>
  <r>
    <x v="32"/>
    <s v="2021-02-25"/>
    <x v="0"/>
    <x v="0"/>
    <n v="19"/>
    <x v="24"/>
    <n v="1.32"/>
    <n v="17.07"/>
    <s v="22639377"/>
  </r>
  <r>
    <x v="32"/>
    <s v="2021-02-25"/>
    <x v="0"/>
    <x v="0"/>
    <n v="18"/>
    <x v="21"/>
    <n v="1.3"/>
    <n v="16.72"/>
    <s v="03017677"/>
  </r>
  <r>
    <x v="32"/>
    <s v="2021-02-25"/>
    <x v="0"/>
    <x v="0"/>
    <n v="17"/>
    <x v="28"/>
    <n v="1.29"/>
    <n v="16.600000000000001"/>
    <s v="90400888"/>
  </r>
  <r>
    <x v="32"/>
    <s v="2021-02-25"/>
    <x v="0"/>
    <x v="0"/>
    <n v="16"/>
    <x v="36"/>
    <n v="1.28"/>
    <n v="16.54"/>
    <s v="33136888"/>
  </r>
  <r>
    <x v="32"/>
    <s v="2021-02-25"/>
    <x v="0"/>
    <x v="0"/>
    <n v="15"/>
    <x v="23"/>
    <n v="1.26"/>
    <n v="16.190000000000001"/>
    <s v="03215790"/>
  </r>
  <r>
    <x v="32"/>
    <s v="2021-02-25"/>
    <x v="0"/>
    <x v="0"/>
    <n v="14"/>
    <x v="32"/>
    <n v="1.25"/>
    <n v="16.12"/>
    <s v="60701190"/>
  </r>
  <r>
    <x v="32"/>
    <s v="2021-02-25"/>
    <x v="0"/>
    <x v="0"/>
    <n v="13"/>
    <x v="25"/>
    <n v="1.23"/>
    <n v="15.73"/>
    <s v="59274605"/>
  </r>
  <r>
    <x v="32"/>
    <s v="2021-02-25"/>
    <x v="0"/>
    <x v="0"/>
    <n v="12"/>
    <x v="31"/>
    <n v="1.18"/>
    <n v="15.07"/>
    <s v="17167412"/>
  </r>
  <r>
    <x v="32"/>
    <s v="2021-02-25"/>
    <x v="0"/>
    <x v="0"/>
    <n v="11"/>
    <x v="29"/>
    <n v="1.18"/>
    <n v="15.06"/>
    <s v="60746948"/>
  </r>
  <r>
    <x v="32"/>
    <s v="2021-02-25"/>
    <x v="0"/>
    <x v="0"/>
    <n v="10"/>
    <x v="30"/>
    <n v="1.17"/>
    <n v="14.94"/>
    <s v="03502961"/>
  </r>
  <r>
    <x v="32"/>
    <s v="2021-02-25"/>
    <x v="0"/>
    <x v="0"/>
    <n v="9"/>
    <x v="26"/>
    <n v="1.1599999999999999"/>
    <n v="14.9"/>
    <s v="30172491"/>
  </r>
  <r>
    <x v="32"/>
    <s v="2021-02-25"/>
    <x v="0"/>
    <x v="0"/>
    <n v="8"/>
    <x v="27"/>
    <n v="1.1200000000000001"/>
    <n v="14.29"/>
    <s v="00000000"/>
  </r>
  <r>
    <x v="32"/>
    <s v="2021-02-25"/>
    <x v="0"/>
    <x v="0"/>
    <n v="7"/>
    <x v="34"/>
    <n v="1.0900000000000001"/>
    <n v="13.85"/>
    <s v="33603457"/>
  </r>
  <r>
    <x v="32"/>
    <s v="2021-02-25"/>
    <x v="0"/>
    <x v="0"/>
    <n v="6"/>
    <x v="33"/>
    <n v="1.08"/>
    <n v="13.7"/>
    <s v="62307848"/>
  </r>
  <r>
    <x v="32"/>
    <s v="2021-02-25"/>
    <x v="0"/>
    <x v="0"/>
    <n v="5"/>
    <x v="37"/>
    <n v="1.05"/>
    <n v="13.37"/>
    <s v="04452473"/>
  </r>
  <r>
    <x v="32"/>
    <s v="2021-02-25"/>
    <x v="0"/>
    <x v="0"/>
    <n v="4"/>
    <x v="35"/>
    <n v="0.98"/>
    <n v="12.35"/>
    <s v="59109165"/>
  </r>
  <r>
    <x v="32"/>
    <s v="2021-02-25"/>
    <x v="0"/>
    <x v="0"/>
    <n v="3"/>
    <x v="38"/>
    <n v="0.9"/>
    <n v="11.38"/>
    <s v="60814191"/>
  </r>
  <r>
    <x v="32"/>
    <s v="2021-02-25"/>
    <x v="0"/>
    <x v="0"/>
    <n v="2"/>
    <x v="40"/>
    <n v="0.88"/>
    <n v="11.03"/>
    <s v="02992446"/>
  </r>
  <r>
    <x v="32"/>
    <s v="2021-02-25"/>
    <x v="0"/>
    <x v="0"/>
    <n v="1"/>
    <x v="22"/>
    <n v="0.81"/>
    <n v="10.11"/>
    <s v="11417016"/>
  </r>
  <r>
    <x v="33"/>
    <s v="2021-02-26"/>
    <x v="0"/>
    <x v="0"/>
    <n v="42"/>
    <x v="3"/>
    <n v="3.29"/>
    <n v="47.46"/>
    <s v="05503849"/>
  </r>
  <r>
    <x v="33"/>
    <s v="2021-02-26"/>
    <x v="0"/>
    <x v="0"/>
    <n v="41"/>
    <x v="0"/>
    <n v="3.23"/>
    <n v="46.51"/>
    <s v="60850229"/>
  </r>
  <r>
    <x v="33"/>
    <s v="2021-02-26"/>
    <x v="0"/>
    <x v="0"/>
    <n v="40"/>
    <x v="2"/>
    <n v="3.19"/>
    <n v="45.78"/>
    <s v="92228410"/>
  </r>
  <r>
    <x v="33"/>
    <s v="2021-02-26"/>
    <x v="0"/>
    <x v="0"/>
    <n v="39"/>
    <x v="1"/>
    <n v="3.18"/>
    <n v="45.55"/>
    <s v="01800019"/>
  </r>
  <r>
    <x v="33"/>
    <s v="2021-02-26"/>
    <x v="0"/>
    <x v="0"/>
    <n v="38"/>
    <x v="4"/>
    <n v="2.79"/>
    <n v="39.06"/>
    <s v="62232889"/>
  </r>
  <r>
    <x v="33"/>
    <s v="2021-02-26"/>
    <x v="0"/>
    <x v="0"/>
    <n v="37"/>
    <x v="5"/>
    <n v="2.6"/>
    <n v="36.090000000000003"/>
    <s v="80271455"/>
  </r>
  <r>
    <x v="33"/>
    <s v="2021-02-26"/>
    <x v="0"/>
    <x v="0"/>
    <n v="36"/>
    <x v="6"/>
    <n v="2.41"/>
    <n v="33.130000000000003"/>
    <s v="05676026"/>
  </r>
  <r>
    <x v="33"/>
    <s v="2021-02-26"/>
    <x v="0"/>
    <x v="0"/>
    <n v="35"/>
    <x v="7"/>
    <n v="2.29"/>
    <n v="31.16"/>
    <s v="92874270"/>
  </r>
  <r>
    <x v="33"/>
    <s v="2021-02-26"/>
    <x v="0"/>
    <x v="0"/>
    <n v="34"/>
    <x v="8"/>
    <n v="2.1800000000000002"/>
    <n v="29.52"/>
    <s v="59285411"/>
  </r>
  <r>
    <x v="33"/>
    <s v="2021-02-26"/>
    <x v="0"/>
    <x v="0"/>
    <n v="33"/>
    <x v="42"/>
    <n v="2.11"/>
    <n v="28.49"/>
    <s v="34991938"/>
  </r>
  <r>
    <x v="33"/>
    <s v="2021-02-26"/>
    <x v="0"/>
    <x v="0"/>
    <n v="32"/>
    <x v="9"/>
    <n v="2"/>
    <n v="26.86"/>
    <s v="00411939"/>
  </r>
  <r>
    <x v="33"/>
    <s v="2021-02-26"/>
    <x v="0"/>
    <x v="0"/>
    <n v="31"/>
    <x v="10"/>
    <n v="1.86"/>
    <n v="24.76"/>
    <s v="10371492"/>
  </r>
  <r>
    <x v="33"/>
    <s v="2021-02-26"/>
    <x v="0"/>
    <x v="0"/>
    <n v="30"/>
    <x v="19"/>
    <n v="1.74"/>
    <n v="22.97"/>
    <s v="92702067"/>
  </r>
  <r>
    <x v="33"/>
    <s v="2021-02-26"/>
    <x v="0"/>
    <x v="0"/>
    <n v="29"/>
    <x v="13"/>
    <n v="1.69"/>
    <n v="22.26"/>
    <s v="07707650"/>
  </r>
  <r>
    <x v="33"/>
    <s v="2021-02-26"/>
    <x v="0"/>
    <x v="0"/>
    <n v="28"/>
    <x v="12"/>
    <n v="1.67"/>
    <n v="21.93"/>
    <s v="04862600"/>
  </r>
  <r>
    <x v="33"/>
    <s v="2021-02-26"/>
    <x v="0"/>
    <x v="0"/>
    <n v="27"/>
    <x v="15"/>
    <n v="1.64"/>
    <n v="21.48"/>
    <s v="59588111"/>
  </r>
  <r>
    <x v="33"/>
    <s v="2021-02-26"/>
    <x v="0"/>
    <x v="0"/>
    <n v="26"/>
    <x v="14"/>
    <n v="1.5"/>
    <n v="19.53"/>
    <s v="00360305"/>
  </r>
  <r>
    <x v="33"/>
    <s v="2021-02-26"/>
    <x v="0"/>
    <x v="0"/>
    <n v="25"/>
    <x v="16"/>
    <n v="1.44"/>
    <n v="18.75"/>
    <s v="07207996"/>
  </r>
  <r>
    <x v="33"/>
    <s v="2021-02-26"/>
    <x v="0"/>
    <x v="0"/>
    <n v="24"/>
    <x v="11"/>
    <n v="1.4"/>
    <n v="18.100000000000001"/>
    <s v="03634220"/>
  </r>
  <r>
    <x v="33"/>
    <s v="2021-02-26"/>
    <x v="0"/>
    <x v="0"/>
    <n v="23"/>
    <x v="18"/>
    <n v="1.37"/>
    <n v="17.77"/>
    <s v="28127603"/>
  </r>
  <r>
    <x v="33"/>
    <s v="2021-02-26"/>
    <x v="0"/>
    <x v="0"/>
    <n v="22"/>
    <x v="20"/>
    <n v="1.36"/>
    <n v="17.649999999999999"/>
    <s v="17192451"/>
  </r>
  <r>
    <x v="33"/>
    <s v="2021-02-26"/>
    <x v="0"/>
    <x v="0"/>
    <n v="21"/>
    <x v="24"/>
    <n v="1.36"/>
    <n v="17.61"/>
    <s v="22639377"/>
  </r>
  <r>
    <x v="33"/>
    <s v="2021-02-26"/>
    <x v="0"/>
    <x v="0"/>
    <n v="20"/>
    <x v="21"/>
    <n v="1.29"/>
    <n v="16.63"/>
    <s v="03017677"/>
  </r>
  <r>
    <x v="33"/>
    <s v="2021-02-26"/>
    <x v="0"/>
    <x v="0"/>
    <n v="19"/>
    <x v="28"/>
    <n v="1.28"/>
    <n v="16.48"/>
    <s v="90400888"/>
  </r>
  <r>
    <x v="33"/>
    <s v="2021-02-26"/>
    <x v="0"/>
    <x v="0"/>
    <n v="18"/>
    <x v="23"/>
    <n v="1.25"/>
    <n v="16.02"/>
    <s v="03215790"/>
  </r>
  <r>
    <x v="33"/>
    <s v="2021-02-26"/>
    <x v="0"/>
    <x v="0"/>
    <n v="17"/>
    <x v="25"/>
    <n v="1.23"/>
    <n v="15.83"/>
    <s v="59274605"/>
  </r>
  <r>
    <x v="33"/>
    <s v="2021-02-26"/>
    <x v="0"/>
    <x v="0"/>
    <n v="16"/>
    <x v="32"/>
    <n v="1.22"/>
    <n v="15.68"/>
    <s v="60701190"/>
  </r>
  <r>
    <x v="33"/>
    <s v="2021-02-26"/>
    <x v="0"/>
    <x v="0"/>
    <n v="15"/>
    <x v="36"/>
    <n v="1.2"/>
    <n v="15.38"/>
    <s v="33136888"/>
  </r>
  <r>
    <x v="33"/>
    <s v="2021-02-26"/>
    <x v="0"/>
    <x v="0"/>
    <n v="14"/>
    <x v="29"/>
    <n v="1.18"/>
    <n v="15.17"/>
    <s v="60746948"/>
  </r>
  <r>
    <x v="33"/>
    <s v="2021-02-26"/>
    <x v="0"/>
    <x v="0"/>
    <n v="13"/>
    <x v="30"/>
    <n v="1.17"/>
    <n v="14.93"/>
    <s v="03502961"/>
  </r>
  <r>
    <x v="33"/>
    <s v="2021-02-26"/>
    <x v="0"/>
    <x v="0"/>
    <n v="12"/>
    <x v="31"/>
    <n v="1.1599999999999999"/>
    <n v="14.81"/>
    <s v="17167412"/>
  </r>
  <r>
    <x v="33"/>
    <s v="2021-02-26"/>
    <x v="0"/>
    <x v="0"/>
    <n v="11"/>
    <x v="26"/>
    <n v="1.1499999999999999"/>
    <n v="14.74"/>
    <s v="30172491"/>
  </r>
  <r>
    <x v="33"/>
    <s v="2021-02-26"/>
    <x v="0"/>
    <x v="0"/>
    <n v="10"/>
    <x v="27"/>
    <n v="1.1100000000000001"/>
    <n v="14.22"/>
    <s v="00000000"/>
  </r>
  <r>
    <x v="33"/>
    <s v="2021-02-26"/>
    <x v="0"/>
    <x v="0"/>
    <n v="9"/>
    <x v="33"/>
    <n v="1.08"/>
    <n v="13.71"/>
    <s v="62307848"/>
  </r>
  <r>
    <x v="33"/>
    <s v="2021-02-26"/>
    <x v="0"/>
    <x v="0"/>
    <n v="8"/>
    <x v="34"/>
    <n v="1.07"/>
    <n v="13.66"/>
    <s v="33603457"/>
  </r>
  <r>
    <x v="33"/>
    <s v="2021-02-26"/>
    <x v="0"/>
    <x v="0"/>
    <n v="7"/>
    <x v="37"/>
    <n v="1.05"/>
    <n v="13.34"/>
    <s v="04452473"/>
  </r>
  <r>
    <x v="33"/>
    <s v="2021-02-26"/>
    <x v="0"/>
    <x v="0"/>
    <n v="6"/>
    <x v="35"/>
    <n v="0.97"/>
    <n v="12.28"/>
    <s v="59109165"/>
  </r>
  <r>
    <x v="33"/>
    <s v="2021-02-26"/>
    <x v="0"/>
    <x v="0"/>
    <n v="5"/>
    <x v="44"/>
    <n v="0.9"/>
    <n v="11.29"/>
    <s v="58017179"/>
  </r>
  <r>
    <x v="33"/>
    <s v="2021-02-26"/>
    <x v="0"/>
    <x v="0"/>
    <n v="4"/>
    <x v="40"/>
    <n v="0.89"/>
    <n v="11.25"/>
    <s v="02992446"/>
  </r>
  <r>
    <x v="33"/>
    <s v="2021-02-26"/>
    <x v="0"/>
    <x v="0"/>
    <n v="3"/>
    <x v="38"/>
    <n v="0.87"/>
    <n v="10.97"/>
    <s v="60814191"/>
  </r>
  <r>
    <x v="33"/>
    <s v="2021-02-26"/>
    <x v="0"/>
    <x v="0"/>
    <n v="2"/>
    <x v="22"/>
    <n v="0.8"/>
    <n v="10.029999999999999"/>
    <s v="11417016"/>
  </r>
  <r>
    <x v="33"/>
    <s v="2021-02-26"/>
    <x v="0"/>
    <x v="0"/>
    <n v="1"/>
    <x v="39"/>
    <n v="0.8"/>
    <n v="10.01"/>
    <s v="04902979"/>
  </r>
  <r>
    <x v="34"/>
    <s v="2021-03-01"/>
    <x v="0"/>
    <x v="0"/>
    <n v="42"/>
    <x v="3"/>
    <n v="3.34"/>
    <n v="48.3"/>
    <s v="05503849"/>
  </r>
  <r>
    <x v="34"/>
    <s v="2021-03-01"/>
    <x v="0"/>
    <x v="0"/>
    <n v="41"/>
    <x v="0"/>
    <n v="3.3"/>
    <n v="47.69"/>
    <s v="60850229"/>
  </r>
  <r>
    <x v="34"/>
    <s v="2021-03-01"/>
    <x v="0"/>
    <x v="0"/>
    <n v="40"/>
    <x v="2"/>
    <n v="3.21"/>
    <n v="46.07"/>
    <s v="92228410"/>
  </r>
  <r>
    <x v="34"/>
    <s v="2021-03-01"/>
    <x v="0"/>
    <x v="0"/>
    <n v="39"/>
    <x v="1"/>
    <n v="3.14"/>
    <n v="44.88"/>
    <s v="01800019"/>
  </r>
  <r>
    <x v="34"/>
    <s v="2021-03-01"/>
    <x v="0"/>
    <x v="0"/>
    <n v="38"/>
    <x v="4"/>
    <n v="2.79"/>
    <n v="39.049999999999997"/>
    <s v="62232889"/>
  </r>
  <r>
    <x v="34"/>
    <s v="2021-03-01"/>
    <x v="0"/>
    <x v="0"/>
    <n v="37"/>
    <x v="5"/>
    <n v="2.59"/>
    <n v="35.869999999999997"/>
    <s v="80271455"/>
  </r>
  <r>
    <x v="34"/>
    <s v="2021-03-01"/>
    <x v="0"/>
    <x v="0"/>
    <n v="36"/>
    <x v="6"/>
    <n v="2.42"/>
    <n v="33.159999999999997"/>
    <s v="05676026"/>
  </r>
  <r>
    <x v="34"/>
    <s v="2021-03-01"/>
    <x v="0"/>
    <x v="0"/>
    <n v="35"/>
    <x v="7"/>
    <n v="2.2799999999999998"/>
    <n v="31.07"/>
    <s v="92874270"/>
  </r>
  <r>
    <x v="34"/>
    <s v="2021-03-01"/>
    <x v="0"/>
    <x v="0"/>
    <n v="34"/>
    <x v="8"/>
    <n v="2.1800000000000002"/>
    <n v="29.51"/>
    <s v="59285411"/>
  </r>
  <r>
    <x v="34"/>
    <s v="2021-03-01"/>
    <x v="0"/>
    <x v="0"/>
    <n v="33"/>
    <x v="42"/>
    <n v="2.11"/>
    <n v="28.49"/>
    <s v="34991938"/>
  </r>
  <r>
    <x v="34"/>
    <s v="2021-03-01"/>
    <x v="0"/>
    <x v="0"/>
    <n v="32"/>
    <x v="9"/>
    <n v="2.02"/>
    <n v="27.18"/>
    <s v="00411939"/>
  </r>
  <r>
    <x v="34"/>
    <s v="2021-03-01"/>
    <x v="0"/>
    <x v="0"/>
    <n v="31"/>
    <x v="10"/>
    <n v="1.89"/>
    <n v="25.18"/>
    <s v="10371492"/>
  </r>
  <r>
    <x v="34"/>
    <s v="2021-03-01"/>
    <x v="0"/>
    <x v="0"/>
    <n v="30"/>
    <x v="13"/>
    <n v="1.68"/>
    <n v="22.19"/>
    <s v="07707650"/>
  </r>
  <r>
    <x v="34"/>
    <s v="2021-03-01"/>
    <x v="0"/>
    <x v="0"/>
    <n v="29"/>
    <x v="12"/>
    <n v="1.67"/>
    <n v="21.93"/>
    <s v="04862600"/>
  </r>
  <r>
    <x v="34"/>
    <s v="2021-03-01"/>
    <x v="0"/>
    <x v="0"/>
    <n v="28"/>
    <x v="15"/>
    <n v="1.64"/>
    <n v="21.57"/>
    <s v="59588111"/>
  </r>
  <r>
    <x v="34"/>
    <s v="2021-03-01"/>
    <x v="0"/>
    <x v="0"/>
    <n v="27"/>
    <x v="19"/>
    <n v="1.63"/>
    <n v="21.39"/>
    <s v="92702067"/>
  </r>
  <r>
    <x v="34"/>
    <s v="2021-03-01"/>
    <x v="0"/>
    <x v="0"/>
    <n v="26"/>
    <x v="14"/>
    <n v="1.5"/>
    <n v="19.510000000000002"/>
    <s v="00360305"/>
  </r>
  <r>
    <x v="34"/>
    <s v="2021-03-01"/>
    <x v="0"/>
    <x v="0"/>
    <n v="25"/>
    <x v="16"/>
    <n v="1.44"/>
    <n v="18.72"/>
    <s v="07207996"/>
  </r>
  <r>
    <x v="34"/>
    <s v="2021-03-01"/>
    <x v="0"/>
    <x v="0"/>
    <n v="24"/>
    <x v="11"/>
    <n v="1.41"/>
    <n v="18.29"/>
    <s v="03634220"/>
  </r>
  <r>
    <x v="34"/>
    <s v="2021-03-01"/>
    <x v="0"/>
    <x v="0"/>
    <n v="23"/>
    <x v="24"/>
    <n v="1.39"/>
    <n v="18.05"/>
    <s v="22639377"/>
  </r>
  <r>
    <x v="34"/>
    <s v="2021-03-01"/>
    <x v="0"/>
    <x v="0"/>
    <n v="22"/>
    <x v="20"/>
    <n v="1.36"/>
    <n v="17.59"/>
    <s v="17192451"/>
  </r>
  <r>
    <x v="34"/>
    <s v="2021-03-01"/>
    <x v="0"/>
    <x v="0"/>
    <n v="21"/>
    <x v="18"/>
    <n v="1.32"/>
    <n v="17.100000000000001"/>
    <s v="28127603"/>
  </r>
  <r>
    <x v="34"/>
    <s v="2021-03-01"/>
    <x v="0"/>
    <x v="0"/>
    <n v="20"/>
    <x v="21"/>
    <n v="1.29"/>
    <n v="16.63"/>
    <s v="03017677"/>
  </r>
  <r>
    <x v="34"/>
    <s v="2021-03-01"/>
    <x v="0"/>
    <x v="0"/>
    <n v="19"/>
    <x v="28"/>
    <n v="1.29"/>
    <n v="16.579999999999998"/>
    <s v="90400888"/>
  </r>
  <r>
    <x v="34"/>
    <s v="2021-03-01"/>
    <x v="0"/>
    <x v="0"/>
    <n v="18"/>
    <x v="23"/>
    <n v="1.24"/>
    <n v="15.93"/>
    <s v="03215790"/>
  </r>
  <r>
    <x v="34"/>
    <s v="2021-03-01"/>
    <x v="0"/>
    <x v="0"/>
    <n v="17"/>
    <x v="25"/>
    <n v="1.24"/>
    <n v="15.89"/>
    <s v="59274605"/>
  </r>
  <r>
    <x v="34"/>
    <s v="2021-03-01"/>
    <x v="0"/>
    <x v="0"/>
    <n v="16"/>
    <x v="32"/>
    <n v="1.22"/>
    <n v="15.63"/>
    <s v="60701190"/>
  </r>
  <r>
    <x v="34"/>
    <s v="2021-03-01"/>
    <x v="0"/>
    <x v="0"/>
    <n v="15"/>
    <x v="36"/>
    <n v="1.2"/>
    <n v="15.38"/>
    <s v="33136888"/>
  </r>
  <r>
    <x v="34"/>
    <s v="2021-03-01"/>
    <x v="0"/>
    <x v="0"/>
    <n v="14"/>
    <x v="29"/>
    <n v="1.18"/>
    <n v="15.13"/>
    <s v="60746948"/>
  </r>
  <r>
    <x v="34"/>
    <s v="2021-03-01"/>
    <x v="0"/>
    <x v="0"/>
    <n v="13"/>
    <x v="30"/>
    <n v="1.17"/>
    <n v="14.93"/>
    <s v="03502961"/>
  </r>
  <r>
    <x v="34"/>
    <s v="2021-03-01"/>
    <x v="0"/>
    <x v="0"/>
    <n v="12"/>
    <x v="31"/>
    <n v="1.1599999999999999"/>
    <n v="14.8"/>
    <s v="17167412"/>
  </r>
  <r>
    <x v="34"/>
    <s v="2021-03-01"/>
    <x v="0"/>
    <x v="0"/>
    <n v="11"/>
    <x v="26"/>
    <n v="1.1499999999999999"/>
    <n v="14.69"/>
    <s v="30172491"/>
  </r>
  <r>
    <x v="34"/>
    <s v="2021-03-01"/>
    <x v="0"/>
    <x v="0"/>
    <n v="10"/>
    <x v="27"/>
    <n v="1.1100000000000001"/>
    <n v="14.09"/>
    <s v="00000000"/>
  </r>
  <r>
    <x v="34"/>
    <s v="2021-03-01"/>
    <x v="0"/>
    <x v="0"/>
    <n v="9"/>
    <x v="33"/>
    <n v="1.08"/>
    <n v="13.72"/>
    <s v="62307848"/>
  </r>
  <r>
    <x v="34"/>
    <s v="2021-03-01"/>
    <x v="0"/>
    <x v="0"/>
    <n v="8"/>
    <x v="34"/>
    <n v="1.07"/>
    <n v="13.63"/>
    <s v="33603457"/>
  </r>
  <r>
    <x v="34"/>
    <s v="2021-03-01"/>
    <x v="0"/>
    <x v="0"/>
    <n v="7"/>
    <x v="37"/>
    <n v="1.05"/>
    <n v="13.34"/>
    <s v="04452473"/>
  </r>
  <r>
    <x v="34"/>
    <s v="2021-03-01"/>
    <x v="0"/>
    <x v="0"/>
    <n v="6"/>
    <x v="35"/>
    <n v="0.97"/>
    <n v="12.21"/>
    <s v="59109165"/>
  </r>
  <r>
    <x v="34"/>
    <s v="2021-03-01"/>
    <x v="0"/>
    <x v="0"/>
    <n v="5"/>
    <x v="44"/>
    <n v="0.9"/>
    <n v="11.41"/>
    <s v="58017179"/>
  </r>
  <r>
    <x v="34"/>
    <s v="2021-03-01"/>
    <x v="0"/>
    <x v="0"/>
    <n v="4"/>
    <x v="40"/>
    <n v="0.88"/>
    <n v="11.13"/>
    <s v="02992446"/>
  </r>
  <r>
    <x v="34"/>
    <s v="2021-03-01"/>
    <x v="0"/>
    <x v="0"/>
    <n v="3"/>
    <x v="38"/>
    <n v="0.88"/>
    <n v="11.06"/>
    <s v="60814191"/>
  </r>
  <r>
    <x v="34"/>
    <s v="2021-03-01"/>
    <x v="0"/>
    <x v="0"/>
    <n v="2"/>
    <x v="39"/>
    <n v="0.8"/>
    <n v="10.01"/>
    <s v="04902979"/>
  </r>
  <r>
    <x v="34"/>
    <s v="2021-03-01"/>
    <x v="0"/>
    <x v="0"/>
    <n v="1"/>
    <x v="22"/>
    <n v="0.8"/>
    <n v="9.9700000000000006"/>
    <s v="11417016"/>
  </r>
  <r>
    <x v="35"/>
    <s v="2021-03-02"/>
    <x v="0"/>
    <x v="0"/>
    <n v="42"/>
    <x v="0"/>
    <n v="3.37"/>
    <n v="48.83"/>
    <s v="60850229"/>
  </r>
  <r>
    <x v="35"/>
    <s v="2021-03-02"/>
    <x v="0"/>
    <x v="0"/>
    <n v="41"/>
    <x v="3"/>
    <n v="3.29"/>
    <n v="47.42"/>
    <s v="05503849"/>
  </r>
  <r>
    <x v="35"/>
    <s v="2021-03-02"/>
    <x v="0"/>
    <x v="0"/>
    <n v="40"/>
    <x v="2"/>
    <n v="3.22"/>
    <n v="46.27"/>
    <s v="92228410"/>
  </r>
  <r>
    <x v="35"/>
    <s v="2021-03-02"/>
    <x v="0"/>
    <x v="0"/>
    <n v="39"/>
    <x v="1"/>
    <n v="3.21"/>
    <n v="46.09"/>
    <s v="01800019"/>
  </r>
  <r>
    <x v="35"/>
    <s v="2021-03-02"/>
    <x v="0"/>
    <x v="0"/>
    <n v="38"/>
    <x v="4"/>
    <n v="2.79"/>
    <n v="39.06"/>
    <s v="62232889"/>
  </r>
  <r>
    <x v="35"/>
    <s v="2021-03-02"/>
    <x v="0"/>
    <x v="0"/>
    <n v="37"/>
    <x v="5"/>
    <n v="2.61"/>
    <n v="36.19"/>
    <s v="80271455"/>
  </r>
  <r>
    <x v="35"/>
    <s v="2021-03-02"/>
    <x v="0"/>
    <x v="0"/>
    <n v="36"/>
    <x v="6"/>
    <n v="2.41"/>
    <n v="33.14"/>
    <s v="05676026"/>
  </r>
  <r>
    <x v="35"/>
    <s v="2021-03-02"/>
    <x v="0"/>
    <x v="0"/>
    <n v="35"/>
    <x v="7"/>
    <n v="2.2799999999999998"/>
    <n v="31.06"/>
    <s v="92874270"/>
  </r>
  <r>
    <x v="35"/>
    <s v="2021-03-02"/>
    <x v="0"/>
    <x v="0"/>
    <n v="34"/>
    <x v="8"/>
    <n v="2.1800000000000002"/>
    <n v="29.52"/>
    <s v="59285411"/>
  </r>
  <r>
    <x v="35"/>
    <s v="2021-03-02"/>
    <x v="0"/>
    <x v="0"/>
    <n v="33"/>
    <x v="9"/>
    <n v="1.98"/>
    <n v="26.53"/>
    <s v="00411939"/>
  </r>
  <r>
    <x v="35"/>
    <s v="2021-03-02"/>
    <x v="0"/>
    <x v="0"/>
    <n v="32"/>
    <x v="10"/>
    <n v="1.9"/>
    <n v="25.27"/>
    <s v="10371492"/>
  </r>
  <r>
    <x v="35"/>
    <s v="2021-03-02"/>
    <x v="0"/>
    <x v="0"/>
    <n v="31"/>
    <x v="42"/>
    <n v="1.88"/>
    <n v="25.01"/>
    <s v="34991938"/>
  </r>
  <r>
    <x v="35"/>
    <s v="2021-03-02"/>
    <x v="0"/>
    <x v="0"/>
    <n v="30"/>
    <x v="13"/>
    <n v="1.69"/>
    <n v="22.2"/>
    <s v="07707650"/>
  </r>
  <r>
    <x v="35"/>
    <s v="2021-03-02"/>
    <x v="0"/>
    <x v="0"/>
    <n v="29"/>
    <x v="12"/>
    <n v="1.67"/>
    <n v="21.93"/>
    <s v="04862600"/>
  </r>
  <r>
    <x v="35"/>
    <s v="2021-03-02"/>
    <x v="0"/>
    <x v="0"/>
    <n v="28"/>
    <x v="15"/>
    <n v="1.64"/>
    <n v="21.62"/>
    <s v="59588111"/>
  </r>
  <r>
    <x v="35"/>
    <s v="2021-03-02"/>
    <x v="0"/>
    <x v="0"/>
    <n v="27"/>
    <x v="19"/>
    <n v="1.55"/>
    <n v="20.309999999999999"/>
    <s v="92702067"/>
  </r>
  <r>
    <x v="35"/>
    <s v="2021-03-02"/>
    <x v="0"/>
    <x v="0"/>
    <n v="26"/>
    <x v="14"/>
    <n v="1.49"/>
    <n v="19.41"/>
    <s v="00360305"/>
  </r>
  <r>
    <x v="35"/>
    <s v="2021-03-02"/>
    <x v="0"/>
    <x v="0"/>
    <n v="25"/>
    <x v="16"/>
    <n v="1.45"/>
    <n v="18.8"/>
    <s v="07207996"/>
  </r>
  <r>
    <x v="35"/>
    <s v="2021-03-02"/>
    <x v="0"/>
    <x v="0"/>
    <n v="24"/>
    <x v="11"/>
    <n v="1.43"/>
    <n v="18.600000000000001"/>
    <s v="03634220"/>
  </r>
  <r>
    <x v="35"/>
    <s v="2021-03-02"/>
    <x v="0"/>
    <x v="0"/>
    <n v="23"/>
    <x v="24"/>
    <n v="1.41"/>
    <n v="18.309999999999999"/>
    <s v="22639377"/>
  </r>
  <r>
    <x v="35"/>
    <s v="2021-03-02"/>
    <x v="0"/>
    <x v="0"/>
    <n v="22"/>
    <x v="20"/>
    <n v="1.37"/>
    <n v="17.7"/>
    <s v="17192451"/>
  </r>
  <r>
    <x v="35"/>
    <s v="2021-03-02"/>
    <x v="0"/>
    <x v="0"/>
    <n v="21"/>
    <x v="18"/>
    <n v="1.32"/>
    <n v="17.07"/>
    <s v="28127603"/>
  </r>
  <r>
    <x v="35"/>
    <s v="2021-03-02"/>
    <x v="0"/>
    <x v="0"/>
    <n v="20"/>
    <x v="21"/>
    <n v="1.29"/>
    <n v="16.690000000000001"/>
    <s v="03017677"/>
  </r>
  <r>
    <x v="35"/>
    <s v="2021-03-02"/>
    <x v="0"/>
    <x v="0"/>
    <n v="19"/>
    <x v="28"/>
    <n v="1.26"/>
    <n v="16.149999999999999"/>
    <s v="90400888"/>
  </r>
  <r>
    <x v="35"/>
    <s v="2021-03-02"/>
    <x v="0"/>
    <x v="0"/>
    <n v="18"/>
    <x v="23"/>
    <n v="1.24"/>
    <n v="15.93"/>
    <s v="03215790"/>
  </r>
  <r>
    <x v="35"/>
    <s v="2021-03-02"/>
    <x v="0"/>
    <x v="0"/>
    <n v="17"/>
    <x v="25"/>
    <n v="1.23"/>
    <n v="15.83"/>
    <s v="59274605"/>
  </r>
  <r>
    <x v="35"/>
    <s v="2021-03-02"/>
    <x v="0"/>
    <x v="0"/>
    <n v="16"/>
    <x v="32"/>
    <n v="1.21"/>
    <n v="15.46"/>
    <s v="60701190"/>
  </r>
  <r>
    <x v="35"/>
    <s v="2021-03-02"/>
    <x v="0"/>
    <x v="0"/>
    <n v="15"/>
    <x v="36"/>
    <n v="1.19"/>
    <n v="15.23"/>
    <s v="33136888"/>
  </r>
  <r>
    <x v="35"/>
    <s v="2021-03-02"/>
    <x v="0"/>
    <x v="0"/>
    <n v="14"/>
    <x v="29"/>
    <n v="1.18"/>
    <n v="15.17"/>
    <s v="60746948"/>
  </r>
  <r>
    <x v="35"/>
    <s v="2021-03-02"/>
    <x v="0"/>
    <x v="0"/>
    <n v="13"/>
    <x v="30"/>
    <n v="1.17"/>
    <n v="14.92"/>
    <s v="03502961"/>
  </r>
  <r>
    <x v="35"/>
    <s v="2021-03-02"/>
    <x v="0"/>
    <x v="0"/>
    <n v="12"/>
    <x v="31"/>
    <n v="1.1599999999999999"/>
    <n v="14.85"/>
    <s v="17167412"/>
  </r>
  <r>
    <x v="35"/>
    <s v="2021-03-02"/>
    <x v="0"/>
    <x v="0"/>
    <n v="11"/>
    <x v="26"/>
    <n v="1.1499999999999999"/>
    <n v="14.69"/>
    <s v="30172491"/>
  </r>
  <r>
    <x v="35"/>
    <s v="2021-03-02"/>
    <x v="0"/>
    <x v="0"/>
    <n v="10"/>
    <x v="27"/>
    <n v="1.1000000000000001"/>
    <n v="14.01"/>
    <s v="00000000"/>
  </r>
  <r>
    <x v="35"/>
    <s v="2021-03-02"/>
    <x v="0"/>
    <x v="0"/>
    <n v="9"/>
    <x v="34"/>
    <n v="1.08"/>
    <n v="13.79"/>
    <s v="33603457"/>
  </r>
  <r>
    <x v="35"/>
    <s v="2021-03-02"/>
    <x v="0"/>
    <x v="0"/>
    <n v="8"/>
    <x v="33"/>
    <n v="1.08"/>
    <n v="13.79"/>
    <s v="62307848"/>
  </r>
  <r>
    <x v="35"/>
    <s v="2021-03-02"/>
    <x v="0"/>
    <x v="0"/>
    <n v="7"/>
    <x v="37"/>
    <n v="1.05"/>
    <n v="13.32"/>
    <s v="04452473"/>
  </r>
  <r>
    <x v="35"/>
    <s v="2021-03-02"/>
    <x v="0"/>
    <x v="0"/>
    <n v="6"/>
    <x v="35"/>
    <n v="0.98"/>
    <n v="12.42"/>
    <s v="59109165"/>
  </r>
  <r>
    <x v="35"/>
    <s v="2021-03-02"/>
    <x v="0"/>
    <x v="0"/>
    <n v="5"/>
    <x v="44"/>
    <n v="0.91"/>
    <n v="11.42"/>
    <s v="58017179"/>
  </r>
  <r>
    <x v="35"/>
    <s v="2021-03-02"/>
    <x v="0"/>
    <x v="0"/>
    <n v="4"/>
    <x v="38"/>
    <n v="0.88"/>
    <n v="11.08"/>
    <s v="60814191"/>
  </r>
  <r>
    <x v="35"/>
    <s v="2021-03-02"/>
    <x v="0"/>
    <x v="0"/>
    <n v="3"/>
    <x v="40"/>
    <n v="0.86"/>
    <n v="10.79"/>
    <s v="02992446"/>
  </r>
  <r>
    <x v="35"/>
    <s v="2021-03-02"/>
    <x v="0"/>
    <x v="0"/>
    <n v="2"/>
    <x v="39"/>
    <n v="0.8"/>
    <n v="10.01"/>
    <s v="04902979"/>
  </r>
  <r>
    <x v="35"/>
    <s v="2021-03-02"/>
    <x v="0"/>
    <x v="0"/>
    <n v="1"/>
    <x v="22"/>
    <n v="0.8"/>
    <n v="9.99"/>
    <s v="11417016"/>
  </r>
  <r>
    <x v="36"/>
    <s v="2021-03-03"/>
    <x v="0"/>
    <x v="0"/>
    <n v="43"/>
    <x v="0"/>
    <n v="3.48"/>
    <n v="50.74"/>
    <s v="60850229"/>
  </r>
  <r>
    <x v="36"/>
    <s v="2021-03-03"/>
    <x v="0"/>
    <x v="0"/>
    <n v="42"/>
    <x v="1"/>
    <n v="3.27"/>
    <n v="47.19"/>
    <s v="01800019"/>
  </r>
  <r>
    <x v="36"/>
    <s v="2021-03-03"/>
    <x v="0"/>
    <x v="0"/>
    <n v="41"/>
    <x v="2"/>
    <n v="3.22"/>
    <n v="46.32"/>
    <s v="92228410"/>
  </r>
  <r>
    <x v="36"/>
    <s v="2021-03-03"/>
    <x v="0"/>
    <x v="0"/>
    <n v="40"/>
    <x v="3"/>
    <n v="3.19"/>
    <n v="45.7"/>
    <s v="05503849"/>
  </r>
  <r>
    <x v="36"/>
    <s v="2021-03-03"/>
    <x v="0"/>
    <x v="0"/>
    <n v="39"/>
    <x v="4"/>
    <n v="2.77"/>
    <n v="38.79"/>
    <s v="62232889"/>
  </r>
  <r>
    <x v="36"/>
    <s v="2021-03-03"/>
    <x v="0"/>
    <x v="0"/>
    <n v="38"/>
    <x v="5"/>
    <n v="2.61"/>
    <n v="36.17"/>
    <s v="80271455"/>
  </r>
  <r>
    <x v="36"/>
    <s v="2021-03-03"/>
    <x v="0"/>
    <x v="0"/>
    <n v="37"/>
    <x v="6"/>
    <n v="2.42"/>
    <n v="33.159999999999997"/>
    <s v="05676026"/>
  </r>
  <r>
    <x v="36"/>
    <s v="2021-03-03"/>
    <x v="0"/>
    <x v="0"/>
    <n v="36"/>
    <x v="7"/>
    <n v="2.2799999999999998"/>
    <n v="31.02"/>
    <s v="92874270"/>
  </r>
  <r>
    <x v="36"/>
    <s v="2021-03-03"/>
    <x v="0"/>
    <x v="0"/>
    <n v="35"/>
    <x v="8"/>
    <n v="2.1800000000000002"/>
    <n v="29.51"/>
    <s v="59285411"/>
  </r>
  <r>
    <x v="36"/>
    <s v="2021-03-03"/>
    <x v="0"/>
    <x v="0"/>
    <n v="34"/>
    <x v="9"/>
    <n v="2.04"/>
    <n v="27.41"/>
    <s v="00411939"/>
  </r>
  <r>
    <x v="36"/>
    <s v="2021-03-03"/>
    <x v="0"/>
    <x v="0"/>
    <n v="33"/>
    <x v="10"/>
    <n v="1.89"/>
    <n v="25.25"/>
    <s v="10371492"/>
  </r>
  <r>
    <x v="36"/>
    <s v="2021-03-03"/>
    <x v="0"/>
    <x v="0"/>
    <n v="32"/>
    <x v="42"/>
    <n v="1.88"/>
    <n v="25.01"/>
    <s v="34991938"/>
  </r>
  <r>
    <x v="36"/>
    <s v="2021-03-03"/>
    <x v="0"/>
    <x v="0"/>
    <n v="31"/>
    <x v="13"/>
    <n v="1.69"/>
    <n v="22.21"/>
    <s v="07707650"/>
  </r>
  <r>
    <x v="36"/>
    <s v="2021-03-03"/>
    <x v="0"/>
    <x v="0"/>
    <n v="30"/>
    <x v="12"/>
    <n v="1.65"/>
    <n v="21.68"/>
    <s v="04862600"/>
  </r>
  <r>
    <x v="36"/>
    <s v="2021-03-03"/>
    <x v="0"/>
    <x v="0"/>
    <n v="29"/>
    <x v="15"/>
    <n v="1.65"/>
    <n v="21.66"/>
    <s v="59588111"/>
  </r>
  <r>
    <x v="36"/>
    <s v="2021-03-03"/>
    <x v="0"/>
    <x v="0"/>
    <n v="28"/>
    <x v="17"/>
    <n v="1.58"/>
    <n v="20.76"/>
    <s v="04866275"/>
  </r>
  <r>
    <x v="36"/>
    <s v="2021-03-03"/>
    <x v="0"/>
    <x v="0"/>
    <n v="27"/>
    <x v="19"/>
    <n v="1.55"/>
    <n v="20.309999999999999"/>
    <s v="92702067"/>
  </r>
  <r>
    <x v="36"/>
    <s v="2021-03-03"/>
    <x v="0"/>
    <x v="0"/>
    <n v="26"/>
    <x v="14"/>
    <n v="1.47"/>
    <n v="19.13"/>
    <s v="00360305"/>
  </r>
  <r>
    <x v="36"/>
    <s v="2021-03-03"/>
    <x v="0"/>
    <x v="0"/>
    <n v="25"/>
    <x v="16"/>
    <n v="1.45"/>
    <n v="18.920000000000002"/>
    <s v="07207996"/>
  </r>
  <r>
    <x v="36"/>
    <s v="2021-03-03"/>
    <x v="0"/>
    <x v="0"/>
    <n v="24"/>
    <x v="11"/>
    <n v="1.45"/>
    <n v="18.87"/>
    <s v="03634220"/>
  </r>
  <r>
    <x v="36"/>
    <s v="2021-03-03"/>
    <x v="0"/>
    <x v="0"/>
    <n v="23"/>
    <x v="24"/>
    <n v="1.42"/>
    <n v="18.38"/>
    <s v="22639377"/>
  </r>
  <r>
    <x v="36"/>
    <s v="2021-03-03"/>
    <x v="0"/>
    <x v="0"/>
    <n v="22"/>
    <x v="20"/>
    <n v="1.37"/>
    <n v="17.8"/>
    <s v="17192451"/>
  </r>
  <r>
    <x v="36"/>
    <s v="2021-03-03"/>
    <x v="0"/>
    <x v="0"/>
    <n v="21"/>
    <x v="18"/>
    <n v="1.34"/>
    <n v="17.329999999999998"/>
    <s v="28127603"/>
  </r>
  <r>
    <x v="36"/>
    <s v="2021-03-03"/>
    <x v="0"/>
    <x v="0"/>
    <n v="20"/>
    <x v="21"/>
    <n v="1.29"/>
    <n v="16.690000000000001"/>
    <s v="03017677"/>
  </r>
  <r>
    <x v="36"/>
    <s v="2021-03-03"/>
    <x v="0"/>
    <x v="0"/>
    <n v="19"/>
    <x v="28"/>
    <n v="1.26"/>
    <n v="16.14"/>
    <s v="90400888"/>
  </r>
  <r>
    <x v="36"/>
    <s v="2021-03-03"/>
    <x v="0"/>
    <x v="0"/>
    <n v="18"/>
    <x v="23"/>
    <n v="1.24"/>
    <n v="15.95"/>
    <s v="03215790"/>
  </r>
  <r>
    <x v="36"/>
    <s v="2021-03-03"/>
    <x v="0"/>
    <x v="0"/>
    <n v="17"/>
    <x v="25"/>
    <n v="1.23"/>
    <n v="15.83"/>
    <s v="59274605"/>
  </r>
  <r>
    <x v="36"/>
    <s v="2021-03-03"/>
    <x v="0"/>
    <x v="0"/>
    <n v="16"/>
    <x v="32"/>
    <n v="1.22"/>
    <n v="15.71"/>
    <s v="60701190"/>
  </r>
  <r>
    <x v="36"/>
    <s v="2021-03-03"/>
    <x v="0"/>
    <x v="0"/>
    <n v="15"/>
    <x v="36"/>
    <n v="1.21"/>
    <n v="15.51"/>
    <s v="33136888"/>
  </r>
  <r>
    <x v="36"/>
    <s v="2021-03-03"/>
    <x v="0"/>
    <x v="0"/>
    <n v="14"/>
    <x v="29"/>
    <n v="1.2"/>
    <n v="15.42"/>
    <s v="60746948"/>
  </r>
  <r>
    <x v="36"/>
    <s v="2021-03-03"/>
    <x v="0"/>
    <x v="0"/>
    <n v="13"/>
    <x v="31"/>
    <n v="1.1599999999999999"/>
    <n v="14.82"/>
    <s v="17167412"/>
  </r>
  <r>
    <x v="36"/>
    <s v="2021-03-03"/>
    <x v="0"/>
    <x v="0"/>
    <n v="12"/>
    <x v="26"/>
    <n v="1.1599999999999999"/>
    <n v="14.78"/>
    <s v="30172491"/>
  </r>
  <r>
    <x v="36"/>
    <s v="2021-03-03"/>
    <x v="0"/>
    <x v="0"/>
    <n v="11"/>
    <x v="30"/>
    <n v="1.1399999999999999"/>
    <n v="14.5"/>
    <s v="03502961"/>
  </r>
  <r>
    <x v="36"/>
    <s v="2021-03-03"/>
    <x v="0"/>
    <x v="0"/>
    <n v="10"/>
    <x v="27"/>
    <n v="1.0900000000000001"/>
    <n v="13.91"/>
    <s v="00000000"/>
  </r>
  <r>
    <x v="36"/>
    <s v="2021-03-03"/>
    <x v="0"/>
    <x v="0"/>
    <n v="9"/>
    <x v="34"/>
    <n v="1.08"/>
    <n v="13.79"/>
    <s v="33603457"/>
  </r>
  <r>
    <x v="36"/>
    <s v="2021-03-03"/>
    <x v="0"/>
    <x v="0"/>
    <n v="8"/>
    <x v="33"/>
    <n v="1.08"/>
    <n v="13.78"/>
    <s v="62307848"/>
  </r>
  <r>
    <x v="36"/>
    <s v="2021-03-03"/>
    <x v="0"/>
    <x v="0"/>
    <n v="7"/>
    <x v="37"/>
    <n v="1.05"/>
    <n v="13.3"/>
    <s v="04452473"/>
  </r>
  <r>
    <x v="36"/>
    <s v="2021-03-03"/>
    <x v="0"/>
    <x v="0"/>
    <n v="6"/>
    <x v="44"/>
    <n v="1.02"/>
    <n v="12.92"/>
    <s v="58017179"/>
  </r>
  <r>
    <x v="36"/>
    <s v="2021-03-03"/>
    <x v="0"/>
    <x v="0"/>
    <n v="5"/>
    <x v="35"/>
    <n v="0.98"/>
    <n v="12.39"/>
    <s v="59109165"/>
  </r>
  <r>
    <x v="36"/>
    <s v="2021-03-03"/>
    <x v="0"/>
    <x v="0"/>
    <n v="4"/>
    <x v="38"/>
    <n v="0.9"/>
    <n v="11.34"/>
    <s v="60814191"/>
  </r>
  <r>
    <x v="36"/>
    <s v="2021-03-03"/>
    <x v="0"/>
    <x v="0"/>
    <n v="3"/>
    <x v="40"/>
    <n v="0.88"/>
    <n v="11.03"/>
    <s v="02992446"/>
  </r>
  <r>
    <x v="36"/>
    <s v="2021-03-03"/>
    <x v="0"/>
    <x v="0"/>
    <n v="2"/>
    <x v="39"/>
    <n v="0.8"/>
    <n v="10.01"/>
    <s v="04902979"/>
  </r>
  <r>
    <x v="36"/>
    <s v="2021-03-03"/>
    <x v="0"/>
    <x v="0"/>
    <n v="1"/>
    <x v="22"/>
    <n v="0.78"/>
    <n v="9.8000000000000007"/>
    <s v="11417016"/>
  </r>
  <r>
    <x v="37"/>
    <s v="2021-03-04"/>
    <x v="0"/>
    <x v="0"/>
    <n v="44"/>
    <x v="0"/>
    <n v="3.43"/>
    <n v="49.93"/>
    <s v="60850229"/>
  </r>
  <r>
    <x v="37"/>
    <s v="2021-03-04"/>
    <x v="0"/>
    <x v="0"/>
    <n v="43"/>
    <x v="1"/>
    <n v="3.32"/>
    <n v="47.93"/>
    <s v="01800019"/>
  </r>
  <r>
    <x v="37"/>
    <s v="2021-03-04"/>
    <x v="0"/>
    <x v="0"/>
    <n v="42"/>
    <x v="3"/>
    <n v="3.24"/>
    <n v="46.59"/>
    <s v="05503849"/>
  </r>
  <r>
    <x v="37"/>
    <s v="2021-03-04"/>
    <x v="0"/>
    <x v="0"/>
    <n v="41"/>
    <x v="2"/>
    <n v="3.23"/>
    <n v="46.45"/>
    <s v="92228410"/>
  </r>
  <r>
    <x v="37"/>
    <s v="2021-03-04"/>
    <x v="0"/>
    <x v="0"/>
    <n v="40"/>
    <x v="4"/>
    <n v="2.77"/>
    <n v="38.76"/>
    <s v="62232889"/>
  </r>
  <r>
    <x v="37"/>
    <s v="2021-03-04"/>
    <x v="0"/>
    <x v="0"/>
    <n v="39"/>
    <x v="5"/>
    <n v="2.62"/>
    <n v="36.32"/>
    <s v="80271455"/>
  </r>
  <r>
    <x v="37"/>
    <s v="2021-03-04"/>
    <x v="0"/>
    <x v="0"/>
    <n v="38"/>
    <x v="6"/>
    <n v="2.41"/>
    <n v="33.14"/>
    <s v="05676026"/>
  </r>
  <r>
    <x v="37"/>
    <s v="2021-03-04"/>
    <x v="0"/>
    <x v="0"/>
    <n v="37"/>
    <x v="7"/>
    <n v="2.25"/>
    <n v="30.59"/>
    <s v="92874270"/>
  </r>
  <r>
    <x v="37"/>
    <s v="2021-03-04"/>
    <x v="0"/>
    <x v="0"/>
    <n v="36"/>
    <x v="8"/>
    <n v="2.1800000000000002"/>
    <n v="29.51"/>
    <s v="59285411"/>
  </r>
  <r>
    <x v="37"/>
    <s v="2021-03-04"/>
    <x v="0"/>
    <x v="0"/>
    <n v="35"/>
    <x v="9"/>
    <n v="1.97"/>
    <n v="26.4"/>
    <s v="00411939"/>
  </r>
  <r>
    <x v="37"/>
    <s v="2021-03-04"/>
    <x v="0"/>
    <x v="0"/>
    <n v="34"/>
    <x v="10"/>
    <n v="1.89"/>
    <n v="25.2"/>
    <s v="10371492"/>
  </r>
  <r>
    <x v="37"/>
    <s v="2021-03-04"/>
    <x v="0"/>
    <x v="0"/>
    <n v="33"/>
    <x v="42"/>
    <n v="1.84"/>
    <n v="24.48"/>
    <s v="34991938"/>
  </r>
  <r>
    <x v="37"/>
    <s v="2021-03-04"/>
    <x v="0"/>
    <x v="0"/>
    <n v="32"/>
    <x v="13"/>
    <n v="1.68"/>
    <n v="22.18"/>
    <s v="07707650"/>
  </r>
  <r>
    <x v="37"/>
    <s v="2021-03-04"/>
    <x v="0"/>
    <x v="0"/>
    <n v="31"/>
    <x v="15"/>
    <n v="1.65"/>
    <n v="21.73"/>
    <s v="59588111"/>
  </r>
  <r>
    <x v="37"/>
    <s v="2021-03-04"/>
    <x v="0"/>
    <x v="0"/>
    <n v="30"/>
    <x v="12"/>
    <n v="1.65"/>
    <n v="21.73"/>
    <s v="04862600"/>
  </r>
  <r>
    <x v="37"/>
    <s v="2021-03-04"/>
    <x v="0"/>
    <x v="0"/>
    <n v="29"/>
    <x v="17"/>
    <n v="1.58"/>
    <n v="20.76"/>
    <s v="04866275"/>
  </r>
  <r>
    <x v="37"/>
    <s v="2021-03-04"/>
    <x v="0"/>
    <x v="0"/>
    <n v="28"/>
    <x v="19"/>
    <n v="1.55"/>
    <n v="20.309999999999999"/>
    <s v="92702067"/>
  </r>
  <r>
    <x v="37"/>
    <s v="2021-03-04"/>
    <x v="0"/>
    <x v="0"/>
    <n v="27"/>
    <x v="11"/>
    <n v="1.49"/>
    <n v="19.440000000000001"/>
    <s v="03634220"/>
  </r>
  <r>
    <x v="37"/>
    <s v="2021-03-04"/>
    <x v="0"/>
    <x v="0"/>
    <n v="26"/>
    <x v="16"/>
    <n v="1.46"/>
    <n v="19.05"/>
    <s v="07207996"/>
  </r>
  <r>
    <x v="37"/>
    <s v="2021-03-04"/>
    <x v="0"/>
    <x v="0"/>
    <n v="25"/>
    <x v="14"/>
    <n v="1.45"/>
    <n v="18.84"/>
    <s v="00360305"/>
  </r>
  <r>
    <x v="37"/>
    <s v="2021-03-04"/>
    <x v="0"/>
    <x v="0"/>
    <n v="24"/>
    <x v="24"/>
    <n v="1.43"/>
    <n v="18.59"/>
    <s v="22639377"/>
  </r>
  <r>
    <x v="37"/>
    <s v="2021-03-04"/>
    <x v="0"/>
    <x v="0"/>
    <n v="23"/>
    <x v="20"/>
    <n v="1.39"/>
    <n v="17.97"/>
    <s v="17192451"/>
  </r>
  <r>
    <x v="37"/>
    <s v="2021-03-04"/>
    <x v="0"/>
    <x v="0"/>
    <n v="22"/>
    <x v="18"/>
    <n v="1.34"/>
    <n v="17.329999999999998"/>
    <s v="28127603"/>
  </r>
  <r>
    <x v="37"/>
    <s v="2021-03-04"/>
    <x v="0"/>
    <x v="0"/>
    <n v="21"/>
    <x v="21"/>
    <n v="1.3"/>
    <n v="16.739999999999998"/>
    <s v="03017677"/>
  </r>
  <r>
    <x v="37"/>
    <s v="2021-03-04"/>
    <x v="0"/>
    <x v="0"/>
    <n v="20"/>
    <x v="28"/>
    <n v="1.25"/>
    <n v="16.079999999999998"/>
    <s v="90400888"/>
  </r>
  <r>
    <x v="37"/>
    <s v="2021-03-04"/>
    <x v="0"/>
    <x v="0"/>
    <n v="19"/>
    <x v="23"/>
    <n v="1.24"/>
    <n v="15.96"/>
    <s v="03215790"/>
  </r>
  <r>
    <x v="37"/>
    <s v="2021-03-04"/>
    <x v="0"/>
    <x v="0"/>
    <n v="18"/>
    <x v="25"/>
    <n v="1.24"/>
    <n v="15.91"/>
    <s v="59274605"/>
  </r>
  <r>
    <x v="37"/>
    <s v="2021-03-04"/>
    <x v="0"/>
    <x v="0"/>
    <n v="17"/>
    <x v="32"/>
    <n v="1.22"/>
    <n v="15.62"/>
    <s v="60701190"/>
  </r>
  <r>
    <x v="37"/>
    <s v="2021-03-04"/>
    <x v="0"/>
    <x v="0"/>
    <n v="16"/>
    <x v="29"/>
    <n v="1.21"/>
    <n v="15.53"/>
    <s v="60746948"/>
  </r>
  <r>
    <x v="37"/>
    <s v="2021-03-04"/>
    <x v="0"/>
    <x v="0"/>
    <n v="15"/>
    <x v="43"/>
    <n v="1.19"/>
    <n v="15.32"/>
    <s v="07441209"/>
  </r>
  <r>
    <x v="37"/>
    <s v="2021-03-04"/>
    <x v="0"/>
    <x v="0"/>
    <n v="14"/>
    <x v="26"/>
    <n v="1.1599999999999999"/>
    <n v="14.82"/>
    <s v="30172491"/>
  </r>
  <r>
    <x v="37"/>
    <s v="2021-03-04"/>
    <x v="0"/>
    <x v="0"/>
    <n v="13"/>
    <x v="31"/>
    <n v="1.1599999999999999"/>
    <n v="14.77"/>
    <s v="17167412"/>
  </r>
  <r>
    <x v="37"/>
    <s v="2021-03-04"/>
    <x v="0"/>
    <x v="0"/>
    <n v="12"/>
    <x v="36"/>
    <n v="1.1399999999999999"/>
    <n v="14.55"/>
    <s v="33136888"/>
  </r>
  <r>
    <x v="37"/>
    <s v="2021-03-04"/>
    <x v="0"/>
    <x v="0"/>
    <n v="11"/>
    <x v="44"/>
    <n v="1.1299999999999999"/>
    <n v="14.37"/>
    <s v="58017179"/>
  </r>
  <r>
    <x v="37"/>
    <s v="2021-03-04"/>
    <x v="0"/>
    <x v="0"/>
    <n v="10"/>
    <x v="30"/>
    <n v="1.1200000000000001"/>
    <n v="14.24"/>
    <s v="03502961"/>
  </r>
  <r>
    <x v="37"/>
    <s v="2021-03-04"/>
    <x v="0"/>
    <x v="0"/>
    <n v="9"/>
    <x v="27"/>
    <n v="1.0900000000000001"/>
    <n v="13.95"/>
    <s v="00000000"/>
  </r>
  <r>
    <x v="37"/>
    <s v="2021-03-04"/>
    <x v="0"/>
    <x v="0"/>
    <n v="8"/>
    <x v="33"/>
    <n v="1.0900000000000001"/>
    <n v="13.85"/>
    <s v="62307848"/>
  </r>
  <r>
    <x v="37"/>
    <s v="2021-03-04"/>
    <x v="0"/>
    <x v="0"/>
    <n v="7"/>
    <x v="34"/>
    <n v="1.08"/>
    <n v="13.77"/>
    <s v="33603457"/>
  </r>
  <r>
    <x v="37"/>
    <s v="2021-03-04"/>
    <x v="0"/>
    <x v="0"/>
    <n v="6"/>
    <x v="37"/>
    <n v="1.04"/>
    <n v="13.27"/>
    <s v="04452473"/>
  </r>
  <r>
    <x v="37"/>
    <s v="2021-03-04"/>
    <x v="0"/>
    <x v="0"/>
    <n v="5"/>
    <x v="35"/>
    <n v="0.98"/>
    <n v="12.36"/>
    <s v="59109165"/>
  </r>
  <r>
    <x v="37"/>
    <s v="2021-03-04"/>
    <x v="0"/>
    <x v="0"/>
    <n v="4"/>
    <x v="40"/>
    <n v="0.88"/>
    <n v="11.06"/>
    <s v="02992446"/>
  </r>
  <r>
    <x v="37"/>
    <s v="2021-03-04"/>
    <x v="0"/>
    <x v="0"/>
    <n v="3"/>
    <x v="38"/>
    <n v="0.84"/>
    <n v="10.55"/>
    <s v="60814191"/>
  </r>
  <r>
    <x v="37"/>
    <s v="2021-03-04"/>
    <x v="0"/>
    <x v="0"/>
    <n v="2"/>
    <x v="39"/>
    <n v="0.8"/>
    <n v="10.01"/>
    <s v="04902979"/>
  </r>
  <r>
    <x v="37"/>
    <s v="2021-03-04"/>
    <x v="0"/>
    <x v="0"/>
    <n v="1"/>
    <x v="22"/>
    <n v="0.78"/>
    <n v="9.7100000000000009"/>
    <s v="11417016"/>
  </r>
  <r>
    <x v="38"/>
    <s v="2021-03-05"/>
    <x v="0"/>
    <x v="0"/>
    <n v="43"/>
    <x v="0"/>
    <n v="3.39"/>
    <n v="49.19"/>
    <s v="60850229"/>
  </r>
  <r>
    <x v="38"/>
    <s v="2021-03-05"/>
    <x v="0"/>
    <x v="0"/>
    <n v="42"/>
    <x v="1"/>
    <n v="3.27"/>
    <n v="47.12"/>
    <s v="01800019"/>
  </r>
  <r>
    <x v="38"/>
    <s v="2021-03-05"/>
    <x v="0"/>
    <x v="0"/>
    <n v="41"/>
    <x v="3"/>
    <n v="3.26"/>
    <n v="46.87"/>
    <s v="05503849"/>
  </r>
  <r>
    <x v="38"/>
    <s v="2021-03-05"/>
    <x v="0"/>
    <x v="0"/>
    <n v="40"/>
    <x v="2"/>
    <n v="3.24"/>
    <n v="46.68"/>
    <s v="92228410"/>
  </r>
  <r>
    <x v="38"/>
    <s v="2021-03-05"/>
    <x v="0"/>
    <x v="0"/>
    <n v="39"/>
    <x v="4"/>
    <n v="2.74"/>
    <n v="38.299999999999997"/>
    <s v="62232889"/>
  </r>
  <r>
    <x v="38"/>
    <s v="2021-03-05"/>
    <x v="0"/>
    <x v="0"/>
    <n v="38"/>
    <x v="5"/>
    <n v="2.5299999999999998"/>
    <n v="34.97"/>
    <s v="80271455"/>
  </r>
  <r>
    <x v="38"/>
    <s v="2021-03-05"/>
    <x v="0"/>
    <x v="0"/>
    <n v="37"/>
    <x v="6"/>
    <n v="2.41"/>
    <n v="33.11"/>
    <s v="05676026"/>
  </r>
  <r>
    <x v="38"/>
    <s v="2021-03-05"/>
    <x v="0"/>
    <x v="0"/>
    <n v="36"/>
    <x v="7"/>
    <n v="2.2400000000000002"/>
    <n v="30.48"/>
    <s v="92874270"/>
  </r>
  <r>
    <x v="38"/>
    <s v="2021-03-05"/>
    <x v="0"/>
    <x v="0"/>
    <n v="35"/>
    <x v="8"/>
    <n v="2.1800000000000002"/>
    <n v="29.58"/>
    <s v="59285411"/>
  </r>
  <r>
    <x v="38"/>
    <s v="2021-03-05"/>
    <x v="0"/>
    <x v="0"/>
    <n v="34"/>
    <x v="9"/>
    <n v="2.06"/>
    <n v="27.73"/>
    <s v="00411939"/>
  </r>
  <r>
    <x v="38"/>
    <s v="2021-03-05"/>
    <x v="0"/>
    <x v="0"/>
    <n v="33"/>
    <x v="10"/>
    <n v="1.89"/>
    <n v="25.25"/>
    <s v="10371492"/>
  </r>
  <r>
    <x v="38"/>
    <s v="2021-03-05"/>
    <x v="0"/>
    <x v="0"/>
    <n v="32"/>
    <x v="42"/>
    <n v="1.84"/>
    <n v="24.48"/>
    <s v="34991938"/>
  </r>
  <r>
    <x v="38"/>
    <s v="2021-03-05"/>
    <x v="0"/>
    <x v="0"/>
    <n v="31"/>
    <x v="13"/>
    <n v="1.68"/>
    <n v="22.16"/>
    <s v="07707650"/>
  </r>
  <r>
    <x v="38"/>
    <s v="2021-03-05"/>
    <x v="0"/>
    <x v="0"/>
    <n v="30"/>
    <x v="15"/>
    <n v="1.66"/>
    <n v="21.86"/>
    <s v="59588111"/>
  </r>
  <r>
    <x v="38"/>
    <s v="2021-03-05"/>
    <x v="0"/>
    <x v="0"/>
    <n v="29"/>
    <x v="12"/>
    <n v="1.64"/>
    <n v="21.52"/>
    <s v="04862600"/>
  </r>
  <r>
    <x v="38"/>
    <s v="2021-03-05"/>
    <x v="0"/>
    <x v="0"/>
    <n v="28"/>
    <x v="17"/>
    <n v="1.58"/>
    <n v="20.76"/>
    <s v="04866275"/>
  </r>
  <r>
    <x v="38"/>
    <s v="2021-03-05"/>
    <x v="0"/>
    <x v="0"/>
    <n v="27"/>
    <x v="14"/>
    <n v="1.54"/>
    <n v="20.190000000000001"/>
    <s v="00360305"/>
  </r>
  <r>
    <x v="38"/>
    <s v="2021-03-05"/>
    <x v="0"/>
    <x v="0"/>
    <n v="26"/>
    <x v="11"/>
    <n v="1.51"/>
    <n v="19.66"/>
    <s v="03634220"/>
  </r>
  <r>
    <x v="38"/>
    <s v="2021-03-05"/>
    <x v="0"/>
    <x v="0"/>
    <n v="25"/>
    <x v="16"/>
    <n v="1.48"/>
    <n v="19.309999999999999"/>
    <s v="07207996"/>
  </r>
  <r>
    <x v="38"/>
    <s v="2021-03-05"/>
    <x v="0"/>
    <x v="0"/>
    <n v="24"/>
    <x v="24"/>
    <n v="1.45"/>
    <n v="18.86"/>
    <s v="22639377"/>
  </r>
  <r>
    <x v="38"/>
    <s v="2021-03-05"/>
    <x v="0"/>
    <x v="0"/>
    <n v="23"/>
    <x v="19"/>
    <n v="1.42"/>
    <n v="18.43"/>
    <s v="92702067"/>
  </r>
  <r>
    <x v="38"/>
    <s v="2021-03-05"/>
    <x v="0"/>
    <x v="0"/>
    <n v="22"/>
    <x v="20"/>
    <n v="1.41"/>
    <n v="18.29"/>
    <s v="17192451"/>
  </r>
  <r>
    <x v="38"/>
    <s v="2021-03-05"/>
    <x v="0"/>
    <x v="0"/>
    <n v="21"/>
    <x v="18"/>
    <n v="1.41"/>
    <n v="18.22"/>
    <s v="28127603"/>
  </r>
  <r>
    <x v="38"/>
    <s v="2021-03-05"/>
    <x v="0"/>
    <x v="0"/>
    <n v="20"/>
    <x v="21"/>
    <n v="1.31"/>
    <n v="16.96"/>
    <s v="03017677"/>
  </r>
  <r>
    <x v="38"/>
    <s v="2021-03-05"/>
    <x v="0"/>
    <x v="0"/>
    <n v="19"/>
    <x v="32"/>
    <n v="1.28"/>
    <n v="16.440000000000001"/>
    <s v="60701190"/>
  </r>
  <r>
    <x v="38"/>
    <s v="2021-03-05"/>
    <x v="0"/>
    <x v="0"/>
    <n v="18"/>
    <x v="28"/>
    <n v="1.25"/>
    <n v="16.11"/>
    <s v="90400888"/>
  </r>
  <r>
    <x v="38"/>
    <s v="2021-03-05"/>
    <x v="0"/>
    <x v="0"/>
    <n v="17"/>
    <x v="23"/>
    <n v="1.25"/>
    <n v="16.100000000000001"/>
    <s v="03215790"/>
  </r>
  <r>
    <x v="38"/>
    <s v="2021-03-05"/>
    <x v="0"/>
    <x v="0"/>
    <n v="16"/>
    <x v="25"/>
    <n v="1.23"/>
    <n v="15.74"/>
    <s v="59274605"/>
  </r>
  <r>
    <x v="38"/>
    <s v="2021-03-05"/>
    <x v="0"/>
    <x v="0"/>
    <n v="15"/>
    <x v="29"/>
    <n v="1.22"/>
    <n v="15.7"/>
    <s v="60746948"/>
  </r>
  <r>
    <x v="38"/>
    <s v="2021-03-05"/>
    <x v="0"/>
    <x v="0"/>
    <n v="14"/>
    <x v="43"/>
    <n v="1.19"/>
    <n v="15.32"/>
    <s v="07441209"/>
  </r>
  <r>
    <x v="38"/>
    <s v="2021-03-05"/>
    <x v="0"/>
    <x v="0"/>
    <n v="13"/>
    <x v="31"/>
    <n v="1.18"/>
    <n v="15.14"/>
    <s v="17167412"/>
  </r>
  <r>
    <x v="38"/>
    <s v="2021-03-05"/>
    <x v="0"/>
    <x v="0"/>
    <n v="12"/>
    <x v="26"/>
    <n v="1.17"/>
    <n v="14.94"/>
    <s v="30172491"/>
  </r>
  <r>
    <x v="38"/>
    <s v="2021-03-05"/>
    <x v="0"/>
    <x v="0"/>
    <n v="11"/>
    <x v="36"/>
    <n v="1.1399999999999999"/>
    <n v="14.58"/>
    <s v="33136888"/>
  </r>
  <r>
    <x v="38"/>
    <s v="2021-03-05"/>
    <x v="0"/>
    <x v="0"/>
    <n v="10"/>
    <x v="34"/>
    <n v="1.1200000000000001"/>
    <n v="14.36"/>
    <s v="33603457"/>
  </r>
  <r>
    <x v="38"/>
    <s v="2021-03-05"/>
    <x v="0"/>
    <x v="0"/>
    <n v="9"/>
    <x v="30"/>
    <n v="1.1100000000000001"/>
    <n v="14.21"/>
    <s v="03502961"/>
  </r>
  <r>
    <x v="38"/>
    <s v="2021-03-05"/>
    <x v="0"/>
    <x v="0"/>
    <n v="8"/>
    <x v="27"/>
    <n v="1.1000000000000001"/>
    <n v="14.08"/>
    <s v="00000000"/>
  </r>
  <r>
    <x v="38"/>
    <s v="2021-03-05"/>
    <x v="0"/>
    <x v="0"/>
    <n v="7"/>
    <x v="44"/>
    <n v="1.1000000000000001"/>
    <n v="14.08"/>
    <s v="58017179"/>
  </r>
  <r>
    <x v="38"/>
    <s v="2021-03-05"/>
    <x v="0"/>
    <x v="0"/>
    <n v="6"/>
    <x v="33"/>
    <n v="1.08"/>
    <n v="13.79"/>
    <s v="62307848"/>
  </r>
  <r>
    <x v="38"/>
    <s v="2021-03-05"/>
    <x v="0"/>
    <x v="0"/>
    <n v="5"/>
    <x v="37"/>
    <n v="1.04"/>
    <n v="13.27"/>
    <s v="04452473"/>
  </r>
  <r>
    <x v="38"/>
    <s v="2021-03-05"/>
    <x v="0"/>
    <x v="0"/>
    <n v="4"/>
    <x v="35"/>
    <n v="1"/>
    <n v="12.61"/>
    <s v="59109165"/>
  </r>
  <r>
    <x v="38"/>
    <s v="2021-03-05"/>
    <x v="0"/>
    <x v="0"/>
    <n v="3"/>
    <x v="40"/>
    <n v="0.88"/>
    <n v="11.05"/>
    <s v="02992446"/>
  </r>
  <r>
    <x v="38"/>
    <s v="2021-03-05"/>
    <x v="0"/>
    <x v="0"/>
    <n v="2"/>
    <x v="38"/>
    <n v="0.86"/>
    <n v="10.78"/>
    <s v="60814191"/>
  </r>
  <r>
    <x v="38"/>
    <s v="2021-03-05"/>
    <x v="0"/>
    <x v="0"/>
    <n v="1"/>
    <x v="22"/>
    <n v="0.77"/>
    <n v="9.6300000000000008"/>
    <s v="11417016"/>
  </r>
  <r>
    <x v="39"/>
    <s v="2021-03-08"/>
    <x v="0"/>
    <x v="0"/>
    <n v="43"/>
    <x v="3"/>
    <n v="3.3"/>
    <n v="47.63"/>
    <s v="05503849"/>
  </r>
  <r>
    <x v="39"/>
    <s v="2021-03-08"/>
    <x v="0"/>
    <x v="0"/>
    <n v="42"/>
    <x v="0"/>
    <n v="3.3"/>
    <n v="47.62"/>
    <s v="60850229"/>
  </r>
  <r>
    <x v="39"/>
    <s v="2021-03-08"/>
    <x v="0"/>
    <x v="0"/>
    <n v="41"/>
    <x v="1"/>
    <n v="3.28"/>
    <n v="47.22"/>
    <s v="01800019"/>
  </r>
  <r>
    <x v="39"/>
    <s v="2021-03-08"/>
    <x v="0"/>
    <x v="0"/>
    <n v="40"/>
    <x v="2"/>
    <n v="3.23"/>
    <n v="46.47"/>
    <s v="92228410"/>
  </r>
  <r>
    <x v="39"/>
    <s v="2021-03-08"/>
    <x v="0"/>
    <x v="0"/>
    <n v="39"/>
    <x v="4"/>
    <n v="2.73"/>
    <n v="38.1"/>
    <s v="62232889"/>
  </r>
  <r>
    <x v="39"/>
    <s v="2021-03-08"/>
    <x v="0"/>
    <x v="0"/>
    <n v="38"/>
    <x v="5"/>
    <n v="2.58"/>
    <n v="35.74"/>
    <s v="80271455"/>
  </r>
  <r>
    <x v="39"/>
    <s v="2021-03-08"/>
    <x v="0"/>
    <x v="0"/>
    <n v="37"/>
    <x v="6"/>
    <n v="2.4"/>
    <n v="32.99"/>
    <s v="05676026"/>
  </r>
  <r>
    <x v="39"/>
    <s v="2021-03-08"/>
    <x v="0"/>
    <x v="0"/>
    <n v="36"/>
    <x v="7"/>
    <n v="2.25"/>
    <n v="30.67"/>
    <s v="92874270"/>
  </r>
  <r>
    <x v="39"/>
    <s v="2021-03-08"/>
    <x v="0"/>
    <x v="0"/>
    <n v="35"/>
    <x v="8"/>
    <n v="2.21"/>
    <n v="29.96"/>
    <s v="59285411"/>
  </r>
  <r>
    <x v="39"/>
    <s v="2021-03-08"/>
    <x v="0"/>
    <x v="0"/>
    <n v="34"/>
    <x v="9"/>
    <n v="2.04"/>
    <n v="27.48"/>
    <s v="00411939"/>
  </r>
  <r>
    <x v="39"/>
    <s v="2021-03-08"/>
    <x v="0"/>
    <x v="0"/>
    <n v="33"/>
    <x v="10"/>
    <n v="1.9"/>
    <n v="25.35"/>
    <s v="10371492"/>
  </r>
  <r>
    <x v="39"/>
    <s v="2021-03-08"/>
    <x v="0"/>
    <x v="0"/>
    <n v="32"/>
    <x v="42"/>
    <n v="1.84"/>
    <n v="24.48"/>
    <s v="34991938"/>
  </r>
  <r>
    <x v="39"/>
    <s v="2021-03-08"/>
    <x v="0"/>
    <x v="0"/>
    <n v="31"/>
    <x v="13"/>
    <n v="1.69"/>
    <n v="22.22"/>
    <s v="07707650"/>
  </r>
  <r>
    <x v="39"/>
    <s v="2021-03-08"/>
    <x v="0"/>
    <x v="0"/>
    <n v="30"/>
    <x v="15"/>
    <n v="1.67"/>
    <n v="22.01"/>
    <s v="59588111"/>
  </r>
  <r>
    <x v="39"/>
    <s v="2021-03-08"/>
    <x v="0"/>
    <x v="0"/>
    <n v="29"/>
    <x v="12"/>
    <n v="1.65"/>
    <n v="21.74"/>
    <s v="04862600"/>
  </r>
  <r>
    <x v="39"/>
    <s v="2021-03-08"/>
    <x v="0"/>
    <x v="0"/>
    <n v="28"/>
    <x v="24"/>
    <n v="1.64"/>
    <n v="21.6"/>
    <s v="22639377"/>
  </r>
  <r>
    <x v="39"/>
    <s v="2021-03-08"/>
    <x v="0"/>
    <x v="0"/>
    <n v="27"/>
    <x v="17"/>
    <n v="1.58"/>
    <n v="20.76"/>
    <s v="04866275"/>
  </r>
  <r>
    <x v="39"/>
    <s v="2021-03-08"/>
    <x v="0"/>
    <x v="0"/>
    <n v="26"/>
    <x v="14"/>
    <n v="1.58"/>
    <n v="20.62"/>
    <s v="00360305"/>
  </r>
  <r>
    <x v="39"/>
    <s v="2021-03-08"/>
    <x v="0"/>
    <x v="0"/>
    <n v="25"/>
    <x v="11"/>
    <n v="1.56"/>
    <n v="20.46"/>
    <s v="03634220"/>
  </r>
  <r>
    <x v="39"/>
    <s v="2021-03-08"/>
    <x v="0"/>
    <x v="0"/>
    <n v="24"/>
    <x v="16"/>
    <n v="1.49"/>
    <n v="19.45"/>
    <s v="07207996"/>
  </r>
  <r>
    <x v="39"/>
    <s v="2021-03-08"/>
    <x v="0"/>
    <x v="0"/>
    <n v="23"/>
    <x v="18"/>
    <n v="1.49"/>
    <n v="19.36"/>
    <s v="28127603"/>
  </r>
  <r>
    <x v="39"/>
    <s v="2021-03-08"/>
    <x v="0"/>
    <x v="0"/>
    <n v="22"/>
    <x v="20"/>
    <n v="1.44"/>
    <n v="18.739999999999998"/>
    <s v="17192451"/>
  </r>
  <r>
    <x v="39"/>
    <s v="2021-03-08"/>
    <x v="0"/>
    <x v="0"/>
    <n v="21"/>
    <x v="19"/>
    <n v="1.42"/>
    <n v="18.43"/>
    <s v="92702067"/>
  </r>
  <r>
    <x v="39"/>
    <s v="2021-03-08"/>
    <x v="0"/>
    <x v="0"/>
    <n v="20"/>
    <x v="21"/>
    <n v="1.32"/>
    <n v="17"/>
    <s v="03017677"/>
  </r>
  <r>
    <x v="39"/>
    <s v="2021-03-08"/>
    <x v="0"/>
    <x v="0"/>
    <n v="19"/>
    <x v="32"/>
    <n v="1.31"/>
    <n v="16.899999999999999"/>
    <s v="60701190"/>
  </r>
  <r>
    <x v="39"/>
    <s v="2021-03-08"/>
    <x v="0"/>
    <x v="0"/>
    <n v="18"/>
    <x v="28"/>
    <n v="1.26"/>
    <n v="16.23"/>
    <s v="90400888"/>
  </r>
  <r>
    <x v="39"/>
    <s v="2021-03-08"/>
    <x v="0"/>
    <x v="0"/>
    <n v="17"/>
    <x v="23"/>
    <n v="1.26"/>
    <n v="16.23"/>
    <s v="03215790"/>
  </r>
  <r>
    <x v="39"/>
    <s v="2021-03-08"/>
    <x v="0"/>
    <x v="0"/>
    <n v="16"/>
    <x v="29"/>
    <n v="1.24"/>
    <n v="15.92"/>
    <s v="60746948"/>
  </r>
  <r>
    <x v="39"/>
    <s v="2021-03-08"/>
    <x v="0"/>
    <x v="0"/>
    <n v="15"/>
    <x v="25"/>
    <n v="1.23"/>
    <n v="15.86"/>
    <s v="59274605"/>
  </r>
  <r>
    <x v="39"/>
    <s v="2021-03-08"/>
    <x v="0"/>
    <x v="0"/>
    <n v="14"/>
    <x v="43"/>
    <n v="1.19"/>
    <n v="15.32"/>
    <s v="07441209"/>
  </r>
  <r>
    <x v="39"/>
    <s v="2021-03-08"/>
    <x v="0"/>
    <x v="0"/>
    <n v="13"/>
    <x v="26"/>
    <n v="1.18"/>
    <n v="15.05"/>
    <s v="30172491"/>
  </r>
  <r>
    <x v="39"/>
    <s v="2021-03-08"/>
    <x v="0"/>
    <x v="0"/>
    <n v="12"/>
    <x v="31"/>
    <n v="1.17"/>
    <n v="14.93"/>
    <s v="17167412"/>
  </r>
  <r>
    <x v="39"/>
    <s v="2021-03-08"/>
    <x v="0"/>
    <x v="0"/>
    <n v="11"/>
    <x v="30"/>
    <n v="1.17"/>
    <n v="14.91"/>
    <s v="03502961"/>
  </r>
  <r>
    <x v="39"/>
    <s v="2021-03-08"/>
    <x v="0"/>
    <x v="0"/>
    <n v="10"/>
    <x v="44"/>
    <n v="1.1599999999999999"/>
    <n v="14.86"/>
    <s v="58017179"/>
  </r>
  <r>
    <x v="39"/>
    <s v="2021-03-08"/>
    <x v="0"/>
    <x v="0"/>
    <n v="9"/>
    <x v="36"/>
    <n v="1.1399999999999999"/>
    <n v="14.58"/>
    <s v="33136888"/>
  </r>
  <r>
    <x v="39"/>
    <s v="2021-03-08"/>
    <x v="0"/>
    <x v="0"/>
    <n v="8"/>
    <x v="34"/>
    <n v="1.1299999999999999"/>
    <n v="14.43"/>
    <s v="33603457"/>
  </r>
  <r>
    <x v="39"/>
    <s v="2021-03-08"/>
    <x v="0"/>
    <x v="0"/>
    <n v="7"/>
    <x v="27"/>
    <n v="1.1200000000000001"/>
    <n v="14.33"/>
    <s v="00000000"/>
  </r>
  <r>
    <x v="39"/>
    <s v="2021-03-08"/>
    <x v="0"/>
    <x v="0"/>
    <n v="6"/>
    <x v="33"/>
    <n v="1.0900000000000001"/>
    <n v="13.87"/>
    <s v="62307848"/>
  </r>
  <r>
    <x v="39"/>
    <s v="2021-03-08"/>
    <x v="0"/>
    <x v="0"/>
    <n v="5"/>
    <x v="37"/>
    <n v="1.04"/>
    <n v="13.21"/>
    <s v="04452473"/>
  </r>
  <r>
    <x v="39"/>
    <s v="2021-03-08"/>
    <x v="0"/>
    <x v="0"/>
    <n v="4"/>
    <x v="35"/>
    <n v="1"/>
    <n v="12.71"/>
    <s v="59109165"/>
  </r>
  <r>
    <x v="39"/>
    <s v="2021-03-08"/>
    <x v="0"/>
    <x v="0"/>
    <n v="3"/>
    <x v="40"/>
    <n v="0.88"/>
    <n v="11.09"/>
    <s v="02992446"/>
  </r>
  <r>
    <x v="39"/>
    <s v="2021-03-08"/>
    <x v="0"/>
    <x v="0"/>
    <n v="2"/>
    <x v="38"/>
    <n v="0.84"/>
    <n v="10.62"/>
    <s v="60814191"/>
  </r>
  <r>
    <x v="39"/>
    <s v="2021-03-08"/>
    <x v="0"/>
    <x v="0"/>
    <n v="1"/>
    <x v="22"/>
    <n v="0.78"/>
    <n v="9.7100000000000009"/>
    <s v="11417016"/>
  </r>
  <r>
    <x v="40"/>
    <s v="2021-03-09"/>
    <x v="0"/>
    <x v="0"/>
    <n v="43"/>
    <x v="0"/>
    <n v="3.33"/>
    <n v="48.18"/>
    <s v="60850229"/>
  </r>
  <r>
    <x v="40"/>
    <s v="2021-03-09"/>
    <x v="0"/>
    <x v="0"/>
    <n v="42"/>
    <x v="3"/>
    <n v="3.32"/>
    <n v="47.97"/>
    <s v="05503849"/>
  </r>
  <r>
    <x v="40"/>
    <s v="2021-03-09"/>
    <x v="0"/>
    <x v="0"/>
    <n v="41"/>
    <x v="2"/>
    <n v="3.22"/>
    <n v="46.21"/>
    <s v="92228410"/>
  </r>
  <r>
    <x v="40"/>
    <s v="2021-03-09"/>
    <x v="0"/>
    <x v="0"/>
    <n v="40"/>
    <x v="1"/>
    <n v="3.18"/>
    <n v="45.55"/>
    <s v="01800019"/>
  </r>
  <r>
    <x v="40"/>
    <s v="2021-03-09"/>
    <x v="0"/>
    <x v="0"/>
    <n v="39"/>
    <x v="4"/>
    <n v="2.71"/>
    <n v="37.89"/>
    <s v="62232889"/>
  </r>
  <r>
    <x v="40"/>
    <s v="2021-03-09"/>
    <x v="0"/>
    <x v="0"/>
    <n v="38"/>
    <x v="5"/>
    <n v="2.5499999999999998"/>
    <n v="35.340000000000003"/>
    <s v="80271455"/>
  </r>
  <r>
    <x v="40"/>
    <s v="2021-03-09"/>
    <x v="0"/>
    <x v="0"/>
    <n v="37"/>
    <x v="6"/>
    <n v="2.41"/>
    <n v="33.020000000000003"/>
    <s v="05676026"/>
  </r>
  <r>
    <x v="40"/>
    <s v="2021-03-09"/>
    <x v="0"/>
    <x v="0"/>
    <n v="36"/>
    <x v="7"/>
    <n v="2.25"/>
    <n v="30.68"/>
    <s v="92874270"/>
  </r>
  <r>
    <x v="40"/>
    <s v="2021-03-09"/>
    <x v="0"/>
    <x v="0"/>
    <n v="35"/>
    <x v="8"/>
    <n v="2.2200000000000002"/>
    <n v="30.18"/>
    <s v="59285411"/>
  </r>
  <r>
    <x v="40"/>
    <s v="2021-03-09"/>
    <x v="0"/>
    <x v="0"/>
    <n v="34"/>
    <x v="9"/>
    <n v="2.11"/>
    <n v="28.4"/>
    <s v="00411939"/>
  </r>
  <r>
    <x v="40"/>
    <s v="2021-03-09"/>
    <x v="0"/>
    <x v="0"/>
    <n v="33"/>
    <x v="10"/>
    <n v="1.91"/>
    <n v="25.53"/>
    <s v="10371492"/>
  </r>
  <r>
    <x v="40"/>
    <s v="2021-03-09"/>
    <x v="0"/>
    <x v="0"/>
    <n v="32"/>
    <x v="13"/>
    <n v="1.69"/>
    <n v="22.3"/>
    <s v="07707650"/>
  </r>
  <r>
    <x v="40"/>
    <s v="2021-03-09"/>
    <x v="0"/>
    <x v="0"/>
    <n v="31"/>
    <x v="15"/>
    <n v="1.68"/>
    <n v="22.11"/>
    <s v="59588111"/>
  </r>
  <r>
    <x v="40"/>
    <s v="2021-03-09"/>
    <x v="0"/>
    <x v="0"/>
    <n v="30"/>
    <x v="12"/>
    <n v="1.65"/>
    <n v="21.63"/>
    <s v="04862600"/>
  </r>
  <r>
    <x v="40"/>
    <s v="2021-03-09"/>
    <x v="0"/>
    <x v="0"/>
    <n v="29"/>
    <x v="11"/>
    <n v="1.6"/>
    <n v="21"/>
    <s v="03634220"/>
  </r>
  <r>
    <x v="40"/>
    <s v="2021-03-09"/>
    <x v="0"/>
    <x v="0"/>
    <n v="28"/>
    <x v="17"/>
    <n v="1.58"/>
    <n v="20.76"/>
    <s v="04866275"/>
  </r>
  <r>
    <x v="40"/>
    <s v="2021-03-09"/>
    <x v="0"/>
    <x v="0"/>
    <n v="27"/>
    <x v="14"/>
    <n v="1.58"/>
    <n v="20.72"/>
    <s v="00360305"/>
  </r>
  <r>
    <x v="40"/>
    <s v="2021-03-09"/>
    <x v="0"/>
    <x v="0"/>
    <n v="26"/>
    <x v="24"/>
    <n v="1.53"/>
    <n v="19.940000000000001"/>
    <s v="22639377"/>
  </r>
  <r>
    <x v="40"/>
    <s v="2021-03-09"/>
    <x v="0"/>
    <x v="0"/>
    <n v="25"/>
    <x v="16"/>
    <n v="1.5"/>
    <n v="19.54"/>
    <s v="07207996"/>
  </r>
  <r>
    <x v="40"/>
    <s v="2021-03-09"/>
    <x v="0"/>
    <x v="0"/>
    <n v="24"/>
    <x v="18"/>
    <n v="1.47"/>
    <n v="19.16"/>
    <s v="28127603"/>
  </r>
  <r>
    <x v="40"/>
    <s v="2021-03-09"/>
    <x v="0"/>
    <x v="0"/>
    <n v="23"/>
    <x v="20"/>
    <n v="1.47"/>
    <n v="19.079999999999998"/>
    <s v="17192451"/>
  </r>
  <r>
    <x v="40"/>
    <s v="2021-03-09"/>
    <x v="0"/>
    <x v="0"/>
    <n v="22"/>
    <x v="32"/>
    <n v="1.33"/>
    <n v="17.23"/>
    <s v="60701190"/>
  </r>
  <r>
    <x v="40"/>
    <s v="2021-03-09"/>
    <x v="0"/>
    <x v="0"/>
    <n v="21"/>
    <x v="21"/>
    <n v="1.32"/>
    <n v="17.09"/>
    <s v="03017677"/>
  </r>
  <r>
    <x v="40"/>
    <s v="2021-03-09"/>
    <x v="0"/>
    <x v="0"/>
    <n v="20"/>
    <x v="28"/>
    <n v="1.27"/>
    <n v="16.36"/>
    <s v="90400888"/>
  </r>
  <r>
    <x v="40"/>
    <s v="2021-03-09"/>
    <x v="0"/>
    <x v="0"/>
    <n v="19"/>
    <x v="23"/>
    <n v="1.27"/>
    <n v="16.34"/>
    <s v="03215790"/>
  </r>
  <r>
    <x v="40"/>
    <s v="2021-03-09"/>
    <x v="0"/>
    <x v="0"/>
    <n v="18"/>
    <x v="25"/>
    <n v="1.26"/>
    <n v="16.170000000000002"/>
    <s v="59274605"/>
  </r>
  <r>
    <x v="40"/>
    <s v="2021-03-09"/>
    <x v="0"/>
    <x v="0"/>
    <n v="17"/>
    <x v="29"/>
    <n v="1.24"/>
    <n v="15.98"/>
    <s v="60746948"/>
  </r>
  <r>
    <x v="40"/>
    <s v="2021-03-09"/>
    <x v="0"/>
    <x v="0"/>
    <n v="16"/>
    <x v="43"/>
    <n v="1.19"/>
    <n v="15.32"/>
    <s v="07441209"/>
  </r>
  <r>
    <x v="40"/>
    <s v="2021-03-09"/>
    <x v="0"/>
    <x v="0"/>
    <n v="15"/>
    <x v="30"/>
    <n v="1.19"/>
    <n v="15.23"/>
    <s v="03502961"/>
  </r>
  <r>
    <x v="40"/>
    <s v="2021-03-09"/>
    <x v="0"/>
    <x v="0"/>
    <n v="14"/>
    <x v="26"/>
    <n v="1.18"/>
    <n v="15.17"/>
    <s v="30172491"/>
  </r>
  <r>
    <x v="40"/>
    <s v="2021-03-09"/>
    <x v="0"/>
    <x v="0"/>
    <n v="13"/>
    <x v="44"/>
    <n v="1.1599999999999999"/>
    <n v="14.86"/>
    <s v="58017179"/>
  </r>
  <r>
    <x v="40"/>
    <s v="2021-03-09"/>
    <x v="0"/>
    <x v="0"/>
    <n v="12"/>
    <x v="31"/>
    <n v="1.1499999999999999"/>
    <n v="14.72"/>
    <s v="17167412"/>
  </r>
  <r>
    <x v="40"/>
    <s v="2021-03-09"/>
    <x v="0"/>
    <x v="0"/>
    <n v="11"/>
    <x v="27"/>
    <n v="1.1499999999999999"/>
    <n v="14.7"/>
    <s v="00000000"/>
  </r>
  <r>
    <x v="40"/>
    <s v="2021-03-09"/>
    <x v="0"/>
    <x v="0"/>
    <n v="10"/>
    <x v="19"/>
    <n v="1.1399999999999999"/>
    <n v="14.52"/>
    <s v="92702067"/>
  </r>
  <r>
    <x v="40"/>
    <s v="2021-03-09"/>
    <x v="0"/>
    <x v="0"/>
    <n v="9"/>
    <x v="36"/>
    <n v="1.1399999999999999"/>
    <n v="14.51"/>
    <s v="33136888"/>
  </r>
  <r>
    <x v="40"/>
    <s v="2021-03-09"/>
    <x v="0"/>
    <x v="0"/>
    <n v="8"/>
    <x v="34"/>
    <n v="1.1100000000000001"/>
    <n v="14.11"/>
    <s v="33603457"/>
  </r>
  <r>
    <x v="40"/>
    <s v="2021-03-09"/>
    <x v="0"/>
    <x v="0"/>
    <n v="7"/>
    <x v="33"/>
    <n v="1.1000000000000001"/>
    <n v="14.07"/>
    <s v="62307848"/>
  </r>
  <r>
    <x v="40"/>
    <s v="2021-03-09"/>
    <x v="0"/>
    <x v="0"/>
    <n v="6"/>
    <x v="37"/>
    <n v="1.04"/>
    <n v="13.24"/>
    <s v="04452473"/>
  </r>
  <r>
    <x v="40"/>
    <s v="2021-03-09"/>
    <x v="0"/>
    <x v="0"/>
    <n v="5"/>
    <x v="35"/>
    <n v="1"/>
    <n v="12.69"/>
    <s v="59109165"/>
  </r>
  <r>
    <x v="40"/>
    <s v="2021-03-09"/>
    <x v="0"/>
    <x v="0"/>
    <n v="4"/>
    <x v="40"/>
    <n v="0.91"/>
    <n v="11.49"/>
    <s v="02992446"/>
  </r>
  <r>
    <x v="40"/>
    <s v="2021-03-09"/>
    <x v="0"/>
    <x v="0"/>
    <n v="3"/>
    <x v="39"/>
    <n v="0.89"/>
    <n v="11.16"/>
    <s v="04902979"/>
  </r>
  <r>
    <x v="40"/>
    <s v="2021-03-09"/>
    <x v="0"/>
    <x v="0"/>
    <n v="2"/>
    <x v="38"/>
    <n v="0.82"/>
    <n v="10.35"/>
    <s v="60814191"/>
  </r>
  <r>
    <x v="40"/>
    <s v="2021-03-09"/>
    <x v="0"/>
    <x v="0"/>
    <n v="1"/>
    <x v="22"/>
    <n v="0.76"/>
    <n v="9.5500000000000007"/>
    <s v="11417016"/>
  </r>
  <r>
    <x v="41"/>
    <s v="2021-03-10"/>
    <x v="0"/>
    <x v="0"/>
    <n v="42"/>
    <x v="3"/>
    <n v="3.33"/>
    <n v="48.14"/>
    <s v="05503849"/>
  </r>
  <r>
    <x v="41"/>
    <s v="2021-03-10"/>
    <x v="0"/>
    <x v="0"/>
    <n v="41"/>
    <x v="0"/>
    <n v="3.27"/>
    <n v="47.05"/>
    <s v="60850229"/>
  </r>
  <r>
    <x v="41"/>
    <s v="2021-03-10"/>
    <x v="0"/>
    <x v="0"/>
    <n v="40"/>
    <x v="2"/>
    <n v="3.2"/>
    <n v="45.96"/>
    <s v="92228410"/>
  </r>
  <r>
    <x v="41"/>
    <s v="2021-03-10"/>
    <x v="0"/>
    <x v="0"/>
    <n v="39"/>
    <x v="1"/>
    <n v="3.13"/>
    <n v="44.67"/>
    <s v="01800019"/>
  </r>
  <r>
    <x v="41"/>
    <s v="2021-03-10"/>
    <x v="0"/>
    <x v="0"/>
    <n v="38"/>
    <x v="4"/>
    <n v="2.72"/>
    <n v="37.97"/>
    <s v="62232889"/>
  </r>
  <r>
    <x v="41"/>
    <s v="2021-03-10"/>
    <x v="0"/>
    <x v="0"/>
    <n v="37"/>
    <x v="5"/>
    <n v="2.6"/>
    <n v="36.04"/>
    <s v="80271455"/>
  </r>
  <r>
    <x v="41"/>
    <s v="2021-03-10"/>
    <x v="0"/>
    <x v="0"/>
    <n v="36"/>
    <x v="6"/>
    <n v="2.41"/>
    <n v="33.04"/>
    <s v="05676026"/>
  </r>
  <r>
    <x v="41"/>
    <s v="2021-03-10"/>
    <x v="0"/>
    <x v="0"/>
    <n v="35"/>
    <x v="7"/>
    <n v="2.27"/>
    <n v="30.89"/>
    <s v="92874270"/>
  </r>
  <r>
    <x v="41"/>
    <s v="2021-03-10"/>
    <x v="0"/>
    <x v="0"/>
    <n v="34"/>
    <x v="8"/>
    <n v="2.2400000000000002"/>
    <n v="30.39"/>
    <s v="59285411"/>
  </r>
  <r>
    <x v="41"/>
    <s v="2021-03-10"/>
    <x v="0"/>
    <x v="0"/>
    <n v="33"/>
    <x v="9"/>
    <n v="2.1"/>
    <n v="28.25"/>
    <s v="00411939"/>
  </r>
  <r>
    <x v="41"/>
    <s v="2021-03-10"/>
    <x v="0"/>
    <x v="0"/>
    <n v="32"/>
    <x v="10"/>
    <n v="1.9"/>
    <n v="25.38"/>
    <s v="10371492"/>
  </r>
  <r>
    <x v="41"/>
    <s v="2021-03-10"/>
    <x v="0"/>
    <x v="0"/>
    <n v="31"/>
    <x v="24"/>
    <n v="1.69"/>
    <n v="22.22"/>
    <s v="22639377"/>
  </r>
  <r>
    <x v="41"/>
    <s v="2021-03-10"/>
    <x v="0"/>
    <x v="0"/>
    <n v="30"/>
    <x v="13"/>
    <n v="1.68"/>
    <n v="22.19"/>
    <s v="07707650"/>
  </r>
  <r>
    <x v="41"/>
    <s v="2021-03-10"/>
    <x v="0"/>
    <x v="0"/>
    <n v="29"/>
    <x v="15"/>
    <n v="1.68"/>
    <n v="22.18"/>
    <s v="59588111"/>
  </r>
  <r>
    <x v="41"/>
    <s v="2021-03-10"/>
    <x v="0"/>
    <x v="0"/>
    <n v="28"/>
    <x v="12"/>
    <n v="1.67"/>
    <n v="22.03"/>
    <s v="04862600"/>
  </r>
  <r>
    <x v="41"/>
    <s v="2021-03-10"/>
    <x v="0"/>
    <x v="0"/>
    <n v="27"/>
    <x v="11"/>
    <n v="1.63"/>
    <n v="21.45"/>
    <s v="03634220"/>
  </r>
  <r>
    <x v="41"/>
    <s v="2021-03-10"/>
    <x v="0"/>
    <x v="0"/>
    <n v="26"/>
    <x v="14"/>
    <n v="1.63"/>
    <n v="21.36"/>
    <s v="00360305"/>
  </r>
  <r>
    <x v="41"/>
    <s v="2021-03-10"/>
    <x v="0"/>
    <x v="0"/>
    <n v="25"/>
    <x v="16"/>
    <n v="1.51"/>
    <n v="19.690000000000001"/>
    <s v="07207996"/>
  </r>
  <r>
    <x v="41"/>
    <s v="2021-03-10"/>
    <x v="0"/>
    <x v="0"/>
    <n v="24"/>
    <x v="20"/>
    <n v="1.48"/>
    <n v="19.34"/>
    <s v="17192451"/>
  </r>
  <r>
    <x v="41"/>
    <s v="2021-03-10"/>
    <x v="0"/>
    <x v="0"/>
    <n v="23"/>
    <x v="18"/>
    <n v="1.44"/>
    <n v="18.690000000000001"/>
    <s v="28127603"/>
  </r>
  <r>
    <x v="41"/>
    <s v="2021-03-10"/>
    <x v="0"/>
    <x v="0"/>
    <n v="22"/>
    <x v="32"/>
    <n v="1.35"/>
    <n v="17.5"/>
    <s v="60701190"/>
  </r>
  <r>
    <x v="41"/>
    <s v="2021-03-10"/>
    <x v="0"/>
    <x v="0"/>
    <n v="21"/>
    <x v="21"/>
    <n v="1.33"/>
    <n v="17.149999999999999"/>
    <s v="03017677"/>
  </r>
  <r>
    <x v="41"/>
    <s v="2021-03-10"/>
    <x v="0"/>
    <x v="0"/>
    <n v="20"/>
    <x v="23"/>
    <n v="1.27"/>
    <n v="16.32"/>
    <s v="03215790"/>
  </r>
  <r>
    <x v="41"/>
    <s v="2021-03-10"/>
    <x v="0"/>
    <x v="0"/>
    <n v="19"/>
    <x v="28"/>
    <n v="1.26"/>
    <n v="16.21"/>
    <s v="90400888"/>
  </r>
  <r>
    <x v="41"/>
    <s v="2021-03-10"/>
    <x v="0"/>
    <x v="0"/>
    <n v="18"/>
    <x v="25"/>
    <n v="1.25"/>
    <n v="16.04"/>
    <s v="59274605"/>
  </r>
  <r>
    <x v="41"/>
    <s v="2021-03-10"/>
    <x v="0"/>
    <x v="0"/>
    <n v="17"/>
    <x v="29"/>
    <n v="1.25"/>
    <n v="16.02"/>
    <s v="60746948"/>
  </r>
  <r>
    <x v="41"/>
    <s v="2021-03-10"/>
    <x v="0"/>
    <x v="0"/>
    <n v="16"/>
    <x v="30"/>
    <n v="1.24"/>
    <n v="15.99"/>
    <s v="03502961"/>
  </r>
  <r>
    <x v="41"/>
    <s v="2021-03-10"/>
    <x v="0"/>
    <x v="0"/>
    <n v="15"/>
    <x v="43"/>
    <n v="1.19"/>
    <n v="15.32"/>
    <s v="07441209"/>
  </r>
  <r>
    <x v="41"/>
    <s v="2021-03-10"/>
    <x v="0"/>
    <x v="0"/>
    <n v="14"/>
    <x v="19"/>
    <n v="1.19"/>
    <n v="15.19"/>
    <s v="92702067"/>
  </r>
  <r>
    <x v="41"/>
    <s v="2021-03-10"/>
    <x v="0"/>
    <x v="0"/>
    <n v="13"/>
    <x v="26"/>
    <n v="1.18"/>
    <n v="15.1"/>
    <s v="30172491"/>
  </r>
  <r>
    <x v="41"/>
    <s v="2021-03-10"/>
    <x v="0"/>
    <x v="0"/>
    <n v="12"/>
    <x v="27"/>
    <n v="1.17"/>
    <n v="14.95"/>
    <s v="00000000"/>
  </r>
  <r>
    <x v="41"/>
    <s v="2021-03-10"/>
    <x v="0"/>
    <x v="0"/>
    <n v="11"/>
    <x v="31"/>
    <n v="1.1499999999999999"/>
    <n v="14.74"/>
    <s v="17167412"/>
  </r>
  <r>
    <x v="41"/>
    <s v="2021-03-10"/>
    <x v="0"/>
    <x v="0"/>
    <n v="10"/>
    <x v="36"/>
    <n v="1.1299999999999999"/>
    <n v="14.48"/>
    <s v="33136888"/>
  </r>
  <r>
    <x v="41"/>
    <s v="2021-03-10"/>
    <x v="0"/>
    <x v="0"/>
    <n v="9"/>
    <x v="33"/>
    <n v="1.1100000000000001"/>
    <n v="14.22"/>
    <s v="62307848"/>
  </r>
  <r>
    <x v="41"/>
    <s v="2021-03-10"/>
    <x v="0"/>
    <x v="0"/>
    <n v="8"/>
    <x v="34"/>
    <n v="1.1100000000000001"/>
    <n v="14.19"/>
    <s v="33603457"/>
  </r>
  <r>
    <x v="41"/>
    <s v="2021-03-10"/>
    <x v="0"/>
    <x v="0"/>
    <n v="7"/>
    <x v="44"/>
    <n v="1.08"/>
    <n v="13.8"/>
    <s v="58017179"/>
  </r>
  <r>
    <x v="41"/>
    <s v="2021-03-10"/>
    <x v="0"/>
    <x v="0"/>
    <n v="6"/>
    <x v="37"/>
    <n v="1.04"/>
    <n v="13.25"/>
    <s v="04452473"/>
  </r>
  <r>
    <x v="41"/>
    <s v="2021-03-10"/>
    <x v="0"/>
    <x v="0"/>
    <n v="5"/>
    <x v="35"/>
    <n v="1"/>
    <n v="12.74"/>
    <s v="59109165"/>
  </r>
  <r>
    <x v="41"/>
    <s v="2021-03-10"/>
    <x v="0"/>
    <x v="0"/>
    <n v="4"/>
    <x v="40"/>
    <n v="0.94"/>
    <n v="11.94"/>
    <s v="02992446"/>
  </r>
  <r>
    <x v="41"/>
    <s v="2021-03-10"/>
    <x v="0"/>
    <x v="0"/>
    <n v="3"/>
    <x v="39"/>
    <n v="0.89"/>
    <n v="11.16"/>
    <s v="04902979"/>
  </r>
  <r>
    <x v="41"/>
    <s v="2021-03-10"/>
    <x v="0"/>
    <x v="0"/>
    <n v="2"/>
    <x v="38"/>
    <n v="0.86"/>
    <n v="10.79"/>
    <s v="60814191"/>
  </r>
  <r>
    <x v="41"/>
    <s v="2021-03-10"/>
    <x v="0"/>
    <x v="0"/>
    <n v="1"/>
    <x v="22"/>
    <n v="0.79"/>
    <n v="9.92"/>
    <s v="11417016"/>
  </r>
  <r>
    <x v="42"/>
    <s v="2021-03-11"/>
    <x v="0"/>
    <x v="0"/>
    <n v="42"/>
    <x v="3"/>
    <n v="3.3"/>
    <n v="47.63"/>
    <s v="05503849"/>
  </r>
  <r>
    <x v="42"/>
    <s v="2021-03-11"/>
    <x v="0"/>
    <x v="0"/>
    <n v="41"/>
    <x v="0"/>
    <n v="3.28"/>
    <n v="47.22"/>
    <s v="60850229"/>
  </r>
  <r>
    <x v="42"/>
    <s v="2021-03-11"/>
    <x v="0"/>
    <x v="0"/>
    <n v="40"/>
    <x v="2"/>
    <n v="3.19"/>
    <n v="45.82"/>
    <s v="92228410"/>
  </r>
  <r>
    <x v="42"/>
    <s v="2021-03-11"/>
    <x v="0"/>
    <x v="0"/>
    <n v="39"/>
    <x v="1"/>
    <n v="3.12"/>
    <n v="44.55"/>
    <s v="01800019"/>
  </r>
  <r>
    <x v="42"/>
    <s v="2021-03-11"/>
    <x v="0"/>
    <x v="0"/>
    <n v="38"/>
    <x v="4"/>
    <n v="2.71"/>
    <n v="37.770000000000003"/>
    <s v="62232889"/>
  </r>
  <r>
    <x v="42"/>
    <s v="2021-03-11"/>
    <x v="0"/>
    <x v="0"/>
    <n v="37"/>
    <x v="5"/>
    <n v="2.5"/>
    <n v="34.549999999999997"/>
    <s v="80271455"/>
  </r>
  <r>
    <x v="42"/>
    <s v="2021-03-11"/>
    <x v="0"/>
    <x v="0"/>
    <n v="36"/>
    <x v="6"/>
    <n v="2.41"/>
    <n v="33.090000000000003"/>
    <s v="05676026"/>
  </r>
  <r>
    <x v="42"/>
    <s v="2021-03-11"/>
    <x v="0"/>
    <x v="0"/>
    <n v="35"/>
    <x v="7"/>
    <n v="2.29"/>
    <n v="31.23"/>
    <s v="92874270"/>
  </r>
  <r>
    <x v="42"/>
    <s v="2021-03-11"/>
    <x v="0"/>
    <x v="0"/>
    <n v="34"/>
    <x v="8"/>
    <n v="2.25"/>
    <n v="30.53"/>
    <s v="59285411"/>
  </r>
  <r>
    <x v="42"/>
    <s v="2021-03-11"/>
    <x v="0"/>
    <x v="0"/>
    <n v="33"/>
    <x v="9"/>
    <n v="2.12"/>
    <n v="28.7"/>
    <s v="00411939"/>
  </r>
  <r>
    <x v="42"/>
    <s v="2021-03-11"/>
    <x v="0"/>
    <x v="0"/>
    <n v="32"/>
    <x v="10"/>
    <n v="1.91"/>
    <n v="25.55"/>
    <s v="10371492"/>
  </r>
  <r>
    <x v="42"/>
    <s v="2021-03-11"/>
    <x v="0"/>
    <x v="0"/>
    <n v="31"/>
    <x v="15"/>
    <n v="1.69"/>
    <n v="22.26"/>
    <s v="59588111"/>
  </r>
  <r>
    <x v="42"/>
    <s v="2021-03-11"/>
    <x v="0"/>
    <x v="0"/>
    <n v="30"/>
    <x v="13"/>
    <n v="1.69"/>
    <n v="22.2"/>
    <s v="07707650"/>
  </r>
  <r>
    <x v="42"/>
    <s v="2021-03-11"/>
    <x v="0"/>
    <x v="0"/>
    <n v="29"/>
    <x v="14"/>
    <n v="1.69"/>
    <n v="22.2"/>
    <s v="00360305"/>
  </r>
  <r>
    <x v="42"/>
    <s v="2021-03-11"/>
    <x v="0"/>
    <x v="0"/>
    <n v="28"/>
    <x v="12"/>
    <n v="1.66"/>
    <n v="21.86"/>
    <s v="04862600"/>
  </r>
  <r>
    <x v="42"/>
    <s v="2021-03-11"/>
    <x v="0"/>
    <x v="0"/>
    <n v="27"/>
    <x v="11"/>
    <n v="1.64"/>
    <n v="21.5"/>
    <s v="03634220"/>
  </r>
  <r>
    <x v="42"/>
    <s v="2021-03-11"/>
    <x v="0"/>
    <x v="0"/>
    <n v="26"/>
    <x v="24"/>
    <n v="1.54"/>
    <n v="20.170000000000002"/>
    <s v="22639377"/>
  </r>
  <r>
    <x v="42"/>
    <s v="2021-03-11"/>
    <x v="0"/>
    <x v="0"/>
    <n v="25"/>
    <x v="16"/>
    <n v="1.53"/>
    <n v="19.93"/>
    <s v="07207996"/>
  </r>
  <r>
    <x v="42"/>
    <s v="2021-03-11"/>
    <x v="0"/>
    <x v="0"/>
    <n v="24"/>
    <x v="20"/>
    <n v="1.5"/>
    <n v="19.5"/>
    <s v="17192451"/>
  </r>
  <r>
    <x v="42"/>
    <s v="2021-03-11"/>
    <x v="0"/>
    <x v="0"/>
    <n v="23"/>
    <x v="18"/>
    <n v="1.4"/>
    <n v="18.21"/>
    <s v="28127603"/>
  </r>
  <r>
    <x v="42"/>
    <s v="2021-03-11"/>
    <x v="0"/>
    <x v="0"/>
    <n v="22"/>
    <x v="32"/>
    <n v="1.37"/>
    <n v="17.7"/>
    <s v="60701190"/>
  </r>
  <r>
    <x v="42"/>
    <s v="2021-03-11"/>
    <x v="0"/>
    <x v="0"/>
    <n v="21"/>
    <x v="21"/>
    <n v="1.33"/>
    <n v="17.21"/>
    <s v="03017677"/>
  </r>
  <r>
    <x v="42"/>
    <s v="2021-03-11"/>
    <x v="0"/>
    <x v="0"/>
    <n v="20"/>
    <x v="28"/>
    <n v="1.27"/>
    <n v="16.38"/>
    <s v="90400888"/>
  </r>
  <r>
    <x v="42"/>
    <s v="2021-03-11"/>
    <x v="0"/>
    <x v="0"/>
    <n v="19"/>
    <x v="23"/>
    <n v="1.26"/>
    <n v="16.22"/>
    <s v="03215790"/>
  </r>
  <r>
    <x v="42"/>
    <s v="2021-03-11"/>
    <x v="0"/>
    <x v="0"/>
    <n v="18"/>
    <x v="30"/>
    <n v="1.25"/>
    <n v="16.059999999999999"/>
    <s v="03502961"/>
  </r>
  <r>
    <x v="42"/>
    <s v="2021-03-11"/>
    <x v="0"/>
    <x v="0"/>
    <n v="17"/>
    <x v="29"/>
    <n v="1.24"/>
    <n v="15.98"/>
    <s v="60746948"/>
  </r>
  <r>
    <x v="42"/>
    <s v="2021-03-11"/>
    <x v="0"/>
    <x v="0"/>
    <n v="16"/>
    <x v="36"/>
    <n v="1.24"/>
    <n v="15.95"/>
    <s v="33136888"/>
  </r>
  <r>
    <x v="42"/>
    <s v="2021-03-11"/>
    <x v="0"/>
    <x v="0"/>
    <n v="15"/>
    <x v="25"/>
    <n v="1.24"/>
    <n v="15.87"/>
    <s v="59274605"/>
  </r>
  <r>
    <x v="42"/>
    <s v="2021-03-11"/>
    <x v="0"/>
    <x v="0"/>
    <n v="14"/>
    <x v="19"/>
    <n v="1.19"/>
    <n v="15.19"/>
    <s v="92702067"/>
  </r>
  <r>
    <x v="42"/>
    <s v="2021-03-11"/>
    <x v="0"/>
    <x v="0"/>
    <n v="13"/>
    <x v="26"/>
    <n v="1.18"/>
    <n v="15.14"/>
    <s v="30172491"/>
  </r>
  <r>
    <x v="42"/>
    <s v="2021-03-11"/>
    <x v="0"/>
    <x v="0"/>
    <n v="12"/>
    <x v="27"/>
    <n v="1.1499999999999999"/>
    <n v="14.71"/>
    <s v="00000000"/>
  </r>
  <r>
    <x v="42"/>
    <s v="2021-03-11"/>
    <x v="0"/>
    <x v="0"/>
    <n v="11"/>
    <x v="31"/>
    <n v="1.1399999999999999"/>
    <n v="14.54"/>
    <s v="17167412"/>
  </r>
  <r>
    <x v="42"/>
    <s v="2021-03-11"/>
    <x v="0"/>
    <x v="0"/>
    <n v="10"/>
    <x v="33"/>
    <n v="1.1200000000000001"/>
    <n v="14.33"/>
    <s v="62307848"/>
  </r>
  <r>
    <x v="42"/>
    <s v="2021-03-11"/>
    <x v="0"/>
    <x v="0"/>
    <n v="9"/>
    <x v="34"/>
    <n v="1.1200000000000001"/>
    <n v="14.23"/>
    <s v="33603457"/>
  </r>
  <r>
    <x v="42"/>
    <s v="2021-03-11"/>
    <x v="0"/>
    <x v="0"/>
    <n v="8"/>
    <x v="37"/>
    <n v="1.04"/>
    <n v="13.27"/>
    <s v="04452473"/>
  </r>
  <r>
    <x v="42"/>
    <s v="2021-03-11"/>
    <x v="0"/>
    <x v="0"/>
    <n v="7"/>
    <x v="44"/>
    <n v="1.01"/>
    <n v="12.83"/>
    <s v="58017179"/>
  </r>
  <r>
    <x v="42"/>
    <s v="2021-03-11"/>
    <x v="0"/>
    <x v="0"/>
    <n v="6"/>
    <x v="35"/>
    <n v="1"/>
    <n v="12.69"/>
    <s v="59109165"/>
  </r>
  <r>
    <x v="42"/>
    <s v="2021-03-11"/>
    <x v="0"/>
    <x v="0"/>
    <n v="5"/>
    <x v="40"/>
    <n v="0.9"/>
    <n v="11.33"/>
    <s v="02992446"/>
  </r>
  <r>
    <x v="42"/>
    <s v="2021-03-11"/>
    <x v="0"/>
    <x v="0"/>
    <n v="4"/>
    <x v="47"/>
    <n v="0.9"/>
    <n v="11.31"/>
    <s v="28517628"/>
  </r>
  <r>
    <x v="42"/>
    <s v="2021-03-11"/>
    <x v="0"/>
    <x v="0"/>
    <n v="3"/>
    <x v="38"/>
    <n v="0.89"/>
    <n v="11.26"/>
    <s v="60814191"/>
  </r>
  <r>
    <x v="42"/>
    <s v="2021-03-11"/>
    <x v="0"/>
    <x v="0"/>
    <n v="2"/>
    <x v="39"/>
    <n v="0.89"/>
    <n v="11.16"/>
    <s v="04902979"/>
  </r>
  <r>
    <x v="42"/>
    <s v="2021-03-11"/>
    <x v="0"/>
    <x v="0"/>
    <n v="1"/>
    <x v="22"/>
    <n v="0.8"/>
    <n v="9.9700000000000006"/>
    <s v="11417016"/>
  </r>
  <r>
    <x v="43"/>
    <s v="2021-03-12"/>
    <x v="0"/>
    <x v="0"/>
    <n v="42"/>
    <x v="3"/>
    <n v="3.34"/>
    <n v="48.34"/>
    <s v="05503849"/>
  </r>
  <r>
    <x v="43"/>
    <s v="2021-03-12"/>
    <x v="0"/>
    <x v="0"/>
    <n v="41"/>
    <x v="0"/>
    <n v="3.29"/>
    <n v="47.54"/>
    <s v="60850229"/>
  </r>
  <r>
    <x v="43"/>
    <s v="2021-03-12"/>
    <x v="0"/>
    <x v="0"/>
    <n v="40"/>
    <x v="2"/>
    <n v="3.2"/>
    <n v="45.86"/>
    <s v="92228410"/>
  </r>
  <r>
    <x v="43"/>
    <s v="2021-03-12"/>
    <x v="0"/>
    <x v="0"/>
    <n v="39"/>
    <x v="1"/>
    <n v="3.12"/>
    <n v="44.58"/>
    <s v="01800019"/>
  </r>
  <r>
    <x v="43"/>
    <s v="2021-03-12"/>
    <x v="0"/>
    <x v="0"/>
    <n v="38"/>
    <x v="4"/>
    <n v="2.7"/>
    <n v="37.619999999999997"/>
    <s v="62232889"/>
  </r>
  <r>
    <x v="43"/>
    <s v="2021-03-12"/>
    <x v="0"/>
    <x v="0"/>
    <n v="37"/>
    <x v="5"/>
    <n v="2.56"/>
    <n v="35.44"/>
    <s v="80271455"/>
  </r>
  <r>
    <x v="43"/>
    <s v="2021-03-12"/>
    <x v="0"/>
    <x v="0"/>
    <n v="36"/>
    <x v="6"/>
    <n v="2.41"/>
    <n v="33.14"/>
    <s v="05676026"/>
  </r>
  <r>
    <x v="43"/>
    <s v="2021-03-12"/>
    <x v="0"/>
    <x v="0"/>
    <n v="35"/>
    <x v="7"/>
    <n v="2.2999999999999998"/>
    <n v="31.39"/>
    <s v="92874270"/>
  </r>
  <r>
    <x v="43"/>
    <s v="2021-03-12"/>
    <x v="0"/>
    <x v="0"/>
    <n v="34"/>
    <x v="8"/>
    <n v="2.25"/>
    <n v="30.63"/>
    <s v="59285411"/>
  </r>
  <r>
    <x v="43"/>
    <s v="2021-03-12"/>
    <x v="0"/>
    <x v="0"/>
    <n v="33"/>
    <x v="9"/>
    <n v="2.0699999999999998"/>
    <n v="27.83"/>
    <s v="00411939"/>
  </r>
  <r>
    <x v="43"/>
    <s v="2021-03-12"/>
    <x v="0"/>
    <x v="0"/>
    <n v="32"/>
    <x v="19"/>
    <n v="2.02"/>
    <n v="27.15"/>
    <s v="92702067"/>
  </r>
  <r>
    <x v="43"/>
    <s v="2021-03-12"/>
    <x v="0"/>
    <x v="0"/>
    <n v="31"/>
    <x v="10"/>
    <n v="1.92"/>
    <n v="25.63"/>
    <s v="10371492"/>
  </r>
  <r>
    <x v="43"/>
    <s v="2021-03-12"/>
    <x v="0"/>
    <x v="0"/>
    <n v="30"/>
    <x v="15"/>
    <n v="1.69"/>
    <n v="22.3"/>
    <s v="59588111"/>
  </r>
  <r>
    <x v="43"/>
    <s v="2021-03-12"/>
    <x v="0"/>
    <x v="0"/>
    <n v="29"/>
    <x v="13"/>
    <n v="1.69"/>
    <n v="22.2"/>
    <s v="07707650"/>
  </r>
  <r>
    <x v="43"/>
    <s v="2021-03-12"/>
    <x v="0"/>
    <x v="0"/>
    <n v="28"/>
    <x v="14"/>
    <n v="1.68"/>
    <n v="22.09"/>
    <s v="00360305"/>
  </r>
  <r>
    <x v="43"/>
    <s v="2021-03-12"/>
    <x v="0"/>
    <x v="0"/>
    <n v="27"/>
    <x v="12"/>
    <n v="1.67"/>
    <n v="21.94"/>
    <s v="04862600"/>
  </r>
  <r>
    <x v="43"/>
    <s v="2021-03-12"/>
    <x v="0"/>
    <x v="0"/>
    <n v="26"/>
    <x v="11"/>
    <n v="1.66"/>
    <n v="21.89"/>
    <s v="03634220"/>
  </r>
  <r>
    <x v="43"/>
    <s v="2021-03-12"/>
    <x v="0"/>
    <x v="0"/>
    <n v="25"/>
    <x v="17"/>
    <n v="1.57"/>
    <n v="20.61"/>
    <s v="04866275"/>
  </r>
  <r>
    <x v="43"/>
    <s v="2021-03-12"/>
    <x v="0"/>
    <x v="0"/>
    <n v="24"/>
    <x v="16"/>
    <n v="1.53"/>
    <n v="20.05"/>
    <s v="07207996"/>
  </r>
  <r>
    <x v="43"/>
    <s v="2021-03-12"/>
    <x v="0"/>
    <x v="0"/>
    <n v="23"/>
    <x v="24"/>
    <n v="1.51"/>
    <n v="19.690000000000001"/>
    <s v="22639377"/>
  </r>
  <r>
    <x v="43"/>
    <s v="2021-03-12"/>
    <x v="0"/>
    <x v="0"/>
    <n v="22"/>
    <x v="20"/>
    <n v="1.51"/>
    <n v="19.68"/>
    <s v="17192451"/>
  </r>
  <r>
    <x v="43"/>
    <s v="2021-03-12"/>
    <x v="0"/>
    <x v="0"/>
    <n v="21"/>
    <x v="18"/>
    <n v="1.47"/>
    <n v="19.149999999999999"/>
    <s v="28127603"/>
  </r>
  <r>
    <x v="43"/>
    <s v="2021-03-12"/>
    <x v="0"/>
    <x v="0"/>
    <n v="20"/>
    <x v="36"/>
    <n v="1.4"/>
    <n v="18.149999999999999"/>
    <s v="33136888"/>
  </r>
  <r>
    <x v="43"/>
    <s v="2021-03-12"/>
    <x v="0"/>
    <x v="0"/>
    <n v="19"/>
    <x v="32"/>
    <n v="1.37"/>
    <n v="17.71"/>
    <s v="60701190"/>
  </r>
  <r>
    <x v="43"/>
    <s v="2021-03-12"/>
    <x v="0"/>
    <x v="0"/>
    <n v="18"/>
    <x v="21"/>
    <n v="1.33"/>
    <n v="17.23"/>
    <s v="03017677"/>
  </r>
  <r>
    <x v="43"/>
    <s v="2021-03-12"/>
    <x v="0"/>
    <x v="0"/>
    <n v="17"/>
    <x v="28"/>
    <n v="1.27"/>
    <n v="16.34"/>
    <s v="90400888"/>
  </r>
  <r>
    <x v="43"/>
    <s v="2021-03-12"/>
    <x v="0"/>
    <x v="0"/>
    <n v="16"/>
    <x v="23"/>
    <n v="1.25"/>
    <n v="16.07"/>
    <s v="03215790"/>
  </r>
  <r>
    <x v="43"/>
    <s v="2021-03-12"/>
    <x v="0"/>
    <x v="0"/>
    <n v="15"/>
    <x v="25"/>
    <n v="1.25"/>
    <n v="16.05"/>
    <s v="59274605"/>
  </r>
  <r>
    <x v="43"/>
    <s v="2021-03-12"/>
    <x v="0"/>
    <x v="0"/>
    <n v="14"/>
    <x v="30"/>
    <n v="1.24"/>
    <n v="16"/>
    <s v="03502961"/>
  </r>
  <r>
    <x v="43"/>
    <s v="2021-03-12"/>
    <x v="0"/>
    <x v="0"/>
    <n v="13"/>
    <x v="29"/>
    <n v="1.24"/>
    <n v="15.9"/>
    <s v="60746948"/>
  </r>
  <r>
    <x v="43"/>
    <s v="2021-03-12"/>
    <x v="0"/>
    <x v="0"/>
    <n v="12"/>
    <x v="26"/>
    <n v="1.19"/>
    <n v="15.21"/>
    <s v="30172491"/>
  </r>
  <r>
    <x v="43"/>
    <s v="2021-03-12"/>
    <x v="0"/>
    <x v="0"/>
    <n v="11"/>
    <x v="27"/>
    <n v="1.1499999999999999"/>
    <n v="14.71"/>
    <s v="00000000"/>
  </r>
  <r>
    <x v="43"/>
    <s v="2021-03-12"/>
    <x v="0"/>
    <x v="0"/>
    <n v="10"/>
    <x v="31"/>
    <n v="1.1399999999999999"/>
    <n v="14.61"/>
    <s v="17167412"/>
  </r>
  <r>
    <x v="43"/>
    <s v="2021-03-12"/>
    <x v="0"/>
    <x v="0"/>
    <n v="9"/>
    <x v="33"/>
    <n v="1.1299999999999999"/>
    <n v="14.48"/>
    <s v="62307848"/>
  </r>
  <r>
    <x v="43"/>
    <s v="2021-03-12"/>
    <x v="0"/>
    <x v="0"/>
    <n v="8"/>
    <x v="34"/>
    <n v="1.1000000000000001"/>
    <n v="13.99"/>
    <s v="33603457"/>
  </r>
  <r>
    <x v="43"/>
    <s v="2021-03-12"/>
    <x v="0"/>
    <x v="0"/>
    <n v="7"/>
    <x v="37"/>
    <n v="1.04"/>
    <n v="13.23"/>
    <s v="04452473"/>
  </r>
  <r>
    <x v="43"/>
    <s v="2021-03-12"/>
    <x v="0"/>
    <x v="0"/>
    <n v="6"/>
    <x v="35"/>
    <n v="1"/>
    <n v="12.68"/>
    <s v="59109165"/>
  </r>
  <r>
    <x v="43"/>
    <s v="2021-03-12"/>
    <x v="0"/>
    <x v="0"/>
    <n v="5"/>
    <x v="47"/>
    <n v="0.9"/>
    <n v="11.31"/>
    <s v="28517628"/>
  </r>
  <r>
    <x v="43"/>
    <s v="2021-03-12"/>
    <x v="0"/>
    <x v="0"/>
    <n v="4"/>
    <x v="38"/>
    <n v="0.89"/>
    <n v="11.23"/>
    <s v="60814191"/>
  </r>
  <r>
    <x v="43"/>
    <s v="2021-03-12"/>
    <x v="0"/>
    <x v="0"/>
    <n v="3"/>
    <x v="40"/>
    <n v="0.89"/>
    <n v="11.17"/>
    <s v="02992446"/>
  </r>
  <r>
    <x v="43"/>
    <s v="2021-03-12"/>
    <x v="0"/>
    <x v="0"/>
    <n v="2"/>
    <x v="39"/>
    <n v="0.89"/>
    <n v="11.16"/>
    <s v="04902979"/>
  </r>
  <r>
    <x v="43"/>
    <s v="2021-03-12"/>
    <x v="0"/>
    <x v="0"/>
    <n v="1"/>
    <x v="22"/>
    <n v="0.86"/>
    <n v="10.79"/>
    <s v="11417016"/>
  </r>
  <r>
    <x v="44"/>
    <s v="2021-03-15"/>
    <x v="0"/>
    <x v="0"/>
    <n v="42"/>
    <x v="3"/>
    <n v="3.29"/>
    <n v="47.51"/>
    <s v="05503849"/>
  </r>
  <r>
    <x v="44"/>
    <s v="2021-03-15"/>
    <x v="0"/>
    <x v="0"/>
    <n v="41"/>
    <x v="0"/>
    <n v="3.21"/>
    <n v="46.08"/>
    <s v="60850229"/>
  </r>
  <r>
    <x v="44"/>
    <s v="2021-03-15"/>
    <x v="0"/>
    <x v="0"/>
    <n v="40"/>
    <x v="2"/>
    <n v="3.2"/>
    <n v="45.93"/>
    <s v="92228410"/>
  </r>
  <r>
    <x v="44"/>
    <s v="2021-03-15"/>
    <x v="0"/>
    <x v="0"/>
    <n v="39"/>
    <x v="1"/>
    <n v="3.14"/>
    <n v="44.97"/>
    <s v="01800019"/>
  </r>
  <r>
    <x v="44"/>
    <s v="2021-03-15"/>
    <x v="0"/>
    <x v="0"/>
    <n v="38"/>
    <x v="4"/>
    <n v="2.7"/>
    <n v="37.729999999999997"/>
    <s v="62232889"/>
  </r>
  <r>
    <x v="44"/>
    <s v="2021-03-15"/>
    <x v="0"/>
    <x v="0"/>
    <n v="37"/>
    <x v="5"/>
    <n v="2.4900000000000002"/>
    <n v="34.28"/>
    <s v="80271455"/>
  </r>
  <r>
    <x v="44"/>
    <s v="2021-03-15"/>
    <x v="0"/>
    <x v="0"/>
    <n v="36"/>
    <x v="6"/>
    <n v="2.41"/>
    <n v="33.1"/>
    <s v="05676026"/>
  </r>
  <r>
    <x v="44"/>
    <s v="2021-03-15"/>
    <x v="0"/>
    <x v="0"/>
    <n v="35"/>
    <x v="7"/>
    <n v="2.29"/>
    <n v="31.28"/>
    <s v="92874270"/>
  </r>
  <r>
    <x v="44"/>
    <s v="2021-03-15"/>
    <x v="0"/>
    <x v="0"/>
    <n v="34"/>
    <x v="8"/>
    <n v="2.25"/>
    <n v="30.61"/>
    <s v="59285411"/>
  </r>
  <r>
    <x v="44"/>
    <s v="2021-03-15"/>
    <x v="0"/>
    <x v="0"/>
    <n v="33"/>
    <x v="9"/>
    <n v="2.12"/>
    <n v="28.55"/>
    <s v="00411939"/>
  </r>
  <r>
    <x v="44"/>
    <s v="2021-03-15"/>
    <x v="0"/>
    <x v="0"/>
    <n v="32"/>
    <x v="19"/>
    <n v="2.02"/>
    <n v="27.15"/>
    <s v="92702067"/>
  </r>
  <r>
    <x v="44"/>
    <s v="2021-03-15"/>
    <x v="0"/>
    <x v="0"/>
    <n v="31"/>
    <x v="10"/>
    <n v="1.92"/>
    <n v="25.59"/>
    <s v="10371492"/>
  </r>
  <r>
    <x v="44"/>
    <s v="2021-03-15"/>
    <x v="0"/>
    <x v="0"/>
    <n v="30"/>
    <x v="14"/>
    <n v="1.78"/>
    <n v="23.57"/>
    <s v="00360305"/>
  </r>
  <r>
    <x v="44"/>
    <s v="2021-03-15"/>
    <x v="0"/>
    <x v="0"/>
    <n v="29"/>
    <x v="15"/>
    <n v="1.69"/>
    <n v="22.25"/>
    <s v="59588111"/>
  </r>
  <r>
    <x v="44"/>
    <s v="2021-03-15"/>
    <x v="0"/>
    <x v="0"/>
    <n v="28"/>
    <x v="13"/>
    <n v="1.69"/>
    <n v="22.2"/>
    <s v="07707650"/>
  </r>
  <r>
    <x v="44"/>
    <s v="2021-03-15"/>
    <x v="0"/>
    <x v="0"/>
    <n v="27"/>
    <x v="11"/>
    <n v="1.67"/>
    <n v="22"/>
    <s v="03634220"/>
  </r>
  <r>
    <x v="44"/>
    <s v="2021-03-15"/>
    <x v="0"/>
    <x v="0"/>
    <n v="26"/>
    <x v="12"/>
    <n v="1.65"/>
    <n v="21.7"/>
    <s v="04862600"/>
  </r>
  <r>
    <x v="44"/>
    <s v="2021-03-15"/>
    <x v="0"/>
    <x v="0"/>
    <n v="25"/>
    <x v="17"/>
    <n v="1.57"/>
    <n v="20.61"/>
    <s v="04866275"/>
  </r>
  <r>
    <x v="44"/>
    <s v="2021-03-15"/>
    <x v="0"/>
    <x v="0"/>
    <n v="24"/>
    <x v="16"/>
    <n v="1.56"/>
    <n v="20.399999999999999"/>
    <s v="07207996"/>
  </r>
  <r>
    <x v="44"/>
    <s v="2021-03-15"/>
    <x v="0"/>
    <x v="0"/>
    <n v="23"/>
    <x v="20"/>
    <n v="1.52"/>
    <n v="19.809999999999999"/>
    <s v="17192451"/>
  </r>
  <r>
    <x v="44"/>
    <s v="2021-03-15"/>
    <x v="0"/>
    <x v="0"/>
    <n v="22"/>
    <x v="18"/>
    <n v="1.51"/>
    <n v="19.71"/>
    <s v="28127603"/>
  </r>
  <r>
    <x v="44"/>
    <s v="2021-03-15"/>
    <x v="0"/>
    <x v="0"/>
    <n v="21"/>
    <x v="24"/>
    <n v="1.51"/>
    <n v="19.649999999999999"/>
    <s v="22639377"/>
  </r>
  <r>
    <x v="44"/>
    <s v="2021-03-15"/>
    <x v="0"/>
    <x v="0"/>
    <n v="20"/>
    <x v="32"/>
    <n v="1.37"/>
    <n v="17.8"/>
    <s v="60701190"/>
  </r>
  <r>
    <x v="44"/>
    <s v="2021-03-15"/>
    <x v="0"/>
    <x v="0"/>
    <n v="19"/>
    <x v="21"/>
    <n v="1.34"/>
    <n v="17.329999999999998"/>
    <s v="03017677"/>
  </r>
  <r>
    <x v="44"/>
    <s v="2021-03-15"/>
    <x v="0"/>
    <x v="0"/>
    <n v="18"/>
    <x v="28"/>
    <n v="1.28"/>
    <n v="16.53"/>
    <s v="90400888"/>
  </r>
  <r>
    <x v="44"/>
    <s v="2021-03-15"/>
    <x v="0"/>
    <x v="0"/>
    <n v="17"/>
    <x v="29"/>
    <n v="1.25"/>
    <n v="16.05"/>
    <s v="60746948"/>
  </r>
  <r>
    <x v="44"/>
    <s v="2021-03-15"/>
    <x v="0"/>
    <x v="0"/>
    <n v="16"/>
    <x v="25"/>
    <n v="1.24"/>
    <n v="15.94"/>
    <s v="59274605"/>
  </r>
  <r>
    <x v="44"/>
    <s v="2021-03-15"/>
    <x v="0"/>
    <x v="0"/>
    <n v="15"/>
    <x v="23"/>
    <n v="1.24"/>
    <n v="15.89"/>
    <s v="03215790"/>
  </r>
  <r>
    <x v="44"/>
    <s v="2021-03-15"/>
    <x v="0"/>
    <x v="0"/>
    <n v="14"/>
    <x v="36"/>
    <n v="1.2"/>
    <n v="15.34"/>
    <s v="33136888"/>
  </r>
  <r>
    <x v="44"/>
    <s v="2021-03-15"/>
    <x v="0"/>
    <x v="0"/>
    <n v="13"/>
    <x v="30"/>
    <n v="1.19"/>
    <n v="15.25"/>
    <s v="03502961"/>
  </r>
  <r>
    <x v="44"/>
    <s v="2021-03-15"/>
    <x v="0"/>
    <x v="0"/>
    <n v="12"/>
    <x v="26"/>
    <n v="1.19"/>
    <n v="15.24"/>
    <s v="30172491"/>
  </r>
  <r>
    <x v="44"/>
    <s v="2021-03-15"/>
    <x v="0"/>
    <x v="0"/>
    <n v="11"/>
    <x v="31"/>
    <n v="1.1499999999999999"/>
    <n v="14.68"/>
    <s v="17167412"/>
  </r>
  <r>
    <x v="44"/>
    <s v="2021-03-15"/>
    <x v="0"/>
    <x v="0"/>
    <n v="10"/>
    <x v="33"/>
    <n v="1.1399999999999999"/>
    <n v="14.55"/>
    <s v="62307848"/>
  </r>
  <r>
    <x v="44"/>
    <s v="2021-03-15"/>
    <x v="0"/>
    <x v="0"/>
    <n v="9"/>
    <x v="27"/>
    <n v="1.1299999999999999"/>
    <n v="14.47"/>
    <s v="00000000"/>
  </r>
  <r>
    <x v="44"/>
    <s v="2021-03-15"/>
    <x v="0"/>
    <x v="0"/>
    <n v="8"/>
    <x v="34"/>
    <n v="1.1000000000000001"/>
    <n v="14"/>
    <s v="33603457"/>
  </r>
  <r>
    <x v="44"/>
    <s v="2021-03-15"/>
    <x v="0"/>
    <x v="0"/>
    <n v="7"/>
    <x v="37"/>
    <n v="1.04"/>
    <n v="13.23"/>
    <s v="04452473"/>
  </r>
  <r>
    <x v="44"/>
    <s v="2021-03-15"/>
    <x v="0"/>
    <x v="0"/>
    <n v="6"/>
    <x v="35"/>
    <n v="1.01"/>
    <n v="12.77"/>
    <s v="59109165"/>
  </r>
  <r>
    <x v="44"/>
    <s v="2021-03-15"/>
    <x v="0"/>
    <x v="0"/>
    <n v="5"/>
    <x v="38"/>
    <n v="0.9"/>
    <n v="11.32"/>
    <s v="60814191"/>
  </r>
  <r>
    <x v="44"/>
    <s v="2021-03-15"/>
    <x v="0"/>
    <x v="0"/>
    <n v="4"/>
    <x v="47"/>
    <n v="0.9"/>
    <n v="11.31"/>
    <s v="28517628"/>
  </r>
  <r>
    <x v="44"/>
    <s v="2021-03-15"/>
    <x v="0"/>
    <x v="0"/>
    <n v="3"/>
    <x v="39"/>
    <n v="0.89"/>
    <n v="11.16"/>
    <s v="04902979"/>
  </r>
  <r>
    <x v="44"/>
    <s v="2021-03-15"/>
    <x v="0"/>
    <x v="0"/>
    <n v="2"/>
    <x v="40"/>
    <n v="0.87"/>
    <n v="10.97"/>
    <s v="02992446"/>
  </r>
  <r>
    <x v="44"/>
    <s v="2021-03-15"/>
    <x v="0"/>
    <x v="0"/>
    <n v="1"/>
    <x v="22"/>
    <n v="0.87"/>
    <n v="10.9"/>
    <s v="11417016"/>
  </r>
  <r>
    <x v="45"/>
    <s v="2021-03-16"/>
    <x v="0"/>
    <x v="0"/>
    <n v="41"/>
    <x v="3"/>
    <n v="3.33"/>
    <n v="48.09"/>
    <s v="05503849"/>
  </r>
  <r>
    <x v="45"/>
    <s v="2021-03-16"/>
    <x v="0"/>
    <x v="0"/>
    <n v="40"/>
    <x v="2"/>
    <n v="3.2"/>
    <n v="45.92"/>
    <s v="92228410"/>
  </r>
  <r>
    <x v="45"/>
    <s v="2021-03-16"/>
    <x v="0"/>
    <x v="0"/>
    <n v="39"/>
    <x v="1"/>
    <n v="3.18"/>
    <n v="45.66"/>
    <s v="01800019"/>
  </r>
  <r>
    <x v="45"/>
    <s v="2021-03-16"/>
    <x v="0"/>
    <x v="0"/>
    <n v="38"/>
    <x v="0"/>
    <n v="3.16"/>
    <n v="45.33"/>
    <s v="60850229"/>
  </r>
  <r>
    <x v="45"/>
    <s v="2021-03-16"/>
    <x v="0"/>
    <x v="0"/>
    <n v="37"/>
    <x v="4"/>
    <n v="2.7"/>
    <n v="37.72"/>
    <s v="62232889"/>
  </r>
  <r>
    <x v="45"/>
    <s v="2021-03-16"/>
    <x v="0"/>
    <x v="0"/>
    <n v="36"/>
    <x v="5"/>
    <n v="2.4900000000000002"/>
    <n v="34.270000000000003"/>
    <s v="80271455"/>
  </r>
  <r>
    <x v="45"/>
    <s v="2021-03-16"/>
    <x v="0"/>
    <x v="0"/>
    <n v="35"/>
    <x v="6"/>
    <n v="2.41"/>
    <n v="33.08"/>
    <s v="05676026"/>
  </r>
  <r>
    <x v="45"/>
    <s v="2021-03-16"/>
    <x v="0"/>
    <x v="0"/>
    <n v="34"/>
    <x v="7"/>
    <n v="2.31"/>
    <n v="31.54"/>
    <s v="92874270"/>
  </r>
  <r>
    <x v="45"/>
    <s v="2021-03-16"/>
    <x v="0"/>
    <x v="0"/>
    <n v="33"/>
    <x v="8"/>
    <n v="2.2599999999999998"/>
    <n v="30.7"/>
    <s v="59285411"/>
  </r>
  <r>
    <x v="45"/>
    <s v="2021-03-16"/>
    <x v="0"/>
    <x v="0"/>
    <n v="32"/>
    <x v="9"/>
    <n v="2.0699999999999998"/>
    <n v="27.93"/>
    <s v="00411939"/>
  </r>
  <r>
    <x v="45"/>
    <s v="2021-03-16"/>
    <x v="0"/>
    <x v="0"/>
    <n v="31"/>
    <x v="19"/>
    <n v="2.02"/>
    <n v="27.15"/>
    <s v="92702067"/>
  </r>
  <r>
    <x v="45"/>
    <s v="2021-03-16"/>
    <x v="0"/>
    <x v="0"/>
    <n v="30"/>
    <x v="10"/>
    <n v="1.93"/>
    <n v="25.73"/>
    <s v="10371492"/>
  </r>
  <r>
    <x v="45"/>
    <s v="2021-03-16"/>
    <x v="0"/>
    <x v="0"/>
    <n v="29"/>
    <x v="14"/>
    <n v="1.74"/>
    <n v="22.96"/>
    <s v="00360305"/>
  </r>
  <r>
    <x v="45"/>
    <s v="2021-03-16"/>
    <x v="0"/>
    <x v="0"/>
    <n v="28"/>
    <x v="15"/>
    <n v="1.69"/>
    <n v="22.22"/>
    <s v="59588111"/>
  </r>
  <r>
    <x v="45"/>
    <s v="2021-03-16"/>
    <x v="0"/>
    <x v="0"/>
    <n v="27"/>
    <x v="13"/>
    <n v="1.69"/>
    <n v="22.21"/>
    <s v="07707650"/>
  </r>
  <r>
    <x v="45"/>
    <s v="2021-03-16"/>
    <x v="0"/>
    <x v="0"/>
    <n v="26"/>
    <x v="11"/>
    <n v="1.68"/>
    <n v="22.09"/>
    <s v="03634220"/>
  </r>
  <r>
    <x v="45"/>
    <s v="2021-03-16"/>
    <x v="0"/>
    <x v="0"/>
    <n v="25"/>
    <x v="12"/>
    <n v="1.67"/>
    <n v="22.02"/>
    <s v="04862600"/>
  </r>
  <r>
    <x v="45"/>
    <s v="2021-03-16"/>
    <x v="0"/>
    <x v="0"/>
    <n v="24"/>
    <x v="16"/>
    <n v="1.58"/>
    <n v="20.64"/>
    <s v="07207996"/>
  </r>
  <r>
    <x v="45"/>
    <s v="2021-03-16"/>
    <x v="0"/>
    <x v="0"/>
    <n v="23"/>
    <x v="17"/>
    <n v="1.57"/>
    <n v="20.61"/>
    <s v="04866275"/>
  </r>
  <r>
    <x v="45"/>
    <s v="2021-03-16"/>
    <x v="0"/>
    <x v="0"/>
    <n v="22"/>
    <x v="20"/>
    <n v="1.52"/>
    <n v="19.829999999999998"/>
    <s v="17192451"/>
  </r>
  <r>
    <x v="45"/>
    <s v="2021-03-16"/>
    <x v="0"/>
    <x v="0"/>
    <n v="21"/>
    <x v="18"/>
    <n v="1.52"/>
    <n v="19.809999999999999"/>
    <s v="28127603"/>
  </r>
  <r>
    <x v="45"/>
    <s v="2021-03-16"/>
    <x v="0"/>
    <x v="0"/>
    <n v="20"/>
    <x v="24"/>
    <n v="1.5"/>
    <n v="19.59"/>
    <s v="22639377"/>
  </r>
  <r>
    <x v="45"/>
    <s v="2021-03-16"/>
    <x v="0"/>
    <x v="0"/>
    <n v="19"/>
    <x v="32"/>
    <n v="1.38"/>
    <n v="17.91"/>
    <s v="60701190"/>
  </r>
  <r>
    <x v="45"/>
    <s v="2021-03-16"/>
    <x v="0"/>
    <x v="0"/>
    <n v="18"/>
    <x v="21"/>
    <n v="1.35"/>
    <n v="17.39"/>
    <s v="03017677"/>
  </r>
  <r>
    <x v="45"/>
    <s v="2021-03-16"/>
    <x v="0"/>
    <x v="0"/>
    <n v="17"/>
    <x v="28"/>
    <n v="1.28"/>
    <n v="16.510000000000002"/>
    <s v="90400888"/>
  </r>
  <r>
    <x v="45"/>
    <s v="2021-03-16"/>
    <x v="0"/>
    <x v="0"/>
    <n v="16"/>
    <x v="29"/>
    <n v="1.25"/>
    <n v="16.12"/>
    <s v="60746948"/>
  </r>
  <r>
    <x v="45"/>
    <s v="2021-03-16"/>
    <x v="0"/>
    <x v="0"/>
    <n v="15"/>
    <x v="23"/>
    <n v="1.24"/>
    <n v="16"/>
    <s v="03215790"/>
  </r>
  <r>
    <x v="45"/>
    <s v="2021-03-16"/>
    <x v="0"/>
    <x v="0"/>
    <n v="14"/>
    <x v="25"/>
    <n v="1.23"/>
    <n v="15.78"/>
    <s v="59274605"/>
  </r>
  <r>
    <x v="45"/>
    <s v="2021-03-16"/>
    <x v="0"/>
    <x v="0"/>
    <n v="13"/>
    <x v="26"/>
    <n v="1.19"/>
    <n v="15.32"/>
    <s v="30172491"/>
  </r>
  <r>
    <x v="45"/>
    <s v="2021-03-16"/>
    <x v="0"/>
    <x v="0"/>
    <n v="12"/>
    <x v="30"/>
    <n v="1.1599999999999999"/>
    <n v="14.86"/>
    <s v="03502961"/>
  </r>
  <r>
    <x v="45"/>
    <s v="2021-03-16"/>
    <x v="0"/>
    <x v="0"/>
    <n v="11"/>
    <x v="36"/>
    <n v="1.1499999999999999"/>
    <n v="14.72"/>
    <s v="33136888"/>
  </r>
  <r>
    <x v="45"/>
    <s v="2021-03-16"/>
    <x v="0"/>
    <x v="0"/>
    <n v="10"/>
    <x v="31"/>
    <n v="1.1399999999999999"/>
    <n v="14.6"/>
    <s v="17167412"/>
  </r>
  <r>
    <x v="45"/>
    <s v="2021-03-16"/>
    <x v="0"/>
    <x v="0"/>
    <n v="9"/>
    <x v="33"/>
    <n v="1.1299999999999999"/>
    <n v="14.45"/>
    <s v="62307848"/>
  </r>
  <r>
    <x v="45"/>
    <s v="2021-03-16"/>
    <x v="0"/>
    <x v="0"/>
    <n v="8"/>
    <x v="27"/>
    <n v="1.1200000000000001"/>
    <n v="14.31"/>
    <s v="00000000"/>
  </r>
  <r>
    <x v="45"/>
    <s v="2021-03-16"/>
    <x v="0"/>
    <x v="0"/>
    <n v="7"/>
    <x v="34"/>
    <n v="1.1000000000000001"/>
    <n v="14.08"/>
    <s v="33603457"/>
  </r>
  <r>
    <x v="45"/>
    <s v="2021-03-16"/>
    <x v="0"/>
    <x v="0"/>
    <n v="6"/>
    <x v="37"/>
    <n v="1.04"/>
    <n v="13.25"/>
    <s v="04452473"/>
  </r>
  <r>
    <x v="45"/>
    <s v="2021-03-16"/>
    <x v="0"/>
    <x v="0"/>
    <n v="5"/>
    <x v="35"/>
    <n v="1.02"/>
    <n v="12.88"/>
    <s v="59109165"/>
  </r>
  <r>
    <x v="45"/>
    <s v="2021-03-16"/>
    <x v="0"/>
    <x v="0"/>
    <n v="4"/>
    <x v="38"/>
    <n v="0.91"/>
    <n v="11.53"/>
    <s v="60814191"/>
  </r>
  <r>
    <x v="45"/>
    <s v="2021-03-16"/>
    <x v="0"/>
    <x v="0"/>
    <n v="3"/>
    <x v="47"/>
    <n v="0.9"/>
    <n v="11.31"/>
    <s v="28517628"/>
  </r>
  <r>
    <x v="45"/>
    <s v="2021-03-16"/>
    <x v="0"/>
    <x v="0"/>
    <n v="2"/>
    <x v="22"/>
    <n v="0.86"/>
    <n v="10.83"/>
    <s v="11417016"/>
  </r>
  <r>
    <x v="45"/>
    <s v="2021-03-16"/>
    <x v="0"/>
    <x v="0"/>
    <n v="1"/>
    <x v="40"/>
    <n v="0.83"/>
    <n v="10.36"/>
    <s v="02992446"/>
  </r>
  <r>
    <x v="46"/>
    <s v="2021-03-17"/>
    <x v="0"/>
    <x v="0"/>
    <n v="41"/>
    <x v="3"/>
    <n v="3.32"/>
    <n v="47.96"/>
    <s v="05503849"/>
  </r>
  <r>
    <x v="46"/>
    <s v="2021-03-17"/>
    <x v="0"/>
    <x v="0"/>
    <n v="40"/>
    <x v="0"/>
    <n v="3.2"/>
    <n v="45.96"/>
    <s v="60850229"/>
  </r>
  <r>
    <x v="46"/>
    <s v="2021-03-17"/>
    <x v="0"/>
    <x v="0"/>
    <n v="39"/>
    <x v="2"/>
    <n v="3.19"/>
    <n v="45.8"/>
    <s v="92228410"/>
  </r>
  <r>
    <x v="46"/>
    <s v="2021-03-17"/>
    <x v="0"/>
    <x v="0"/>
    <n v="38"/>
    <x v="1"/>
    <n v="3.17"/>
    <n v="45.49"/>
    <s v="01800019"/>
  </r>
  <r>
    <x v="46"/>
    <s v="2021-03-17"/>
    <x v="0"/>
    <x v="0"/>
    <n v="37"/>
    <x v="4"/>
    <n v="2.69"/>
    <n v="37.51"/>
    <s v="62232889"/>
  </r>
  <r>
    <x v="46"/>
    <s v="2021-03-17"/>
    <x v="0"/>
    <x v="0"/>
    <n v="36"/>
    <x v="5"/>
    <n v="2.4900000000000002"/>
    <n v="34.25"/>
    <s v="80271455"/>
  </r>
  <r>
    <x v="46"/>
    <s v="2021-03-17"/>
    <x v="0"/>
    <x v="0"/>
    <n v="35"/>
    <x v="6"/>
    <n v="2.41"/>
    <n v="33"/>
    <s v="05676026"/>
  </r>
  <r>
    <x v="46"/>
    <s v="2021-03-17"/>
    <x v="0"/>
    <x v="0"/>
    <n v="34"/>
    <x v="7"/>
    <n v="2.33"/>
    <n v="31.79"/>
    <s v="92874270"/>
  </r>
  <r>
    <x v="46"/>
    <s v="2021-03-17"/>
    <x v="0"/>
    <x v="0"/>
    <n v="33"/>
    <x v="8"/>
    <n v="2.2599999999999998"/>
    <n v="30.71"/>
    <s v="59285411"/>
  </r>
  <r>
    <x v="46"/>
    <s v="2021-03-17"/>
    <x v="0"/>
    <x v="0"/>
    <n v="32"/>
    <x v="19"/>
    <n v="2.2200000000000002"/>
    <n v="30.19"/>
    <s v="92702067"/>
  </r>
  <r>
    <x v="46"/>
    <s v="2021-03-17"/>
    <x v="0"/>
    <x v="0"/>
    <n v="31"/>
    <x v="9"/>
    <n v="2.0499999999999998"/>
    <n v="27.5"/>
    <s v="00411939"/>
  </r>
  <r>
    <x v="46"/>
    <s v="2021-03-17"/>
    <x v="0"/>
    <x v="0"/>
    <n v="30"/>
    <x v="10"/>
    <n v="1.95"/>
    <n v="26.04"/>
    <s v="10371492"/>
  </r>
  <r>
    <x v="46"/>
    <s v="2021-03-17"/>
    <x v="0"/>
    <x v="0"/>
    <n v="29"/>
    <x v="14"/>
    <n v="1.74"/>
    <n v="22.98"/>
    <s v="00360305"/>
  </r>
  <r>
    <x v="46"/>
    <s v="2021-03-17"/>
    <x v="0"/>
    <x v="0"/>
    <n v="28"/>
    <x v="13"/>
    <n v="1.7"/>
    <n v="22.35"/>
    <s v="07707650"/>
  </r>
  <r>
    <x v="46"/>
    <s v="2021-03-17"/>
    <x v="0"/>
    <x v="0"/>
    <n v="27"/>
    <x v="11"/>
    <n v="1.69"/>
    <n v="22.25"/>
    <s v="03634220"/>
  </r>
  <r>
    <x v="46"/>
    <s v="2021-03-17"/>
    <x v="0"/>
    <x v="0"/>
    <n v="26"/>
    <x v="15"/>
    <n v="1.69"/>
    <n v="22.21"/>
    <s v="59588111"/>
  </r>
  <r>
    <x v="46"/>
    <s v="2021-03-17"/>
    <x v="0"/>
    <x v="0"/>
    <n v="25"/>
    <x v="12"/>
    <n v="1.66"/>
    <n v="21.9"/>
    <s v="04862600"/>
  </r>
  <r>
    <x v="46"/>
    <s v="2021-03-17"/>
    <x v="0"/>
    <x v="0"/>
    <n v="24"/>
    <x v="16"/>
    <n v="1.58"/>
    <n v="20.67"/>
    <s v="07207996"/>
  </r>
  <r>
    <x v="46"/>
    <s v="2021-03-17"/>
    <x v="0"/>
    <x v="0"/>
    <n v="23"/>
    <x v="17"/>
    <n v="1.57"/>
    <n v="20.61"/>
    <s v="04866275"/>
  </r>
  <r>
    <x v="46"/>
    <s v="2021-03-17"/>
    <x v="0"/>
    <x v="0"/>
    <n v="22"/>
    <x v="20"/>
    <n v="1.52"/>
    <n v="19.89"/>
    <s v="17192451"/>
  </r>
  <r>
    <x v="46"/>
    <s v="2021-03-17"/>
    <x v="0"/>
    <x v="0"/>
    <n v="21"/>
    <x v="18"/>
    <n v="1.51"/>
    <n v="19.670000000000002"/>
    <s v="28127603"/>
  </r>
  <r>
    <x v="46"/>
    <s v="2021-03-17"/>
    <x v="0"/>
    <x v="0"/>
    <n v="20"/>
    <x v="24"/>
    <n v="1.44"/>
    <n v="18.670000000000002"/>
    <s v="22639377"/>
  </r>
  <r>
    <x v="46"/>
    <s v="2021-03-17"/>
    <x v="0"/>
    <x v="0"/>
    <n v="19"/>
    <x v="32"/>
    <n v="1.37"/>
    <n v="17.78"/>
    <s v="60701190"/>
  </r>
  <r>
    <x v="46"/>
    <s v="2021-03-17"/>
    <x v="0"/>
    <x v="0"/>
    <n v="18"/>
    <x v="21"/>
    <n v="1.35"/>
    <n v="17.399999999999999"/>
    <s v="03017677"/>
  </r>
  <r>
    <x v="46"/>
    <s v="2021-03-17"/>
    <x v="0"/>
    <x v="0"/>
    <n v="17"/>
    <x v="28"/>
    <n v="1.27"/>
    <n v="16.350000000000001"/>
    <s v="90400888"/>
  </r>
  <r>
    <x v="46"/>
    <s v="2021-03-17"/>
    <x v="0"/>
    <x v="0"/>
    <n v="16"/>
    <x v="29"/>
    <n v="1.25"/>
    <n v="16.059999999999999"/>
    <s v="60746948"/>
  </r>
  <r>
    <x v="46"/>
    <s v="2021-03-17"/>
    <x v="0"/>
    <x v="0"/>
    <n v="15"/>
    <x v="23"/>
    <n v="1.24"/>
    <n v="15.95"/>
    <s v="03215790"/>
  </r>
  <r>
    <x v="46"/>
    <s v="2021-03-17"/>
    <x v="0"/>
    <x v="0"/>
    <n v="14"/>
    <x v="25"/>
    <n v="1.24"/>
    <n v="15.91"/>
    <s v="59274605"/>
  </r>
  <r>
    <x v="46"/>
    <s v="2021-03-17"/>
    <x v="0"/>
    <x v="0"/>
    <n v="13"/>
    <x v="26"/>
    <n v="1.2"/>
    <n v="15.4"/>
    <s v="30172491"/>
  </r>
  <r>
    <x v="46"/>
    <s v="2021-03-17"/>
    <x v="0"/>
    <x v="0"/>
    <n v="12"/>
    <x v="30"/>
    <n v="1.1599999999999999"/>
    <n v="14.86"/>
    <s v="03502961"/>
  </r>
  <r>
    <x v="46"/>
    <s v="2021-03-17"/>
    <x v="0"/>
    <x v="0"/>
    <n v="11"/>
    <x v="31"/>
    <n v="1.1299999999999999"/>
    <n v="14.46"/>
    <s v="17167412"/>
  </r>
  <r>
    <x v="46"/>
    <s v="2021-03-17"/>
    <x v="0"/>
    <x v="0"/>
    <n v="10"/>
    <x v="33"/>
    <n v="1.1200000000000001"/>
    <n v="14.36"/>
    <s v="62307848"/>
  </r>
  <r>
    <x v="46"/>
    <s v="2021-03-17"/>
    <x v="0"/>
    <x v="0"/>
    <n v="9"/>
    <x v="34"/>
    <n v="1.1200000000000001"/>
    <n v="14.32"/>
    <s v="33603457"/>
  </r>
  <r>
    <x v="46"/>
    <s v="2021-03-17"/>
    <x v="0"/>
    <x v="0"/>
    <n v="8"/>
    <x v="27"/>
    <n v="1.1100000000000001"/>
    <n v="14.15"/>
    <s v="00000000"/>
  </r>
  <r>
    <x v="46"/>
    <s v="2021-03-17"/>
    <x v="0"/>
    <x v="0"/>
    <n v="7"/>
    <x v="36"/>
    <n v="1.1100000000000001"/>
    <n v="14.11"/>
    <s v="33136888"/>
  </r>
  <r>
    <x v="46"/>
    <s v="2021-03-17"/>
    <x v="0"/>
    <x v="0"/>
    <n v="6"/>
    <x v="37"/>
    <n v="1.04"/>
    <n v="13.25"/>
    <s v="04452473"/>
  </r>
  <r>
    <x v="46"/>
    <s v="2021-03-17"/>
    <x v="0"/>
    <x v="0"/>
    <n v="5"/>
    <x v="35"/>
    <n v="1.02"/>
    <n v="12.94"/>
    <s v="59109165"/>
  </r>
  <r>
    <x v="46"/>
    <s v="2021-03-17"/>
    <x v="0"/>
    <x v="0"/>
    <n v="4"/>
    <x v="38"/>
    <n v="0.91"/>
    <n v="11.41"/>
    <s v="60814191"/>
  </r>
  <r>
    <x v="46"/>
    <s v="2021-03-17"/>
    <x v="0"/>
    <x v="0"/>
    <n v="3"/>
    <x v="22"/>
    <n v="0.9"/>
    <n v="11.35"/>
    <s v="11417016"/>
  </r>
  <r>
    <x v="46"/>
    <s v="2021-03-17"/>
    <x v="0"/>
    <x v="0"/>
    <n v="2"/>
    <x v="47"/>
    <n v="0.9"/>
    <n v="11.31"/>
    <s v="28517628"/>
  </r>
  <r>
    <x v="46"/>
    <s v="2021-03-17"/>
    <x v="0"/>
    <x v="0"/>
    <n v="1"/>
    <x v="40"/>
    <n v="0.83"/>
    <n v="10.48"/>
    <s v="02992446"/>
  </r>
  <r>
    <x v="47"/>
    <s v="2021-03-18"/>
    <x v="0"/>
    <x v="0"/>
    <n v="41"/>
    <x v="3"/>
    <n v="3.32"/>
    <n v="47.99"/>
    <s v="05503849"/>
  </r>
  <r>
    <x v="47"/>
    <s v="2021-03-18"/>
    <x v="0"/>
    <x v="0"/>
    <n v="40"/>
    <x v="1"/>
    <n v="3.23"/>
    <n v="46.45"/>
    <s v="01800019"/>
  </r>
  <r>
    <x v="47"/>
    <s v="2021-03-18"/>
    <x v="0"/>
    <x v="0"/>
    <n v="39"/>
    <x v="0"/>
    <n v="3.2"/>
    <n v="45.92"/>
    <s v="60850229"/>
  </r>
  <r>
    <x v="47"/>
    <s v="2021-03-18"/>
    <x v="0"/>
    <x v="0"/>
    <n v="38"/>
    <x v="2"/>
    <n v="3.17"/>
    <n v="45.4"/>
    <s v="92228410"/>
  </r>
  <r>
    <x v="47"/>
    <s v="2021-03-18"/>
    <x v="0"/>
    <x v="0"/>
    <n v="37"/>
    <x v="4"/>
    <n v="2.71"/>
    <n v="37.86"/>
    <s v="62232889"/>
  </r>
  <r>
    <x v="47"/>
    <s v="2021-03-18"/>
    <x v="0"/>
    <x v="0"/>
    <n v="36"/>
    <x v="5"/>
    <n v="2.61"/>
    <n v="36.21"/>
    <s v="80271455"/>
  </r>
  <r>
    <x v="47"/>
    <s v="2021-03-18"/>
    <x v="0"/>
    <x v="0"/>
    <n v="35"/>
    <x v="6"/>
    <n v="2.4"/>
    <n v="32.97"/>
    <s v="05676026"/>
  </r>
  <r>
    <x v="47"/>
    <s v="2021-03-18"/>
    <x v="0"/>
    <x v="0"/>
    <n v="34"/>
    <x v="7"/>
    <n v="2.33"/>
    <n v="31.82"/>
    <s v="92874270"/>
  </r>
  <r>
    <x v="47"/>
    <s v="2021-03-18"/>
    <x v="0"/>
    <x v="0"/>
    <n v="33"/>
    <x v="8"/>
    <n v="2.2599999999999998"/>
    <n v="30.72"/>
    <s v="59285411"/>
  </r>
  <r>
    <x v="47"/>
    <s v="2021-03-18"/>
    <x v="0"/>
    <x v="0"/>
    <n v="32"/>
    <x v="19"/>
    <n v="2.2200000000000002"/>
    <n v="30.19"/>
    <s v="92702067"/>
  </r>
  <r>
    <x v="47"/>
    <s v="2021-03-18"/>
    <x v="0"/>
    <x v="0"/>
    <n v="31"/>
    <x v="9"/>
    <n v="2.0099999999999998"/>
    <n v="27.01"/>
    <s v="00411939"/>
  </r>
  <r>
    <x v="47"/>
    <s v="2021-03-18"/>
    <x v="0"/>
    <x v="0"/>
    <n v="30"/>
    <x v="10"/>
    <n v="1.95"/>
    <n v="26.08"/>
    <s v="10371492"/>
  </r>
  <r>
    <x v="47"/>
    <s v="2021-03-18"/>
    <x v="0"/>
    <x v="0"/>
    <n v="29"/>
    <x v="11"/>
    <n v="1.71"/>
    <n v="22.5"/>
    <s v="03634220"/>
  </r>
  <r>
    <x v="47"/>
    <s v="2021-03-18"/>
    <x v="0"/>
    <x v="0"/>
    <n v="28"/>
    <x v="13"/>
    <n v="1.7"/>
    <n v="22.39"/>
    <s v="07707650"/>
  </r>
  <r>
    <x v="47"/>
    <s v="2021-03-18"/>
    <x v="0"/>
    <x v="0"/>
    <n v="27"/>
    <x v="15"/>
    <n v="1.68"/>
    <n v="22.16"/>
    <s v="59588111"/>
  </r>
  <r>
    <x v="47"/>
    <s v="2021-03-18"/>
    <x v="0"/>
    <x v="0"/>
    <n v="26"/>
    <x v="12"/>
    <n v="1.67"/>
    <n v="21.96"/>
    <s v="04862600"/>
  </r>
  <r>
    <x v="47"/>
    <s v="2021-03-18"/>
    <x v="0"/>
    <x v="0"/>
    <n v="25"/>
    <x v="14"/>
    <n v="1.58"/>
    <n v="20.73"/>
    <s v="00360305"/>
  </r>
  <r>
    <x v="47"/>
    <s v="2021-03-18"/>
    <x v="0"/>
    <x v="0"/>
    <n v="24"/>
    <x v="16"/>
    <n v="1.58"/>
    <n v="20.69"/>
    <s v="07207996"/>
  </r>
  <r>
    <x v="47"/>
    <s v="2021-03-18"/>
    <x v="0"/>
    <x v="0"/>
    <n v="23"/>
    <x v="17"/>
    <n v="1.57"/>
    <n v="20.61"/>
    <s v="04866275"/>
  </r>
  <r>
    <x v="47"/>
    <s v="2021-03-18"/>
    <x v="0"/>
    <x v="0"/>
    <n v="22"/>
    <x v="20"/>
    <n v="1.53"/>
    <n v="19.96"/>
    <s v="17192451"/>
  </r>
  <r>
    <x v="47"/>
    <s v="2021-03-18"/>
    <x v="0"/>
    <x v="0"/>
    <n v="21"/>
    <x v="18"/>
    <n v="1.53"/>
    <n v="19.940000000000001"/>
    <s v="28127603"/>
  </r>
  <r>
    <x v="47"/>
    <s v="2021-03-18"/>
    <x v="0"/>
    <x v="0"/>
    <n v="20"/>
    <x v="24"/>
    <n v="1.5"/>
    <n v="19.61"/>
    <s v="22639377"/>
  </r>
  <r>
    <x v="47"/>
    <s v="2021-03-18"/>
    <x v="0"/>
    <x v="0"/>
    <n v="19"/>
    <x v="32"/>
    <n v="1.37"/>
    <n v="17.690000000000001"/>
    <s v="60701190"/>
  </r>
  <r>
    <x v="47"/>
    <s v="2021-03-18"/>
    <x v="0"/>
    <x v="0"/>
    <n v="18"/>
    <x v="21"/>
    <n v="1.36"/>
    <n v="17.54"/>
    <s v="03017677"/>
  </r>
  <r>
    <x v="47"/>
    <s v="2021-03-18"/>
    <x v="0"/>
    <x v="0"/>
    <n v="17"/>
    <x v="28"/>
    <n v="1.26"/>
    <n v="16.27"/>
    <s v="90400888"/>
  </r>
  <r>
    <x v="47"/>
    <s v="2021-03-18"/>
    <x v="0"/>
    <x v="0"/>
    <n v="16"/>
    <x v="29"/>
    <n v="1.25"/>
    <n v="16.05"/>
    <s v="60746948"/>
  </r>
  <r>
    <x v="47"/>
    <s v="2021-03-18"/>
    <x v="0"/>
    <x v="0"/>
    <n v="15"/>
    <x v="23"/>
    <n v="1.24"/>
    <n v="15.97"/>
    <s v="03215790"/>
  </r>
  <r>
    <x v="47"/>
    <s v="2021-03-18"/>
    <x v="0"/>
    <x v="0"/>
    <n v="14"/>
    <x v="25"/>
    <n v="1.24"/>
    <n v="15.9"/>
    <s v="59274605"/>
  </r>
  <r>
    <x v="47"/>
    <s v="2021-03-18"/>
    <x v="0"/>
    <x v="0"/>
    <n v="13"/>
    <x v="26"/>
    <n v="1.2"/>
    <n v="15.39"/>
    <s v="30172491"/>
  </r>
  <r>
    <x v="47"/>
    <s v="2021-03-18"/>
    <x v="0"/>
    <x v="0"/>
    <n v="12"/>
    <x v="30"/>
    <n v="1.17"/>
    <n v="14.92"/>
    <s v="03502961"/>
  </r>
  <r>
    <x v="47"/>
    <s v="2021-03-18"/>
    <x v="0"/>
    <x v="0"/>
    <n v="11"/>
    <x v="31"/>
    <n v="1.1499999999999999"/>
    <n v="14.74"/>
    <s v="17167412"/>
  </r>
  <r>
    <x v="47"/>
    <s v="2021-03-18"/>
    <x v="0"/>
    <x v="0"/>
    <n v="10"/>
    <x v="33"/>
    <n v="1.1299999999999999"/>
    <n v="14.39"/>
    <s v="62307848"/>
  </r>
  <r>
    <x v="47"/>
    <s v="2021-03-18"/>
    <x v="0"/>
    <x v="0"/>
    <n v="9"/>
    <x v="27"/>
    <n v="1.1100000000000001"/>
    <n v="14.2"/>
    <s v="00000000"/>
  </r>
  <r>
    <x v="47"/>
    <s v="2021-03-18"/>
    <x v="0"/>
    <x v="0"/>
    <n v="8"/>
    <x v="36"/>
    <n v="1.1100000000000001"/>
    <n v="14.11"/>
    <s v="33136888"/>
  </r>
  <r>
    <x v="47"/>
    <s v="2021-03-18"/>
    <x v="0"/>
    <x v="0"/>
    <n v="7"/>
    <x v="34"/>
    <n v="1.07"/>
    <n v="13.62"/>
    <s v="33603457"/>
  </r>
  <r>
    <x v="47"/>
    <s v="2021-03-18"/>
    <x v="0"/>
    <x v="0"/>
    <n v="6"/>
    <x v="37"/>
    <n v="1.04"/>
    <n v="13.28"/>
    <s v="04452473"/>
  </r>
  <r>
    <x v="47"/>
    <s v="2021-03-18"/>
    <x v="0"/>
    <x v="0"/>
    <n v="5"/>
    <x v="35"/>
    <n v="1.03"/>
    <n v="13.05"/>
    <s v="59109165"/>
  </r>
  <r>
    <x v="47"/>
    <s v="2021-03-18"/>
    <x v="0"/>
    <x v="0"/>
    <n v="4"/>
    <x v="38"/>
    <n v="0.88"/>
    <n v="11.06"/>
    <s v="60814191"/>
  </r>
  <r>
    <x v="47"/>
    <s v="2021-03-18"/>
    <x v="0"/>
    <x v="0"/>
    <n v="3"/>
    <x v="22"/>
    <n v="0.88"/>
    <n v="11.06"/>
    <s v="11417016"/>
  </r>
  <r>
    <x v="47"/>
    <s v="2021-03-18"/>
    <x v="0"/>
    <x v="0"/>
    <n v="2"/>
    <x v="44"/>
    <n v="0.84"/>
    <n v="10.61"/>
    <s v="58017179"/>
  </r>
  <r>
    <x v="47"/>
    <s v="2021-03-18"/>
    <x v="0"/>
    <x v="0"/>
    <n v="1"/>
    <x v="40"/>
    <n v="0.84"/>
    <n v="10.56"/>
    <s v="02992446"/>
  </r>
  <r>
    <x v="48"/>
    <s v="2021-03-19"/>
    <x v="0"/>
    <x v="0"/>
    <n v="40"/>
    <x v="1"/>
    <n v="3.26"/>
    <n v="46.93"/>
    <s v="01800019"/>
  </r>
  <r>
    <x v="48"/>
    <s v="2021-03-19"/>
    <x v="0"/>
    <x v="0"/>
    <n v="39"/>
    <x v="0"/>
    <n v="3.23"/>
    <n v="46.45"/>
    <s v="60850229"/>
  </r>
  <r>
    <x v="48"/>
    <s v="2021-03-19"/>
    <x v="0"/>
    <x v="0"/>
    <n v="38"/>
    <x v="3"/>
    <n v="3.21"/>
    <n v="46.09"/>
    <s v="05503849"/>
  </r>
  <r>
    <x v="48"/>
    <s v="2021-03-19"/>
    <x v="0"/>
    <x v="0"/>
    <n v="37"/>
    <x v="2"/>
    <n v="3.11"/>
    <n v="44.44"/>
    <s v="92228410"/>
  </r>
  <r>
    <x v="48"/>
    <s v="2021-03-19"/>
    <x v="0"/>
    <x v="0"/>
    <n v="36"/>
    <x v="4"/>
    <n v="2.72"/>
    <n v="37.909999999999997"/>
    <s v="62232889"/>
  </r>
  <r>
    <x v="48"/>
    <s v="2021-03-19"/>
    <x v="0"/>
    <x v="0"/>
    <n v="35"/>
    <x v="5"/>
    <n v="2.66"/>
    <n v="37.06"/>
    <s v="80271455"/>
  </r>
  <r>
    <x v="48"/>
    <s v="2021-03-19"/>
    <x v="0"/>
    <x v="0"/>
    <n v="34"/>
    <x v="6"/>
    <n v="2.4"/>
    <n v="32.950000000000003"/>
    <s v="05676026"/>
  </r>
  <r>
    <x v="48"/>
    <s v="2021-03-19"/>
    <x v="0"/>
    <x v="0"/>
    <n v="33"/>
    <x v="7"/>
    <n v="2.34"/>
    <n v="31.97"/>
    <s v="92874270"/>
  </r>
  <r>
    <x v="48"/>
    <s v="2021-03-19"/>
    <x v="0"/>
    <x v="0"/>
    <n v="32"/>
    <x v="8"/>
    <n v="2.25"/>
    <n v="30.67"/>
    <s v="59285411"/>
  </r>
  <r>
    <x v="48"/>
    <s v="2021-03-19"/>
    <x v="0"/>
    <x v="0"/>
    <n v="31"/>
    <x v="9"/>
    <n v="2.06"/>
    <n v="27.66"/>
    <s v="00411939"/>
  </r>
  <r>
    <x v="48"/>
    <s v="2021-03-19"/>
    <x v="0"/>
    <x v="0"/>
    <n v="30"/>
    <x v="10"/>
    <n v="1.95"/>
    <n v="26.01"/>
    <s v="10371492"/>
  </r>
  <r>
    <x v="48"/>
    <s v="2021-03-19"/>
    <x v="0"/>
    <x v="0"/>
    <n v="29"/>
    <x v="13"/>
    <n v="1.71"/>
    <n v="22.53"/>
    <s v="07707650"/>
  </r>
  <r>
    <x v="48"/>
    <s v="2021-03-19"/>
    <x v="0"/>
    <x v="0"/>
    <n v="28"/>
    <x v="15"/>
    <n v="1.68"/>
    <n v="22.08"/>
    <s v="59588111"/>
  </r>
  <r>
    <x v="48"/>
    <s v="2021-03-19"/>
    <x v="0"/>
    <x v="0"/>
    <n v="27"/>
    <x v="11"/>
    <n v="1.68"/>
    <n v="22.05"/>
    <s v="03634220"/>
  </r>
  <r>
    <x v="48"/>
    <s v="2021-03-19"/>
    <x v="0"/>
    <x v="0"/>
    <n v="26"/>
    <x v="12"/>
    <n v="1.67"/>
    <n v="21.93"/>
    <s v="04862600"/>
  </r>
  <r>
    <x v="48"/>
    <s v="2021-03-19"/>
    <x v="0"/>
    <x v="0"/>
    <n v="25"/>
    <x v="14"/>
    <n v="1.61"/>
    <n v="21.14"/>
    <s v="00360305"/>
  </r>
  <r>
    <x v="48"/>
    <s v="2021-03-19"/>
    <x v="0"/>
    <x v="0"/>
    <n v="24"/>
    <x v="24"/>
    <n v="1.6"/>
    <n v="20.92"/>
    <s v="22639377"/>
  </r>
  <r>
    <x v="48"/>
    <s v="2021-03-19"/>
    <x v="0"/>
    <x v="0"/>
    <n v="23"/>
    <x v="16"/>
    <n v="1.59"/>
    <n v="20.78"/>
    <s v="07207996"/>
  </r>
  <r>
    <x v="48"/>
    <s v="2021-03-19"/>
    <x v="0"/>
    <x v="0"/>
    <n v="22"/>
    <x v="20"/>
    <n v="1.53"/>
    <n v="19.97"/>
    <s v="17192451"/>
  </r>
  <r>
    <x v="48"/>
    <s v="2021-03-19"/>
    <x v="0"/>
    <x v="0"/>
    <n v="21"/>
    <x v="18"/>
    <n v="1.48"/>
    <n v="19.309999999999999"/>
    <s v="28127603"/>
  </r>
  <r>
    <x v="48"/>
    <s v="2021-03-19"/>
    <x v="0"/>
    <x v="0"/>
    <n v="20"/>
    <x v="32"/>
    <n v="1.37"/>
    <n v="17.690000000000001"/>
    <s v="60701190"/>
  </r>
  <r>
    <x v="48"/>
    <s v="2021-03-19"/>
    <x v="0"/>
    <x v="0"/>
    <n v="19"/>
    <x v="21"/>
    <n v="1.36"/>
    <n v="17.649999999999999"/>
    <s v="03017677"/>
  </r>
  <r>
    <x v="48"/>
    <s v="2021-03-19"/>
    <x v="0"/>
    <x v="0"/>
    <n v="18"/>
    <x v="28"/>
    <n v="1.27"/>
    <n v="16.32"/>
    <s v="90400888"/>
  </r>
  <r>
    <x v="48"/>
    <s v="2021-03-19"/>
    <x v="0"/>
    <x v="0"/>
    <n v="17"/>
    <x v="23"/>
    <n v="1.25"/>
    <n v="16.07"/>
    <s v="03215790"/>
  </r>
  <r>
    <x v="48"/>
    <s v="2021-03-19"/>
    <x v="0"/>
    <x v="0"/>
    <n v="16"/>
    <x v="29"/>
    <n v="1.25"/>
    <n v="16.010000000000002"/>
    <s v="60746948"/>
  </r>
  <r>
    <x v="48"/>
    <s v="2021-03-19"/>
    <x v="0"/>
    <x v="0"/>
    <n v="15"/>
    <x v="25"/>
    <n v="1.24"/>
    <n v="15.9"/>
    <s v="59274605"/>
  </r>
  <r>
    <x v="48"/>
    <s v="2021-03-19"/>
    <x v="0"/>
    <x v="0"/>
    <n v="14"/>
    <x v="26"/>
    <n v="1.2"/>
    <n v="15.35"/>
    <s v="30172491"/>
  </r>
  <r>
    <x v="48"/>
    <s v="2021-03-19"/>
    <x v="0"/>
    <x v="0"/>
    <n v="13"/>
    <x v="30"/>
    <n v="1.1599999999999999"/>
    <n v="14.8"/>
    <s v="03502961"/>
  </r>
  <r>
    <x v="48"/>
    <s v="2021-03-19"/>
    <x v="0"/>
    <x v="0"/>
    <n v="12"/>
    <x v="36"/>
    <n v="1.1599999999999999"/>
    <n v="14.78"/>
    <s v="33136888"/>
  </r>
  <r>
    <x v="48"/>
    <s v="2021-03-19"/>
    <x v="0"/>
    <x v="0"/>
    <n v="11"/>
    <x v="31"/>
    <n v="1.1499999999999999"/>
    <n v="14.73"/>
    <s v="17167412"/>
  </r>
  <r>
    <x v="48"/>
    <s v="2021-03-19"/>
    <x v="0"/>
    <x v="0"/>
    <n v="10"/>
    <x v="33"/>
    <n v="1.1200000000000001"/>
    <n v="14.26"/>
    <s v="62307848"/>
  </r>
  <r>
    <x v="48"/>
    <s v="2021-03-19"/>
    <x v="0"/>
    <x v="0"/>
    <n v="9"/>
    <x v="27"/>
    <n v="1.1000000000000001"/>
    <n v="14.04"/>
    <s v="00000000"/>
  </r>
  <r>
    <x v="48"/>
    <s v="2021-03-19"/>
    <x v="0"/>
    <x v="0"/>
    <n v="8"/>
    <x v="34"/>
    <n v="1.07"/>
    <n v="13.6"/>
    <s v="33603457"/>
  </r>
  <r>
    <x v="48"/>
    <s v="2021-03-19"/>
    <x v="0"/>
    <x v="0"/>
    <n v="7"/>
    <x v="37"/>
    <n v="1.05"/>
    <n v="13.3"/>
    <s v="04452473"/>
  </r>
  <r>
    <x v="48"/>
    <s v="2021-03-19"/>
    <x v="0"/>
    <x v="0"/>
    <n v="6"/>
    <x v="35"/>
    <n v="1.02"/>
    <n v="12.94"/>
    <s v="59109165"/>
  </r>
  <r>
    <x v="48"/>
    <s v="2021-03-19"/>
    <x v="0"/>
    <x v="0"/>
    <n v="5"/>
    <x v="47"/>
    <n v="0.88"/>
    <n v="11.06"/>
    <s v="28517628"/>
  </r>
  <r>
    <x v="48"/>
    <s v="2021-03-19"/>
    <x v="0"/>
    <x v="0"/>
    <n v="4"/>
    <x v="22"/>
    <n v="0.87"/>
    <n v="10.97"/>
    <s v="11417016"/>
  </r>
  <r>
    <x v="48"/>
    <s v="2021-03-19"/>
    <x v="0"/>
    <x v="0"/>
    <n v="3"/>
    <x v="38"/>
    <n v="0.86"/>
    <n v="10.78"/>
    <s v="60814191"/>
  </r>
  <r>
    <x v="48"/>
    <s v="2021-03-19"/>
    <x v="0"/>
    <x v="0"/>
    <n v="2"/>
    <x v="44"/>
    <n v="0.84"/>
    <n v="10.61"/>
    <s v="58017179"/>
  </r>
  <r>
    <x v="48"/>
    <s v="2021-03-19"/>
    <x v="0"/>
    <x v="0"/>
    <n v="1"/>
    <x v="40"/>
    <n v="0.84"/>
    <n v="10.58"/>
    <s v="02992446"/>
  </r>
  <r>
    <x v="49"/>
    <s v="2021-03-22"/>
    <x v="0"/>
    <x v="0"/>
    <n v="40"/>
    <x v="0"/>
    <n v="3.38"/>
    <n v="49.02"/>
    <s v="60850229"/>
  </r>
  <r>
    <x v="49"/>
    <s v="2021-03-22"/>
    <x v="0"/>
    <x v="0"/>
    <n v="39"/>
    <x v="1"/>
    <n v="3.28"/>
    <n v="47.24"/>
    <s v="01800019"/>
  </r>
  <r>
    <x v="49"/>
    <s v="2021-03-22"/>
    <x v="0"/>
    <x v="0"/>
    <n v="38"/>
    <x v="3"/>
    <n v="3.25"/>
    <n v="46.83"/>
    <s v="05503849"/>
  </r>
  <r>
    <x v="49"/>
    <s v="2021-03-22"/>
    <x v="0"/>
    <x v="0"/>
    <n v="37"/>
    <x v="2"/>
    <n v="3.09"/>
    <n v="44.07"/>
    <s v="92228410"/>
  </r>
  <r>
    <x v="49"/>
    <s v="2021-03-22"/>
    <x v="0"/>
    <x v="0"/>
    <n v="36"/>
    <x v="5"/>
    <n v="2.74"/>
    <n v="38.299999999999997"/>
    <s v="80271455"/>
  </r>
  <r>
    <x v="49"/>
    <s v="2021-03-22"/>
    <x v="0"/>
    <x v="0"/>
    <n v="35"/>
    <x v="4"/>
    <n v="2.72"/>
    <n v="37.92"/>
    <s v="62232889"/>
  </r>
  <r>
    <x v="49"/>
    <s v="2021-03-22"/>
    <x v="0"/>
    <x v="0"/>
    <n v="34"/>
    <x v="6"/>
    <n v="2.4"/>
    <n v="32.99"/>
    <s v="05676026"/>
  </r>
  <r>
    <x v="49"/>
    <s v="2021-03-22"/>
    <x v="0"/>
    <x v="0"/>
    <n v="33"/>
    <x v="7"/>
    <n v="2.36"/>
    <n v="32.32"/>
    <s v="92874270"/>
  </r>
  <r>
    <x v="49"/>
    <s v="2021-03-22"/>
    <x v="0"/>
    <x v="0"/>
    <n v="32"/>
    <x v="8"/>
    <n v="2.2599999999999998"/>
    <n v="30.7"/>
    <s v="59285411"/>
  </r>
  <r>
    <x v="49"/>
    <s v="2021-03-22"/>
    <x v="0"/>
    <x v="0"/>
    <n v="31"/>
    <x v="9"/>
    <n v="2"/>
    <n v="26.84"/>
    <s v="00411939"/>
  </r>
  <r>
    <x v="49"/>
    <s v="2021-03-22"/>
    <x v="0"/>
    <x v="0"/>
    <n v="30"/>
    <x v="10"/>
    <n v="1.94"/>
    <n v="25.99"/>
    <s v="10371492"/>
  </r>
  <r>
    <x v="49"/>
    <s v="2021-03-22"/>
    <x v="0"/>
    <x v="0"/>
    <n v="29"/>
    <x v="13"/>
    <n v="1.73"/>
    <n v="22.81"/>
    <s v="07707650"/>
  </r>
  <r>
    <x v="49"/>
    <s v="2021-03-22"/>
    <x v="0"/>
    <x v="0"/>
    <n v="28"/>
    <x v="12"/>
    <n v="1.69"/>
    <n v="22.25"/>
    <s v="04862600"/>
  </r>
  <r>
    <x v="49"/>
    <s v="2021-03-22"/>
    <x v="0"/>
    <x v="0"/>
    <n v="27"/>
    <x v="11"/>
    <n v="1.68"/>
    <n v="22.17"/>
    <s v="03634220"/>
  </r>
  <r>
    <x v="49"/>
    <s v="2021-03-22"/>
    <x v="0"/>
    <x v="0"/>
    <n v="26"/>
    <x v="15"/>
    <n v="1.67"/>
    <n v="22.05"/>
    <s v="59588111"/>
  </r>
  <r>
    <x v="49"/>
    <s v="2021-03-22"/>
    <x v="0"/>
    <x v="0"/>
    <n v="25"/>
    <x v="24"/>
    <n v="1.61"/>
    <n v="21.17"/>
    <s v="22639377"/>
  </r>
  <r>
    <x v="49"/>
    <s v="2021-03-22"/>
    <x v="0"/>
    <x v="0"/>
    <n v="24"/>
    <x v="16"/>
    <n v="1.59"/>
    <n v="20.83"/>
    <s v="07207996"/>
  </r>
  <r>
    <x v="49"/>
    <s v="2021-03-22"/>
    <x v="0"/>
    <x v="0"/>
    <n v="23"/>
    <x v="14"/>
    <n v="1.58"/>
    <n v="20.71"/>
    <s v="00360305"/>
  </r>
  <r>
    <x v="49"/>
    <s v="2021-03-22"/>
    <x v="0"/>
    <x v="0"/>
    <n v="22"/>
    <x v="20"/>
    <n v="1.53"/>
    <n v="19.98"/>
    <s v="17192451"/>
  </r>
  <r>
    <x v="49"/>
    <s v="2021-03-22"/>
    <x v="0"/>
    <x v="0"/>
    <n v="21"/>
    <x v="18"/>
    <n v="1.4"/>
    <n v="18.16"/>
    <s v="28127603"/>
  </r>
  <r>
    <x v="49"/>
    <s v="2021-03-22"/>
    <x v="0"/>
    <x v="0"/>
    <n v="20"/>
    <x v="36"/>
    <n v="1.39"/>
    <n v="18.079999999999998"/>
    <s v="33136888"/>
  </r>
  <r>
    <x v="49"/>
    <s v="2021-03-22"/>
    <x v="0"/>
    <x v="0"/>
    <n v="19"/>
    <x v="21"/>
    <n v="1.36"/>
    <n v="17.64"/>
    <s v="03017677"/>
  </r>
  <r>
    <x v="49"/>
    <s v="2021-03-22"/>
    <x v="0"/>
    <x v="0"/>
    <n v="18"/>
    <x v="32"/>
    <n v="1.36"/>
    <n v="17.54"/>
    <s v="60701190"/>
  </r>
  <r>
    <x v="49"/>
    <s v="2021-03-22"/>
    <x v="0"/>
    <x v="0"/>
    <n v="17"/>
    <x v="28"/>
    <n v="1.26"/>
    <n v="16.2"/>
    <s v="90400888"/>
  </r>
  <r>
    <x v="49"/>
    <s v="2021-03-22"/>
    <x v="0"/>
    <x v="0"/>
    <n v="16"/>
    <x v="23"/>
    <n v="1.25"/>
    <n v="16.13"/>
    <s v="03215790"/>
  </r>
  <r>
    <x v="49"/>
    <s v="2021-03-22"/>
    <x v="0"/>
    <x v="0"/>
    <n v="15"/>
    <x v="29"/>
    <n v="1.23"/>
    <n v="15.84"/>
    <s v="60746948"/>
  </r>
  <r>
    <x v="49"/>
    <s v="2021-03-22"/>
    <x v="0"/>
    <x v="0"/>
    <n v="14"/>
    <x v="25"/>
    <n v="1.23"/>
    <n v="15.8"/>
    <s v="59274605"/>
  </r>
  <r>
    <x v="49"/>
    <s v="2021-03-22"/>
    <x v="0"/>
    <x v="0"/>
    <n v="13"/>
    <x v="26"/>
    <n v="1.2"/>
    <n v="15.35"/>
    <s v="30172491"/>
  </r>
  <r>
    <x v="49"/>
    <s v="2021-03-22"/>
    <x v="0"/>
    <x v="0"/>
    <n v="12"/>
    <x v="30"/>
    <n v="1.19"/>
    <n v="15.2"/>
    <s v="03502961"/>
  </r>
  <r>
    <x v="49"/>
    <s v="2021-03-22"/>
    <x v="0"/>
    <x v="0"/>
    <n v="11"/>
    <x v="31"/>
    <n v="1.1399999999999999"/>
    <n v="14.53"/>
    <s v="17167412"/>
  </r>
  <r>
    <x v="49"/>
    <s v="2021-03-22"/>
    <x v="0"/>
    <x v="0"/>
    <n v="10"/>
    <x v="33"/>
    <n v="1.1000000000000001"/>
    <n v="14.09"/>
    <s v="62307848"/>
  </r>
  <r>
    <x v="49"/>
    <s v="2021-03-22"/>
    <x v="0"/>
    <x v="0"/>
    <n v="9"/>
    <x v="27"/>
    <n v="1.1000000000000001"/>
    <n v="14.06"/>
    <s v="00000000"/>
  </r>
  <r>
    <x v="49"/>
    <s v="2021-03-22"/>
    <x v="0"/>
    <x v="0"/>
    <n v="8"/>
    <x v="34"/>
    <n v="1.06"/>
    <n v="13.54"/>
    <s v="33603457"/>
  </r>
  <r>
    <x v="49"/>
    <s v="2021-03-22"/>
    <x v="0"/>
    <x v="0"/>
    <n v="7"/>
    <x v="37"/>
    <n v="1.05"/>
    <n v="13.3"/>
    <s v="04452473"/>
  </r>
  <r>
    <x v="49"/>
    <s v="2021-03-22"/>
    <x v="0"/>
    <x v="0"/>
    <n v="6"/>
    <x v="35"/>
    <n v="1.01"/>
    <n v="12.83"/>
    <s v="59109165"/>
  </r>
  <r>
    <x v="49"/>
    <s v="2021-03-22"/>
    <x v="0"/>
    <x v="0"/>
    <n v="5"/>
    <x v="47"/>
    <n v="0.9"/>
    <n v="11.28"/>
    <s v="28517628"/>
  </r>
  <r>
    <x v="49"/>
    <s v="2021-03-22"/>
    <x v="0"/>
    <x v="0"/>
    <n v="4"/>
    <x v="22"/>
    <n v="0.87"/>
    <n v="11.01"/>
    <s v="11417016"/>
  </r>
  <r>
    <x v="49"/>
    <s v="2021-03-22"/>
    <x v="0"/>
    <x v="0"/>
    <n v="3"/>
    <x v="38"/>
    <n v="0.86"/>
    <n v="10.8"/>
    <s v="60814191"/>
  </r>
  <r>
    <x v="49"/>
    <s v="2021-03-22"/>
    <x v="0"/>
    <x v="0"/>
    <n v="2"/>
    <x v="44"/>
    <n v="0.84"/>
    <n v="10.61"/>
    <s v="58017179"/>
  </r>
  <r>
    <x v="49"/>
    <s v="2021-03-22"/>
    <x v="0"/>
    <x v="0"/>
    <n v="1"/>
    <x v="40"/>
    <n v="0.84"/>
    <n v="10.58"/>
    <s v="02992446"/>
  </r>
  <r>
    <x v="50"/>
    <s v="2021-03-23"/>
    <x v="0"/>
    <x v="0"/>
    <n v="43"/>
    <x v="1"/>
    <n v="3.36"/>
    <n v="48.68"/>
    <s v="01800019"/>
  </r>
  <r>
    <x v="50"/>
    <s v="2021-03-23"/>
    <x v="0"/>
    <x v="0"/>
    <n v="42"/>
    <x v="0"/>
    <n v="3.36"/>
    <n v="48.68"/>
    <s v="60850229"/>
  </r>
  <r>
    <x v="50"/>
    <s v="2021-03-23"/>
    <x v="0"/>
    <x v="0"/>
    <n v="41"/>
    <x v="3"/>
    <n v="3.2"/>
    <n v="45.99"/>
    <s v="05503849"/>
  </r>
  <r>
    <x v="50"/>
    <s v="2021-03-23"/>
    <x v="0"/>
    <x v="0"/>
    <n v="40"/>
    <x v="2"/>
    <n v="3.07"/>
    <n v="43.8"/>
    <s v="92228410"/>
  </r>
  <r>
    <x v="50"/>
    <s v="2021-03-23"/>
    <x v="0"/>
    <x v="0"/>
    <n v="39"/>
    <x v="5"/>
    <n v="2.79"/>
    <n v="39.18"/>
    <s v="80271455"/>
  </r>
  <r>
    <x v="50"/>
    <s v="2021-03-23"/>
    <x v="0"/>
    <x v="0"/>
    <n v="38"/>
    <x v="4"/>
    <n v="2.72"/>
    <n v="38.01"/>
    <s v="62232889"/>
  </r>
  <r>
    <x v="50"/>
    <s v="2021-03-23"/>
    <x v="0"/>
    <x v="0"/>
    <n v="37"/>
    <x v="6"/>
    <n v="2.4"/>
    <n v="32.99"/>
    <s v="05676026"/>
  </r>
  <r>
    <x v="50"/>
    <s v="2021-03-23"/>
    <x v="0"/>
    <x v="0"/>
    <n v="36"/>
    <x v="7"/>
    <n v="2.35"/>
    <n v="32.19"/>
    <s v="92874270"/>
  </r>
  <r>
    <x v="50"/>
    <s v="2021-03-23"/>
    <x v="0"/>
    <x v="0"/>
    <n v="35"/>
    <x v="8"/>
    <n v="2.25"/>
    <n v="30.68"/>
    <s v="59285411"/>
  </r>
  <r>
    <x v="50"/>
    <s v="2021-03-23"/>
    <x v="0"/>
    <x v="0"/>
    <n v="34"/>
    <x v="9"/>
    <n v="2.0099999999999998"/>
    <n v="26.99"/>
    <s v="00411939"/>
  </r>
  <r>
    <x v="50"/>
    <s v="2021-03-23"/>
    <x v="0"/>
    <x v="0"/>
    <n v="33"/>
    <x v="10"/>
    <n v="1.94"/>
    <n v="25.91"/>
    <s v="10371492"/>
  </r>
  <r>
    <x v="50"/>
    <s v="2021-03-23"/>
    <x v="0"/>
    <x v="0"/>
    <n v="32"/>
    <x v="13"/>
    <n v="1.74"/>
    <n v="23"/>
    <s v="07707650"/>
  </r>
  <r>
    <x v="50"/>
    <s v="2021-03-23"/>
    <x v="0"/>
    <x v="0"/>
    <n v="31"/>
    <x v="12"/>
    <n v="1.68"/>
    <n v="22.1"/>
    <s v="04862600"/>
  </r>
  <r>
    <x v="50"/>
    <s v="2021-03-23"/>
    <x v="0"/>
    <x v="0"/>
    <n v="30"/>
    <x v="14"/>
    <n v="1.68"/>
    <n v="22.08"/>
    <s v="00360305"/>
  </r>
  <r>
    <x v="50"/>
    <s v="2021-03-23"/>
    <x v="0"/>
    <x v="0"/>
    <n v="29"/>
    <x v="15"/>
    <n v="1.67"/>
    <n v="22.02"/>
    <s v="59588111"/>
  </r>
  <r>
    <x v="50"/>
    <s v="2021-03-23"/>
    <x v="0"/>
    <x v="0"/>
    <n v="28"/>
    <x v="11"/>
    <n v="1.66"/>
    <n v="21.9"/>
    <s v="03634220"/>
  </r>
  <r>
    <x v="50"/>
    <s v="2021-03-23"/>
    <x v="0"/>
    <x v="0"/>
    <n v="27"/>
    <x v="24"/>
    <n v="1.62"/>
    <n v="21.2"/>
    <s v="22639377"/>
  </r>
  <r>
    <x v="50"/>
    <s v="2021-03-23"/>
    <x v="0"/>
    <x v="0"/>
    <n v="26"/>
    <x v="16"/>
    <n v="1.59"/>
    <n v="20.86"/>
    <s v="07207996"/>
  </r>
  <r>
    <x v="50"/>
    <s v="2021-03-23"/>
    <x v="0"/>
    <x v="0"/>
    <n v="25"/>
    <x v="17"/>
    <n v="1.56"/>
    <n v="20.37"/>
    <s v="04866275"/>
  </r>
  <r>
    <x v="50"/>
    <s v="2021-03-23"/>
    <x v="0"/>
    <x v="0"/>
    <n v="24"/>
    <x v="20"/>
    <n v="1.54"/>
    <n v="20.079999999999998"/>
    <s v="17192451"/>
  </r>
  <r>
    <x v="50"/>
    <s v="2021-03-23"/>
    <x v="0"/>
    <x v="0"/>
    <n v="23"/>
    <x v="36"/>
    <n v="1.43"/>
    <n v="18.59"/>
    <s v="33136888"/>
  </r>
  <r>
    <x v="50"/>
    <s v="2021-03-23"/>
    <x v="0"/>
    <x v="0"/>
    <n v="22"/>
    <x v="18"/>
    <n v="1.4"/>
    <n v="18.2"/>
    <s v="28127603"/>
  </r>
  <r>
    <x v="50"/>
    <s v="2021-03-23"/>
    <x v="0"/>
    <x v="0"/>
    <n v="21"/>
    <x v="21"/>
    <n v="1.37"/>
    <n v="17.690000000000001"/>
    <s v="03017677"/>
  </r>
  <r>
    <x v="50"/>
    <s v="2021-03-23"/>
    <x v="0"/>
    <x v="0"/>
    <n v="20"/>
    <x v="32"/>
    <n v="1.35"/>
    <n v="17.45"/>
    <s v="60701190"/>
  </r>
  <r>
    <x v="50"/>
    <s v="2021-03-23"/>
    <x v="0"/>
    <x v="0"/>
    <n v="19"/>
    <x v="28"/>
    <n v="1.26"/>
    <n v="16.23"/>
    <s v="90400888"/>
  </r>
  <r>
    <x v="50"/>
    <s v="2021-03-23"/>
    <x v="0"/>
    <x v="0"/>
    <n v="18"/>
    <x v="48"/>
    <n v="1.26"/>
    <n v="16.2"/>
    <s v="27214112"/>
  </r>
  <r>
    <x v="50"/>
    <s v="2021-03-23"/>
    <x v="0"/>
    <x v="0"/>
    <n v="17"/>
    <x v="23"/>
    <n v="1.24"/>
    <n v="15.93"/>
    <s v="03215790"/>
  </r>
  <r>
    <x v="50"/>
    <s v="2021-03-23"/>
    <x v="0"/>
    <x v="0"/>
    <n v="16"/>
    <x v="25"/>
    <n v="1.23"/>
    <n v="15.84"/>
    <s v="59274605"/>
  </r>
  <r>
    <x v="50"/>
    <s v="2021-03-23"/>
    <x v="0"/>
    <x v="0"/>
    <n v="15"/>
    <x v="30"/>
    <n v="1.23"/>
    <n v="15.78"/>
    <s v="03502961"/>
  </r>
  <r>
    <x v="50"/>
    <s v="2021-03-23"/>
    <x v="0"/>
    <x v="0"/>
    <n v="14"/>
    <x v="29"/>
    <n v="1.22"/>
    <n v="15.69"/>
    <s v="60746948"/>
  </r>
  <r>
    <x v="50"/>
    <s v="2021-03-23"/>
    <x v="0"/>
    <x v="0"/>
    <n v="13"/>
    <x v="26"/>
    <n v="1.19"/>
    <n v="15.27"/>
    <s v="30172491"/>
  </r>
  <r>
    <x v="50"/>
    <s v="2021-03-23"/>
    <x v="0"/>
    <x v="0"/>
    <n v="12"/>
    <x v="41"/>
    <n v="1.1499999999999999"/>
    <n v="14.65"/>
    <s v="20443996"/>
  </r>
  <r>
    <x v="50"/>
    <s v="2021-03-23"/>
    <x v="0"/>
    <x v="0"/>
    <n v="11"/>
    <x v="31"/>
    <n v="1.1399999999999999"/>
    <n v="14.57"/>
    <s v="17167412"/>
  </r>
  <r>
    <x v="50"/>
    <s v="2021-03-23"/>
    <x v="0"/>
    <x v="0"/>
    <n v="10"/>
    <x v="33"/>
    <n v="1.1100000000000001"/>
    <n v="14.15"/>
    <s v="62307848"/>
  </r>
  <r>
    <x v="50"/>
    <s v="2021-03-23"/>
    <x v="0"/>
    <x v="0"/>
    <n v="9"/>
    <x v="27"/>
    <n v="1.1000000000000001"/>
    <n v="14.07"/>
    <s v="00000000"/>
  </r>
  <r>
    <x v="50"/>
    <s v="2021-03-23"/>
    <x v="0"/>
    <x v="0"/>
    <n v="8"/>
    <x v="34"/>
    <n v="1.06"/>
    <n v="13.55"/>
    <s v="33603457"/>
  </r>
  <r>
    <x v="50"/>
    <s v="2021-03-23"/>
    <x v="0"/>
    <x v="0"/>
    <n v="7"/>
    <x v="37"/>
    <n v="1.04"/>
    <n v="13.27"/>
    <s v="04452473"/>
  </r>
  <r>
    <x v="50"/>
    <s v="2021-03-23"/>
    <x v="0"/>
    <x v="0"/>
    <n v="6"/>
    <x v="35"/>
    <n v="1.01"/>
    <n v="12.8"/>
    <s v="59109165"/>
  </r>
  <r>
    <x v="50"/>
    <s v="2021-03-23"/>
    <x v="0"/>
    <x v="0"/>
    <n v="5"/>
    <x v="44"/>
    <n v="0.91"/>
    <n v="11.46"/>
    <s v="58017179"/>
  </r>
  <r>
    <x v="50"/>
    <s v="2021-03-23"/>
    <x v="0"/>
    <x v="0"/>
    <n v="4"/>
    <x v="47"/>
    <n v="0.9"/>
    <n v="11.28"/>
    <s v="28517628"/>
  </r>
  <r>
    <x v="50"/>
    <s v="2021-03-23"/>
    <x v="0"/>
    <x v="0"/>
    <n v="3"/>
    <x v="22"/>
    <n v="0.88"/>
    <n v="11.03"/>
    <s v="11417016"/>
  </r>
  <r>
    <x v="50"/>
    <s v="2021-03-23"/>
    <x v="0"/>
    <x v="0"/>
    <n v="2"/>
    <x v="40"/>
    <n v="0.87"/>
    <n v="10.94"/>
    <s v="02992446"/>
  </r>
  <r>
    <x v="50"/>
    <s v="2021-03-23"/>
    <x v="0"/>
    <x v="0"/>
    <n v="1"/>
    <x v="38"/>
    <n v="0.86"/>
    <n v="10.75"/>
    <s v="60814191"/>
  </r>
  <r>
    <x v="51"/>
    <s v="2021-03-24"/>
    <x v="0"/>
    <x v="0"/>
    <n v="43"/>
    <x v="1"/>
    <n v="3.4"/>
    <n v="49.35"/>
    <s v="01800019"/>
  </r>
  <r>
    <x v="51"/>
    <s v="2021-03-24"/>
    <x v="0"/>
    <x v="0"/>
    <n v="42"/>
    <x v="0"/>
    <n v="3.25"/>
    <n v="46.81"/>
    <s v="60850229"/>
  </r>
  <r>
    <x v="51"/>
    <s v="2021-03-24"/>
    <x v="0"/>
    <x v="0"/>
    <n v="41"/>
    <x v="3"/>
    <n v="3.21"/>
    <n v="46.12"/>
    <s v="05503849"/>
  </r>
  <r>
    <x v="51"/>
    <s v="2021-03-24"/>
    <x v="0"/>
    <x v="0"/>
    <n v="40"/>
    <x v="2"/>
    <n v="3.07"/>
    <n v="43.77"/>
    <s v="92228410"/>
  </r>
  <r>
    <x v="51"/>
    <s v="2021-03-24"/>
    <x v="0"/>
    <x v="0"/>
    <n v="39"/>
    <x v="5"/>
    <n v="2.78"/>
    <n v="38.89"/>
    <s v="80271455"/>
  </r>
  <r>
    <x v="51"/>
    <s v="2021-03-24"/>
    <x v="0"/>
    <x v="0"/>
    <n v="38"/>
    <x v="4"/>
    <n v="2.72"/>
    <n v="38.06"/>
    <s v="62232889"/>
  </r>
  <r>
    <x v="51"/>
    <s v="2021-03-24"/>
    <x v="0"/>
    <x v="0"/>
    <n v="37"/>
    <x v="6"/>
    <n v="2.42"/>
    <n v="33.159999999999997"/>
    <s v="05676026"/>
  </r>
  <r>
    <x v="51"/>
    <s v="2021-03-24"/>
    <x v="0"/>
    <x v="0"/>
    <n v="36"/>
    <x v="7"/>
    <n v="2.35"/>
    <n v="32.200000000000003"/>
    <s v="92874270"/>
  </r>
  <r>
    <x v="51"/>
    <s v="2021-03-24"/>
    <x v="0"/>
    <x v="0"/>
    <n v="35"/>
    <x v="8"/>
    <n v="2.25"/>
    <n v="30.62"/>
    <s v="59285411"/>
  </r>
  <r>
    <x v="51"/>
    <s v="2021-03-24"/>
    <x v="0"/>
    <x v="0"/>
    <n v="34"/>
    <x v="9"/>
    <n v="2.04"/>
    <n v="27.46"/>
    <s v="00411939"/>
  </r>
  <r>
    <x v="51"/>
    <s v="2021-03-24"/>
    <x v="0"/>
    <x v="0"/>
    <n v="33"/>
    <x v="10"/>
    <n v="1.94"/>
    <n v="25.92"/>
    <s v="10371492"/>
  </r>
  <r>
    <x v="51"/>
    <s v="2021-03-24"/>
    <x v="0"/>
    <x v="0"/>
    <n v="32"/>
    <x v="13"/>
    <n v="1.76"/>
    <n v="23.27"/>
    <s v="07707650"/>
  </r>
  <r>
    <x v="51"/>
    <s v="2021-03-24"/>
    <x v="0"/>
    <x v="0"/>
    <n v="31"/>
    <x v="14"/>
    <n v="1.69"/>
    <n v="22.24"/>
    <s v="00360305"/>
  </r>
  <r>
    <x v="51"/>
    <s v="2021-03-24"/>
    <x v="0"/>
    <x v="0"/>
    <n v="30"/>
    <x v="15"/>
    <n v="1.67"/>
    <n v="21.98"/>
    <s v="59588111"/>
  </r>
  <r>
    <x v="51"/>
    <s v="2021-03-24"/>
    <x v="0"/>
    <x v="0"/>
    <n v="29"/>
    <x v="12"/>
    <n v="1.66"/>
    <n v="21.84"/>
    <s v="04862600"/>
  </r>
  <r>
    <x v="51"/>
    <s v="2021-03-24"/>
    <x v="0"/>
    <x v="0"/>
    <n v="28"/>
    <x v="11"/>
    <n v="1.63"/>
    <n v="21.47"/>
    <s v="03634220"/>
  </r>
  <r>
    <x v="51"/>
    <s v="2021-03-24"/>
    <x v="0"/>
    <x v="0"/>
    <n v="27"/>
    <x v="16"/>
    <n v="1.6"/>
    <n v="21.04"/>
    <s v="07207996"/>
  </r>
  <r>
    <x v="51"/>
    <s v="2021-03-24"/>
    <x v="0"/>
    <x v="0"/>
    <n v="26"/>
    <x v="24"/>
    <n v="1.58"/>
    <n v="20.64"/>
    <s v="22639377"/>
  </r>
  <r>
    <x v="51"/>
    <s v="2021-03-24"/>
    <x v="0"/>
    <x v="0"/>
    <n v="25"/>
    <x v="17"/>
    <n v="1.56"/>
    <n v="20.37"/>
    <s v="04866275"/>
  </r>
  <r>
    <x v="51"/>
    <s v="2021-03-24"/>
    <x v="0"/>
    <x v="0"/>
    <n v="24"/>
    <x v="20"/>
    <n v="1.54"/>
    <n v="20.18"/>
    <s v="17192451"/>
  </r>
  <r>
    <x v="51"/>
    <s v="2021-03-24"/>
    <x v="0"/>
    <x v="0"/>
    <n v="23"/>
    <x v="18"/>
    <n v="1.46"/>
    <n v="18.96"/>
    <s v="28127603"/>
  </r>
  <r>
    <x v="51"/>
    <s v="2021-03-24"/>
    <x v="0"/>
    <x v="0"/>
    <n v="22"/>
    <x v="36"/>
    <n v="1.43"/>
    <n v="18.59"/>
    <s v="33136888"/>
  </r>
  <r>
    <x v="51"/>
    <s v="2021-03-24"/>
    <x v="0"/>
    <x v="0"/>
    <n v="21"/>
    <x v="21"/>
    <n v="1.37"/>
    <n v="17.8"/>
    <s v="03017677"/>
  </r>
  <r>
    <x v="51"/>
    <s v="2021-03-24"/>
    <x v="0"/>
    <x v="0"/>
    <n v="20"/>
    <x v="32"/>
    <n v="1.34"/>
    <n v="17.25"/>
    <s v="60701190"/>
  </r>
  <r>
    <x v="51"/>
    <s v="2021-03-24"/>
    <x v="0"/>
    <x v="0"/>
    <n v="19"/>
    <x v="28"/>
    <n v="1.26"/>
    <n v="16.239999999999998"/>
    <s v="90400888"/>
  </r>
  <r>
    <x v="51"/>
    <s v="2021-03-24"/>
    <x v="0"/>
    <x v="0"/>
    <n v="18"/>
    <x v="48"/>
    <n v="1.26"/>
    <n v="16.2"/>
    <s v="27214112"/>
  </r>
  <r>
    <x v="51"/>
    <s v="2021-03-24"/>
    <x v="0"/>
    <x v="0"/>
    <n v="17"/>
    <x v="23"/>
    <n v="1.24"/>
    <n v="15.9"/>
    <s v="03215790"/>
  </r>
  <r>
    <x v="51"/>
    <s v="2021-03-24"/>
    <x v="0"/>
    <x v="0"/>
    <n v="16"/>
    <x v="29"/>
    <n v="1.23"/>
    <n v="15.76"/>
    <s v="60746948"/>
  </r>
  <r>
    <x v="51"/>
    <s v="2021-03-24"/>
    <x v="0"/>
    <x v="0"/>
    <n v="15"/>
    <x v="25"/>
    <n v="1.22"/>
    <n v="15.7"/>
    <s v="59274605"/>
  </r>
  <r>
    <x v="51"/>
    <s v="2021-03-24"/>
    <x v="0"/>
    <x v="0"/>
    <n v="14"/>
    <x v="30"/>
    <n v="1.22"/>
    <n v="15.63"/>
    <s v="03502961"/>
  </r>
  <r>
    <x v="51"/>
    <s v="2021-03-24"/>
    <x v="0"/>
    <x v="0"/>
    <n v="13"/>
    <x v="26"/>
    <n v="1.2"/>
    <n v="15.32"/>
    <s v="30172491"/>
  </r>
  <r>
    <x v="51"/>
    <s v="2021-03-24"/>
    <x v="0"/>
    <x v="0"/>
    <n v="12"/>
    <x v="41"/>
    <n v="1.1499999999999999"/>
    <n v="14.65"/>
    <s v="20443996"/>
  </r>
  <r>
    <x v="51"/>
    <s v="2021-03-24"/>
    <x v="0"/>
    <x v="0"/>
    <n v="11"/>
    <x v="31"/>
    <n v="1.1200000000000001"/>
    <n v="14.29"/>
    <s v="17167412"/>
  </r>
  <r>
    <x v="51"/>
    <s v="2021-03-24"/>
    <x v="0"/>
    <x v="0"/>
    <n v="10"/>
    <x v="33"/>
    <n v="1.1200000000000001"/>
    <n v="14.27"/>
    <s v="62307848"/>
  </r>
  <r>
    <x v="51"/>
    <s v="2021-03-24"/>
    <x v="0"/>
    <x v="0"/>
    <n v="9"/>
    <x v="27"/>
    <n v="1.1100000000000001"/>
    <n v="14.19"/>
    <s v="00000000"/>
  </r>
  <r>
    <x v="51"/>
    <s v="2021-03-24"/>
    <x v="0"/>
    <x v="0"/>
    <n v="8"/>
    <x v="34"/>
    <n v="1.07"/>
    <n v="13.57"/>
    <s v="33603457"/>
  </r>
  <r>
    <x v="51"/>
    <s v="2021-03-24"/>
    <x v="0"/>
    <x v="0"/>
    <n v="7"/>
    <x v="37"/>
    <n v="1.04"/>
    <n v="13.22"/>
    <s v="04452473"/>
  </r>
  <r>
    <x v="51"/>
    <s v="2021-03-24"/>
    <x v="0"/>
    <x v="0"/>
    <n v="6"/>
    <x v="35"/>
    <n v="1"/>
    <n v="12.68"/>
    <s v="59109165"/>
  </r>
  <r>
    <x v="51"/>
    <s v="2021-03-24"/>
    <x v="0"/>
    <x v="0"/>
    <n v="5"/>
    <x v="44"/>
    <n v="0.91"/>
    <n v="11.42"/>
    <s v="58017179"/>
  </r>
  <r>
    <x v="51"/>
    <s v="2021-03-24"/>
    <x v="0"/>
    <x v="0"/>
    <n v="4"/>
    <x v="47"/>
    <n v="0.9"/>
    <n v="11.37"/>
    <s v="28517628"/>
  </r>
  <r>
    <x v="51"/>
    <s v="2021-03-24"/>
    <x v="0"/>
    <x v="0"/>
    <n v="3"/>
    <x v="22"/>
    <n v="0.88"/>
    <n v="11.02"/>
    <s v="11417016"/>
  </r>
  <r>
    <x v="51"/>
    <s v="2021-03-24"/>
    <x v="0"/>
    <x v="0"/>
    <n v="2"/>
    <x v="38"/>
    <n v="0.86"/>
    <n v="10.81"/>
    <s v="60814191"/>
  </r>
  <r>
    <x v="51"/>
    <s v="2021-03-24"/>
    <x v="0"/>
    <x v="0"/>
    <n v="1"/>
    <x v="40"/>
    <n v="0.85"/>
    <n v="10.74"/>
    <s v="02992446"/>
  </r>
  <r>
    <x v="52"/>
    <s v="2021-03-25"/>
    <x v="0"/>
    <x v="0"/>
    <n v="43"/>
    <x v="1"/>
    <n v="3.36"/>
    <n v="48.6"/>
    <s v="01800019"/>
  </r>
  <r>
    <x v="52"/>
    <s v="2021-03-25"/>
    <x v="0"/>
    <x v="0"/>
    <n v="42"/>
    <x v="0"/>
    <n v="3.22"/>
    <n v="46.29"/>
    <s v="60850229"/>
  </r>
  <r>
    <x v="52"/>
    <s v="2021-03-25"/>
    <x v="0"/>
    <x v="0"/>
    <n v="41"/>
    <x v="3"/>
    <n v="3.21"/>
    <n v="46.15"/>
    <s v="05503849"/>
  </r>
  <r>
    <x v="52"/>
    <s v="2021-03-25"/>
    <x v="0"/>
    <x v="0"/>
    <n v="40"/>
    <x v="2"/>
    <n v="3.08"/>
    <n v="43.83"/>
    <s v="92228410"/>
  </r>
  <r>
    <x v="52"/>
    <s v="2021-03-25"/>
    <x v="0"/>
    <x v="0"/>
    <n v="39"/>
    <x v="5"/>
    <n v="2.8"/>
    <n v="39.25"/>
    <s v="80271455"/>
  </r>
  <r>
    <x v="52"/>
    <s v="2021-03-25"/>
    <x v="0"/>
    <x v="0"/>
    <n v="38"/>
    <x v="4"/>
    <n v="2.73"/>
    <n v="38.15"/>
    <s v="62232889"/>
  </r>
  <r>
    <x v="52"/>
    <s v="2021-03-25"/>
    <x v="0"/>
    <x v="0"/>
    <n v="37"/>
    <x v="6"/>
    <n v="2.42"/>
    <n v="33.22"/>
    <s v="05676026"/>
  </r>
  <r>
    <x v="52"/>
    <s v="2021-03-25"/>
    <x v="0"/>
    <x v="0"/>
    <n v="36"/>
    <x v="7"/>
    <n v="2.35"/>
    <n v="32.14"/>
    <s v="92874270"/>
  </r>
  <r>
    <x v="52"/>
    <s v="2021-03-25"/>
    <x v="0"/>
    <x v="0"/>
    <n v="35"/>
    <x v="8"/>
    <n v="2.25"/>
    <n v="30.6"/>
    <s v="59285411"/>
  </r>
  <r>
    <x v="52"/>
    <s v="2021-03-25"/>
    <x v="0"/>
    <x v="0"/>
    <n v="34"/>
    <x v="9"/>
    <n v="2.04"/>
    <n v="27.38"/>
    <s v="00411939"/>
  </r>
  <r>
    <x v="52"/>
    <s v="2021-03-25"/>
    <x v="0"/>
    <x v="0"/>
    <n v="33"/>
    <x v="10"/>
    <n v="1.94"/>
    <n v="25.86"/>
    <s v="10371492"/>
  </r>
  <r>
    <x v="52"/>
    <s v="2021-03-25"/>
    <x v="0"/>
    <x v="0"/>
    <n v="32"/>
    <x v="13"/>
    <n v="1.78"/>
    <n v="23.53"/>
    <s v="07707650"/>
  </r>
  <r>
    <x v="52"/>
    <s v="2021-03-25"/>
    <x v="0"/>
    <x v="0"/>
    <n v="31"/>
    <x v="15"/>
    <n v="1.67"/>
    <n v="21.96"/>
    <s v="59588111"/>
  </r>
  <r>
    <x v="52"/>
    <s v="2021-03-25"/>
    <x v="0"/>
    <x v="0"/>
    <n v="30"/>
    <x v="14"/>
    <n v="1.66"/>
    <n v="21.9"/>
    <s v="00360305"/>
  </r>
  <r>
    <x v="52"/>
    <s v="2021-03-25"/>
    <x v="0"/>
    <x v="0"/>
    <n v="29"/>
    <x v="12"/>
    <n v="1.66"/>
    <n v="21.89"/>
    <s v="04862600"/>
  </r>
  <r>
    <x v="52"/>
    <s v="2021-03-25"/>
    <x v="0"/>
    <x v="0"/>
    <n v="28"/>
    <x v="16"/>
    <n v="1.62"/>
    <n v="21.21"/>
    <s v="07207996"/>
  </r>
  <r>
    <x v="52"/>
    <s v="2021-03-25"/>
    <x v="0"/>
    <x v="0"/>
    <n v="27"/>
    <x v="11"/>
    <n v="1.61"/>
    <n v="21.11"/>
    <s v="03634220"/>
  </r>
  <r>
    <x v="52"/>
    <s v="2021-03-25"/>
    <x v="0"/>
    <x v="0"/>
    <n v="26"/>
    <x v="17"/>
    <n v="1.56"/>
    <n v="20.37"/>
    <s v="04866275"/>
  </r>
  <r>
    <x v="52"/>
    <s v="2021-03-25"/>
    <x v="0"/>
    <x v="0"/>
    <n v="25"/>
    <x v="24"/>
    <n v="1.54"/>
    <n v="20.190000000000001"/>
    <s v="22639377"/>
  </r>
  <r>
    <x v="52"/>
    <s v="2021-03-25"/>
    <x v="0"/>
    <x v="0"/>
    <n v="24"/>
    <x v="20"/>
    <n v="1.54"/>
    <n v="20.170000000000002"/>
    <s v="17192451"/>
  </r>
  <r>
    <x v="52"/>
    <s v="2021-03-25"/>
    <x v="0"/>
    <x v="0"/>
    <n v="23"/>
    <x v="18"/>
    <n v="1.45"/>
    <n v="18.87"/>
    <s v="28127603"/>
  </r>
  <r>
    <x v="52"/>
    <s v="2021-03-25"/>
    <x v="0"/>
    <x v="0"/>
    <n v="22"/>
    <x v="36"/>
    <n v="1.43"/>
    <n v="18.59"/>
    <s v="33136888"/>
  </r>
  <r>
    <x v="52"/>
    <s v="2021-03-25"/>
    <x v="0"/>
    <x v="0"/>
    <n v="21"/>
    <x v="21"/>
    <n v="1.37"/>
    <n v="17.8"/>
    <s v="03017677"/>
  </r>
  <r>
    <x v="52"/>
    <s v="2021-03-25"/>
    <x v="0"/>
    <x v="0"/>
    <n v="20"/>
    <x v="32"/>
    <n v="1.33"/>
    <n v="17.18"/>
    <s v="60701190"/>
  </r>
  <r>
    <x v="52"/>
    <s v="2021-03-25"/>
    <x v="0"/>
    <x v="0"/>
    <n v="19"/>
    <x v="48"/>
    <n v="1.26"/>
    <n v="16.2"/>
    <s v="27214112"/>
  </r>
  <r>
    <x v="52"/>
    <s v="2021-03-25"/>
    <x v="0"/>
    <x v="0"/>
    <n v="18"/>
    <x v="28"/>
    <n v="1.26"/>
    <n v="16.170000000000002"/>
    <s v="90400888"/>
  </r>
  <r>
    <x v="52"/>
    <s v="2021-03-25"/>
    <x v="0"/>
    <x v="0"/>
    <n v="17"/>
    <x v="23"/>
    <n v="1.24"/>
    <n v="15.92"/>
    <s v="03215790"/>
  </r>
  <r>
    <x v="52"/>
    <s v="2021-03-25"/>
    <x v="0"/>
    <x v="0"/>
    <n v="16"/>
    <x v="29"/>
    <n v="1.23"/>
    <n v="15.73"/>
    <s v="60746948"/>
  </r>
  <r>
    <x v="52"/>
    <s v="2021-03-25"/>
    <x v="0"/>
    <x v="0"/>
    <n v="15"/>
    <x v="25"/>
    <n v="1.22"/>
    <n v="15.69"/>
    <s v="59274605"/>
  </r>
  <r>
    <x v="52"/>
    <s v="2021-03-25"/>
    <x v="0"/>
    <x v="0"/>
    <n v="14"/>
    <x v="30"/>
    <n v="1.2"/>
    <n v="15.44"/>
    <s v="03502961"/>
  </r>
  <r>
    <x v="52"/>
    <s v="2021-03-25"/>
    <x v="0"/>
    <x v="0"/>
    <n v="13"/>
    <x v="26"/>
    <n v="1.2"/>
    <n v="15.37"/>
    <s v="30172491"/>
  </r>
  <r>
    <x v="52"/>
    <s v="2021-03-25"/>
    <x v="0"/>
    <x v="0"/>
    <n v="12"/>
    <x v="41"/>
    <n v="1.1499999999999999"/>
    <n v="14.65"/>
    <s v="20443996"/>
  </r>
  <r>
    <x v="52"/>
    <s v="2021-03-25"/>
    <x v="0"/>
    <x v="0"/>
    <n v="11"/>
    <x v="27"/>
    <n v="1.1399999999999999"/>
    <n v="14.5"/>
    <s v="00000000"/>
  </r>
  <r>
    <x v="52"/>
    <s v="2021-03-25"/>
    <x v="0"/>
    <x v="0"/>
    <n v="10"/>
    <x v="34"/>
    <n v="1.1200000000000001"/>
    <n v="14.27"/>
    <s v="33603457"/>
  </r>
  <r>
    <x v="52"/>
    <s v="2021-03-25"/>
    <x v="0"/>
    <x v="0"/>
    <n v="9"/>
    <x v="31"/>
    <n v="1.1200000000000001"/>
    <n v="14.27"/>
    <s v="17167412"/>
  </r>
  <r>
    <x v="52"/>
    <s v="2021-03-25"/>
    <x v="0"/>
    <x v="0"/>
    <n v="8"/>
    <x v="33"/>
    <n v="1.1100000000000001"/>
    <n v="14.12"/>
    <s v="62307848"/>
  </r>
  <r>
    <x v="52"/>
    <s v="2021-03-25"/>
    <x v="0"/>
    <x v="0"/>
    <n v="7"/>
    <x v="37"/>
    <n v="1.04"/>
    <n v="13.17"/>
    <s v="04452473"/>
  </r>
  <r>
    <x v="52"/>
    <s v="2021-03-25"/>
    <x v="0"/>
    <x v="0"/>
    <n v="6"/>
    <x v="35"/>
    <n v="0.99"/>
    <n v="12.49"/>
    <s v="59109165"/>
  </r>
  <r>
    <x v="52"/>
    <s v="2021-03-25"/>
    <x v="0"/>
    <x v="0"/>
    <n v="5"/>
    <x v="44"/>
    <n v="0.93"/>
    <n v="11.72"/>
    <s v="58017179"/>
  </r>
  <r>
    <x v="52"/>
    <s v="2021-03-25"/>
    <x v="0"/>
    <x v="0"/>
    <n v="4"/>
    <x v="47"/>
    <n v="0.9"/>
    <n v="11.37"/>
    <s v="28517628"/>
  </r>
  <r>
    <x v="52"/>
    <s v="2021-03-25"/>
    <x v="0"/>
    <x v="0"/>
    <n v="3"/>
    <x v="22"/>
    <n v="0.88"/>
    <n v="11.11"/>
    <s v="11417016"/>
  </r>
  <r>
    <x v="52"/>
    <s v="2021-03-25"/>
    <x v="0"/>
    <x v="0"/>
    <n v="2"/>
    <x v="38"/>
    <n v="0.87"/>
    <n v="10.93"/>
    <s v="60814191"/>
  </r>
  <r>
    <x v="52"/>
    <s v="2021-03-25"/>
    <x v="0"/>
    <x v="0"/>
    <n v="1"/>
    <x v="40"/>
    <n v="0.85"/>
    <n v="10.69"/>
    <s v="02992446"/>
  </r>
  <r>
    <x v="53"/>
    <s v="2021-03-26"/>
    <x v="0"/>
    <x v="0"/>
    <n v="42"/>
    <x v="3"/>
    <n v="3.34"/>
    <n v="48.34"/>
    <s v="05503849"/>
  </r>
  <r>
    <x v="53"/>
    <s v="2021-03-26"/>
    <x v="0"/>
    <x v="0"/>
    <n v="41"/>
    <x v="1"/>
    <n v="3.26"/>
    <n v="47.02"/>
    <s v="01800019"/>
  </r>
  <r>
    <x v="53"/>
    <s v="2021-03-26"/>
    <x v="0"/>
    <x v="0"/>
    <n v="40"/>
    <x v="0"/>
    <n v="3.16"/>
    <n v="45.29"/>
    <s v="60850229"/>
  </r>
  <r>
    <x v="53"/>
    <s v="2021-03-26"/>
    <x v="0"/>
    <x v="0"/>
    <n v="39"/>
    <x v="2"/>
    <n v="3.11"/>
    <n v="44.36"/>
    <s v="92228410"/>
  </r>
  <r>
    <x v="53"/>
    <s v="2021-03-26"/>
    <x v="0"/>
    <x v="0"/>
    <n v="38"/>
    <x v="5"/>
    <n v="2.74"/>
    <n v="38.39"/>
    <s v="80271455"/>
  </r>
  <r>
    <x v="53"/>
    <s v="2021-03-26"/>
    <x v="0"/>
    <x v="0"/>
    <n v="37"/>
    <x v="4"/>
    <n v="2.73"/>
    <n v="38.19"/>
    <s v="62232889"/>
  </r>
  <r>
    <x v="53"/>
    <s v="2021-03-26"/>
    <x v="0"/>
    <x v="0"/>
    <n v="36"/>
    <x v="6"/>
    <n v="2.42"/>
    <n v="33.21"/>
    <s v="05676026"/>
  </r>
  <r>
    <x v="53"/>
    <s v="2021-03-26"/>
    <x v="0"/>
    <x v="0"/>
    <n v="35"/>
    <x v="7"/>
    <n v="2.35"/>
    <n v="32.08"/>
    <s v="92874270"/>
  </r>
  <r>
    <x v="53"/>
    <s v="2021-03-26"/>
    <x v="0"/>
    <x v="0"/>
    <n v="34"/>
    <x v="8"/>
    <n v="2.25"/>
    <n v="30.55"/>
    <s v="59285411"/>
  </r>
  <r>
    <x v="53"/>
    <s v="2021-03-26"/>
    <x v="0"/>
    <x v="0"/>
    <n v="33"/>
    <x v="9"/>
    <n v="2.0099999999999998"/>
    <n v="27"/>
    <s v="00411939"/>
  </r>
  <r>
    <x v="53"/>
    <s v="2021-03-26"/>
    <x v="0"/>
    <x v="0"/>
    <n v="32"/>
    <x v="10"/>
    <n v="1.93"/>
    <n v="25.77"/>
    <s v="10371492"/>
  </r>
  <r>
    <x v="53"/>
    <s v="2021-03-26"/>
    <x v="0"/>
    <x v="0"/>
    <n v="31"/>
    <x v="13"/>
    <n v="1.79"/>
    <n v="23.7"/>
    <s v="07707650"/>
  </r>
  <r>
    <x v="53"/>
    <s v="2021-03-26"/>
    <x v="0"/>
    <x v="0"/>
    <n v="30"/>
    <x v="12"/>
    <n v="1.68"/>
    <n v="22.08"/>
    <s v="04862600"/>
  </r>
  <r>
    <x v="53"/>
    <s v="2021-03-26"/>
    <x v="0"/>
    <x v="0"/>
    <n v="29"/>
    <x v="14"/>
    <n v="1.68"/>
    <n v="22.07"/>
    <s v="00360305"/>
  </r>
  <r>
    <x v="53"/>
    <s v="2021-03-26"/>
    <x v="0"/>
    <x v="0"/>
    <n v="28"/>
    <x v="15"/>
    <n v="1.67"/>
    <n v="22.02"/>
    <s v="59588111"/>
  </r>
  <r>
    <x v="53"/>
    <s v="2021-03-26"/>
    <x v="0"/>
    <x v="0"/>
    <n v="27"/>
    <x v="11"/>
    <n v="1.63"/>
    <n v="21.45"/>
    <s v="03634220"/>
  </r>
  <r>
    <x v="53"/>
    <s v="2021-03-26"/>
    <x v="0"/>
    <x v="0"/>
    <n v="26"/>
    <x v="16"/>
    <n v="1.61"/>
    <n v="21.15"/>
    <s v="07207996"/>
  </r>
  <r>
    <x v="53"/>
    <s v="2021-03-26"/>
    <x v="0"/>
    <x v="0"/>
    <n v="25"/>
    <x v="17"/>
    <n v="1.56"/>
    <n v="20.37"/>
    <s v="04866275"/>
  </r>
  <r>
    <x v="53"/>
    <s v="2021-03-26"/>
    <x v="0"/>
    <x v="0"/>
    <n v="24"/>
    <x v="24"/>
    <n v="1.54"/>
    <n v="20.149999999999999"/>
    <s v="22639377"/>
  </r>
  <r>
    <x v="53"/>
    <s v="2021-03-26"/>
    <x v="0"/>
    <x v="0"/>
    <n v="23"/>
    <x v="20"/>
    <n v="1.53"/>
    <n v="20.04"/>
    <s v="17192451"/>
  </r>
  <r>
    <x v="53"/>
    <s v="2021-03-26"/>
    <x v="0"/>
    <x v="0"/>
    <n v="22"/>
    <x v="36"/>
    <n v="1.48"/>
    <n v="19.260000000000002"/>
    <s v="33136888"/>
  </r>
  <r>
    <x v="53"/>
    <s v="2021-03-26"/>
    <x v="0"/>
    <x v="0"/>
    <n v="21"/>
    <x v="18"/>
    <n v="1.39"/>
    <n v="18.05"/>
    <s v="28127603"/>
  </r>
  <r>
    <x v="53"/>
    <s v="2021-03-26"/>
    <x v="0"/>
    <x v="0"/>
    <n v="20"/>
    <x v="21"/>
    <n v="1.38"/>
    <n v="17.87"/>
    <s v="03017677"/>
  </r>
  <r>
    <x v="53"/>
    <s v="2021-03-26"/>
    <x v="0"/>
    <x v="0"/>
    <n v="19"/>
    <x v="32"/>
    <n v="1.31"/>
    <n v="16.93"/>
    <s v="60701190"/>
  </r>
  <r>
    <x v="53"/>
    <s v="2021-03-26"/>
    <x v="0"/>
    <x v="0"/>
    <n v="18"/>
    <x v="48"/>
    <n v="1.26"/>
    <n v="16.2"/>
    <s v="27214112"/>
  </r>
  <r>
    <x v="53"/>
    <s v="2021-03-26"/>
    <x v="0"/>
    <x v="0"/>
    <n v="17"/>
    <x v="30"/>
    <n v="1.23"/>
    <n v="15.83"/>
    <s v="03502961"/>
  </r>
  <r>
    <x v="53"/>
    <s v="2021-03-26"/>
    <x v="0"/>
    <x v="0"/>
    <n v="16"/>
    <x v="23"/>
    <n v="1.23"/>
    <n v="15.83"/>
    <s v="03215790"/>
  </r>
  <r>
    <x v="53"/>
    <s v="2021-03-26"/>
    <x v="0"/>
    <x v="0"/>
    <n v="15"/>
    <x v="29"/>
    <n v="1.23"/>
    <n v="15.8"/>
    <s v="60746948"/>
  </r>
  <r>
    <x v="53"/>
    <s v="2021-03-26"/>
    <x v="0"/>
    <x v="0"/>
    <n v="14"/>
    <x v="25"/>
    <n v="1.21"/>
    <n v="15.55"/>
    <s v="59274605"/>
  </r>
  <r>
    <x v="53"/>
    <s v="2021-03-26"/>
    <x v="0"/>
    <x v="0"/>
    <n v="13"/>
    <x v="26"/>
    <n v="1.2"/>
    <n v="15.44"/>
    <s v="30172491"/>
  </r>
  <r>
    <x v="53"/>
    <s v="2021-03-26"/>
    <x v="0"/>
    <x v="0"/>
    <n v="12"/>
    <x v="41"/>
    <n v="1.1499999999999999"/>
    <n v="14.65"/>
    <s v="20443996"/>
  </r>
  <r>
    <x v="53"/>
    <s v="2021-03-26"/>
    <x v="0"/>
    <x v="0"/>
    <n v="11"/>
    <x v="27"/>
    <n v="1.1399999999999999"/>
    <n v="14.54"/>
    <s v="00000000"/>
  </r>
  <r>
    <x v="53"/>
    <s v="2021-03-26"/>
    <x v="0"/>
    <x v="0"/>
    <n v="10"/>
    <x v="34"/>
    <n v="1.1200000000000001"/>
    <n v="14.28"/>
    <s v="33603457"/>
  </r>
  <r>
    <x v="53"/>
    <s v="2021-03-26"/>
    <x v="0"/>
    <x v="0"/>
    <n v="9"/>
    <x v="33"/>
    <n v="1.1200000000000001"/>
    <n v="14.27"/>
    <s v="62307848"/>
  </r>
  <r>
    <x v="53"/>
    <s v="2021-03-26"/>
    <x v="0"/>
    <x v="0"/>
    <n v="8"/>
    <x v="31"/>
    <n v="1.1000000000000001"/>
    <n v="13.97"/>
    <s v="17167412"/>
  </r>
  <r>
    <x v="53"/>
    <s v="2021-03-26"/>
    <x v="0"/>
    <x v="0"/>
    <n v="7"/>
    <x v="37"/>
    <n v="1.04"/>
    <n v="13.15"/>
    <s v="04452473"/>
  </r>
  <r>
    <x v="53"/>
    <s v="2021-03-26"/>
    <x v="0"/>
    <x v="0"/>
    <n v="6"/>
    <x v="35"/>
    <n v="0.99"/>
    <n v="12.48"/>
    <s v="59109165"/>
  </r>
  <r>
    <x v="53"/>
    <s v="2021-03-26"/>
    <x v="0"/>
    <x v="0"/>
    <n v="5"/>
    <x v="47"/>
    <n v="0.92"/>
    <n v="11.56"/>
    <s v="28517628"/>
  </r>
  <r>
    <x v="53"/>
    <s v="2021-03-26"/>
    <x v="0"/>
    <x v="0"/>
    <n v="4"/>
    <x v="44"/>
    <n v="0.91"/>
    <n v="11.5"/>
    <s v="58017179"/>
  </r>
  <r>
    <x v="53"/>
    <s v="2021-03-26"/>
    <x v="0"/>
    <x v="0"/>
    <n v="3"/>
    <x v="38"/>
    <n v="0.9"/>
    <n v="11.4"/>
    <s v="60814191"/>
  </r>
  <r>
    <x v="53"/>
    <s v="2021-03-26"/>
    <x v="0"/>
    <x v="0"/>
    <n v="2"/>
    <x v="22"/>
    <n v="0.86"/>
    <n v="10.84"/>
    <s v="11417016"/>
  </r>
  <r>
    <x v="53"/>
    <s v="2021-03-26"/>
    <x v="0"/>
    <x v="0"/>
    <n v="1"/>
    <x v="40"/>
    <n v="0.85"/>
    <n v="10.64"/>
    <s v="02992446"/>
  </r>
  <r>
    <x v="54"/>
    <s v="2021-03-29"/>
    <x v="0"/>
    <x v="0"/>
    <n v="44"/>
    <x v="3"/>
    <n v="3.29"/>
    <n v="47.41"/>
    <s v="05503849"/>
  </r>
  <r>
    <x v="54"/>
    <s v="2021-03-29"/>
    <x v="0"/>
    <x v="0"/>
    <n v="43"/>
    <x v="1"/>
    <n v="3.22"/>
    <n v="46.27"/>
    <s v="01800019"/>
  </r>
  <r>
    <x v="54"/>
    <s v="2021-03-29"/>
    <x v="0"/>
    <x v="0"/>
    <n v="42"/>
    <x v="0"/>
    <n v="3.15"/>
    <n v="45.06"/>
    <s v="60850229"/>
  </r>
  <r>
    <x v="54"/>
    <s v="2021-03-29"/>
    <x v="0"/>
    <x v="0"/>
    <n v="41"/>
    <x v="2"/>
    <n v="3.1"/>
    <n v="44.26"/>
    <s v="92228410"/>
  </r>
  <r>
    <x v="54"/>
    <s v="2021-03-29"/>
    <x v="0"/>
    <x v="0"/>
    <n v="40"/>
    <x v="4"/>
    <n v="2.73"/>
    <n v="38.119999999999997"/>
    <s v="62232889"/>
  </r>
  <r>
    <x v="54"/>
    <s v="2021-03-29"/>
    <x v="0"/>
    <x v="0"/>
    <n v="39"/>
    <x v="5"/>
    <n v="2.59"/>
    <n v="35.92"/>
    <s v="80271455"/>
  </r>
  <r>
    <x v="54"/>
    <s v="2021-03-29"/>
    <x v="0"/>
    <x v="0"/>
    <n v="38"/>
    <x v="6"/>
    <n v="2.42"/>
    <n v="33.18"/>
    <s v="05676026"/>
  </r>
  <r>
    <x v="54"/>
    <s v="2021-03-29"/>
    <x v="0"/>
    <x v="0"/>
    <n v="37"/>
    <x v="7"/>
    <n v="2.35"/>
    <n v="32.159999999999997"/>
    <s v="92874270"/>
  </r>
  <r>
    <x v="54"/>
    <s v="2021-03-29"/>
    <x v="0"/>
    <x v="0"/>
    <n v="36"/>
    <x v="8"/>
    <n v="2.2400000000000002"/>
    <n v="30.41"/>
    <s v="59285411"/>
  </r>
  <r>
    <x v="54"/>
    <s v="2021-03-29"/>
    <x v="0"/>
    <x v="0"/>
    <n v="35"/>
    <x v="9"/>
    <n v="1.99"/>
    <n v="26.74"/>
    <s v="00411939"/>
  </r>
  <r>
    <x v="54"/>
    <s v="2021-03-29"/>
    <x v="0"/>
    <x v="0"/>
    <n v="34"/>
    <x v="10"/>
    <n v="1.93"/>
    <n v="25.71"/>
    <s v="10371492"/>
  </r>
  <r>
    <x v="54"/>
    <s v="2021-03-29"/>
    <x v="0"/>
    <x v="0"/>
    <n v="33"/>
    <x v="13"/>
    <n v="1.81"/>
    <n v="23.97"/>
    <s v="07707650"/>
  </r>
  <r>
    <x v="54"/>
    <s v="2021-03-29"/>
    <x v="0"/>
    <x v="0"/>
    <n v="32"/>
    <x v="42"/>
    <n v="1.7"/>
    <n v="22.45"/>
    <s v="34991938"/>
  </r>
  <r>
    <x v="54"/>
    <s v="2021-03-29"/>
    <x v="0"/>
    <x v="0"/>
    <n v="31"/>
    <x v="15"/>
    <n v="1.68"/>
    <n v="22.13"/>
    <s v="59588111"/>
  </r>
  <r>
    <x v="54"/>
    <s v="2021-03-29"/>
    <x v="0"/>
    <x v="0"/>
    <n v="30"/>
    <x v="14"/>
    <n v="1.68"/>
    <n v="22.08"/>
    <s v="00360305"/>
  </r>
  <r>
    <x v="54"/>
    <s v="2021-03-29"/>
    <x v="0"/>
    <x v="0"/>
    <n v="29"/>
    <x v="12"/>
    <n v="1.67"/>
    <n v="22.05"/>
    <s v="04862600"/>
  </r>
  <r>
    <x v="54"/>
    <s v="2021-03-29"/>
    <x v="0"/>
    <x v="0"/>
    <n v="28"/>
    <x v="11"/>
    <n v="1.66"/>
    <n v="21.85"/>
    <s v="03634220"/>
  </r>
  <r>
    <x v="54"/>
    <s v="2021-03-29"/>
    <x v="0"/>
    <x v="0"/>
    <n v="27"/>
    <x v="16"/>
    <n v="1.61"/>
    <n v="21.07"/>
    <s v="07207996"/>
  </r>
  <r>
    <x v="54"/>
    <s v="2021-03-29"/>
    <x v="0"/>
    <x v="0"/>
    <n v="26"/>
    <x v="17"/>
    <n v="1.56"/>
    <n v="20.37"/>
    <s v="04866275"/>
  </r>
  <r>
    <x v="54"/>
    <s v="2021-03-29"/>
    <x v="0"/>
    <x v="0"/>
    <n v="25"/>
    <x v="20"/>
    <n v="1.53"/>
    <n v="20"/>
    <s v="17192451"/>
  </r>
  <r>
    <x v="54"/>
    <s v="2021-03-29"/>
    <x v="0"/>
    <x v="0"/>
    <n v="24"/>
    <x v="24"/>
    <n v="1.51"/>
    <n v="19.66"/>
    <s v="22639377"/>
  </r>
  <r>
    <x v="54"/>
    <s v="2021-03-29"/>
    <x v="0"/>
    <x v="0"/>
    <n v="23"/>
    <x v="36"/>
    <n v="1.48"/>
    <n v="19.260000000000002"/>
    <s v="33136888"/>
  </r>
  <r>
    <x v="54"/>
    <s v="2021-03-29"/>
    <x v="0"/>
    <x v="0"/>
    <n v="22"/>
    <x v="18"/>
    <n v="1.43"/>
    <n v="18.59"/>
    <s v="28127603"/>
  </r>
  <r>
    <x v="54"/>
    <s v="2021-03-29"/>
    <x v="0"/>
    <x v="0"/>
    <n v="21"/>
    <x v="21"/>
    <n v="1.39"/>
    <n v="18.07"/>
    <s v="03017677"/>
  </r>
  <r>
    <x v="54"/>
    <s v="2021-03-29"/>
    <x v="0"/>
    <x v="0"/>
    <n v="20"/>
    <x v="32"/>
    <n v="1.3"/>
    <n v="16.79"/>
    <s v="60701190"/>
  </r>
  <r>
    <x v="54"/>
    <s v="2021-03-29"/>
    <x v="0"/>
    <x v="0"/>
    <n v="19"/>
    <x v="48"/>
    <n v="1.26"/>
    <n v="16.2"/>
    <s v="27214112"/>
  </r>
  <r>
    <x v="54"/>
    <s v="2021-03-29"/>
    <x v="0"/>
    <x v="0"/>
    <n v="18"/>
    <x v="28"/>
    <n v="1.24"/>
    <n v="15.99"/>
    <s v="90400888"/>
  </r>
  <r>
    <x v="54"/>
    <s v="2021-03-29"/>
    <x v="0"/>
    <x v="0"/>
    <n v="17"/>
    <x v="29"/>
    <n v="1.24"/>
    <n v="15.93"/>
    <s v="60746948"/>
  </r>
  <r>
    <x v="54"/>
    <s v="2021-03-29"/>
    <x v="0"/>
    <x v="0"/>
    <n v="16"/>
    <x v="23"/>
    <n v="1.23"/>
    <n v="15.84"/>
    <s v="03215790"/>
  </r>
  <r>
    <x v="54"/>
    <s v="2021-03-29"/>
    <x v="0"/>
    <x v="0"/>
    <n v="15"/>
    <x v="25"/>
    <n v="1.22"/>
    <n v="15.6"/>
    <s v="59274605"/>
  </r>
  <r>
    <x v="54"/>
    <s v="2021-03-29"/>
    <x v="0"/>
    <x v="0"/>
    <n v="14"/>
    <x v="30"/>
    <n v="1.21"/>
    <n v="15.56"/>
    <s v="03502961"/>
  </r>
  <r>
    <x v="54"/>
    <s v="2021-03-29"/>
    <x v="0"/>
    <x v="0"/>
    <n v="13"/>
    <x v="26"/>
    <n v="1.2"/>
    <n v="15.36"/>
    <s v="30172491"/>
  </r>
  <r>
    <x v="54"/>
    <s v="2021-03-29"/>
    <x v="0"/>
    <x v="0"/>
    <n v="12"/>
    <x v="27"/>
    <n v="1.1599999999999999"/>
    <n v="14.85"/>
    <s v="00000000"/>
  </r>
  <r>
    <x v="54"/>
    <s v="2021-03-29"/>
    <x v="0"/>
    <x v="0"/>
    <n v="11"/>
    <x v="41"/>
    <n v="1.1499999999999999"/>
    <n v="14.65"/>
    <s v="20443996"/>
  </r>
  <r>
    <x v="54"/>
    <s v="2021-03-29"/>
    <x v="0"/>
    <x v="0"/>
    <n v="10"/>
    <x v="33"/>
    <n v="1.1299999999999999"/>
    <n v="14.46"/>
    <s v="62307848"/>
  </r>
  <r>
    <x v="54"/>
    <s v="2021-03-29"/>
    <x v="0"/>
    <x v="0"/>
    <n v="9"/>
    <x v="31"/>
    <n v="1.1100000000000001"/>
    <n v="14.18"/>
    <s v="17167412"/>
  </r>
  <r>
    <x v="54"/>
    <s v="2021-03-29"/>
    <x v="0"/>
    <x v="0"/>
    <n v="8"/>
    <x v="34"/>
    <n v="1.1100000000000001"/>
    <n v="14.15"/>
    <s v="33603457"/>
  </r>
  <r>
    <x v="54"/>
    <s v="2021-03-29"/>
    <x v="0"/>
    <x v="0"/>
    <n v="7"/>
    <x v="37"/>
    <n v="1.03"/>
    <n v="13.12"/>
    <s v="04452473"/>
  </r>
  <r>
    <x v="54"/>
    <s v="2021-03-29"/>
    <x v="0"/>
    <x v="0"/>
    <n v="6"/>
    <x v="35"/>
    <n v="0.98"/>
    <n v="12.45"/>
    <s v="59109165"/>
  </r>
  <r>
    <x v="54"/>
    <s v="2021-03-29"/>
    <x v="0"/>
    <x v="0"/>
    <n v="5"/>
    <x v="44"/>
    <n v="0.91"/>
    <n v="11.5"/>
    <s v="58017179"/>
  </r>
  <r>
    <x v="54"/>
    <s v="2021-03-29"/>
    <x v="0"/>
    <x v="0"/>
    <n v="4"/>
    <x v="38"/>
    <n v="0.91"/>
    <n v="11.46"/>
    <s v="60814191"/>
  </r>
  <r>
    <x v="54"/>
    <s v="2021-03-29"/>
    <x v="0"/>
    <x v="0"/>
    <n v="3"/>
    <x v="47"/>
    <n v="0.91"/>
    <n v="11.43"/>
    <s v="28517628"/>
  </r>
  <r>
    <x v="54"/>
    <s v="2021-03-29"/>
    <x v="0"/>
    <x v="0"/>
    <n v="2"/>
    <x v="40"/>
    <n v="0.88"/>
    <n v="11.15"/>
    <s v="02992446"/>
  </r>
  <r>
    <x v="54"/>
    <s v="2021-03-29"/>
    <x v="0"/>
    <x v="0"/>
    <n v="1"/>
    <x v="22"/>
    <n v="0.85"/>
    <n v="10.69"/>
    <s v="11417016"/>
  </r>
  <r>
    <x v="55"/>
    <s v="2021-03-30"/>
    <x v="0"/>
    <x v="0"/>
    <n v="42"/>
    <x v="3"/>
    <n v="3.28"/>
    <n v="47.23"/>
    <s v="05503849"/>
  </r>
  <r>
    <x v="55"/>
    <s v="2021-03-30"/>
    <x v="0"/>
    <x v="0"/>
    <n v="41"/>
    <x v="1"/>
    <n v="3.22"/>
    <n v="46.19"/>
    <s v="01800019"/>
  </r>
  <r>
    <x v="55"/>
    <s v="2021-03-30"/>
    <x v="0"/>
    <x v="0"/>
    <n v="40"/>
    <x v="0"/>
    <n v="3.16"/>
    <n v="45.28"/>
    <s v="60850229"/>
  </r>
  <r>
    <x v="55"/>
    <s v="2021-03-30"/>
    <x v="0"/>
    <x v="0"/>
    <n v="39"/>
    <x v="2"/>
    <n v="3.08"/>
    <n v="43.92"/>
    <s v="92228410"/>
  </r>
  <r>
    <x v="55"/>
    <s v="2021-03-30"/>
    <x v="0"/>
    <x v="0"/>
    <n v="38"/>
    <x v="4"/>
    <n v="2.73"/>
    <n v="38.130000000000003"/>
    <s v="62232889"/>
  </r>
  <r>
    <x v="55"/>
    <s v="2021-03-30"/>
    <x v="0"/>
    <x v="0"/>
    <n v="37"/>
    <x v="5"/>
    <n v="2.5099999999999998"/>
    <n v="34.57"/>
    <s v="80271455"/>
  </r>
  <r>
    <x v="55"/>
    <s v="2021-03-30"/>
    <x v="0"/>
    <x v="0"/>
    <n v="36"/>
    <x v="6"/>
    <n v="2.42"/>
    <n v="33.18"/>
    <s v="05676026"/>
  </r>
  <r>
    <x v="55"/>
    <s v="2021-03-30"/>
    <x v="0"/>
    <x v="0"/>
    <n v="35"/>
    <x v="7"/>
    <n v="2.37"/>
    <n v="32.380000000000003"/>
    <s v="92874270"/>
  </r>
  <r>
    <x v="55"/>
    <s v="2021-03-30"/>
    <x v="0"/>
    <x v="0"/>
    <n v="34"/>
    <x v="8"/>
    <n v="2.23"/>
    <n v="30.34"/>
    <s v="59285411"/>
  </r>
  <r>
    <x v="55"/>
    <s v="2021-03-30"/>
    <x v="0"/>
    <x v="0"/>
    <n v="33"/>
    <x v="10"/>
    <n v="1.92"/>
    <n v="25.69"/>
    <s v="10371492"/>
  </r>
  <r>
    <x v="55"/>
    <s v="2021-03-30"/>
    <x v="0"/>
    <x v="0"/>
    <n v="32"/>
    <x v="9"/>
    <n v="1.9"/>
    <n v="25.32"/>
    <s v="00411939"/>
  </r>
  <r>
    <x v="55"/>
    <s v="2021-03-30"/>
    <x v="0"/>
    <x v="0"/>
    <n v="31"/>
    <x v="13"/>
    <n v="1.82"/>
    <n v="24.18"/>
    <s v="07707650"/>
  </r>
  <r>
    <x v="55"/>
    <s v="2021-03-30"/>
    <x v="0"/>
    <x v="0"/>
    <n v="30"/>
    <x v="42"/>
    <n v="1.7"/>
    <n v="22.45"/>
    <s v="34991938"/>
  </r>
  <r>
    <x v="55"/>
    <s v="2021-03-30"/>
    <x v="0"/>
    <x v="0"/>
    <n v="29"/>
    <x v="15"/>
    <n v="1.69"/>
    <n v="22.21"/>
    <s v="59588111"/>
  </r>
  <r>
    <x v="55"/>
    <s v="2021-03-30"/>
    <x v="0"/>
    <x v="0"/>
    <n v="28"/>
    <x v="11"/>
    <n v="1.68"/>
    <n v="22.12"/>
    <s v="03634220"/>
  </r>
  <r>
    <x v="55"/>
    <s v="2021-03-30"/>
    <x v="0"/>
    <x v="0"/>
    <n v="27"/>
    <x v="12"/>
    <n v="1.67"/>
    <n v="22.04"/>
    <s v="04862600"/>
  </r>
  <r>
    <x v="55"/>
    <s v="2021-03-30"/>
    <x v="0"/>
    <x v="0"/>
    <n v="26"/>
    <x v="16"/>
    <n v="1.6"/>
    <n v="20.94"/>
    <s v="07207996"/>
  </r>
  <r>
    <x v="55"/>
    <s v="2021-03-30"/>
    <x v="0"/>
    <x v="0"/>
    <n v="25"/>
    <x v="14"/>
    <n v="1.59"/>
    <n v="20.86"/>
    <s v="00360305"/>
  </r>
  <r>
    <x v="55"/>
    <s v="2021-03-30"/>
    <x v="0"/>
    <x v="0"/>
    <n v="24"/>
    <x v="20"/>
    <n v="1.52"/>
    <n v="19.82"/>
    <s v="17192451"/>
  </r>
  <r>
    <x v="55"/>
    <s v="2021-03-30"/>
    <x v="0"/>
    <x v="0"/>
    <n v="23"/>
    <x v="24"/>
    <n v="1.47"/>
    <n v="19.07"/>
    <s v="22639377"/>
  </r>
  <r>
    <x v="55"/>
    <s v="2021-03-30"/>
    <x v="0"/>
    <x v="0"/>
    <n v="22"/>
    <x v="21"/>
    <n v="1.4"/>
    <n v="18.21"/>
    <s v="03017677"/>
  </r>
  <r>
    <x v="55"/>
    <s v="2021-03-30"/>
    <x v="0"/>
    <x v="0"/>
    <n v="21"/>
    <x v="18"/>
    <n v="1.4"/>
    <n v="18.100000000000001"/>
    <s v="28127603"/>
  </r>
  <r>
    <x v="55"/>
    <s v="2021-03-30"/>
    <x v="0"/>
    <x v="0"/>
    <n v="20"/>
    <x v="36"/>
    <n v="1.31"/>
    <n v="16.899999999999999"/>
    <s v="33136888"/>
  </r>
  <r>
    <x v="55"/>
    <s v="2021-03-30"/>
    <x v="0"/>
    <x v="0"/>
    <n v="19"/>
    <x v="32"/>
    <n v="1.3"/>
    <n v="16.73"/>
    <s v="60701190"/>
  </r>
  <r>
    <x v="55"/>
    <s v="2021-03-30"/>
    <x v="0"/>
    <x v="0"/>
    <n v="18"/>
    <x v="29"/>
    <n v="1.25"/>
    <n v="16.05"/>
    <s v="60746948"/>
  </r>
  <r>
    <x v="55"/>
    <s v="2021-03-30"/>
    <x v="0"/>
    <x v="0"/>
    <n v="17"/>
    <x v="28"/>
    <n v="1.25"/>
    <n v="16.02"/>
    <s v="90400888"/>
  </r>
  <r>
    <x v="55"/>
    <s v="2021-03-30"/>
    <x v="0"/>
    <x v="0"/>
    <n v="16"/>
    <x v="23"/>
    <n v="1.23"/>
    <n v="15.75"/>
    <s v="03215790"/>
  </r>
  <r>
    <x v="55"/>
    <s v="2021-03-30"/>
    <x v="0"/>
    <x v="0"/>
    <n v="15"/>
    <x v="26"/>
    <n v="1.21"/>
    <n v="15.57"/>
    <s v="30172491"/>
  </r>
  <r>
    <x v="55"/>
    <s v="2021-03-30"/>
    <x v="0"/>
    <x v="0"/>
    <n v="14"/>
    <x v="30"/>
    <n v="1.2"/>
    <n v="15.35"/>
    <s v="03502961"/>
  </r>
  <r>
    <x v="55"/>
    <s v="2021-03-30"/>
    <x v="0"/>
    <x v="0"/>
    <n v="13"/>
    <x v="25"/>
    <n v="1.2"/>
    <n v="15.35"/>
    <s v="59274605"/>
  </r>
  <r>
    <x v="55"/>
    <s v="2021-03-30"/>
    <x v="0"/>
    <x v="0"/>
    <n v="12"/>
    <x v="27"/>
    <n v="1.1599999999999999"/>
    <n v="14.87"/>
    <s v="00000000"/>
  </r>
  <r>
    <x v="55"/>
    <s v="2021-03-30"/>
    <x v="0"/>
    <x v="0"/>
    <n v="11"/>
    <x v="33"/>
    <n v="1.1399999999999999"/>
    <n v="14.51"/>
    <s v="62307848"/>
  </r>
  <r>
    <x v="55"/>
    <s v="2021-03-30"/>
    <x v="0"/>
    <x v="0"/>
    <n v="10"/>
    <x v="31"/>
    <n v="1.1299999999999999"/>
    <n v="14.41"/>
    <s v="17167412"/>
  </r>
  <r>
    <x v="55"/>
    <s v="2021-03-30"/>
    <x v="0"/>
    <x v="0"/>
    <n v="9"/>
    <x v="34"/>
    <n v="1.1100000000000001"/>
    <n v="14.14"/>
    <s v="33603457"/>
  </r>
  <r>
    <x v="55"/>
    <s v="2021-03-30"/>
    <x v="0"/>
    <x v="0"/>
    <n v="8"/>
    <x v="39"/>
    <n v="1.0900000000000001"/>
    <n v="13.89"/>
    <s v="04902979"/>
  </r>
  <r>
    <x v="55"/>
    <s v="2021-03-30"/>
    <x v="0"/>
    <x v="0"/>
    <n v="7"/>
    <x v="37"/>
    <n v="1.03"/>
    <n v="13.09"/>
    <s v="04452473"/>
  </r>
  <r>
    <x v="55"/>
    <s v="2021-03-30"/>
    <x v="0"/>
    <x v="0"/>
    <n v="6"/>
    <x v="35"/>
    <n v="0.98"/>
    <n v="12.35"/>
    <s v="59109165"/>
  </r>
  <r>
    <x v="55"/>
    <s v="2021-03-30"/>
    <x v="0"/>
    <x v="0"/>
    <n v="5"/>
    <x v="38"/>
    <n v="0.91"/>
    <n v="11.5"/>
    <s v="60814191"/>
  </r>
  <r>
    <x v="55"/>
    <s v="2021-03-30"/>
    <x v="0"/>
    <x v="0"/>
    <n v="4"/>
    <x v="47"/>
    <n v="0.91"/>
    <n v="11.43"/>
    <s v="28517628"/>
  </r>
  <r>
    <x v="55"/>
    <s v="2021-03-30"/>
    <x v="0"/>
    <x v="0"/>
    <n v="3"/>
    <x v="44"/>
    <n v="0.9"/>
    <n v="11.39"/>
    <s v="58017179"/>
  </r>
  <r>
    <x v="55"/>
    <s v="2021-03-30"/>
    <x v="0"/>
    <x v="0"/>
    <n v="2"/>
    <x v="40"/>
    <n v="0.88"/>
    <n v="11.02"/>
    <s v="02992446"/>
  </r>
  <r>
    <x v="55"/>
    <s v="2021-03-30"/>
    <x v="0"/>
    <x v="0"/>
    <n v="1"/>
    <x v="22"/>
    <n v="0.85"/>
    <n v="10.74"/>
    <s v="11417016"/>
  </r>
  <r>
    <x v="56"/>
    <s v="2021-03-31"/>
    <x v="0"/>
    <x v="0"/>
    <n v="42"/>
    <x v="3"/>
    <n v="3.23"/>
    <n v="46.45"/>
    <s v="05503849"/>
  </r>
  <r>
    <x v="56"/>
    <s v="2021-03-31"/>
    <x v="0"/>
    <x v="0"/>
    <n v="41"/>
    <x v="1"/>
    <n v="3.12"/>
    <n v="44.58"/>
    <s v="01800019"/>
  </r>
  <r>
    <x v="56"/>
    <s v="2021-03-31"/>
    <x v="0"/>
    <x v="0"/>
    <n v="40"/>
    <x v="2"/>
    <n v="3.05"/>
    <n v="43.37"/>
    <s v="92228410"/>
  </r>
  <r>
    <x v="56"/>
    <s v="2021-03-31"/>
    <x v="0"/>
    <x v="0"/>
    <n v="39"/>
    <x v="0"/>
    <n v="3.02"/>
    <n v="42.97"/>
    <s v="60850229"/>
  </r>
  <r>
    <x v="56"/>
    <s v="2021-03-31"/>
    <x v="0"/>
    <x v="0"/>
    <n v="38"/>
    <x v="4"/>
    <n v="2.73"/>
    <n v="38.159999999999997"/>
    <s v="62232889"/>
  </r>
  <r>
    <x v="56"/>
    <s v="2021-03-31"/>
    <x v="0"/>
    <x v="0"/>
    <n v="37"/>
    <x v="5"/>
    <n v="2.57"/>
    <n v="35.64"/>
    <s v="80271455"/>
  </r>
  <r>
    <x v="56"/>
    <s v="2021-03-31"/>
    <x v="0"/>
    <x v="0"/>
    <n v="36"/>
    <x v="6"/>
    <n v="2.42"/>
    <n v="33.159999999999997"/>
    <s v="05676026"/>
  </r>
  <r>
    <x v="56"/>
    <s v="2021-03-31"/>
    <x v="0"/>
    <x v="0"/>
    <n v="35"/>
    <x v="7"/>
    <n v="2.36"/>
    <n v="32.35"/>
    <s v="92874270"/>
  </r>
  <r>
    <x v="56"/>
    <s v="2021-03-31"/>
    <x v="0"/>
    <x v="0"/>
    <n v="34"/>
    <x v="8"/>
    <n v="2.23"/>
    <n v="30.29"/>
    <s v="59285411"/>
  </r>
  <r>
    <x v="56"/>
    <s v="2021-03-31"/>
    <x v="0"/>
    <x v="0"/>
    <n v="33"/>
    <x v="10"/>
    <n v="1.92"/>
    <n v="25.57"/>
    <s v="10371492"/>
  </r>
  <r>
    <x v="56"/>
    <s v="2021-03-31"/>
    <x v="0"/>
    <x v="0"/>
    <n v="32"/>
    <x v="9"/>
    <n v="1.85"/>
    <n v="24.59"/>
    <s v="00411939"/>
  </r>
  <r>
    <x v="56"/>
    <s v="2021-03-31"/>
    <x v="0"/>
    <x v="0"/>
    <n v="31"/>
    <x v="13"/>
    <n v="1.83"/>
    <n v="24.28"/>
    <s v="07707650"/>
  </r>
  <r>
    <x v="56"/>
    <s v="2021-03-31"/>
    <x v="0"/>
    <x v="0"/>
    <n v="30"/>
    <x v="42"/>
    <n v="1.7"/>
    <n v="22.45"/>
    <s v="34991938"/>
  </r>
  <r>
    <x v="56"/>
    <s v="2021-03-31"/>
    <x v="0"/>
    <x v="0"/>
    <n v="29"/>
    <x v="11"/>
    <n v="1.69"/>
    <n v="22.3"/>
    <s v="03634220"/>
  </r>
  <r>
    <x v="56"/>
    <s v="2021-03-31"/>
    <x v="0"/>
    <x v="0"/>
    <n v="28"/>
    <x v="15"/>
    <n v="1.69"/>
    <n v="22.29"/>
    <s v="59588111"/>
  </r>
  <r>
    <x v="56"/>
    <s v="2021-03-31"/>
    <x v="0"/>
    <x v="0"/>
    <n v="27"/>
    <x v="12"/>
    <n v="1.69"/>
    <n v="22.22"/>
    <s v="04862600"/>
  </r>
  <r>
    <x v="56"/>
    <s v="2021-03-31"/>
    <x v="0"/>
    <x v="0"/>
    <n v="26"/>
    <x v="16"/>
    <n v="1.59"/>
    <n v="20.85"/>
    <s v="07207996"/>
  </r>
  <r>
    <x v="56"/>
    <s v="2021-03-31"/>
    <x v="0"/>
    <x v="0"/>
    <n v="25"/>
    <x v="14"/>
    <n v="1.57"/>
    <n v="20.56"/>
    <s v="00360305"/>
  </r>
  <r>
    <x v="56"/>
    <s v="2021-03-31"/>
    <x v="0"/>
    <x v="0"/>
    <n v="24"/>
    <x v="20"/>
    <n v="1.51"/>
    <n v="19.649999999999999"/>
    <s v="17192451"/>
  </r>
  <r>
    <x v="56"/>
    <s v="2021-03-31"/>
    <x v="0"/>
    <x v="0"/>
    <n v="23"/>
    <x v="24"/>
    <n v="1.48"/>
    <n v="19.25"/>
    <s v="22639377"/>
  </r>
  <r>
    <x v="56"/>
    <s v="2021-03-31"/>
    <x v="0"/>
    <x v="0"/>
    <n v="22"/>
    <x v="21"/>
    <n v="1.41"/>
    <n v="18.32"/>
    <s v="03017677"/>
  </r>
  <r>
    <x v="56"/>
    <s v="2021-03-31"/>
    <x v="0"/>
    <x v="0"/>
    <n v="21"/>
    <x v="36"/>
    <n v="1.38"/>
    <n v="17.899999999999999"/>
    <s v="33136888"/>
  </r>
  <r>
    <x v="56"/>
    <s v="2021-03-31"/>
    <x v="0"/>
    <x v="0"/>
    <n v="20"/>
    <x v="18"/>
    <n v="1.3"/>
    <n v="16.78"/>
    <s v="28127603"/>
  </r>
  <r>
    <x v="56"/>
    <s v="2021-03-31"/>
    <x v="0"/>
    <x v="0"/>
    <n v="19"/>
    <x v="32"/>
    <n v="1.28"/>
    <n v="16.53"/>
    <s v="60701190"/>
  </r>
  <r>
    <x v="56"/>
    <s v="2021-03-31"/>
    <x v="0"/>
    <x v="0"/>
    <n v="18"/>
    <x v="28"/>
    <n v="1.25"/>
    <n v="16.059999999999999"/>
    <s v="90400888"/>
  </r>
  <r>
    <x v="56"/>
    <s v="2021-03-31"/>
    <x v="0"/>
    <x v="0"/>
    <n v="17"/>
    <x v="29"/>
    <n v="1.25"/>
    <n v="16.059999999999999"/>
    <s v="60746948"/>
  </r>
  <r>
    <x v="56"/>
    <s v="2021-03-31"/>
    <x v="0"/>
    <x v="0"/>
    <n v="16"/>
    <x v="26"/>
    <n v="1.22"/>
    <n v="15.65"/>
    <s v="30172491"/>
  </r>
  <r>
    <x v="56"/>
    <s v="2021-03-31"/>
    <x v="0"/>
    <x v="0"/>
    <n v="15"/>
    <x v="23"/>
    <n v="1.21"/>
    <n v="15.51"/>
    <s v="03215790"/>
  </r>
  <r>
    <x v="56"/>
    <s v="2021-03-31"/>
    <x v="0"/>
    <x v="0"/>
    <n v="14"/>
    <x v="30"/>
    <n v="1.19"/>
    <n v="15.31"/>
    <s v="03502961"/>
  </r>
  <r>
    <x v="56"/>
    <s v="2021-03-31"/>
    <x v="0"/>
    <x v="0"/>
    <n v="13"/>
    <x v="25"/>
    <n v="1.19"/>
    <n v="15.25"/>
    <s v="59274605"/>
  </r>
  <r>
    <x v="56"/>
    <s v="2021-03-31"/>
    <x v="0"/>
    <x v="0"/>
    <n v="12"/>
    <x v="27"/>
    <n v="1.1499999999999999"/>
    <n v="14.69"/>
    <s v="00000000"/>
  </r>
  <r>
    <x v="56"/>
    <s v="2021-03-31"/>
    <x v="0"/>
    <x v="0"/>
    <n v="11"/>
    <x v="33"/>
    <n v="1.1399999999999999"/>
    <n v="14.62"/>
    <s v="62307848"/>
  </r>
  <r>
    <x v="56"/>
    <s v="2021-03-31"/>
    <x v="0"/>
    <x v="0"/>
    <n v="10"/>
    <x v="31"/>
    <n v="1.1299999999999999"/>
    <n v="14.42"/>
    <s v="17167412"/>
  </r>
  <r>
    <x v="56"/>
    <s v="2021-03-31"/>
    <x v="0"/>
    <x v="0"/>
    <n v="9"/>
    <x v="34"/>
    <n v="1.1100000000000001"/>
    <n v="14.22"/>
    <s v="33603457"/>
  </r>
  <r>
    <x v="56"/>
    <s v="2021-03-31"/>
    <x v="0"/>
    <x v="0"/>
    <n v="8"/>
    <x v="39"/>
    <n v="1.0900000000000001"/>
    <n v="13.89"/>
    <s v="04902979"/>
  </r>
  <r>
    <x v="56"/>
    <s v="2021-03-31"/>
    <x v="0"/>
    <x v="0"/>
    <n v="7"/>
    <x v="37"/>
    <n v="1.03"/>
    <n v="13.07"/>
    <s v="04452473"/>
  </r>
  <r>
    <x v="56"/>
    <s v="2021-03-31"/>
    <x v="0"/>
    <x v="0"/>
    <n v="6"/>
    <x v="35"/>
    <n v="0.98"/>
    <n v="12.45"/>
    <s v="59109165"/>
  </r>
  <r>
    <x v="56"/>
    <s v="2021-03-31"/>
    <x v="0"/>
    <x v="0"/>
    <n v="5"/>
    <x v="44"/>
    <n v="0.91"/>
    <n v="11.42"/>
    <s v="58017179"/>
  </r>
  <r>
    <x v="56"/>
    <s v="2021-03-31"/>
    <x v="0"/>
    <x v="0"/>
    <n v="4"/>
    <x v="47"/>
    <n v="0.9"/>
    <n v="11.32"/>
    <s v="28517628"/>
  </r>
  <r>
    <x v="56"/>
    <s v="2021-03-31"/>
    <x v="0"/>
    <x v="0"/>
    <n v="3"/>
    <x v="40"/>
    <n v="0.89"/>
    <n v="11.17"/>
    <s v="02992446"/>
  </r>
  <r>
    <x v="56"/>
    <s v="2021-03-31"/>
    <x v="0"/>
    <x v="0"/>
    <n v="2"/>
    <x v="22"/>
    <n v="0.87"/>
    <n v="10.95"/>
    <s v="11417016"/>
  </r>
  <r>
    <x v="56"/>
    <s v="2021-03-31"/>
    <x v="0"/>
    <x v="0"/>
    <n v="1"/>
    <x v="38"/>
    <n v="0.87"/>
    <n v="10.94"/>
    <s v="60814191"/>
  </r>
  <r>
    <x v="57"/>
    <s v="2021-04-01"/>
    <x v="0"/>
    <x v="0"/>
    <n v="42"/>
    <x v="3"/>
    <n v="3.27"/>
    <n v="47.08"/>
    <s v="05503849"/>
  </r>
  <r>
    <x v="57"/>
    <s v="2021-04-01"/>
    <x v="0"/>
    <x v="0"/>
    <n v="41"/>
    <x v="1"/>
    <n v="3.09"/>
    <n v="44.16"/>
    <s v="01800019"/>
  </r>
  <r>
    <x v="57"/>
    <s v="2021-04-01"/>
    <x v="0"/>
    <x v="0"/>
    <n v="40"/>
    <x v="2"/>
    <n v="3.04"/>
    <n v="43.3"/>
    <s v="92228410"/>
  </r>
  <r>
    <x v="57"/>
    <s v="2021-04-01"/>
    <x v="0"/>
    <x v="0"/>
    <n v="39"/>
    <x v="0"/>
    <n v="3.01"/>
    <n v="42.68"/>
    <s v="60850229"/>
  </r>
  <r>
    <x v="57"/>
    <s v="2021-04-01"/>
    <x v="0"/>
    <x v="0"/>
    <n v="38"/>
    <x v="4"/>
    <n v="2.72"/>
    <n v="37.94"/>
    <s v="62232889"/>
  </r>
  <r>
    <x v="57"/>
    <s v="2021-04-01"/>
    <x v="0"/>
    <x v="0"/>
    <n v="37"/>
    <x v="5"/>
    <n v="2.59"/>
    <n v="35.979999999999997"/>
    <s v="80271455"/>
  </r>
  <r>
    <x v="57"/>
    <s v="2021-04-01"/>
    <x v="0"/>
    <x v="0"/>
    <n v="36"/>
    <x v="6"/>
    <n v="2.41"/>
    <n v="33.15"/>
    <s v="05676026"/>
  </r>
  <r>
    <x v="57"/>
    <s v="2021-04-01"/>
    <x v="0"/>
    <x v="0"/>
    <n v="35"/>
    <x v="7"/>
    <n v="2.38"/>
    <n v="32.58"/>
    <s v="92874270"/>
  </r>
  <r>
    <x v="57"/>
    <s v="2021-04-01"/>
    <x v="0"/>
    <x v="0"/>
    <n v="34"/>
    <x v="8"/>
    <n v="2.23"/>
    <n v="30.24"/>
    <s v="59285411"/>
  </r>
  <r>
    <x v="57"/>
    <s v="2021-04-01"/>
    <x v="0"/>
    <x v="0"/>
    <n v="33"/>
    <x v="10"/>
    <n v="1.92"/>
    <n v="25.67"/>
    <s v="10371492"/>
  </r>
  <r>
    <x v="57"/>
    <s v="2021-04-01"/>
    <x v="0"/>
    <x v="0"/>
    <n v="32"/>
    <x v="42"/>
    <n v="1.91"/>
    <n v="25.49"/>
    <s v="34991938"/>
  </r>
  <r>
    <x v="57"/>
    <s v="2021-04-01"/>
    <x v="0"/>
    <x v="0"/>
    <n v="31"/>
    <x v="13"/>
    <n v="1.84"/>
    <n v="24.44"/>
    <s v="07707650"/>
  </r>
  <r>
    <x v="57"/>
    <s v="2021-04-01"/>
    <x v="0"/>
    <x v="0"/>
    <n v="30"/>
    <x v="9"/>
    <n v="1.82"/>
    <n v="24.18"/>
    <s v="00411939"/>
  </r>
  <r>
    <x v="57"/>
    <s v="2021-04-01"/>
    <x v="0"/>
    <x v="0"/>
    <n v="29"/>
    <x v="11"/>
    <n v="1.71"/>
    <n v="22.53"/>
    <s v="03634220"/>
  </r>
  <r>
    <x v="57"/>
    <s v="2021-04-01"/>
    <x v="0"/>
    <x v="0"/>
    <n v="28"/>
    <x v="15"/>
    <n v="1.7"/>
    <n v="22.4"/>
    <s v="59588111"/>
  </r>
  <r>
    <x v="57"/>
    <s v="2021-04-01"/>
    <x v="0"/>
    <x v="0"/>
    <n v="27"/>
    <x v="12"/>
    <n v="1.69"/>
    <n v="22.27"/>
    <s v="04862600"/>
  </r>
  <r>
    <x v="57"/>
    <s v="2021-04-01"/>
    <x v="0"/>
    <x v="0"/>
    <n v="26"/>
    <x v="14"/>
    <n v="1.62"/>
    <n v="21.29"/>
    <s v="00360305"/>
  </r>
  <r>
    <x v="57"/>
    <s v="2021-04-01"/>
    <x v="0"/>
    <x v="0"/>
    <n v="25"/>
    <x v="16"/>
    <n v="1.59"/>
    <n v="20.81"/>
    <s v="07207996"/>
  </r>
  <r>
    <x v="57"/>
    <s v="2021-04-01"/>
    <x v="0"/>
    <x v="0"/>
    <n v="24"/>
    <x v="20"/>
    <n v="1.5"/>
    <n v="19.57"/>
    <s v="17192451"/>
  </r>
  <r>
    <x v="57"/>
    <s v="2021-04-01"/>
    <x v="0"/>
    <x v="0"/>
    <n v="23"/>
    <x v="24"/>
    <n v="1.48"/>
    <n v="19.309999999999999"/>
    <s v="22639377"/>
  </r>
  <r>
    <x v="57"/>
    <s v="2021-04-01"/>
    <x v="0"/>
    <x v="0"/>
    <n v="22"/>
    <x v="21"/>
    <n v="1.42"/>
    <n v="18.41"/>
    <s v="03017677"/>
  </r>
  <r>
    <x v="57"/>
    <s v="2021-04-01"/>
    <x v="0"/>
    <x v="0"/>
    <n v="21"/>
    <x v="36"/>
    <n v="1.38"/>
    <n v="17.899999999999999"/>
    <s v="33136888"/>
  </r>
  <r>
    <x v="57"/>
    <s v="2021-04-01"/>
    <x v="0"/>
    <x v="0"/>
    <n v="20"/>
    <x v="18"/>
    <n v="1.31"/>
    <n v="16.91"/>
    <s v="28127603"/>
  </r>
  <r>
    <x v="57"/>
    <s v="2021-04-01"/>
    <x v="0"/>
    <x v="0"/>
    <n v="19"/>
    <x v="32"/>
    <n v="1.28"/>
    <n v="16.48"/>
    <s v="60701190"/>
  </r>
  <r>
    <x v="57"/>
    <s v="2021-04-01"/>
    <x v="0"/>
    <x v="0"/>
    <n v="18"/>
    <x v="28"/>
    <n v="1.25"/>
    <n v="16.12"/>
    <s v="90400888"/>
  </r>
  <r>
    <x v="57"/>
    <s v="2021-04-01"/>
    <x v="0"/>
    <x v="0"/>
    <n v="17"/>
    <x v="29"/>
    <n v="1.25"/>
    <n v="16.05"/>
    <s v="60746948"/>
  </r>
  <r>
    <x v="57"/>
    <s v="2021-04-01"/>
    <x v="0"/>
    <x v="0"/>
    <n v="16"/>
    <x v="26"/>
    <n v="1.23"/>
    <n v="15.79"/>
    <s v="30172491"/>
  </r>
  <r>
    <x v="57"/>
    <s v="2021-04-01"/>
    <x v="0"/>
    <x v="0"/>
    <n v="15"/>
    <x v="23"/>
    <n v="1.21"/>
    <n v="15.52"/>
    <s v="03215790"/>
  </r>
  <r>
    <x v="57"/>
    <s v="2021-04-01"/>
    <x v="0"/>
    <x v="0"/>
    <n v="14"/>
    <x v="25"/>
    <n v="1.2"/>
    <n v="15.39"/>
    <s v="59274605"/>
  </r>
  <r>
    <x v="57"/>
    <s v="2021-04-01"/>
    <x v="0"/>
    <x v="0"/>
    <n v="13"/>
    <x v="30"/>
    <n v="1.19"/>
    <n v="15.31"/>
    <s v="03502961"/>
  </r>
  <r>
    <x v="57"/>
    <s v="2021-04-01"/>
    <x v="0"/>
    <x v="0"/>
    <n v="12"/>
    <x v="33"/>
    <n v="1.1599999999999999"/>
    <n v="14.84"/>
    <s v="62307848"/>
  </r>
  <r>
    <x v="57"/>
    <s v="2021-04-01"/>
    <x v="0"/>
    <x v="0"/>
    <n v="11"/>
    <x v="27"/>
    <n v="1.1299999999999999"/>
    <n v="14.49"/>
    <s v="00000000"/>
  </r>
  <r>
    <x v="57"/>
    <s v="2021-04-01"/>
    <x v="0"/>
    <x v="0"/>
    <n v="10"/>
    <x v="31"/>
    <n v="1.1200000000000001"/>
    <n v="14.32"/>
    <s v="17167412"/>
  </r>
  <r>
    <x v="57"/>
    <s v="2021-04-01"/>
    <x v="0"/>
    <x v="0"/>
    <n v="9"/>
    <x v="34"/>
    <n v="1.1000000000000001"/>
    <n v="14.05"/>
    <s v="33603457"/>
  </r>
  <r>
    <x v="57"/>
    <s v="2021-04-01"/>
    <x v="0"/>
    <x v="0"/>
    <n v="8"/>
    <x v="39"/>
    <n v="1.0900000000000001"/>
    <n v="13.89"/>
    <s v="04902979"/>
  </r>
  <r>
    <x v="57"/>
    <s v="2021-04-01"/>
    <x v="0"/>
    <x v="0"/>
    <n v="7"/>
    <x v="37"/>
    <n v="1.04"/>
    <n v="13.27"/>
    <s v="04452473"/>
  </r>
  <r>
    <x v="57"/>
    <s v="2021-04-01"/>
    <x v="0"/>
    <x v="0"/>
    <n v="6"/>
    <x v="35"/>
    <n v="0.99"/>
    <n v="12.53"/>
    <s v="59109165"/>
  </r>
  <r>
    <x v="57"/>
    <s v="2021-04-01"/>
    <x v="0"/>
    <x v="0"/>
    <n v="5"/>
    <x v="38"/>
    <n v="0.93"/>
    <n v="11.7"/>
    <s v="60814191"/>
  </r>
  <r>
    <x v="57"/>
    <s v="2021-04-01"/>
    <x v="0"/>
    <x v="0"/>
    <n v="4"/>
    <x v="40"/>
    <n v="0.9"/>
    <n v="11.35"/>
    <s v="02992446"/>
  </r>
  <r>
    <x v="57"/>
    <s v="2021-04-01"/>
    <x v="0"/>
    <x v="0"/>
    <n v="3"/>
    <x v="47"/>
    <n v="0.9"/>
    <n v="11.32"/>
    <s v="28517628"/>
  </r>
  <r>
    <x v="57"/>
    <s v="2021-04-01"/>
    <x v="0"/>
    <x v="0"/>
    <n v="2"/>
    <x v="44"/>
    <n v="0.87"/>
    <n v="11.01"/>
    <s v="58017179"/>
  </r>
  <r>
    <x v="57"/>
    <s v="2021-04-01"/>
    <x v="0"/>
    <x v="0"/>
    <n v="1"/>
    <x v="22"/>
    <n v="0.87"/>
    <n v="10.99"/>
    <s v="11417016"/>
  </r>
  <r>
    <x v="58"/>
    <s v="2021-04-05"/>
    <x v="0"/>
    <x v="0"/>
    <n v="41"/>
    <x v="3"/>
    <n v="3.27"/>
    <n v="47.2"/>
    <s v="05503849"/>
  </r>
  <r>
    <x v="58"/>
    <s v="2021-04-05"/>
    <x v="0"/>
    <x v="0"/>
    <n v="40"/>
    <x v="1"/>
    <n v="3.12"/>
    <n v="44.61"/>
    <s v="01800019"/>
  </r>
  <r>
    <x v="58"/>
    <s v="2021-04-05"/>
    <x v="0"/>
    <x v="0"/>
    <n v="39"/>
    <x v="2"/>
    <n v="3.06"/>
    <n v="43.52"/>
    <s v="92228410"/>
  </r>
  <r>
    <x v="58"/>
    <s v="2021-04-05"/>
    <x v="0"/>
    <x v="0"/>
    <n v="38"/>
    <x v="0"/>
    <n v="2.9"/>
    <n v="40.93"/>
    <s v="60850229"/>
  </r>
  <r>
    <x v="58"/>
    <s v="2021-04-05"/>
    <x v="0"/>
    <x v="0"/>
    <n v="37"/>
    <x v="4"/>
    <n v="2.71"/>
    <n v="37.89"/>
    <s v="62232889"/>
  </r>
  <r>
    <x v="58"/>
    <s v="2021-04-05"/>
    <x v="0"/>
    <x v="0"/>
    <n v="36"/>
    <x v="5"/>
    <n v="2.61"/>
    <n v="36.270000000000003"/>
    <s v="80271455"/>
  </r>
  <r>
    <x v="58"/>
    <s v="2021-04-05"/>
    <x v="0"/>
    <x v="0"/>
    <n v="35"/>
    <x v="6"/>
    <n v="2.41"/>
    <n v="33.14"/>
    <s v="05676026"/>
  </r>
  <r>
    <x v="58"/>
    <s v="2021-04-05"/>
    <x v="0"/>
    <x v="0"/>
    <n v="34"/>
    <x v="7"/>
    <n v="2.4"/>
    <n v="32.86"/>
    <s v="92874270"/>
  </r>
  <r>
    <x v="58"/>
    <s v="2021-04-05"/>
    <x v="0"/>
    <x v="0"/>
    <n v="33"/>
    <x v="8"/>
    <n v="2.2200000000000002"/>
    <n v="30.17"/>
    <s v="59285411"/>
  </r>
  <r>
    <x v="58"/>
    <s v="2021-04-05"/>
    <x v="0"/>
    <x v="0"/>
    <n v="32"/>
    <x v="10"/>
    <n v="1.93"/>
    <n v="25.84"/>
    <s v="10371492"/>
  </r>
  <r>
    <x v="58"/>
    <s v="2021-04-05"/>
    <x v="0"/>
    <x v="0"/>
    <n v="31"/>
    <x v="42"/>
    <n v="1.91"/>
    <n v="25.49"/>
    <s v="34991938"/>
  </r>
  <r>
    <x v="58"/>
    <s v="2021-04-05"/>
    <x v="0"/>
    <x v="0"/>
    <n v="30"/>
    <x v="9"/>
    <n v="1.86"/>
    <n v="24.79"/>
    <s v="00411939"/>
  </r>
  <r>
    <x v="58"/>
    <s v="2021-04-05"/>
    <x v="0"/>
    <x v="0"/>
    <n v="29"/>
    <x v="13"/>
    <n v="1.85"/>
    <n v="24.66"/>
    <s v="07707650"/>
  </r>
  <r>
    <x v="58"/>
    <s v="2021-04-05"/>
    <x v="0"/>
    <x v="0"/>
    <n v="28"/>
    <x v="15"/>
    <n v="1.71"/>
    <n v="22.52"/>
    <s v="59588111"/>
  </r>
  <r>
    <x v="58"/>
    <s v="2021-04-05"/>
    <x v="0"/>
    <x v="0"/>
    <n v="27"/>
    <x v="11"/>
    <n v="1.7"/>
    <n v="22.44"/>
    <s v="03634220"/>
  </r>
  <r>
    <x v="58"/>
    <s v="2021-04-05"/>
    <x v="0"/>
    <x v="0"/>
    <n v="26"/>
    <x v="12"/>
    <n v="1.67"/>
    <n v="22.05"/>
    <s v="04862600"/>
  </r>
  <r>
    <x v="58"/>
    <s v="2021-04-05"/>
    <x v="0"/>
    <x v="0"/>
    <n v="25"/>
    <x v="16"/>
    <n v="1.59"/>
    <n v="20.9"/>
    <s v="07207996"/>
  </r>
  <r>
    <x v="58"/>
    <s v="2021-04-05"/>
    <x v="0"/>
    <x v="0"/>
    <n v="24"/>
    <x v="14"/>
    <n v="1.56"/>
    <n v="20.399999999999999"/>
    <s v="00360305"/>
  </r>
  <r>
    <x v="58"/>
    <s v="2021-04-05"/>
    <x v="0"/>
    <x v="0"/>
    <n v="23"/>
    <x v="20"/>
    <n v="1.51"/>
    <n v="19.739999999999998"/>
    <s v="17192451"/>
  </r>
  <r>
    <x v="58"/>
    <s v="2021-04-05"/>
    <x v="0"/>
    <x v="0"/>
    <n v="22"/>
    <x v="21"/>
    <n v="1.43"/>
    <n v="18.559999999999999"/>
    <s v="03017677"/>
  </r>
  <r>
    <x v="58"/>
    <s v="2021-04-05"/>
    <x v="0"/>
    <x v="0"/>
    <n v="21"/>
    <x v="24"/>
    <n v="1.4"/>
    <n v="18.14"/>
    <s v="22639377"/>
  </r>
  <r>
    <x v="58"/>
    <s v="2021-04-05"/>
    <x v="0"/>
    <x v="0"/>
    <n v="20"/>
    <x v="36"/>
    <n v="1.38"/>
    <n v="17.899999999999999"/>
    <s v="33136888"/>
  </r>
  <r>
    <x v="58"/>
    <s v="2021-04-05"/>
    <x v="0"/>
    <x v="0"/>
    <n v="19"/>
    <x v="18"/>
    <n v="1.36"/>
    <n v="17.559999999999999"/>
    <s v="28127603"/>
  </r>
  <r>
    <x v="58"/>
    <s v="2021-04-05"/>
    <x v="0"/>
    <x v="0"/>
    <n v="18"/>
    <x v="32"/>
    <n v="1.29"/>
    <n v="16.579999999999998"/>
    <s v="60701190"/>
  </r>
  <r>
    <x v="58"/>
    <s v="2021-04-05"/>
    <x v="0"/>
    <x v="0"/>
    <n v="17"/>
    <x v="29"/>
    <n v="1.25"/>
    <n v="16.11"/>
    <s v="60746948"/>
  </r>
  <r>
    <x v="58"/>
    <s v="2021-04-05"/>
    <x v="0"/>
    <x v="0"/>
    <n v="16"/>
    <x v="28"/>
    <n v="1.25"/>
    <n v="16.05"/>
    <s v="90400888"/>
  </r>
  <r>
    <x v="58"/>
    <s v="2021-04-05"/>
    <x v="0"/>
    <x v="0"/>
    <n v="15"/>
    <x v="26"/>
    <n v="1.23"/>
    <n v="15.75"/>
    <s v="30172491"/>
  </r>
  <r>
    <x v="58"/>
    <s v="2021-04-05"/>
    <x v="0"/>
    <x v="0"/>
    <n v="14"/>
    <x v="23"/>
    <n v="1.21"/>
    <n v="15.57"/>
    <s v="03215790"/>
  </r>
  <r>
    <x v="58"/>
    <s v="2021-04-05"/>
    <x v="0"/>
    <x v="0"/>
    <n v="13"/>
    <x v="25"/>
    <n v="1.21"/>
    <n v="15.53"/>
    <s v="59274605"/>
  </r>
  <r>
    <x v="58"/>
    <s v="2021-04-05"/>
    <x v="0"/>
    <x v="0"/>
    <n v="12"/>
    <x v="30"/>
    <n v="1.17"/>
    <n v="14.94"/>
    <s v="03502961"/>
  </r>
  <r>
    <x v="58"/>
    <s v="2021-04-05"/>
    <x v="0"/>
    <x v="0"/>
    <n v="11"/>
    <x v="33"/>
    <n v="1.1599999999999999"/>
    <n v="14.81"/>
    <s v="62307848"/>
  </r>
  <r>
    <x v="58"/>
    <s v="2021-04-05"/>
    <x v="0"/>
    <x v="0"/>
    <n v="10"/>
    <x v="31"/>
    <n v="1.1499999999999999"/>
    <n v="14.67"/>
    <s v="17167412"/>
  </r>
  <r>
    <x v="58"/>
    <s v="2021-04-05"/>
    <x v="0"/>
    <x v="0"/>
    <n v="9"/>
    <x v="27"/>
    <n v="1.1499999999999999"/>
    <n v="14.64"/>
    <s v="00000000"/>
  </r>
  <r>
    <x v="58"/>
    <s v="2021-04-05"/>
    <x v="0"/>
    <x v="0"/>
    <n v="8"/>
    <x v="34"/>
    <n v="1.1000000000000001"/>
    <n v="14.07"/>
    <s v="33603457"/>
  </r>
  <r>
    <x v="58"/>
    <s v="2021-04-05"/>
    <x v="0"/>
    <x v="0"/>
    <n v="7"/>
    <x v="39"/>
    <n v="1.0900000000000001"/>
    <n v="13.89"/>
    <s v="04902979"/>
  </r>
  <r>
    <x v="58"/>
    <s v="2021-04-05"/>
    <x v="0"/>
    <x v="0"/>
    <n v="6"/>
    <x v="37"/>
    <n v="1.05"/>
    <n v="13.3"/>
    <s v="04452473"/>
  </r>
  <r>
    <x v="58"/>
    <s v="2021-04-05"/>
    <x v="0"/>
    <x v="0"/>
    <n v="5"/>
    <x v="35"/>
    <n v="0.99"/>
    <n v="12.51"/>
    <s v="59109165"/>
  </r>
  <r>
    <x v="58"/>
    <s v="2021-04-05"/>
    <x v="0"/>
    <x v="0"/>
    <n v="4"/>
    <x v="38"/>
    <n v="0.92"/>
    <n v="11.55"/>
    <s v="60814191"/>
  </r>
  <r>
    <x v="58"/>
    <s v="2021-04-05"/>
    <x v="0"/>
    <x v="0"/>
    <n v="3"/>
    <x v="47"/>
    <n v="0.9"/>
    <n v="11.32"/>
    <s v="28517628"/>
  </r>
  <r>
    <x v="58"/>
    <s v="2021-04-05"/>
    <x v="0"/>
    <x v="0"/>
    <n v="2"/>
    <x v="22"/>
    <n v="0.89"/>
    <n v="11.22"/>
    <s v="11417016"/>
  </r>
  <r>
    <x v="58"/>
    <s v="2021-04-05"/>
    <x v="0"/>
    <x v="0"/>
    <n v="1"/>
    <x v="40"/>
    <n v="0.84"/>
    <n v="10.61"/>
    <s v="02992446"/>
  </r>
  <r>
    <x v="59"/>
    <s v="2021-04-06"/>
    <x v="0"/>
    <x v="0"/>
    <n v="41"/>
    <x v="3"/>
    <n v="3.3"/>
    <n v="47.58"/>
    <s v="05503849"/>
  </r>
  <r>
    <x v="59"/>
    <s v="2021-04-06"/>
    <x v="0"/>
    <x v="0"/>
    <n v="40"/>
    <x v="2"/>
    <n v="3.07"/>
    <n v="43.77"/>
    <s v="92228410"/>
  </r>
  <r>
    <x v="59"/>
    <s v="2021-04-06"/>
    <x v="0"/>
    <x v="0"/>
    <n v="39"/>
    <x v="1"/>
    <n v="3.01"/>
    <n v="42.79"/>
    <s v="01800019"/>
  </r>
  <r>
    <x v="59"/>
    <s v="2021-04-06"/>
    <x v="0"/>
    <x v="0"/>
    <n v="38"/>
    <x v="0"/>
    <n v="2.89"/>
    <n v="40.68"/>
    <s v="60850229"/>
  </r>
  <r>
    <x v="59"/>
    <s v="2021-04-06"/>
    <x v="0"/>
    <x v="0"/>
    <n v="37"/>
    <x v="4"/>
    <n v="2.69"/>
    <n v="37.54"/>
    <s v="62232889"/>
  </r>
  <r>
    <x v="59"/>
    <s v="2021-04-06"/>
    <x v="0"/>
    <x v="0"/>
    <n v="36"/>
    <x v="5"/>
    <n v="2.65"/>
    <n v="36.79"/>
    <s v="80271455"/>
  </r>
  <r>
    <x v="59"/>
    <s v="2021-04-06"/>
    <x v="0"/>
    <x v="0"/>
    <n v="35"/>
    <x v="7"/>
    <n v="2.42"/>
    <n v="33.15"/>
    <s v="92874270"/>
  </r>
  <r>
    <x v="59"/>
    <s v="2021-04-06"/>
    <x v="0"/>
    <x v="0"/>
    <n v="34"/>
    <x v="6"/>
    <n v="2.41"/>
    <n v="33.14"/>
    <s v="05676026"/>
  </r>
  <r>
    <x v="59"/>
    <s v="2021-04-06"/>
    <x v="0"/>
    <x v="0"/>
    <n v="33"/>
    <x v="8"/>
    <n v="2.2200000000000002"/>
    <n v="30.19"/>
    <s v="59285411"/>
  </r>
  <r>
    <x v="59"/>
    <s v="2021-04-06"/>
    <x v="0"/>
    <x v="0"/>
    <n v="32"/>
    <x v="42"/>
    <n v="2"/>
    <n v="26.81"/>
    <s v="34991938"/>
  </r>
  <r>
    <x v="59"/>
    <s v="2021-04-06"/>
    <x v="0"/>
    <x v="0"/>
    <n v="31"/>
    <x v="10"/>
    <n v="1.94"/>
    <n v="25.95"/>
    <s v="10371492"/>
  </r>
  <r>
    <x v="59"/>
    <s v="2021-04-06"/>
    <x v="0"/>
    <x v="0"/>
    <n v="30"/>
    <x v="9"/>
    <n v="1.88"/>
    <n v="25.09"/>
    <s v="00411939"/>
  </r>
  <r>
    <x v="59"/>
    <s v="2021-04-06"/>
    <x v="0"/>
    <x v="0"/>
    <n v="29"/>
    <x v="13"/>
    <n v="1.87"/>
    <n v="24.83"/>
    <s v="07707650"/>
  </r>
  <r>
    <x v="59"/>
    <s v="2021-04-06"/>
    <x v="0"/>
    <x v="0"/>
    <n v="28"/>
    <x v="15"/>
    <n v="1.72"/>
    <n v="22.64"/>
    <s v="59588111"/>
  </r>
  <r>
    <x v="59"/>
    <s v="2021-04-06"/>
    <x v="0"/>
    <x v="0"/>
    <n v="27"/>
    <x v="12"/>
    <n v="1.67"/>
    <n v="21.95"/>
    <s v="04862600"/>
  </r>
  <r>
    <x v="59"/>
    <s v="2021-04-06"/>
    <x v="0"/>
    <x v="0"/>
    <n v="26"/>
    <x v="11"/>
    <n v="1.67"/>
    <n v="21.92"/>
    <s v="03634220"/>
  </r>
  <r>
    <x v="59"/>
    <s v="2021-04-06"/>
    <x v="0"/>
    <x v="0"/>
    <n v="25"/>
    <x v="16"/>
    <n v="1.6"/>
    <n v="20.95"/>
    <s v="07207996"/>
  </r>
  <r>
    <x v="59"/>
    <s v="2021-04-06"/>
    <x v="0"/>
    <x v="0"/>
    <n v="24"/>
    <x v="14"/>
    <n v="1.59"/>
    <n v="20.76"/>
    <s v="00360305"/>
  </r>
  <r>
    <x v="59"/>
    <s v="2021-04-06"/>
    <x v="0"/>
    <x v="0"/>
    <n v="23"/>
    <x v="20"/>
    <n v="1.51"/>
    <n v="19.670000000000002"/>
    <s v="17192451"/>
  </r>
  <r>
    <x v="59"/>
    <s v="2021-04-06"/>
    <x v="0"/>
    <x v="0"/>
    <n v="22"/>
    <x v="21"/>
    <n v="1.44"/>
    <n v="18.68"/>
    <s v="03017677"/>
  </r>
  <r>
    <x v="59"/>
    <s v="2021-04-06"/>
    <x v="0"/>
    <x v="0"/>
    <n v="21"/>
    <x v="36"/>
    <n v="1.36"/>
    <n v="17.62"/>
    <s v="33136888"/>
  </r>
  <r>
    <x v="59"/>
    <s v="2021-04-06"/>
    <x v="0"/>
    <x v="0"/>
    <n v="20"/>
    <x v="18"/>
    <n v="1.34"/>
    <n v="17.32"/>
    <s v="28127603"/>
  </r>
  <r>
    <x v="59"/>
    <s v="2021-04-06"/>
    <x v="0"/>
    <x v="0"/>
    <n v="19"/>
    <x v="24"/>
    <n v="1.33"/>
    <n v="17.22"/>
    <s v="22639377"/>
  </r>
  <r>
    <x v="59"/>
    <s v="2021-04-06"/>
    <x v="0"/>
    <x v="0"/>
    <n v="18"/>
    <x v="32"/>
    <n v="1.3"/>
    <n v="16.82"/>
    <s v="60701190"/>
  </r>
  <r>
    <x v="59"/>
    <s v="2021-04-06"/>
    <x v="0"/>
    <x v="0"/>
    <n v="17"/>
    <x v="28"/>
    <n v="1.26"/>
    <n v="16.170000000000002"/>
    <s v="90400888"/>
  </r>
  <r>
    <x v="59"/>
    <s v="2021-04-06"/>
    <x v="0"/>
    <x v="0"/>
    <n v="16"/>
    <x v="29"/>
    <n v="1.25"/>
    <n v="16.07"/>
    <s v="60746948"/>
  </r>
  <r>
    <x v="59"/>
    <s v="2021-04-06"/>
    <x v="0"/>
    <x v="0"/>
    <n v="15"/>
    <x v="26"/>
    <n v="1.24"/>
    <n v="15.96"/>
    <s v="30172491"/>
  </r>
  <r>
    <x v="59"/>
    <s v="2021-04-06"/>
    <x v="0"/>
    <x v="0"/>
    <n v="14"/>
    <x v="23"/>
    <n v="1.21"/>
    <n v="15.54"/>
    <s v="03215790"/>
  </r>
  <r>
    <x v="59"/>
    <s v="2021-04-06"/>
    <x v="0"/>
    <x v="0"/>
    <n v="13"/>
    <x v="25"/>
    <n v="1.21"/>
    <n v="15.53"/>
    <s v="59274605"/>
  </r>
  <r>
    <x v="59"/>
    <s v="2021-04-06"/>
    <x v="0"/>
    <x v="0"/>
    <n v="12"/>
    <x v="30"/>
    <n v="1.2"/>
    <n v="15.34"/>
    <s v="03502961"/>
  </r>
  <r>
    <x v="59"/>
    <s v="2021-04-06"/>
    <x v="0"/>
    <x v="0"/>
    <n v="11"/>
    <x v="33"/>
    <n v="1.17"/>
    <n v="14.93"/>
    <s v="62307848"/>
  </r>
  <r>
    <x v="59"/>
    <s v="2021-04-06"/>
    <x v="0"/>
    <x v="0"/>
    <n v="10"/>
    <x v="31"/>
    <n v="1.1599999999999999"/>
    <n v="14.81"/>
    <s v="17167412"/>
  </r>
  <r>
    <x v="59"/>
    <s v="2021-04-06"/>
    <x v="0"/>
    <x v="0"/>
    <n v="9"/>
    <x v="27"/>
    <n v="1.1499999999999999"/>
    <n v="14.66"/>
    <s v="00000000"/>
  </r>
  <r>
    <x v="59"/>
    <s v="2021-04-06"/>
    <x v="0"/>
    <x v="0"/>
    <n v="8"/>
    <x v="34"/>
    <n v="1.1399999999999999"/>
    <n v="14.52"/>
    <s v="33603457"/>
  </r>
  <r>
    <x v="59"/>
    <s v="2021-04-06"/>
    <x v="0"/>
    <x v="0"/>
    <n v="7"/>
    <x v="39"/>
    <n v="1.0900000000000001"/>
    <n v="13.89"/>
    <s v="04902979"/>
  </r>
  <r>
    <x v="59"/>
    <s v="2021-04-06"/>
    <x v="0"/>
    <x v="0"/>
    <n v="6"/>
    <x v="37"/>
    <n v="1.05"/>
    <n v="13.35"/>
    <s v="04452473"/>
  </r>
  <r>
    <x v="59"/>
    <s v="2021-04-06"/>
    <x v="0"/>
    <x v="0"/>
    <n v="5"/>
    <x v="35"/>
    <n v="0.99"/>
    <n v="12.5"/>
    <s v="59109165"/>
  </r>
  <r>
    <x v="59"/>
    <s v="2021-04-06"/>
    <x v="0"/>
    <x v="0"/>
    <n v="4"/>
    <x v="38"/>
    <n v="0.91"/>
    <n v="11.54"/>
    <s v="60814191"/>
  </r>
  <r>
    <x v="59"/>
    <s v="2021-04-06"/>
    <x v="0"/>
    <x v="0"/>
    <n v="3"/>
    <x v="22"/>
    <n v="0.91"/>
    <n v="11.43"/>
    <s v="11417016"/>
  </r>
  <r>
    <x v="59"/>
    <s v="2021-04-06"/>
    <x v="0"/>
    <x v="0"/>
    <n v="2"/>
    <x v="47"/>
    <n v="0.9"/>
    <n v="11.33"/>
    <s v="28517628"/>
  </r>
  <r>
    <x v="59"/>
    <s v="2021-04-06"/>
    <x v="0"/>
    <x v="0"/>
    <n v="1"/>
    <x v="40"/>
    <n v="0.57999999999999996"/>
    <n v="7.21"/>
    <s v="02992446"/>
  </r>
  <r>
    <x v="60"/>
    <s v="2021-04-07"/>
    <x v="0"/>
    <x v="0"/>
    <n v="42"/>
    <x v="3"/>
    <n v="3.3"/>
    <n v="47.6"/>
    <s v="05503849"/>
  </r>
  <r>
    <x v="60"/>
    <s v="2021-04-07"/>
    <x v="0"/>
    <x v="0"/>
    <n v="41"/>
    <x v="2"/>
    <n v="3.08"/>
    <n v="43.95"/>
    <s v="92228410"/>
  </r>
  <r>
    <x v="60"/>
    <s v="2021-04-07"/>
    <x v="0"/>
    <x v="0"/>
    <n v="40"/>
    <x v="1"/>
    <n v="2.97"/>
    <n v="42.05"/>
    <s v="01800019"/>
  </r>
  <r>
    <x v="60"/>
    <s v="2021-04-07"/>
    <x v="0"/>
    <x v="0"/>
    <n v="39"/>
    <x v="0"/>
    <n v="2.76"/>
    <n v="38.630000000000003"/>
    <s v="60850229"/>
  </r>
  <r>
    <x v="60"/>
    <s v="2021-04-07"/>
    <x v="0"/>
    <x v="0"/>
    <n v="38"/>
    <x v="4"/>
    <n v="2.69"/>
    <n v="37.56"/>
    <s v="62232889"/>
  </r>
  <r>
    <x v="60"/>
    <s v="2021-04-07"/>
    <x v="0"/>
    <x v="0"/>
    <n v="37"/>
    <x v="5"/>
    <n v="2.58"/>
    <n v="35.68"/>
    <s v="80271455"/>
  </r>
  <r>
    <x v="60"/>
    <s v="2021-04-07"/>
    <x v="0"/>
    <x v="0"/>
    <n v="36"/>
    <x v="7"/>
    <n v="2.44"/>
    <n v="33.51"/>
    <s v="92874270"/>
  </r>
  <r>
    <x v="60"/>
    <s v="2021-04-07"/>
    <x v="0"/>
    <x v="0"/>
    <n v="35"/>
    <x v="6"/>
    <n v="2.41"/>
    <n v="33.130000000000003"/>
    <s v="05676026"/>
  </r>
  <r>
    <x v="60"/>
    <s v="2021-04-07"/>
    <x v="0"/>
    <x v="0"/>
    <n v="34"/>
    <x v="8"/>
    <n v="2.2200000000000002"/>
    <n v="30.13"/>
    <s v="59285411"/>
  </r>
  <r>
    <x v="60"/>
    <s v="2021-04-07"/>
    <x v="0"/>
    <x v="0"/>
    <n v="33"/>
    <x v="9"/>
    <n v="2.02"/>
    <n v="27.05"/>
    <s v="00411939"/>
  </r>
  <r>
    <x v="60"/>
    <s v="2021-04-07"/>
    <x v="0"/>
    <x v="0"/>
    <n v="32"/>
    <x v="42"/>
    <n v="2"/>
    <n v="26.81"/>
    <s v="34991938"/>
  </r>
  <r>
    <x v="60"/>
    <s v="2021-04-07"/>
    <x v="0"/>
    <x v="0"/>
    <n v="31"/>
    <x v="10"/>
    <n v="1.94"/>
    <n v="25.97"/>
    <s v="10371492"/>
  </r>
  <r>
    <x v="60"/>
    <s v="2021-04-07"/>
    <x v="0"/>
    <x v="0"/>
    <n v="30"/>
    <x v="13"/>
    <n v="1.86"/>
    <n v="24.76"/>
    <s v="07707650"/>
  </r>
  <r>
    <x v="60"/>
    <s v="2021-04-07"/>
    <x v="0"/>
    <x v="0"/>
    <n v="29"/>
    <x v="15"/>
    <n v="1.72"/>
    <n v="22.75"/>
    <s v="59588111"/>
  </r>
  <r>
    <x v="60"/>
    <s v="2021-04-07"/>
    <x v="0"/>
    <x v="0"/>
    <n v="28"/>
    <x v="12"/>
    <n v="1.66"/>
    <n v="21.81"/>
    <s v="04862600"/>
  </r>
  <r>
    <x v="60"/>
    <s v="2021-04-07"/>
    <x v="0"/>
    <x v="0"/>
    <n v="27"/>
    <x v="11"/>
    <n v="1.65"/>
    <n v="21.68"/>
    <s v="03634220"/>
  </r>
  <r>
    <x v="60"/>
    <s v="2021-04-07"/>
    <x v="0"/>
    <x v="0"/>
    <n v="26"/>
    <x v="16"/>
    <n v="1.61"/>
    <n v="21.14"/>
    <s v="07207996"/>
  </r>
  <r>
    <x v="60"/>
    <s v="2021-04-07"/>
    <x v="0"/>
    <x v="0"/>
    <n v="25"/>
    <x v="14"/>
    <n v="1.57"/>
    <n v="20.57"/>
    <s v="00360305"/>
  </r>
  <r>
    <x v="60"/>
    <s v="2021-04-07"/>
    <x v="0"/>
    <x v="0"/>
    <n v="24"/>
    <x v="20"/>
    <n v="1.51"/>
    <n v="19.690000000000001"/>
    <s v="17192451"/>
  </r>
  <r>
    <x v="60"/>
    <s v="2021-04-07"/>
    <x v="0"/>
    <x v="0"/>
    <n v="23"/>
    <x v="21"/>
    <n v="1.45"/>
    <n v="18.88"/>
    <s v="03017677"/>
  </r>
  <r>
    <x v="60"/>
    <s v="2021-04-07"/>
    <x v="0"/>
    <x v="0"/>
    <n v="22"/>
    <x v="36"/>
    <n v="1.39"/>
    <n v="18"/>
    <s v="33136888"/>
  </r>
  <r>
    <x v="60"/>
    <s v="2021-04-07"/>
    <x v="0"/>
    <x v="0"/>
    <n v="21"/>
    <x v="18"/>
    <n v="1.37"/>
    <n v="17.77"/>
    <s v="28127603"/>
  </r>
  <r>
    <x v="60"/>
    <s v="2021-04-07"/>
    <x v="0"/>
    <x v="0"/>
    <n v="20"/>
    <x v="24"/>
    <n v="1.32"/>
    <n v="16.989999999999998"/>
    <s v="22639377"/>
  </r>
  <r>
    <x v="60"/>
    <s v="2021-04-07"/>
    <x v="0"/>
    <x v="0"/>
    <n v="19"/>
    <x v="32"/>
    <n v="1.31"/>
    <n v="16.86"/>
    <s v="60701190"/>
  </r>
  <r>
    <x v="60"/>
    <s v="2021-04-07"/>
    <x v="0"/>
    <x v="0"/>
    <n v="18"/>
    <x v="28"/>
    <n v="1.28"/>
    <n v="16.45"/>
    <s v="90400888"/>
  </r>
  <r>
    <x v="60"/>
    <s v="2021-04-07"/>
    <x v="0"/>
    <x v="0"/>
    <n v="17"/>
    <x v="29"/>
    <n v="1.26"/>
    <n v="16.25"/>
    <s v="60746948"/>
  </r>
  <r>
    <x v="60"/>
    <s v="2021-04-07"/>
    <x v="0"/>
    <x v="0"/>
    <n v="16"/>
    <x v="26"/>
    <n v="1.25"/>
    <n v="16.12"/>
    <s v="30172491"/>
  </r>
  <r>
    <x v="60"/>
    <s v="2021-04-07"/>
    <x v="0"/>
    <x v="0"/>
    <n v="15"/>
    <x v="25"/>
    <n v="1.23"/>
    <n v="15.79"/>
    <s v="59274605"/>
  </r>
  <r>
    <x v="60"/>
    <s v="2021-04-07"/>
    <x v="0"/>
    <x v="0"/>
    <n v="14"/>
    <x v="23"/>
    <n v="1.22"/>
    <n v="15.59"/>
    <s v="03215790"/>
  </r>
  <r>
    <x v="60"/>
    <s v="2021-04-07"/>
    <x v="0"/>
    <x v="0"/>
    <n v="13"/>
    <x v="30"/>
    <n v="1.18"/>
    <n v="15.16"/>
    <s v="03502961"/>
  </r>
  <r>
    <x v="60"/>
    <s v="2021-04-07"/>
    <x v="0"/>
    <x v="0"/>
    <n v="12"/>
    <x v="33"/>
    <n v="1.17"/>
    <n v="14.94"/>
    <s v="62307848"/>
  </r>
  <r>
    <x v="60"/>
    <s v="2021-04-07"/>
    <x v="0"/>
    <x v="0"/>
    <n v="11"/>
    <x v="27"/>
    <n v="1.17"/>
    <n v="14.92"/>
    <s v="00000000"/>
  </r>
  <r>
    <x v="60"/>
    <s v="2021-04-07"/>
    <x v="0"/>
    <x v="0"/>
    <n v="10"/>
    <x v="34"/>
    <n v="1.1499999999999999"/>
    <n v="14.75"/>
    <s v="33603457"/>
  </r>
  <r>
    <x v="60"/>
    <s v="2021-04-07"/>
    <x v="0"/>
    <x v="0"/>
    <n v="9"/>
    <x v="31"/>
    <n v="1.1499999999999999"/>
    <n v="14.72"/>
    <s v="17167412"/>
  </r>
  <r>
    <x v="60"/>
    <s v="2021-04-07"/>
    <x v="0"/>
    <x v="0"/>
    <n v="8"/>
    <x v="39"/>
    <n v="1.1399999999999999"/>
    <n v="14.58"/>
    <s v="04902979"/>
  </r>
  <r>
    <x v="60"/>
    <s v="2021-04-07"/>
    <x v="0"/>
    <x v="0"/>
    <n v="7"/>
    <x v="37"/>
    <n v="1.06"/>
    <n v="13.43"/>
    <s v="04452473"/>
  </r>
  <r>
    <x v="60"/>
    <s v="2021-04-07"/>
    <x v="0"/>
    <x v="0"/>
    <n v="6"/>
    <x v="44"/>
    <n v="1.01"/>
    <n v="12.78"/>
    <s v="58017179"/>
  </r>
  <r>
    <x v="60"/>
    <s v="2021-04-07"/>
    <x v="0"/>
    <x v="0"/>
    <n v="5"/>
    <x v="35"/>
    <n v="0.99"/>
    <n v="12.54"/>
    <s v="59109165"/>
  </r>
  <r>
    <x v="60"/>
    <s v="2021-04-07"/>
    <x v="0"/>
    <x v="0"/>
    <n v="4"/>
    <x v="22"/>
    <n v="0.94"/>
    <n v="11.89"/>
    <s v="11417016"/>
  </r>
  <r>
    <x v="60"/>
    <s v="2021-04-07"/>
    <x v="0"/>
    <x v="0"/>
    <n v="3"/>
    <x v="38"/>
    <n v="0.92"/>
    <n v="11.55"/>
    <s v="60814191"/>
  </r>
  <r>
    <x v="60"/>
    <s v="2021-04-07"/>
    <x v="0"/>
    <x v="0"/>
    <n v="2"/>
    <x v="47"/>
    <n v="0.9"/>
    <n v="11.33"/>
    <s v="28517628"/>
  </r>
  <r>
    <x v="60"/>
    <s v="2021-04-07"/>
    <x v="0"/>
    <x v="0"/>
    <n v="1"/>
    <x v="40"/>
    <n v="0.82"/>
    <n v="10.28"/>
    <s v="02992446"/>
  </r>
  <r>
    <x v="61"/>
    <s v="2021-04-08"/>
    <x v="0"/>
    <x v="0"/>
    <n v="43"/>
    <x v="3"/>
    <n v="3.31"/>
    <n v="47.81"/>
    <s v="05503849"/>
  </r>
  <r>
    <x v="61"/>
    <s v="2021-04-08"/>
    <x v="0"/>
    <x v="0"/>
    <n v="42"/>
    <x v="2"/>
    <n v="3.13"/>
    <n v="44.68"/>
    <s v="92228410"/>
  </r>
  <r>
    <x v="61"/>
    <s v="2021-04-08"/>
    <x v="0"/>
    <x v="0"/>
    <n v="41"/>
    <x v="1"/>
    <n v="3.02"/>
    <n v="42.95"/>
    <s v="01800019"/>
  </r>
  <r>
    <x v="61"/>
    <s v="2021-04-08"/>
    <x v="0"/>
    <x v="0"/>
    <n v="40"/>
    <x v="0"/>
    <n v="3"/>
    <n v="42.59"/>
    <s v="60850229"/>
  </r>
  <r>
    <x v="61"/>
    <s v="2021-04-08"/>
    <x v="0"/>
    <x v="0"/>
    <n v="39"/>
    <x v="4"/>
    <n v="2.7"/>
    <n v="37.590000000000003"/>
    <s v="62232889"/>
  </r>
  <r>
    <x v="61"/>
    <s v="2021-04-08"/>
    <x v="0"/>
    <x v="0"/>
    <n v="38"/>
    <x v="5"/>
    <n v="2.63"/>
    <n v="36.61"/>
    <s v="80271455"/>
  </r>
  <r>
    <x v="61"/>
    <s v="2021-04-08"/>
    <x v="0"/>
    <x v="0"/>
    <n v="37"/>
    <x v="7"/>
    <n v="2.4500000000000002"/>
    <n v="33.71"/>
    <s v="92874270"/>
  </r>
  <r>
    <x v="61"/>
    <s v="2021-04-08"/>
    <x v="0"/>
    <x v="0"/>
    <n v="36"/>
    <x v="6"/>
    <n v="2.41"/>
    <n v="33.119999999999997"/>
    <s v="05676026"/>
  </r>
  <r>
    <x v="61"/>
    <s v="2021-04-08"/>
    <x v="0"/>
    <x v="0"/>
    <n v="35"/>
    <x v="8"/>
    <n v="2.2200000000000002"/>
    <n v="30.16"/>
    <s v="59285411"/>
  </r>
  <r>
    <x v="61"/>
    <s v="2021-04-08"/>
    <x v="0"/>
    <x v="0"/>
    <n v="34"/>
    <x v="9"/>
    <n v="2.11"/>
    <n v="28.43"/>
    <s v="00411939"/>
  </r>
  <r>
    <x v="61"/>
    <s v="2021-04-08"/>
    <x v="0"/>
    <x v="0"/>
    <n v="33"/>
    <x v="42"/>
    <n v="2"/>
    <n v="26.81"/>
    <s v="34991938"/>
  </r>
  <r>
    <x v="61"/>
    <s v="2021-04-08"/>
    <x v="0"/>
    <x v="0"/>
    <n v="32"/>
    <x v="10"/>
    <n v="1.94"/>
    <n v="25.97"/>
    <s v="10371492"/>
  </r>
  <r>
    <x v="61"/>
    <s v="2021-04-08"/>
    <x v="0"/>
    <x v="0"/>
    <n v="31"/>
    <x v="13"/>
    <n v="1.85"/>
    <n v="24.67"/>
    <s v="07707650"/>
  </r>
  <r>
    <x v="61"/>
    <s v="2021-04-08"/>
    <x v="0"/>
    <x v="0"/>
    <n v="30"/>
    <x v="15"/>
    <n v="1.73"/>
    <n v="22.87"/>
    <s v="59588111"/>
  </r>
  <r>
    <x v="61"/>
    <s v="2021-04-08"/>
    <x v="0"/>
    <x v="0"/>
    <n v="29"/>
    <x v="11"/>
    <n v="1.67"/>
    <n v="21.93"/>
    <s v="03634220"/>
  </r>
  <r>
    <x v="61"/>
    <s v="2021-04-08"/>
    <x v="0"/>
    <x v="0"/>
    <n v="28"/>
    <x v="12"/>
    <n v="1.67"/>
    <n v="21.92"/>
    <s v="04862600"/>
  </r>
  <r>
    <x v="61"/>
    <s v="2021-04-08"/>
    <x v="0"/>
    <x v="0"/>
    <n v="27"/>
    <x v="14"/>
    <n v="1.63"/>
    <n v="21.36"/>
    <s v="00360305"/>
  </r>
  <r>
    <x v="61"/>
    <s v="2021-04-08"/>
    <x v="0"/>
    <x v="0"/>
    <n v="26"/>
    <x v="16"/>
    <n v="1.62"/>
    <n v="21.24"/>
    <s v="07207996"/>
  </r>
  <r>
    <x v="61"/>
    <s v="2021-04-08"/>
    <x v="0"/>
    <x v="0"/>
    <n v="25"/>
    <x v="20"/>
    <n v="1.52"/>
    <n v="19.78"/>
    <s v="17192451"/>
  </r>
  <r>
    <x v="61"/>
    <s v="2021-04-08"/>
    <x v="0"/>
    <x v="0"/>
    <n v="24"/>
    <x v="21"/>
    <n v="1.47"/>
    <n v="19.13"/>
    <s v="03017677"/>
  </r>
  <r>
    <x v="61"/>
    <s v="2021-04-08"/>
    <x v="0"/>
    <x v="0"/>
    <n v="23"/>
    <x v="18"/>
    <n v="1.37"/>
    <n v="17.690000000000001"/>
    <s v="28127603"/>
  </r>
  <r>
    <x v="61"/>
    <s v="2021-04-08"/>
    <x v="0"/>
    <x v="0"/>
    <n v="22"/>
    <x v="32"/>
    <n v="1.34"/>
    <n v="17.32"/>
    <s v="60701190"/>
  </r>
  <r>
    <x v="61"/>
    <s v="2021-04-08"/>
    <x v="0"/>
    <x v="0"/>
    <n v="21"/>
    <x v="36"/>
    <n v="1.32"/>
    <n v="17.03"/>
    <s v="33136888"/>
  </r>
  <r>
    <x v="61"/>
    <s v="2021-04-08"/>
    <x v="0"/>
    <x v="0"/>
    <n v="20"/>
    <x v="24"/>
    <n v="1.3"/>
    <n v="16.829999999999998"/>
    <s v="22639377"/>
  </r>
  <r>
    <x v="61"/>
    <s v="2021-04-08"/>
    <x v="0"/>
    <x v="0"/>
    <n v="19"/>
    <x v="28"/>
    <n v="1.27"/>
    <n v="16.38"/>
    <s v="90400888"/>
  </r>
  <r>
    <x v="61"/>
    <s v="2021-04-08"/>
    <x v="0"/>
    <x v="0"/>
    <n v="18"/>
    <x v="29"/>
    <n v="1.27"/>
    <n v="16.3"/>
    <s v="60746948"/>
  </r>
  <r>
    <x v="61"/>
    <s v="2021-04-08"/>
    <x v="0"/>
    <x v="0"/>
    <n v="17"/>
    <x v="23"/>
    <n v="1.26"/>
    <n v="16.23"/>
    <s v="03215790"/>
  </r>
  <r>
    <x v="61"/>
    <s v="2021-04-08"/>
    <x v="0"/>
    <x v="0"/>
    <n v="16"/>
    <x v="26"/>
    <n v="1.26"/>
    <n v="16.190000000000001"/>
    <s v="30172491"/>
  </r>
  <r>
    <x v="61"/>
    <s v="2021-04-08"/>
    <x v="0"/>
    <x v="0"/>
    <n v="15"/>
    <x v="25"/>
    <n v="1.26"/>
    <n v="16.149999999999999"/>
    <s v="59274605"/>
  </r>
  <r>
    <x v="61"/>
    <s v="2021-04-08"/>
    <x v="0"/>
    <x v="0"/>
    <n v="14"/>
    <x v="45"/>
    <n v="1.22"/>
    <n v="15.7"/>
    <s v="33040601"/>
  </r>
  <r>
    <x v="61"/>
    <s v="2021-04-08"/>
    <x v="0"/>
    <x v="0"/>
    <n v="13"/>
    <x v="31"/>
    <n v="1.22"/>
    <n v="15.7"/>
    <s v="17167412"/>
  </r>
  <r>
    <x v="61"/>
    <s v="2021-04-08"/>
    <x v="0"/>
    <x v="0"/>
    <n v="12"/>
    <x v="30"/>
    <n v="1.2"/>
    <n v="15.36"/>
    <s v="03502961"/>
  </r>
  <r>
    <x v="61"/>
    <s v="2021-04-08"/>
    <x v="0"/>
    <x v="0"/>
    <n v="11"/>
    <x v="27"/>
    <n v="1.19"/>
    <n v="15.2"/>
    <s v="00000000"/>
  </r>
  <r>
    <x v="61"/>
    <s v="2021-04-08"/>
    <x v="0"/>
    <x v="0"/>
    <n v="10"/>
    <x v="33"/>
    <n v="1.17"/>
    <n v="14.95"/>
    <s v="62307848"/>
  </r>
  <r>
    <x v="61"/>
    <s v="2021-04-08"/>
    <x v="0"/>
    <x v="0"/>
    <n v="9"/>
    <x v="34"/>
    <n v="1.1499999999999999"/>
    <n v="14.66"/>
    <s v="33603457"/>
  </r>
  <r>
    <x v="61"/>
    <s v="2021-04-08"/>
    <x v="0"/>
    <x v="0"/>
    <n v="8"/>
    <x v="39"/>
    <n v="1.1399999999999999"/>
    <n v="14.58"/>
    <s v="04902979"/>
  </r>
  <r>
    <x v="61"/>
    <s v="2021-04-08"/>
    <x v="0"/>
    <x v="0"/>
    <n v="7"/>
    <x v="37"/>
    <n v="1.07"/>
    <n v="13.56"/>
    <s v="04452473"/>
  </r>
  <r>
    <x v="61"/>
    <s v="2021-04-08"/>
    <x v="0"/>
    <x v="0"/>
    <n v="6"/>
    <x v="44"/>
    <n v="1.01"/>
    <n v="12.78"/>
    <s v="58017179"/>
  </r>
  <r>
    <x v="61"/>
    <s v="2021-04-08"/>
    <x v="0"/>
    <x v="0"/>
    <n v="5"/>
    <x v="47"/>
    <n v="0.99"/>
    <n v="12.52"/>
    <s v="28517628"/>
  </r>
  <r>
    <x v="61"/>
    <s v="2021-04-08"/>
    <x v="0"/>
    <x v="0"/>
    <n v="4"/>
    <x v="35"/>
    <n v="0.98"/>
    <n v="12.39"/>
    <s v="59109165"/>
  </r>
  <r>
    <x v="61"/>
    <s v="2021-04-08"/>
    <x v="0"/>
    <x v="0"/>
    <n v="3"/>
    <x v="38"/>
    <n v="0.92"/>
    <n v="11.64"/>
    <s v="60814191"/>
  </r>
  <r>
    <x v="61"/>
    <s v="2021-04-08"/>
    <x v="0"/>
    <x v="0"/>
    <n v="2"/>
    <x v="22"/>
    <n v="0.92"/>
    <n v="11.63"/>
    <s v="11417016"/>
  </r>
  <r>
    <x v="61"/>
    <s v="2021-04-08"/>
    <x v="0"/>
    <x v="0"/>
    <n v="1"/>
    <x v="40"/>
    <n v="0.82"/>
    <n v="10.3"/>
    <s v="02992446"/>
  </r>
  <r>
    <x v="62"/>
    <s v="2021-04-09"/>
    <x v="0"/>
    <x v="0"/>
    <n v="42"/>
    <x v="3"/>
    <n v="3.33"/>
    <n v="48.22"/>
    <s v="05503849"/>
  </r>
  <r>
    <x v="62"/>
    <s v="2021-04-09"/>
    <x v="0"/>
    <x v="0"/>
    <n v="41"/>
    <x v="2"/>
    <n v="3.13"/>
    <n v="44.82"/>
    <s v="92228410"/>
  </r>
  <r>
    <x v="62"/>
    <s v="2021-04-09"/>
    <x v="0"/>
    <x v="0"/>
    <n v="40"/>
    <x v="1"/>
    <n v="3.1"/>
    <n v="44.29"/>
    <s v="01800019"/>
  </r>
  <r>
    <x v="62"/>
    <s v="2021-04-09"/>
    <x v="0"/>
    <x v="0"/>
    <n v="39"/>
    <x v="0"/>
    <n v="3.07"/>
    <n v="43.69"/>
    <s v="60850229"/>
  </r>
  <r>
    <x v="62"/>
    <s v="2021-04-09"/>
    <x v="0"/>
    <x v="0"/>
    <n v="38"/>
    <x v="4"/>
    <n v="2.7"/>
    <n v="37.69"/>
    <s v="62232889"/>
  </r>
  <r>
    <x v="62"/>
    <s v="2021-04-09"/>
    <x v="0"/>
    <x v="0"/>
    <n v="37"/>
    <x v="5"/>
    <n v="2.62"/>
    <n v="36.42"/>
    <s v="80271455"/>
  </r>
  <r>
    <x v="62"/>
    <s v="2021-04-09"/>
    <x v="0"/>
    <x v="0"/>
    <n v="36"/>
    <x v="7"/>
    <n v="2.4700000000000002"/>
    <n v="34.020000000000003"/>
    <s v="92874270"/>
  </r>
  <r>
    <x v="62"/>
    <s v="2021-04-09"/>
    <x v="0"/>
    <x v="0"/>
    <n v="35"/>
    <x v="6"/>
    <n v="2.41"/>
    <n v="33.07"/>
    <s v="05676026"/>
  </r>
  <r>
    <x v="62"/>
    <s v="2021-04-09"/>
    <x v="0"/>
    <x v="0"/>
    <n v="34"/>
    <x v="8"/>
    <n v="2.2200000000000002"/>
    <n v="30.13"/>
    <s v="59285411"/>
  </r>
  <r>
    <x v="62"/>
    <s v="2021-04-09"/>
    <x v="0"/>
    <x v="0"/>
    <n v="33"/>
    <x v="9"/>
    <n v="2.19"/>
    <n v="29.67"/>
    <s v="00411939"/>
  </r>
  <r>
    <x v="62"/>
    <s v="2021-04-09"/>
    <x v="0"/>
    <x v="0"/>
    <n v="32"/>
    <x v="10"/>
    <n v="1.95"/>
    <n v="26.06"/>
    <s v="10371492"/>
  </r>
  <r>
    <x v="62"/>
    <s v="2021-04-09"/>
    <x v="0"/>
    <x v="0"/>
    <n v="31"/>
    <x v="13"/>
    <n v="1.85"/>
    <n v="24.53"/>
    <s v="07707650"/>
  </r>
  <r>
    <x v="62"/>
    <s v="2021-04-09"/>
    <x v="0"/>
    <x v="0"/>
    <n v="30"/>
    <x v="15"/>
    <n v="1.74"/>
    <n v="22.96"/>
    <s v="59588111"/>
  </r>
  <r>
    <x v="62"/>
    <s v="2021-04-09"/>
    <x v="0"/>
    <x v="0"/>
    <n v="29"/>
    <x v="12"/>
    <n v="1.68"/>
    <n v="22.06"/>
    <s v="04862600"/>
  </r>
  <r>
    <x v="62"/>
    <s v="2021-04-09"/>
    <x v="0"/>
    <x v="0"/>
    <n v="28"/>
    <x v="11"/>
    <n v="1.67"/>
    <n v="22"/>
    <s v="03634220"/>
  </r>
  <r>
    <x v="62"/>
    <s v="2021-04-09"/>
    <x v="0"/>
    <x v="0"/>
    <n v="27"/>
    <x v="16"/>
    <n v="1.63"/>
    <n v="21.34"/>
    <s v="07207996"/>
  </r>
  <r>
    <x v="62"/>
    <s v="2021-04-09"/>
    <x v="0"/>
    <x v="0"/>
    <n v="26"/>
    <x v="14"/>
    <n v="1.59"/>
    <n v="20.9"/>
    <s v="00360305"/>
  </r>
  <r>
    <x v="62"/>
    <s v="2021-04-09"/>
    <x v="0"/>
    <x v="0"/>
    <n v="25"/>
    <x v="20"/>
    <n v="1.52"/>
    <n v="19.82"/>
    <s v="17192451"/>
  </r>
  <r>
    <x v="62"/>
    <s v="2021-04-09"/>
    <x v="0"/>
    <x v="0"/>
    <n v="24"/>
    <x v="21"/>
    <n v="1.47"/>
    <n v="19.16"/>
    <s v="03017677"/>
  </r>
  <r>
    <x v="62"/>
    <s v="2021-04-09"/>
    <x v="0"/>
    <x v="0"/>
    <n v="23"/>
    <x v="32"/>
    <n v="1.35"/>
    <n v="17.46"/>
    <s v="60701190"/>
  </r>
  <r>
    <x v="62"/>
    <s v="2021-04-09"/>
    <x v="0"/>
    <x v="0"/>
    <n v="22"/>
    <x v="18"/>
    <n v="1.35"/>
    <n v="17.440000000000001"/>
    <s v="28127603"/>
  </r>
  <r>
    <x v="62"/>
    <s v="2021-04-09"/>
    <x v="0"/>
    <x v="0"/>
    <n v="21"/>
    <x v="36"/>
    <n v="1.32"/>
    <n v="17.03"/>
    <s v="33136888"/>
  </r>
  <r>
    <x v="62"/>
    <s v="2021-04-09"/>
    <x v="0"/>
    <x v="0"/>
    <n v="20"/>
    <x v="24"/>
    <n v="1.29"/>
    <n v="16.690000000000001"/>
    <s v="22639377"/>
  </r>
  <r>
    <x v="62"/>
    <s v="2021-04-09"/>
    <x v="0"/>
    <x v="0"/>
    <n v="19"/>
    <x v="29"/>
    <n v="1.28"/>
    <n v="16.54"/>
    <s v="60746948"/>
  </r>
  <r>
    <x v="62"/>
    <s v="2021-04-09"/>
    <x v="0"/>
    <x v="0"/>
    <n v="18"/>
    <x v="28"/>
    <n v="1.28"/>
    <n v="16.5"/>
    <s v="90400888"/>
  </r>
  <r>
    <x v="62"/>
    <s v="2021-04-09"/>
    <x v="0"/>
    <x v="0"/>
    <n v="17"/>
    <x v="26"/>
    <n v="1.27"/>
    <n v="16.36"/>
    <s v="30172491"/>
  </r>
  <r>
    <x v="62"/>
    <s v="2021-04-09"/>
    <x v="0"/>
    <x v="0"/>
    <n v="16"/>
    <x v="25"/>
    <n v="1.27"/>
    <n v="16.29"/>
    <s v="59274605"/>
  </r>
  <r>
    <x v="62"/>
    <s v="2021-04-09"/>
    <x v="0"/>
    <x v="0"/>
    <n v="15"/>
    <x v="23"/>
    <n v="1.25"/>
    <n v="16.100000000000001"/>
    <s v="03215790"/>
  </r>
  <r>
    <x v="62"/>
    <s v="2021-04-09"/>
    <x v="0"/>
    <x v="0"/>
    <n v="14"/>
    <x v="31"/>
    <n v="1.24"/>
    <n v="15.94"/>
    <s v="17167412"/>
  </r>
  <r>
    <x v="62"/>
    <s v="2021-04-09"/>
    <x v="0"/>
    <x v="0"/>
    <n v="13"/>
    <x v="45"/>
    <n v="1.22"/>
    <n v="15.7"/>
    <s v="33040601"/>
  </r>
  <r>
    <x v="62"/>
    <s v="2021-04-09"/>
    <x v="0"/>
    <x v="0"/>
    <n v="12"/>
    <x v="27"/>
    <n v="1.2"/>
    <n v="15.35"/>
    <s v="00000000"/>
  </r>
  <r>
    <x v="62"/>
    <s v="2021-04-09"/>
    <x v="0"/>
    <x v="0"/>
    <n v="11"/>
    <x v="30"/>
    <n v="1.19"/>
    <n v="15.22"/>
    <s v="03502961"/>
  </r>
  <r>
    <x v="62"/>
    <s v="2021-04-09"/>
    <x v="0"/>
    <x v="0"/>
    <n v="10"/>
    <x v="34"/>
    <n v="1.17"/>
    <n v="14.97"/>
    <s v="33603457"/>
  </r>
  <r>
    <x v="62"/>
    <s v="2021-04-09"/>
    <x v="0"/>
    <x v="0"/>
    <n v="9"/>
    <x v="33"/>
    <n v="1.17"/>
    <n v="14.95"/>
    <s v="62307848"/>
  </r>
  <r>
    <x v="62"/>
    <s v="2021-04-09"/>
    <x v="0"/>
    <x v="0"/>
    <n v="8"/>
    <x v="39"/>
    <n v="1.1399999999999999"/>
    <n v="14.58"/>
    <s v="04902979"/>
  </r>
  <r>
    <x v="62"/>
    <s v="2021-04-09"/>
    <x v="0"/>
    <x v="0"/>
    <n v="7"/>
    <x v="37"/>
    <n v="1.05"/>
    <n v="13.41"/>
    <s v="04452473"/>
  </r>
  <r>
    <x v="62"/>
    <s v="2021-04-09"/>
    <x v="0"/>
    <x v="0"/>
    <n v="6"/>
    <x v="44"/>
    <n v="1.01"/>
    <n v="12.78"/>
    <s v="58017179"/>
  </r>
  <r>
    <x v="62"/>
    <s v="2021-04-09"/>
    <x v="0"/>
    <x v="0"/>
    <n v="5"/>
    <x v="47"/>
    <n v="0.99"/>
    <n v="12.52"/>
    <s v="28517628"/>
  </r>
  <r>
    <x v="62"/>
    <s v="2021-04-09"/>
    <x v="0"/>
    <x v="0"/>
    <n v="4"/>
    <x v="35"/>
    <n v="0.98"/>
    <n v="12.36"/>
    <s v="59109165"/>
  </r>
  <r>
    <x v="62"/>
    <s v="2021-04-09"/>
    <x v="0"/>
    <x v="0"/>
    <n v="3"/>
    <x v="22"/>
    <n v="0.92"/>
    <n v="11.6"/>
    <s v="11417016"/>
  </r>
  <r>
    <x v="62"/>
    <s v="2021-04-09"/>
    <x v="0"/>
    <x v="0"/>
    <n v="2"/>
    <x v="38"/>
    <n v="0.88"/>
    <n v="11.03"/>
    <s v="60814191"/>
  </r>
  <r>
    <x v="62"/>
    <s v="2021-04-09"/>
    <x v="0"/>
    <x v="0"/>
    <n v="1"/>
    <x v="40"/>
    <n v="0.82"/>
    <n v="10.3"/>
    <s v="02992446"/>
  </r>
  <r>
    <x v="63"/>
    <s v="2021-04-12"/>
    <x v="0"/>
    <x v="0"/>
    <n v="42"/>
    <x v="3"/>
    <n v="3.33"/>
    <n v="48.19"/>
    <s v="05503849"/>
  </r>
  <r>
    <x v="63"/>
    <s v="2021-04-12"/>
    <x v="0"/>
    <x v="0"/>
    <n v="41"/>
    <x v="2"/>
    <n v="3.14"/>
    <n v="44.85"/>
    <s v="92228410"/>
  </r>
  <r>
    <x v="63"/>
    <s v="2021-04-12"/>
    <x v="0"/>
    <x v="0"/>
    <n v="40"/>
    <x v="0"/>
    <n v="3.11"/>
    <n v="44.33"/>
    <s v="60850229"/>
  </r>
  <r>
    <x v="63"/>
    <s v="2021-04-12"/>
    <x v="0"/>
    <x v="0"/>
    <n v="39"/>
    <x v="1"/>
    <n v="3.04"/>
    <n v="43.32"/>
    <s v="01800019"/>
  </r>
  <r>
    <x v="63"/>
    <s v="2021-04-12"/>
    <x v="0"/>
    <x v="0"/>
    <n v="38"/>
    <x v="4"/>
    <n v="2.7"/>
    <n v="37.659999999999997"/>
    <s v="62232889"/>
  </r>
  <r>
    <x v="63"/>
    <s v="2021-04-12"/>
    <x v="0"/>
    <x v="0"/>
    <n v="37"/>
    <x v="5"/>
    <n v="2.57"/>
    <n v="35.57"/>
    <s v="80271455"/>
  </r>
  <r>
    <x v="63"/>
    <s v="2021-04-12"/>
    <x v="0"/>
    <x v="0"/>
    <n v="36"/>
    <x v="7"/>
    <n v="2.48"/>
    <n v="34.21"/>
    <s v="92874270"/>
  </r>
  <r>
    <x v="63"/>
    <s v="2021-04-12"/>
    <x v="0"/>
    <x v="0"/>
    <n v="35"/>
    <x v="6"/>
    <n v="2.41"/>
    <n v="33.020000000000003"/>
    <s v="05676026"/>
  </r>
  <r>
    <x v="63"/>
    <s v="2021-04-12"/>
    <x v="0"/>
    <x v="0"/>
    <n v="34"/>
    <x v="8"/>
    <n v="2.2200000000000002"/>
    <n v="30.14"/>
    <s v="59285411"/>
  </r>
  <r>
    <x v="63"/>
    <s v="2021-04-12"/>
    <x v="0"/>
    <x v="0"/>
    <n v="33"/>
    <x v="9"/>
    <n v="2.16"/>
    <n v="29.22"/>
    <s v="00411939"/>
  </r>
  <r>
    <x v="63"/>
    <s v="2021-04-12"/>
    <x v="0"/>
    <x v="0"/>
    <n v="32"/>
    <x v="10"/>
    <n v="1.96"/>
    <n v="26.26"/>
    <s v="10371492"/>
  </r>
  <r>
    <x v="63"/>
    <s v="2021-04-12"/>
    <x v="0"/>
    <x v="0"/>
    <n v="31"/>
    <x v="13"/>
    <n v="1.83"/>
    <n v="24.35"/>
    <s v="07707650"/>
  </r>
  <r>
    <x v="63"/>
    <s v="2021-04-12"/>
    <x v="0"/>
    <x v="0"/>
    <n v="30"/>
    <x v="15"/>
    <n v="1.75"/>
    <n v="23.08"/>
    <s v="59588111"/>
  </r>
  <r>
    <x v="63"/>
    <s v="2021-04-12"/>
    <x v="0"/>
    <x v="0"/>
    <n v="29"/>
    <x v="11"/>
    <n v="1.71"/>
    <n v="22.56"/>
    <s v="03634220"/>
  </r>
  <r>
    <x v="63"/>
    <s v="2021-04-12"/>
    <x v="0"/>
    <x v="0"/>
    <n v="28"/>
    <x v="12"/>
    <n v="1.67"/>
    <n v="21.98"/>
    <s v="04862600"/>
  </r>
  <r>
    <x v="63"/>
    <s v="2021-04-12"/>
    <x v="0"/>
    <x v="0"/>
    <n v="27"/>
    <x v="16"/>
    <n v="1.63"/>
    <n v="21.37"/>
    <s v="07207996"/>
  </r>
  <r>
    <x v="63"/>
    <s v="2021-04-12"/>
    <x v="0"/>
    <x v="0"/>
    <n v="26"/>
    <x v="14"/>
    <n v="1.6"/>
    <n v="21"/>
    <s v="00360305"/>
  </r>
  <r>
    <x v="63"/>
    <s v="2021-04-12"/>
    <x v="0"/>
    <x v="0"/>
    <n v="25"/>
    <x v="20"/>
    <n v="1.52"/>
    <n v="19.850000000000001"/>
    <s v="17192451"/>
  </r>
  <r>
    <x v="63"/>
    <s v="2021-04-12"/>
    <x v="0"/>
    <x v="0"/>
    <n v="24"/>
    <x v="21"/>
    <n v="1.48"/>
    <n v="19.260000000000002"/>
    <s v="03017677"/>
  </r>
  <r>
    <x v="63"/>
    <s v="2021-04-12"/>
    <x v="0"/>
    <x v="0"/>
    <n v="23"/>
    <x v="32"/>
    <n v="1.35"/>
    <n v="17.5"/>
    <s v="60701190"/>
  </r>
  <r>
    <x v="63"/>
    <s v="2021-04-12"/>
    <x v="0"/>
    <x v="0"/>
    <n v="22"/>
    <x v="18"/>
    <n v="1.35"/>
    <n v="17.440000000000001"/>
    <s v="28127603"/>
  </r>
  <r>
    <x v="63"/>
    <s v="2021-04-12"/>
    <x v="0"/>
    <x v="0"/>
    <n v="21"/>
    <x v="36"/>
    <n v="1.32"/>
    <n v="17.03"/>
    <s v="33136888"/>
  </r>
  <r>
    <x v="63"/>
    <s v="2021-04-12"/>
    <x v="0"/>
    <x v="0"/>
    <n v="20"/>
    <x v="24"/>
    <n v="1.29"/>
    <n v="16.63"/>
    <s v="22639377"/>
  </r>
  <r>
    <x v="63"/>
    <s v="2021-04-12"/>
    <x v="0"/>
    <x v="0"/>
    <n v="19"/>
    <x v="28"/>
    <n v="1.29"/>
    <n v="16.63"/>
    <s v="90400888"/>
  </r>
  <r>
    <x v="63"/>
    <s v="2021-04-12"/>
    <x v="0"/>
    <x v="0"/>
    <n v="18"/>
    <x v="26"/>
    <n v="1.29"/>
    <n v="16.579999999999998"/>
    <s v="30172491"/>
  </r>
  <r>
    <x v="63"/>
    <s v="2021-04-12"/>
    <x v="0"/>
    <x v="0"/>
    <n v="17"/>
    <x v="29"/>
    <n v="1.29"/>
    <n v="16.579999999999998"/>
    <s v="60746948"/>
  </r>
  <r>
    <x v="63"/>
    <s v="2021-04-12"/>
    <x v="0"/>
    <x v="0"/>
    <n v="16"/>
    <x v="23"/>
    <n v="1.27"/>
    <n v="16.309999999999999"/>
    <s v="03215790"/>
  </r>
  <r>
    <x v="63"/>
    <s v="2021-04-12"/>
    <x v="0"/>
    <x v="0"/>
    <n v="15"/>
    <x v="25"/>
    <n v="1.26"/>
    <n v="16.239999999999998"/>
    <s v="59274605"/>
  </r>
  <r>
    <x v="63"/>
    <s v="2021-04-12"/>
    <x v="0"/>
    <x v="0"/>
    <n v="14"/>
    <x v="31"/>
    <n v="1.24"/>
    <n v="15.94"/>
    <s v="17167412"/>
  </r>
  <r>
    <x v="63"/>
    <s v="2021-04-12"/>
    <x v="0"/>
    <x v="0"/>
    <n v="13"/>
    <x v="30"/>
    <n v="1.24"/>
    <n v="15.9"/>
    <s v="03502961"/>
  </r>
  <r>
    <x v="63"/>
    <s v="2021-04-12"/>
    <x v="0"/>
    <x v="0"/>
    <n v="12"/>
    <x v="45"/>
    <n v="1.22"/>
    <n v="15.7"/>
    <s v="33040601"/>
  </r>
  <r>
    <x v="63"/>
    <s v="2021-04-12"/>
    <x v="0"/>
    <x v="0"/>
    <n v="11"/>
    <x v="27"/>
    <n v="1.2"/>
    <n v="15.45"/>
    <s v="00000000"/>
  </r>
  <r>
    <x v="63"/>
    <s v="2021-04-12"/>
    <x v="0"/>
    <x v="0"/>
    <n v="10"/>
    <x v="34"/>
    <n v="1.18"/>
    <n v="15.13"/>
    <s v="33603457"/>
  </r>
  <r>
    <x v="63"/>
    <s v="2021-04-12"/>
    <x v="0"/>
    <x v="0"/>
    <n v="9"/>
    <x v="33"/>
    <n v="1.17"/>
    <n v="15.03"/>
    <s v="62307848"/>
  </r>
  <r>
    <x v="63"/>
    <s v="2021-04-12"/>
    <x v="0"/>
    <x v="0"/>
    <n v="8"/>
    <x v="39"/>
    <n v="1.1399999999999999"/>
    <n v="14.58"/>
    <s v="04902979"/>
  </r>
  <r>
    <x v="63"/>
    <s v="2021-04-12"/>
    <x v="0"/>
    <x v="0"/>
    <n v="7"/>
    <x v="40"/>
    <n v="1.1100000000000001"/>
    <n v="14.18"/>
    <s v="02992446"/>
  </r>
  <r>
    <x v="63"/>
    <s v="2021-04-12"/>
    <x v="0"/>
    <x v="0"/>
    <n v="6"/>
    <x v="37"/>
    <n v="1.05"/>
    <n v="13.41"/>
    <s v="04452473"/>
  </r>
  <r>
    <x v="63"/>
    <s v="2021-04-12"/>
    <x v="0"/>
    <x v="0"/>
    <n v="5"/>
    <x v="44"/>
    <n v="1.01"/>
    <n v="12.78"/>
    <s v="58017179"/>
  </r>
  <r>
    <x v="63"/>
    <s v="2021-04-12"/>
    <x v="0"/>
    <x v="0"/>
    <n v="4"/>
    <x v="47"/>
    <n v="0.99"/>
    <n v="12.52"/>
    <s v="28517628"/>
  </r>
  <r>
    <x v="63"/>
    <s v="2021-04-12"/>
    <x v="0"/>
    <x v="0"/>
    <n v="3"/>
    <x v="35"/>
    <n v="0.98"/>
    <n v="12.35"/>
    <s v="59109165"/>
  </r>
  <r>
    <x v="63"/>
    <s v="2021-04-12"/>
    <x v="0"/>
    <x v="0"/>
    <n v="2"/>
    <x v="22"/>
    <n v="0.92"/>
    <n v="11.6"/>
    <s v="11417016"/>
  </r>
  <r>
    <x v="63"/>
    <s v="2021-04-12"/>
    <x v="0"/>
    <x v="0"/>
    <n v="1"/>
    <x v="38"/>
    <n v="0.88"/>
    <n v="11.1"/>
    <s v="60814191"/>
  </r>
  <r>
    <x v="64"/>
    <s v="2021-04-13"/>
    <x v="0"/>
    <x v="0"/>
    <n v="42"/>
    <x v="3"/>
    <n v="3.35"/>
    <n v="48.58"/>
    <s v="05503849"/>
  </r>
  <r>
    <x v="64"/>
    <s v="2021-04-13"/>
    <x v="0"/>
    <x v="0"/>
    <n v="41"/>
    <x v="2"/>
    <n v="3.13"/>
    <n v="44.75"/>
    <s v="92228410"/>
  </r>
  <r>
    <x v="64"/>
    <s v="2021-04-13"/>
    <x v="0"/>
    <x v="0"/>
    <n v="40"/>
    <x v="1"/>
    <n v="3.1"/>
    <n v="44.31"/>
    <s v="01800019"/>
  </r>
  <r>
    <x v="64"/>
    <s v="2021-04-13"/>
    <x v="0"/>
    <x v="0"/>
    <n v="39"/>
    <x v="0"/>
    <n v="3.04"/>
    <n v="43.29"/>
    <s v="60850229"/>
  </r>
  <r>
    <x v="64"/>
    <s v="2021-04-13"/>
    <x v="0"/>
    <x v="0"/>
    <n v="38"/>
    <x v="4"/>
    <n v="2.74"/>
    <n v="38.26"/>
    <s v="62232889"/>
  </r>
  <r>
    <x v="64"/>
    <s v="2021-04-13"/>
    <x v="0"/>
    <x v="0"/>
    <n v="37"/>
    <x v="5"/>
    <n v="2.52"/>
    <n v="34.799999999999997"/>
    <s v="80271455"/>
  </r>
  <r>
    <x v="64"/>
    <s v="2021-04-13"/>
    <x v="0"/>
    <x v="0"/>
    <n v="36"/>
    <x v="7"/>
    <n v="2.4900000000000002"/>
    <n v="34.26"/>
    <s v="92874270"/>
  </r>
  <r>
    <x v="64"/>
    <s v="2021-04-13"/>
    <x v="0"/>
    <x v="0"/>
    <n v="35"/>
    <x v="6"/>
    <n v="2.41"/>
    <n v="33.01"/>
    <s v="05676026"/>
  </r>
  <r>
    <x v="64"/>
    <s v="2021-04-13"/>
    <x v="0"/>
    <x v="0"/>
    <n v="34"/>
    <x v="8"/>
    <n v="2.2200000000000002"/>
    <n v="30.07"/>
    <s v="59285411"/>
  </r>
  <r>
    <x v="64"/>
    <s v="2021-04-13"/>
    <x v="0"/>
    <x v="0"/>
    <n v="33"/>
    <x v="9"/>
    <n v="2.12"/>
    <n v="28.68"/>
    <s v="00411939"/>
  </r>
  <r>
    <x v="64"/>
    <s v="2021-04-13"/>
    <x v="0"/>
    <x v="0"/>
    <n v="32"/>
    <x v="10"/>
    <n v="1.96"/>
    <n v="26.28"/>
    <s v="10371492"/>
  </r>
  <r>
    <x v="64"/>
    <s v="2021-04-13"/>
    <x v="0"/>
    <x v="0"/>
    <n v="31"/>
    <x v="13"/>
    <n v="1.82"/>
    <n v="24.15"/>
    <s v="07707650"/>
  </r>
  <r>
    <x v="64"/>
    <s v="2021-04-13"/>
    <x v="0"/>
    <x v="0"/>
    <n v="30"/>
    <x v="15"/>
    <n v="1.75"/>
    <n v="23.14"/>
    <s v="59588111"/>
  </r>
  <r>
    <x v="64"/>
    <s v="2021-04-13"/>
    <x v="0"/>
    <x v="0"/>
    <n v="29"/>
    <x v="11"/>
    <n v="1.72"/>
    <n v="22.75"/>
    <s v="03634220"/>
  </r>
  <r>
    <x v="64"/>
    <s v="2021-04-13"/>
    <x v="0"/>
    <x v="0"/>
    <n v="28"/>
    <x v="12"/>
    <n v="1.65"/>
    <n v="21.74"/>
    <s v="04862600"/>
  </r>
  <r>
    <x v="64"/>
    <s v="2021-04-13"/>
    <x v="0"/>
    <x v="0"/>
    <n v="27"/>
    <x v="16"/>
    <n v="1.63"/>
    <n v="21.37"/>
    <s v="07207996"/>
  </r>
  <r>
    <x v="64"/>
    <s v="2021-04-13"/>
    <x v="0"/>
    <x v="0"/>
    <n v="26"/>
    <x v="14"/>
    <n v="1.58"/>
    <n v="20.75"/>
    <s v="00360305"/>
  </r>
  <r>
    <x v="64"/>
    <s v="2021-04-13"/>
    <x v="0"/>
    <x v="0"/>
    <n v="25"/>
    <x v="20"/>
    <n v="1.51"/>
    <n v="19.75"/>
    <s v="17192451"/>
  </r>
  <r>
    <x v="64"/>
    <s v="2021-04-13"/>
    <x v="0"/>
    <x v="0"/>
    <n v="24"/>
    <x v="21"/>
    <n v="1.48"/>
    <n v="19.25"/>
    <s v="03017677"/>
  </r>
  <r>
    <x v="64"/>
    <s v="2021-04-13"/>
    <x v="0"/>
    <x v="0"/>
    <n v="23"/>
    <x v="32"/>
    <n v="1.34"/>
    <n v="17.25"/>
    <s v="60701190"/>
  </r>
  <r>
    <x v="64"/>
    <s v="2021-04-13"/>
    <x v="0"/>
    <x v="0"/>
    <n v="22"/>
    <x v="24"/>
    <n v="1.32"/>
    <n v="17.079999999999998"/>
    <s v="22639377"/>
  </r>
  <r>
    <x v="64"/>
    <s v="2021-04-13"/>
    <x v="0"/>
    <x v="0"/>
    <n v="21"/>
    <x v="29"/>
    <n v="1.3"/>
    <n v="16.71"/>
    <s v="60746948"/>
  </r>
  <r>
    <x v="64"/>
    <s v="2021-04-13"/>
    <x v="0"/>
    <x v="0"/>
    <n v="20"/>
    <x v="26"/>
    <n v="1.29"/>
    <n v="16.579999999999998"/>
    <s v="30172491"/>
  </r>
  <r>
    <x v="64"/>
    <s v="2021-04-13"/>
    <x v="0"/>
    <x v="0"/>
    <n v="19"/>
    <x v="28"/>
    <n v="1.28"/>
    <n v="16.46"/>
    <s v="90400888"/>
  </r>
  <r>
    <x v="64"/>
    <s v="2021-04-13"/>
    <x v="0"/>
    <x v="0"/>
    <n v="18"/>
    <x v="25"/>
    <n v="1.28"/>
    <n v="16.46"/>
    <s v="59274605"/>
  </r>
  <r>
    <x v="64"/>
    <s v="2021-04-13"/>
    <x v="0"/>
    <x v="0"/>
    <n v="17"/>
    <x v="23"/>
    <n v="1.27"/>
    <n v="16.32"/>
    <s v="03215790"/>
  </r>
  <r>
    <x v="64"/>
    <s v="2021-04-13"/>
    <x v="0"/>
    <x v="0"/>
    <n v="16"/>
    <x v="30"/>
    <n v="1.25"/>
    <n v="16.02"/>
    <s v="03502961"/>
  </r>
  <r>
    <x v="64"/>
    <s v="2021-04-13"/>
    <x v="0"/>
    <x v="0"/>
    <n v="15"/>
    <x v="36"/>
    <n v="1.25"/>
    <n v="16.010000000000002"/>
    <s v="33136888"/>
  </r>
  <r>
    <x v="64"/>
    <s v="2021-04-13"/>
    <x v="0"/>
    <x v="0"/>
    <n v="14"/>
    <x v="45"/>
    <n v="1.22"/>
    <n v="15.7"/>
    <s v="33040601"/>
  </r>
  <r>
    <x v="64"/>
    <s v="2021-04-13"/>
    <x v="0"/>
    <x v="0"/>
    <n v="13"/>
    <x v="34"/>
    <n v="1.21"/>
    <n v="15.52"/>
    <s v="33603457"/>
  </r>
  <r>
    <x v="64"/>
    <s v="2021-04-13"/>
    <x v="0"/>
    <x v="0"/>
    <n v="12"/>
    <x v="27"/>
    <n v="1.19"/>
    <n v="15.25"/>
    <s v="00000000"/>
  </r>
  <r>
    <x v="64"/>
    <s v="2021-04-13"/>
    <x v="0"/>
    <x v="0"/>
    <n v="11"/>
    <x v="31"/>
    <n v="1.18"/>
    <n v="15.16"/>
    <s v="17167412"/>
  </r>
  <r>
    <x v="64"/>
    <s v="2021-04-13"/>
    <x v="0"/>
    <x v="0"/>
    <n v="10"/>
    <x v="33"/>
    <n v="1.17"/>
    <n v="15.01"/>
    <s v="62307848"/>
  </r>
  <r>
    <x v="64"/>
    <s v="2021-04-13"/>
    <x v="0"/>
    <x v="0"/>
    <n v="9"/>
    <x v="39"/>
    <n v="1.1000000000000001"/>
    <n v="14.03"/>
    <s v="04902979"/>
  </r>
  <r>
    <x v="64"/>
    <s v="2021-04-13"/>
    <x v="0"/>
    <x v="0"/>
    <n v="8"/>
    <x v="18"/>
    <n v="1.0900000000000001"/>
    <n v="13.95"/>
    <s v="28127603"/>
  </r>
  <r>
    <x v="64"/>
    <s v="2021-04-13"/>
    <x v="0"/>
    <x v="0"/>
    <n v="7"/>
    <x v="40"/>
    <n v="1.0900000000000001"/>
    <n v="13.83"/>
    <s v="02992446"/>
  </r>
  <r>
    <x v="64"/>
    <s v="2021-04-13"/>
    <x v="0"/>
    <x v="0"/>
    <n v="6"/>
    <x v="37"/>
    <n v="1.05"/>
    <n v="13.4"/>
    <s v="04452473"/>
  </r>
  <r>
    <x v="64"/>
    <s v="2021-04-13"/>
    <x v="0"/>
    <x v="0"/>
    <n v="5"/>
    <x v="44"/>
    <n v="1.01"/>
    <n v="12.76"/>
    <s v="58017179"/>
  </r>
  <r>
    <x v="64"/>
    <s v="2021-04-13"/>
    <x v="0"/>
    <x v="0"/>
    <n v="4"/>
    <x v="47"/>
    <n v="0.99"/>
    <n v="12.52"/>
    <s v="28517628"/>
  </r>
  <r>
    <x v="64"/>
    <s v="2021-04-13"/>
    <x v="0"/>
    <x v="0"/>
    <n v="3"/>
    <x v="35"/>
    <n v="0.98"/>
    <n v="12.35"/>
    <s v="59109165"/>
  </r>
  <r>
    <x v="64"/>
    <s v="2021-04-13"/>
    <x v="0"/>
    <x v="0"/>
    <n v="2"/>
    <x v="22"/>
    <n v="0.93"/>
    <n v="11.74"/>
    <s v="11417016"/>
  </r>
  <r>
    <x v="64"/>
    <s v="2021-04-13"/>
    <x v="0"/>
    <x v="0"/>
    <n v="1"/>
    <x v="38"/>
    <n v="0.87"/>
    <n v="11.01"/>
    <s v="60814191"/>
  </r>
  <r>
    <x v="65"/>
    <s v="2021-04-14"/>
    <x v="0"/>
    <x v="0"/>
    <n v="42"/>
    <x v="3"/>
    <n v="3.37"/>
    <n v="48.85"/>
    <s v="05503849"/>
  </r>
  <r>
    <x v="65"/>
    <s v="2021-04-14"/>
    <x v="0"/>
    <x v="0"/>
    <n v="41"/>
    <x v="1"/>
    <n v="3.19"/>
    <n v="45.7"/>
    <s v="01800019"/>
  </r>
  <r>
    <x v="65"/>
    <s v="2021-04-14"/>
    <x v="0"/>
    <x v="0"/>
    <n v="40"/>
    <x v="2"/>
    <n v="3.15"/>
    <n v="45.07"/>
    <s v="92228410"/>
  </r>
  <r>
    <x v="65"/>
    <s v="2021-04-14"/>
    <x v="0"/>
    <x v="0"/>
    <n v="39"/>
    <x v="0"/>
    <n v="3.11"/>
    <n v="44.38"/>
    <s v="60850229"/>
  </r>
  <r>
    <x v="65"/>
    <s v="2021-04-14"/>
    <x v="0"/>
    <x v="0"/>
    <n v="38"/>
    <x v="4"/>
    <n v="2.75"/>
    <n v="38.409999999999997"/>
    <s v="62232889"/>
  </r>
  <r>
    <x v="65"/>
    <s v="2021-04-14"/>
    <x v="0"/>
    <x v="0"/>
    <n v="37"/>
    <x v="5"/>
    <n v="2.64"/>
    <n v="36.75"/>
    <s v="80271455"/>
  </r>
  <r>
    <x v="65"/>
    <s v="2021-04-14"/>
    <x v="0"/>
    <x v="0"/>
    <n v="36"/>
    <x v="7"/>
    <n v="2.4700000000000002"/>
    <n v="34.01"/>
    <s v="92874270"/>
  </r>
  <r>
    <x v="65"/>
    <s v="2021-04-14"/>
    <x v="0"/>
    <x v="0"/>
    <n v="35"/>
    <x v="6"/>
    <n v="2.41"/>
    <n v="33.049999999999997"/>
    <s v="05676026"/>
  </r>
  <r>
    <x v="65"/>
    <s v="2021-04-14"/>
    <x v="0"/>
    <x v="0"/>
    <n v="34"/>
    <x v="8"/>
    <n v="2.2200000000000002"/>
    <n v="30.11"/>
    <s v="59285411"/>
  </r>
  <r>
    <x v="65"/>
    <s v="2021-04-14"/>
    <x v="0"/>
    <x v="0"/>
    <n v="33"/>
    <x v="10"/>
    <n v="1.97"/>
    <n v="26.34"/>
    <s v="10371492"/>
  </r>
  <r>
    <x v="65"/>
    <s v="2021-04-14"/>
    <x v="0"/>
    <x v="0"/>
    <n v="32"/>
    <x v="9"/>
    <n v="1.96"/>
    <n v="26.28"/>
    <s v="00411939"/>
  </r>
  <r>
    <x v="65"/>
    <s v="2021-04-14"/>
    <x v="0"/>
    <x v="0"/>
    <n v="31"/>
    <x v="13"/>
    <n v="1.81"/>
    <n v="24.06"/>
    <s v="07707650"/>
  </r>
  <r>
    <x v="65"/>
    <s v="2021-04-14"/>
    <x v="0"/>
    <x v="0"/>
    <n v="30"/>
    <x v="15"/>
    <n v="1.75"/>
    <n v="23.21"/>
    <s v="59588111"/>
  </r>
  <r>
    <x v="65"/>
    <s v="2021-04-14"/>
    <x v="0"/>
    <x v="0"/>
    <n v="29"/>
    <x v="11"/>
    <n v="1.73"/>
    <n v="22.8"/>
    <s v="03634220"/>
  </r>
  <r>
    <x v="65"/>
    <s v="2021-04-14"/>
    <x v="0"/>
    <x v="0"/>
    <n v="28"/>
    <x v="12"/>
    <n v="1.66"/>
    <n v="21.87"/>
    <s v="04862600"/>
  </r>
  <r>
    <x v="65"/>
    <s v="2021-04-14"/>
    <x v="0"/>
    <x v="0"/>
    <n v="27"/>
    <x v="16"/>
    <n v="1.62"/>
    <n v="21.28"/>
    <s v="07207996"/>
  </r>
  <r>
    <x v="65"/>
    <s v="2021-04-14"/>
    <x v="0"/>
    <x v="0"/>
    <n v="26"/>
    <x v="14"/>
    <n v="1.61"/>
    <n v="21.05"/>
    <s v="00360305"/>
  </r>
  <r>
    <x v="65"/>
    <s v="2021-04-14"/>
    <x v="0"/>
    <x v="0"/>
    <n v="25"/>
    <x v="20"/>
    <n v="1.52"/>
    <n v="19.78"/>
    <s v="17192451"/>
  </r>
  <r>
    <x v="65"/>
    <s v="2021-04-14"/>
    <x v="0"/>
    <x v="0"/>
    <n v="24"/>
    <x v="21"/>
    <n v="1.48"/>
    <n v="19.21"/>
    <s v="03017677"/>
  </r>
  <r>
    <x v="65"/>
    <s v="2021-04-14"/>
    <x v="0"/>
    <x v="0"/>
    <n v="23"/>
    <x v="32"/>
    <n v="1.35"/>
    <n v="17.399999999999999"/>
    <s v="60701190"/>
  </r>
  <r>
    <x v="65"/>
    <s v="2021-04-14"/>
    <x v="0"/>
    <x v="0"/>
    <n v="22"/>
    <x v="24"/>
    <n v="1.34"/>
    <n v="17.37"/>
    <s v="22639377"/>
  </r>
  <r>
    <x v="65"/>
    <s v="2021-04-14"/>
    <x v="0"/>
    <x v="0"/>
    <n v="21"/>
    <x v="29"/>
    <n v="1.3"/>
    <n v="16.71"/>
    <s v="60746948"/>
  </r>
  <r>
    <x v="65"/>
    <s v="2021-04-14"/>
    <x v="0"/>
    <x v="0"/>
    <n v="20"/>
    <x v="25"/>
    <n v="1.29"/>
    <n v="16.62"/>
    <s v="59274605"/>
  </r>
  <r>
    <x v="65"/>
    <s v="2021-04-14"/>
    <x v="0"/>
    <x v="0"/>
    <n v="19"/>
    <x v="26"/>
    <n v="1.28"/>
    <n v="16.48"/>
    <s v="30172491"/>
  </r>
  <r>
    <x v="65"/>
    <s v="2021-04-14"/>
    <x v="0"/>
    <x v="0"/>
    <n v="18"/>
    <x v="30"/>
    <n v="1.27"/>
    <n v="16.38"/>
    <s v="03502961"/>
  </r>
  <r>
    <x v="65"/>
    <s v="2021-04-14"/>
    <x v="0"/>
    <x v="0"/>
    <n v="17"/>
    <x v="28"/>
    <n v="1.27"/>
    <n v="16.350000000000001"/>
    <s v="90400888"/>
  </r>
  <r>
    <x v="65"/>
    <s v="2021-04-14"/>
    <x v="0"/>
    <x v="0"/>
    <n v="16"/>
    <x v="23"/>
    <n v="1.27"/>
    <n v="16.350000000000001"/>
    <s v="03215790"/>
  </r>
  <r>
    <x v="65"/>
    <s v="2021-04-14"/>
    <x v="0"/>
    <x v="0"/>
    <n v="15"/>
    <x v="36"/>
    <n v="1.25"/>
    <n v="16.010000000000002"/>
    <s v="33136888"/>
  </r>
  <r>
    <x v="65"/>
    <s v="2021-04-14"/>
    <x v="0"/>
    <x v="0"/>
    <n v="14"/>
    <x v="45"/>
    <n v="1.22"/>
    <n v="15.7"/>
    <s v="33040601"/>
  </r>
  <r>
    <x v="65"/>
    <s v="2021-04-14"/>
    <x v="0"/>
    <x v="0"/>
    <n v="13"/>
    <x v="34"/>
    <n v="1.21"/>
    <n v="15.47"/>
    <s v="33603457"/>
  </r>
  <r>
    <x v="65"/>
    <s v="2021-04-14"/>
    <x v="0"/>
    <x v="0"/>
    <n v="12"/>
    <x v="18"/>
    <n v="1.2"/>
    <n v="15.41"/>
    <s v="28127603"/>
  </r>
  <r>
    <x v="65"/>
    <s v="2021-04-14"/>
    <x v="0"/>
    <x v="0"/>
    <n v="11"/>
    <x v="40"/>
    <n v="1.2"/>
    <n v="15.37"/>
    <s v="02992446"/>
  </r>
  <r>
    <x v="65"/>
    <s v="2021-04-14"/>
    <x v="0"/>
    <x v="0"/>
    <n v="10"/>
    <x v="27"/>
    <n v="1.19"/>
    <n v="15.21"/>
    <s v="00000000"/>
  </r>
  <r>
    <x v="65"/>
    <s v="2021-04-14"/>
    <x v="0"/>
    <x v="0"/>
    <n v="9"/>
    <x v="33"/>
    <n v="1.19"/>
    <n v="15.19"/>
    <s v="62307848"/>
  </r>
  <r>
    <x v="65"/>
    <s v="2021-04-14"/>
    <x v="0"/>
    <x v="0"/>
    <n v="8"/>
    <x v="31"/>
    <n v="1.19"/>
    <n v="15.18"/>
    <s v="17167412"/>
  </r>
  <r>
    <x v="65"/>
    <s v="2021-04-14"/>
    <x v="0"/>
    <x v="0"/>
    <n v="7"/>
    <x v="44"/>
    <n v="1.1200000000000001"/>
    <n v="14.29"/>
    <s v="58017179"/>
  </r>
  <r>
    <x v="65"/>
    <s v="2021-04-14"/>
    <x v="0"/>
    <x v="0"/>
    <n v="6"/>
    <x v="39"/>
    <n v="1.08"/>
    <n v="13.74"/>
    <s v="04902979"/>
  </r>
  <r>
    <x v="65"/>
    <s v="2021-04-14"/>
    <x v="0"/>
    <x v="0"/>
    <n v="5"/>
    <x v="37"/>
    <n v="1.05"/>
    <n v="13.35"/>
    <s v="04452473"/>
  </r>
  <r>
    <x v="65"/>
    <s v="2021-04-14"/>
    <x v="0"/>
    <x v="0"/>
    <n v="4"/>
    <x v="47"/>
    <n v="0.99"/>
    <n v="12.52"/>
    <s v="28517628"/>
  </r>
  <r>
    <x v="65"/>
    <s v="2021-04-14"/>
    <x v="0"/>
    <x v="0"/>
    <n v="3"/>
    <x v="35"/>
    <n v="0.97"/>
    <n v="12.22"/>
    <s v="59109165"/>
  </r>
  <r>
    <x v="65"/>
    <s v="2021-04-14"/>
    <x v="0"/>
    <x v="0"/>
    <n v="2"/>
    <x v="22"/>
    <n v="0.93"/>
    <n v="11.7"/>
    <s v="11417016"/>
  </r>
  <r>
    <x v="65"/>
    <s v="2021-04-14"/>
    <x v="0"/>
    <x v="0"/>
    <n v="1"/>
    <x v="38"/>
    <n v="0.85"/>
    <n v="10.72"/>
    <s v="60814191"/>
  </r>
  <r>
    <x v="66"/>
    <s v="2021-04-15"/>
    <x v="0"/>
    <x v="0"/>
    <n v="40"/>
    <x v="3"/>
    <n v="3.36"/>
    <n v="48.67"/>
    <s v="05503849"/>
  </r>
  <r>
    <x v="66"/>
    <s v="2021-04-15"/>
    <x v="0"/>
    <x v="0"/>
    <n v="39"/>
    <x v="1"/>
    <n v="3.15"/>
    <n v="45.07"/>
    <s v="01800019"/>
  </r>
  <r>
    <x v="66"/>
    <s v="2021-04-15"/>
    <x v="0"/>
    <x v="0"/>
    <n v="38"/>
    <x v="2"/>
    <n v="3.13"/>
    <n v="44.77"/>
    <s v="92228410"/>
  </r>
  <r>
    <x v="66"/>
    <s v="2021-04-15"/>
    <x v="0"/>
    <x v="0"/>
    <n v="37"/>
    <x v="0"/>
    <n v="3.01"/>
    <n v="42.81"/>
    <s v="60850229"/>
  </r>
  <r>
    <x v="66"/>
    <s v="2021-04-15"/>
    <x v="0"/>
    <x v="0"/>
    <n v="36"/>
    <x v="4"/>
    <n v="2.73"/>
    <n v="38.159999999999997"/>
    <s v="62232889"/>
  </r>
  <r>
    <x v="66"/>
    <s v="2021-04-15"/>
    <x v="0"/>
    <x v="0"/>
    <n v="35"/>
    <x v="5"/>
    <n v="2.52"/>
    <n v="34.78"/>
    <s v="80271455"/>
  </r>
  <r>
    <x v="66"/>
    <s v="2021-04-15"/>
    <x v="0"/>
    <x v="0"/>
    <n v="34"/>
    <x v="7"/>
    <n v="2.48"/>
    <n v="34.119999999999997"/>
    <s v="92874270"/>
  </r>
  <r>
    <x v="66"/>
    <s v="2021-04-15"/>
    <x v="0"/>
    <x v="0"/>
    <n v="33"/>
    <x v="6"/>
    <n v="2.41"/>
    <n v="33.07"/>
    <s v="05676026"/>
  </r>
  <r>
    <x v="66"/>
    <s v="2021-04-15"/>
    <x v="0"/>
    <x v="0"/>
    <n v="32"/>
    <x v="8"/>
    <n v="2.2200000000000002"/>
    <n v="30.16"/>
    <s v="59285411"/>
  </r>
  <r>
    <x v="66"/>
    <s v="2021-04-15"/>
    <x v="0"/>
    <x v="0"/>
    <n v="31"/>
    <x v="10"/>
    <n v="1.98"/>
    <n v="26.52"/>
    <s v="10371492"/>
  </r>
  <r>
    <x v="66"/>
    <s v="2021-04-15"/>
    <x v="0"/>
    <x v="0"/>
    <n v="30"/>
    <x v="9"/>
    <n v="1.93"/>
    <n v="25.84"/>
    <s v="00411939"/>
  </r>
  <r>
    <x v="66"/>
    <s v="2021-04-15"/>
    <x v="0"/>
    <x v="0"/>
    <n v="29"/>
    <x v="13"/>
    <n v="1.81"/>
    <n v="24.01"/>
    <s v="07707650"/>
  </r>
  <r>
    <x v="66"/>
    <s v="2021-04-15"/>
    <x v="0"/>
    <x v="0"/>
    <n v="28"/>
    <x v="15"/>
    <n v="1.76"/>
    <n v="23.24"/>
    <s v="59588111"/>
  </r>
  <r>
    <x v="66"/>
    <s v="2021-04-15"/>
    <x v="0"/>
    <x v="0"/>
    <n v="27"/>
    <x v="11"/>
    <n v="1.73"/>
    <n v="22.83"/>
    <s v="03634220"/>
  </r>
  <r>
    <x v="66"/>
    <s v="2021-04-15"/>
    <x v="0"/>
    <x v="0"/>
    <n v="26"/>
    <x v="12"/>
    <n v="1.65"/>
    <n v="21.69"/>
    <s v="04862600"/>
  </r>
  <r>
    <x v="66"/>
    <s v="2021-04-15"/>
    <x v="0"/>
    <x v="0"/>
    <n v="25"/>
    <x v="16"/>
    <n v="1.62"/>
    <n v="21.27"/>
    <s v="07207996"/>
  </r>
  <r>
    <x v="66"/>
    <s v="2021-04-15"/>
    <x v="0"/>
    <x v="0"/>
    <n v="24"/>
    <x v="14"/>
    <n v="1.52"/>
    <n v="19.829999999999998"/>
    <s v="00360305"/>
  </r>
  <r>
    <x v="66"/>
    <s v="2021-04-15"/>
    <x v="0"/>
    <x v="0"/>
    <n v="23"/>
    <x v="20"/>
    <n v="1.51"/>
    <n v="19.760000000000002"/>
    <s v="17192451"/>
  </r>
  <r>
    <x v="66"/>
    <s v="2021-04-15"/>
    <x v="0"/>
    <x v="0"/>
    <n v="22"/>
    <x v="21"/>
    <n v="1.47"/>
    <n v="19.2"/>
    <s v="03017677"/>
  </r>
  <r>
    <x v="66"/>
    <s v="2021-04-15"/>
    <x v="0"/>
    <x v="0"/>
    <n v="21"/>
    <x v="24"/>
    <n v="1.39"/>
    <n v="17.97"/>
    <s v="22639377"/>
  </r>
  <r>
    <x v="66"/>
    <s v="2021-04-15"/>
    <x v="0"/>
    <x v="0"/>
    <n v="20"/>
    <x v="32"/>
    <n v="1.33"/>
    <n v="17.13"/>
    <s v="60701190"/>
  </r>
  <r>
    <x v="66"/>
    <s v="2021-04-15"/>
    <x v="0"/>
    <x v="0"/>
    <n v="19"/>
    <x v="25"/>
    <n v="1.3"/>
    <n v="16.77"/>
    <s v="59274605"/>
  </r>
  <r>
    <x v="66"/>
    <s v="2021-04-15"/>
    <x v="0"/>
    <x v="0"/>
    <n v="18"/>
    <x v="29"/>
    <n v="1.3"/>
    <n v="16.760000000000002"/>
    <s v="60746948"/>
  </r>
  <r>
    <x v="66"/>
    <s v="2021-04-15"/>
    <x v="0"/>
    <x v="0"/>
    <n v="17"/>
    <x v="30"/>
    <n v="1.29"/>
    <n v="16.62"/>
    <s v="03502961"/>
  </r>
  <r>
    <x v="66"/>
    <s v="2021-04-15"/>
    <x v="0"/>
    <x v="0"/>
    <n v="16"/>
    <x v="26"/>
    <n v="1.29"/>
    <n v="16.600000000000001"/>
    <s v="30172491"/>
  </r>
  <r>
    <x v="66"/>
    <s v="2021-04-15"/>
    <x v="0"/>
    <x v="0"/>
    <n v="15"/>
    <x v="28"/>
    <n v="1.27"/>
    <n v="16.37"/>
    <s v="90400888"/>
  </r>
  <r>
    <x v="66"/>
    <s v="2021-04-15"/>
    <x v="0"/>
    <x v="0"/>
    <n v="14"/>
    <x v="18"/>
    <n v="1.27"/>
    <n v="16.28"/>
    <s v="28127603"/>
  </r>
  <r>
    <x v="66"/>
    <s v="2021-04-15"/>
    <x v="0"/>
    <x v="0"/>
    <n v="13"/>
    <x v="23"/>
    <n v="1.26"/>
    <n v="16.14"/>
    <s v="03215790"/>
  </r>
  <r>
    <x v="66"/>
    <s v="2021-04-15"/>
    <x v="0"/>
    <x v="0"/>
    <n v="12"/>
    <x v="36"/>
    <n v="1.23"/>
    <n v="15.79"/>
    <s v="33136888"/>
  </r>
  <r>
    <x v="66"/>
    <s v="2021-04-15"/>
    <x v="0"/>
    <x v="0"/>
    <n v="11"/>
    <x v="27"/>
    <n v="1.2"/>
    <n v="15.41"/>
    <s v="00000000"/>
  </r>
  <r>
    <x v="66"/>
    <s v="2021-04-15"/>
    <x v="0"/>
    <x v="0"/>
    <n v="10"/>
    <x v="31"/>
    <n v="1.19"/>
    <n v="15.29"/>
    <s v="17167412"/>
  </r>
  <r>
    <x v="66"/>
    <s v="2021-04-15"/>
    <x v="0"/>
    <x v="0"/>
    <n v="9"/>
    <x v="33"/>
    <n v="1.19"/>
    <n v="15.28"/>
    <s v="62307848"/>
  </r>
  <r>
    <x v="66"/>
    <s v="2021-04-15"/>
    <x v="0"/>
    <x v="0"/>
    <n v="8"/>
    <x v="34"/>
    <n v="1.19"/>
    <n v="15.28"/>
    <s v="33603457"/>
  </r>
  <r>
    <x v="66"/>
    <s v="2021-04-15"/>
    <x v="0"/>
    <x v="0"/>
    <n v="7"/>
    <x v="40"/>
    <n v="1.1399999999999999"/>
    <n v="14.61"/>
    <s v="02992446"/>
  </r>
  <r>
    <x v="66"/>
    <s v="2021-04-15"/>
    <x v="0"/>
    <x v="0"/>
    <n v="6"/>
    <x v="39"/>
    <n v="1.08"/>
    <n v="13.74"/>
    <s v="04902979"/>
  </r>
  <r>
    <x v="66"/>
    <s v="2021-04-15"/>
    <x v="0"/>
    <x v="0"/>
    <n v="5"/>
    <x v="44"/>
    <n v="1.06"/>
    <n v="13.52"/>
    <s v="58017179"/>
  </r>
  <r>
    <x v="66"/>
    <s v="2021-04-15"/>
    <x v="0"/>
    <x v="0"/>
    <n v="4"/>
    <x v="37"/>
    <n v="1.05"/>
    <n v="13.31"/>
    <s v="04452473"/>
  </r>
  <r>
    <x v="66"/>
    <s v="2021-04-15"/>
    <x v="0"/>
    <x v="0"/>
    <n v="3"/>
    <x v="35"/>
    <n v="0.97"/>
    <n v="12.32"/>
    <s v="59109165"/>
  </r>
  <r>
    <x v="66"/>
    <s v="2021-04-15"/>
    <x v="0"/>
    <x v="0"/>
    <n v="2"/>
    <x v="22"/>
    <n v="0.93"/>
    <n v="11.81"/>
    <s v="11417016"/>
  </r>
  <r>
    <x v="66"/>
    <s v="2021-04-15"/>
    <x v="0"/>
    <x v="0"/>
    <n v="1"/>
    <x v="38"/>
    <n v="0.9"/>
    <n v="11.4"/>
    <s v="60814191"/>
  </r>
  <r>
    <x v="67"/>
    <s v="2021-04-16"/>
    <x v="0"/>
    <x v="0"/>
    <n v="42"/>
    <x v="3"/>
    <n v="3.33"/>
    <n v="48.06"/>
    <s v="05503849"/>
  </r>
  <r>
    <x v="67"/>
    <s v="2021-04-16"/>
    <x v="0"/>
    <x v="0"/>
    <n v="41"/>
    <x v="2"/>
    <n v="3.12"/>
    <n v="44.51"/>
    <s v="92228410"/>
  </r>
  <r>
    <x v="67"/>
    <s v="2021-04-16"/>
    <x v="0"/>
    <x v="0"/>
    <n v="40"/>
    <x v="1"/>
    <n v="3.08"/>
    <n v="43.94"/>
    <s v="01800019"/>
  </r>
  <r>
    <x v="67"/>
    <s v="2021-04-16"/>
    <x v="0"/>
    <x v="0"/>
    <n v="39"/>
    <x v="0"/>
    <n v="3.03"/>
    <n v="43.13"/>
    <s v="60850229"/>
  </r>
  <r>
    <x v="67"/>
    <s v="2021-04-16"/>
    <x v="0"/>
    <x v="0"/>
    <n v="38"/>
    <x v="4"/>
    <n v="2.71"/>
    <n v="37.82"/>
    <s v="62232889"/>
  </r>
  <r>
    <x v="67"/>
    <s v="2021-04-16"/>
    <x v="0"/>
    <x v="0"/>
    <n v="37"/>
    <x v="42"/>
    <n v="2.7"/>
    <n v="37.729999999999997"/>
    <s v="34991938"/>
  </r>
  <r>
    <x v="67"/>
    <s v="2021-04-16"/>
    <x v="0"/>
    <x v="0"/>
    <n v="36"/>
    <x v="5"/>
    <n v="2.52"/>
    <n v="34.869999999999997"/>
    <s v="80271455"/>
  </r>
  <r>
    <x v="67"/>
    <s v="2021-04-16"/>
    <x v="0"/>
    <x v="0"/>
    <n v="35"/>
    <x v="7"/>
    <n v="2.4700000000000002"/>
    <n v="34.04"/>
    <s v="92874270"/>
  </r>
  <r>
    <x v="67"/>
    <s v="2021-04-16"/>
    <x v="0"/>
    <x v="0"/>
    <n v="34"/>
    <x v="6"/>
    <n v="2.41"/>
    <n v="33.08"/>
    <s v="05676026"/>
  </r>
  <r>
    <x v="67"/>
    <s v="2021-04-16"/>
    <x v="0"/>
    <x v="0"/>
    <n v="33"/>
    <x v="8"/>
    <n v="2.2200000000000002"/>
    <n v="30.12"/>
    <s v="59285411"/>
  </r>
  <r>
    <x v="67"/>
    <s v="2021-04-16"/>
    <x v="0"/>
    <x v="0"/>
    <n v="32"/>
    <x v="10"/>
    <n v="1.98"/>
    <n v="26.45"/>
    <s v="10371492"/>
  </r>
  <r>
    <x v="67"/>
    <s v="2021-04-16"/>
    <x v="0"/>
    <x v="0"/>
    <n v="31"/>
    <x v="9"/>
    <n v="1.94"/>
    <n v="25.99"/>
    <s v="00411939"/>
  </r>
  <r>
    <x v="67"/>
    <s v="2021-04-16"/>
    <x v="0"/>
    <x v="0"/>
    <n v="30"/>
    <x v="13"/>
    <n v="1.81"/>
    <n v="23.97"/>
    <s v="07707650"/>
  </r>
  <r>
    <x v="67"/>
    <s v="2021-04-16"/>
    <x v="0"/>
    <x v="0"/>
    <n v="29"/>
    <x v="15"/>
    <n v="1.76"/>
    <n v="23.22"/>
    <s v="59588111"/>
  </r>
  <r>
    <x v="67"/>
    <s v="2021-04-16"/>
    <x v="0"/>
    <x v="0"/>
    <n v="28"/>
    <x v="11"/>
    <n v="1.74"/>
    <n v="22.96"/>
    <s v="03634220"/>
  </r>
  <r>
    <x v="67"/>
    <s v="2021-04-16"/>
    <x v="0"/>
    <x v="0"/>
    <n v="27"/>
    <x v="12"/>
    <n v="1.64"/>
    <n v="21.55"/>
    <s v="04862600"/>
  </r>
  <r>
    <x v="67"/>
    <s v="2021-04-16"/>
    <x v="0"/>
    <x v="0"/>
    <n v="26"/>
    <x v="16"/>
    <n v="1.62"/>
    <n v="21.28"/>
    <s v="07207996"/>
  </r>
  <r>
    <x v="67"/>
    <s v="2021-04-16"/>
    <x v="0"/>
    <x v="0"/>
    <n v="25"/>
    <x v="14"/>
    <n v="1.57"/>
    <n v="20.55"/>
    <s v="00360305"/>
  </r>
  <r>
    <x v="67"/>
    <s v="2021-04-16"/>
    <x v="0"/>
    <x v="0"/>
    <n v="24"/>
    <x v="20"/>
    <n v="1.52"/>
    <n v="19.77"/>
    <s v="17192451"/>
  </r>
  <r>
    <x v="67"/>
    <s v="2021-04-16"/>
    <x v="0"/>
    <x v="0"/>
    <n v="23"/>
    <x v="21"/>
    <n v="1.48"/>
    <n v="19.309999999999999"/>
    <s v="03017677"/>
  </r>
  <r>
    <x v="67"/>
    <s v="2021-04-16"/>
    <x v="0"/>
    <x v="0"/>
    <n v="22"/>
    <x v="24"/>
    <n v="1.44"/>
    <n v="18.690000000000001"/>
    <s v="22639377"/>
  </r>
  <r>
    <x v="67"/>
    <s v="2021-04-16"/>
    <x v="0"/>
    <x v="0"/>
    <n v="21"/>
    <x v="19"/>
    <n v="1.4"/>
    <n v="18.22"/>
    <s v="92702067"/>
  </r>
  <r>
    <x v="67"/>
    <s v="2021-04-16"/>
    <x v="0"/>
    <x v="0"/>
    <n v="20"/>
    <x v="32"/>
    <n v="1.33"/>
    <n v="17.13"/>
    <s v="60701190"/>
  </r>
  <r>
    <x v="67"/>
    <s v="2021-04-16"/>
    <x v="0"/>
    <x v="0"/>
    <n v="19"/>
    <x v="30"/>
    <n v="1.31"/>
    <n v="16.95"/>
    <s v="03502961"/>
  </r>
  <r>
    <x v="67"/>
    <s v="2021-04-16"/>
    <x v="0"/>
    <x v="0"/>
    <n v="18"/>
    <x v="25"/>
    <n v="1.31"/>
    <n v="16.84"/>
    <s v="59274605"/>
  </r>
  <r>
    <x v="67"/>
    <s v="2021-04-16"/>
    <x v="0"/>
    <x v="0"/>
    <n v="17"/>
    <x v="29"/>
    <n v="1.3"/>
    <n v="16.760000000000002"/>
    <s v="60746948"/>
  </r>
  <r>
    <x v="67"/>
    <s v="2021-04-16"/>
    <x v="0"/>
    <x v="0"/>
    <n v="16"/>
    <x v="26"/>
    <n v="1.28"/>
    <n v="16.54"/>
    <s v="30172491"/>
  </r>
  <r>
    <x v="67"/>
    <s v="2021-04-16"/>
    <x v="0"/>
    <x v="0"/>
    <n v="15"/>
    <x v="18"/>
    <n v="1.28"/>
    <n v="16.46"/>
    <s v="28127603"/>
  </r>
  <r>
    <x v="67"/>
    <s v="2021-04-16"/>
    <x v="0"/>
    <x v="0"/>
    <n v="14"/>
    <x v="28"/>
    <n v="1.26"/>
    <n v="16.23"/>
    <s v="90400888"/>
  </r>
  <r>
    <x v="67"/>
    <s v="2021-04-16"/>
    <x v="0"/>
    <x v="0"/>
    <n v="13"/>
    <x v="23"/>
    <n v="1.25"/>
    <n v="16.059999999999999"/>
    <s v="03215790"/>
  </r>
  <r>
    <x v="67"/>
    <s v="2021-04-16"/>
    <x v="0"/>
    <x v="0"/>
    <n v="12"/>
    <x v="36"/>
    <n v="1.24"/>
    <n v="15.97"/>
    <s v="33136888"/>
  </r>
  <r>
    <x v="67"/>
    <s v="2021-04-16"/>
    <x v="0"/>
    <x v="0"/>
    <n v="11"/>
    <x v="27"/>
    <n v="1.21"/>
    <n v="15.53"/>
    <s v="00000000"/>
  </r>
  <r>
    <x v="67"/>
    <s v="2021-04-16"/>
    <x v="0"/>
    <x v="0"/>
    <n v="10"/>
    <x v="33"/>
    <n v="1.2"/>
    <n v="15.39"/>
    <s v="62307848"/>
  </r>
  <r>
    <x v="67"/>
    <s v="2021-04-16"/>
    <x v="0"/>
    <x v="0"/>
    <n v="9"/>
    <x v="31"/>
    <n v="1.19"/>
    <n v="15.22"/>
    <s v="17167412"/>
  </r>
  <r>
    <x v="67"/>
    <s v="2021-04-16"/>
    <x v="0"/>
    <x v="0"/>
    <n v="8"/>
    <x v="34"/>
    <n v="1.1599999999999999"/>
    <n v="14.84"/>
    <s v="33603457"/>
  </r>
  <r>
    <x v="67"/>
    <s v="2021-04-16"/>
    <x v="0"/>
    <x v="0"/>
    <n v="7"/>
    <x v="40"/>
    <n v="1.1399999999999999"/>
    <n v="14.58"/>
    <s v="02992446"/>
  </r>
  <r>
    <x v="67"/>
    <s v="2021-04-16"/>
    <x v="0"/>
    <x v="0"/>
    <n v="6"/>
    <x v="39"/>
    <n v="1.0900000000000001"/>
    <n v="13.85"/>
    <s v="04902979"/>
  </r>
  <r>
    <x v="67"/>
    <s v="2021-04-16"/>
    <x v="0"/>
    <x v="0"/>
    <n v="5"/>
    <x v="37"/>
    <n v="1.05"/>
    <n v="13.31"/>
    <s v="04452473"/>
  </r>
  <r>
    <x v="67"/>
    <s v="2021-04-16"/>
    <x v="0"/>
    <x v="0"/>
    <n v="4"/>
    <x v="44"/>
    <n v="0.99"/>
    <n v="12.56"/>
    <s v="58017179"/>
  </r>
  <r>
    <x v="67"/>
    <s v="2021-04-16"/>
    <x v="0"/>
    <x v="0"/>
    <n v="3"/>
    <x v="35"/>
    <n v="0.99"/>
    <n v="12.49"/>
    <s v="59109165"/>
  </r>
  <r>
    <x v="67"/>
    <s v="2021-04-16"/>
    <x v="0"/>
    <x v="0"/>
    <n v="2"/>
    <x v="22"/>
    <n v="0.93"/>
    <n v="11.81"/>
    <s v="11417016"/>
  </r>
  <r>
    <x v="67"/>
    <s v="2021-04-16"/>
    <x v="0"/>
    <x v="0"/>
    <n v="1"/>
    <x v="38"/>
    <n v="0.9"/>
    <n v="11.3"/>
    <s v="60814191"/>
  </r>
  <r>
    <x v="68"/>
    <s v="2021-04-19"/>
    <x v="0"/>
    <x v="0"/>
    <n v="43"/>
    <x v="3"/>
    <n v="3.34"/>
    <n v="48.33"/>
    <s v="05503849"/>
  </r>
  <r>
    <x v="68"/>
    <s v="2021-04-19"/>
    <x v="0"/>
    <x v="0"/>
    <n v="42"/>
    <x v="0"/>
    <n v="3.23"/>
    <n v="46.48"/>
    <s v="60850229"/>
  </r>
  <r>
    <x v="68"/>
    <s v="2021-04-19"/>
    <x v="0"/>
    <x v="0"/>
    <n v="41"/>
    <x v="1"/>
    <n v="3.22"/>
    <n v="46.34"/>
    <s v="01800019"/>
  </r>
  <r>
    <x v="68"/>
    <s v="2021-04-19"/>
    <x v="0"/>
    <x v="0"/>
    <n v="40"/>
    <x v="2"/>
    <n v="3.08"/>
    <n v="43.88"/>
    <s v="92228410"/>
  </r>
  <r>
    <x v="68"/>
    <s v="2021-04-19"/>
    <x v="0"/>
    <x v="0"/>
    <n v="39"/>
    <x v="42"/>
    <n v="2.76"/>
    <n v="38.700000000000003"/>
    <s v="34991938"/>
  </r>
  <r>
    <x v="68"/>
    <s v="2021-04-19"/>
    <x v="0"/>
    <x v="0"/>
    <n v="38"/>
    <x v="4"/>
    <n v="2.7"/>
    <n v="37.729999999999997"/>
    <s v="62232889"/>
  </r>
  <r>
    <x v="68"/>
    <s v="2021-04-19"/>
    <x v="0"/>
    <x v="0"/>
    <n v="37"/>
    <x v="5"/>
    <n v="2.58"/>
    <n v="35.79"/>
    <s v="80271455"/>
  </r>
  <r>
    <x v="68"/>
    <s v="2021-04-19"/>
    <x v="0"/>
    <x v="0"/>
    <n v="36"/>
    <x v="7"/>
    <n v="2.4700000000000002"/>
    <n v="34"/>
    <s v="92874270"/>
  </r>
  <r>
    <x v="68"/>
    <s v="2021-04-19"/>
    <x v="0"/>
    <x v="0"/>
    <n v="35"/>
    <x v="6"/>
    <n v="2.41"/>
    <n v="33.090000000000003"/>
    <s v="05676026"/>
  </r>
  <r>
    <x v="68"/>
    <s v="2021-04-19"/>
    <x v="0"/>
    <x v="0"/>
    <n v="34"/>
    <x v="8"/>
    <n v="2.21"/>
    <n v="30.05"/>
    <s v="59285411"/>
  </r>
  <r>
    <x v="68"/>
    <s v="2021-04-19"/>
    <x v="0"/>
    <x v="0"/>
    <n v="33"/>
    <x v="10"/>
    <n v="1.95"/>
    <n v="26.15"/>
    <s v="10371492"/>
  </r>
  <r>
    <x v="68"/>
    <s v="2021-04-19"/>
    <x v="0"/>
    <x v="0"/>
    <n v="32"/>
    <x v="9"/>
    <n v="1.92"/>
    <n v="25.68"/>
    <s v="00411939"/>
  </r>
  <r>
    <x v="68"/>
    <s v="2021-04-19"/>
    <x v="0"/>
    <x v="0"/>
    <n v="31"/>
    <x v="13"/>
    <n v="1.8"/>
    <n v="23.9"/>
    <s v="07707650"/>
  </r>
  <r>
    <x v="68"/>
    <s v="2021-04-19"/>
    <x v="0"/>
    <x v="0"/>
    <n v="30"/>
    <x v="45"/>
    <n v="1.79"/>
    <n v="23.77"/>
    <s v="33040601"/>
  </r>
  <r>
    <x v="68"/>
    <s v="2021-04-19"/>
    <x v="0"/>
    <x v="0"/>
    <n v="29"/>
    <x v="15"/>
    <n v="1.76"/>
    <n v="23.24"/>
    <s v="59588111"/>
  </r>
  <r>
    <x v="68"/>
    <s v="2021-04-19"/>
    <x v="0"/>
    <x v="0"/>
    <n v="28"/>
    <x v="11"/>
    <n v="1.7"/>
    <n v="22.38"/>
    <s v="03634220"/>
  </r>
  <r>
    <x v="68"/>
    <s v="2021-04-19"/>
    <x v="0"/>
    <x v="0"/>
    <n v="27"/>
    <x v="12"/>
    <n v="1.64"/>
    <n v="21.57"/>
    <s v="04862600"/>
  </r>
  <r>
    <x v="68"/>
    <s v="2021-04-19"/>
    <x v="0"/>
    <x v="0"/>
    <n v="26"/>
    <x v="16"/>
    <n v="1.62"/>
    <n v="21.26"/>
    <s v="07207996"/>
  </r>
  <r>
    <x v="68"/>
    <s v="2021-04-19"/>
    <x v="0"/>
    <x v="0"/>
    <n v="25"/>
    <x v="14"/>
    <n v="1.51"/>
    <n v="19.75"/>
    <s v="00360305"/>
  </r>
  <r>
    <x v="68"/>
    <s v="2021-04-19"/>
    <x v="0"/>
    <x v="0"/>
    <n v="24"/>
    <x v="20"/>
    <n v="1.51"/>
    <n v="19.7"/>
    <s v="17192451"/>
  </r>
  <r>
    <x v="68"/>
    <s v="2021-04-19"/>
    <x v="0"/>
    <x v="0"/>
    <n v="23"/>
    <x v="21"/>
    <n v="1.48"/>
    <n v="19.25"/>
    <s v="03017677"/>
  </r>
  <r>
    <x v="68"/>
    <s v="2021-04-19"/>
    <x v="0"/>
    <x v="0"/>
    <n v="22"/>
    <x v="24"/>
    <n v="1.42"/>
    <n v="18.43"/>
    <s v="22639377"/>
  </r>
  <r>
    <x v="68"/>
    <s v="2021-04-19"/>
    <x v="0"/>
    <x v="0"/>
    <n v="21"/>
    <x v="19"/>
    <n v="1.4"/>
    <n v="18.22"/>
    <s v="92702067"/>
  </r>
  <r>
    <x v="68"/>
    <s v="2021-04-19"/>
    <x v="0"/>
    <x v="0"/>
    <n v="20"/>
    <x v="30"/>
    <n v="1.34"/>
    <n v="17.28"/>
    <s v="03502961"/>
  </r>
  <r>
    <x v="68"/>
    <s v="2021-04-19"/>
    <x v="0"/>
    <x v="0"/>
    <n v="19"/>
    <x v="32"/>
    <n v="1.32"/>
    <n v="17.100000000000001"/>
    <s v="60701190"/>
  </r>
  <r>
    <x v="68"/>
    <s v="2021-04-19"/>
    <x v="0"/>
    <x v="0"/>
    <n v="18"/>
    <x v="25"/>
    <n v="1.32"/>
    <n v="17.079999999999998"/>
    <s v="59274605"/>
  </r>
  <r>
    <x v="68"/>
    <s v="2021-04-19"/>
    <x v="0"/>
    <x v="0"/>
    <n v="17"/>
    <x v="29"/>
    <n v="1.3"/>
    <n v="16.77"/>
    <s v="60746948"/>
  </r>
  <r>
    <x v="68"/>
    <s v="2021-04-19"/>
    <x v="0"/>
    <x v="0"/>
    <n v="16"/>
    <x v="26"/>
    <n v="1.3"/>
    <n v="16.7"/>
    <s v="30172491"/>
  </r>
  <r>
    <x v="68"/>
    <s v="2021-04-19"/>
    <x v="0"/>
    <x v="0"/>
    <n v="15"/>
    <x v="28"/>
    <n v="1.26"/>
    <n v="16.2"/>
    <s v="90400888"/>
  </r>
  <r>
    <x v="68"/>
    <s v="2021-04-19"/>
    <x v="0"/>
    <x v="0"/>
    <n v="14"/>
    <x v="18"/>
    <n v="1.25"/>
    <n v="16.11"/>
    <s v="28127603"/>
  </r>
  <r>
    <x v="68"/>
    <s v="2021-04-19"/>
    <x v="0"/>
    <x v="0"/>
    <n v="13"/>
    <x v="36"/>
    <n v="1.24"/>
    <n v="15.97"/>
    <s v="33136888"/>
  </r>
  <r>
    <x v="68"/>
    <s v="2021-04-19"/>
    <x v="0"/>
    <x v="0"/>
    <n v="12"/>
    <x v="23"/>
    <n v="1.23"/>
    <n v="15.78"/>
    <s v="03215790"/>
  </r>
  <r>
    <x v="68"/>
    <s v="2021-04-19"/>
    <x v="0"/>
    <x v="0"/>
    <n v="11"/>
    <x v="33"/>
    <n v="1.2"/>
    <n v="15.41"/>
    <s v="62307848"/>
  </r>
  <r>
    <x v="68"/>
    <s v="2021-04-19"/>
    <x v="0"/>
    <x v="0"/>
    <n v="10"/>
    <x v="27"/>
    <n v="1.19"/>
    <n v="15.28"/>
    <s v="00000000"/>
  </r>
  <r>
    <x v="68"/>
    <s v="2021-04-19"/>
    <x v="0"/>
    <x v="0"/>
    <n v="9"/>
    <x v="31"/>
    <n v="1.18"/>
    <n v="15.13"/>
    <s v="17167412"/>
  </r>
  <r>
    <x v="68"/>
    <s v="2021-04-19"/>
    <x v="0"/>
    <x v="0"/>
    <n v="8"/>
    <x v="34"/>
    <n v="1.1399999999999999"/>
    <n v="14.55"/>
    <s v="33603457"/>
  </r>
  <r>
    <x v="68"/>
    <s v="2021-04-19"/>
    <x v="0"/>
    <x v="0"/>
    <n v="7"/>
    <x v="39"/>
    <n v="1.0900000000000001"/>
    <n v="13.85"/>
    <s v="04902979"/>
  </r>
  <r>
    <x v="68"/>
    <s v="2021-04-19"/>
    <x v="0"/>
    <x v="0"/>
    <n v="6"/>
    <x v="37"/>
    <n v="1.05"/>
    <n v="13.32"/>
    <s v="04452473"/>
  </r>
  <r>
    <x v="68"/>
    <s v="2021-04-19"/>
    <x v="0"/>
    <x v="0"/>
    <n v="5"/>
    <x v="44"/>
    <n v="0.99"/>
    <n v="12.5"/>
    <s v="58017179"/>
  </r>
  <r>
    <x v="68"/>
    <s v="2021-04-19"/>
    <x v="0"/>
    <x v="0"/>
    <n v="4"/>
    <x v="35"/>
    <n v="0.98"/>
    <n v="12.42"/>
    <s v="59109165"/>
  </r>
  <r>
    <x v="68"/>
    <s v="2021-04-19"/>
    <x v="0"/>
    <x v="0"/>
    <n v="3"/>
    <x v="40"/>
    <n v="0.93"/>
    <n v="11.77"/>
    <s v="02992446"/>
  </r>
  <r>
    <x v="68"/>
    <s v="2021-04-19"/>
    <x v="0"/>
    <x v="0"/>
    <n v="2"/>
    <x v="22"/>
    <n v="0.93"/>
    <n v="11.73"/>
    <s v="11417016"/>
  </r>
  <r>
    <x v="68"/>
    <s v="2021-04-19"/>
    <x v="0"/>
    <x v="0"/>
    <n v="1"/>
    <x v="38"/>
    <n v="0.91"/>
    <n v="11.43"/>
    <s v="60814191"/>
  </r>
  <r>
    <x v="69"/>
    <s v="2021-04-20"/>
    <x v="0"/>
    <x v="0"/>
    <n v="44"/>
    <x v="0"/>
    <n v="3.32"/>
    <n v="47.93"/>
    <s v="60850229"/>
  </r>
  <r>
    <x v="69"/>
    <s v="2021-04-20"/>
    <x v="0"/>
    <x v="0"/>
    <n v="43"/>
    <x v="3"/>
    <n v="3.29"/>
    <n v="47.49"/>
    <s v="05503849"/>
  </r>
  <r>
    <x v="69"/>
    <s v="2021-04-20"/>
    <x v="0"/>
    <x v="0"/>
    <n v="42"/>
    <x v="1"/>
    <n v="3.19"/>
    <n v="45.8"/>
    <s v="01800019"/>
  </r>
  <r>
    <x v="69"/>
    <s v="2021-04-20"/>
    <x v="0"/>
    <x v="0"/>
    <n v="41"/>
    <x v="2"/>
    <n v="3.06"/>
    <n v="43.63"/>
    <s v="92228410"/>
  </r>
  <r>
    <x v="69"/>
    <s v="2021-04-20"/>
    <x v="0"/>
    <x v="0"/>
    <n v="40"/>
    <x v="42"/>
    <n v="2.76"/>
    <n v="38.700000000000003"/>
    <s v="34991938"/>
  </r>
  <r>
    <x v="69"/>
    <s v="2021-04-20"/>
    <x v="0"/>
    <x v="0"/>
    <n v="39"/>
    <x v="4"/>
    <n v="2.68"/>
    <n v="37.33"/>
    <s v="62232889"/>
  </r>
  <r>
    <x v="69"/>
    <s v="2021-04-20"/>
    <x v="0"/>
    <x v="0"/>
    <n v="38"/>
    <x v="5"/>
    <n v="2.59"/>
    <n v="35.85"/>
    <s v="80271455"/>
  </r>
  <r>
    <x v="69"/>
    <s v="2021-04-20"/>
    <x v="0"/>
    <x v="0"/>
    <n v="37"/>
    <x v="7"/>
    <n v="2.4700000000000002"/>
    <n v="33.979999999999997"/>
    <s v="92874270"/>
  </r>
  <r>
    <x v="69"/>
    <s v="2021-04-20"/>
    <x v="0"/>
    <x v="0"/>
    <n v="36"/>
    <x v="6"/>
    <n v="2.41"/>
    <n v="33.1"/>
    <s v="05676026"/>
  </r>
  <r>
    <x v="69"/>
    <s v="2021-04-20"/>
    <x v="0"/>
    <x v="0"/>
    <n v="35"/>
    <x v="8"/>
    <n v="2.21"/>
    <n v="30"/>
    <s v="59285411"/>
  </r>
  <r>
    <x v="69"/>
    <s v="2021-04-20"/>
    <x v="0"/>
    <x v="0"/>
    <n v="34"/>
    <x v="9"/>
    <n v="1.99"/>
    <n v="26.7"/>
    <s v="00411939"/>
  </r>
  <r>
    <x v="69"/>
    <s v="2021-04-20"/>
    <x v="0"/>
    <x v="0"/>
    <n v="33"/>
    <x v="10"/>
    <n v="1.96"/>
    <n v="26.26"/>
    <s v="10371492"/>
  </r>
  <r>
    <x v="69"/>
    <s v="2021-04-20"/>
    <x v="0"/>
    <x v="0"/>
    <n v="32"/>
    <x v="13"/>
    <n v="1.8"/>
    <n v="23.83"/>
    <s v="07707650"/>
  </r>
  <r>
    <x v="69"/>
    <s v="2021-04-20"/>
    <x v="0"/>
    <x v="0"/>
    <n v="31"/>
    <x v="45"/>
    <n v="1.79"/>
    <n v="23.77"/>
    <s v="33040601"/>
  </r>
  <r>
    <x v="69"/>
    <s v="2021-04-20"/>
    <x v="0"/>
    <x v="0"/>
    <n v="30"/>
    <x v="15"/>
    <n v="1.75"/>
    <n v="23.2"/>
    <s v="59588111"/>
  </r>
  <r>
    <x v="69"/>
    <s v="2021-04-20"/>
    <x v="0"/>
    <x v="0"/>
    <n v="29"/>
    <x v="11"/>
    <n v="1.69"/>
    <n v="22.24"/>
    <s v="03634220"/>
  </r>
  <r>
    <x v="69"/>
    <s v="2021-04-20"/>
    <x v="0"/>
    <x v="0"/>
    <n v="28"/>
    <x v="12"/>
    <n v="1.65"/>
    <n v="21.71"/>
    <s v="04862600"/>
  </r>
  <r>
    <x v="69"/>
    <s v="2021-04-20"/>
    <x v="0"/>
    <x v="0"/>
    <n v="27"/>
    <x v="16"/>
    <n v="1.61"/>
    <n v="21.14"/>
    <s v="07207996"/>
  </r>
  <r>
    <x v="69"/>
    <s v="2021-04-20"/>
    <x v="0"/>
    <x v="0"/>
    <n v="26"/>
    <x v="20"/>
    <n v="1.51"/>
    <n v="19.670000000000002"/>
    <s v="17192451"/>
  </r>
  <r>
    <x v="69"/>
    <s v="2021-04-20"/>
    <x v="0"/>
    <x v="0"/>
    <n v="25"/>
    <x v="14"/>
    <n v="1.5"/>
    <n v="19.61"/>
    <s v="00360305"/>
  </r>
  <r>
    <x v="69"/>
    <s v="2021-04-20"/>
    <x v="0"/>
    <x v="0"/>
    <n v="24"/>
    <x v="21"/>
    <n v="1.47"/>
    <n v="19.100000000000001"/>
    <s v="03017677"/>
  </r>
  <r>
    <x v="69"/>
    <s v="2021-04-20"/>
    <x v="0"/>
    <x v="0"/>
    <n v="23"/>
    <x v="18"/>
    <n v="1.41"/>
    <n v="18.350000000000001"/>
    <s v="28127603"/>
  </r>
  <r>
    <x v="69"/>
    <s v="2021-04-20"/>
    <x v="0"/>
    <x v="0"/>
    <n v="22"/>
    <x v="19"/>
    <n v="1.4"/>
    <n v="18.22"/>
    <s v="92702067"/>
  </r>
  <r>
    <x v="69"/>
    <s v="2021-04-20"/>
    <x v="0"/>
    <x v="0"/>
    <n v="21"/>
    <x v="24"/>
    <n v="1.39"/>
    <n v="18.059999999999999"/>
    <s v="22639377"/>
  </r>
  <r>
    <x v="69"/>
    <s v="2021-04-20"/>
    <x v="0"/>
    <x v="0"/>
    <n v="20"/>
    <x v="30"/>
    <n v="1.34"/>
    <n v="17.37"/>
    <s v="03502961"/>
  </r>
  <r>
    <x v="69"/>
    <s v="2021-04-20"/>
    <x v="0"/>
    <x v="0"/>
    <n v="19"/>
    <x v="32"/>
    <n v="1.33"/>
    <n v="17.13"/>
    <s v="60701190"/>
  </r>
  <r>
    <x v="69"/>
    <s v="2021-04-20"/>
    <x v="0"/>
    <x v="0"/>
    <n v="18"/>
    <x v="25"/>
    <n v="1.32"/>
    <n v="17.05"/>
    <s v="59274605"/>
  </r>
  <r>
    <x v="69"/>
    <s v="2021-04-20"/>
    <x v="0"/>
    <x v="0"/>
    <n v="17"/>
    <x v="26"/>
    <n v="1.3"/>
    <n v="16.72"/>
    <s v="30172491"/>
  </r>
  <r>
    <x v="69"/>
    <s v="2021-04-20"/>
    <x v="0"/>
    <x v="0"/>
    <n v="16"/>
    <x v="29"/>
    <n v="1.3"/>
    <n v="16.690000000000001"/>
    <s v="60746948"/>
  </r>
  <r>
    <x v="69"/>
    <s v="2021-04-20"/>
    <x v="0"/>
    <x v="0"/>
    <n v="15"/>
    <x v="28"/>
    <n v="1.27"/>
    <n v="16.38"/>
    <s v="90400888"/>
  </r>
  <r>
    <x v="69"/>
    <s v="2021-04-20"/>
    <x v="0"/>
    <x v="0"/>
    <n v="14"/>
    <x v="23"/>
    <n v="1.22"/>
    <n v="15.72"/>
    <s v="03215790"/>
  </r>
  <r>
    <x v="69"/>
    <s v="2021-04-20"/>
    <x v="0"/>
    <x v="0"/>
    <n v="13"/>
    <x v="31"/>
    <n v="1.21"/>
    <n v="15.54"/>
    <s v="17167412"/>
  </r>
  <r>
    <x v="69"/>
    <s v="2021-04-20"/>
    <x v="0"/>
    <x v="0"/>
    <n v="12"/>
    <x v="27"/>
    <n v="1.2"/>
    <n v="15.44"/>
    <s v="00000000"/>
  </r>
  <r>
    <x v="69"/>
    <s v="2021-04-20"/>
    <x v="0"/>
    <x v="0"/>
    <n v="11"/>
    <x v="33"/>
    <n v="1.2"/>
    <n v="15.32"/>
    <s v="62307848"/>
  </r>
  <r>
    <x v="69"/>
    <s v="2021-04-20"/>
    <x v="0"/>
    <x v="0"/>
    <n v="10"/>
    <x v="34"/>
    <n v="1.1399999999999999"/>
    <n v="14.62"/>
    <s v="33603457"/>
  </r>
  <r>
    <x v="69"/>
    <s v="2021-04-20"/>
    <x v="0"/>
    <x v="0"/>
    <n v="9"/>
    <x v="36"/>
    <n v="1.1299999999999999"/>
    <n v="14.43"/>
    <s v="33136888"/>
  </r>
  <r>
    <x v="69"/>
    <s v="2021-04-20"/>
    <x v="0"/>
    <x v="0"/>
    <n v="8"/>
    <x v="39"/>
    <n v="1.1100000000000001"/>
    <n v="14.13"/>
    <s v="04902979"/>
  </r>
  <r>
    <x v="69"/>
    <s v="2021-04-20"/>
    <x v="0"/>
    <x v="0"/>
    <n v="7"/>
    <x v="37"/>
    <n v="1.05"/>
    <n v="13.33"/>
    <s v="04452473"/>
  </r>
  <r>
    <x v="69"/>
    <s v="2021-04-20"/>
    <x v="0"/>
    <x v="0"/>
    <n v="6"/>
    <x v="47"/>
    <n v="1.01"/>
    <n v="12.86"/>
    <s v="28517628"/>
  </r>
  <r>
    <x v="69"/>
    <s v="2021-04-20"/>
    <x v="0"/>
    <x v="0"/>
    <n v="5"/>
    <x v="35"/>
    <n v="0.99"/>
    <n v="12.53"/>
    <s v="59109165"/>
  </r>
  <r>
    <x v="69"/>
    <s v="2021-04-20"/>
    <x v="0"/>
    <x v="0"/>
    <n v="4"/>
    <x v="44"/>
    <n v="0.99"/>
    <n v="12.51"/>
    <s v="58017179"/>
  </r>
  <r>
    <x v="69"/>
    <s v="2021-04-20"/>
    <x v="0"/>
    <x v="0"/>
    <n v="3"/>
    <x v="22"/>
    <n v="0.93"/>
    <n v="11.78"/>
    <s v="11417016"/>
  </r>
  <r>
    <x v="69"/>
    <s v="2021-04-20"/>
    <x v="0"/>
    <x v="0"/>
    <n v="2"/>
    <x v="38"/>
    <n v="0.92"/>
    <n v="11.67"/>
    <s v="60814191"/>
  </r>
  <r>
    <x v="69"/>
    <s v="2021-04-20"/>
    <x v="0"/>
    <x v="0"/>
    <n v="1"/>
    <x v="40"/>
    <n v="0.92"/>
    <n v="11.67"/>
    <s v="02992446"/>
  </r>
  <r>
    <x v="70"/>
    <s v="2021-04-22"/>
    <x v="0"/>
    <x v="0"/>
    <n v="44"/>
    <x v="0"/>
    <n v="3.27"/>
    <n v="47.17"/>
    <s v="60850229"/>
  </r>
  <r>
    <x v="70"/>
    <s v="2021-04-22"/>
    <x v="0"/>
    <x v="0"/>
    <n v="43"/>
    <x v="3"/>
    <n v="3.23"/>
    <n v="46.43"/>
    <s v="05503849"/>
  </r>
  <r>
    <x v="70"/>
    <s v="2021-04-22"/>
    <x v="0"/>
    <x v="0"/>
    <n v="42"/>
    <x v="1"/>
    <n v="3.06"/>
    <n v="43.62"/>
    <s v="01800019"/>
  </r>
  <r>
    <x v="70"/>
    <s v="2021-04-22"/>
    <x v="0"/>
    <x v="0"/>
    <n v="41"/>
    <x v="2"/>
    <n v="3.03"/>
    <n v="43.12"/>
    <s v="92228410"/>
  </r>
  <r>
    <x v="70"/>
    <s v="2021-04-22"/>
    <x v="0"/>
    <x v="0"/>
    <n v="40"/>
    <x v="42"/>
    <n v="2.76"/>
    <n v="38.700000000000003"/>
    <s v="34991938"/>
  </r>
  <r>
    <x v="70"/>
    <s v="2021-04-22"/>
    <x v="0"/>
    <x v="0"/>
    <n v="39"/>
    <x v="4"/>
    <n v="2.68"/>
    <n v="37.270000000000003"/>
    <s v="62232889"/>
  </r>
  <r>
    <x v="70"/>
    <s v="2021-04-22"/>
    <x v="0"/>
    <x v="0"/>
    <n v="38"/>
    <x v="5"/>
    <n v="2.5"/>
    <n v="34.409999999999997"/>
    <s v="80271455"/>
  </r>
  <r>
    <x v="70"/>
    <s v="2021-04-22"/>
    <x v="0"/>
    <x v="0"/>
    <n v="37"/>
    <x v="7"/>
    <n v="2.4700000000000002"/>
    <n v="34.04"/>
    <s v="92874270"/>
  </r>
  <r>
    <x v="70"/>
    <s v="2021-04-22"/>
    <x v="0"/>
    <x v="0"/>
    <n v="36"/>
    <x v="6"/>
    <n v="2.41"/>
    <n v="33.049999999999997"/>
    <s v="05676026"/>
  </r>
  <r>
    <x v="70"/>
    <s v="2021-04-22"/>
    <x v="0"/>
    <x v="0"/>
    <n v="35"/>
    <x v="8"/>
    <n v="2.21"/>
    <n v="29.94"/>
    <s v="59285411"/>
  </r>
  <r>
    <x v="70"/>
    <s v="2021-04-22"/>
    <x v="0"/>
    <x v="0"/>
    <n v="34"/>
    <x v="9"/>
    <n v="2"/>
    <n v="26.82"/>
    <s v="00411939"/>
  </r>
  <r>
    <x v="70"/>
    <s v="2021-04-22"/>
    <x v="0"/>
    <x v="0"/>
    <n v="33"/>
    <x v="10"/>
    <n v="1.96"/>
    <n v="26.25"/>
    <s v="10371492"/>
  </r>
  <r>
    <x v="70"/>
    <s v="2021-04-22"/>
    <x v="0"/>
    <x v="0"/>
    <n v="32"/>
    <x v="13"/>
    <n v="1.8"/>
    <n v="23.81"/>
    <s v="07707650"/>
  </r>
  <r>
    <x v="70"/>
    <s v="2021-04-22"/>
    <x v="0"/>
    <x v="0"/>
    <n v="31"/>
    <x v="45"/>
    <n v="1.79"/>
    <n v="23.77"/>
    <s v="33040601"/>
  </r>
  <r>
    <x v="70"/>
    <s v="2021-04-22"/>
    <x v="0"/>
    <x v="0"/>
    <n v="30"/>
    <x v="15"/>
    <n v="1.75"/>
    <n v="23.14"/>
    <s v="59588111"/>
  </r>
  <r>
    <x v="70"/>
    <s v="2021-04-22"/>
    <x v="0"/>
    <x v="0"/>
    <n v="29"/>
    <x v="11"/>
    <n v="1.71"/>
    <n v="22.49"/>
    <s v="03634220"/>
  </r>
  <r>
    <x v="70"/>
    <s v="2021-04-22"/>
    <x v="0"/>
    <x v="0"/>
    <n v="28"/>
    <x v="12"/>
    <n v="1.64"/>
    <n v="21.58"/>
    <s v="04862600"/>
  </r>
  <r>
    <x v="70"/>
    <s v="2021-04-22"/>
    <x v="0"/>
    <x v="0"/>
    <n v="27"/>
    <x v="16"/>
    <n v="1.61"/>
    <n v="21.14"/>
    <s v="07207996"/>
  </r>
  <r>
    <x v="70"/>
    <s v="2021-04-22"/>
    <x v="0"/>
    <x v="0"/>
    <n v="26"/>
    <x v="20"/>
    <n v="1.5"/>
    <n v="19.62"/>
    <s v="17192451"/>
  </r>
  <r>
    <x v="70"/>
    <s v="2021-04-22"/>
    <x v="0"/>
    <x v="0"/>
    <n v="25"/>
    <x v="21"/>
    <n v="1.47"/>
    <n v="19.14"/>
    <s v="03017677"/>
  </r>
  <r>
    <x v="70"/>
    <s v="2021-04-22"/>
    <x v="0"/>
    <x v="0"/>
    <n v="24"/>
    <x v="24"/>
    <n v="1.43"/>
    <n v="18.55"/>
    <s v="22639377"/>
  </r>
  <r>
    <x v="70"/>
    <s v="2021-04-22"/>
    <x v="0"/>
    <x v="0"/>
    <n v="23"/>
    <x v="18"/>
    <n v="1.42"/>
    <n v="18.43"/>
    <s v="28127603"/>
  </r>
  <r>
    <x v="70"/>
    <s v="2021-04-22"/>
    <x v="0"/>
    <x v="0"/>
    <n v="22"/>
    <x v="19"/>
    <n v="1.4"/>
    <n v="18.22"/>
    <s v="92702067"/>
  </r>
  <r>
    <x v="70"/>
    <s v="2021-04-22"/>
    <x v="0"/>
    <x v="0"/>
    <n v="21"/>
    <x v="14"/>
    <n v="1.39"/>
    <n v="17.940000000000001"/>
    <s v="00360305"/>
  </r>
  <r>
    <x v="70"/>
    <s v="2021-04-22"/>
    <x v="0"/>
    <x v="0"/>
    <n v="20"/>
    <x v="30"/>
    <n v="1.37"/>
    <n v="17.690000000000001"/>
    <s v="03502961"/>
  </r>
  <r>
    <x v="70"/>
    <s v="2021-04-22"/>
    <x v="0"/>
    <x v="0"/>
    <n v="19"/>
    <x v="25"/>
    <n v="1.31"/>
    <n v="16.920000000000002"/>
    <s v="59274605"/>
  </r>
  <r>
    <x v="70"/>
    <s v="2021-04-22"/>
    <x v="0"/>
    <x v="0"/>
    <n v="18"/>
    <x v="32"/>
    <n v="1.31"/>
    <n v="16.850000000000001"/>
    <s v="60701190"/>
  </r>
  <r>
    <x v="70"/>
    <s v="2021-04-22"/>
    <x v="0"/>
    <x v="0"/>
    <n v="17"/>
    <x v="26"/>
    <n v="1.3"/>
    <n v="16.690000000000001"/>
    <s v="30172491"/>
  </r>
  <r>
    <x v="70"/>
    <s v="2021-04-22"/>
    <x v="0"/>
    <x v="0"/>
    <n v="16"/>
    <x v="29"/>
    <n v="1.29"/>
    <n v="16.62"/>
    <s v="60746948"/>
  </r>
  <r>
    <x v="70"/>
    <s v="2021-04-22"/>
    <x v="0"/>
    <x v="0"/>
    <n v="15"/>
    <x v="28"/>
    <n v="1.26"/>
    <n v="16.25"/>
    <s v="90400888"/>
  </r>
  <r>
    <x v="70"/>
    <s v="2021-04-22"/>
    <x v="0"/>
    <x v="0"/>
    <n v="14"/>
    <x v="23"/>
    <n v="1.23"/>
    <n v="15.86"/>
    <s v="03215790"/>
  </r>
  <r>
    <x v="70"/>
    <s v="2021-04-22"/>
    <x v="0"/>
    <x v="0"/>
    <n v="13"/>
    <x v="31"/>
    <n v="1.22"/>
    <n v="15.66"/>
    <s v="17167412"/>
  </r>
  <r>
    <x v="70"/>
    <s v="2021-04-22"/>
    <x v="0"/>
    <x v="0"/>
    <n v="12"/>
    <x v="27"/>
    <n v="1.2"/>
    <n v="15.35"/>
    <s v="00000000"/>
  </r>
  <r>
    <x v="70"/>
    <s v="2021-04-22"/>
    <x v="0"/>
    <x v="0"/>
    <n v="11"/>
    <x v="33"/>
    <n v="1.19"/>
    <n v="15.3"/>
    <s v="62307848"/>
  </r>
  <r>
    <x v="70"/>
    <s v="2021-04-22"/>
    <x v="0"/>
    <x v="0"/>
    <n v="10"/>
    <x v="34"/>
    <n v="1.1499999999999999"/>
    <n v="14.75"/>
    <s v="33603457"/>
  </r>
  <r>
    <x v="70"/>
    <s v="2021-04-22"/>
    <x v="0"/>
    <x v="0"/>
    <n v="9"/>
    <x v="36"/>
    <n v="1.1499999999999999"/>
    <n v="14.71"/>
    <s v="33136888"/>
  </r>
  <r>
    <x v="70"/>
    <s v="2021-04-22"/>
    <x v="0"/>
    <x v="0"/>
    <n v="8"/>
    <x v="39"/>
    <n v="1.1100000000000001"/>
    <n v="14.13"/>
    <s v="04902979"/>
  </r>
  <r>
    <x v="70"/>
    <s v="2021-04-22"/>
    <x v="0"/>
    <x v="0"/>
    <n v="7"/>
    <x v="37"/>
    <n v="1.05"/>
    <n v="13.33"/>
    <s v="04452473"/>
  </r>
  <r>
    <x v="70"/>
    <s v="2021-04-22"/>
    <x v="0"/>
    <x v="0"/>
    <n v="6"/>
    <x v="47"/>
    <n v="1.01"/>
    <n v="12.86"/>
    <s v="28517628"/>
  </r>
  <r>
    <x v="70"/>
    <s v="2021-04-22"/>
    <x v="0"/>
    <x v="0"/>
    <n v="5"/>
    <x v="35"/>
    <n v="0.99"/>
    <n v="12.52"/>
    <s v="59109165"/>
  </r>
  <r>
    <x v="70"/>
    <s v="2021-04-22"/>
    <x v="0"/>
    <x v="0"/>
    <n v="4"/>
    <x v="38"/>
    <n v="0.94"/>
    <n v="11.83"/>
    <s v="60814191"/>
  </r>
  <r>
    <x v="70"/>
    <s v="2021-04-22"/>
    <x v="0"/>
    <x v="0"/>
    <n v="3"/>
    <x v="22"/>
    <n v="0.93"/>
    <n v="11.74"/>
    <s v="11417016"/>
  </r>
  <r>
    <x v="70"/>
    <s v="2021-04-22"/>
    <x v="0"/>
    <x v="0"/>
    <n v="2"/>
    <x v="44"/>
    <n v="0.92"/>
    <n v="11.62"/>
    <s v="58017179"/>
  </r>
  <r>
    <x v="70"/>
    <s v="2021-04-22"/>
    <x v="0"/>
    <x v="0"/>
    <n v="1"/>
    <x v="40"/>
    <n v="0.92"/>
    <n v="11.58"/>
    <s v="02992446"/>
  </r>
  <r>
    <x v="71"/>
    <s v="2021-04-23"/>
    <x v="0"/>
    <x v="0"/>
    <n v="45"/>
    <x v="0"/>
    <n v="3.34"/>
    <n v="48.27"/>
    <s v="60850229"/>
  </r>
  <r>
    <x v="71"/>
    <s v="2021-04-23"/>
    <x v="0"/>
    <x v="0"/>
    <n v="44"/>
    <x v="3"/>
    <n v="3.24"/>
    <n v="46.63"/>
    <s v="05503849"/>
  </r>
  <r>
    <x v="71"/>
    <s v="2021-04-23"/>
    <x v="0"/>
    <x v="0"/>
    <n v="43"/>
    <x v="1"/>
    <n v="3.17"/>
    <n v="45.45"/>
    <s v="01800019"/>
  </r>
  <r>
    <x v="71"/>
    <s v="2021-04-23"/>
    <x v="0"/>
    <x v="0"/>
    <n v="42"/>
    <x v="2"/>
    <n v="3.01"/>
    <n v="42.78"/>
    <s v="92228410"/>
  </r>
  <r>
    <x v="71"/>
    <s v="2021-04-23"/>
    <x v="0"/>
    <x v="0"/>
    <n v="41"/>
    <x v="42"/>
    <n v="2.76"/>
    <n v="38.700000000000003"/>
    <s v="34991938"/>
  </r>
  <r>
    <x v="71"/>
    <s v="2021-04-23"/>
    <x v="0"/>
    <x v="0"/>
    <n v="40"/>
    <x v="4"/>
    <n v="2.69"/>
    <n v="37.520000000000003"/>
    <s v="62232889"/>
  </r>
  <r>
    <x v="71"/>
    <s v="2021-04-23"/>
    <x v="0"/>
    <x v="0"/>
    <n v="39"/>
    <x v="5"/>
    <n v="2.5499999999999998"/>
    <n v="35.200000000000003"/>
    <s v="80271455"/>
  </r>
  <r>
    <x v="71"/>
    <s v="2021-04-23"/>
    <x v="0"/>
    <x v="0"/>
    <n v="38"/>
    <x v="7"/>
    <n v="2.4700000000000002"/>
    <n v="34"/>
    <s v="92874270"/>
  </r>
  <r>
    <x v="71"/>
    <s v="2021-04-23"/>
    <x v="0"/>
    <x v="0"/>
    <n v="37"/>
    <x v="6"/>
    <n v="2.41"/>
    <n v="33.07"/>
    <s v="05676026"/>
  </r>
  <r>
    <x v="71"/>
    <s v="2021-04-23"/>
    <x v="0"/>
    <x v="0"/>
    <n v="36"/>
    <x v="8"/>
    <n v="2.2000000000000002"/>
    <n v="29.87"/>
    <s v="59285411"/>
  </r>
  <r>
    <x v="71"/>
    <s v="2021-04-23"/>
    <x v="0"/>
    <x v="0"/>
    <n v="35"/>
    <x v="9"/>
    <n v="2.02"/>
    <n v="27.11"/>
    <s v="00411939"/>
  </r>
  <r>
    <x v="71"/>
    <s v="2021-04-23"/>
    <x v="0"/>
    <x v="0"/>
    <n v="34"/>
    <x v="10"/>
    <n v="1.96"/>
    <n v="26.18"/>
    <s v="10371492"/>
  </r>
  <r>
    <x v="71"/>
    <s v="2021-04-23"/>
    <x v="0"/>
    <x v="0"/>
    <n v="33"/>
    <x v="13"/>
    <n v="1.8"/>
    <n v="23.82"/>
    <s v="07707650"/>
  </r>
  <r>
    <x v="71"/>
    <s v="2021-04-23"/>
    <x v="0"/>
    <x v="0"/>
    <n v="32"/>
    <x v="45"/>
    <n v="1.79"/>
    <n v="23.77"/>
    <s v="33040601"/>
  </r>
  <r>
    <x v="71"/>
    <s v="2021-04-23"/>
    <x v="0"/>
    <x v="0"/>
    <n v="31"/>
    <x v="15"/>
    <n v="1.75"/>
    <n v="23.11"/>
    <s v="59588111"/>
  </r>
  <r>
    <x v="71"/>
    <s v="2021-04-23"/>
    <x v="0"/>
    <x v="0"/>
    <n v="30"/>
    <x v="11"/>
    <n v="1.69"/>
    <n v="22.26"/>
    <s v="03634220"/>
  </r>
  <r>
    <x v="71"/>
    <s v="2021-04-23"/>
    <x v="0"/>
    <x v="0"/>
    <n v="29"/>
    <x v="12"/>
    <n v="1.64"/>
    <n v="21.59"/>
    <s v="04862600"/>
  </r>
  <r>
    <x v="71"/>
    <s v="2021-04-23"/>
    <x v="0"/>
    <x v="0"/>
    <n v="28"/>
    <x v="16"/>
    <n v="1.61"/>
    <n v="21.11"/>
    <s v="07207996"/>
  </r>
  <r>
    <x v="71"/>
    <s v="2021-04-23"/>
    <x v="0"/>
    <x v="0"/>
    <n v="27"/>
    <x v="20"/>
    <n v="1.5"/>
    <n v="19.62"/>
    <s v="17192451"/>
  </r>
  <r>
    <x v="71"/>
    <s v="2021-04-23"/>
    <x v="0"/>
    <x v="0"/>
    <n v="26"/>
    <x v="21"/>
    <n v="1.46"/>
    <n v="19.03"/>
    <s v="03017677"/>
  </r>
  <r>
    <x v="71"/>
    <s v="2021-04-23"/>
    <x v="0"/>
    <x v="0"/>
    <n v="25"/>
    <x v="19"/>
    <n v="1.4"/>
    <n v="18.22"/>
    <s v="92702067"/>
  </r>
  <r>
    <x v="71"/>
    <s v="2021-04-23"/>
    <x v="0"/>
    <x v="0"/>
    <n v="24"/>
    <x v="14"/>
    <n v="1.38"/>
    <n v="17.829999999999998"/>
    <s v="00360305"/>
  </r>
  <r>
    <x v="71"/>
    <s v="2021-04-23"/>
    <x v="0"/>
    <x v="0"/>
    <n v="23"/>
    <x v="30"/>
    <n v="1.37"/>
    <n v="17.66"/>
    <s v="03502961"/>
  </r>
  <r>
    <x v="71"/>
    <s v="2021-04-23"/>
    <x v="0"/>
    <x v="0"/>
    <n v="22"/>
    <x v="18"/>
    <n v="1.34"/>
    <n v="17.37"/>
    <s v="28127603"/>
  </r>
  <r>
    <x v="71"/>
    <s v="2021-04-23"/>
    <x v="0"/>
    <x v="0"/>
    <n v="21"/>
    <x v="24"/>
    <n v="1.34"/>
    <n v="17.34"/>
    <s v="22639377"/>
  </r>
  <r>
    <x v="71"/>
    <s v="2021-04-23"/>
    <x v="0"/>
    <x v="0"/>
    <n v="20"/>
    <x v="25"/>
    <n v="1.32"/>
    <n v="17.05"/>
    <s v="59274605"/>
  </r>
  <r>
    <x v="71"/>
    <s v="2021-04-23"/>
    <x v="0"/>
    <x v="0"/>
    <n v="19"/>
    <x v="32"/>
    <n v="1.31"/>
    <n v="16.940000000000001"/>
    <s v="60701190"/>
  </r>
  <r>
    <x v="71"/>
    <s v="2021-04-23"/>
    <x v="0"/>
    <x v="0"/>
    <n v="18"/>
    <x v="26"/>
    <n v="1.29"/>
    <n v="16.64"/>
    <s v="30172491"/>
  </r>
  <r>
    <x v="71"/>
    <s v="2021-04-23"/>
    <x v="0"/>
    <x v="0"/>
    <n v="17"/>
    <x v="29"/>
    <n v="1.29"/>
    <n v="16.62"/>
    <s v="60746948"/>
  </r>
  <r>
    <x v="71"/>
    <s v="2021-04-23"/>
    <x v="0"/>
    <x v="0"/>
    <n v="16"/>
    <x v="43"/>
    <n v="1.27"/>
    <n v="16.329999999999998"/>
    <s v="07441209"/>
  </r>
  <r>
    <x v="71"/>
    <s v="2021-04-23"/>
    <x v="0"/>
    <x v="0"/>
    <n v="15"/>
    <x v="28"/>
    <n v="1.26"/>
    <n v="16.18"/>
    <s v="90400888"/>
  </r>
  <r>
    <x v="71"/>
    <s v="2021-04-23"/>
    <x v="0"/>
    <x v="0"/>
    <n v="14"/>
    <x v="23"/>
    <n v="1.23"/>
    <n v="15.84"/>
    <s v="03215790"/>
  </r>
  <r>
    <x v="71"/>
    <s v="2021-04-23"/>
    <x v="0"/>
    <x v="0"/>
    <n v="13"/>
    <x v="31"/>
    <n v="1.21"/>
    <n v="15.56"/>
    <s v="17167412"/>
  </r>
  <r>
    <x v="71"/>
    <s v="2021-04-23"/>
    <x v="0"/>
    <x v="0"/>
    <n v="12"/>
    <x v="33"/>
    <n v="1.2"/>
    <n v="15.34"/>
    <s v="62307848"/>
  </r>
  <r>
    <x v="71"/>
    <s v="2021-04-23"/>
    <x v="0"/>
    <x v="0"/>
    <n v="11"/>
    <x v="27"/>
    <n v="1.19"/>
    <n v="15.19"/>
    <s v="00000000"/>
  </r>
  <r>
    <x v="71"/>
    <s v="2021-04-23"/>
    <x v="0"/>
    <x v="0"/>
    <n v="10"/>
    <x v="34"/>
    <n v="1.1599999999999999"/>
    <n v="14.77"/>
    <s v="33603457"/>
  </r>
  <r>
    <x v="71"/>
    <s v="2021-04-23"/>
    <x v="0"/>
    <x v="0"/>
    <n v="9"/>
    <x v="36"/>
    <n v="1.1499999999999999"/>
    <n v="14.64"/>
    <s v="33136888"/>
  </r>
  <r>
    <x v="71"/>
    <s v="2021-04-23"/>
    <x v="0"/>
    <x v="0"/>
    <n v="8"/>
    <x v="39"/>
    <n v="1.1000000000000001"/>
    <n v="13.97"/>
    <s v="04902979"/>
  </r>
  <r>
    <x v="71"/>
    <s v="2021-04-23"/>
    <x v="0"/>
    <x v="0"/>
    <n v="7"/>
    <x v="37"/>
    <n v="1.05"/>
    <n v="13.37"/>
    <s v="04452473"/>
  </r>
  <r>
    <x v="71"/>
    <s v="2021-04-23"/>
    <x v="0"/>
    <x v="0"/>
    <n v="6"/>
    <x v="47"/>
    <n v="1.02"/>
    <n v="12.99"/>
    <s v="28517628"/>
  </r>
  <r>
    <x v="71"/>
    <s v="2021-04-23"/>
    <x v="0"/>
    <x v="0"/>
    <n v="5"/>
    <x v="35"/>
    <n v="0.99"/>
    <n v="12.51"/>
    <s v="59109165"/>
  </r>
  <r>
    <x v="71"/>
    <s v="2021-04-23"/>
    <x v="0"/>
    <x v="0"/>
    <n v="4"/>
    <x v="44"/>
    <n v="0.96"/>
    <n v="12.18"/>
    <s v="58017179"/>
  </r>
  <r>
    <x v="71"/>
    <s v="2021-04-23"/>
    <x v="0"/>
    <x v="0"/>
    <n v="3"/>
    <x v="38"/>
    <n v="0.94"/>
    <n v="11.88"/>
    <s v="60814191"/>
  </r>
  <r>
    <x v="71"/>
    <s v="2021-04-23"/>
    <x v="0"/>
    <x v="0"/>
    <n v="2"/>
    <x v="40"/>
    <n v="0.93"/>
    <n v="11.78"/>
    <s v="02992446"/>
  </r>
  <r>
    <x v="71"/>
    <s v="2021-04-23"/>
    <x v="0"/>
    <x v="0"/>
    <n v="1"/>
    <x v="22"/>
    <n v="0.93"/>
    <n v="11.74"/>
    <s v="11417016"/>
  </r>
  <r>
    <x v="72"/>
    <s v="2021-04-26"/>
    <x v="0"/>
    <x v="0"/>
    <n v="44"/>
    <x v="3"/>
    <n v="3.29"/>
    <n v="47.54"/>
    <s v="05503849"/>
  </r>
  <r>
    <x v="72"/>
    <s v="2021-04-26"/>
    <x v="0"/>
    <x v="0"/>
    <n v="43"/>
    <x v="0"/>
    <n v="3.21"/>
    <n v="46.16"/>
    <s v="60850229"/>
  </r>
  <r>
    <x v="72"/>
    <s v="2021-04-26"/>
    <x v="0"/>
    <x v="0"/>
    <n v="42"/>
    <x v="1"/>
    <n v="3.12"/>
    <n v="44.66"/>
    <s v="01800019"/>
  </r>
  <r>
    <x v="72"/>
    <s v="2021-04-26"/>
    <x v="0"/>
    <x v="0"/>
    <n v="41"/>
    <x v="2"/>
    <n v="2.99"/>
    <n v="42.43"/>
    <s v="92228410"/>
  </r>
  <r>
    <x v="72"/>
    <s v="2021-04-26"/>
    <x v="0"/>
    <x v="0"/>
    <n v="40"/>
    <x v="4"/>
    <n v="2.71"/>
    <n v="37.869999999999997"/>
    <s v="62232889"/>
  </r>
  <r>
    <x v="72"/>
    <s v="2021-04-26"/>
    <x v="0"/>
    <x v="0"/>
    <n v="39"/>
    <x v="7"/>
    <n v="2.48"/>
    <n v="34.14"/>
    <s v="92874270"/>
  </r>
  <r>
    <x v="72"/>
    <s v="2021-04-26"/>
    <x v="0"/>
    <x v="0"/>
    <n v="38"/>
    <x v="5"/>
    <n v="2.4700000000000002"/>
    <n v="33.979999999999997"/>
    <s v="80271455"/>
  </r>
  <r>
    <x v="72"/>
    <s v="2021-04-26"/>
    <x v="0"/>
    <x v="0"/>
    <n v="37"/>
    <x v="6"/>
    <n v="2.41"/>
    <n v="33.07"/>
    <s v="05676026"/>
  </r>
  <r>
    <x v="72"/>
    <s v="2021-04-26"/>
    <x v="0"/>
    <x v="0"/>
    <n v="36"/>
    <x v="8"/>
    <n v="2.2000000000000002"/>
    <n v="29.89"/>
    <s v="59285411"/>
  </r>
  <r>
    <x v="72"/>
    <s v="2021-04-26"/>
    <x v="0"/>
    <x v="0"/>
    <n v="35"/>
    <x v="9"/>
    <n v="1.96"/>
    <n v="26.28"/>
    <s v="00411939"/>
  </r>
  <r>
    <x v="72"/>
    <s v="2021-04-26"/>
    <x v="0"/>
    <x v="0"/>
    <n v="34"/>
    <x v="10"/>
    <n v="1.96"/>
    <n v="26.25"/>
    <s v="10371492"/>
  </r>
  <r>
    <x v="72"/>
    <s v="2021-04-26"/>
    <x v="0"/>
    <x v="0"/>
    <n v="33"/>
    <x v="46"/>
    <n v="1.94"/>
    <n v="25.87"/>
    <s v="11760553"/>
  </r>
  <r>
    <x v="72"/>
    <s v="2021-04-26"/>
    <x v="0"/>
    <x v="0"/>
    <n v="32"/>
    <x v="13"/>
    <n v="1.8"/>
    <n v="23.84"/>
    <s v="07707650"/>
  </r>
  <r>
    <x v="72"/>
    <s v="2021-04-26"/>
    <x v="0"/>
    <x v="0"/>
    <n v="31"/>
    <x v="45"/>
    <n v="1.79"/>
    <n v="23.77"/>
    <s v="33040601"/>
  </r>
  <r>
    <x v="72"/>
    <s v="2021-04-26"/>
    <x v="0"/>
    <x v="0"/>
    <n v="30"/>
    <x v="15"/>
    <n v="1.74"/>
    <n v="23.06"/>
    <s v="59588111"/>
  </r>
  <r>
    <x v="72"/>
    <s v="2021-04-26"/>
    <x v="0"/>
    <x v="0"/>
    <n v="29"/>
    <x v="11"/>
    <n v="1.7"/>
    <n v="22.48"/>
    <s v="03634220"/>
  </r>
  <r>
    <x v="72"/>
    <s v="2021-04-26"/>
    <x v="0"/>
    <x v="0"/>
    <n v="28"/>
    <x v="12"/>
    <n v="1.64"/>
    <n v="21.56"/>
    <s v="04862600"/>
  </r>
  <r>
    <x v="72"/>
    <s v="2021-04-26"/>
    <x v="0"/>
    <x v="0"/>
    <n v="27"/>
    <x v="16"/>
    <n v="1.61"/>
    <n v="21.07"/>
    <s v="07207996"/>
  </r>
  <r>
    <x v="72"/>
    <s v="2021-04-26"/>
    <x v="0"/>
    <x v="0"/>
    <n v="26"/>
    <x v="14"/>
    <n v="1.51"/>
    <n v="19.690000000000001"/>
    <s v="00360305"/>
  </r>
  <r>
    <x v="72"/>
    <s v="2021-04-26"/>
    <x v="0"/>
    <x v="0"/>
    <n v="25"/>
    <x v="20"/>
    <n v="1.5"/>
    <n v="19.59"/>
    <s v="17192451"/>
  </r>
  <r>
    <x v="72"/>
    <s v="2021-04-26"/>
    <x v="0"/>
    <x v="0"/>
    <n v="24"/>
    <x v="21"/>
    <n v="1.46"/>
    <n v="18.989999999999998"/>
    <s v="03017677"/>
  </r>
  <r>
    <x v="72"/>
    <s v="2021-04-26"/>
    <x v="0"/>
    <x v="0"/>
    <n v="23"/>
    <x v="30"/>
    <n v="1.38"/>
    <n v="17.84"/>
    <s v="03502961"/>
  </r>
  <r>
    <x v="72"/>
    <s v="2021-04-26"/>
    <x v="0"/>
    <x v="0"/>
    <n v="22"/>
    <x v="18"/>
    <n v="1.34"/>
    <n v="17.32"/>
    <s v="28127603"/>
  </r>
  <r>
    <x v="72"/>
    <s v="2021-04-26"/>
    <x v="0"/>
    <x v="0"/>
    <n v="21"/>
    <x v="32"/>
    <n v="1.32"/>
    <n v="17.100000000000001"/>
    <s v="60701190"/>
  </r>
  <r>
    <x v="72"/>
    <s v="2021-04-26"/>
    <x v="0"/>
    <x v="0"/>
    <n v="20"/>
    <x v="24"/>
    <n v="1.32"/>
    <n v="17.02"/>
    <s v="22639377"/>
  </r>
  <r>
    <x v="72"/>
    <s v="2021-04-26"/>
    <x v="0"/>
    <x v="0"/>
    <n v="19"/>
    <x v="25"/>
    <n v="1.31"/>
    <n v="16.899999999999999"/>
    <s v="59274605"/>
  </r>
  <r>
    <x v="72"/>
    <s v="2021-04-26"/>
    <x v="0"/>
    <x v="0"/>
    <n v="18"/>
    <x v="26"/>
    <n v="1.3"/>
    <n v="16.7"/>
    <s v="30172491"/>
  </r>
  <r>
    <x v="72"/>
    <s v="2021-04-26"/>
    <x v="0"/>
    <x v="0"/>
    <n v="17"/>
    <x v="29"/>
    <n v="1.28"/>
    <n v="16.43"/>
    <s v="60746948"/>
  </r>
  <r>
    <x v="72"/>
    <s v="2021-04-26"/>
    <x v="0"/>
    <x v="0"/>
    <n v="16"/>
    <x v="43"/>
    <n v="1.27"/>
    <n v="16.329999999999998"/>
    <s v="07441209"/>
  </r>
  <r>
    <x v="72"/>
    <s v="2021-04-26"/>
    <x v="0"/>
    <x v="0"/>
    <n v="15"/>
    <x v="28"/>
    <n v="1.26"/>
    <n v="16.190000000000001"/>
    <s v="90400888"/>
  </r>
  <r>
    <x v="72"/>
    <s v="2021-04-26"/>
    <x v="0"/>
    <x v="0"/>
    <n v="14"/>
    <x v="23"/>
    <n v="1.24"/>
    <n v="15.87"/>
    <s v="03215790"/>
  </r>
  <r>
    <x v="72"/>
    <s v="2021-04-26"/>
    <x v="0"/>
    <x v="0"/>
    <n v="13"/>
    <x v="31"/>
    <n v="1.21"/>
    <n v="15.49"/>
    <s v="17167412"/>
  </r>
  <r>
    <x v="72"/>
    <s v="2021-04-26"/>
    <x v="0"/>
    <x v="0"/>
    <n v="12"/>
    <x v="33"/>
    <n v="1.19"/>
    <n v="15.22"/>
    <s v="62307848"/>
  </r>
  <r>
    <x v="72"/>
    <s v="2021-04-26"/>
    <x v="0"/>
    <x v="0"/>
    <n v="11"/>
    <x v="27"/>
    <n v="1.17"/>
    <n v="15"/>
    <s v="00000000"/>
  </r>
  <r>
    <x v="72"/>
    <s v="2021-04-26"/>
    <x v="0"/>
    <x v="0"/>
    <n v="10"/>
    <x v="34"/>
    <n v="1.1499999999999999"/>
    <n v="14.65"/>
    <s v="33603457"/>
  </r>
  <r>
    <x v="72"/>
    <s v="2021-04-26"/>
    <x v="0"/>
    <x v="0"/>
    <n v="9"/>
    <x v="36"/>
    <n v="1.1399999999999999"/>
    <n v="14.53"/>
    <s v="33136888"/>
  </r>
  <r>
    <x v="72"/>
    <s v="2021-04-26"/>
    <x v="0"/>
    <x v="0"/>
    <n v="8"/>
    <x v="39"/>
    <n v="1.0900000000000001"/>
    <n v="13.89"/>
    <s v="04902979"/>
  </r>
  <r>
    <x v="72"/>
    <s v="2021-04-26"/>
    <x v="0"/>
    <x v="0"/>
    <n v="7"/>
    <x v="44"/>
    <n v="1.05"/>
    <n v="13.39"/>
    <s v="58017179"/>
  </r>
  <r>
    <x v="72"/>
    <s v="2021-04-26"/>
    <x v="0"/>
    <x v="0"/>
    <n v="6"/>
    <x v="37"/>
    <n v="1.05"/>
    <n v="13.38"/>
    <s v="04452473"/>
  </r>
  <r>
    <x v="72"/>
    <s v="2021-04-26"/>
    <x v="0"/>
    <x v="0"/>
    <n v="5"/>
    <x v="47"/>
    <n v="1.02"/>
    <n v="12.99"/>
    <s v="28517628"/>
  </r>
  <r>
    <x v="72"/>
    <s v="2021-04-26"/>
    <x v="0"/>
    <x v="0"/>
    <n v="4"/>
    <x v="35"/>
    <n v="0.98"/>
    <n v="12.47"/>
    <s v="59109165"/>
  </r>
  <r>
    <x v="72"/>
    <s v="2021-04-26"/>
    <x v="0"/>
    <x v="0"/>
    <n v="3"/>
    <x v="40"/>
    <n v="0.97"/>
    <n v="12.24"/>
    <s v="02992446"/>
  </r>
  <r>
    <x v="72"/>
    <s v="2021-04-26"/>
    <x v="0"/>
    <x v="0"/>
    <n v="2"/>
    <x v="22"/>
    <n v="0.93"/>
    <n v="11.74"/>
    <s v="11417016"/>
  </r>
  <r>
    <x v="72"/>
    <s v="2021-04-26"/>
    <x v="0"/>
    <x v="0"/>
    <n v="1"/>
    <x v="38"/>
    <n v="0.93"/>
    <n v="11.68"/>
    <s v="60814191"/>
  </r>
  <r>
    <x v="73"/>
    <s v="2021-04-27"/>
    <x v="0"/>
    <x v="0"/>
    <n v="43"/>
    <x v="3"/>
    <n v="3.23"/>
    <n v="46.44"/>
    <s v="05503849"/>
  </r>
  <r>
    <x v="73"/>
    <s v="2021-04-27"/>
    <x v="0"/>
    <x v="0"/>
    <n v="42"/>
    <x v="0"/>
    <n v="3.13"/>
    <n v="44.69"/>
    <s v="60850229"/>
  </r>
  <r>
    <x v="73"/>
    <s v="2021-04-27"/>
    <x v="0"/>
    <x v="0"/>
    <n v="41"/>
    <x v="1"/>
    <n v="3.02"/>
    <n v="42.98"/>
    <s v="01800019"/>
  </r>
  <r>
    <x v="73"/>
    <s v="2021-04-27"/>
    <x v="0"/>
    <x v="0"/>
    <n v="40"/>
    <x v="2"/>
    <n v="2.99"/>
    <n v="42.42"/>
    <s v="92228410"/>
  </r>
  <r>
    <x v="73"/>
    <s v="2021-04-27"/>
    <x v="0"/>
    <x v="0"/>
    <n v="39"/>
    <x v="4"/>
    <n v="2.71"/>
    <n v="37.9"/>
    <s v="62232889"/>
  </r>
  <r>
    <x v="73"/>
    <s v="2021-04-27"/>
    <x v="0"/>
    <x v="0"/>
    <n v="38"/>
    <x v="7"/>
    <n v="2.4900000000000002"/>
    <n v="34.31"/>
    <s v="92874270"/>
  </r>
  <r>
    <x v="73"/>
    <s v="2021-04-27"/>
    <x v="0"/>
    <x v="0"/>
    <n v="37"/>
    <x v="6"/>
    <n v="2.41"/>
    <n v="33.11"/>
    <s v="05676026"/>
  </r>
  <r>
    <x v="73"/>
    <s v="2021-04-27"/>
    <x v="0"/>
    <x v="0"/>
    <n v="36"/>
    <x v="5"/>
    <n v="2.38"/>
    <n v="32.6"/>
    <s v="80271455"/>
  </r>
  <r>
    <x v="73"/>
    <s v="2021-04-27"/>
    <x v="0"/>
    <x v="0"/>
    <n v="35"/>
    <x v="8"/>
    <n v="2.2000000000000002"/>
    <n v="29.85"/>
    <s v="59285411"/>
  </r>
  <r>
    <x v="73"/>
    <s v="2021-04-27"/>
    <x v="0"/>
    <x v="0"/>
    <n v="34"/>
    <x v="10"/>
    <n v="1.96"/>
    <n v="26.25"/>
    <s v="10371492"/>
  </r>
  <r>
    <x v="73"/>
    <s v="2021-04-27"/>
    <x v="0"/>
    <x v="0"/>
    <n v="33"/>
    <x v="9"/>
    <n v="1.96"/>
    <n v="26.2"/>
    <s v="00411939"/>
  </r>
  <r>
    <x v="73"/>
    <s v="2021-04-27"/>
    <x v="0"/>
    <x v="0"/>
    <n v="32"/>
    <x v="46"/>
    <n v="1.94"/>
    <n v="25.87"/>
    <s v="11760553"/>
  </r>
  <r>
    <x v="73"/>
    <s v="2021-04-27"/>
    <x v="0"/>
    <x v="0"/>
    <n v="31"/>
    <x v="13"/>
    <n v="1.8"/>
    <n v="23.83"/>
    <s v="07707650"/>
  </r>
  <r>
    <x v="73"/>
    <s v="2021-04-27"/>
    <x v="0"/>
    <x v="0"/>
    <n v="30"/>
    <x v="15"/>
    <n v="1.74"/>
    <n v="22.96"/>
    <s v="59588111"/>
  </r>
  <r>
    <x v="73"/>
    <s v="2021-04-27"/>
    <x v="0"/>
    <x v="0"/>
    <n v="29"/>
    <x v="11"/>
    <n v="1.71"/>
    <n v="22.54"/>
    <s v="03634220"/>
  </r>
  <r>
    <x v="73"/>
    <s v="2021-04-27"/>
    <x v="0"/>
    <x v="0"/>
    <n v="28"/>
    <x v="12"/>
    <n v="1.64"/>
    <n v="21.49"/>
    <s v="04862600"/>
  </r>
  <r>
    <x v="73"/>
    <s v="2021-04-27"/>
    <x v="0"/>
    <x v="0"/>
    <n v="27"/>
    <x v="16"/>
    <n v="1.59"/>
    <n v="20.83"/>
    <s v="07207996"/>
  </r>
  <r>
    <x v="73"/>
    <s v="2021-04-27"/>
    <x v="0"/>
    <x v="0"/>
    <n v="26"/>
    <x v="14"/>
    <n v="1.52"/>
    <n v="19.91"/>
    <s v="00360305"/>
  </r>
  <r>
    <x v="73"/>
    <s v="2021-04-27"/>
    <x v="0"/>
    <x v="0"/>
    <n v="25"/>
    <x v="20"/>
    <n v="1.49"/>
    <n v="19.46"/>
    <s v="17192451"/>
  </r>
  <r>
    <x v="73"/>
    <s v="2021-04-27"/>
    <x v="0"/>
    <x v="0"/>
    <n v="24"/>
    <x v="21"/>
    <n v="1.45"/>
    <n v="18.91"/>
    <s v="03017677"/>
  </r>
  <r>
    <x v="73"/>
    <s v="2021-04-27"/>
    <x v="0"/>
    <x v="0"/>
    <n v="23"/>
    <x v="18"/>
    <n v="1.39"/>
    <n v="17.96"/>
    <s v="28127603"/>
  </r>
  <r>
    <x v="73"/>
    <s v="2021-04-27"/>
    <x v="0"/>
    <x v="0"/>
    <n v="22"/>
    <x v="30"/>
    <n v="1.35"/>
    <n v="17.47"/>
    <s v="03502961"/>
  </r>
  <r>
    <x v="73"/>
    <s v="2021-04-27"/>
    <x v="0"/>
    <x v="0"/>
    <n v="21"/>
    <x v="32"/>
    <n v="1.32"/>
    <n v="17.010000000000002"/>
    <s v="60701190"/>
  </r>
  <r>
    <x v="73"/>
    <s v="2021-04-27"/>
    <x v="0"/>
    <x v="0"/>
    <n v="20"/>
    <x v="24"/>
    <n v="1.31"/>
    <n v="16.86"/>
    <s v="22639377"/>
  </r>
  <r>
    <x v="73"/>
    <s v="2021-04-27"/>
    <x v="0"/>
    <x v="0"/>
    <n v="19"/>
    <x v="25"/>
    <n v="1.31"/>
    <n v="16.84"/>
    <s v="59274605"/>
  </r>
  <r>
    <x v="73"/>
    <s v="2021-04-27"/>
    <x v="0"/>
    <x v="0"/>
    <n v="18"/>
    <x v="26"/>
    <n v="1.29"/>
    <n v="16.66"/>
    <s v="30172491"/>
  </r>
  <r>
    <x v="73"/>
    <s v="2021-04-27"/>
    <x v="0"/>
    <x v="0"/>
    <n v="17"/>
    <x v="29"/>
    <n v="1.27"/>
    <n v="16.36"/>
    <s v="60746948"/>
  </r>
  <r>
    <x v="73"/>
    <s v="2021-04-27"/>
    <x v="0"/>
    <x v="0"/>
    <n v="16"/>
    <x v="43"/>
    <n v="1.27"/>
    <n v="16.329999999999998"/>
    <s v="07441209"/>
  </r>
  <r>
    <x v="73"/>
    <s v="2021-04-27"/>
    <x v="0"/>
    <x v="0"/>
    <n v="15"/>
    <x v="28"/>
    <n v="1.24"/>
    <n v="15.99"/>
    <s v="90400888"/>
  </r>
  <r>
    <x v="73"/>
    <s v="2021-04-27"/>
    <x v="0"/>
    <x v="0"/>
    <n v="14"/>
    <x v="23"/>
    <n v="1.24"/>
    <n v="15.91"/>
    <s v="03215790"/>
  </r>
  <r>
    <x v="73"/>
    <s v="2021-04-27"/>
    <x v="0"/>
    <x v="0"/>
    <n v="13"/>
    <x v="31"/>
    <n v="1.22"/>
    <n v="15.62"/>
    <s v="17167412"/>
  </r>
  <r>
    <x v="73"/>
    <s v="2021-04-27"/>
    <x v="0"/>
    <x v="0"/>
    <n v="12"/>
    <x v="33"/>
    <n v="1.19"/>
    <n v="15.27"/>
    <s v="62307848"/>
  </r>
  <r>
    <x v="73"/>
    <s v="2021-04-27"/>
    <x v="0"/>
    <x v="0"/>
    <n v="11"/>
    <x v="27"/>
    <n v="1.18"/>
    <n v="15.09"/>
    <s v="00000000"/>
  </r>
  <r>
    <x v="73"/>
    <s v="2021-04-27"/>
    <x v="0"/>
    <x v="0"/>
    <n v="10"/>
    <x v="34"/>
    <n v="1.1499999999999999"/>
    <n v="14.66"/>
    <s v="33603457"/>
  </r>
  <r>
    <x v="73"/>
    <s v="2021-04-27"/>
    <x v="0"/>
    <x v="0"/>
    <n v="9"/>
    <x v="36"/>
    <n v="1.1399999999999999"/>
    <n v="14.57"/>
    <s v="33136888"/>
  </r>
  <r>
    <x v="73"/>
    <s v="2021-04-27"/>
    <x v="0"/>
    <x v="0"/>
    <n v="8"/>
    <x v="44"/>
    <n v="1.0900000000000001"/>
    <n v="13.85"/>
    <s v="58017179"/>
  </r>
  <r>
    <x v="73"/>
    <s v="2021-04-27"/>
    <x v="0"/>
    <x v="0"/>
    <n v="7"/>
    <x v="39"/>
    <n v="1.0900000000000001"/>
    <n v="13.84"/>
    <s v="04902979"/>
  </r>
  <r>
    <x v="73"/>
    <s v="2021-04-27"/>
    <x v="0"/>
    <x v="0"/>
    <n v="6"/>
    <x v="37"/>
    <n v="1.05"/>
    <n v="13.37"/>
    <s v="04452473"/>
  </r>
  <r>
    <x v="73"/>
    <s v="2021-04-27"/>
    <x v="0"/>
    <x v="0"/>
    <n v="5"/>
    <x v="47"/>
    <n v="1.02"/>
    <n v="12.99"/>
    <s v="28517628"/>
  </r>
  <r>
    <x v="73"/>
    <s v="2021-04-27"/>
    <x v="0"/>
    <x v="0"/>
    <n v="4"/>
    <x v="35"/>
    <n v="1"/>
    <n v="12.67"/>
    <s v="59109165"/>
  </r>
  <r>
    <x v="73"/>
    <s v="2021-04-27"/>
    <x v="0"/>
    <x v="0"/>
    <n v="3"/>
    <x v="40"/>
    <n v="0.96"/>
    <n v="12.13"/>
    <s v="02992446"/>
  </r>
  <r>
    <x v="73"/>
    <s v="2021-04-27"/>
    <x v="0"/>
    <x v="0"/>
    <n v="2"/>
    <x v="22"/>
    <n v="0.93"/>
    <n v="11.77"/>
    <s v="11417016"/>
  </r>
  <r>
    <x v="73"/>
    <s v="2021-04-27"/>
    <x v="0"/>
    <x v="0"/>
    <n v="1"/>
    <x v="38"/>
    <n v="0.9"/>
    <n v="11.37"/>
    <s v="60814191"/>
  </r>
  <r>
    <x v="74"/>
    <s v="2021-04-28"/>
    <x v="0"/>
    <x v="0"/>
    <n v="43"/>
    <x v="3"/>
    <n v="3.28"/>
    <n v="47.3"/>
    <s v="05503849"/>
  </r>
  <r>
    <x v="74"/>
    <s v="2021-04-28"/>
    <x v="0"/>
    <x v="0"/>
    <n v="42"/>
    <x v="0"/>
    <n v="3.14"/>
    <n v="44.86"/>
    <s v="60850229"/>
  </r>
  <r>
    <x v="74"/>
    <s v="2021-04-28"/>
    <x v="0"/>
    <x v="0"/>
    <n v="41"/>
    <x v="1"/>
    <n v="3.07"/>
    <n v="43.72"/>
    <s v="01800019"/>
  </r>
  <r>
    <x v="74"/>
    <s v="2021-04-28"/>
    <x v="0"/>
    <x v="0"/>
    <n v="40"/>
    <x v="2"/>
    <n v="2.97"/>
    <n v="42.05"/>
    <s v="92228410"/>
  </r>
  <r>
    <x v="74"/>
    <s v="2021-04-28"/>
    <x v="0"/>
    <x v="0"/>
    <n v="39"/>
    <x v="4"/>
    <n v="2.72"/>
    <n v="37.93"/>
    <s v="62232889"/>
  </r>
  <r>
    <x v="74"/>
    <s v="2021-04-28"/>
    <x v="0"/>
    <x v="0"/>
    <n v="38"/>
    <x v="7"/>
    <n v="2.5"/>
    <n v="34.49"/>
    <s v="92874270"/>
  </r>
  <r>
    <x v="74"/>
    <s v="2021-04-28"/>
    <x v="0"/>
    <x v="0"/>
    <n v="37"/>
    <x v="6"/>
    <n v="2.41"/>
    <n v="33.11"/>
    <s v="05676026"/>
  </r>
  <r>
    <x v="74"/>
    <s v="2021-04-28"/>
    <x v="0"/>
    <x v="0"/>
    <n v="36"/>
    <x v="5"/>
    <n v="2.33"/>
    <n v="31.78"/>
    <s v="80271455"/>
  </r>
  <r>
    <x v="74"/>
    <s v="2021-04-28"/>
    <x v="0"/>
    <x v="0"/>
    <n v="35"/>
    <x v="8"/>
    <n v="2.2000000000000002"/>
    <n v="29.85"/>
    <s v="59285411"/>
  </r>
  <r>
    <x v="74"/>
    <s v="2021-04-28"/>
    <x v="0"/>
    <x v="0"/>
    <n v="34"/>
    <x v="10"/>
    <n v="1.96"/>
    <n v="26.24"/>
    <s v="10371492"/>
  </r>
  <r>
    <x v="74"/>
    <s v="2021-04-28"/>
    <x v="0"/>
    <x v="0"/>
    <n v="33"/>
    <x v="9"/>
    <n v="1.95"/>
    <n v="26.04"/>
    <s v="00411939"/>
  </r>
  <r>
    <x v="74"/>
    <s v="2021-04-28"/>
    <x v="0"/>
    <x v="0"/>
    <n v="32"/>
    <x v="46"/>
    <n v="1.94"/>
    <n v="25.87"/>
    <s v="11760553"/>
  </r>
  <r>
    <x v="74"/>
    <s v="2021-04-28"/>
    <x v="0"/>
    <x v="0"/>
    <n v="31"/>
    <x v="13"/>
    <n v="1.8"/>
    <n v="23.94"/>
    <s v="07707650"/>
  </r>
  <r>
    <x v="74"/>
    <s v="2021-04-28"/>
    <x v="0"/>
    <x v="0"/>
    <n v="30"/>
    <x v="15"/>
    <n v="1.73"/>
    <n v="22.88"/>
    <s v="59588111"/>
  </r>
  <r>
    <x v="74"/>
    <s v="2021-04-28"/>
    <x v="0"/>
    <x v="0"/>
    <n v="29"/>
    <x v="11"/>
    <n v="1.69"/>
    <n v="22.27"/>
    <s v="03634220"/>
  </r>
  <r>
    <x v="74"/>
    <s v="2021-04-28"/>
    <x v="0"/>
    <x v="0"/>
    <n v="28"/>
    <x v="12"/>
    <n v="1.63"/>
    <n v="21.42"/>
    <s v="04862600"/>
  </r>
  <r>
    <x v="74"/>
    <s v="2021-04-28"/>
    <x v="0"/>
    <x v="0"/>
    <n v="27"/>
    <x v="16"/>
    <n v="1.59"/>
    <n v="20.78"/>
    <s v="07207996"/>
  </r>
  <r>
    <x v="74"/>
    <s v="2021-04-28"/>
    <x v="0"/>
    <x v="0"/>
    <n v="26"/>
    <x v="14"/>
    <n v="1.57"/>
    <n v="20.57"/>
    <s v="00360305"/>
  </r>
  <r>
    <x v="74"/>
    <s v="2021-04-28"/>
    <x v="0"/>
    <x v="0"/>
    <n v="25"/>
    <x v="20"/>
    <n v="1.49"/>
    <n v="19.46"/>
    <s v="17192451"/>
  </r>
  <r>
    <x v="74"/>
    <s v="2021-04-28"/>
    <x v="0"/>
    <x v="0"/>
    <n v="24"/>
    <x v="21"/>
    <n v="1.46"/>
    <n v="18.940000000000001"/>
    <s v="03017677"/>
  </r>
  <r>
    <x v="74"/>
    <s v="2021-04-28"/>
    <x v="0"/>
    <x v="0"/>
    <n v="23"/>
    <x v="30"/>
    <n v="1.34"/>
    <n v="17.28"/>
    <s v="03502961"/>
  </r>
  <r>
    <x v="74"/>
    <s v="2021-04-28"/>
    <x v="0"/>
    <x v="0"/>
    <n v="22"/>
    <x v="18"/>
    <n v="1.33"/>
    <n v="17.18"/>
    <s v="28127603"/>
  </r>
  <r>
    <x v="74"/>
    <s v="2021-04-28"/>
    <x v="0"/>
    <x v="0"/>
    <n v="21"/>
    <x v="25"/>
    <n v="1.32"/>
    <n v="17.03"/>
    <s v="59274605"/>
  </r>
  <r>
    <x v="74"/>
    <s v="2021-04-28"/>
    <x v="0"/>
    <x v="0"/>
    <n v="20"/>
    <x v="32"/>
    <n v="1.32"/>
    <n v="17.03"/>
    <s v="60701190"/>
  </r>
  <r>
    <x v="74"/>
    <s v="2021-04-28"/>
    <x v="0"/>
    <x v="0"/>
    <n v="19"/>
    <x v="24"/>
    <n v="1.31"/>
    <n v="16.88"/>
    <s v="22639377"/>
  </r>
  <r>
    <x v="74"/>
    <s v="2021-04-28"/>
    <x v="0"/>
    <x v="0"/>
    <n v="18"/>
    <x v="26"/>
    <n v="1.29"/>
    <n v="16.670000000000002"/>
    <s v="30172491"/>
  </r>
  <r>
    <x v="74"/>
    <s v="2021-04-28"/>
    <x v="0"/>
    <x v="0"/>
    <n v="17"/>
    <x v="43"/>
    <n v="1.27"/>
    <n v="16.329999999999998"/>
    <s v="07441209"/>
  </r>
  <r>
    <x v="74"/>
    <s v="2021-04-28"/>
    <x v="0"/>
    <x v="0"/>
    <n v="16"/>
    <x v="29"/>
    <n v="1.26"/>
    <n v="16.22"/>
    <s v="60746948"/>
  </r>
  <r>
    <x v="74"/>
    <s v="2021-04-28"/>
    <x v="0"/>
    <x v="0"/>
    <n v="15"/>
    <x v="23"/>
    <n v="1.24"/>
    <n v="15.97"/>
    <s v="03215790"/>
  </r>
  <r>
    <x v="74"/>
    <s v="2021-04-28"/>
    <x v="0"/>
    <x v="0"/>
    <n v="14"/>
    <x v="28"/>
    <n v="1.24"/>
    <n v="15.92"/>
    <s v="90400888"/>
  </r>
  <r>
    <x v="74"/>
    <s v="2021-04-28"/>
    <x v="0"/>
    <x v="0"/>
    <n v="13"/>
    <x v="31"/>
    <n v="1.23"/>
    <n v="15.74"/>
    <s v="17167412"/>
  </r>
  <r>
    <x v="74"/>
    <s v="2021-04-28"/>
    <x v="0"/>
    <x v="0"/>
    <n v="12"/>
    <x v="33"/>
    <n v="1.19"/>
    <n v="15.25"/>
    <s v="62307848"/>
  </r>
  <r>
    <x v="74"/>
    <s v="2021-04-28"/>
    <x v="0"/>
    <x v="0"/>
    <n v="11"/>
    <x v="36"/>
    <n v="1.18"/>
    <n v="15.12"/>
    <s v="33136888"/>
  </r>
  <r>
    <x v="74"/>
    <s v="2021-04-28"/>
    <x v="0"/>
    <x v="0"/>
    <n v="10"/>
    <x v="27"/>
    <n v="1.18"/>
    <n v="15.09"/>
    <s v="00000000"/>
  </r>
  <r>
    <x v="74"/>
    <s v="2021-04-28"/>
    <x v="0"/>
    <x v="0"/>
    <n v="9"/>
    <x v="34"/>
    <n v="1.1499999999999999"/>
    <n v="14.68"/>
    <s v="33603457"/>
  </r>
  <r>
    <x v="74"/>
    <s v="2021-04-28"/>
    <x v="0"/>
    <x v="0"/>
    <n v="8"/>
    <x v="39"/>
    <n v="1.0900000000000001"/>
    <n v="13.84"/>
    <s v="04902979"/>
  </r>
  <r>
    <x v="74"/>
    <s v="2021-04-28"/>
    <x v="0"/>
    <x v="0"/>
    <n v="7"/>
    <x v="37"/>
    <n v="1.05"/>
    <n v="13.36"/>
    <s v="04452473"/>
  </r>
  <r>
    <x v="74"/>
    <s v="2021-04-28"/>
    <x v="0"/>
    <x v="0"/>
    <n v="6"/>
    <x v="47"/>
    <n v="1.03"/>
    <n v="13.15"/>
    <s v="28517628"/>
  </r>
  <r>
    <x v="74"/>
    <s v="2021-04-28"/>
    <x v="0"/>
    <x v="0"/>
    <n v="5"/>
    <x v="44"/>
    <n v="1.03"/>
    <n v="13.08"/>
    <s v="58017179"/>
  </r>
  <r>
    <x v="74"/>
    <s v="2021-04-28"/>
    <x v="0"/>
    <x v="0"/>
    <n v="4"/>
    <x v="35"/>
    <n v="0.99"/>
    <n v="12.54"/>
    <s v="59109165"/>
  </r>
  <r>
    <x v="74"/>
    <s v="2021-04-28"/>
    <x v="0"/>
    <x v="0"/>
    <n v="3"/>
    <x v="40"/>
    <n v="0.99"/>
    <n v="12.48"/>
    <s v="02992446"/>
  </r>
  <r>
    <x v="74"/>
    <s v="2021-04-28"/>
    <x v="0"/>
    <x v="0"/>
    <n v="2"/>
    <x v="22"/>
    <n v="0.93"/>
    <n v="11.75"/>
    <s v="11417016"/>
  </r>
  <r>
    <x v="74"/>
    <s v="2021-04-28"/>
    <x v="0"/>
    <x v="0"/>
    <n v="1"/>
    <x v="38"/>
    <n v="0.9"/>
    <n v="11.35"/>
    <s v="60814191"/>
  </r>
  <r>
    <x v="75"/>
    <s v="2021-04-29"/>
    <x v="0"/>
    <x v="0"/>
    <n v="44"/>
    <x v="3"/>
    <n v="3.25"/>
    <n v="46.8"/>
    <s v="05503849"/>
  </r>
  <r>
    <x v="75"/>
    <s v="2021-04-29"/>
    <x v="0"/>
    <x v="0"/>
    <n v="43"/>
    <x v="1"/>
    <n v="3.16"/>
    <n v="45.31"/>
    <s v="01800019"/>
  </r>
  <r>
    <x v="75"/>
    <s v="2021-04-29"/>
    <x v="0"/>
    <x v="0"/>
    <n v="42"/>
    <x v="0"/>
    <n v="3.15"/>
    <n v="45.07"/>
    <s v="60850229"/>
  </r>
  <r>
    <x v="75"/>
    <s v="2021-04-29"/>
    <x v="0"/>
    <x v="0"/>
    <n v="41"/>
    <x v="2"/>
    <n v="2.96"/>
    <n v="41.89"/>
    <s v="92228410"/>
  </r>
  <r>
    <x v="75"/>
    <s v="2021-04-29"/>
    <x v="0"/>
    <x v="0"/>
    <n v="40"/>
    <x v="4"/>
    <n v="2.71"/>
    <n v="37.869999999999997"/>
    <s v="62232889"/>
  </r>
  <r>
    <x v="75"/>
    <s v="2021-04-29"/>
    <x v="0"/>
    <x v="0"/>
    <n v="39"/>
    <x v="7"/>
    <n v="2.5099999999999998"/>
    <n v="34.700000000000003"/>
    <s v="92874270"/>
  </r>
  <r>
    <x v="75"/>
    <s v="2021-04-29"/>
    <x v="0"/>
    <x v="0"/>
    <n v="38"/>
    <x v="6"/>
    <n v="2.41"/>
    <n v="33.14"/>
    <s v="05676026"/>
  </r>
  <r>
    <x v="75"/>
    <s v="2021-04-29"/>
    <x v="0"/>
    <x v="0"/>
    <n v="37"/>
    <x v="5"/>
    <n v="2.3199999999999998"/>
    <n v="31.61"/>
    <s v="80271455"/>
  </r>
  <r>
    <x v="75"/>
    <s v="2021-04-29"/>
    <x v="0"/>
    <x v="0"/>
    <n v="36"/>
    <x v="8"/>
    <n v="2.2000000000000002"/>
    <n v="29.84"/>
    <s v="59285411"/>
  </r>
  <r>
    <x v="75"/>
    <s v="2021-04-29"/>
    <x v="0"/>
    <x v="0"/>
    <n v="35"/>
    <x v="9"/>
    <n v="2.04"/>
    <n v="27.42"/>
    <s v="00411939"/>
  </r>
  <r>
    <x v="75"/>
    <s v="2021-04-29"/>
    <x v="0"/>
    <x v="0"/>
    <n v="34"/>
    <x v="10"/>
    <n v="1.97"/>
    <n v="26.39"/>
    <s v="10371492"/>
  </r>
  <r>
    <x v="75"/>
    <s v="2021-04-29"/>
    <x v="0"/>
    <x v="0"/>
    <n v="33"/>
    <x v="46"/>
    <n v="1.94"/>
    <n v="25.87"/>
    <s v="11760553"/>
  </r>
  <r>
    <x v="75"/>
    <s v="2021-04-29"/>
    <x v="0"/>
    <x v="0"/>
    <n v="32"/>
    <x v="42"/>
    <n v="1.85"/>
    <n v="24.56"/>
    <s v="34991938"/>
  </r>
  <r>
    <x v="75"/>
    <s v="2021-04-29"/>
    <x v="0"/>
    <x v="0"/>
    <n v="31"/>
    <x v="13"/>
    <n v="1.81"/>
    <n v="24.06"/>
    <s v="07707650"/>
  </r>
  <r>
    <x v="75"/>
    <s v="2021-04-29"/>
    <x v="0"/>
    <x v="0"/>
    <n v="30"/>
    <x v="15"/>
    <n v="1.73"/>
    <n v="22.82"/>
    <s v="59588111"/>
  </r>
  <r>
    <x v="75"/>
    <s v="2021-04-29"/>
    <x v="0"/>
    <x v="0"/>
    <n v="29"/>
    <x v="11"/>
    <n v="1.68"/>
    <n v="22.18"/>
    <s v="03634220"/>
  </r>
  <r>
    <x v="75"/>
    <s v="2021-04-29"/>
    <x v="0"/>
    <x v="0"/>
    <n v="28"/>
    <x v="14"/>
    <n v="1.64"/>
    <n v="21.48"/>
    <s v="00360305"/>
  </r>
  <r>
    <x v="75"/>
    <s v="2021-04-29"/>
    <x v="0"/>
    <x v="0"/>
    <n v="27"/>
    <x v="12"/>
    <n v="1.63"/>
    <n v="21.4"/>
    <s v="04862600"/>
  </r>
  <r>
    <x v="75"/>
    <s v="2021-04-29"/>
    <x v="0"/>
    <x v="0"/>
    <n v="26"/>
    <x v="16"/>
    <n v="1.58"/>
    <n v="20.73"/>
    <s v="07207996"/>
  </r>
  <r>
    <x v="75"/>
    <s v="2021-04-29"/>
    <x v="0"/>
    <x v="0"/>
    <n v="25"/>
    <x v="20"/>
    <n v="1.49"/>
    <n v="19.46"/>
    <s v="17192451"/>
  </r>
  <r>
    <x v="75"/>
    <s v="2021-04-29"/>
    <x v="0"/>
    <x v="0"/>
    <n v="24"/>
    <x v="21"/>
    <n v="1.45"/>
    <n v="18.88"/>
    <s v="03017677"/>
  </r>
  <r>
    <x v="75"/>
    <s v="2021-04-29"/>
    <x v="0"/>
    <x v="0"/>
    <n v="23"/>
    <x v="30"/>
    <n v="1.36"/>
    <n v="17.600000000000001"/>
    <s v="03502961"/>
  </r>
  <r>
    <x v="75"/>
    <s v="2021-04-29"/>
    <x v="0"/>
    <x v="0"/>
    <n v="22"/>
    <x v="25"/>
    <n v="1.33"/>
    <n v="17.22"/>
    <s v="59274605"/>
  </r>
  <r>
    <x v="75"/>
    <s v="2021-04-29"/>
    <x v="0"/>
    <x v="0"/>
    <n v="21"/>
    <x v="32"/>
    <n v="1.33"/>
    <n v="17.12"/>
    <s v="60701190"/>
  </r>
  <r>
    <x v="75"/>
    <s v="2021-04-29"/>
    <x v="0"/>
    <x v="0"/>
    <n v="20"/>
    <x v="18"/>
    <n v="1.29"/>
    <n v="16.68"/>
    <s v="28127603"/>
  </r>
  <r>
    <x v="75"/>
    <s v="2021-04-29"/>
    <x v="0"/>
    <x v="0"/>
    <n v="19"/>
    <x v="26"/>
    <n v="1.29"/>
    <n v="16.66"/>
    <s v="30172491"/>
  </r>
  <r>
    <x v="75"/>
    <s v="2021-04-29"/>
    <x v="0"/>
    <x v="0"/>
    <n v="18"/>
    <x v="24"/>
    <n v="1.29"/>
    <n v="16.649999999999999"/>
    <s v="22639377"/>
  </r>
  <r>
    <x v="75"/>
    <s v="2021-04-29"/>
    <x v="0"/>
    <x v="0"/>
    <n v="17"/>
    <x v="43"/>
    <n v="1.27"/>
    <n v="16.329999999999998"/>
    <s v="07441209"/>
  </r>
  <r>
    <x v="75"/>
    <s v="2021-04-29"/>
    <x v="0"/>
    <x v="0"/>
    <n v="16"/>
    <x v="29"/>
    <n v="1.25"/>
    <n v="16.100000000000001"/>
    <s v="60746948"/>
  </r>
  <r>
    <x v="75"/>
    <s v="2021-04-29"/>
    <x v="0"/>
    <x v="0"/>
    <n v="15"/>
    <x v="23"/>
    <n v="1.25"/>
    <n v="16.03"/>
    <s v="03215790"/>
  </r>
  <r>
    <x v="75"/>
    <s v="2021-04-29"/>
    <x v="0"/>
    <x v="0"/>
    <n v="14"/>
    <x v="28"/>
    <n v="1.24"/>
    <n v="15.97"/>
    <s v="90400888"/>
  </r>
  <r>
    <x v="75"/>
    <s v="2021-04-29"/>
    <x v="0"/>
    <x v="0"/>
    <n v="13"/>
    <x v="31"/>
    <n v="1.22"/>
    <n v="15.62"/>
    <s v="17167412"/>
  </r>
  <r>
    <x v="75"/>
    <s v="2021-04-29"/>
    <x v="0"/>
    <x v="0"/>
    <n v="12"/>
    <x v="36"/>
    <n v="1.21"/>
    <n v="15.56"/>
    <s v="33136888"/>
  </r>
  <r>
    <x v="75"/>
    <s v="2021-04-29"/>
    <x v="0"/>
    <x v="0"/>
    <n v="11"/>
    <x v="33"/>
    <n v="1.18"/>
    <n v="15.17"/>
    <s v="62307848"/>
  </r>
  <r>
    <x v="75"/>
    <s v="2021-04-29"/>
    <x v="0"/>
    <x v="0"/>
    <n v="10"/>
    <x v="27"/>
    <n v="1.18"/>
    <n v="15.11"/>
    <s v="00000000"/>
  </r>
  <r>
    <x v="75"/>
    <s v="2021-04-29"/>
    <x v="0"/>
    <x v="0"/>
    <n v="9"/>
    <x v="34"/>
    <n v="1.1299999999999999"/>
    <n v="14.43"/>
    <s v="33603457"/>
  </r>
  <r>
    <x v="75"/>
    <s v="2021-04-29"/>
    <x v="0"/>
    <x v="0"/>
    <n v="8"/>
    <x v="39"/>
    <n v="1.1000000000000001"/>
    <n v="13.97"/>
    <s v="04902979"/>
  </r>
  <r>
    <x v="75"/>
    <s v="2021-04-29"/>
    <x v="0"/>
    <x v="0"/>
    <n v="7"/>
    <x v="37"/>
    <n v="1.05"/>
    <n v="13.34"/>
    <s v="04452473"/>
  </r>
  <r>
    <x v="75"/>
    <s v="2021-04-29"/>
    <x v="0"/>
    <x v="0"/>
    <n v="6"/>
    <x v="47"/>
    <n v="1.03"/>
    <n v="13.15"/>
    <s v="28517628"/>
  </r>
  <r>
    <x v="75"/>
    <s v="2021-04-29"/>
    <x v="0"/>
    <x v="0"/>
    <n v="5"/>
    <x v="44"/>
    <n v="1.02"/>
    <n v="12.96"/>
    <s v="58017179"/>
  </r>
  <r>
    <x v="75"/>
    <s v="2021-04-29"/>
    <x v="0"/>
    <x v="0"/>
    <n v="4"/>
    <x v="35"/>
    <n v="0.99"/>
    <n v="12.55"/>
    <s v="59109165"/>
  </r>
  <r>
    <x v="75"/>
    <s v="2021-04-29"/>
    <x v="0"/>
    <x v="0"/>
    <n v="3"/>
    <x v="40"/>
    <n v="0.97"/>
    <n v="12.31"/>
    <s v="02992446"/>
  </r>
  <r>
    <x v="75"/>
    <s v="2021-04-29"/>
    <x v="0"/>
    <x v="0"/>
    <n v="2"/>
    <x v="22"/>
    <n v="0.93"/>
    <n v="11.79"/>
    <s v="11417016"/>
  </r>
  <r>
    <x v="75"/>
    <s v="2021-04-29"/>
    <x v="0"/>
    <x v="0"/>
    <n v="1"/>
    <x v="38"/>
    <n v="0.88"/>
    <n v="11.07"/>
    <s v="60814191"/>
  </r>
  <r>
    <x v="76"/>
    <s v="2021-04-30"/>
    <x v="0"/>
    <x v="0"/>
    <n v="43"/>
    <x v="3"/>
    <n v="3.28"/>
    <n v="47.24"/>
    <s v="05503849"/>
  </r>
  <r>
    <x v="76"/>
    <s v="2021-04-30"/>
    <x v="0"/>
    <x v="0"/>
    <n v="42"/>
    <x v="0"/>
    <n v="3.2"/>
    <n v="45.88"/>
    <s v="60850229"/>
  </r>
  <r>
    <x v="76"/>
    <s v="2021-04-30"/>
    <x v="0"/>
    <x v="0"/>
    <n v="41"/>
    <x v="1"/>
    <n v="3"/>
    <n v="42.5"/>
    <s v="01800019"/>
  </r>
  <r>
    <x v="76"/>
    <s v="2021-04-30"/>
    <x v="0"/>
    <x v="0"/>
    <n v="40"/>
    <x v="2"/>
    <n v="2.96"/>
    <n v="41.85"/>
    <s v="92228410"/>
  </r>
  <r>
    <x v="76"/>
    <s v="2021-04-30"/>
    <x v="0"/>
    <x v="0"/>
    <n v="39"/>
    <x v="4"/>
    <n v="2.69"/>
    <n v="37.47"/>
    <s v="62232889"/>
  </r>
  <r>
    <x v="76"/>
    <s v="2021-04-30"/>
    <x v="0"/>
    <x v="0"/>
    <n v="38"/>
    <x v="7"/>
    <n v="2.5299999999999998"/>
    <n v="34.92"/>
    <s v="92874270"/>
  </r>
  <r>
    <x v="76"/>
    <s v="2021-04-30"/>
    <x v="0"/>
    <x v="0"/>
    <n v="37"/>
    <x v="6"/>
    <n v="2.41"/>
    <n v="33.14"/>
    <s v="05676026"/>
  </r>
  <r>
    <x v="76"/>
    <s v="2021-04-30"/>
    <x v="0"/>
    <x v="0"/>
    <n v="36"/>
    <x v="5"/>
    <n v="2.33"/>
    <n v="31.79"/>
    <s v="80271455"/>
  </r>
  <r>
    <x v="76"/>
    <s v="2021-04-30"/>
    <x v="0"/>
    <x v="0"/>
    <n v="35"/>
    <x v="8"/>
    <n v="2.2000000000000002"/>
    <n v="29.83"/>
    <s v="59285411"/>
  </r>
  <r>
    <x v="76"/>
    <s v="2021-04-30"/>
    <x v="0"/>
    <x v="0"/>
    <n v="34"/>
    <x v="9"/>
    <n v="2.09"/>
    <n v="28.2"/>
    <s v="00411939"/>
  </r>
  <r>
    <x v="76"/>
    <s v="2021-04-30"/>
    <x v="0"/>
    <x v="0"/>
    <n v="33"/>
    <x v="10"/>
    <n v="1.97"/>
    <n v="26.45"/>
    <s v="10371492"/>
  </r>
  <r>
    <x v="76"/>
    <s v="2021-04-30"/>
    <x v="0"/>
    <x v="0"/>
    <n v="32"/>
    <x v="46"/>
    <n v="1.94"/>
    <n v="25.87"/>
    <s v="11760553"/>
  </r>
  <r>
    <x v="76"/>
    <s v="2021-04-30"/>
    <x v="0"/>
    <x v="0"/>
    <n v="31"/>
    <x v="42"/>
    <n v="1.85"/>
    <n v="24.56"/>
    <s v="34991938"/>
  </r>
  <r>
    <x v="76"/>
    <s v="2021-04-30"/>
    <x v="0"/>
    <x v="0"/>
    <n v="30"/>
    <x v="13"/>
    <n v="1.82"/>
    <n v="24.11"/>
    <s v="07707650"/>
  </r>
  <r>
    <x v="76"/>
    <s v="2021-04-30"/>
    <x v="0"/>
    <x v="0"/>
    <n v="29"/>
    <x v="15"/>
    <n v="1.72"/>
    <n v="22.71"/>
    <s v="59588111"/>
  </r>
  <r>
    <x v="76"/>
    <s v="2021-04-30"/>
    <x v="0"/>
    <x v="0"/>
    <n v="28"/>
    <x v="11"/>
    <n v="1.68"/>
    <n v="22.18"/>
    <s v="03634220"/>
  </r>
  <r>
    <x v="76"/>
    <s v="2021-04-30"/>
    <x v="0"/>
    <x v="0"/>
    <n v="27"/>
    <x v="12"/>
    <n v="1.63"/>
    <n v="21.38"/>
    <s v="04862600"/>
  </r>
  <r>
    <x v="76"/>
    <s v="2021-04-30"/>
    <x v="0"/>
    <x v="0"/>
    <n v="26"/>
    <x v="14"/>
    <n v="1.59"/>
    <n v="20.78"/>
    <s v="00360305"/>
  </r>
  <r>
    <x v="76"/>
    <s v="2021-04-30"/>
    <x v="0"/>
    <x v="0"/>
    <n v="25"/>
    <x v="16"/>
    <n v="1.58"/>
    <n v="20.72"/>
    <s v="07207996"/>
  </r>
  <r>
    <x v="76"/>
    <s v="2021-04-30"/>
    <x v="0"/>
    <x v="0"/>
    <n v="24"/>
    <x v="20"/>
    <n v="1.49"/>
    <n v="19.420000000000002"/>
    <s v="17192451"/>
  </r>
  <r>
    <x v="76"/>
    <s v="2021-04-30"/>
    <x v="0"/>
    <x v="0"/>
    <n v="23"/>
    <x v="21"/>
    <n v="1.45"/>
    <n v="18.899999999999999"/>
    <s v="03017677"/>
  </r>
  <r>
    <x v="76"/>
    <s v="2021-04-30"/>
    <x v="0"/>
    <x v="0"/>
    <n v="22"/>
    <x v="24"/>
    <n v="1.37"/>
    <n v="17.760000000000002"/>
    <s v="22639377"/>
  </r>
  <r>
    <x v="76"/>
    <s v="2021-04-30"/>
    <x v="0"/>
    <x v="0"/>
    <n v="21"/>
    <x v="30"/>
    <n v="1.36"/>
    <n v="17.62"/>
    <s v="03502961"/>
  </r>
  <r>
    <x v="76"/>
    <s v="2021-04-30"/>
    <x v="0"/>
    <x v="0"/>
    <n v="20"/>
    <x v="25"/>
    <n v="1.33"/>
    <n v="17.21"/>
    <s v="59274605"/>
  </r>
  <r>
    <x v="76"/>
    <s v="2021-04-30"/>
    <x v="0"/>
    <x v="0"/>
    <n v="19"/>
    <x v="32"/>
    <n v="1.32"/>
    <n v="17.059999999999999"/>
    <s v="60701190"/>
  </r>
  <r>
    <x v="76"/>
    <s v="2021-04-30"/>
    <x v="0"/>
    <x v="0"/>
    <n v="18"/>
    <x v="18"/>
    <n v="1.29"/>
    <n v="16.68"/>
    <s v="28127603"/>
  </r>
  <r>
    <x v="76"/>
    <s v="2021-04-30"/>
    <x v="0"/>
    <x v="0"/>
    <n v="17"/>
    <x v="26"/>
    <n v="1.29"/>
    <n v="16.579999999999998"/>
    <s v="30172491"/>
  </r>
  <r>
    <x v="76"/>
    <s v="2021-04-30"/>
    <x v="0"/>
    <x v="0"/>
    <n v="16"/>
    <x v="23"/>
    <n v="1.26"/>
    <n v="16.18"/>
    <s v="03215790"/>
  </r>
  <r>
    <x v="76"/>
    <s v="2021-04-30"/>
    <x v="0"/>
    <x v="0"/>
    <n v="15"/>
    <x v="29"/>
    <n v="1.25"/>
    <n v="16.02"/>
    <s v="60746948"/>
  </r>
  <r>
    <x v="76"/>
    <s v="2021-04-30"/>
    <x v="0"/>
    <x v="0"/>
    <n v="14"/>
    <x v="28"/>
    <n v="1.24"/>
    <n v="15.94"/>
    <s v="90400888"/>
  </r>
  <r>
    <x v="76"/>
    <s v="2021-04-30"/>
    <x v="0"/>
    <x v="0"/>
    <n v="13"/>
    <x v="36"/>
    <n v="1.21"/>
    <n v="15.52"/>
    <s v="33136888"/>
  </r>
  <r>
    <x v="76"/>
    <s v="2021-04-30"/>
    <x v="0"/>
    <x v="0"/>
    <n v="12"/>
    <x v="43"/>
    <n v="1.19"/>
    <n v="15.23"/>
    <s v="07441209"/>
  </r>
  <r>
    <x v="76"/>
    <s v="2021-04-30"/>
    <x v="0"/>
    <x v="0"/>
    <n v="11"/>
    <x v="33"/>
    <n v="1.18"/>
    <n v="15.14"/>
    <s v="62307848"/>
  </r>
  <r>
    <x v="76"/>
    <s v="2021-04-30"/>
    <x v="0"/>
    <x v="0"/>
    <n v="10"/>
    <x v="31"/>
    <n v="1.18"/>
    <n v="15.13"/>
    <s v="17167412"/>
  </r>
  <r>
    <x v="76"/>
    <s v="2021-04-30"/>
    <x v="0"/>
    <x v="0"/>
    <n v="9"/>
    <x v="27"/>
    <n v="1.18"/>
    <n v="15.12"/>
    <s v="00000000"/>
  </r>
  <r>
    <x v="76"/>
    <s v="2021-04-30"/>
    <x v="0"/>
    <x v="0"/>
    <n v="8"/>
    <x v="34"/>
    <n v="1.1200000000000001"/>
    <n v="14.28"/>
    <s v="33603457"/>
  </r>
  <r>
    <x v="76"/>
    <s v="2021-04-30"/>
    <x v="0"/>
    <x v="0"/>
    <n v="7"/>
    <x v="39"/>
    <n v="1.1000000000000001"/>
    <n v="14.02"/>
    <s v="04902979"/>
  </r>
  <r>
    <x v="76"/>
    <s v="2021-04-30"/>
    <x v="0"/>
    <x v="0"/>
    <n v="6"/>
    <x v="37"/>
    <n v="1.05"/>
    <n v="13.32"/>
    <s v="04452473"/>
  </r>
  <r>
    <x v="76"/>
    <s v="2021-04-30"/>
    <x v="0"/>
    <x v="0"/>
    <n v="5"/>
    <x v="35"/>
    <n v="0.99"/>
    <n v="12.6"/>
    <s v="59109165"/>
  </r>
  <r>
    <x v="76"/>
    <s v="2021-04-30"/>
    <x v="0"/>
    <x v="0"/>
    <n v="4"/>
    <x v="44"/>
    <n v="0.99"/>
    <n v="12.59"/>
    <s v="58017179"/>
  </r>
  <r>
    <x v="76"/>
    <s v="2021-04-30"/>
    <x v="0"/>
    <x v="0"/>
    <n v="3"/>
    <x v="40"/>
    <n v="0.94"/>
    <n v="11.89"/>
    <s v="02992446"/>
  </r>
  <r>
    <x v="76"/>
    <s v="2021-04-30"/>
    <x v="0"/>
    <x v="0"/>
    <n v="2"/>
    <x v="22"/>
    <n v="0.93"/>
    <n v="11.73"/>
    <s v="11417016"/>
  </r>
  <r>
    <x v="76"/>
    <s v="2021-04-30"/>
    <x v="0"/>
    <x v="0"/>
    <n v="1"/>
    <x v="38"/>
    <n v="0.86"/>
    <n v="10.81"/>
    <s v="60814191"/>
  </r>
  <r>
    <x v="77"/>
    <s v="2021-05-03"/>
    <x v="0"/>
    <x v="0"/>
    <n v="43"/>
    <x v="3"/>
    <n v="3.26"/>
    <n v="46.88"/>
    <s v="05503849"/>
  </r>
  <r>
    <x v="77"/>
    <s v="2021-05-03"/>
    <x v="0"/>
    <x v="0"/>
    <n v="42"/>
    <x v="0"/>
    <n v="3.23"/>
    <n v="46.41"/>
    <s v="60850229"/>
  </r>
  <r>
    <x v="77"/>
    <s v="2021-05-03"/>
    <x v="0"/>
    <x v="0"/>
    <n v="41"/>
    <x v="1"/>
    <n v="3.04"/>
    <n v="43.2"/>
    <s v="01800019"/>
  </r>
  <r>
    <x v="77"/>
    <s v="2021-05-03"/>
    <x v="0"/>
    <x v="0"/>
    <n v="40"/>
    <x v="2"/>
    <n v="2.96"/>
    <n v="41.98"/>
    <s v="92228410"/>
  </r>
  <r>
    <x v="77"/>
    <s v="2021-05-03"/>
    <x v="0"/>
    <x v="0"/>
    <n v="39"/>
    <x v="4"/>
    <n v="2.68"/>
    <n v="37.32"/>
    <s v="62232889"/>
  </r>
  <r>
    <x v="77"/>
    <s v="2021-05-03"/>
    <x v="0"/>
    <x v="0"/>
    <n v="38"/>
    <x v="7"/>
    <n v="2.54"/>
    <n v="35.07"/>
    <s v="92874270"/>
  </r>
  <r>
    <x v="77"/>
    <s v="2021-05-03"/>
    <x v="0"/>
    <x v="0"/>
    <n v="37"/>
    <x v="5"/>
    <n v="2.4700000000000002"/>
    <n v="34"/>
    <s v="80271455"/>
  </r>
  <r>
    <x v="77"/>
    <s v="2021-05-03"/>
    <x v="0"/>
    <x v="0"/>
    <n v="36"/>
    <x v="6"/>
    <n v="2.42"/>
    <n v="33.15"/>
    <s v="05676026"/>
  </r>
  <r>
    <x v="77"/>
    <s v="2021-05-03"/>
    <x v="0"/>
    <x v="0"/>
    <n v="35"/>
    <x v="8"/>
    <n v="2.2000000000000002"/>
    <n v="29.89"/>
    <s v="59285411"/>
  </r>
  <r>
    <x v="77"/>
    <s v="2021-05-03"/>
    <x v="0"/>
    <x v="0"/>
    <n v="34"/>
    <x v="9"/>
    <n v="2.1"/>
    <n v="28.29"/>
    <s v="00411939"/>
  </r>
  <r>
    <x v="77"/>
    <s v="2021-05-03"/>
    <x v="0"/>
    <x v="0"/>
    <n v="33"/>
    <x v="10"/>
    <n v="1.97"/>
    <n v="26.39"/>
    <s v="10371492"/>
  </r>
  <r>
    <x v="77"/>
    <s v="2021-05-03"/>
    <x v="0"/>
    <x v="0"/>
    <n v="32"/>
    <x v="42"/>
    <n v="1.85"/>
    <n v="24.56"/>
    <s v="34991938"/>
  </r>
  <r>
    <x v="77"/>
    <s v="2021-05-03"/>
    <x v="0"/>
    <x v="0"/>
    <n v="31"/>
    <x v="13"/>
    <n v="1.82"/>
    <n v="24.13"/>
    <s v="07707650"/>
  </r>
  <r>
    <x v="77"/>
    <s v="2021-05-03"/>
    <x v="0"/>
    <x v="0"/>
    <n v="30"/>
    <x v="19"/>
    <n v="1.8"/>
    <n v="23.92"/>
    <s v="92702067"/>
  </r>
  <r>
    <x v="77"/>
    <s v="2021-05-03"/>
    <x v="0"/>
    <x v="0"/>
    <n v="29"/>
    <x v="15"/>
    <n v="1.72"/>
    <n v="22.68"/>
    <s v="59588111"/>
  </r>
  <r>
    <x v="77"/>
    <s v="2021-05-03"/>
    <x v="0"/>
    <x v="0"/>
    <n v="28"/>
    <x v="11"/>
    <n v="1.64"/>
    <n v="21.53"/>
    <s v="03634220"/>
  </r>
  <r>
    <x v="77"/>
    <s v="2021-05-03"/>
    <x v="0"/>
    <x v="0"/>
    <n v="27"/>
    <x v="12"/>
    <n v="1.63"/>
    <n v="21.37"/>
    <s v="04862600"/>
  </r>
  <r>
    <x v="77"/>
    <s v="2021-05-03"/>
    <x v="0"/>
    <x v="0"/>
    <n v="26"/>
    <x v="14"/>
    <n v="1.59"/>
    <n v="20.86"/>
    <s v="00360305"/>
  </r>
  <r>
    <x v="77"/>
    <s v="2021-05-03"/>
    <x v="0"/>
    <x v="0"/>
    <n v="25"/>
    <x v="16"/>
    <n v="1.57"/>
    <n v="20.6"/>
    <s v="07207996"/>
  </r>
  <r>
    <x v="77"/>
    <s v="2021-05-03"/>
    <x v="0"/>
    <x v="0"/>
    <n v="24"/>
    <x v="20"/>
    <n v="1.49"/>
    <n v="19.38"/>
    <s v="17192451"/>
  </r>
  <r>
    <x v="77"/>
    <s v="2021-05-03"/>
    <x v="0"/>
    <x v="0"/>
    <n v="23"/>
    <x v="21"/>
    <n v="1.45"/>
    <n v="18.809999999999999"/>
    <s v="03017677"/>
  </r>
  <r>
    <x v="77"/>
    <s v="2021-05-03"/>
    <x v="0"/>
    <x v="0"/>
    <n v="22"/>
    <x v="24"/>
    <n v="1.38"/>
    <n v="17.809999999999999"/>
    <s v="22639377"/>
  </r>
  <r>
    <x v="77"/>
    <s v="2021-05-03"/>
    <x v="0"/>
    <x v="0"/>
    <n v="21"/>
    <x v="30"/>
    <n v="1.35"/>
    <n v="17.45"/>
    <s v="03502961"/>
  </r>
  <r>
    <x v="77"/>
    <s v="2021-05-03"/>
    <x v="0"/>
    <x v="0"/>
    <n v="20"/>
    <x v="18"/>
    <n v="1.34"/>
    <n v="17.27"/>
    <s v="28127603"/>
  </r>
  <r>
    <x v="77"/>
    <s v="2021-05-03"/>
    <x v="0"/>
    <x v="0"/>
    <n v="19"/>
    <x v="25"/>
    <n v="1.33"/>
    <n v="17.23"/>
    <s v="59274605"/>
  </r>
  <r>
    <x v="77"/>
    <s v="2021-05-03"/>
    <x v="0"/>
    <x v="0"/>
    <n v="18"/>
    <x v="32"/>
    <n v="1.3"/>
    <n v="16.809999999999999"/>
    <s v="60701190"/>
  </r>
  <r>
    <x v="77"/>
    <s v="2021-05-03"/>
    <x v="0"/>
    <x v="0"/>
    <n v="17"/>
    <x v="26"/>
    <n v="1.28"/>
    <n v="16.52"/>
    <s v="30172491"/>
  </r>
  <r>
    <x v="77"/>
    <s v="2021-05-03"/>
    <x v="0"/>
    <x v="0"/>
    <n v="16"/>
    <x v="23"/>
    <n v="1.26"/>
    <n v="16.190000000000001"/>
    <s v="03215790"/>
  </r>
  <r>
    <x v="77"/>
    <s v="2021-05-03"/>
    <x v="0"/>
    <x v="0"/>
    <n v="15"/>
    <x v="29"/>
    <n v="1.25"/>
    <n v="16.059999999999999"/>
    <s v="60746948"/>
  </r>
  <r>
    <x v="77"/>
    <s v="2021-05-03"/>
    <x v="0"/>
    <x v="0"/>
    <n v="14"/>
    <x v="36"/>
    <n v="1.25"/>
    <n v="16.02"/>
    <s v="33136888"/>
  </r>
  <r>
    <x v="77"/>
    <s v="2021-05-03"/>
    <x v="0"/>
    <x v="0"/>
    <n v="13"/>
    <x v="28"/>
    <n v="1.24"/>
    <n v="15.89"/>
    <s v="90400888"/>
  </r>
  <r>
    <x v="77"/>
    <s v="2021-05-03"/>
    <x v="0"/>
    <x v="0"/>
    <n v="12"/>
    <x v="27"/>
    <n v="1.19"/>
    <n v="15.31"/>
    <s v="00000000"/>
  </r>
  <r>
    <x v="77"/>
    <s v="2021-05-03"/>
    <x v="0"/>
    <x v="0"/>
    <n v="11"/>
    <x v="43"/>
    <n v="1.19"/>
    <n v="15.23"/>
    <s v="07441209"/>
  </r>
  <r>
    <x v="77"/>
    <s v="2021-05-03"/>
    <x v="0"/>
    <x v="0"/>
    <n v="10"/>
    <x v="33"/>
    <n v="1.19"/>
    <n v="15.19"/>
    <s v="62307848"/>
  </r>
  <r>
    <x v="77"/>
    <s v="2021-05-03"/>
    <x v="0"/>
    <x v="0"/>
    <n v="9"/>
    <x v="31"/>
    <n v="1.17"/>
    <n v="14.92"/>
    <s v="17167412"/>
  </r>
  <r>
    <x v="77"/>
    <s v="2021-05-03"/>
    <x v="0"/>
    <x v="0"/>
    <n v="8"/>
    <x v="34"/>
    <n v="1.1299999999999999"/>
    <n v="14.46"/>
    <s v="33603457"/>
  </r>
  <r>
    <x v="77"/>
    <s v="2021-05-03"/>
    <x v="0"/>
    <x v="0"/>
    <n v="7"/>
    <x v="39"/>
    <n v="1.0900000000000001"/>
    <n v="13.9"/>
    <s v="04902979"/>
  </r>
  <r>
    <x v="77"/>
    <s v="2021-05-03"/>
    <x v="0"/>
    <x v="0"/>
    <n v="6"/>
    <x v="37"/>
    <n v="1.05"/>
    <n v="13.36"/>
    <s v="04452473"/>
  </r>
  <r>
    <x v="77"/>
    <s v="2021-05-03"/>
    <x v="0"/>
    <x v="0"/>
    <n v="5"/>
    <x v="44"/>
    <n v="0.99"/>
    <n v="12.59"/>
    <s v="58017179"/>
  </r>
  <r>
    <x v="77"/>
    <s v="2021-05-03"/>
    <x v="0"/>
    <x v="0"/>
    <n v="4"/>
    <x v="35"/>
    <n v="0.98"/>
    <n v="12.45"/>
    <s v="59109165"/>
  </r>
  <r>
    <x v="77"/>
    <s v="2021-05-03"/>
    <x v="0"/>
    <x v="0"/>
    <n v="3"/>
    <x v="22"/>
    <n v="0.93"/>
    <n v="11.73"/>
    <s v="11417016"/>
  </r>
  <r>
    <x v="77"/>
    <s v="2021-05-03"/>
    <x v="0"/>
    <x v="0"/>
    <n v="2"/>
    <x v="40"/>
    <n v="0.9"/>
    <n v="11.38"/>
    <s v="02992446"/>
  </r>
  <r>
    <x v="77"/>
    <s v="2021-05-03"/>
    <x v="0"/>
    <x v="0"/>
    <n v="1"/>
    <x v="38"/>
    <n v="0.9"/>
    <n v="11.34"/>
    <s v="60814191"/>
  </r>
  <r>
    <x v="78"/>
    <s v="2021-05-04"/>
    <x v="0"/>
    <x v="0"/>
    <n v="43"/>
    <x v="0"/>
    <n v="3.22"/>
    <n v="46.31"/>
    <s v="60850229"/>
  </r>
  <r>
    <x v="78"/>
    <s v="2021-05-04"/>
    <x v="0"/>
    <x v="0"/>
    <n v="42"/>
    <x v="3"/>
    <n v="3.15"/>
    <n v="45.14"/>
    <s v="05503849"/>
  </r>
  <r>
    <x v="78"/>
    <s v="2021-05-04"/>
    <x v="0"/>
    <x v="0"/>
    <n v="41"/>
    <x v="1"/>
    <n v="3.02"/>
    <n v="42.86"/>
    <s v="01800019"/>
  </r>
  <r>
    <x v="78"/>
    <s v="2021-05-04"/>
    <x v="0"/>
    <x v="0"/>
    <n v="40"/>
    <x v="2"/>
    <n v="2.97"/>
    <n v="42.04"/>
    <s v="92228410"/>
  </r>
  <r>
    <x v="78"/>
    <s v="2021-05-04"/>
    <x v="0"/>
    <x v="0"/>
    <n v="39"/>
    <x v="4"/>
    <n v="2.68"/>
    <n v="37.409999999999997"/>
    <s v="62232889"/>
  </r>
  <r>
    <x v="78"/>
    <s v="2021-05-04"/>
    <x v="0"/>
    <x v="0"/>
    <n v="38"/>
    <x v="5"/>
    <n v="2.5499999999999998"/>
    <n v="35.270000000000003"/>
    <s v="80271455"/>
  </r>
  <r>
    <x v="78"/>
    <s v="2021-05-04"/>
    <x v="0"/>
    <x v="0"/>
    <n v="37"/>
    <x v="7"/>
    <n v="2.54"/>
    <n v="35.11"/>
    <s v="92874270"/>
  </r>
  <r>
    <x v="78"/>
    <s v="2021-05-04"/>
    <x v="0"/>
    <x v="0"/>
    <n v="36"/>
    <x v="6"/>
    <n v="2.41"/>
    <n v="33.130000000000003"/>
    <s v="05676026"/>
  </r>
  <r>
    <x v="78"/>
    <s v="2021-05-04"/>
    <x v="0"/>
    <x v="0"/>
    <n v="35"/>
    <x v="8"/>
    <n v="2.21"/>
    <n v="30.03"/>
    <s v="59285411"/>
  </r>
  <r>
    <x v="78"/>
    <s v="2021-05-04"/>
    <x v="0"/>
    <x v="0"/>
    <n v="34"/>
    <x v="9"/>
    <n v="2.12"/>
    <n v="28.62"/>
    <s v="00411939"/>
  </r>
  <r>
    <x v="78"/>
    <s v="2021-05-04"/>
    <x v="0"/>
    <x v="0"/>
    <n v="33"/>
    <x v="10"/>
    <n v="1.97"/>
    <n v="26.43"/>
    <s v="10371492"/>
  </r>
  <r>
    <x v="78"/>
    <s v="2021-05-04"/>
    <x v="0"/>
    <x v="0"/>
    <n v="32"/>
    <x v="42"/>
    <n v="1.85"/>
    <n v="24.56"/>
    <s v="34991938"/>
  </r>
  <r>
    <x v="78"/>
    <s v="2021-05-04"/>
    <x v="0"/>
    <x v="0"/>
    <n v="31"/>
    <x v="13"/>
    <n v="1.82"/>
    <n v="24.22"/>
    <s v="07707650"/>
  </r>
  <r>
    <x v="78"/>
    <s v="2021-05-04"/>
    <x v="0"/>
    <x v="0"/>
    <n v="30"/>
    <x v="19"/>
    <n v="1.8"/>
    <n v="23.92"/>
    <s v="92702067"/>
  </r>
  <r>
    <x v="78"/>
    <s v="2021-05-04"/>
    <x v="0"/>
    <x v="0"/>
    <n v="29"/>
    <x v="15"/>
    <n v="1.71"/>
    <n v="22.63"/>
    <s v="59588111"/>
  </r>
  <r>
    <x v="78"/>
    <s v="2021-05-04"/>
    <x v="0"/>
    <x v="0"/>
    <n v="28"/>
    <x v="12"/>
    <n v="1.64"/>
    <n v="21.51"/>
    <s v="04862600"/>
  </r>
  <r>
    <x v="78"/>
    <s v="2021-05-04"/>
    <x v="0"/>
    <x v="0"/>
    <n v="27"/>
    <x v="11"/>
    <n v="1.64"/>
    <n v="21.49"/>
    <s v="03634220"/>
  </r>
  <r>
    <x v="78"/>
    <s v="2021-05-04"/>
    <x v="0"/>
    <x v="0"/>
    <n v="26"/>
    <x v="16"/>
    <n v="1.58"/>
    <n v="20.67"/>
    <s v="07207996"/>
  </r>
  <r>
    <x v="78"/>
    <s v="2021-05-04"/>
    <x v="0"/>
    <x v="0"/>
    <n v="25"/>
    <x v="14"/>
    <n v="1.57"/>
    <n v="20.54"/>
    <s v="00360305"/>
  </r>
  <r>
    <x v="78"/>
    <s v="2021-05-04"/>
    <x v="0"/>
    <x v="0"/>
    <n v="24"/>
    <x v="24"/>
    <n v="1.49"/>
    <n v="19.47"/>
    <s v="22639377"/>
  </r>
  <r>
    <x v="78"/>
    <s v="2021-05-04"/>
    <x v="0"/>
    <x v="0"/>
    <n v="23"/>
    <x v="20"/>
    <n v="1.49"/>
    <n v="19.43"/>
    <s v="17192451"/>
  </r>
  <r>
    <x v="78"/>
    <s v="2021-05-04"/>
    <x v="0"/>
    <x v="0"/>
    <n v="22"/>
    <x v="21"/>
    <n v="1.45"/>
    <n v="18.82"/>
    <s v="03017677"/>
  </r>
  <r>
    <x v="78"/>
    <s v="2021-05-04"/>
    <x v="0"/>
    <x v="0"/>
    <n v="21"/>
    <x v="18"/>
    <n v="1.37"/>
    <n v="17.68"/>
    <s v="28127603"/>
  </r>
  <r>
    <x v="78"/>
    <s v="2021-05-04"/>
    <x v="0"/>
    <x v="0"/>
    <n v="20"/>
    <x v="30"/>
    <n v="1.35"/>
    <n v="17.420000000000002"/>
    <s v="03502961"/>
  </r>
  <r>
    <x v="78"/>
    <s v="2021-05-04"/>
    <x v="0"/>
    <x v="0"/>
    <n v="19"/>
    <x v="25"/>
    <n v="1.34"/>
    <n v="17.28"/>
    <s v="59274605"/>
  </r>
  <r>
    <x v="78"/>
    <s v="2021-05-04"/>
    <x v="0"/>
    <x v="0"/>
    <n v="18"/>
    <x v="32"/>
    <n v="1.31"/>
    <n v="16.91"/>
    <s v="60701190"/>
  </r>
  <r>
    <x v="78"/>
    <s v="2021-05-04"/>
    <x v="0"/>
    <x v="0"/>
    <n v="17"/>
    <x v="26"/>
    <n v="1.28"/>
    <n v="16.54"/>
    <s v="30172491"/>
  </r>
  <r>
    <x v="78"/>
    <s v="2021-05-04"/>
    <x v="0"/>
    <x v="0"/>
    <n v="16"/>
    <x v="23"/>
    <n v="1.27"/>
    <n v="16.3"/>
    <s v="03215790"/>
  </r>
  <r>
    <x v="78"/>
    <s v="2021-05-04"/>
    <x v="0"/>
    <x v="0"/>
    <n v="15"/>
    <x v="36"/>
    <n v="1.27"/>
    <n v="16.3"/>
    <s v="33136888"/>
  </r>
  <r>
    <x v="78"/>
    <s v="2021-05-04"/>
    <x v="0"/>
    <x v="0"/>
    <n v="14"/>
    <x v="29"/>
    <n v="1.25"/>
    <n v="16.05"/>
    <s v="60746948"/>
  </r>
  <r>
    <x v="78"/>
    <s v="2021-05-04"/>
    <x v="0"/>
    <x v="0"/>
    <n v="13"/>
    <x v="28"/>
    <n v="1.23"/>
    <n v="15.82"/>
    <s v="90400888"/>
  </r>
  <r>
    <x v="78"/>
    <s v="2021-05-04"/>
    <x v="0"/>
    <x v="0"/>
    <n v="12"/>
    <x v="27"/>
    <n v="1.2"/>
    <n v="15.36"/>
    <s v="00000000"/>
  </r>
  <r>
    <x v="78"/>
    <s v="2021-05-04"/>
    <x v="0"/>
    <x v="0"/>
    <n v="11"/>
    <x v="33"/>
    <n v="1.19"/>
    <n v="15.25"/>
    <s v="62307848"/>
  </r>
  <r>
    <x v="78"/>
    <s v="2021-05-04"/>
    <x v="0"/>
    <x v="0"/>
    <n v="10"/>
    <x v="31"/>
    <n v="1.17"/>
    <n v="14.96"/>
    <s v="17167412"/>
  </r>
  <r>
    <x v="78"/>
    <s v="2021-05-04"/>
    <x v="0"/>
    <x v="0"/>
    <n v="9"/>
    <x v="34"/>
    <n v="1.1299999999999999"/>
    <n v="14.49"/>
    <s v="33603457"/>
  </r>
  <r>
    <x v="78"/>
    <s v="2021-05-04"/>
    <x v="0"/>
    <x v="0"/>
    <n v="8"/>
    <x v="43"/>
    <n v="1.1000000000000001"/>
    <n v="14.03"/>
    <s v="07441209"/>
  </r>
  <r>
    <x v="78"/>
    <s v="2021-05-04"/>
    <x v="0"/>
    <x v="0"/>
    <n v="7"/>
    <x v="39"/>
    <n v="1.0900000000000001"/>
    <n v="13.93"/>
    <s v="04902979"/>
  </r>
  <r>
    <x v="78"/>
    <s v="2021-05-04"/>
    <x v="0"/>
    <x v="0"/>
    <n v="6"/>
    <x v="37"/>
    <n v="1.05"/>
    <n v="13.35"/>
    <s v="04452473"/>
  </r>
  <r>
    <x v="78"/>
    <s v="2021-05-04"/>
    <x v="0"/>
    <x v="0"/>
    <n v="5"/>
    <x v="44"/>
    <n v="1.01"/>
    <n v="12.77"/>
    <s v="58017179"/>
  </r>
  <r>
    <x v="78"/>
    <s v="2021-05-04"/>
    <x v="0"/>
    <x v="0"/>
    <n v="4"/>
    <x v="35"/>
    <n v="0.97"/>
    <n v="12.29"/>
    <s v="59109165"/>
  </r>
  <r>
    <x v="78"/>
    <s v="2021-05-04"/>
    <x v="0"/>
    <x v="0"/>
    <n v="3"/>
    <x v="22"/>
    <n v="0.94"/>
    <n v="11.84"/>
    <s v="11417016"/>
  </r>
  <r>
    <x v="78"/>
    <s v="2021-05-04"/>
    <x v="0"/>
    <x v="0"/>
    <n v="2"/>
    <x v="38"/>
    <n v="0.91"/>
    <n v="11.45"/>
    <s v="60814191"/>
  </r>
  <r>
    <x v="78"/>
    <s v="2021-05-04"/>
    <x v="0"/>
    <x v="0"/>
    <n v="1"/>
    <x v="40"/>
    <n v="0.89"/>
    <n v="11.26"/>
    <s v="02992446"/>
  </r>
  <r>
    <x v="79"/>
    <s v="2021-05-05"/>
    <x v="0"/>
    <x v="0"/>
    <n v="44"/>
    <x v="3"/>
    <n v="3.14"/>
    <n v="44.91"/>
    <s v="05503849"/>
  </r>
  <r>
    <x v="79"/>
    <s v="2021-05-05"/>
    <x v="0"/>
    <x v="0"/>
    <n v="43"/>
    <x v="0"/>
    <n v="3.13"/>
    <n v="44.78"/>
    <s v="60850229"/>
  </r>
  <r>
    <x v="79"/>
    <s v="2021-05-05"/>
    <x v="0"/>
    <x v="0"/>
    <n v="42"/>
    <x v="1"/>
    <n v="2.99"/>
    <n v="42.48"/>
    <s v="01800019"/>
  </r>
  <r>
    <x v="79"/>
    <s v="2021-05-05"/>
    <x v="0"/>
    <x v="0"/>
    <n v="41"/>
    <x v="2"/>
    <n v="2.98"/>
    <n v="42.28"/>
    <s v="92228410"/>
  </r>
  <r>
    <x v="79"/>
    <s v="2021-05-05"/>
    <x v="0"/>
    <x v="0"/>
    <n v="40"/>
    <x v="4"/>
    <n v="2.68"/>
    <n v="37.35"/>
    <s v="62232889"/>
  </r>
  <r>
    <x v="79"/>
    <s v="2021-05-05"/>
    <x v="0"/>
    <x v="0"/>
    <n v="39"/>
    <x v="7"/>
    <n v="2.54"/>
    <n v="35.049999999999997"/>
    <s v="92874270"/>
  </r>
  <r>
    <x v="79"/>
    <s v="2021-05-05"/>
    <x v="0"/>
    <x v="0"/>
    <n v="38"/>
    <x v="5"/>
    <n v="2.48"/>
    <n v="34.24"/>
    <s v="80271455"/>
  </r>
  <r>
    <x v="79"/>
    <s v="2021-05-05"/>
    <x v="0"/>
    <x v="0"/>
    <n v="37"/>
    <x v="6"/>
    <n v="2.41"/>
    <n v="33.15"/>
    <s v="05676026"/>
  </r>
  <r>
    <x v="79"/>
    <s v="2021-05-05"/>
    <x v="0"/>
    <x v="0"/>
    <n v="36"/>
    <x v="8"/>
    <n v="2.2200000000000002"/>
    <n v="30.2"/>
    <s v="59285411"/>
  </r>
  <r>
    <x v="79"/>
    <s v="2021-05-05"/>
    <x v="0"/>
    <x v="0"/>
    <n v="35"/>
    <x v="9"/>
    <n v="2.19"/>
    <n v="29.65"/>
    <s v="00411939"/>
  </r>
  <r>
    <x v="79"/>
    <s v="2021-05-05"/>
    <x v="0"/>
    <x v="0"/>
    <n v="34"/>
    <x v="10"/>
    <n v="1.98"/>
    <n v="26.48"/>
    <s v="10371492"/>
  </r>
  <r>
    <x v="79"/>
    <s v="2021-05-05"/>
    <x v="0"/>
    <x v="0"/>
    <n v="33"/>
    <x v="42"/>
    <n v="1.85"/>
    <n v="24.56"/>
    <s v="34991938"/>
  </r>
  <r>
    <x v="79"/>
    <s v="2021-05-05"/>
    <x v="0"/>
    <x v="0"/>
    <n v="32"/>
    <x v="13"/>
    <n v="1.82"/>
    <n v="24.17"/>
    <s v="07707650"/>
  </r>
  <r>
    <x v="79"/>
    <s v="2021-05-05"/>
    <x v="0"/>
    <x v="0"/>
    <n v="31"/>
    <x v="19"/>
    <n v="1.8"/>
    <n v="23.92"/>
    <s v="92702067"/>
  </r>
  <r>
    <x v="79"/>
    <s v="2021-05-05"/>
    <x v="0"/>
    <x v="0"/>
    <n v="30"/>
    <x v="15"/>
    <n v="1.72"/>
    <n v="22.64"/>
    <s v="59588111"/>
  </r>
  <r>
    <x v="79"/>
    <s v="2021-05-05"/>
    <x v="0"/>
    <x v="0"/>
    <n v="29"/>
    <x v="11"/>
    <n v="1.67"/>
    <n v="21.96"/>
    <s v="03634220"/>
  </r>
  <r>
    <x v="79"/>
    <s v="2021-05-05"/>
    <x v="0"/>
    <x v="0"/>
    <n v="28"/>
    <x v="12"/>
    <n v="1.64"/>
    <n v="21.53"/>
    <s v="04862600"/>
  </r>
  <r>
    <x v="79"/>
    <s v="2021-05-05"/>
    <x v="0"/>
    <x v="0"/>
    <n v="27"/>
    <x v="16"/>
    <n v="1.58"/>
    <n v="20.74"/>
    <s v="07207996"/>
  </r>
  <r>
    <x v="79"/>
    <s v="2021-05-05"/>
    <x v="0"/>
    <x v="0"/>
    <n v="26"/>
    <x v="14"/>
    <n v="1.52"/>
    <n v="19.850000000000001"/>
    <s v="00360305"/>
  </r>
  <r>
    <x v="79"/>
    <s v="2021-05-05"/>
    <x v="0"/>
    <x v="0"/>
    <n v="25"/>
    <x v="20"/>
    <n v="1.5"/>
    <n v="19.489999999999998"/>
    <s v="17192451"/>
  </r>
  <r>
    <x v="79"/>
    <s v="2021-05-05"/>
    <x v="0"/>
    <x v="0"/>
    <n v="24"/>
    <x v="24"/>
    <n v="1.47"/>
    <n v="19.2"/>
    <s v="22639377"/>
  </r>
  <r>
    <x v="79"/>
    <s v="2021-05-05"/>
    <x v="0"/>
    <x v="0"/>
    <n v="23"/>
    <x v="21"/>
    <n v="1.45"/>
    <n v="18.88"/>
    <s v="03017677"/>
  </r>
  <r>
    <x v="79"/>
    <s v="2021-05-05"/>
    <x v="0"/>
    <x v="0"/>
    <n v="22"/>
    <x v="48"/>
    <n v="1.38"/>
    <n v="17.87"/>
    <s v="27214112"/>
  </r>
  <r>
    <x v="79"/>
    <s v="2021-05-05"/>
    <x v="0"/>
    <x v="0"/>
    <n v="21"/>
    <x v="30"/>
    <n v="1.36"/>
    <n v="17.53"/>
    <s v="03502961"/>
  </r>
  <r>
    <x v="79"/>
    <s v="2021-05-05"/>
    <x v="0"/>
    <x v="0"/>
    <n v="20"/>
    <x v="25"/>
    <n v="1.34"/>
    <n v="17.309999999999999"/>
    <s v="59274605"/>
  </r>
  <r>
    <x v="79"/>
    <s v="2021-05-05"/>
    <x v="0"/>
    <x v="0"/>
    <n v="19"/>
    <x v="32"/>
    <n v="1.31"/>
    <n v="16.96"/>
    <s v="60701190"/>
  </r>
  <r>
    <x v="79"/>
    <s v="2021-05-05"/>
    <x v="0"/>
    <x v="0"/>
    <n v="18"/>
    <x v="18"/>
    <n v="1.3"/>
    <n v="16.71"/>
    <s v="28127603"/>
  </r>
  <r>
    <x v="79"/>
    <s v="2021-05-05"/>
    <x v="0"/>
    <x v="0"/>
    <n v="17"/>
    <x v="36"/>
    <n v="1.28"/>
    <n v="16.54"/>
    <s v="33136888"/>
  </r>
  <r>
    <x v="79"/>
    <s v="2021-05-05"/>
    <x v="0"/>
    <x v="0"/>
    <n v="16"/>
    <x v="26"/>
    <n v="1.28"/>
    <n v="16.510000000000002"/>
    <s v="30172491"/>
  </r>
  <r>
    <x v="79"/>
    <s v="2021-05-05"/>
    <x v="0"/>
    <x v="0"/>
    <n v="15"/>
    <x v="23"/>
    <n v="1.27"/>
    <n v="16.41"/>
    <s v="03215790"/>
  </r>
  <r>
    <x v="79"/>
    <s v="2021-05-05"/>
    <x v="0"/>
    <x v="0"/>
    <n v="14"/>
    <x v="29"/>
    <n v="1.26"/>
    <n v="16.190000000000001"/>
    <s v="60746948"/>
  </r>
  <r>
    <x v="79"/>
    <s v="2021-05-05"/>
    <x v="0"/>
    <x v="0"/>
    <n v="13"/>
    <x v="28"/>
    <n v="1.25"/>
    <n v="16.03"/>
    <s v="90400888"/>
  </r>
  <r>
    <x v="79"/>
    <s v="2021-05-05"/>
    <x v="0"/>
    <x v="0"/>
    <n v="12"/>
    <x v="27"/>
    <n v="1.21"/>
    <n v="15.56"/>
    <s v="00000000"/>
  </r>
  <r>
    <x v="79"/>
    <s v="2021-05-05"/>
    <x v="0"/>
    <x v="0"/>
    <n v="11"/>
    <x v="33"/>
    <n v="1.2"/>
    <n v="15.42"/>
    <s v="62307848"/>
  </r>
  <r>
    <x v="79"/>
    <s v="2021-05-05"/>
    <x v="0"/>
    <x v="0"/>
    <n v="10"/>
    <x v="31"/>
    <n v="1.1599999999999999"/>
    <n v="14.87"/>
    <s v="17167412"/>
  </r>
  <r>
    <x v="79"/>
    <s v="2021-05-05"/>
    <x v="0"/>
    <x v="0"/>
    <n v="9"/>
    <x v="34"/>
    <n v="1.1299999999999999"/>
    <n v="14.46"/>
    <s v="33603457"/>
  </r>
  <r>
    <x v="79"/>
    <s v="2021-05-05"/>
    <x v="0"/>
    <x v="0"/>
    <n v="8"/>
    <x v="43"/>
    <n v="1.1000000000000001"/>
    <n v="14.03"/>
    <s v="07441209"/>
  </r>
  <r>
    <x v="79"/>
    <s v="2021-05-05"/>
    <x v="0"/>
    <x v="0"/>
    <n v="7"/>
    <x v="39"/>
    <n v="1.0900000000000001"/>
    <n v="13.93"/>
    <s v="04902979"/>
  </r>
  <r>
    <x v="79"/>
    <s v="2021-05-05"/>
    <x v="0"/>
    <x v="0"/>
    <n v="6"/>
    <x v="44"/>
    <n v="1.05"/>
    <n v="13.36"/>
    <s v="58017179"/>
  </r>
  <r>
    <x v="79"/>
    <s v="2021-05-05"/>
    <x v="0"/>
    <x v="0"/>
    <n v="5"/>
    <x v="37"/>
    <n v="1.05"/>
    <n v="13.31"/>
    <s v="04452473"/>
  </r>
  <r>
    <x v="79"/>
    <s v="2021-05-05"/>
    <x v="0"/>
    <x v="0"/>
    <n v="4"/>
    <x v="35"/>
    <n v="0.98"/>
    <n v="12.35"/>
    <s v="59109165"/>
  </r>
  <r>
    <x v="79"/>
    <s v="2021-05-05"/>
    <x v="0"/>
    <x v="0"/>
    <n v="3"/>
    <x v="22"/>
    <n v="0.94"/>
    <n v="11.82"/>
    <s v="11417016"/>
  </r>
  <r>
    <x v="79"/>
    <s v="2021-05-05"/>
    <x v="0"/>
    <x v="0"/>
    <n v="2"/>
    <x v="38"/>
    <n v="0.91"/>
    <n v="11.45"/>
    <s v="60814191"/>
  </r>
  <r>
    <x v="79"/>
    <s v="2021-05-05"/>
    <x v="0"/>
    <x v="0"/>
    <n v="1"/>
    <x v="40"/>
    <n v="0.89"/>
    <n v="11.26"/>
    <s v="02992446"/>
  </r>
  <r>
    <x v="80"/>
    <s v="2021-05-06"/>
    <x v="0"/>
    <x v="0"/>
    <n v="44"/>
    <x v="3"/>
    <n v="3.17"/>
    <n v="45.4"/>
    <s v="05503849"/>
  </r>
  <r>
    <x v="80"/>
    <s v="2021-05-06"/>
    <x v="0"/>
    <x v="0"/>
    <n v="43"/>
    <x v="0"/>
    <n v="3.09"/>
    <n v="44.1"/>
    <s v="60850229"/>
  </r>
  <r>
    <x v="80"/>
    <s v="2021-05-06"/>
    <x v="0"/>
    <x v="0"/>
    <n v="42"/>
    <x v="2"/>
    <n v="2.99"/>
    <n v="42.46"/>
    <s v="92228410"/>
  </r>
  <r>
    <x v="80"/>
    <s v="2021-05-06"/>
    <x v="0"/>
    <x v="0"/>
    <n v="41"/>
    <x v="1"/>
    <n v="2.86"/>
    <n v="40.25"/>
    <s v="01800019"/>
  </r>
  <r>
    <x v="80"/>
    <s v="2021-05-06"/>
    <x v="0"/>
    <x v="0"/>
    <n v="40"/>
    <x v="4"/>
    <n v="2.67"/>
    <n v="37.229999999999997"/>
    <s v="62232889"/>
  </r>
  <r>
    <x v="80"/>
    <s v="2021-05-06"/>
    <x v="0"/>
    <x v="0"/>
    <n v="39"/>
    <x v="7"/>
    <n v="2.54"/>
    <n v="35.090000000000003"/>
    <s v="92874270"/>
  </r>
  <r>
    <x v="80"/>
    <s v="2021-05-06"/>
    <x v="0"/>
    <x v="0"/>
    <n v="38"/>
    <x v="5"/>
    <n v="2.4900000000000002"/>
    <n v="34.36"/>
    <s v="80271455"/>
  </r>
  <r>
    <x v="80"/>
    <s v="2021-05-06"/>
    <x v="0"/>
    <x v="0"/>
    <n v="37"/>
    <x v="6"/>
    <n v="2.41"/>
    <n v="33.15"/>
    <s v="05676026"/>
  </r>
  <r>
    <x v="80"/>
    <s v="2021-05-06"/>
    <x v="0"/>
    <x v="0"/>
    <n v="36"/>
    <x v="9"/>
    <n v="2.2400000000000002"/>
    <n v="30.49"/>
    <s v="00411939"/>
  </r>
  <r>
    <x v="80"/>
    <s v="2021-05-06"/>
    <x v="0"/>
    <x v="0"/>
    <n v="35"/>
    <x v="8"/>
    <n v="2.2400000000000002"/>
    <n v="30.38"/>
    <s v="59285411"/>
  </r>
  <r>
    <x v="80"/>
    <s v="2021-05-06"/>
    <x v="0"/>
    <x v="0"/>
    <n v="34"/>
    <x v="10"/>
    <n v="1.97"/>
    <n v="26.34"/>
    <s v="10371492"/>
  </r>
  <r>
    <x v="80"/>
    <s v="2021-05-06"/>
    <x v="0"/>
    <x v="0"/>
    <n v="33"/>
    <x v="13"/>
    <n v="1.82"/>
    <n v="24.09"/>
    <s v="07707650"/>
  </r>
  <r>
    <x v="80"/>
    <s v="2021-05-06"/>
    <x v="0"/>
    <x v="0"/>
    <n v="32"/>
    <x v="19"/>
    <n v="1.8"/>
    <n v="23.92"/>
    <s v="92702067"/>
  </r>
  <r>
    <x v="80"/>
    <s v="2021-05-06"/>
    <x v="0"/>
    <x v="0"/>
    <n v="31"/>
    <x v="15"/>
    <n v="1.71"/>
    <n v="22.63"/>
    <s v="59588111"/>
  </r>
  <r>
    <x v="80"/>
    <s v="2021-05-06"/>
    <x v="0"/>
    <x v="0"/>
    <n v="30"/>
    <x v="11"/>
    <n v="1.67"/>
    <n v="21.97"/>
    <s v="03634220"/>
  </r>
  <r>
    <x v="80"/>
    <s v="2021-05-06"/>
    <x v="0"/>
    <x v="0"/>
    <n v="29"/>
    <x v="12"/>
    <n v="1.65"/>
    <n v="21.64"/>
    <s v="04862600"/>
  </r>
  <r>
    <x v="80"/>
    <s v="2021-05-06"/>
    <x v="0"/>
    <x v="0"/>
    <n v="28"/>
    <x v="16"/>
    <n v="1.59"/>
    <n v="20.84"/>
    <s v="07207996"/>
  </r>
  <r>
    <x v="80"/>
    <s v="2021-05-06"/>
    <x v="0"/>
    <x v="0"/>
    <n v="27"/>
    <x v="24"/>
    <n v="1.55"/>
    <n v="20.25"/>
    <s v="22639377"/>
  </r>
  <r>
    <x v="80"/>
    <s v="2021-05-06"/>
    <x v="0"/>
    <x v="0"/>
    <n v="26"/>
    <x v="20"/>
    <n v="1.5"/>
    <n v="19.57"/>
    <s v="17192451"/>
  </r>
  <r>
    <x v="80"/>
    <s v="2021-05-06"/>
    <x v="0"/>
    <x v="0"/>
    <n v="25"/>
    <x v="14"/>
    <n v="1.49"/>
    <n v="19.43"/>
    <s v="00360305"/>
  </r>
  <r>
    <x v="80"/>
    <s v="2021-05-06"/>
    <x v="0"/>
    <x v="0"/>
    <n v="24"/>
    <x v="21"/>
    <n v="1.45"/>
    <n v="18.88"/>
    <s v="03017677"/>
  </r>
  <r>
    <x v="80"/>
    <s v="2021-05-06"/>
    <x v="0"/>
    <x v="0"/>
    <n v="23"/>
    <x v="36"/>
    <n v="1.39"/>
    <n v="18.079999999999998"/>
    <s v="33136888"/>
  </r>
  <r>
    <x v="80"/>
    <s v="2021-05-06"/>
    <x v="0"/>
    <x v="0"/>
    <n v="22"/>
    <x v="48"/>
    <n v="1.37"/>
    <n v="17.68"/>
    <s v="27214112"/>
  </r>
  <r>
    <x v="80"/>
    <s v="2021-05-06"/>
    <x v="0"/>
    <x v="0"/>
    <n v="21"/>
    <x v="25"/>
    <n v="1.35"/>
    <n v="17.399999999999999"/>
    <s v="59274605"/>
  </r>
  <r>
    <x v="80"/>
    <s v="2021-05-06"/>
    <x v="0"/>
    <x v="0"/>
    <n v="20"/>
    <x v="30"/>
    <n v="1.32"/>
    <n v="17.07"/>
    <s v="03502961"/>
  </r>
  <r>
    <x v="80"/>
    <s v="2021-05-06"/>
    <x v="0"/>
    <x v="0"/>
    <n v="19"/>
    <x v="32"/>
    <n v="1.31"/>
    <n v="16.95"/>
    <s v="60701190"/>
  </r>
  <r>
    <x v="80"/>
    <s v="2021-05-06"/>
    <x v="0"/>
    <x v="0"/>
    <n v="18"/>
    <x v="26"/>
    <n v="1.29"/>
    <n v="16.68"/>
    <s v="30172491"/>
  </r>
  <r>
    <x v="80"/>
    <s v="2021-05-06"/>
    <x v="0"/>
    <x v="0"/>
    <n v="17"/>
    <x v="23"/>
    <n v="1.27"/>
    <n v="16.36"/>
    <s v="03215790"/>
  </r>
  <r>
    <x v="80"/>
    <s v="2021-05-06"/>
    <x v="0"/>
    <x v="0"/>
    <n v="16"/>
    <x v="29"/>
    <n v="1.27"/>
    <n v="16.350000000000001"/>
    <s v="60746948"/>
  </r>
  <r>
    <x v="80"/>
    <s v="2021-05-06"/>
    <x v="0"/>
    <x v="0"/>
    <n v="15"/>
    <x v="18"/>
    <n v="1.27"/>
    <n v="16.32"/>
    <s v="28127603"/>
  </r>
  <r>
    <x v="80"/>
    <s v="2021-05-06"/>
    <x v="0"/>
    <x v="0"/>
    <n v="14"/>
    <x v="28"/>
    <n v="1.26"/>
    <n v="16.18"/>
    <s v="90400888"/>
  </r>
  <r>
    <x v="80"/>
    <s v="2021-05-06"/>
    <x v="0"/>
    <x v="0"/>
    <n v="13"/>
    <x v="27"/>
    <n v="1.22"/>
    <n v="15.61"/>
    <s v="00000000"/>
  </r>
  <r>
    <x v="80"/>
    <s v="2021-05-06"/>
    <x v="0"/>
    <x v="0"/>
    <n v="12"/>
    <x v="33"/>
    <n v="1.22"/>
    <n v="15.61"/>
    <s v="62307848"/>
  </r>
  <r>
    <x v="80"/>
    <s v="2021-05-06"/>
    <x v="0"/>
    <x v="0"/>
    <n v="11"/>
    <x v="31"/>
    <n v="1.17"/>
    <n v="14.95"/>
    <s v="17167412"/>
  </r>
  <r>
    <x v="80"/>
    <s v="2021-05-06"/>
    <x v="0"/>
    <x v="0"/>
    <n v="10"/>
    <x v="34"/>
    <n v="1.1499999999999999"/>
    <n v="14.7"/>
    <s v="33603457"/>
  </r>
  <r>
    <x v="80"/>
    <s v="2021-05-06"/>
    <x v="0"/>
    <x v="0"/>
    <n v="9"/>
    <x v="43"/>
    <n v="1.1000000000000001"/>
    <n v="14.03"/>
    <s v="07441209"/>
  </r>
  <r>
    <x v="80"/>
    <s v="2021-05-06"/>
    <x v="0"/>
    <x v="0"/>
    <n v="8"/>
    <x v="39"/>
    <n v="1.08"/>
    <n v="13.74"/>
    <s v="04902979"/>
  </r>
  <r>
    <x v="80"/>
    <s v="2021-05-06"/>
    <x v="0"/>
    <x v="0"/>
    <n v="7"/>
    <x v="44"/>
    <n v="1.05"/>
    <n v="13.36"/>
    <s v="58017179"/>
  </r>
  <r>
    <x v="80"/>
    <s v="2021-05-06"/>
    <x v="0"/>
    <x v="0"/>
    <n v="6"/>
    <x v="37"/>
    <n v="1.05"/>
    <n v="13.36"/>
    <s v="04452473"/>
  </r>
  <r>
    <x v="80"/>
    <s v="2021-05-06"/>
    <x v="0"/>
    <x v="0"/>
    <n v="5"/>
    <x v="47"/>
    <n v="0.99"/>
    <n v="12.6"/>
    <s v="28517628"/>
  </r>
  <r>
    <x v="80"/>
    <s v="2021-05-06"/>
    <x v="0"/>
    <x v="0"/>
    <n v="4"/>
    <x v="35"/>
    <n v="0.98"/>
    <n v="12.41"/>
    <s v="59109165"/>
  </r>
  <r>
    <x v="80"/>
    <s v="2021-05-06"/>
    <x v="0"/>
    <x v="0"/>
    <n v="3"/>
    <x v="38"/>
    <n v="0.94"/>
    <n v="11.82"/>
    <s v="60814191"/>
  </r>
  <r>
    <x v="80"/>
    <s v="2021-05-06"/>
    <x v="0"/>
    <x v="0"/>
    <n v="2"/>
    <x v="22"/>
    <n v="0.94"/>
    <n v="11.82"/>
    <s v="11417016"/>
  </r>
  <r>
    <x v="80"/>
    <s v="2021-05-06"/>
    <x v="0"/>
    <x v="0"/>
    <n v="1"/>
    <x v="40"/>
    <n v="0.9"/>
    <n v="11.29"/>
    <s v="02992446"/>
  </r>
  <r>
    <x v="81"/>
    <s v="2021-05-07"/>
    <x v="0"/>
    <x v="0"/>
    <n v="43"/>
    <x v="3"/>
    <n v="3.17"/>
    <n v="45.4"/>
    <s v="05503849"/>
  </r>
  <r>
    <x v="81"/>
    <s v="2021-05-07"/>
    <x v="0"/>
    <x v="0"/>
    <n v="42"/>
    <x v="0"/>
    <n v="3.06"/>
    <n v="43.58"/>
    <s v="60850229"/>
  </r>
  <r>
    <x v="81"/>
    <s v="2021-05-07"/>
    <x v="0"/>
    <x v="0"/>
    <n v="41"/>
    <x v="2"/>
    <n v="3.02"/>
    <n v="42.97"/>
    <s v="92228410"/>
  </r>
  <r>
    <x v="81"/>
    <s v="2021-05-07"/>
    <x v="0"/>
    <x v="0"/>
    <n v="40"/>
    <x v="1"/>
    <n v="2.94"/>
    <n v="41.59"/>
    <s v="01800019"/>
  </r>
  <r>
    <x v="81"/>
    <s v="2021-05-07"/>
    <x v="0"/>
    <x v="0"/>
    <n v="39"/>
    <x v="4"/>
    <n v="2.66"/>
    <n v="37.090000000000003"/>
    <s v="62232889"/>
  </r>
  <r>
    <x v="81"/>
    <s v="2021-05-07"/>
    <x v="0"/>
    <x v="0"/>
    <n v="38"/>
    <x v="7"/>
    <n v="2.54"/>
    <n v="35.04"/>
    <s v="92874270"/>
  </r>
  <r>
    <x v="81"/>
    <s v="2021-05-07"/>
    <x v="0"/>
    <x v="0"/>
    <n v="37"/>
    <x v="5"/>
    <n v="2.46"/>
    <n v="33.92"/>
    <s v="80271455"/>
  </r>
  <r>
    <x v="81"/>
    <s v="2021-05-07"/>
    <x v="0"/>
    <x v="0"/>
    <n v="36"/>
    <x v="6"/>
    <n v="2.41"/>
    <n v="33.15"/>
    <s v="05676026"/>
  </r>
  <r>
    <x v="81"/>
    <s v="2021-05-07"/>
    <x v="0"/>
    <x v="0"/>
    <n v="35"/>
    <x v="9"/>
    <n v="2.2599999999999998"/>
    <n v="30.73"/>
    <s v="00411939"/>
  </r>
  <r>
    <x v="81"/>
    <s v="2021-05-07"/>
    <x v="0"/>
    <x v="0"/>
    <n v="34"/>
    <x v="8"/>
    <n v="2.25"/>
    <n v="30.55"/>
    <s v="59285411"/>
  </r>
  <r>
    <x v="81"/>
    <s v="2021-05-07"/>
    <x v="0"/>
    <x v="0"/>
    <n v="33"/>
    <x v="10"/>
    <n v="1.97"/>
    <n v="26.32"/>
    <s v="10371492"/>
  </r>
  <r>
    <x v="81"/>
    <s v="2021-05-07"/>
    <x v="0"/>
    <x v="0"/>
    <n v="32"/>
    <x v="13"/>
    <n v="1.82"/>
    <n v="24.1"/>
    <s v="07707650"/>
  </r>
  <r>
    <x v="81"/>
    <s v="2021-05-07"/>
    <x v="0"/>
    <x v="0"/>
    <n v="31"/>
    <x v="19"/>
    <n v="1.8"/>
    <n v="23.92"/>
    <s v="92702067"/>
  </r>
  <r>
    <x v="81"/>
    <s v="2021-05-07"/>
    <x v="0"/>
    <x v="0"/>
    <n v="30"/>
    <x v="15"/>
    <n v="1.71"/>
    <n v="22.59"/>
    <s v="59588111"/>
  </r>
  <r>
    <x v="81"/>
    <s v="2021-05-07"/>
    <x v="0"/>
    <x v="0"/>
    <n v="29"/>
    <x v="11"/>
    <n v="1.71"/>
    <n v="22.57"/>
    <s v="03634220"/>
  </r>
  <r>
    <x v="81"/>
    <s v="2021-05-07"/>
    <x v="0"/>
    <x v="0"/>
    <n v="28"/>
    <x v="12"/>
    <n v="1.65"/>
    <n v="21.75"/>
    <s v="04862600"/>
  </r>
  <r>
    <x v="81"/>
    <s v="2021-05-07"/>
    <x v="0"/>
    <x v="0"/>
    <n v="27"/>
    <x v="14"/>
    <n v="1.56"/>
    <n v="20.43"/>
    <s v="00360305"/>
  </r>
  <r>
    <x v="81"/>
    <s v="2021-05-07"/>
    <x v="0"/>
    <x v="0"/>
    <n v="26"/>
    <x v="24"/>
    <n v="1.52"/>
    <n v="19.850000000000001"/>
    <s v="22639377"/>
  </r>
  <r>
    <x v="81"/>
    <s v="2021-05-07"/>
    <x v="0"/>
    <x v="0"/>
    <n v="25"/>
    <x v="20"/>
    <n v="1.51"/>
    <n v="19.66"/>
    <s v="17192451"/>
  </r>
  <r>
    <x v="81"/>
    <s v="2021-05-07"/>
    <x v="0"/>
    <x v="0"/>
    <n v="24"/>
    <x v="21"/>
    <n v="1.45"/>
    <n v="18.89"/>
    <s v="03017677"/>
  </r>
  <r>
    <x v="81"/>
    <s v="2021-05-07"/>
    <x v="0"/>
    <x v="0"/>
    <n v="23"/>
    <x v="18"/>
    <n v="1.38"/>
    <n v="17.899999999999999"/>
    <s v="28127603"/>
  </r>
  <r>
    <x v="81"/>
    <s v="2021-05-07"/>
    <x v="0"/>
    <x v="0"/>
    <n v="22"/>
    <x v="36"/>
    <n v="1.37"/>
    <n v="17.71"/>
    <s v="33136888"/>
  </r>
  <r>
    <x v="81"/>
    <s v="2021-05-07"/>
    <x v="0"/>
    <x v="0"/>
    <n v="21"/>
    <x v="48"/>
    <n v="1.37"/>
    <n v="17.68"/>
    <s v="27214112"/>
  </r>
  <r>
    <x v="81"/>
    <s v="2021-05-07"/>
    <x v="0"/>
    <x v="0"/>
    <n v="20"/>
    <x v="32"/>
    <n v="1.33"/>
    <n v="17.23"/>
    <s v="60701190"/>
  </r>
  <r>
    <x v="81"/>
    <s v="2021-05-07"/>
    <x v="0"/>
    <x v="0"/>
    <n v="19"/>
    <x v="25"/>
    <n v="1.33"/>
    <n v="17.18"/>
    <s v="59274605"/>
  </r>
  <r>
    <x v="81"/>
    <s v="2021-05-07"/>
    <x v="0"/>
    <x v="0"/>
    <n v="18"/>
    <x v="30"/>
    <n v="1.32"/>
    <n v="17.09"/>
    <s v="03502961"/>
  </r>
  <r>
    <x v="81"/>
    <s v="2021-05-07"/>
    <x v="0"/>
    <x v="0"/>
    <n v="17"/>
    <x v="26"/>
    <n v="1.3"/>
    <n v="16.809999999999999"/>
    <s v="30172491"/>
  </r>
  <r>
    <x v="81"/>
    <s v="2021-05-07"/>
    <x v="0"/>
    <x v="0"/>
    <n v="16"/>
    <x v="29"/>
    <n v="1.28"/>
    <n v="16.53"/>
    <s v="60746948"/>
  </r>
  <r>
    <x v="81"/>
    <s v="2021-05-07"/>
    <x v="0"/>
    <x v="0"/>
    <n v="15"/>
    <x v="28"/>
    <n v="1.28"/>
    <n v="16.510000000000002"/>
    <s v="90400888"/>
  </r>
  <r>
    <x v="81"/>
    <s v="2021-05-07"/>
    <x v="0"/>
    <x v="0"/>
    <n v="14"/>
    <x v="23"/>
    <n v="1.27"/>
    <n v="16.350000000000001"/>
    <s v="03215790"/>
  </r>
  <r>
    <x v="81"/>
    <s v="2021-05-07"/>
    <x v="0"/>
    <x v="0"/>
    <n v="13"/>
    <x v="33"/>
    <n v="1.23"/>
    <n v="15.85"/>
    <s v="62307848"/>
  </r>
  <r>
    <x v="81"/>
    <s v="2021-05-07"/>
    <x v="0"/>
    <x v="0"/>
    <n v="12"/>
    <x v="27"/>
    <n v="1.23"/>
    <n v="15.81"/>
    <s v="00000000"/>
  </r>
  <r>
    <x v="81"/>
    <s v="2021-05-07"/>
    <x v="0"/>
    <x v="0"/>
    <n v="11"/>
    <x v="31"/>
    <n v="1.21"/>
    <n v="15.53"/>
    <s v="17167412"/>
  </r>
  <r>
    <x v="81"/>
    <s v="2021-05-07"/>
    <x v="0"/>
    <x v="0"/>
    <n v="10"/>
    <x v="34"/>
    <n v="1.17"/>
    <n v="15.01"/>
    <s v="33603457"/>
  </r>
  <r>
    <x v="81"/>
    <s v="2021-05-07"/>
    <x v="0"/>
    <x v="0"/>
    <n v="9"/>
    <x v="39"/>
    <n v="1.08"/>
    <n v="13.74"/>
    <s v="04902979"/>
  </r>
  <r>
    <x v="81"/>
    <s v="2021-05-07"/>
    <x v="0"/>
    <x v="0"/>
    <n v="8"/>
    <x v="44"/>
    <n v="1.07"/>
    <n v="13.57"/>
    <s v="58017179"/>
  </r>
  <r>
    <x v="81"/>
    <s v="2021-05-07"/>
    <x v="0"/>
    <x v="0"/>
    <n v="7"/>
    <x v="37"/>
    <n v="1.05"/>
    <n v="13.38"/>
    <s v="04452473"/>
  </r>
  <r>
    <x v="81"/>
    <s v="2021-05-07"/>
    <x v="0"/>
    <x v="0"/>
    <n v="6"/>
    <x v="43"/>
    <n v="1.03"/>
    <n v="13.05"/>
    <s v="07441209"/>
  </r>
  <r>
    <x v="81"/>
    <s v="2021-05-07"/>
    <x v="0"/>
    <x v="0"/>
    <n v="5"/>
    <x v="47"/>
    <n v="0.99"/>
    <n v="12.6"/>
    <s v="28517628"/>
  </r>
  <r>
    <x v="81"/>
    <s v="2021-05-07"/>
    <x v="0"/>
    <x v="0"/>
    <n v="4"/>
    <x v="35"/>
    <n v="0.98"/>
    <n v="12.44"/>
    <s v="59109165"/>
  </r>
  <r>
    <x v="81"/>
    <s v="2021-05-07"/>
    <x v="0"/>
    <x v="0"/>
    <n v="3"/>
    <x v="38"/>
    <n v="0.98"/>
    <n v="12.42"/>
    <s v="60814191"/>
  </r>
  <r>
    <x v="81"/>
    <s v="2021-05-07"/>
    <x v="0"/>
    <x v="0"/>
    <n v="2"/>
    <x v="22"/>
    <n v="0.93"/>
    <n v="11.77"/>
    <s v="11417016"/>
  </r>
  <r>
    <x v="81"/>
    <s v="2021-05-07"/>
    <x v="0"/>
    <x v="0"/>
    <n v="1"/>
    <x v="40"/>
    <n v="0.89"/>
    <n v="11.18"/>
    <s v="02992446"/>
  </r>
  <r>
    <x v="82"/>
    <s v="2021-05-10"/>
    <x v="0"/>
    <x v="0"/>
    <n v="44"/>
    <x v="3"/>
    <n v="3.17"/>
    <n v="45.39"/>
    <s v="05503849"/>
  </r>
  <r>
    <x v="82"/>
    <s v="2021-05-10"/>
    <x v="0"/>
    <x v="0"/>
    <n v="43"/>
    <x v="0"/>
    <n v="3.04"/>
    <n v="43.24"/>
    <s v="60850229"/>
  </r>
  <r>
    <x v="82"/>
    <s v="2021-05-10"/>
    <x v="0"/>
    <x v="0"/>
    <n v="42"/>
    <x v="2"/>
    <n v="3.03"/>
    <n v="43.14"/>
    <s v="92228410"/>
  </r>
  <r>
    <x v="82"/>
    <s v="2021-05-10"/>
    <x v="0"/>
    <x v="0"/>
    <n v="41"/>
    <x v="1"/>
    <n v="2.9"/>
    <n v="40.92"/>
    <s v="01800019"/>
  </r>
  <r>
    <x v="82"/>
    <s v="2021-05-10"/>
    <x v="0"/>
    <x v="0"/>
    <n v="40"/>
    <x v="4"/>
    <n v="2.64"/>
    <n v="36.74"/>
    <s v="62232889"/>
  </r>
  <r>
    <x v="82"/>
    <s v="2021-05-10"/>
    <x v="0"/>
    <x v="0"/>
    <n v="39"/>
    <x v="7"/>
    <n v="2.5299999999999998"/>
    <n v="35"/>
    <s v="92874270"/>
  </r>
  <r>
    <x v="82"/>
    <s v="2021-05-10"/>
    <x v="0"/>
    <x v="0"/>
    <n v="38"/>
    <x v="6"/>
    <n v="2.41"/>
    <n v="33.15"/>
    <s v="05676026"/>
  </r>
  <r>
    <x v="82"/>
    <s v="2021-05-10"/>
    <x v="0"/>
    <x v="0"/>
    <n v="37"/>
    <x v="9"/>
    <n v="2.2999999999999998"/>
    <n v="31.4"/>
    <s v="00411939"/>
  </r>
  <r>
    <x v="82"/>
    <s v="2021-05-10"/>
    <x v="0"/>
    <x v="0"/>
    <n v="36"/>
    <x v="8"/>
    <n v="2.25"/>
    <n v="30.62"/>
    <s v="59285411"/>
  </r>
  <r>
    <x v="82"/>
    <s v="2021-05-10"/>
    <x v="0"/>
    <x v="0"/>
    <n v="35"/>
    <x v="5"/>
    <n v="2.23"/>
    <n v="30.31"/>
    <s v="80271455"/>
  </r>
  <r>
    <x v="82"/>
    <s v="2021-05-10"/>
    <x v="0"/>
    <x v="0"/>
    <n v="34"/>
    <x v="10"/>
    <n v="1.98"/>
    <n v="26.46"/>
    <s v="10371492"/>
  </r>
  <r>
    <x v="82"/>
    <s v="2021-05-10"/>
    <x v="0"/>
    <x v="0"/>
    <n v="33"/>
    <x v="13"/>
    <n v="1.82"/>
    <n v="24.11"/>
    <s v="07707650"/>
  </r>
  <r>
    <x v="82"/>
    <s v="2021-05-10"/>
    <x v="0"/>
    <x v="0"/>
    <n v="32"/>
    <x v="11"/>
    <n v="1.77"/>
    <n v="23.37"/>
    <s v="03634220"/>
  </r>
  <r>
    <x v="82"/>
    <s v="2021-05-10"/>
    <x v="0"/>
    <x v="0"/>
    <n v="31"/>
    <x v="15"/>
    <n v="1.7"/>
    <n v="22.42"/>
    <s v="59588111"/>
  </r>
  <r>
    <x v="82"/>
    <s v="2021-05-10"/>
    <x v="0"/>
    <x v="0"/>
    <n v="30"/>
    <x v="12"/>
    <n v="1.66"/>
    <n v="21.82"/>
    <s v="04862600"/>
  </r>
  <r>
    <x v="82"/>
    <s v="2021-05-10"/>
    <x v="0"/>
    <x v="0"/>
    <n v="29"/>
    <x v="16"/>
    <n v="1.62"/>
    <n v="21.25"/>
    <s v="07207996"/>
  </r>
  <r>
    <x v="82"/>
    <s v="2021-05-10"/>
    <x v="0"/>
    <x v="0"/>
    <n v="28"/>
    <x v="24"/>
    <n v="1.58"/>
    <n v="20.65"/>
    <s v="22639377"/>
  </r>
  <r>
    <x v="82"/>
    <s v="2021-05-10"/>
    <x v="0"/>
    <x v="0"/>
    <n v="27"/>
    <x v="17"/>
    <n v="1.56"/>
    <n v="20.440000000000001"/>
    <s v="04866275"/>
  </r>
  <r>
    <x v="82"/>
    <s v="2021-05-10"/>
    <x v="0"/>
    <x v="0"/>
    <n v="26"/>
    <x v="14"/>
    <n v="1.53"/>
    <n v="20.010000000000002"/>
    <s v="00360305"/>
  </r>
  <r>
    <x v="82"/>
    <s v="2021-05-10"/>
    <x v="0"/>
    <x v="0"/>
    <n v="25"/>
    <x v="20"/>
    <n v="1.51"/>
    <n v="19.77"/>
    <s v="17192451"/>
  </r>
  <r>
    <x v="82"/>
    <s v="2021-05-10"/>
    <x v="0"/>
    <x v="0"/>
    <n v="24"/>
    <x v="21"/>
    <n v="1.46"/>
    <n v="19.059999999999999"/>
    <s v="03017677"/>
  </r>
  <r>
    <x v="82"/>
    <s v="2021-05-10"/>
    <x v="0"/>
    <x v="0"/>
    <n v="23"/>
    <x v="48"/>
    <n v="1.37"/>
    <n v="17.68"/>
    <s v="27214112"/>
  </r>
  <r>
    <x v="82"/>
    <s v="2021-05-10"/>
    <x v="0"/>
    <x v="0"/>
    <n v="22"/>
    <x v="25"/>
    <n v="1.34"/>
    <n v="17.38"/>
    <s v="59274605"/>
  </r>
  <r>
    <x v="82"/>
    <s v="2021-05-10"/>
    <x v="0"/>
    <x v="0"/>
    <n v="21"/>
    <x v="36"/>
    <n v="1.35"/>
    <n v="17.38"/>
    <s v="33136888"/>
  </r>
  <r>
    <x v="82"/>
    <s v="2021-05-10"/>
    <x v="0"/>
    <x v="0"/>
    <n v="20"/>
    <x v="32"/>
    <n v="1.34"/>
    <n v="17.34"/>
    <s v="60701190"/>
  </r>
  <r>
    <x v="82"/>
    <s v="2021-05-10"/>
    <x v="0"/>
    <x v="0"/>
    <n v="19"/>
    <x v="30"/>
    <n v="1.34"/>
    <n v="17.34"/>
    <s v="03502961"/>
  </r>
  <r>
    <x v="82"/>
    <s v="2021-05-10"/>
    <x v="0"/>
    <x v="0"/>
    <n v="18"/>
    <x v="18"/>
    <n v="1.34"/>
    <n v="17.309999999999999"/>
    <s v="28127603"/>
  </r>
  <r>
    <x v="82"/>
    <s v="2021-05-10"/>
    <x v="0"/>
    <x v="0"/>
    <n v="17"/>
    <x v="26"/>
    <n v="1.32"/>
    <n v="17.07"/>
    <s v="30172491"/>
  </r>
  <r>
    <x v="82"/>
    <s v="2021-05-10"/>
    <x v="0"/>
    <x v="0"/>
    <n v="16"/>
    <x v="28"/>
    <n v="1.31"/>
    <n v="16.88"/>
    <s v="90400888"/>
  </r>
  <r>
    <x v="82"/>
    <s v="2021-05-10"/>
    <x v="0"/>
    <x v="0"/>
    <n v="15"/>
    <x v="29"/>
    <n v="1.29"/>
    <n v="16.63"/>
    <s v="60746948"/>
  </r>
  <r>
    <x v="82"/>
    <s v="2021-05-10"/>
    <x v="0"/>
    <x v="0"/>
    <n v="14"/>
    <x v="23"/>
    <n v="1.28"/>
    <n v="16.5"/>
    <s v="03215790"/>
  </r>
  <r>
    <x v="82"/>
    <s v="2021-05-10"/>
    <x v="0"/>
    <x v="0"/>
    <n v="13"/>
    <x v="33"/>
    <n v="1.25"/>
    <n v="16.09"/>
    <s v="62307848"/>
  </r>
  <r>
    <x v="82"/>
    <s v="2021-05-10"/>
    <x v="0"/>
    <x v="0"/>
    <n v="12"/>
    <x v="27"/>
    <n v="1.23"/>
    <n v="15.82"/>
    <s v="00000000"/>
  </r>
  <r>
    <x v="82"/>
    <s v="2021-05-10"/>
    <x v="0"/>
    <x v="0"/>
    <n v="11"/>
    <x v="31"/>
    <n v="1.22"/>
    <n v="15.61"/>
    <s v="17167412"/>
  </r>
  <r>
    <x v="82"/>
    <s v="2021-05-10"/>
    <x v="0"/>
    <x v="0"/>
    <n v="10"/>
    <x v="34"/>
    <n v="1.1399999999999999"/>
    <n v="14.63"/>
    <s v="33603457"/>
  </r>
  <r>
    <x v="82"/>
    <s v="2021-05-10"/>
    <x v="0"/>
    <x v="0"/>
    <n v="9"/>
    <x v="39"/>
    <n v="1.08"/>
    <n v="13.74"/>
    <s v="04902979"/>
  </r>
  <r>
    <x v="82"/>
    <s v="2021-05-10"/>
    <x v="0"/>
    <x v="0"/>
    <n v="8"/>
    <x v="44"/>
    <n v="1.07"/>
    <n v="13.57"/>
    <s v="58017179"/>
  </r>
  <r>
    <x v="82"/>
    <s v="2021-05-10"/>
    <x v="0"/>
    <x v="0"/>
    <n v="7"/>
    <x v="37"/>
    <n v="1.04"/>
    <n v="13.26"/>
    <s v="04452473"/>
  </r>
  <r>
    <x v="82"/>
    <s v="2021-05-10"/>
    <x v="0"/>
    <x v="0"/>
    <n v="6"/>
    <x v="43"/>
    <n v="1.03"/>
    <n v="13.05"/>
    <s v="07441209"/>
  </r>
  <r>
    <x v="82"/>
    <s v="2021-05-10"/>
    <x v="0"/>
    <x v="0"/>
    <n v="5"/>
    <x v="47"/>
    <n v="0.99"/>
    <n v="12.6"/>
    <s v="28517628"/>
  </r>
  <r>
    <x v="82"/>
    <s v="2021-05-10"/>
    <x v="0"/>
    <x v="0"/>
    <n v="4"/>
    <x v="35"/>
    <n v="0.98"/>
    <n v="12.47"/>
    <s v="59109165"/>
  </r>
  <r>
    <x v="82"/>
    <s v="2021-05-10"/>
    <x v="0"/>
    <x v="0"/>
    <n v="3"/>
    <x v="38"/>
    <n v="0.98"/>
    <n v="12.4"/>
    <s v="60814191"/>
  </r>
  <r>
    <x v="82"/>
    <s v="2021-05-10"/>
    <x v="0"/>
    <x v="0"/>
    <n v="2"/>
    <x v="22"/>
    <n v="0.93"/>
    <n v="11.77"/>
    <s v="11417016"/>
  </r>
  <r>
    <x v="82"/>
    <s v="2021-05-10"/>
    <x v="0"/>
    <x v="0"/>
    <n v="1"/>
    <x v="40"/>
    <n v="0.89"/>
    <n v="11.25"/>
    <s v="02992446"/>
  </r>
  <r>
    <x v="83"/>
    <s v="2021-05-11"/>
    <x v="0"/>
    <x v="0"/>
    <n v="45"/>
    <x v="3"/>
    <n v="3.22"/>
    <n v="46.19"/>
    <s v="05503849"/>
  </r>
  <r>
    <x v="83"/>
    <s v="2021-05-11"/>
    <x v="0"/>
    <x v="0"/>
    <n v="44"/>
    <x v="0"/>
    <n v="3.05"/>
    <n v="43.36"/>
    <s v="60850229"/>
  </r>
  <r>
    <x v="83"/>
    <s v="2021-05-11"/>
    <x v="0"/>
    <x v="0"/>
    <n v="43"/>
    <x v="2"/>
    <n v="3.04"/>
    <n v="43.27"/>
    <s v="92228410"/>
  </r>
  <r>
    <x v="83"/>
    <s v="2021-05-11"/>
    <x v="0"/>
    <x v="0"/>
    <n v="42"/>
    <x v="1"/>
    <n v="2.93"/>
    <n v="41.4"/>
    <s v="01800019"/>
  </r>
  <r>
    <x v="83"/>
    <s v="2021-05-11"/>
    <x v="0"/>
    <x v="0"/>
    <n v="41"/>
    <x v="4"/>
    <n v="2.66"/>
    <n v="36.96"/>
    <s v="62232889"/>
  </r>
  <r>
    <x v="83"/>
    <s v="2021-05-11"/>
    <x v="0"/>
    <x v="0"/>
    <n v="40"/>
    <x v="7"/>
    <n v="2.52"/>
    <n v="34.869999999999997"/>
    <s v="92874270"/>
  </r>
  <r>
    <x v="83"/>
    <s v="2021-05-11"/>
    <x v="0"/>
    <x v="0"/>
    <n v="39"/>
    <x v="6"/>
    <n v="2.42"/>
    <n v="33.159999999999997"/>
    <s v="05676026"/>
  </r>
  <r>
    <x v="83"/>
    <s v="2021-05-11"/>
    <x v="0"/>
    <x v="0"/>
    <n v="38"/>
    <x v="5"/>
    <n v="2.29"/>
    <n v="31.25"/>
    <s v="80271455"/>
  </r>
  <r>
    <x v="83"/>
    <s v="2021-05-11"/>
    <x v="0"/>
    <x v="0"/>
    <n v="37"/>
    <x v="8"/>
    <n v="2.2599999999999998"/>
    <n v="30.77"/>
    <s v="59285411"/>
  </r>
  <r>
    <x v="83"/>
    <s v="2021-05-11"/>
    <x v="0"/>
    <x v="0"/>
    <n v="36"/>
    <x v="9"/>
    <n v="2.2400000000000002"/>
    <n v="30.43"/>
    <s v="00411939"/>
  </r>
  <r>
    <x v="83"/>
    <s v="2021-05-11"/>
    <x v="0"/>
    <x v="0"/>
    <n v="35"/>
    <x v="10"/>
    <n v="2.0099999999999998"/>
    <n v="26.93"/>
    <s v="10371492"/>
  </r>
  <r>
    <x v="83"/>
    <s v="2021-05-11"/>
    <x v="0"/>
    <x v="0"/>
    <n v="34"/>
    <x v="13"/>
    <n v="1.81"/>
    <n v="24.04"/>
    <s v="07707650"/>
  </r>
  <r>
    <x v="83"/>
    <s v="2021-05-11"/>
    <x v="0"/>
    <x v="0"/>
    <n v="33"/>
    <x v="11"/>
    <n v="1.75"/>
    <n v="23.15"/>
    <s v="03634220"/>
  </r>
  <r>
    <x v="83"/>
    <s v="2021-05-11"/>
    <x v="0"/>
    <x v="0"/>
    <n v="32"/>
    <x v="15"/>
    <n v="1.7"/>
    <n v="22.36"/>
    <s v="59588111"/>
  </r>
  <r>
    <x v="83"/>
    <s v="2021-05-11"/>
    <x v="0"/>
    <x v="0"/>
    <n v="31"/>
    <x v="12"/>
    <n v="1.65"/>
    <n v="21.71"/>
    <s v="04862600"/>
  </r>
  <r>
    <x v="83"/>
    <s v="2021-05-11"/>
    <x v="0"/>
    <x v="0"/>
    <n v="30"/>
    <x v="16"/>
    <n v="1.6"/>
    <n v="20.98"/>
    <s v="07207996"/>
  </r>
  <r>
    <x v="83"/>
    <s v="2021-05-11"/>
    <x v="0"/>
    <x v="0"/>
    <n v="29"/>
    <x v="17"/>
    <n v="1.56"/>
    <n v="20.440000000000001"/>
    <s v="04866275"/>
  </r>
  <r>
    <x v="83"/>
    <s v="2021-05-11"/>
    <x v="0"/>
    <x v="0"/>
    <n v="28"/>
    <x v="14"/>
    <n v="1.54"/>
    <n v="20.07"/>
    <s v="00360305"/>
  </r>
  <r>
    <x v="83"/>
    <s v="2021-05-11"/>
    <x v="0"/>
    <x v="0"/>
    <n v="27"/>
    <x v="20"/>
    <n v="1.51"/>
    <n v="19.690000000000001"/>
    <s v="17192451"/>
  </r>
  <r>
    <x v="83"/>
    <s v="2021-05-11"/>
    <x v="0"/>
    <x v="0"/>
    <n v="26"/>
    <x v="19"/>
    <n v="1.5"/>
    <n v="19.63"/>
    <s v="92702067"/>
  </r>
  <r>
    <x v="83"/>
    <s v="2021-05-11"/>
    <x v="0"/>
    <x v="0"/>
    <n v="25"/>
    <x v="24"/>
    <n v="1.48"/>
    <n v="19.3"/>
    <s v="22639377"/>
  </r>
  <r>
    <x v="83"/>
    <s v="2021-05-11"/>
    <x v="0"/>
    <x v="0"/>
    <n v="24"/>
    <x v="21"/>
    <n v="1.46"/>
    <n v="19.059999999999999"/>
    <s v="03017677"/>
  </r>
  <r>
    <x v="83"/>
    <s v="2021-05-11"/>
    <x v="0"/>
    <x v="0"/>
    <n v="23"/>
    <x v="49"/>
    <n v="1.41"/>
    <n v="18.3"/>
    <s v="58160789"/>
  </r>
  <r>
    <x v="83"/>
    <s v="2021-05-11"/>
    <x v="0"/>
    <x v="0"/>
    <n v="22"/>
    <x v="48"/>
    <n v="1.37"/>
    <n v="17.68"/>
    <s v="27214112"/>
  </r>
  <r>
    <x v="83"/>
    <s v="2021-05-11"/>
    <x v="0"/>
    <x v="0"/>
    <n v="21"/>
    <x v="30"/>
    <n v="1.36"/>
    <n v="17.600000000000001"/>
    <s v="03502961"/>
  </r>
  <r>
    <x v="83"/>
    <s v="2021-05-11"/>
    <x v="0"/>
    <x v="0"/>
    <n v="20"/>
    <x v="25"/>
    <n v="1.35"/>
    <n v="17.489999999999998"/>
    <s v="59274605"/>
  </r>
  <r>
    <x v="83"/>
    <s v="2021-05-11"/>
    <x v="0"/>
    <x v="0"/>
    <n v="19"/>
    <x v="36"/>
    <n v="1.35"/>
    <n v="17.38"/>
    <s v="33136888"/>
  </r>
  <r>
    <x v="83"/>
    <s v="2021-05-11"/>
    <x v="0"/>
    <x v="0"/>
    <n v="18"/>
    <x v="32"/>
    <n v="1.34"/>
    <n v="17.32"/>
    <s v="60701190"/>
  </r>
  <r>
    <x v="83"/>
    <s v="2021-05-11"/>
    <x v="0"/>
    <x v="0"/>
    <n v="17"/>
    <x v="28"/>
    <n v="1.34"/>
    <n v="17.3"/>
    <s v="90400888"/>
  </r>
  <r>
    <x v="83"/>
    <s v="2021-05-11"/>
    <x v="0"/>
    <x v="0"/>
    <n v="16"/>
    <x v="26"/>
    <n v="1.33"/>
    <n v="17.12"/>
    <s v="30172491"/>
  </r>
  <r>
    <x v="83"/>
    <s v="2021-05-11"/>
    <x v="0"/>
    <x v="0"/>
    <n v="15"/>
    <x v="18"/>
    <n v="1.31"/>
    <n v="16.88"/>
    <s v="28127603"/>
  </r>
  <r>
    <x v="83"/>
    <s v="2021-05-11"/>
    <x v="0"/>
    <x v="0"/>
    <n v="14"/>
    <x v="29"/>
    <n v="1.3"/>
    <n v="16.72"/>
    <s v="60746948"/>
  </r>
  <r>
    <x v="83"/>
    <s v="2021-05-11"/>
    <x v="0"/>
    <x v="0"/>
    <n v="13"/>
    <x v="23"/>
    <n v="1.29"/>
    <n v="16.649999999999999"/>
    <s v="03215790"/>
  </r>
  <r>
    <x v="83"/>
    <s v="2021-05-11"/>
    <x v="0"/>
    <x v="0"/>
    <n v="12"/>
    <x v="33"/>
    <n v="1.25"/>
    <n v="16.09"/>
    <s v="62307848"/>
  </r>
  <r>
    <x v="83"/>
    <s v="2021-05-11"/>
    <x v="0"/>
    <x v="0"/>
    <n v="11"/>
    <x v="27"/>
    <n v="1.24"/>
    <n v="15.87"/>
    <s v="00000000"/>
  </r>
  <r>
    <x v="83"/>
    <s v="2021-05-11"/>
    <x v="0"/>
    <x v="0"/>
    <n v="10"/>
    <x v="31"/>
    <n v="1.21"/>
    <n v="15.46"/>
    <s v="17167412"/>
  </r>
  <r>
    <x v="83"/>
    <s v="2021-05-11"/>
    <x v="0"/>
    <x v="0"/>
    <n v="9"/>
    <x v="44"/>
    <n v="1.19"/>
    <n v="15.28"/>
    <s v="58017179"/>
  </r>
  <r>
    <x v="83"/>
    <s v="2021-05-11"/>
    <x v="0"/>
    <x v="0"/>
    <n v="8"/>
    <x v="34"/>
    <n v="1.1200000000000001"/>
    <n v="14.3"/>
    <s v="33603457"/>
  </r>
  <r>
    <x v="83"/>
    <s v="2021-05-11"/>
    <x v="0"/>
    <x v="0"/>
    <n v="7"/>
    <x v="39"/>
    <n v="1.08"/>
    <n v="13.74"/>
    <s v="04902979"/>
  </r>
  <r>
    <x v="83"/>
    <s v="2021-05-11"/>
    <x v="0"/>
    <x v="0"/>
    <n v="6"/>
    <x v="37"/>
    <n v="1.04"/>
    <n v="13.27"/>
    <s v="04452473"/>
  </r>
  <r>
    <x v="83"/>
    <s v="2021-05-11"/>
    <x v="0"/>
    <x v="0"/>
    <n v="5"/>
    <x v="38"/>
    <n v="1"/>
    <n v="12.65"/>
    <s v="60814191"/>
  </r>
  <r>
    <x v="83"/>
    <s v="2021-05-11"/>
    <x v="0"/>
    <x v="0"/>
    <n v="4"/>
    <x v="47"/>
    <n v="0.99"/>
    <n v="12.6"/>
    <s v="28517628"/>
  </r>
  <r>
    <x v="83"/>
    <s v="2021-05-11"/>
    <x v="0"/>
    <x v="0"/>
    <n v="3"/>
    <x v="35"/>
    <n v="0.98"/>
    <n v="12.35"/>
    <s v="59109165"/>
  </r>
  <r>
    <x v="83"/>
    <s v="2021-05-11"/>
    <x v="0"/>
    <x v="0"/>
    <n v="2"/>
    <x v="22"/>
    <n v="0.93"/>
    <n v="11.76"/>
    <s v="11417016"/>
  </r>
  <r>
    <x v="83"/>
    <s v="2021-05-11"/>
    <x v="0"/>
    <x v="0"/>
    <n v="1"/>
    <x v="40"/>
    <n v="0.88"/>
    <n v="11.09"/>
    <s v="02992446"/>
  </r>
  <r>
    <x v="84"/>
    <s v="2021-05-12"/>
    <x v="0"/>
    <x v="0"/>
    <n v="45"/>
    <x v="3"/>
    <n v="3.2"/>
    <n v="45.93"/>
    <s v="05503849"/>
  </r>
  <r>
    <x v="84"/>
    <s v="2021-05-12"/>
    <x v="0"/>
    <x v="0"/>
    <n v="44"/>
    <x v="2"/>
    <n v="3.05"/>
    <n v="43.44"/>
    <s v="92228410"/>
  </r>
  <r>
    <x v="84"/>
    <s v="2021-05-12"/>
    <x v="0"/>
    <x v="0"/>
    <n v="43"/>
    <x v="0"/>
    <n v="3.05"/>
    <n v="43.36"/>
    <s v="60850229"/>
  </r>
  <r>
    <x v="84"/>
    <s v="2021-05-12"/>
    <x v="0"/>
    <x v="0"/>
    <n v="42"/>
    <x v="1"/>
    <n v="2.94"/>
    <n v="41.56"/>
    <s v="01800019"/>
  </r>
  <r>
    <x v="84"/>
    <s v="2021-05-12"/>
    <x v="0"/>
    <x v="0"/>
    <n v="41"/>
    <x v="4"/>
    <n v="2.64"/>
    <n v="36.700000000000003"/>
    <s v="62232889"/>
  </r>
  <r>
    <x v="84"/>
    <s v="2021-05-12"/>
    <x v="0"/>
    <x v="0"/>
    <n v="40"/>
    <x v="7"/>
    <n v="2.52"/>
    <n v="34.799999999999997"/>
    <s v="92874270"/>
  </r>
  <r>
    <x v="84"/>
    <s v="2021-05-12"/>
    <x v="0"/>
    <x v="0"/>
    <n v="39"/>
    <x v="6"/>
    <n v="2.41"/>
    <n v="33.1"/>
    <s v="05676026"/>
  </r>
  <r>
    <x v="84"/>
    <s v="2021-05-12"/>
    <x v="0"/>
    <x v="0"/>
    <n v="38"/>
    <x v="8"/>
    <n v="2.2599999999999998"/>
    <n v="30.74"/>
    <s v="59285411"/>
  </r>
  <r>
    <x v="84"/>
    <s v="2021-05-12"/>
    <x v="0"/>
    <x v="0"/>
    <n v="37"/>
    <x v="9"/>
    <n v="2.2200000000000002"/>
    <n v="30.15"/>
    <s v="00411939"/>
  </r>
  <r>
    <x v="84"/>
    <s v="2021-05-12"/>
    <x v="0"/>
    <x v="0"/>
    <n v="36"/>
    <x v="5"/>
    <n v="2.21"/>
    <n v="29.99"/>
    <s v="80271455"/>
  </r>
  <r>
    <x v="84"/>
    <s v="2021-05-12"/>
    <x v="0"/>
    <x v="0"/>
    <n v="35"/>
    <x v="10"/>
    <n v="2.02"/>
    <n v="27.06"/>
    <s v="10371492"/>
  </r>
  <r>
    <x v="84"/>
    <s v="2021-05-12"/>
    <x v="0"/>
    <x v="0"/>
    <n v="34"/>
    <x v="13"/>
    <n v="1.82"/>
    <n v="24.09"/>
    <s v="07707650"/>
  </r>
  <r>
    <x v="84"/>
    <s v="2021-05-12"/>
    <x v="0"/>
    <x v="0"/>
    <n v="33"/>
    <x v="11"/>
    <n v="1.73"/>
    <n v="22.84"/>
    <s v="03634220"/>
  </r>
  <r>
    <x v="84"/>
    <s v="2021-05-12"/>
    <x v="0"/>
    <x v="0"/>
    <n v="32"/>
    <x v="15"/>
    <n v="1.69"/>
    <n v="22.23"/>
    <s v="59588111"/>
  </r>
  <r>
    <x v="84"/>
    <s v="2021-05-12"/>
    <x v="0"/>
    <x v="0"/>
    <n v="31"/>
    <x v="12"/>
    <n v="1.65"/>
    <n v="21.66"/>
    <s v="04862600"/>
  </r>
  <r>
    <x v="84"/>
    <s v="2021-05-12"/>
    <x v="0"/>
    <x v="0"/>
    <n v="30"/>
    <x v="18"/>
    <n v="1.64"/>
    <n v="21.5"/>
    <s v="28127603"/>
  </r>
  <r>
    <x v="84"/>
    <s v="2021-05-12"/>
    <x v="0"/>
    <x v="0"/>
    <n v="29"/>
    <x v="14"/>
    <n v="1.61"/>
    <n v="21.1"/>
    <s v="00360305"/>
  </r>
  <r>
    <x v="84"/>
    <s v="2021-05-12"/>
    <x v="0"/>
    <x v="0"/>
    <n v="28"/>
    <x v="16"/>
    <n v="1.6"/>
    <n v="21.02"/>
    <s v="07207996"/>
  </r>
  <r>
    <x v="84"/>
    <s v="2021-05-12"/>
    <x v="0"/>
    <x v="0"/>
    <n v="27"/>
    <x v="17"/>
    <n v="1.56"/>
    <n v="20.440000000000001"/>
    <s v="04866275"/>
  </r>
  <r>
    <x v="84"/>
    <s v="2021-05-12"/>
    <x v="0"/>
    <x v="0"/>
    <n v="26"/>
    <x v="49"/>
    <n v="1.55"/>
    <n v="20.21"/>
    <s v="58160789"/>
  </r>
  <r>
    <x v="84"/>
    <s v="2021-05-12"/>
    <x v="0"/>
    <x v="0"/>
    <n v="25"/>
    <x v="24"/>
    <n v="1.52"/>
    <n v="19.84"/>
    <s v="22639377"/>
  </r>
  <r>
    <x v="84"/>
    <s v="2021-05-12"/>
    <x v="0"/>
    <x v="0"/>
    <n v="24"/>
    <x v="20"/>
    <n v="1.51"/>
    <n v="19.690000000000001"/>
    <s v="17192451"/>
  </r>
  <r>
    <x v="84"/>
    <s v="2021-05-12"/>
    <x v="0"/>
    <x v="0"/>
    <n v="23"/>
    <x v="19"/>
    <n v="1.5"/>
    <n v="19.63"/>
    <s v="92702067"/>
  </r>
  <r>
    <x v="84"/>
    <s v="2021-05-12"/>
    <x v="0"/>
    <x v="0"/>
    <n v="22"/>
    <x v="21"/>
    <n v="1.46"/>
    <n v="19.03"/>
    <s v="03017677"/>
  </r>
  <r>
    <x v="84"/>
    <s v="2021-05-12"/>
    <x v="0"/>
    <x v="0"/>
    <n v="21"/>
    <x v="48"/>
    <n v="1.36"/>
    <n v="17.57"/>
    <s v="27214112"/>
  </r>
  <r>
    <x v="84"/>
    <s v="2021-05-12"/>
    <x v="0"/>
    <x v="0"/>
    <n v="20"/>
    <x v="25"/>
    <n v="1.36"/>
    <n v="17.55"/>
    <s v="59274605"/>
  </r>
  <r>
    <x v="84"/>
    <s v="2021-05-12"/>
    <x v="0"/>
    <x v="0"/>
    <n v="19"/>
    <x v="30"/>
    <n v="1.35"/>
    <n v="17.45"/>
    <s v="03502961"/>
  </r>
  <r>
    <x v="84"/>
    <s v="2021-05-12"/>
    <x v="0"/>
    <x v="0"/>
    <n v="18"/>
    <x v="32"/>
    <n v="1.35"/>
    <n v="17.440000000000001"/>
    <s v="60701190"/>
  </r>
  <r>
    <x v="84"/>
    <s v="2021-05-12"/>
    <x v="0"/>
    <x v="0"/>
    <n v="17"/>
    <x v="26"/>
    <n v="1.34"/>
    <n v="17.3"/>
    <s v="30172491"/>
  </r>
  <r>
    <x v="84"/>
    <s v="2021-05-12"/>
    <x v="0"/>
    <x v="0"/>
    <n v="16"/>
    <x v="28"/>
    <n v="1.34"/>
    <n v="17.3"/>
    <s v="90400888"/>
  </r>
  <r>
    <x v="84"/>
    <s v="2021-05-12"/>
    <x v="0"/>
    <x v="0"/>
    <n v="15"/>
    <x v="29"/>
    <n v="1.3"/>
    <n v="16.78"/>
    <s v="60746948"/>
  </r>
  <r>
    <x v="84"/>
    <s v="2021-05-12"/>
    <x v="0"/>
    <x v="0"/>
    <n v="14"/>
    <x v="23"/>
    <n v="1.29"/>
    <n v="16.649999999999999"/>
    <s v="03215790"/>
  </r>
  <r>
    <x v="84"/>
    <s v="2021-05-12"/>
    <x v="0"/>
    <x v="0"/>
    <n v="13"/>
    <x v="36"/>
    <n v="1.29"/>
    <n v="16.59"/>
    <s v="33136888"/>
  </r>
  <r>
    <x v="84"/>
    <s v="2021-05-12"/>
    <x v="0"/>
    <x v="0"/>
    <n v="12"/>
    <x v="33"/>
    <n v="1.26"/>
    <n v="16.190000000000001"/>
    <s v="62307848"/>
  </r>
  <r>
    <x v="84"/>
    <s v="2021-05-12"/>
    <x v="0"/>
    <x v="0"/>
    <n v="11"/>
    <x v="27"/>
    <n v="1.21"/>
    <n v="15.58"/>
    <s v="00000000"/>
  </r>
  <r>
    <x v="84"/>
    <s v="2021-05-12"/>
    <x v="0"/>
    <x v="0"/>
    <n v="10"/>
    <x v="31"/>
    <n v="1.2"/>
    <n v="15.37"/>
    <s v="17167412"/>
  </r>
  <r>
    <x v="84"/>
    <s v="2021-05-12"/>
    <x v="0"/>
    <x v="0"/>
    <n v="9"/>
    <x v="34"/>
    <n v="1.1100000000000001"/>
    <n v="14.15"/>
    <s v="33603457"/>
  </r>
  <r>
    <x v="84"/>
    <s v="2021-05-12"/>
    <x v="0"/>
    <x v="0"/>
    <n v="8"/>
    <x v="39"/>
    <n v="1.0900000000000001"/>
    <n v="13.92"/>
    <s v="04902979"/>
  </r>
  <r>
    <x v="84"/>
    <s v="2021-05-12"/>
    <x v="0"/>
    <x v="0"/>
    <n v="7"/>
    <x v="37"/>
    <n v="1.05"/>
    <n v="13.32"/>
    <s v="04452473"/>
  </r>
  <r>
    <x v="84"/>
    <s v="2021-05-12"/>
    <x v="0"/>
    <x v="0"/>
    <n v="6"/>
    <x v="38"/>
    <n v="1"/>
    <n v="12.73"/>
    <s v="60814191"/>
  </r>
  <r>
    <x v="84"/>
    <s v="2021-05-12"/>
    <x v="0"/>
    <x v="0"/>
    <n v="5"/>
    <x v="44"/>
    <n v="0.99"/>
    <n v="12.61"/>
    <s v="58017179"/>
  </r>
  <r>
    <x v="84"/>
    <s v="2021-05-12"/>
    <x v="0"/>
    <x v="0"/>
    <n v="4"/>
    <x v="47"/>
    <n v="0.98"/>
    <n v="12.39"/>
    <s v="28517628"/>
  </r>
  <r>
    <x v="84"/>
    <s v="2021-05-12"/>
    <x v="0"/>
    <x v="0"/>
    <n v="3"/>
    <x v="35"/>
    <n v="0.98"/>
    <n v="12.38"/>
    <s v="59109165"/>
  </r>
  <r>
    <x v="84"/>
    <s v="2021-05-12"/>
    <x v="0"/>
    <x v="0"/>
    <n v="2"/>
    <x v="22"/>
    <n v="0.93"/>
    <n v="11.77"/>
    <s v="11417016"/>
  </r>
  <r>
    <x v="84"/>
    <s v="2021-05-12"/>
    <x v="0"/>
    <x v="0"/>
    <n v="1"/>
    <x v="40"/>
    <n v="0.88"/>
    <n v="11.09"/>
    <s v="02992446"/>
  </r>
  <r>
    <x v="85"/>
    <s v="2021-05-13"/>
    <x v="0"/>
    <x v="0"/>
    <n v="44"/>
    <x v="3"/>
    <n v="3.23"/>
    <n v="46.42"/>
    <s v="05503849"/>
  </r>
  <r>
    <x v="85"/>
    <s v="2021-05-13"/>
    <x v="0"/>
    <x v="0"/>
    <n v="43"/>
    <x v="0"/>
    <n v="3.06"/>
    <n v="43.64"/>
    <s v="60850229"/>
  </r>
  <r>
    <x v="85"/>
    <s v="2021-05-13"/>
    <x v="0"/>
    <x v="0"/>
    <n v="42"/>
    <x v="2"/>
    <n v="3.06"/>
    <n v="43.64"/>
    <s v="92228410"/>
  </r>
  <r>
    <x v="85"/>
    <s v="2021-05-13"/>
    <x v="0"/>
    <x v="0"/>
    <n v="41"/>
    <x v="1"/>
    <n v="2.94"/>
    <n v="41.61"/>
    <s v="01800019"/>
  </r>
  <r>
    <x v="85"/>
    <s v="2021-05-13"/>
    <x v="0"/>
    <x v="0"/>
    <n v="40"/>
    <x v="4"/>
    <n v="2.63"/>
    <n v="36.54"/>
    <s v="62232889"/>
  </r>
  <r>
    <x v="85"/>
    <s v="2021-05-13"/>
    <x v="0"/>
    <x v="0"/>
    <n v="39"/>
    <x v="7"/>
    <n v="2.5099999999999998"/>
    <n v="34.69"/>
    <s v="92874270"/>
  </r>
  <r>
    <x v="85"/>
    <s v="2021-05-13"/>
    <x v="0"/>
    <x v="0"/>
    <n v="38"/>
    <x v="6"/>
    <n v="2.41"/>
    <n v="33.14"/>
    <s v="05676026"/>
  </r>
  <r>
    <x v="85"/>
    <s v="2021-05-13"/>
    <x v="0"/>
    <x v="0"/>
    <n v="37"/>
    <x v="8"/>
    <n v="2.2599999999999998"/>
    <n v="30.7"/>
    <s v="59285411"/>
  </r>
  <r>
    <x v="85"/>
    <s v="2021-05-13"/>
    <x v="0"/>
    <x v="0"/>
    <n v="36"/>
    <x v="9"/>
    <n v="2.2400000000000002"/>
    <n v="30.42"/>
    <s v="00411939"/>
  </r>
  <r>
    <x v="85"/>
    <s v="2021-05-13"/>
    <x v="0"/>
    <x v="0"/>
    <n v="35"/>
    <x v="5"/>
    <n v="2.23"/>
    <n v="30.23"/>
    <s v="80271455"/>
  </r>
  <r>
    <x v="85"/>
    <s v="2021-05-13"/>
    <x v="0"/>
    <x v="0"/>
    <n v="34"/>
    <x v="10"/>
    <n v="2.0299999999999998"/>
    <n v="27.3"/>
    <s v="10371492"/>
  </r>
  <r>
    <x v="85"/>
    <s v="2021-05-13"/>
    <x v="0"/>
    <x v="0"/>
    <n v="33"/>
    <x v="13"/>
    <n v="1.82"/>
    <n v="24.1"/>
    <s v="07707650"/>
  </r>
  <r>
    <x v="85"/>
    <s v="2021-05-13"/>
    <x v="0"/>
    <x v="0"/>
    <n v="32"/>
    <x v="11"/>
    <n v="1.72"/>
    <n v="22.72"/>
    <s v="03634220"/>
  </r>
  <r>
    <x v="85"/>
    <s v="2021-05-13"/>
    <x v="0"/>
    <x v="0"/>
    <n v="31"/>
    <x v="15"/>
    <n v="1.68"/>
    <n v="22.14"/>
    <s v="59588111"/>
  </r>
  <r>
    <x v="85"/>
    <s v="2021-05-13"/>
    <x v="0"/>
    <x v="0"/>
    <n v="30"/>
    <x v="12"/>
    <n v="1.65"/>
    <n v="21.68"/>
    <s v="04862600"/>
  </r>
  <r>
    <x v="85"/>
    <s v="2021-05-13"/>
    <x v="0"/>
    <x v="0"/>
    <n v="29"/>
    <x v="14"/>
    <n v="1.6"/>
    <n v="21.04"/>
    <s v="00360305"/>
  </r>
  <r>
    <x v="85"/>
    <s v="2021-05-13"/>
    <x v="0"/>
    <x v="0"/>
    <n v="28"/>
    <x v="16"/>
    <n v="1.6"/>
    <n v="21"/>
    <s v="07207996"/>
  </r>
  <r>
    <x v="85"/>
    <s v="2021-05-13"/>
    <x v="0"/>
    <x v="0"/>
    <n v="27"/>
    <x v="18"/>
    <n v="1.59"/>
    <n v="20.84"/>
    <s v="28127603"/>
  </r>
  <r>
    <x v="85"/>
    <s v="2021-05-13"/>
    <x v="0"/>
    <x v="0"/>
    <n v="26"/>
    <x v="17"/>
    <n v="1.56"/>
    <n v="20.440000000000001"/>
    <s v="04866275"/>
  </r>
  <r>
    <x v="85"/>
    <s v="2021-05-13"/>
    <x v="0"/>
    <x v="0"/>
    <n v="25"/>
    <x v="49"/>
    <n v="1.55"/>
    <n v="20.21"/>
    <s v="58160789"/>
  </r>
  <r>
    <x v="85"/>
    <s v="2021-05-13"/>
    <x v="0"/>
    <x v="0"/>
    <n v="24"/>
    <x v="20"/>
    <n v="1.51"/>
    <n v="19.66"/>
    <s v="17192451"/>
  </r>
  <r>
    <x v="85"/>
    <s v="2021-05-13"/>
    <x v="0"/>
    <x v="0"/>
    <n v="23"/>
    <x v="19"/>
    <n v="1.5"/>
    <n v="19.63"/>
    <s v="92702067"/>
  </r>
  <r>
    <x v="85"/>
    <s v="2021-05-13"/>
    <x v="0"/>
    <x v="0"/>
    <n v="22"/>
    <x v="21"/>
    <n v="1.47"/>
    <n v="19.09"/>
    <s v="03017677"/>
  </r>
  <r>
    <x v="85"/>
    <s v="2021-05-13"/>
    <x v="0"/>
    <x v="0"/>
    <n v="21"/>
    <x v="24"/>
    <n v="1.4"/>
    <n v="18.190000000000001"/>
    <s v="22639377"/>
  </r>
  <r>
    <x v="85"/>
    <s v="2021-05-13"/>
    <x v="0"/>
    <x v="0"/>
    <n v="20"/>
    <x v="30"/>
    <n v="1.37"/>
    <n v="17.73"/>
    <s v="03502961"/>
  </r>
  <r>
    <x v="85"/>
    <s v="2021-05-13"/>
    <x v="0"/>
    <x v="0"/>
    <n v="19"/>
    <x v="32"/>
    <n v="1.36"/>
    <n v="17.55"/>
    <s v="60701190"/>
  </r>
  <r>
    <x v="85"/>
    <s v="2021-05-13"/>
    <x v="0"/>
    <x v="0"/>
    <n v="18"/>
    <x v="28"/>
    <n v="1.35"/>
    <n v="17.52"/>
    <s v="90400888"/>
  </r>
  <r>
    <x v="85"/>
    <s v="2021-05-13"/>
    <x v="0"/>
    <x v="0"/>
    <n v="17"/>
    <x v="25"/>
    <n v="1.35"/>
    <n v="17.46"/>
    <s v="59274605"/>
  </r>
  <r>
    <x v="85"/>
    <s v="2021-05-13"/>
    <x v="0"/>
    <x v="0"/>
    <n v="16"/>
    <x v="26"/>
    <n v="1.34"/>
    <n v="17.27"/>
    <s v="30172491"/>
  </r>
  <r>
    <x v="85"/>
    <s v="2021-05-13"/>
    <x v="0"/>
    <x v="0"/>
    <n v="15"/>
    <x v="23"/>
    <n v="1.31"/>
    <n v="16.87"/>
    <s v="03215790"/>
  </r>
  <r>
    <x v="85"/>
    <s v="2021-05-13"/>
    <x v="0"/>
    <x v="0"/>
    <n v="14"/>
    <x v="29"/>
    <n v="1.3"/>
    <n v="16.77"/>
    <s v="60746948"/>
  </r>
  <r>
    <x v="85"/>
    <s v="2021-05-13"/>
    <x v="0"/>
    <x v="0"/>
    <n v="13"/>
    <x v="36"/>
    <n v="1.27"/>
    <n v="16.38"/>
    <s v="33136888"/>
  </r>
  <r>
    <x v="85"/>
    <s v="2021-05-13"/>
    <x v="0"/>
    <x v="0"/>
    <n v="12"/>
    <x v="33"/>
    <n v="1.27"/>
    <n v="16.34"/>
    <s v="62307848"/>
  </r>
  <r>
    <x v="85"/>
    <s v="2021-05-13"/>
    <x v="0"/>
    <x v="0"/>
    <n v="11"/>
    <x v="27"/>
    <n v="1.22"/>
    <n v="15.71"/>
    <s v="00000000"/>
  </r>
  <r>
    <x v="85"/>
    <s v="2021-05-13"/>
    <x v="0"/>
    <x v="0"/>
    <n v="10"/>
    <x v="31"/>
    <n v="1.2"/>
    <n v="15.38"/>
    <s v="17167412"/>
  </r>
  <r>
    <x v="85"/>
    <s v="2021-05-13"/>
    <x v="0"/>
    <x v="0"/>
    <n v="9"/>
    <x v="39"/>
    <n v="1.1000000000000001"/>
    <n v="13.97"/>
    <s v="04902979"/>
  </r>
  <r>
    <x v="85"/>
    <s v="2021-05-13"/>
    <x v="0"/>
    <x v="0"/>
    <n v="8"/>
    <x v="34"/>
    <n v="1.0900000000000001"/>
    <n v="13.92"/>
    <s v="33603457"/>
  </r>
  <r>
    <x v="85"/>
    <s v="2021-05-13"/>
    <x v="0"/>
    <x v="0"/>
    <n v="7"/>
    <x v="37"/>
    <n v="1.04"/>
    <n v="13.27"/>
    <s v="04452473"/>
  </r>
  <r>
    <x v="85"/>
    <s v="2021-05-13"/>
    <x v="0"/>
    <x v="0"/>
    <n v="6"/>
    <x v="44"/>
    <n v="0.99"/>
    <n v="12.61"/>
    <s v="58017179"/>
  </r>
  <r>
    <x v="85"/>
    <s v="2021-05-13"/>
    <x v="0"/>
    <x v="0"/>
    <n v="5"/>
    <x v="38"/>
    <n v="0.98"/>
    <n v="12.4"/>
    <s v="60814191"/>
  </r>
  <r>
    <x v="85"/>
    <s v="2021-05-13"/>
    <x v="0"/>
    <x v="0"/>
    <n v="4"/>
    <x v="35"/>
    <n v="0.97"/>
    <n v="12.32"/>
    <s v="59109165"/>
  </r>
  <r>
    <x v="85"/>
    <s v="2021-05-13"/>
    <x v="0"/>
    <x v="0"/>
    <n v="3"/>
    <x v="47"/>
    <n v="0.96"/>
    <n v="12.18"/>
    <s v="28517628"/>
  </r>
  <r>
    <x v="85"/>
    <s v="2021-05-13"/>
    <x v="0"/>
    <x v="0"/>
    <n v="2"/>
    <x v="22"/>
    <n v="0.94"/>
    <n v="11.85"/>
    <s v="11417016"/>
  </r>
  <r>
    <x v="85"/>
    <s v="2021-05-13"/>
    <x v="0"/>
    <x v="0"/>
    <n v="1"/>
    <x v="40"/>
    <n v="0.88"/>
    <n v="11.11"/>
    <s v="02992446"/>
  </r>
  <r>
    <x v="86"/>
    <s v="2021-05-14"/>
    <x v="0"/>
    <x v="0"/>
    <n v="45"/>
    <x v="3"/>
    <n v="3.22"/>
    <n v="46.26"/>
    <s v="05503849"/>
  </r>
  <r>
    <x v="86"/>
    <s v="2021-05-14"/>
    <x v="0"/>
    <x v="0"/>
    <n v="44"/>
    <x v="2"/>
    <n v="3.04"/>
    <n v="43.23"/>
    <s v="92228410"/>
  </r>
  <r>
    <x v="86"/>
    <s v="2021-05-14"/>
    <x v="0"/>
    <x v="0"/>
    <n v="43"/>
    <x v="0"/>
    <n v="3.04"/>
    <n v="43.16"/>
    <s v="60850229"/>
  </r>
  <r>
    <x v="86"/>
    <s v="2021-05-14"/>
    <x v="0"/>
    <x v="0"/>
    <n v="42"/>
    <x v="1"/>
    <n v="2.93"/>
    <n v="41.45"/>
    <s v="01800019"/>
  </r>
  <r>
    <x v="86"/>
    <s v="2021-05-14"/>
    <x v="0"/>
    <x v="0"/>
    <n v="41"/>
    <x v="4"/>
    <n v="2.65"/>
    <n v="36.82"/>
    <s v="62232889"/>
  </r>
  <r>
    <x v="86"/>
    <s v="2021-05-14"/>
    <x v="0"/>
    <x v="0"/>
    <n v="40"/>
    <x v="42"/>
    <n v="2.58"/>
    <n v="35.75"/>
    <s v="34991938"/>
  </r>
  <r>
    <x v="86"/>
    <s v="2021-05-14"/>
    <x v="0"/>
    <x v="0"/>
    <n v="39"/>
    <x v="7"/>
    <n v="2.52"/>
    <n v="34.79"/>
    <s v="92874270"/>
  </r>
  <r>
    <x v="86"/>
    <s v="2021-05-14"/>
    <x v="0"/>
    <x v="0"/>
    <n v="38"/>
    <x v="6"/>
    <n v="2.41"/>
    <n v="33.130000000000003"/>
    <s v="05676026"/>
  </r>
  <r>
    <x v="86"/>
    <s v="2021-05-14"/>
    <x v="0"/>
    <x v="0"/>
    <n v="37"/>
    <x v="5"/>
    <n v="2.27"/>
    <n v="30.94"/>
    <s v="80271455"/>
  </r>
  <r>
    <x v="86"/>
    <s v="2021-05-14"/>
    <x v="0"/>
    <x v="0"/>
    <n v="36"/>
    <x v="9"/>
    <n v="2.2599999999999998"/>
    <n v="30.8"/>
    <s v="00411939"/>
  </r>
  <r>
    <x v="86"/>
    <s v="2021-05-14"/>
    <x v="0"/>
    <x v="0"/>
    <n v="35"/>
    <x v="8"/>
    <n v="2.2599999999999998"/>
    <n v="30.71"/>
    <s v="59285411"/>
  </r>
  <r>
    <x v="86"/>
    <s v="2021-05-14"/>
    <x v="0"/>
    <x v="0"/>
    <n v="34"/>
    <x v="10"/>
    <n v="2.04"/>
    <n v="27.46"/>
    <s v="10371492"/>
  </r>
  <r>
    <x v="86"/>
    <s v="2021-05-14"/>
    <x v="0"/>
    <x v="0"/>
    <n v="33"/>
    <x v="13"/>
    <n v="1.81"/>
    <n v="24.04"/>
    <s v="07707650"/>
  </r>
  <r>
    <x v="86"/>
    <s v="2021-05-14"/>
    <x v="0"/>
    <x v="0"/>
    <n v="32"/>
    <x v="11"/>
    <n v="1.68"/>
    <n v="22.12"/>
    <s v="03634220"/>
  </r>
  <r>
    <x v="86"/>
    <s v="2021-05-14"/>
    <x v="0"/>
    <x v="0"/>
    <n v="31"/>
    <x v="15"/>
    <n v="1.68"/>
    <n v="22.08"/>
    <s v="59588111"/>
  </r>
  <r>
    <x v="86"/>
    <s v="2021-05-14"/>
    <x v="0"/>
    <x v="0"/>
    <n v="30"/>
    <x v="12"/>
    <n v="1.66"/>
    <n v="21.77"/>
    <s v="04862600"/>
  </r>
  <r>
    <x v="86"/>
    <s v="2021-05-14"/>
    <x v="0"/>
    <x v="0"/>
    <n v="29"/>
    <x v="16"/>
    <n v="1.6"/>
    <n v="21.02"/>
    <s v="07207996"/>
  </r>
  <r>
    <x v="86"/>
    <s v="2021-05-14"/>
    <x v="0"/>
    <x v="0"/>
    <n v="28"/>
    <x v="17"/>
    <n v="1.56"/>
    <n v="20.440000000000001"/>
    <s v="04866275"/>
  </r>
  <r>
    <x v="86"/>
    <s v="2021-05-14"/>
    <x v="0"/>
    <x v="0"/>
    <n v="27"/>
    <x v="49"/>
    <n v="1.55"/>
    <n v="20.21"/>
    <s v="58160789"/>
  </r>
  <r>
    <x v="86"/>
    <s v="2021-05-14"/>
    <x v="0"/>
    <x v="0"/>
    <n v="26"/>
    <x v="18"/>
    <n v="1.51"/>
    <n v="19.73"/>
    <s v="28127603"/>
  </r>
  <r>
    <x v="86"/>
    <s v="2021-05-14"/>
    <x v="0"/>
    <x v="0"/>
    <n v="25"/>
    <x v="19"/>
    <n v="1.5"/>
    <n v="19.63"/>
    <s v="92702067"/>
  </r>
  <r>
    <x v="86"/>
    <s v="2021-05-14"/>
    <x v="0"/>
    <x v="0"/>
    <n v="24"/>
    <x v="20"/>
    <n v="1.5"/>
    <n v="19.62"/>
    <s v="17192451"/>
  </r>
  <r>
    <x v="86"/>
    <s v="2021-05-14"/>
    <x v="0"/>
    <x v="0"/>
    <n v="23"/>
    <x v="21"/>
    <n v="1.47"/>
    <n v="19.14"/>
    <s v="03017677"/>
  </r>
  <r>
    <x v="86"/>
    <s v="2021-05-14"/>
    <x v="0"/>
    <x v="0"/>
    <n v="22"/>
    <x v="24"/>
    <n v="1.43"/>
    <n v="18.559999999999999"/>
    <s v="22639377"/>
  </r>
  <r>
    <x v="86"/>
    <s v="2021-05-14"/>
    <x v="0"/>
    <x v="0"/>
    <n v="21"/>
    <x v="14"/>
    <n v="1.41"/>
    <n v="18.309999999999999"/>
    <s v="00360305"/>
  </r>
  <r>
    <x v="86"/>
    <s v="2021-05-14"/>
    <x v="0"/>
    <x v="0"/>
    <n v="20"/>
    <x v="25"/>
    <n v="1.37"/>
    <n v="17.79"/>
    <s v="59274605"/>
  </r>
  <r>
    <x v="86"/>
    <s v="2021-05-14"/>
    <x v="0"/>
    <x v="0"/>
    <n v="19"/>
    <x v="30"/>
    <n v="1.36"/>
    <n v="17.600000000000001"/>
    <s v="03502961"/>
  </r>
  <r>
    <x v="86"/>
    <s v="2021-05-14"/>
    <x v="0"/>
    <x v="0"/>
    <n v="18"/>
    <x v="28"/>
    <n v="1.36"/>
    <n v="17.59"/>
    <s v="90400888"/>
  </r>
  <r>
    <x v="86"/>
    <s v="2021-05-14"/>
    <x v="0"/>
    <x v="0"/>
    <n v="17"/>
    <x v="32"/>
    <n v="1.35"/>
    <n v="17.48"/>
    <s v="60701190"/>
  </r>
  <r>
    <x v="86"/>
    <s v="2021-05-14"/>
    <x v="0"/>
    <x v="0"/>
    <n v="16"/>
    <x v="26"/>
    <n v="1.33"/>
    <n v="17.21"/>
    <s v="30172491"/>
  </r>
  <r>
    <x v="86"/>
    <s v="2021-05-14"/>
    <x v="0"/>
    <x v="0"/>
    <n v="15"/>
    <x v="23"/>
    <n v="1.31"/>
    <n v="16.91"/>
    <s v="03215790"/>
  </r>
  <r>
    <x v="86"/>
    <s v="2021-05-14"/>
    <x v="0"/>
    <x v="0"/>
    <n v="14"/>
    <x v="29"/>
    <n v="1.3"/>
    <n v="16.809999999999999"/>
    <s v="60746948"/>
  </r>
  <r>
    <x v="86"/>
    <s v="2021-05-14"/>
    <x v="0"/>
    <x v="0"/>
    <n v="13"/>
    <x v="33"/>
    <n v="1.28"/>
    <n v="16.43"/>
    <s v="62307848"/>
  </r>
  <r>
    <x v="86"/>
    <s v="2021-05-14"/>
    <x v="0"/>
    <x v="0"/>
    <n v="12"/>
    <x v="36"/>
    <n v="1.24"/>
    <n v="15.87"/>
    <s v="33136888"/>
  </r>
  <r>
    <x v="86"/>
    <s v="2021-05-14"/>
    <x v="0"/>
    <x v="0"/>
    <n v="11"/>
    <x v="27"/>
    <n v="1.21"/>
    <n v="15.58"/>
    <s v="00000000"/>
  </r>
  <r>
    <x v="86"/>
    <s v="2021-05-14"/>
    <x v="0"/>
    <x v="0"/>
    <n v="10"/>
    <x v="31"/>
    <n v="1.19"/>
    <n v="15.26"/>
    <s v="17167412"/>
  </r>
  <r>
    <x v="86"/>
    <s v="2021-05-14"/>
    <x v="0"/>
    <x v="0"/>
    <n v="9"/>
    <x v="39"/>
    <n v="1.0900000000000001"/>
    <n v="13.93"/>
    <s v="04902979"/>
  </r>
  <r>
    <x v="86"/>
    <s v="2021-05-14"/>
    <x v="0"/>
    <x v="0"/>
    <n v="8"/>
    <x v="34"/>
    <n v="1.0900000000000001"/>
    <n v="13.9"/>
    <s v="33603457"/>
  </r>
  <r>
    <x v="86"/>
    <s v="2021-05-14"/>
    <x v="0"/>
    <x v="0"/>
    <n v="7"/>
    <x v="37"/>
    <n v="1.05"/>
    <n v="13.29"/>
    <s v="04452473"/>
  </r>
  <r>
    <x v="86"/>
    <s v="2021-05-14"/>
    <x v="0"/>
    <x v="0"/>
    <n v="6"/>
    <x v="44"/>
    <n v="1.02"/>
    <n v="12.96"/>
    <s v="58017179"/>
  </r>
  <r>
    <x v="86"/>
    <s v="2021-05-14"/>
    <x v="0"/>
    <x v="0"/>
    <n v="5"/>
    <x v="38"/>
    <n v="0.97"/>
    <n v="12.22"/>
    <s v="60814191"/>
  </r>
  <r>
    <x v="86"/>
    <s v="2021-05-14"/>
    <x v="0"/>
    <x v="0"/>
    <n v="4"/>
    <x v="47"/>
    <n v="0.96"/>
    <n v="12.18"/>
    <s v="28517628"/>
  </r>
  <r>
    <x v="86"/>
    <s v="2021-05-14"/>
    <x v="0"/>
    <x v="0"/>
    <n v="3"/>
    <x v="35"/>
    <n v="0.96"/>
    <n v="12.17"/>
    <s v="59109165"/>
  </r>
  <r>
    <x v="86"/>
    <s v="2021-05-14"/>
    <x v="0"/>
    <x v="0"/>
    <n v="2"/>
    <x v="22"/>
    <n v="0.94"/>
    <n v="11.83"/>
    <s v="11417016"/>
  </r>
  <r>
    <x v="86"/>
    <s v="2021-05-14"/>
    <x v="0"/>
    <x v="0"/>
    <n v="1"/>
    <x v="40"/>
    <n v="0.87"/>
    <n v="10.99"/>
    <s v="02992446"/>
  </r>
  <r>
    <x v="87"/>
    <s v="2021-05-17"/>
    <x v="0"/>
    <x v="0"/>
    <n v="44"/>
    <x v="3"/>
    <n v="3.26"/>
    <n v="46.9"/>
    <s v="05503849"/>
  </r>
  <r>
    <x v="87"/>
    <s v="2021-05-17"/>
    <x v="0"/>
    <x v="0"/>
    <n v="43"/>
    <x v="0"/>
    <n v="3.14"/>
    <n v="44.92"/>
    <s v="60850229"/>
  </r>
  <r>
    <x v="87"/>
    <s v="2021-05-17"/>
    <x v="0"/>
    <x v="0"/>
    <n v="42"/>
    <x v="2"/>
    <n v="3.04"/>
    <n v="43.24"/>
    <s v="92228410"/>
  </r>
  <r>
    <x v="87"/>
    <s v="2021-05-17"/>
    <x v="0"/>
    <x v="0"/>
    <n v="41"/>
    <x v="1"/>
    <n v="2.92"/>
    <n v="41.23"/>
    <s v="01800019"/>
  </r>
  <r>
    <x v="87"/>
    <s v="2021-05-17"/>
    <x v="0"/>
    <x v="0"/>
    <n v="40"/>
    <x v="4"/>
    <n v="2.67"/>
    <n v="37.25"/>
    <s v="62232889"/>
  </r>
  <r>
    <x v="87"/>
    <s v="2021-05-17"/>
    <x v="0"/>
    <x v="0"/>
    <n v="39"/>
    <x v="42"/>
    <n v="2.58"/>
    <n v="35.75"/>
    <s v="34991938"/>
  </r>
  <r>
    <x v="87"/>
    <s v="2021-05-17"/>
    <x v="0"/>
    <x v="0"/>
    <n v="38"/>
    <x v="7"/>
    <n v="2.52"/>
    <n v="34.82"/>
    <s v="92874270"/>
  </r>
  <r>
    <x v="87"/>
    <s v="2021-05-17"/>
    <x v="0"/>
    <x v="0"/>
    <n v="37"/>
    <x v="6"/>
    <n v="2.42"/>
    <n v="33.229999999999997"/>
    <s v="05676026"/>
  </r>
  <r>
    <x v="87"/>
    <s v="2021-05-17"/>
    <x v="0"/>
    <x v="0"/>
    <n v="36"/>
    <x v="9"/>
    <n v="2.34"/>
    <n v="32.06"/>
    <s v="00411939"/>
  </r>
  <r>
    <x v="87"/>
    <s v="2021-05-17"/>
    <x v="0"/>
    <x v="0"/>
    <n v="35"/>
    <x v="5"/>
    <n v="2.31"/>
    <n v="31.55"/>
    <s v="80271455"/>
  </r>
  <r>
    <x v="87"/>
    <s v="2021-05-17"/>
    <x v="0"/>
    <x v="0"/>
    <n v="34"/>
    <x v="8"/>
    <n v="2.25"/>
    <n v="30.65"/>
    <s v="59285411"/>
  </r>
  <r>
    <x v="87"/>
    <s v="2021-05-17"/>
    <x v="0"/>
    <x v="0"/>
    <n v="33"/>
    <x v="10"/>
    <n v="2.0499999999999998"/>
    <n v="27.52"/>
    <s v="10371492"/>
  </r>
  <r>
    <x v="87"/>
    <s v="2021-05-17"/>
    <x v="0"/>
    <x v="0"/>
    <n v="32"/>
    <x v="13"/>
    <n v="1.8"/>
    <n v="23.92"/>
    <s v="07707650"/>
  </r>
  <r>
    <x v="87"/>
    <s v="2021-05-17"/>
    <x v="0"/>
    <x v="0"/>
    <n v="31"/>
    <x v="15"/>
    <n v="1.68"/>
    <n v="22.09"/>
    <s v="59588111"/>
  </r>
  <r>
    <x v="87"/>
    <s v="2021-05-17"/>
    <x v="0"/>
    <x v="0"/>
    <n v="30"/>
    <x v="11"/>
    <n v="1.66"/>
    <n v="21.89"/>
    <s v="03634220"/>
  </r>
  <r>
    <x v="87"/>
    <s v="2021-05-17"/>
    <x v="0"/>
    <x v="0"/>
    <n v="29"/>
    <x v="12"/>
    <n v="1.66"/>
    <n v="21.85"/>
    <s v="04862600"/>
  </r>
  <r>
    <x v="87"/>
    <s v="2021-05-17"/>
    <x v="0"/>
    <x v="0"/>
    <n v="28"/>
    <x v="16"/>
    <n v="1.6"/>
    <n v="21.01"/>
    <s v="07207996"/>
  </r>
  <r>
    <x v="87"/>
    <s v="2021-05-17"/>
    <x v="0"/>
    <x v="0"/>
    <n v="27"/>
    <x v="49"/>
    <n v="1.55"/>
    <n v="20.21"/>
    <s v="58160789"/>
  </r>
  <r>
    <x v="87"/>
    <s v="2021-05-17"/>
    <x v="0"/>
    <x v="0"/>
    <n v="26"/>
    <x v="18"/>
    <n v="1.51"/>
    <n v="19.7"/>
    <s v="28127603"/>
  </r>
  <r>
    <x v="87"/>
    <s v="2021-05-17"/>
    <x v="0"/>
    <x v="0"/>
    <n v="25"/>
    <x v="19"/>
    <n v="1.5"/>
    <n v="19.63"/>
    <s v="92702067"/>
  </r>
  <r>
    <x v="87"/>
    <s v="2021-05-17"/>
    <x v="0"/>
    <x v="0"/>
    <n v="24"/>
    <x v="20"/>
    <n v="1.5"/>
    <n v="19.559999999999999"/>
    <s v="17192451"/>
  </r>
  <r>
    <x v="87"/>
    <s v="2021-05-17"/>
    <x v="0"/>
    <x v="0"/>
    <n v="23"/>
    <x v="21"/>
    <n v="1.47"/>
    <n v="19.12"/>
    <s v="03017677"/>
  </r>
  <r>
    <x v="87"/>
    <s v="2021-05-17"/>
    <x v="0"/>
    <x v="0"/>
    <n v="22"/>
    <x v="14"/>
    <n v="1.44"/>
    <n v="18.72"/>
    <s v="00360305"/>
  </r>
  <r>
    <x v="87"/>
    <s v="2021-05-17"/>
    <x v="0"/>
    <x v="0"/>
    <n v="21"/>
    <x v="24"/>
    <n v="1.42"/>
    <n v="18.38"/>
    <s v="22639377"/>
  </r>
  <r>
    <x v="87"/>
    <s v="2021-05-17"/>
    <x v="0"/>
    <x v="0"/>
    <n v="20"/>
    <x v="25"/>
    <n v="1.39"/>
    <n v="18.02"/>
    <s v="59274605"/>
  </r>
  <r>
    <x v="87"/>
    <s v="2021-05-17"/>
    <x v="0"/>
    <x v="0"/>
    <n v="19"/>
    <x v="32"/>
    <n v="1.36"/>
    <n v="17.61"/>
    <s v="60701190"/>
  </r>
  <r>
    <x v="87"/>
    <s v="2021-05-17"/>
    <x v="0"/>
    <x v="0"/>
    <n v="18"/>
    <x v="30"/>
    <n v="1.36"/>
    <n v="17.59"/>
    <s v="03502961"/>
  </r>
  <r>
    <x v="87"/>
    <s v="2021-05-17"/>
    <x v="0"/>
    <x v="0"/>
    <n v="17"/>
    <x v="28"/>
    <n v="1.35"/>
    <n v="17.43"/>
    <s v="90400888"/>
  </r>
  <r>
    <x v="87"/>
    <s v="2021-05-17"/>
    <x v="0"/>
    <x v="0"/>
    <n v="16"/>
    <x v="26"/>
    <n v="1.33"/>
    <n v="17.13"/>
    <s v="30172491"/>
  </r>
  <r>
    <x v="87"/>
    <s v="2021-05-17"/>
    <x v="0"/>
    <x v="0"/>
    <n v="15"/>
    <x v="23"/>
    <n v="1.32"/>
    <n v="16.97"/>
    <s v="03215790"/>
  </r>
  <r>
    <x v="87"/>
    <s v="2021-05-17"/>
    <x v="0"/>
    <x v="0"/>
    <n v="14"/>
    <x v="29"/>
    <n v="1.31"/>
    <n v="16.899999999999999"/>
    <s v="60746948"/>
  </r>
  <r>
    <x v="87"/>
    <s v="2021-05-17"/>
    <x v="0"/>
    <x v="0"/>
    <n v="13"/>
    <x v="33"/>
    <n v="1.28"/>
    <n v="16.52"/>
    <s v="62307848"/>
  </r>
  <r>
    <x v="87"/>
    <s v="2021-05-17"/>
    <x v="0"/>
    <x v="0"/>
    <n v="12"/>
    <x v="36"/>
    <n v="1.21"/>
    <n v="15.52"/>
    <s v="33136888"/>
  </r>
  <r>
    <x v="87"/>
    <s v="2021-05-17"/>
    <x v="0"/>
    <x v="0"/>
    <n v="11"/>
    <x v="27"/>
    <n v="1.21"/>
    <n v="15.46"/>
    <s v="00000000"/>
  </r>
  <r>
    <x v="87"/>
    <s v="2021-05-17"/>
    <x v="0"/>
    <x v="0"/>
    <n v="10"/>
    <x v="31"/>
    <n v="1.19"/>
    <n v="15.31"/>
    <s v="17167412"/>
  </r>
  <r>
    <x v="87"/>
    <s v="2021-05-17"/>
    <x v="0"/>
    <x v="0"/>
    <n v="9"/>
    <x v="34"/>
    <n v="1.1000000000000001"/>
    <n v="13.99"/>
    <s v="33603457"/>
  </r>
  <r>
    <x v="87"/>
    <s v="2021-05-17"/>
    <x v="0"/>
    <x v="0"/>
    <n v="8"/>
    <x v="39"/>
    <n v="1.0900000000000001"/>
    <n v="13.93"/>
    <s v="04902979"/>
  </r>
  <r>
    <x v="87"/>
    <s v="2021-05-17"/>
    <x v="0"/>
    <x v="0"/>
    <n v="7"/>
    <x v="37"/>
    <n v="1.05"/>
    <n v="13.33"/>
    <s v="04452473"/>
  </r>
  <r>
    <x v="87"/>
    <s v="2021-05-17"/>
    <x v="0"/>
    <x v="0"/>
    <n v="6"/>
    <x v="44"/>
    <n v="1.02"/>
    <n v="12.96"/>
    <s v="58017179"/>
  </r>
  <r>
    <x v="87"/>
    <s v="2021-05-17"/>
    <x v="0"/>
    <x v="0"/>
    <n v="5"/>
    <x v="35"/>
    <n v="0.97"/>
    <n v="12.29"/>
    <s v="59109165"/>
  </r>
  <r>
    <x v="87"/>
    <s v="2021-05-17"/>
    <x v="0"/>
    <x v="0"/>
    <n v="4"/>
    <x v="47"/>
    <n v="0.96"/>
    <n v="12.18"/>
    <s v="28517628"/>
  </r>
  <r>
    <x v="87"/>
    <s v="2021-05-17"/>
    <x v="0"/>
    <x v="0"/>
    <n v="3"/>
    <x v="22"/>
    <n v="0.94"/>
    <n v="11.86"/>
    <s v="11417016"/>
  </r>
  <r>
    <x v="87"/>
    <s v="2021-05-17"/>
    <x v="0"/>
    <x v="0"/>
    <n v="2"/>
    <x v="38"/>
    <n v="0.93"/>
    <n v="11.74"/>
    <s v="60814191"/>
  </r>
  <r>
    <x v="87"/>
    <s v="2021-05-17"/>
    <x v="0"/>
    <x v="0"/>
    <n v="1"/>
    <x v="40"/>
    <n v="0.91"/>
    <n v="11.46"/>
    <s v="02992446"/>
  </r>
  <r>
    <x v="88"/>
    <s v="2021-05-18"/>
    <x v="0"/>
    <x v="0"/>
    <n v="43"/>
    <x v="3"/>
    <n v="3.33"/>
    <n v="48.12"/>
    <s v="05503849"/>
  </r>
  <r>
    <x v="88"/>
    <s v="2021-05-18"/>
    <x v="0"/>
    <x v="0"/>
    <n v="42"/>
    <x v="0"/>
    <n v="3.13"/>
    <n v="44.75"/>
    <s v="60850229"/>
  </r>
  <r>
    <x v="88"/>
    <s v="2021-05-18"/>
    <x v="0"/>
    <x v="0"/>
    <n v="41"/>
    <x v="2"/>
    <n v="3.03"/>
    <n v="43.04"/>
    <s v="92228410"/>
  </r>
  <r>
    <x v="88"/>
    <s v="2021-05-18"/>
    <x v="0"/>
    <x v="0"/>
    <n v="40"/>
    <x v="1"/>
    <n v="2.84"/>
    <n v="39.89"/>
    <s v="01800019"/>
  </r>
  <r>
    <x v="88"/>
    <s v="2021-05-18"/>
    <x v="0"/>
    <x v="0"/>
    <n v="39"/>
    <x v="4"/>
    <n v="2.66"/>
    <n v="36.96"/>
    <s v="62232889"/>
  </r>
  <r>
    <x v="88"/>
    <s v="2021-05-18"/>
    <x v="0"/>
    <x v="0"/>
    <n v="38"/>
    <x v="42"/>
    <n v="2.58"/>
    <n v="35.75"/>
    <s v="34991938"/>
  </r>
  <r>
    <x v="88"/>
    <s v="2021-05-18"/>
    <x v="0"/>
    <x v="0"/>
    <n v="37"/>
    <x v="7"/>
    <n v="2.52"/>
    <n v="34.869999999999997"/>
    <s v="92874270"/>
  </r>
  <r>
    <x v="88"/>
    <s v="2021-05-18"/>
    <x v="0"/>
    <x v="0"/>
    <n v="36"/>
    <x v="6"/>
    <n v="2.42"/>
    <n v="33.299999999999997"/>
    <s v="05676026"/>
  </r>
  <r>
    <x v="88"/>
    <s v="2021-05-18"/>
    <x v="0"/>
    <x v="0"/>
    <n v="35"/>
    <x v="9"/>
    <n v="2.4"/>
    <n v="32.979999999999997"/>
    <s v="00411939"/>
  </r>
  <r>
    <x v="88"/>
    <s v="2021-05-18"/>
    <x v="0"/>
    <x v="0"/>
    <n v="34"/>
    <x v="5"/>
    <n v="2.31"/>
    <n v="31.52"/>
    <s v="80271455"/>
  </r>
  <r>
    <x v="88"/>
    <s v="2021-05-18"/>
    <x v="0"/>
    <x v="0"/>
    <n v="33"/>
    <x v="8"/>
    <n v="2.2400000000000002"/>
    <n v="30.52"/>
    <s v="59285411"/>
  </r>
  <r>
    <x v="88"/>
    <s v="2021-05-18"/>
    <x v="0"/>
    <x v="0"/>
    <n v="32"/>
    <x v="10"/>
    <n v="2.02"/>
    <n v="27.18"/>
    <s v="10371492"/>
  </r>
  <r>
    <x v="88"/>
    <s v="2021-05-18"/>
    <x v="0"/>
    <x v="0"/>
    <n v="31"/>
    <x v="13"/>
    <n v="1.8"/>
    <n v="23.93"/>
    <s v="07707650"/>
  </r>
  <r>
    <x v="88"/>
    <s v="2021-05-18"/>
    <x v="0"/>
    <x v="0"/>
    <n v="30"/>
    <x v="15"/>
    <n v="1.68"/>
    <n v="22.09"/>
    <s v="59588111"/>
  </r>
  <r>
    <x v="88"/>
    <s v="2021-05-18"/>
    <x v="0"/>
    <x v="0"/>
    <n v="29"/>
    <x v="12"/>
    <n v="1.68"/>
    <n v="22.09"/>
    <s v="04862600"/>
  </r>
  <r>
    <x v="88"/>
    <s v="2021-05-18"/>
    <x v="0"/>
    <x v="0"/>
    <n v="28"/>
    <x v="11"/>
    <n v="1.67"/>
    <n v="21.97"/>
    <s v="03634220"/>
  </r>
  <r>
    <x v="88"/>
    <s v="2021-05-18"/>
    <x v="0"/>
    <x v="0"/>
    <n v="27"/>
    <x v="49"/>
    <n v="1.66"/>
    <n v="21.87"/>
    <s v="58160789"/>
  </r>
  <r>
    <x v="88"/>
    <s v="2021-05-18"/>
    <x v="0"/>
    <x v="0"/>
    <n v="26"/>
    <x v="16"/>
    <n v="1.6"/>
    <n v="20.99"/>
    <s v="07207996"/>
  </r>
  <r>
    <x v="88"/>
    <s v="2021-05-18"/>
    <x v="0"/>
    <x v="0"/>
    <n v="25"/>
    <x v="18"/>
    <n v="1.52"/>
    <n v="19.89"/>
    <s v="28127603"/>
  </r>
  <r>
    <x v="88"/>
    <s v="2021-05-18"/>
    <x v="0"/>
    <x v="0"/>
    <n v="24"/>
    <x v="20"/>
    <n v="1.5"/>
    <n v="19.5"/>
    <s v="17192451"/>
  </r>
  <r>
    <x v="88"/>
    <s v="2021-05-18"/>
    <x v="0"/>
    <x v="0"/>
    <n v="23"/>
    <x v="21"/>
    <n v="1.47"/>
    <n v="19.190000000000001"/>
    <s v="03017677"/>
  </r>
  <r>
    <x v="88"/>
    <s v="2021-05-18"/>
    <x v="0"/>
    <x v="0"/>
    <n v="22"/>
    <x v="14"/>
    <n v="1.45"/>
    <n v="18.829999999999998"/>
    <s v="00360305"/>
  </r>
  <r>
    <x v="88"/>
    <s v="2021-05-18"/>
    <x v="0"/>
    <x v="0"/>
    <n v="21"/>
    <x v="24"/>
    <n v="1.43"/>
    <n v="18.53"/>
    <s v="22639377"/>
  </r>
  <r>
    <x v="88"/>
    <s v="2021-05-18"/>
    <x v="0"/>
    <x v="0"/>
    <n v="20"/>
    <x v="25"/>
    <n v="1.4"/>
    <n v="18.21"/>
    <s v="59274605"/>
  </r>
  <r>
    <x v="88"/>
    <s v="2021-05-18"/>
    <x v="0"/>
    <x v="0"/>
    <n v="19"/>
    <x v="30"/>
    <n v="1.38"/>
    <n v="17.809999999999999"/>
    <s v="03502961"/>
  </r>
  <r>
    <x v="88"/>
    <s v="2021-05-18"/>
    <x v="0"/>
    <x v="0"/>
    <n v="18"/>
    <x v="28"/>
    <n v="1.36"/>
    <n v="17.66"/>
    <s v="90400888"/>
  </r>
  <r>
    <x v="88"/>
    <s v="2021-05-18"/>
    <x v="0"/>
    <x v="0"/>
    <n v="17"/>
    <x v="32"/>
    <n v="1.36"/>
    <n v="17.579999999999998"/>
    <s v="60701190"/>
  </r>
  <r>
    <x v="88"/>
    <s v="2021-05-18"/>
    <x v="0"/>
    <x v="0"/>
    <n v="16"/>
    <x v="26"/>
    <n v="1.33"/>
    <n v="17.21"/>
    <s v="30172491"/>
  </r>
  <r>
    <x v="88"/>
    <s v="2021-05-18"/>
    <x v="0"/>
    <x v="0"/>
    <n v="15"/>
    <x v="23"/>
    <n v="1.31"/>
    <n v="16.95"/>
    <s v="03215790"/>
  </r>
  <r>
    <x v="88"/>
    <s v="2021-05-18"/>
    <x v="0"/>
    <x v="0"/>
    <n v="14"/>
    <x v="29"/>
    <n v="1.31"/>
    <n v="16.88"/>
    <s v="60746948"/>
  </r>
  <r>
    <x v="88"/>
    <s v="2021-05-18"/>
    <x v="0"/>
    <x v="0"/>
    <n v="13"/>
    <x v="33"/>
    <n v="1.3"/>
    <n v="16.7"/>
    <s v="62307848"/>
  </r>
  <r>
    <x v="88"/>
    <s v="2021-05-18"/>
    <x v="0"/>
    <x v="0"/>
    <n v="12"/>
    <x v="36"/>
    <n v="1.23"/>
    <n v="15.74"/>
    <s v="33136888"/>
  </r>
  <r>
    <x v="88"/>
    <s v="2021-05-18"/>
    <x v="0"/>
    <x v="0"/>
    <n v="11"/>
    <x v="27"/>
    <n v="1.22"/>
    <n v="15.65"/>
    <s v="00000000"/>
  </r>
  <r>
    <x v="88"/>
    <s v="2021-05-18"/>
    <x v="0"/>
    <x v="0"/>
    <n v="10"/>
    <x v="31"/>
    <n v="1.2"/>
    <n v="15.33"/>
    <s v="17167412"/>
  </r>
  <r>
    <x v="88"/>
    <s v="2021-05-18"/>
    <x v="0"/>
    <x v="0"/>
    <n v="9"/>
    <x v="39"/>
    <n v="1.1000000000000001"/>
    <n v="14.03"/>
    <s v="04902979"/>
  </r>
  <r>
    <x v="88"/>
    <s v="2021-05-18"/>
    <x v="0"/>
    <x v="0"/>
    <n v="8"/>
    <x v="34"/>
    <n v="1.1000000000000001"/>
    <n v="14.02"/>
    <s v="33603457"/>
  </r>
  <r>
    <x v="88"/>
    <s v="2021-05-18"/>
    <x v="0"/>
    <x v="0"/>
    <n v="7"/>
    <x v="37"/>
    <n v="1.05"/>
    <n v="13.34"/>
    <s v="04452473"/>
  </r>
  <r>
    <x v="88"/>
    <s v="2021-05-18"/>
    <x v="0"/>
    <x v="0"/>
    <n v="6"/>
    <x v="44"/>
    <n v="1.03"/>
    <n v="13.15"/>
    <s v="58017179"/>
  </r>
  <r>
    <x v="88"/>
    <s v="2021-05-18"/>
    <x v="0"/>
    <x v="0"/>
    <n v="5"/>
    <x v="35"/>
    <n v="0.98"/>
    <n v="12.44"/>
    <s v="59109165"/>
  </r>
  <r>
    <x v="88"/>
    <s v="2021-05-18"/>
    <x v="0"/>
    <x v="0"/>
    <n v="4"/>
    <x v="40"/>
    <n v="0.97"/>
    <n v="12.23"/>
    <s v="02992446"/>
  </r>
  <r>
    <x v="88"/>
    <s v="2021-05-18"/>
    <x v="0"/>
    <x v="0"/>
    <n v="3"/>
    <x v="47"/>
    <n v="0.96"/>
    <n v="12.18"/>
    <s v="28517628"/>
  </r>
  <r>
    <x v="88"/>
    <s v="2021-05-18"/>
    <x v="0"/>
    <x v="0"/>
    <n v="2"/>
    <x v="22"/>
    <n v="0.93"/>
    <n v="11.73"/>
    <s v="11417016"/>
  </r>
  <r>
    <x v="88"/>
    <s v="2021-05-18"/>
    <x v="0"/>
    <x v="0"/>
    <n v="1"/>
    <x v="38"/>
    <n v="0.92"/>
    <n v="11.59"/>
    <s v="60814191"/>
  </r>
  <r>
    <x v="89"/>
    <s v="2021-05-19"/>
    <x v="0"/>
    <x v="0"/>
    <n v="41"/>
    <x v="3"/>
    <n v="3.27"/>
    <n v="47.12"/>
    <s v="05503849"/>
  </r>
  <r>
    <x v="89"/>
    <s v="2021-05-19"/>
    <x v="0"/>
    <x v="0"/>
    <n v="40"/>
    <x v="0"/>
    <n v="3.12"/>
    <n v="44.66"/>
    <s v="60850229"/>
  </r>
  <r>
    <x v="89"/>
    <s v="2021-05-19"/>
    <x v="0"/>
    <x v="0"/>
    <n v="39"/>
    <x v="2"/>
    <n v="3.02"/>
    <n v="42.9"/>
    <s v="92228410"/>
  </r>
  <r>
    <x v="89"/>
    <s v="2021-05-19"/>
    <x v="0"/>
    <x v="0"/>
    <n v="38"/>
    <x v="1"/>
    <n v="2.84"/>
    <n v="40.01"/>
    <s v="01800019"/>
  </r>
  <r>
    <x v="89"/>
    <s v="2021-05-19"/>
    <x v="0"/>
    <x v="0"/>
    <n v="37"/>
    <x v="4"/>
    <n v="2.66"/>
    <n v="37.04"/>
    <s v="62232889"/>
  </r>
  <r>
    <x v="89"/>
    <s v="2021-05-19"/>
    <x v="0"/>
    <x v="0"/>
    <n v="36"/>
    <x v="42"/>
    <n v="2.58"/>
    <n v="35.75"/>
    <s v="34991938"/>
  </r>
  <r>
    <x v="89"/>
    <s v="2021-05-19"/>
    <x v="0"/>
    <x v="0"/>
    <n v="35"/>
    <x v="7"/>
    <n v="2.54"/>
    <n v="35.06"/>
    <s v="92874270"/>
  </r>
  <r>
    <x v="89"/>
    <s v="2021-05-19"/>
    <x v="0"/>
    <x v="0"/>
    <n v="34"/>
    <x v="6"/>
    <n v="2.4300000000000002"/>
    <n v="33.380000000000003"/>
    <s v="05676026"/>
  </r>
  <r>
    <x v="89"/>
    <s v="2021-05-19"/>
    <x v="0"/>
    <x v="0"/>
    <n v="33"/>
    <x v="5"/>
    <n v="2.41"/>
    <n v="33.08"/>
    <s v="80271455"/>
  </r>
  <r>
    <x v="89"/>
    <s v="2021-05-19"/>
    <x v="0"/>
    <x v="0"/>
    <n v="32"/>
    <x v="9"/>
    <n v="2.35"/>
    <n v="32.119999999999997"/>
    <s v="00411939"/>
  </r>
  <r>
    <x v="89"/>
    <s v="2021-05-19"/>
    <x v="0"/>
    <x v="0"/>
    <n v="31"/>
    <x v="8"/>
    <n v="2.25"/>
    <n v="30.55"/>
    <s v="59285411"/>
  </r>
  <r>
    <x v="89"/>
    <s v="2021-05-19"/>
    <x v="0"/>
    <x v="0"/>
    <n v="30"/>
    <x v="10"/>
    <n v="2.02"/>
    <n v="27.16"/>
    <s v="10371492"/>
  </r>
  <r>
    <x v="89"/>
    <s v="2021-05-19"/>
    <x v="0"/>
    <x v="0"/>
    <n v="29"/>
    <x v="13"/>
    <n v="1.8"/>
    <n v="23.88"/>
    <s v="07707650"/>
  </r>
  <r>
    <x v="89"/>
    <s v="2021-05-19"/>
    <x v="0"/>
    <x v="0"/>
    <n v="28"/>
    <x v="12"/>
    <n v="1.69"/>
    <n v="22.3"/>
    <s v="04862600"/>
  </r>
  <r>
    <x v="89"/>
    <s v="2021-05-19"/>
    <x v="0"/>
    <x v="0"/>
    <n v="27"/>
    <x v="15"/>
    <n v="1.68"/>
    <n v="22.13"/>
    <s v="59588111"/>
  </r>
  <r>
    <x v="89"/>
    <s v="2021-05-19"/>
    <x v="0"/>
    <x v="0"/>
    <n v="26"/>
    <x v="11"/>
    <n v="1.66"/>
    <n v="21.8"/>
    <s v="03634220"/>
  </r>
  <r>
    <x v="89"/>
    <s v="2021-05-19"/>
    <x v="0"/>
    <x v="0"/>
    <n v="25"/>
    <x v="16"/>
    <n v="1.59"/>
    <n v="20.88"/>
    <s v="07207996"/>
  </r>
  <r>
    <x v="89"/>
    <s v="2021-05-19"/>
    <x v="0"/>
    <x v="0"/>
    <n v="24"/>
    <x v="20"/>
    <n v="1.49"/>
    <n v="19.43"/>
    <s v="17192451"/>
  </r>
  <r>
    <x v="89"/>
    <s v="2021-05-19"/>
    <x v="0"/>
    <x v="0"/>
    <n v="23"/>
    <x v="21"/>
    <n v="1.47"/>
    <n v="19.190000000000001"/>
    <s v="03017677"/>
  </r>
  <r>
    <x v="89"/>
    <s v="2021-05-19"/>
    <x v="0"/>
    <x v="0"/>
    <n v="22"/>
    <x v="14"/>
    <n v="1.45"/>
    <n v="18.88"/>
    <s v="00360305"/>
  </r>
  <r>
    <x v="89"/>
    <s v="2021-05-19"/>
    <x v="0"/>
    <x v="0"/>
    <n v="21"/>
    <x v="24"/>
    <n v="1.43"/>
    <n v="18.63"/>
    <s v="22639377"/>
  </r>
  <r>
    <x v="89"/>
    <s v="2021-05-19"/>
    <x v="0"/>
    <x v="0"/>
    <n v="20"/>
    <x v="18"/>
    <n v="1.43"/>
    <n v="18.54"/>
    <s v="28127603"/>
  </r>
  <r>
    <x v="89"/>
    <s v="2021-05-19"/>
    <x v="0"/>
    <x v="0"/>
    <n v="19"/>
    <x v="25"/>
    <n v="1.41"/>
    <n v="18.329999999999998"/>
    <s v="59274605"/>
  </r>
  <r>
    <x v="89"/>
    <s v="2021-05-19"/>
    <x v="0"/>
    <x v="0"/>
    <n v="18"/>
    <x v="30"/>
    <n v="1.38"/>
    <n v="17.93"/>
    <s v="03502961"/>
  </r>
  <r>
    <x v="89"/>
    <s v="2021-05-19"/>
    <x v="0"/>
    <x v="0"/>
    <n v="17"/>
    <x v="28"/>
    <n v="1.36"/>
    <n v="17.59"/>
    <s v="90400888"/>
  </r>
  <r>
    <x v="89"/>
    <s v="2021-05-19"/>
    <x v="0"/>
    <x v="0"/>
    <n v="16"/>
    <x v="32"/>
    <n v="1.36"/>
    <n v="17.53"/>
    <s v="60701190"/>
  </r>
  <r>
    <x v="89"/>
    <s v="2021-05-19"/>
    <x v="0"/>
    <x v="0"/>
    <n v="15"/>
    <x v="26"/>
    <n v="1.33"/>
    <n v="17.11"/>
    <s v="30172491"/>
  </r>
  <r>
    <x v="89"/>
    <s v="2021-05-19"/>
    <x v="0"/>
    <x v="0"/>
    <n v="14"/>
    <x v="23"/>
    <n v="1.32"/>
    <n v="16.97"/>
    <s v="03215790"/>
  </r>
  <r>
    <x v="89"/>
    <s v="2021-05-19"/>
    <x v="0"/>
    <x v="0"/>
    <n v="13"/>
    <x v="29"/>
    <n v="1.3"/>
    <n v="16.71"/>
    <s v="60746948"/>
  </r>
  <r>
    <x v="89"/>
    <s v="2021-05-19"/>
    <x v="0"/>
    <x v="0"/>
    <n v="12"/>
    <x v="33"/>
    <n v="1.29"/>
    <n v="16.670000000000002"/>
    <s v="62307848"/>
  </r>
  <r>
    <x v="89"/>
    <s v="2021-05-19"/>
    <x v="0"/>
    <x v="0"/>
    <n v="11"/>
    <x v="36"/>
    <n v="1.27"/>
    <n v="16.36"/>
    <s v="33136888"/>
  </r>
  <r>
    <x v="89"/>
    <s v="2021-05-19"/>
    <x v="0"/>
    <x v="0"/>
    <n v="10"/>
    <x v="27"/>
    <n v="1.22"/>
    <n v="15.67"/>
    <s v="00000000"/>
  </r>
  <r>
    <x v="89"/>
    <s v="2021-05-19"/>
    <x v="0"/>
    <x v="0"/>
    <n v="9"/>
    <x v="31"/>
    <n v="1.18"/>
    <n v="15.17"/>
    <s v="17167412"/>
  </r>
  <r>
    <x v="89"/>
    <s v="2021-05-19"/>
    <x v="0"/>
    <x v="0"/>
    <n v="8"/>
    <x v="39"/>
    <n v="1.08"/>
    <n v="13.74"/>
    <s v="04902979"/>
  </r>
  <r>
    <x v="89"/>
    <s v="2021-05-19"/>
    <x v="0"/>
    <x v="0"/>
    <n v="7"/>
    <x v="34"/>
    <n v="1.07"/>
    <n v="13.66"/>
    <s v="33603457"/>
  </r>
  <r>
    <x v="89"/>
    <s v="2021-05-19"/>
    <x v="0"/>
    <x v="0"/>
    <n v="6"/>
    <x v="37"/>
    <n v="1.06"/>
    <n v="13.42"/>
    <s v="04452473"/>
  </r>
  <r>
    <x v="89"/>
    <s v="2021-05-19"/>
    <x v="0"/>
    <x v="0"/>
    <n v="5"/>
    <x v="44"/>
    <n v="1.03"/>
    <n v="13.15"/>
    <s v="58017179"/>
  </r>
  <r>
    <x v="89"/>
    <s v="2021-05-19"/>
    <x v="0"/>
    <x v="0"/>
    <n v="4"/>
    <x v="40"/>
    <n v="1"/>
    <n v="12.72"/>
    <s v="02992446"/>
  </r>
  <r>
    <x v="89"/>
    <s v="2021-05-19"/>
    <x v="0"/>
    <x v="0"/>
    <n v="3"/>
    <x v="35"/>
    <n v="0.98"/>
    <n v="12.45"/>
    <s v="59109165"/>
  </r>
  <r>
    <x v="89"/>
    <s v="2021-05-19"/>
    <x v="0"/>
    <x v="0"/>
    <n v="2"/>
    <x v="22"/>
    <n v="0.94"/>
    <n v="11.83"/>
    <s v="11417016"/>
  </r>
  <r>
    <x v="89"/>
    <s v="2021-05-19"/>
    <x v="0"/>
    <x v="0"/>
    <n v="1"/>
    <x v="38"/>
    <n v="0.9"/>
    <n v="11.36"/>
    <s v="60814191"/>
  </r>
  <r>
    <x v="90"/>
    <s v="2021-05-20"/>
    <x v="0"/>
    <x v="0"/>
    <n v="41"/>
    <x v="3"/>
    <n v="3.32"/>
    <n v="47.91"/>
    <s v="05503849"/>
  </r>
  <r>
    <x v="90"/>
    <s v="2021-05-20"/>
    <x v="0"/>
    <x v="0"/>
    <n v="40"/>
    <x v="0"/>
    <n v="3.14"/>
    <n v="44.96"/>
    <s v="60850229"/>
  </r>
  <r>
    <x v="90"/>
    <s v="2021-05-20"/>
    <x v="0"/>
    <x v="0"/>
    <n v="39"/>
    <x v="2"/>
    <n v="3.03"/>
    <n v="43.05"/>
    <s v="92228410"/>
  </r>
  <r>
    <x v="90"/>
    <s v="2021-05-20"/>
    <x v="0"/>
    <x v="0"/>
    <n v="38"/>
    <x v="1"/>
    <n v="2.93"/>
    <n v="41.49"/>
    <s v="01800019"/>
  </r>
  <r>
    <x v="90"/>
    <s v="2021-05-20"/>
    <x v="0"/>
    <x v="0"/>
    <n v="37"/>
    <x v="4"/>
    <n v="2.67"/>
    <n v="37.17"/>
    <s v="62232889"/>
  </r>
  <r>
    <x v="90"/>
    <s v="2021-05-20"/>
    <x v="0"/>
    <x v="0"/>
    <n v="36"/>
    <x v="42"/>
    <n v="2.58"/>
    <n v="35.75"/>
    <s v="34991938"/>
  </r>
  <r>
    <x v="90"/>
    <s v="2021-05-20"/>
    <x v="0"/>
    <x v="0"/>
    <n v="35"/>
    <x v="7"/>
    <n v="2.5499999999999998"/>
    <n v="35.229999999999997"/>
    <s v="92874270"/>
  </r>
  <r>
    <x v="90"/>
    <s v="2021-05-20"/>
    <x v="0"/>
    <x v="0"/>
    <n v="34"/>
    <x v="6"/>
    <n v="2.4300000000000002"/>
    <n v="33.35"/>
    <s v="05676026"/>
  </r>
  <r>
    <x v="90"/>
    <s v="2021-05-20"/>
    <x v="0"/>
    <x v="0"/>
    <n v="33"/>
    <x v="5"/>
    <n v="2.36"/>
    <n v="32.229999999999997"/>
    <s v="80271455"/>
  </r>
  <r>
    <x v="90"/>
    <s v="2021-05-20"/>
    <x v="0"/>
    <x v="0"/>
    <n v="32"/>
    <x v="9"/>
    <n v="2.2999999999999998"/>
    <n v="31.4"/>
    <s v="00411939"/>
  </r>
  <r>
    <x v="90"/>
    <s v="2021-05-20"/>
    <x v="0"/>
    <x v="0"/>
    <n v="31"/>
    <x v="8"/>
    <n v="2.25"/>
    <n v="30.63"/>
    <s v="59285411"/>
  </r>
  <r>
    <x v="90"/>
    <s v="2021-05-20"/>
    <x v="0"/>
    <x v="0"/>
    <n v="30"/>
    <x v="10"/>
    <n v="2.0299999999999998"/>
    <n v="27.25"/>
    <s v="10371492"/>
  </r>
  <r>
    <x v="90"/>
    <s v="2021-05-20"/>
    <x v="0"/>
    <x v="0"/>
    <n v="29"/>
    <x v="13"/>
    <n v="1.8"/>
    <n v="23.92"/>
    <s v="07707650"/>
  </r>
  <r>
    <x v="90"/>
    <s v="2021-05-20"/>
    <x v="0"/>
    <x v="0"/>
    <n v="28"/>
    <x v="12"/>
    <n v="1.7"/>
    <n v="22.36"/>
    <s v="04862600"/>
  </r>
  <r>
    <x v="90"/>
    <s v="2021-05-20"/>
    <x v="0"/>
    <x v="0"/>
    <n v="27"/>
    <x v="15"/>
    <n v="1.68"/>
    <n v="22.1"/>
    <s v="59588111"/>
  </r>
  <r>
    <x v="90"/>
    <s v="2021-05-20"/>
    <x v="0"/>
    <x v="0"/>
    <n v="26"/>
    <x v="11"/>
    <n v="1.66"/>
    <n v="21.86"/>
    <s v="03634220"/>
  </r>
  <r>
    <x v="90"/>
    <s v="2021-05-20"/>
    <x v="0"/>
    <x v="0"/>
    <n v="25"/>
    <x v="16"/>
    <n v="1.59"/>
    <n v="20.87"/>
    <s v="07207996"/>
  </r>
  <r>
    <x v="90"/>
    <s v="2021-05-20"/>
    <x v="0"/>
    <x v="0"/>
    <n v="24"/>
    <x v="20"/>
    <n v="1.49"/>
    <n v="19.38"/>
    <s v="17192451"/>
  </r>
  <r>
    <x v="90"/>
    <s v="2021-05-20"/>
    <x v="0"/>
    <x v="0"/>
    <n v="23"/>
    <x v="24"/>
    <n v="1.48"/>
    <n v="19.32"/>
    <s v="22639377"/>
  </r>
  <r>
    <x v="90"/>
    <s v="2021-05-20"/>
    <x v="0"/>
    <x v="0"/>
    <n v="22"/>
    <x v="14"/>
    <n v="1.48"/>
    <n v="19.29"/>
    <s v="00360305"/>
  </r>
  <r>
    <x v="90"/>
    <s v="2021-05-20"/>
    <x v="0"/>
    <x v="0"/>
    <n v="21"/>
    <x v="21"/>
    <n v="1.47"/>
    <n v="19.07"/>
    <s v="03017677"/>
  </r>
  <r>
    <x v="90"/>
    <s v="2021-05-20"/>
    <x v="0"/>
    <x v="0"/>
    <n v="20"/>
    <x v="18"/>
    <n v="1.46"/>
    <n v="19.03"/>
    <s v="28127603"/>
  </r>
  <r>
    <x v="90"/>
    <s v="2021-05-20"/>
    <x v="0"/>
    <x v="0"/>
    <n v="19"/>
    <x v="25"/>
    <n v="1.42"/>
    <n v="18.399999999999999"/>
    <s v="59274605"/>
  </r>
  <r>
    <x v="90"/>
    <s v="2021-05-20"/>
    <x v="0"/>
    <x v="0"/>
    <n v="18"/>
    <x v="30"/>
    <n v="1.36"/>
    <n v="17.66"/>
    <s v="03502961"/>
  </r>
  <r>
    <x v="90"/>
    <s v="2021-05-20"/>
    <x v="0"/>
    <x v="0"/>
    <n v="17"/>
    <x v="32"/>
    <n v="1.35"/>
    <n v="17.510000000000002"/>
    <s v="60701190"/>
  </r>
  <r>
    <x v="90"/>
    <s v="2021-05-20"/>
    <x v="0"/>
    <x v="0"/>
    <n v="16"/>
    <x v="28"/>
    <n v="1.35"/>
    <n v="17.510000000000002"/>
    <s v="90400888"/>
  </r>
  <r>
    <x v="90"/>
    <s v="2021-05-20"/>
    <x v="0"/>
    <x v="0"/>
    <n v="15"/>
    <x v="26"/>
    <n v="1.32"/>
    <n v="17.09"/>
    <s v="30172491"/>
  </r>
  <r>
    <x v="90"/>
    <s v="2021-05-20"/>
    <x v="0"/>
    <x v="0"/>
    <n v="14"/>
    <x v="23"/>
    <n v="1.31"/>
    <n v="16.93"/>
    <s v="03215790"/>
  </r>
  <r>
    <x v="90"/>
    <s v="2021-05-20"/>
    <x v="0"/>
    <x v="0"/>
    <n v="13"/>
    <x v="29"/>
    <n v="1.3"/>
    <n v="16.760000000000002"/>
    <s v="60746948"/>
  </r>
  <r>
    <x v="90"/>
    <s v="2021-05-20"/>
    <x v="0"/>
    <x v="0"/>
    <n v="12"/>
    <x v="33"/>
    <n v="1.29"/>
    <n v="16.61"/>
    <s v="62307848"/>
  </r>
  <r>
    <x v="90"/>
    <s v="2021-05-20"/>
    <x v="0"/>
    <x v="0"/>
    <n v="11"/>
    <x v="36"/>
    <n v="1.27"/>
    <n v="16.350000000000001"/>
    <s v="33136888"/>
  </r>
  <r>
    <x v="90"/>
    <s v="2021-05-20"/>
    <x v="0"/>
    <x v="0"/>
    <n v="10"/>
    <x v="27"/>
    <n v="1.22"/>
    <n v="15.68"/>
    <s v="00000000"/>
  </r>
  <r>
    <x v="90"/>
    <s v="2021-05-20"/>
    <x v="0"/>
    <x v="0"/>
    <n v="9"/>
    <x v="31"/>
    <n v="1.1599999999999999"/>
    <n v="14.83"/>
    <s v="17167412"/>
  </r>
  <r>
    <x v="90"/>
    <s v="2021-05-20"/>
    <x v="0"/>
    <x v="0"/>
    <n v="8"/>
    <x v="34"/>
    <n v="1.0900000000000001"/>
    <n v="13.92"/>
    <s v="33603457"/>
  </r>
  <r>
    <x v="90"/>
    <s v="2021-05-20"/>
    <x v="0"/>
    <x v="0"/>
    <n v="7"/>
    <x v="39"/>
    <n v="1.08"/>
    <n v="13.74"/>
    <s v="04902979"/>
  </r>
  <r>
    <x v="90"/>
    <s v="2021-05-20"/>
    <x v="0"/>
    <x v="0"/>
    <n v="6"/>
    <x v="37"/>
    <n v="1.06"/>
    <n v="13.45"/>
    <s v="04452473"/>
  </r>
  <r>
    <x v="90"/>
    <s v="2021-05-20"/>
    <x v="0"/>
    <x v="0"/>
    <n v="5"/>
    <x v="44"/>
    <n v="1.03"/>
    <n v="13.15"/>
    <s v="58017179"/>
  </r>
  <r>
    <x v="90"/>
    <s v="2021-05-20"/>
    <x v="0"/>
    <x v="0"/>
    <n v="4"/>
    <x v="40"/>
    <n v="1.02"/>
    <n v="12.94"/>
    <s v="02992446"/>
  </r>
  <r>
    <x v="90"/>
    <s v="2021-05-20"/>
    <x v="0"/>
    <x v="0"/>
    <n v="3"/>
    <x v="35"/>
    <n v="0.99"/>
    <n v="12.54"/>
    <s v="59109165"/>
  </r>
  <r>
    <x v="90"/>
    <s v="2021-05-20"/>
    <x v="0"/>
    <x v="0"/>
    <n v="2"/>
    <x v="22"/>
    <n v="0.93"/>
    <n v="11.76"/>
    <s v="11417016"/>
  </r>
  <r>
    <x v="90"/>
    <s v="2021-05-20"/>
    <x v="0"/>
    <x v="0"/>
    <n v="1"/>
    <x v="38"/>
    <n v="0.93"/>
    <n v="11.69"/>
    <s v="60814191"/>
  </r>
  <r>
    <x v="91"/>
    <s v="2021-05-21"/>
    <x v="0"/>
    <x v="0"/>
    <n v="38"/>
    <x v="3"/>
    <n v="3.24"/>
    <n v="46.56"/>
    <s v="05503849"/>
  </r>
  <r>
    <x v="91"/>
    <s v="2021-05-21"/>
    <x v="0"/>
    <x v="0"/>
    <n v="37"/>
    <x v="2"/>
    <n v="3.04"/>
    <n v="43.24"/>
    <s v="92228410"/>
  </r>
  <r>
    <x v="91"/>
    <s v="2021-05-21"/>
    <x v="0"/>
    <x v="0"/>
    <n v="36"/>
    <x v="1"/>
    <n v="2.97"/>
    <n v="42.09"/>
    <s v="01800019"/>
  </r>
  <r>
    <x v="91"/>
    <s v="2021-05-21"/>
    <x v="0"/>
    <x v="0"/>
    <n v="35"/>
    <x v="4"/>
    <n v="2.67"/>
    <n v="37.25"/>
    <s v="62232889"/>
  </r>
  <r>
    <x v="91"/>
    <s v="2021-05-21"/>
    <x v="0"/>
    <x v="0"/>
    <n v="34"/>
    <x v="0"/>
    <n v="2.61"/>
    <n v="36.21"/>
    <s v="60850229"/>
  </r>
  <r>
    <x v="91"/>
    <s v="2021-05-21"/>
    <x v="0"/>
    <x v="0"/>
    <n v="33"/>
    <x v="7"/>
    <n v="2.54"/>
    <n v="35.159999999999997"/>
    <s v="92874270"/>
  </r>
  <r>
    <x v="91"/>
    <s v="2021-05-21"/>
    <x v="0"/>
    <x v="0"/>
    <n v="32"/>
    <x v="5"/>
    <n v="2.4300000000000002"/>
    <n v="33.46"/>
    <s v="80271455"/>
  </r>
  <r>
    <x v="91"/>
    <s v="2021-05-21"/>
    <x v="0"/>
    <x v="0"/>
    <n v="31"/>
    <x v="6"/>
    <n v="2.4300000000000002"/>
    <n v="33.369999999999997"/>
    <s v="05676026"/>
  </r>
  <r>
    <x v="91"/>
    <s v="2021-05-21"/>
    <x v="0"/>
    <x v="0"/>
    <n v="30"/>
    <x v="9"/>
    <n v="2.31"/>
    <n v="31.47"/>
    <s v="00411939"/>
  </r>
  <r>
    <x v="91"/>
    <s v="2021-05-21"/>
    <x v="0"/>
    <x v="0"/>
    <n v="29"/>
    <x v="8"/>
    <n v="2.25"/>
    <n v="30.67"/>
    <s v="59285411"/>
  </r>
  <r>
    <x v="91"/>
    <s v="2021-05-21"/>
    <x v="0"/>
    <x v="0"/>
    <n v="28"/>
    <x v="10"/>
    <n v="2.04"/>
    <n v="27.38"/>
    <s v="10371492"/>
  </r>
  <r>
    <x v="91"/>
    <s v="2021-05-21"/>
    <x v="0"/>
    <x v="0"/>
    <n v="27"/>
    <x v="13"/>
    <n v="1.8"/>
    <n v="23.92"/>
    <s v="07707650"/>
  </r>
  <r>
    <x v="91"/>
    <s v="2021-05-21"/>
    <x v="0"/>
    <x v="0"/>
    <n v="26"/>
    <x v="12"/>
    <n v="1.7"/>
    <n v="22.36"/>
    <s v="04862600"/>
  </r>
  <r>
    <x v="91"/>
    <s v="2021-05-21"/>
    <x v="0"/>
    <x v="0"/>
    <n v="25"/>
    <x v="15"/>
    <n v="1.68"/>
    <n v="22.1"/>
    <s v="59588111"/>
  </r>
  <r>
    <x v="91"/>
    <s v="2021-05-21"/>
    <x v="0"/>
    <x v="0"/>
    <n v="24"/>
    <x v="11"/>
    <n v="1.68"/>
    <n v="22.06"/>
    <s v="03634220"/>
  </r>
  <r>
    <x v="91"/>
    <s v="2021-05-21"/>
    <x v="0"/>
    <x v="0"/>
    <n v="23"/>
    <x v="14"/>
    <n v="1.61"/>
    <n v="21.14"/>
    <s v="00360305"/>
  </r>
  <r>
    <x v="91"/>
    <s v="2021-05-21"/>
    <x v="0"/>
    <x v="0"/>
    <n v="22"/>
    <x v="16"/>
    <n v="1.59"/>
    <n v="20.86"/>
    <s v="07207996"/>
  </r>
  <r>
    <x v="91"/>
    <s v="2021-05-21"/>
    <x v="0"/>
    <x v="0"/>
    <n v="21"/>
    <x v="18"/>
    <n v="1.55"/>
    <n v="20.32"/>
    <s v="28127603"/>
  </r>
  <r>
    <x v="91"/>
    <s v="2021-05-21"/>
    <x v="0"/>
    <x v="0"/>
    <n v="20"/>
    <x v="20"/>
    <n v="1.49"/>
    <n v="19.41"/>
    <s v="17192451"/>
  </r>
  <r>
    <x v="91"/>
    <s v="2021-05-21"/>
    <x v="0"/>
    <x v="0"/>
    <n v="19"/>
    <x v="21"/>
    <n v="1.46"/>
    <n v="19.059999999999999"/>
    <s v="03017677"/>
  </r>
  <r>
    <x v="91"/>
    <s v="2021-05-21"/>
    <x v="0"/>
    <x v="0"/>
    <n v="18"/>
    <x v="25"/>
    <n v="1.41"/>
    <n v="18.350000000000001"/>
    <s v="59274605"/>
  </r>
  <r>
    <x v="91"/>
    <s v="2021-05-21"/>
    <x v="0"/>
    <x v="0"/>
    <n v="17"/>
    <x v="24"/>
    <n v="1.41"/>
    <n v="18.239999999999998"/>
    <s v="22639377"/>
  </r>
  <r>
    <x v="91"/>
    <s v="2021-05-21"/>
    <x v="0"/>
    <x v="0"/>
    <n v="16"/>
    <x v="30"/>
    <n v="1.38"/>
    <n v="17.88"/>
    <s v="03502961"/>
  </r>
  <r>
    <x v="91"/>
    <s v="2021-05-21"/>
    <x v="0"/>
    <x v="0"/>
    <n v="15"/>
    <x v="32"/>
    <n v="1.35"/>
    <n v="17.510000000000002"/>
    <s v="60701190"/>
  </r>
  <r>
    <x v="91"/>
    <s v="2021-05-21"/>
    <x v="0"/>
    <x v="0"/>
    <n v="14"/>
    <x v="28"/>
    <n v="1.35"/>
    <n v="17.47"/>
    <s v="90400888"/>
  </r>
  <r>
    <x v="91"/>
    <s v="2021-05-21"/>
    <x v="0"/>
    <x v="0"/>
    <n v="13"/>
    <x v="26"/>
    <n v="1.33"/>
    <n v="17.21"/>
    <s v="30172491"/>
  </r>
  <r>
    <x v="91"/>
    <s v="2021-05-21"/>
    <x v="0"/>
    <x v="0"/>
    <n v="12"/>
    <x v="23"/>
    <n v="1.31"/>
    <n v="16.88"/>
    <s v="03215790"/>
  </r>
  <r>
    <x v="91"/>
    <s v="2021-05-21"/>
    <x v="0"/>
    <x v="0"/>
    <n v="11"/>
    <x v="29"/>
    <n v="1.29"/>
    <n v="16.64"/>
    <s v="60746948"/>
  </r>
  <r>
    <x v="91"/>
    <s v="2021-05-21"/>
    <x v="0"/>
    <x v="0"/>
    <n v="10"/>
    <x v="33"/>
    <n v="1.28"/>
    <n v="16.489999999999998"/>
    <s v="62307848"/>
  </r>
  <r>
    <x v="91"/>
    <s v="2021-05-21"/>
    <x v="0"/>
    <x v="0"/>
    <n v="9"/>
    <x v="36"/>
    <n v="1.27"/>
    <n v="16.350000000000001"/>
    <s v="33136888"/>
  </r>
  <r>
    <x v="91"/>
    <s v="2021-05-21"/>
    <x v="0"/>
    <x v="0"/>
    <n v="8"/>
    <x v="27"/>
    <n v="1.22"/>
    <n v="15.67"/>
    <s v="00000000"/>
  </r>
  <r>
    <x v="91"/>
    <s v="2021-05-21"/>
    <x v="0"/>
    <x v="0"/>
    <n v="7"/>
    <x v="31"/>
    <n v="1.17"/>
    <n v="14.98"/>
    <s v="17167412"/>
  </r>
  <r>
    <x v="91"/>
    <s v="2021-05-21"/>
    <x v="0"/>
    <x v="0"/>
    <n v="6"/>
    <x v="34"/>
    <n v="1.1000000000000001"/>
    <n v="13.99"/>
    <s v="33603457"/>
  </r>
  <r>
    <x v="91"/>
    <s v="2021-05-21"/>
    <x v="0"/>
    <x v="0"/>
    <n v="5"/>
    <x v="37"/>
    <n v="1.06"/>
    <n v="13.5"/>
    <s v="04452473"/>
  </r>
  <r>
    <x v="91"/>
    <s v="2021-05-21"/>
    <x v="0"/>
    <x v="0"/>
    <n v="4"/>
    <x v="35"/>
    <n v="1"/>
    <n v="12.62"/>
    <s v="59109165"/>
  </r>
  <r>
    <x v="91"/>
    <s v="2021-05-21"/>
    <x v="0"/>
    <x v="0"/>
    <n v="3"/>
    <x v="40"/>
    <n v="0.97"/>
    <n v="12.21"/>
    <s v="02992446"/>
  </r>
  <r>
    <x v="91"/>
    <s v="2021-05-21"/>
    <x v="0"/>
    <x v="0"/>
    <n v="2"/>
    <x v="38"/>
    <n v="0.94"/>
    <n v="11.92"/>
    <s v="60814191"/>
  </r>
  <r>
    <x v="91"/>
    <s v="2021-05-21"/>
    <x v="0"/>
    <x v="0"/>
    <n v="1"/>
    <x v="22"/>
    <n v="0.93"/>
    <n v="11.77"/>
    <s v="11417016"/>
  </r>
  <r>
    <x v="92"/>
    <s v="2021-05-24"/>
    <x v="0"/>
    <x v="0"/>
    <n v="39"/>
    <x v="3"/>
    <n v="3.19"/>
    <n v="45.75"/>
    <s v="05503849"/>
  </r>
  <r>
    <x v="92"/>
    <s v="2021-05-24"/>
    <x v="0"/>
    <x v="0"/>
    <n v="38"/>
    <x v="2"/>
    <n v="3.04"/>
    <n v="43.29"/>
    <s v="92228410"/>
  </r>
  <r>
    <x v="92"/>
    <s v="2021-05-24"/>
    <x v="0"/>
    <x v="0"/>
    <n v="37"/>
    <x v="1"/>
    <n v="2.97"/>
    <n v="42.02"/>
    <s v="01800019"/>
  </r>
  <r>
    <x v="92"/>
    <s v="2021-05-24"/>
    <x v="0"/>
    <x v="0"/>
    <n v="36"/>
    <x v="0"/>
    <n v="2.68"/>
    <n v="37.380000000000003"/>
    <s v="60850229"/>
  </r>
  <r>
    <x v="92"/>
    <s v="2021-05-24"/>
    <x v="0"/>
    <x v="0"/>
    <n v="35"/>
    <x v="4"/>
    <n v="2.64"/>
    <n v="36.78"/>
    <s v="62232889"/>
  </r>
  <r>
    <x v="92"/>
    <s v="2021-05-24"/>
    <x v="0"/>
    <x v="0"/>
    <n v="34"/>
    <x v="7"/>
    <n v="2.54"/>
    <n v="35.15"/>
    <s v="92874270"/>
  </r>
  <r>
    <x v="92"/>
    <s v="2021-05-24"/>
    <x v="0"/>
    <x v="0"/>
    <n v="33"/>
    <x v="6"/>
    <n v="2.42"/>
    <n v="33.24"/>
    <s v="05676026"/>
  </r>
  <r>
    <x v="92"/>
    <s v="2021-05-24"/>
    <x v="0"/>
    <x v="0"/>
    <n v="32"/>
    <x v="5"/>
    <n v="2.33"/>
    <n v="31.85"/>
    <s v="80271455"/>
  </r>
  <r>
    <x v="92"/>
    <s v="2021-05-24"/>
    <x v="0"/>
    <x v="0"/>
    <n v="31"/>
    <x v="9"/>
    <n v="2.2799999999999998"/>
    <n v="31.02"/>
    <s v="00411939"/>
  </r>
  <r>
    <x v="92"/>
    <s v="2021-05-24"/>
    <x v="0"/>
    <x v="0"/>
    <n v="30"/>
    <x v="8"/>
    <n v="2.25"/>
    <n v="30.61"/>
    <s v="59285411"/>
  </r>
  <r>
    <x v="92"/>
    <s v="2021-05-24"/>
    <x v="0"/>
    <x v="0"/>
    <n v="29"/>
    <x v="10"/>
    <n v="2.0499999999999998"/>
    <n v="27.56"/>
    <s v="10371492"/>
  </r>
  <r>
    <x v="92"/>
    <s v="2021-05-24"/>
    <x v="0"/>
    <x v="0"/>
    <n v="28"/>
    <x v="13"/>
    <n v="1.81"/>
    <n v="24.03"/>
    <s v="07707650"/>
  </r>
  <r>
    <x v="92"/>
    <s v="2021-05-24"/>
    <x v="0"/>
    <x v="0"/>
    <n v="27"/>
    <x v="12"/>
    <n v="1.7"/>
    <n v="22.36"/>
    <s v="04862600"/>
  </r>
  <r>
    <x v="92"/>
    <s v="2021-05-24"/>
    <x v="0"/>
    <x v="0"/>
    <n v="26"/>
    <x v="11"/>
    <n v="1.68"/>
    <n v="22.1"/>
    <s v="03634220"/>
  </r>
  <r>
    <x v="92"/>
    <s v="2021-05-24"/>
    <x v="0"/>
    <x v="0"/>
    <n v="25"/>
    <x v="15"/>
    <n v="1.68"/>
    <n v="22.1"/>
    <s v="59588111"/>
  </r>
  <r>
    <x v="92"/>
    <s v="2021-05-24"/>
    <x v="0"/>
    <x v="0"/>
    <n v="24"/>
    <x v="16"/>
    <n v="1.59"/>
    <n v="20.88"/>
    <s v="07207996"/>
  </r>
  <r>
    <x v="92"/>
    <s v="2021-05-24"/>
    <x v="0"/>
    <x v="0"/>
    <n v="23"/>
    <x v="18"/>
    <n v="1.54"/>
    <n v="20.190000000000001"/>
    <s v="28127603"/>
  </r>
  <r>
    <x v="92"/>
    <s v="2021-05-24"/>
    <x v="0"/>
    <x v="0"/>
    <n v="22"/>
    <x v="20"/>
    <n v="1.5"/>
    <n v="19.510000000000002"/>
    <s v="17192451"/>
  </r>
  <r>
    <x v="92"/>
    <s v="2021-05-24"/>
    <x v="0"/>
    <x v="0"/>
    <n v="21"/>
    <x v="14"/>
    <n v="1.48"/>
    <n v="19.260000000000002"/>
    <s v="00360305"/>
  </r>
  <r>
    <x v="92"/>
    <s v="2021-05-24"/>
    <x v="0"/>
    <x v="0"/>
    <n v="20"/>
    <x v="21"/>
    <n v="1.47"/>
    <n v="19.09"/>
    <s v="03017677"/>
  </r>
  <r>
    <x v="92"/>
    <s v="2021-05-24"/>
    <x v="0"/>
    <x v="0"/>
    <n v="19"/>
    <x v="25"/>
    <n v="1.41"/>
    <n v="18.29"/>
    <s v="59274605"/>
  </r>
  <r>
    <x v="92"/>
    <s v="2021-05-24"/>
    <x v="0"/>
    <x v="0"/>
    <n v="18"/>
    <x v="24"/>
    <n v="1.41"/>
    <n v="18.239999999999998"/>
    <s v="22639377"/>
  </r>
  <r>
    <x v="92"/>
    <s v="2021-05-24"/>
    <x v="0"/>
    <x v="0"/>
    <n v="17"/>
    <x v="30"/>
    <n v="1.37"/>
    <n v="17.8"/>
    <s v="03502961"/>
  </r>
  <r>
    <x v="92"/>
    <s v="2021-05-24"/>
    <x v="0"/>
    <x v="0"/>
    <n v="16"/>
    <x v="32"/>
    <n v="1.36"/>
    <n v="17.61"/>
    <s v="60701190"/>
  </r>
  <r>
    <x v="92"/>
    <s v="2021-05-24"/>
    <x v="0"/>
    <x v="0"/>
    <n v="15"/>
    <x v="28"/>
    <n v="1.36"/>
    <n v="17.559999999999999"/>
    <s v="90400888"/>
  </r>
  <r>
    <x v="92"/>
    <s v="2021-05-24"/>
    <x v="0"/>
    <x v="0"/>
    <n v="14"/>
    <x v="26"/>
    <n v="1.32"/>
    <n v="17.04"/>
    <s v="30172491"/>
  </r>
  <r>
    <x v="92"/>
    <s v="2021-05-24"/>
    <x v="0"/>
    <x v="0"/>
    <n v="13"/>
    <x v="23"/>
    <n v="1.31"/>
    <n v="16.920000000000002"/>
    <s v="03215790"/>
  </r>
  <r>
    <x v="92"/>
    <s v="2021-05-24"/>
    <x v="0"/>
    <x v="0"/>
    <n v="12"/>
    <x v="29"/>
    <n v="1.29"/>
    <n v="16.579999999999998"/>
    <s v="60746948"/>
  </r>
  <r>
    <x v="92"/>
    <s v="2021-05-24"/>
    <x v="0"/>
    <x v="0"/>
    <n v="11"/>
    <x v="33"/>
    <n v="1.28"/>
    <n v="16.46"/>
    <s v="62307848"/>
  </r>
  <r>
    <x v="92"/>
    <s v="2021-05-24"/>
    <x v="0"/>
    <x v="0"/>
    <n v="10"/>
    <x v="36"/>
    <n v="1.26"/>
    <n v="16.25"/>
    <s v="33136888"/>
  </r>
  <r>
    <x v="92"/>
    <s v="2021-05-24"/>
    <x v="0"/>
    <x v="0"/>
    <n v="9"/>
    <x v="27"/>
    <n v="1.23"/>
    <n v="15.79"/>
    <s v="00000000"/>
  </r>
  <r>
    <x v="92"/>
    <s v="2021-05-24"/>
    <x v="0"/>
    <x v="0"/>
    <n v="8"/>
    <x v="31"/>
    <n v="1.1599999999999999"/>
    <n v="14.81"/>
    <s v="17167412"/>
  </r>
  <r>
    <x v="92"/>
    <s v="2021-05-24"/>
    <x v="0"/>
    <x v="0"/>
    <n v="7"/>
    <x v="19"/>
    <n v="1.1599999999999999"/>
    <n v="14.79"/>
    <s v="92702067"/>
  </r>
  <r>
    <x v="92"/>
    <s v="2021-05-24"/>
    <x v="0"/>
    <x v="0"/>
    <n v="6"/>
    <x v="34"/>
    <n v="1.1100000000000001"/>
    <n v="14.19"/>
    <s v="33603457"/>
  </r>
  <r>
    <x v="92"/>
    <s v="2021-05-24"/>
    <x v="0"/>
    <x v="0"/>
    <n v="5"/>
    <x v="37"/>
    <n v="1.06"/>
    <n v="13.55"/>
    <s v="04452473"/>
  </r>
  <r>
    <x v="92"/>
    <s v="2021-05-24"/>
    <x v="0"/>
    <x v="0"/>
    <n v="4"/>
    <x v="35"/>
    <n v="1"/>
    <n v="12.61"/>
    <s v="59109165"/>
  </r>
  <r>
    <x v="92"/>
    <s v="2021-05-24"/>
    <x v="0"/>
    <x v="0"/>
    <n v="3"/>
    <x v="38"/>
    <n v="0.99"/>
    <n v="12.48"/>
    <s v="60814191"/>
  </r>
  <r>
    <x v="92"/>
    <s v="2021-05-24"/>
    <x v="0"/>
    <x v="0"/>
    <n v="2"/>
    <x v="40"/>
    <n v="0.93"/>
    <n v="11.68"/>
    <s v="02992446"/>
  </r>
  <r>
    <x v="92"/>
    <s v="2021-05-24"/>
    <x v="0"/>
    <x v="0"/>
    <n v="1"/>
    <x v="22"/>
    <n v="0.92"/>
    <n v="11.62"/>
    <s v="11417016"/>
  </r>
  <r>
    <x v="93"/>
    <s v="2021-05-25"/>
    <x v="0"/>
    <x v="0"/>
    <n v="42"/>
    <x v="3"/>
    <n v="3.15"/>
    <n v="45.05"/>
    <s v="05503849"/>
  </r>
  <r>
    <x v="93"/>
    <s v="2021-05-25"/>
    <x v="0"/>
    <x v="0"/>
    <n v="41"/>
    <x v="1"/>
    <n v="3.08"/>
    <n v="43.85"/>
    <s v="01800019"/>
  </r>
  <r>
    <x v="93"/>
    <s v="2021-05-25"/>
    <x v="0"/>
    <x v="0"/>
    <n v="40"/>
    <x v="2"/>
    <n v="3.04"/>
    <n v="43.23"/>
    <s v="92228410"/>
  </r>
  <r>
    <x v="93"/>
    <s v="2021-05-25"/>
    <x v="0"/>
    <x v="0"/>
    <n v="39"/>
    <x v="0"/>
    <n v="2.74"/>
    <n v="38.25"/>
    <s v="60850229"/>
  </r>
  <r>
    <x v="93"/>
    <s v="2021-05-25"/>
    <x v="0"/>
    <x v="0"/>
    <n v="38"/>
    <x v="4"/>
    <n v="2.65"/>
    <n v="36.869999999999997"/>
    <s v="62232889"/>
  </r>
  <r>
    <x v="93"/>
    <s v="2021-05-25"/>
    <x v="0"/>
    <x v="0"/>
    <n v="37"/>
    <x v="7"/>
    <n v="2.5499999999999998"/>
    <n v="35.25"/>
    <s v="92874270"/>
  </r>
  <r>
    <x v="93"/>
    <s v="2021-05-25"/>
    <x v="0"/>
    <x v="0"/>
    <n v="36"/>
    <x v="6"/>
    <n v="2.41"/>
    <n v="33.119999999999997"/>
    <s v="05676026"/>
  </r>
  <r>
    <x v="93"/>
    <s v="2021-05-25"/>
    <x v="0"/>
    <x v="0"/>
    <n v="35"/>
    <x v="5"/>
    <n v="2.38"/>
    <n v="32.659999999999997"/>
    <s v="80271455"/>
  </r>
  <r>
    <x v="93"/>
    <s v="2021-05-25"/>
    <x v="0"/>
    <x v="0"/>
    <n v="34"/>
    <x v="9"/>
    <n v="2.2999999999999998"/>
    <n v="31.43"/>
    <s v="00411939"/>
  </r>
  <r>
    <x v="93"/>
    <s v="2021-05-25"/>
    <x v="0"/>
    <x v="0"/>
    <n v="33"/>
    <x v="8"/>
    <n v="2.25"/>
    <n v="30.56"/>
    <s v="59285411"/>
  </r>
  <r>
    <x v="93"/>
    <s v="2021-05-25"/>
    <x v="0"/>
    <x v="0"/>
    <n v="32"/>
    <x v="10"/>
    <n v="2.0699999999999998"/>
    <n v="27.81"/>
    <s v="10371492"/>
  </r>
  <r>
    <x v="93"/>
    <s v="2021-05-25"/>
    <x v="0"/>
    <x v="0"/>
    <n v="31"/>
    <x v="42"/>
    <n v="1.91"/>
    <n v="25.48"/>
    <s v="34991938"/>
  </r>
  <r>
    <x v="93"/>
    <s v="2021-05-25"/>
    <x v="0"/>
    <x v="0"/>
    <n v="30"/>
    <x v="13"/>
    <n v="1.81"/>
    <n v="23.98"/>
    <s v="07707650"/>
  </r>
  <r>
    <x v="93"/>
    <s v="2021-05-25"/>
    <x v="0"/>
    <x v="0"/>
    <n v="29"/>
    <x v="12"/>
    <n v="1.71"/>
    <n v="22.5"/>
    <s v="04862600"/>
  </r>
  <r>
    <x v="93"/>
    <s v="2021-05-25"/>
    <x v="0"/>
    <x v="0"/>
    <n v="28"/>
    <x v="15"/>
    <n v="1.68"/>
    <n v="22.1"/>
    <s v="59588111"/>
  </r>
  <r>
    <x v="93"/>
    <s v="2021-05-25"/>
    <x v="0"/>
    <x v="0"/>
    <n v="27"/>
    <x v="11"/>
    <n v="1.66"/>
    <n v="21.81"/>
    <s v="03634220"/>
  </r>
  <r>
    <x v="93"/>
    <s v="2021-05-25"/>
    <x v="0"/>
    <x v="0"/>
    <n v="26"/>
    <x v="16"/>
    <n v="1.6"/>
    <n v="20.91"/>
    <s v="07207996"/>
  </r>
  <r>
    <x v="93"/>
    <s v="2021-05-25"/>
    <x v="0"/>
    <x v="0"/>
    <n v="25"/>
    <x v="18"/>
    <n v="1.53"/>
    <n v="19.920000000000002"/>
    <s v="28127603"/>
  </r>
  <r>
    <x v="93"/>
    <s v="2021-05-25"/>
    <x v="0"/>
    <x v="0"/>
    <n v="24"/>
    <x v="20"/>
    <n v="1.5"/>
    <n v="19.510000000000002"/>
    <s v="17192451"/>
  </r>
  <r>
    <x v="93"/>
    <s v="2021-05-25"/>
    <x v="0"/>
    <x v="0"/>
    <n v="23"/>
    <x v="14"/>
    <n v="1.48"/>
    <n v="19.239999999999998"/>
    <s v="00360305"/>
  </r>
  <r>
    <x v="93"/>
    <s v="2021-05-25"/>
    <x v="0"/>
    <x v="0"/>
    <n v="22"/>
    <x v="21"/>
    <n v="1.47"/>
    <n v="19.13"/>
    <s v="03017677"/>
  </r>
  <r>
    <x v="93"/>
    <s v="2021-05-25"/>
    <x v="0"/>
    <x v="0"/>
    <n v="21"/>
    <x v="25"/>
    <n v="1.4"/>
    <n v="18.11"/>
    <s v="59274605"/>
  </r>
  <r>
    <x v="93"/>
    <s v="2021-05-25"/>
    <x v="0"/>
    <x v="0"/>
    <n v="20"/>
    <x v="24"/>
    <n v="1.39"/>
    <n v="18.02"/>
    <s v="22639377"/>
  </r>
  <r>
    <x v="93"/>
    <s v="2021-05-25"/>
    <x v="0"/>
    <x v="0"/>
    <n v="19"/>
    <x v="30"/>
    <n v="1.38"/>
    <n v="17.84"/>
    <s v="03502961"/>
  </r>
  <r>
    <x v="93"/>
    <s v="2021-05-25"/>
    <x v="0"/>
    <x v="0"/>
    <n v="18"/>
    <x v="32"/>
    <n v="1.36"/>
    <n v="17.64"/>
    <s v="60701190"/>
  </r>
  <r>
    <x v="93"/>
    <s v="2021-05-25"/>
    <x v="0"/>
    <x v="0"/>
    <n v="17"/>
    <x v="28"/>
    <n v="1.35"/>
    <n v="17.45"/>
    <s v="90400888"/>
  </r>
  <r>
    <x v="93"/>
    <s v="2021-05-25"/>
    <x v="0"/>
    <x v="0"/>
    <n v="16"/>
    <x v="26"/>
    <n v="1.31"/>
    <n v="16.940000000000001"/>
    <s v="30172491"/>
  </r>
  <r>
    <x v="93"/>
    <s v="2021-05-25"/>
    <x v="0"/>
    <x v="0"/>
    <n v="15"/>
    <x v="23"/>
    <n v="1.31"/>
    <n v="16.87"/>
    <s v="03215790"/>
  </r>
  <r>
    <x v="93"/>
    <s v="2021-05-25"/>
    <x v="0"/>
    <x v="0"/>
    <n v="14"/>
    <x v="29"/>
    <n v="1.29"/>
    <n v="16.68"/>
    <s v="60746948"/>
  </r>
  <r>
    <x v="93"/>
    <s v="2021-05-25"/>
    <x v="0"/>
    <x v="0"/>
    <n v="13"/>
    <x v="33"/>
    <n v="1.27"/>
    <n v="16.309999999999999"/>
    <s v="62307848"/>
  </r>
  <r>
    <x v="93"/>
    <s v="2021-05-25"/>
    <x v="0"/>
    <x v="0"/>
    <n v="12"/>
    <x v="36"/>
    <n v="1.27"/>
    <n v="16.309999999999999"/>
    <s v="33136888"/>
  </r>
  <r>
    <x v="93"/>
    <s v="2021-05-25"/>
    <x v="0"/>
    <x v="0"/>
    <n v="11"/>
    <x v="27"/>
    <n v="1.22"/>
    <n v="15.69"/>
    <s v="00000000"/>
  </r>
  <r>
    <x v="93"/>
    <s v="2021-05-25"/>
    <x v="0"/>
    <x v="0"/>
    <n v="10"/>
    <x v="31"/>
    <n v="1.1599999999999999"/>
    <n v="14.81"/>
    <s v="17167412"/>
  </r>
  <r>
    <x v="93"/>
    <s v="2021-05-25"/>
    <x v="0"/>
    <x v="0"/>
    <n v="9"/>
    <x v="19"/>
    <n v="1.1599999999999999"/>
    <n v="14.79"/>
    <s v="92702067"/>
  </r>
  <r>
    <x v="93"/>
    <s v="2021-05-25"/>
    <x v="0"/>
    <x v="0"/>
    <n v="8"/>
    <x v="34"/>
    <n v="1.1200000000000001"/>
    <n v="14.35"/>
    <s v="33603457"/>
  </r>
  <r>
    <x v="93"/>
    <s v="2021-05-25"/>
    <x v="0"/>
    <x v="0"/>
    <n v="7"/>
    <x v="39"/>
    <n v="1.0900000000000001"/>
    <n v="13.89"/>
    <s v="04902979"/>
  </r>
  <r>
    <x v="93"/>
    <s v="2021-05-25"/>
    <x v="0"/>
    <x v="0"/>
    <n v="6"/>
    <x v="37"/>
    <n v="1.07"/>
    <n v="13.56"/>
    <s v="04452473"/>
  </r>
  <r>
    <x v="93"/>
    <s v="2021-05-25"/>
    <x v="0"/>
    <x v="0"/>
    <n v="5"/>
    <x v="22"/>
    <n v="1.01"/>
    <n v="12.87"/>
    <s v="11417016"/>
  </r>
  <r>
    <x v="93"/>
    <s v="2021-05-25"/>
    <x v="0"/>
    <x v="0"/>
    <n v="4"/>
    <x v="35"/>
    <n v="0.99"/>
    <n v="12.49"/>
    <s v="59109165"/>
  </r>
  <r>
    <x v="93"/>
    <s v="2021-05-25"/>
    <x v="0"/>
    <x v="0"/>
    <n v="3"/>
    <x v="38"/>
    <n v="0.98"/>
    <n v="12.37"/>
    <s v="60814191"/>
  </r>
  <r>
    <x v="93"/>
    <s v="2021-05-25"/>
    <x v="0"/>
    <x v="0"/>
    <n v="2"/>
    <x v="44"/>
    <n v="0.95"/>
    <n v="12.03"/>
    <s v="58017179"/>
  </r>
  <r>
    <x v="93"/>
    <s v="2021-05-25"/>
    <x v="0"/>
    <x v="0"/>
    <n v="1"/>
    <x v="40"/>
    <n v="0.93"/>
    <n v="11.68"/>
    <s v="02992446"/>
  </r>
  <r>
    <x v="94"/>
    <s v="2021-05-26"/>
    <x v="0"/>
    <x v="0"/>
    <n v="43"/>
    <x v="3"/>
    <n v="3.22"/>
    <n v="46.31"/>
    <s v="05503849"/>
  </r>
  <r>
    <x v="94"/>
    <s v="2021-05-26"/>
    <x v="0"/>
    <x v="0"/>
    <n v="42"/>
    <x v="2"/>
    <n v="3.04"/>
    <n v="43.18"/>
    <s v="92228410"/>
  </r>
  <r>
    <x v="94"/>
    <s v="2021-05-26"/>
    <x v="0"/>
    <x v="0"/>
    <n v="41"/>
    <x v="1"/>
    <n v="3.04"/>
    <n v="43.18"/>
    <s v="01800019"/>
  </r>
  <r>
    <x v="94"/>
    <s v="2021-05-26"/>
    <x v="0"/>
    <x v="0"/>
    <n v="40"/>
    <x v="0"/>
    <n v="2.85"/>
    <n v="40.020000000000003"/>
    <s v="60850229"/>
  </r>
  <r>
    <x v="94"/>
    <s v="2021-05-26"/>
    <x v="0"/>
    <x v="0"/>
    <n v="39"/>
    <x v="4"/>
    <n v="2.66"/>
    <n v="37.049999999999997"/>
    <s v="62232889"/>
  </r>
  <r>
    <x v="94"/>
    <s v="2021-05-26"/>
    <x v="0"/>
    <x v="0"/>
    <n v="38"/>
    <x v="7"/>
    <n v="2.5499999999999998"/>
    <n v="35.200000000000003"/>
    <s v="92874270"/>
  </r>
  <r>
    <x v="94"/>
    <s v="2021-05-26"/>
    <x v="0"/>
    <x v="0"/>
    <n v="37"/>
    <x v="5"/>
    <n v="2.44"/>
    <n v="33.619999999999997"/>
    <s v="80271455"/>
  </r>
  <r>
    <x v="94"/>
    <s v="2021-05-26"/>
    <x v="0"/>
    <x v="0"/>
    <n v="36"/>
    <x v="6"/>
    <n v="2.41"/>
    <n v="33.1"/>
    <s v="05676026"/>
  </r>
  <r>
    <x v="94"/>
    <s v="2021-05-26"/>
    <x v="0"/>
    <x v="0"/>
    <n v="35"/>
    <x v="9"/>
    <n v="2.33"/>
    <n v="31.76"/>
    <s v="00411939"/>
  </r>
  <r>
    <x v="94"/>
    <s v="2021-05-26"/>
    <x v="0"/>
    <x v="0"/>
    <n v="34"/>
    <x v="8"/>
    <n v="2.25"/>
    <n v="30.53"/>
    <s v="59285411"/>
  </r>
  <r>
    <x v="94"/>
    <s v="2021-05-26"/>
    <x v="0"/>
    <x v="0"/>
    <n v="33"/>
    <x v="10"/>
    <n v="2.08"/>
    <n v="28.02"/>
    <s v="10371492"/>
  </r>
  <r>
    <x v="94"/>
    <s v="2021-05-26"/>
    <x v="0"/>
    <x v="0"/>
    <n v="32"/>
    <x v="42"/>
    <n v="1.91"/>
    <n v="25.48"/>
    <s v="34991938"/>
  </r>
  <r>
    <x v="94"/>
    <s v="2021-05-26"/>
    <x v="0"/>
    <x v="0"/>
    <n v="31"/>
    <x v="13"/>
    <n v="1.8"/>
    <n v="23.89"/>
    <s v="07707650"/>
  </r>
  <r>
    <x v="94"/>
    <s v="2021-05-26"/>
    <x v="0"/>
    <x v="0"/>
    <n v="30"/>
    <x v="12"/>
    <n v="1.73"/>
    <n v="22.82"/>
    <s v="04862600"/>
  </r>
  <r>
    <x v="94"/>
    <s v="2021-05-26"/>
    <x v="0"/>
    <x v="0"/>
    <n v="29"/>
    <x v="41"/>
    <n v="1.68"/>
    <n v="22.09"/>
    <s v="20443996"/>
  </r>
  <r>
    <x v="94"/>
    <s v="2021-05-26"/>
    <x v="0"/>
    <x v="0"/>
    <n v="28"/>
    <x v="15"/>
    <n v="1.66"/>
    <n v="21.89"/>
    <s v="59588111"/>
  </r>
  <r>
    <x v="94"/>
    <s v="2021-05-26"/>
    <x v="0"/>
    <x v="0"/>
    <n v="27"/>
    <x v="11"/>
    <n v="1.65"/>
    <n v="21.76"/>
    <s v="03634220"/>
  </r>
  <r>
    <x v="94"/>
    <s v="2021-05-26"/>
    <x v="0"/>
    <x v="0"/>
    <n v="26"/>
    <x v="16"/>
    <n v="1.6"/>
    <n v="20.99"/>
    <s v="07207996"/>
  </r>
  <r>
    <x v="94"/>
    <s v="2021-05-26"/>
    <x v="0"/>
    <x v="0"/>
    <n v="25"/>
    <x v="18"/>
    <n v="1.51"/>
    <n v="19.71"/>
    <s v="28127603"/>
  </r>
  <r>
    <x v="94"/>
    <s v="2021-05-26"/>
    <x v="0"/>
    <x v="0"/>
    <n v="24"/>
    <x v="20"/>
    <n v="1.5"/>
    <n v="19.53"/>
    <s v="17192451"/>
  </r>
  <r>
    <x v="94"/>
    <s v="2021-05-26"/>
    <x v="0"/>
    <x v="0"/>
    <n v="23"/>
    <x v="21"/>
    <n v="1.47"/>
    <n v="19.12"/>
    <s v="03017677"/>
  </r>
  <r>
    <x v="94"/>
    <s v="2021-05-26"/>
    <x v="0"/>
    <x v="0"/>
    <n v="22"/>
    <x v="14"/>
    <n v="1.43"/>
    <n v="18.64"/>
    <s v="00360305"/>
  </r>
  <r>
    <x v="94"/>
    <s v="2021-05-26"/>
    <x v="0"/>
    <x v="0"/>
    <n v="21"/>
    <x v="25"/>
    <n v="1.4"/>
    <n v="18.13"/>
    <s v="59274605"/>
  </r>
  <r>
    <x v="94"/>
    <s v="2021-05-26"/>
    <x v="0"/>
    <x v="0"/>
    <n v="20"/>
    <x v="30"/>
    <n v="1.38"/>
    <n v="17.84"/>
    <s v="03502961"/>
  </r>
  <r>
    <x v="94"/>
    <s v="2021-05-26"/>
    <x v="0"/>
    <x v="0"/>
    <n v="19"/>
    <x v="24"/>
    <n v="1.37"/>
    <n v="17.72"/>
    <s v="22639377"/>
  </r>
  <r>
    <x v="94"/>
    <s v="2021-05-26"/>
    <x v="0"/>
    <x v="0"/>
    <n v="18"/>
    <x v="32"/>
    <n v="1.36"/>
    <n v="17.66"/>
    <s v="60701190"/>
  </r>
  <r>
    <x v="94"/>
    <s v="2021-05-26"/>
    <x v="0"/>
    <x v="0"/>
    <n v="17"/>
    <x v="28"/>
    <n v="1.36"/>
    <n v="17.59"/>
    <s v="90400888"/>
  </r>
  <r>
    <x v="94"/>
    <s v="2021-05-26"/>
    <x v="0"/>
    <x v="0"/>
    <n v="16"/>
    <x v="26"/>
    <n v="1.31"/>
    <n v="16.95"/>
    <s v="30172491"/>
  </r>
  <r>
    <x v="94"/>
    <s v="2021-05-26"/>
    <x v="0"/>
    <x v="0"/>
    <n v="15"/>
    <x v="23"/>
    <n v="1.31"/>
    <n v="16.84"/>
    <s v="03215790"/>
  </r>
  <r>
    <x v="94"/>
    <s v="2021-05-26"/>
    <x v="0"/>
    <x v="0"/>
    <n v="14"/>
    <x v="29"/>
    <n v="1.31"/>
    <n v="16.829999999999998"/>
    <s v="60746948"/>
  </r>
  <r>
    <x v="94"/>
    <s v="2021-05-26"/>
    <x v="0"/>
    <x v="0"/>
    <n v="13"/>
    <x v="36"/>
    <n v="1.28"/>
    <n v="16.54"/>
    <s v="33136888"/>
  </r>
  <r>
    <x v="94"/>
    <s v="2021-05-26"/>
    <x v="0"/>
    <x v="0"/>
    <n v="12"/>
    <x v="33"/>
    <n v="1.26"/>
    <n v="16.28"/>
    <s v="62307848"/>
  </r>
  <r>
    <x v="94"/>
    <s v="2021-05-26"/>
    <x v="0"/>
    <x v="0"/>
    <n v="11"/>
    <x v="27"/>
    <n v="1.22"/>
    <n v="15.72"/>
    <s v="00000000"/>
  </r>
  <r>
    <x v="94"/>
    <s v="2021-05-26"/>
    <x v="0"/>
    <x v="0"/>
    <n v="10"/>
    <x v="31"/>
    <n v="1.18"/>
    <n v="15.04"/>
    <s v="17167412"/>
  </r>
  <r>
    <x v="94"/>
    <s v="2021-05-26"/>
    <x v="0"/>
    <x v="0"/>
    <n v="9"/>
    <x v="19"/>
    <n v="1.1599999999999999"/>
    <n v="14.79"/>
    <s v="92702067"/>
  </r>
  <r>
    <x v="94"/>
    <s v="2021-05-26"/>
    <x v="0"/>
    <x v="0"/>
    <n v="8"/>
    <x v="34"/>
    <n v="1.1499999999999999"/>
    <n v="14.73"/>
    <s v="33603457"/>
  </r>
  <r>
    <x v="94"/>
    <s v="2021-05-26"/>
    <x v="0"/>
    <x v="0"/>
    <n v="7"/>
    <x v="39"/>
    <n v="1.1299999999999999"/>
    <n v="14.45"/>
    <s v="04902979"/>
  </r>
  <r>
    <x v="94"/>
    <s v="2021-05-26"/>
    <x v="0"/>
    <x v="0"/>
    <n v="6"/>
    <x v="37"/>
    <n v="1.07"/>
    <n v="13.64"/>
    <s v="04452473"/>
  </r>
  <r>
    <x v="94"/>
    <s v="2021-05-26"/>
    <x v="0"/>
    <x v="0"/>
    <n v="5"/>
    <x v="22"/>
    <n v="1.01"/>
    <n v="12.85"/>
    <s v="11417016"/>
  </r>
  <r>
    <x v="94"/>
    <s v="2021-05-26"/>
    <x v="0"/>
    <x v="0"/>
    <n v="4"/>
    <x v="35"/>
    <n v="0.98"/>
    <n v="12.43"/>
    <s v="59109165"/>
  </r>
  <r>
    <x v="94"/>
    <s v="2021-05-26"/>
    <x v="0"/>
    <x v="0"/>
    <n v="3"/>
    <x v="44"/>
    <n v="0.97"/>
    <n v="12.32"/>
    <s v="58017179"/>
  </r>
  <r>
    <x v="94"/>
    <s v="2021-05-26"/>
    <x v="0"/>
    <x v="0"/>
    <n v="2"/>
    <x v="38"/>
    <n v="0.96"/>
    <n v="12.2"/>
    <s v="60814191"/>
  </r>
  <r>
    <x v="94"/>
    <s v="2021-05-26"/>
    <x v="0"/>
    <x v="0"/>
    <n v="1"/>
    <x v="40"/>
    <n v="0.96"/>
    <n v="12.09"/>
    <s v="02992446"/>
  </r>
  <r>
    <x v="95"/>
    <s v="2021-05-27"/>
    <x v="0"/>
    <x v="0"/>
    <n v="45"/>
    <x v="3"/>
    <n v="3.2"/>
    <n v="45.93"/>
    <s v="05503849"/>
  </r>
  <r>
    <x v="95"/>
    <s v="2021-05-27"/>
    <x v="0"/>
    <x v="0"/>
    <n v="44"/>
    <x v="2"/>
    <n v="3.03"/>
    <n v="43.01"/>
    <s v="92228410"/>
  </r>
  <r>
    <x v="95"/>
    <s v="2021-05-27"/>
    <x v="0"/>
    <x v="0"/>
    <n v="43"/>
    <x v="1"/>
    <n v="3.01"/>
    <n v="42.72"/>
    <s v="01800019"/>
  </r>
  <r>
    <x v="95"/>
    <s v="2021-05-27"/>
    <x v="0"/>
    <x v="0"/>
    <n v="42"/>
    <x v="0"/>
    <n v="2.94"/>
    <n v="41.5"/>
    <s v="60850229"/>
  </r>
  <r>
    <x v="95"/>
    <s v="2021-05-27"/>
    <x v="0"/>
    <x v="0"/>
    <n v="41"/>
    <x v="4"/>
    <n v="2.66"/>
    <n v="37"/>
    <s v="62232889"/>
  </r>
  <r>
    <x v="95"/>
    <s v="2021-05-27"/>
    <x v="0"/>
    <x v="0"/>
    <n v="40"/>
    <x v="5"/>
    <n v="2.57"/>
    <n v="35.64"/>
    <s v="80271455"/>
  </r>
  <r>
    <x v="95"/>
    <s v="2021-05-27"/>
    <x v="0"/>
    <x v="0"/>
    <n v="39"/>
    <x v="7"/>
    <n v="2.5299999999999998"/>
    <n v="35.01"/>
    <s v="92874270"/>
  </r>
  <r>
    <x v="95"/>
    <s v="2021-05-27"/>
    <x v="0"/>
    <x v="0"/>
    <n v="38"/>
    <x v="6"/>
    <n v="2.41"/>
    <n v="33.15"/>
    <s v="05676026"/>
  </r>
  <r>
    <x v="95"/>
    <s v="2021-05-27"/>
    <x v="0"/>
    <x v="0"/>
    <n v="37"/>
    <x v="9"/>
    <n v="2.34"/>
    <n v="32"/>
    <s v="00411939"/>
  </r>
  <r>
    <x v="95"/>
    <s v="2021-05-27"/>
    <x v="0"/>
    <x v="0"/>
    <n v="36"/>
    <x v="8"/>
    <n v="2.2400000000000002"/>
    <n v="30.45"/>
    <s v="59285411"/>
  </r>
  <r>
    <x v="95"/>
    <s v="2021-05-27"/>
    <x v="0"/>
    <x v="0"/>
    <n v="35"/>
    <x v="10"/>
    <n v="2.09"/>
    <n v="28.1"/>
    <s v="10371492"/>
  </r>
  <r>
    <x v="95"/>
    <s v="2021-05-27"/>
    <x v="0"/>
    <x v="0"/>
    <n v="34"/>
    <x v="42"/>
    <n v="1.91"/>
    <n v="25.48"/>
    <s v="34991938"/>
  </r>
  <r>
    <x v="95"/>
    <s v="2021-05-27"/>
    <x v="0"/>
    <x v="0"/>
    <n v="33"/>
    <x v="49"/>
    <n v="1.9"/>
    <n v="25.28"/>
    <s v="58160789"/>
  </r>
  <r>
    <x v="95"/>
    <s v="2021-05-27"/>
    <x v="0"/>
    <x v="0"/>
    <n v="32"/>
    <x v="13"/>
    <n v="1.79"/>
    <n v="23.78"/>
    <s v="07707650"/>
  </r>
  <r>
    <x v="95"/>
    <s v="2021-05-27"/>
    <x v="0"/>
    <x v="0"/>
    <n v="31"/>
    <x v="12"/>
    <n v="1.74"/>
    <n v="23.06"/>
    <s v="04862600"/>
  </r>
  <r>
    <x v="95"/>
    <s v="2021-05-27"/>
    <x v="0"/>
    <x v="0"/>
    <n v="30"/>
    <x v="41"/>
    <n v="1.68"/>
    <n v="22.09"/>
    <s v="20443996"/>
  </r>
  <r>
    <x v="95"/>
    <s v="2021-05-27"/>
    <x v="0"/>
    <x v="0"/>
    <n v="29"/>
    <x v="15"/>
    <n v="1.66"/>
    <n v="21.84"/>
    <s v="59588111"/>
  </r>
  <r>
    <x v="95"/>
    <s v="2021-05-27"/>
    <x v="0"/>
    <x v="0"/>
    <n v="28"/>
    <x v="11"/>
    <n v="1.66"/>
    <n v="21.77"/>
    <s v="03634220"/>
  </r>
  <r>
    <x v="95"/>
    <s v="2021-05-27"/>
    <x v="0"/>
    <x v="0"/>
    <n v="27"/>
    <x v="16"/>
    <n v="1.6"/>
    <n v="21.04"/>
    <s v="07207996"/>
  </r>
  <r>
    <x v="95"/>
    <s v="2021-05-27"/>
    <x v="0"/>
    <x v="0"/>
    <n v="26"/>
    <x v="20"/>
    <n v="1.5"/>
    <n v="19.510000000000002"/>
    <s v="17192451"/>
  </r>
  <r>
    <x v="95"/>
    <s v="2021-05-27"/>
    <x v="0"/>
    <x v="0"/>
    <n v="25"/>
    <x v="18"/>
    <n v="1.49"/>
    <n v="19.48"/>
    <s v="28127603"/>
  </r>
  <r>
    <x v="95"/>
    <s v="2021-05-27"/>
    <x v="0"/>
    <x v="0"/>
    <n v="24"/>
    <x v="21"/>
    <n v="1.47"/>
    <n v="19.190000000000001"/>
    <s v="03017677"/>
  </r>
  <r>
    <x v="95"/>
    <s v="2021-05-27"/>
    <x v="0"/>
    <x v="0"/>
    <n v="23"/>
    <x v="25"/>
    <n v="1.41"/>
    <n v="18.239999999999998"/>
    <s v="59274605"/>
  </r>
  <r>
    <x v="95"/>
    <s v="2021-05-27"/>
    <x v="0"/>
    <x v="0"/>
    <n v="22"/>
    <x v="14"/>
    <n v="1.39"/>
    <n v="18.010000000000002"/>
    <s v="00360305"/>
  </r>
  <r>
    <x v="95"/>
    <s v="2021-05-27"/>
    <x v="0"/>
    <x v="0"/>
    <n v="21"/>
    <x v="30"/>
    <n v="1.39"/>
    <n v="17.989999999999998"/>
    <s v="03502961"/>
  </r>
  <r>
    <x v="95"/>
    <s v="2021-05-27"/>
    <x v="0"/>
    <x v="0"/>
    <n v="20"/>
    <x v="24"/>
    <n v="1.36"/>
    <n v="17.64"/>
    <s v="22639377"/>
  </r>
  <r>
    <x v="95"/>
    <s v="2021-05-27"/>
    <x v="0"/>
    <x v="0"/>
    <n v="19"/>
    <x v="28"/>
    <n v="1.36"/>
    <n v="17.63"/>
    <s v="90400888"/>
  </r>
  <r>
    <x v="95"/>
    <s v="2021-05-27"/>
    <x v="0"/>
    <x v="0"/>
    <n v="18"/>
    <x v="32"/>
    <n v="1.36"/>
    <n v="17.57"/>
    <s v="60701190"/>
  </r>
  <r>
    <x v="95"/>
    <s v="2021-05-27"/>
    <x v="0"/>
    <x v="0"/>
    <n v="17"/>
    <x v="26"/>
    <n v="1.31"/>
    <n v="16.87"/>
    <s v="30172491"/>
  </r>
  <r>
    <x v="95"/>
    <s v="2021-05-27"/>
    <x v="0"/>
    <x v="0"/>
    <n v="16"/>
    <x v="29"/>
    <n v="1.3"/>
    <n v="16.78"/>
    <s v="60746948"/>
  </r>
  <r>
    <x v="95"/>
    <s v="2021-05-27"/>
    <x v="0"/>
    <x v="0"/>
    <n v="15"/>
    <x v="23"/>
    <n v="1.3"/>
    <n v="16.75"/>
    <s v="03215790"/>
  </r>
  <r>
    <x v="95"/>
    <s v="2021-05-27"/>
    <x v="0"/>
    <x v="0"/>
    <n v="14"/>
    <x v="36"/>
    <n v="1.3"/>
    <n v="16.73"/>
    <s v="33136888"/>
  </r>
  <r>
    <x v="95"/>
    <s v="2021-05-27"/>
    <x v="0"/>
    <x v="0"/>
    <n v="13"/>
    <x v="33"/>
    <n v="1.27"/>
    <n v="16.3"/>
    <s v="62307848"/>
  </r>
  <r>
    <x v="95"/>
    <s v="2021-05-27"/>
    <x v="0"/>
    <x v="0"/>
    <n v="12"/>
    <x v="27"/>
    <n v="1.22"/>
    <n v="15.68"/>
    <s v="00000000"/>
  </r>
  <r>
    <x v="95"/>
    <s v="2021-05-27"/>
    <x v="0"/>
    <x v="0"/>
    <n v="11"/>
    <x v="31"/>
    <n v="1.2"/>
    <n v="15.4"/>
    <s v="17167412"/>
  </r>
  <r>
    <x v="95"/>
    <s v="2021-05-27"/>
    <x v="0"/>
    <x v="0"/>
    <n v="10"/>
    <x v="19"/>
    <n v="1.1599999999999999"/>
    <n v="14.79"/>
    <s v="92702067"/>
  </r>
  <r>
    <x v="95"/>
    <s v="2021-05-27"/>
    <x v="0"/>
    <x v="0"/>
    <n v="9"/>
    <x v="34"/>
    <n v="1.1499999999999999"/>
    <n v="14.73"/>
    <s v="33603457"/>
  </r>
  <r>
    <x v="95"/>
    <s v="2021-05-27"/>
    <x v="0"/>
    <x v="0"/>
    <n v="8"/>
    <x v="43"/>
    <n v="1.1499999999999999"/>
    <n v="14.69"/>
    <s v="07441209"/>
  </r>
  <r>
    <x v="95"/>
    <s v="2021-05-27"/>
    <x v="0"/>
    <x v="0"/>
    <n v="7"/>
    <x v="39"/>
    <n v="1.1299999999999999"/>
    <n v="14.45"/>
    <s v="04902979"/>
  </r>
  <r>
    <x v="95"/>
    <s v="2021-05-27"/>
    <x v="0"/>
    <x v="0"/>
    <n v="6"/>
    <x v="37"/>
    <n v="1.08"/>
    <n v="13.71"/>
    <s v="04452473"/>
  </r>
  <r>
    <x v="95"/>
    <s v="2021-05-27"/>
    <x v="0"/>
    <x v="0"/>
    <n v="5"/>
    <x v="22"/>
    <n v="1.01"/>
    <n v="12.85"/>
    <s v="11417016"/>
  </r>
  <r>
    <x v="95"/>
    <s v="2021-05-27"/>
    <x v="0"/>
    <x v="0"/>
    <n v="4"/>
    <x v="35"/>
    <n v="0.98"/>
    <n v="12.45"/>
    <s v="59109165"/>
  </r>
  <r>
    <x v="95"/>
    <s v="2021-05-27"/>
    <x v="0"/>
    <x v="0"/>
    <n v="3"/>
    <x v="44"/>
    <n v="0.97"/>
    <n v="12.32"/>
    <s v="58017179"/>
  </r>
  <r>
    <x v="95"/>
    <s v="2021-05-27"/>
    <x v="0"/>
    <x v="0"/>
    <n v="2"/>
    <x v="38"/>
    <n v="0.96"/>
    <n v="12.09"/>
    <s v="60814191"/>
  </r>
  <r>
    <x v="95"/>
    <s v="2021-05-27"/>
    <x v="0"/>
    <x v="0"/>
    <n v="1"/>
    <x v="40"/>
    <n v="0.91"/>
    <n v="11.52"/>
    <s v="02992446"/>
  </r>
  <r>
    <x v="96"/>
    <s v="2021-05-28"/>
    <x v="0"/>
    <x v="0"/>
    <n v="45"/>
    <x v="0"/>
    <n v="3.33"/>
    <n v="48.13"/>
    <s v="60850229"/>
  </r>
  <r>
    <x v="96"/>
    <s v="2021-05-28"/>
    <x v="0"/>
    <x v="0"/>
    <n v="44"/>
    <x v="3"/>
    <n v="3.25"/>
    <n v="46.77"/>
    <s v="05503849"/>
  </r>
  <r>
    <x v="96"/>
    <s v="2021-05-28"/>
    <x v="0"/>
    <x v="0"/>
    <n v="43"/>
    <x v="2"/>
    <n v="3.03"/>
    <n v="43.12"/>
    <s v="92228410"/>
  </r>
  <r>
    <x v="96"/>
    <s v="2021-05-28"/>
    <x v="0"/>
    <x v="0"/>
    <n v="42"/>
    <x v="1"/>
    <n v="3"/>
    <n v="42.51"/>
    <s v="01800019"/>
  </r>
  <r>
    <x v="96"/>
    <s v="2021-05-28"/>
    <x v="0"/>
    <x v="0"/>
    <n v="41"/>
    <x v="4"/>
    <n v="2.63"/>
    <n v="36.61"/>
    <s v="62232889"/>
  </r>
  <r>
    <x v="96"/>
    <s v="2021-05-28"/>
    <x v="0"/>
    <x v="0"/>
    <n v="40"/>
    <x v="7"/>
    <n v="2.5299999999999998"/>
    <n v="35"/>
    <s v="92874270"/>
  </r>
  <r>
    <x v="96"/>
    <s v="2021-05-28"/>
    <x v="0"/>
    <x v="0"/>
    <n v="39"/>
    <x v="5"/>
    <n v="2.4900000000000002"/>
    <n v="34.35"/>
    <s v="80271455"/>
  </r>
  <r>
    <x v="96"/>
    <s v="2021-05-28"/>
    <x v="0"/>
    <x v="0"/>
    <n v="38"/>
    <x v="6"/>
    <n v="2.41"/>
    <n v="33.14"/>
    <s v="05676026"/>
  </r>
  <r>
    <x v="96"/>
    <s v="2021-05-28"/>
    <x v="0"/>
    <x v="0"/>
    <n v="37"/>
    <x v="9"/>
    <n v="2.33"/>
    <n v="31.9"/>
    <s v="00411939"/>
  </r>
  <r>
    <x v="96"/>
    <s v="2021-05-28"/>
    <x v="0"/>
    <x v="0"/>
    <n v="36"/>
    <x v="8"/>
    <n v="2.2400000000000002"/>
    <n v="30.44"/>
    <s v="59285411"/>
  </r>
  <r>
    <x v="96"/>
    <s v="2021-05-28"/>
    <x v="0"/>
    <x v="0"/>
    <n v="35"/>
    <x v="10"/>
    <n v="2.09"/>
    <n v="28.13"/>
    <s v="10371492"/>
  </r>
  <r>
    <x v="96"/>
    <s v="2021-05-28"/>
    <x v="0"/>
    <x v="0"/>
    <n v="34"/>
    <x v="42"/>
    <n v="1.91"/>
    <n v="25.48"/>
    <s v="34991938"/>
  </r>
  <r>
    <x v="96"/>
    <s v="2021-05-28"/>
    <x v="0"/>
    <x v="0"/>
    <n v="33"/>
    <x v="49"/>
    <n v="1.9"/>
    <n v="25.28"/>
    <s v="58160789"/>
  </r>
  <r>
    <x v="96"/>
    <s v="2021-05-28"/>
    <x v="0"/>
    <x v="0"/>
    <n v="32"/>
    <x v="13"/>
    <n v="1.79"/>
    <n v="23.78"/>
    <s v="07707650"/>
  </r>
  <r>
    <x v="96"/>
    <s v="2021-05-28"/>
    <x v="0"/>
    <x v="0"/>
    <n v="31"/>
    <x v="12"/>
    <n v="1.77"/>
    <n v="23.45"/>
    <s v="04862600"/>
  </r>
  <r>
    <x v="96"/>
    <s v="2021-05-28"/>
    <x v="0"/>
    <x v="0"/>
    <n v="30"/>
    <x v="41"/>
    <n v="1.68"/>
    <n v="22.09"/>
    <s v="20443996"/>
  </r>
  <r>
    <x v="96"/>
    <s v="2021-05-28"/>
    <x v="0"/>
    <x v="0"/>
    <n v="29"/>
    <x v="11"/>
    <n v="1.66"/>
    <n v="21.84"/>
    <s v="03634220"/>
  </r>
  <r>
    <x v="96"/>
    <s v="2021-05-28"/>
    <x v="0"/>
    <x v="0"/>
    <n v="28"/>
    <x v="15"/>
    <n v="1.66"/>
    <n v="21.77"/>
    <s v="59588111"/>
  </r>
  <r>
    <x v="96"/>
    <s v="2021-05-28"/>
    <x v="0"/>
    <x v="0"/>
    <n v="27"/>
    <x v="16"/>
    <n v="1.61"/>
    <n v="21.07"/>
    <s v="07207996"/>
  </r>
  <r>
    <x v="96"/>
    <s v="2021-05-28"/>
    <x v="0"/>
    <x v="0"/>
    <n v="26"/>
    <x v="18"/>
    <n v="1.55"/>
    <n v="20.329999999999998"/>
    <s v="28127603"/>
  </r>
  <r>
    <x v="96"/>
    <s v="2021-05-28"/>
    <x v="0"/>
    <x v="0"/>
    <n v="25"/>
    <x v="20"/>
    <n v="1.5"/>
    <n v="19.55"/>
    <s v="17192451"/>
  </r>
  <r>
    <x v="96"/>
    <s v="2021-05-28"/>
    <x v="0"/>
    <x v="0"/>
    <n v="24"/>
    <x v="21"/>
    <n v="1.48"/>
    <n v="19.23"/>
    <s v="03017677"/>
  </r>
  <r>
    <x v="96"/>
    <s v="2021-05-28"/>
    <x v="0"/>
    <x v="0"/>
    <n v="23"/>
    <x v="24"/>
    <n v="1.45"/>
    <n v="18.809999999999999"/>
    <s v="22639377"/>
  </r>
  <r>
    <x v="96"/>
    <s v="2021-05-28"/>
    <x v="0"/>
    <x v="0"/>
    <n v="22"/>
    <x v="14"/>
    <n v="1.44"/>
    <n v="18.7"/>
    <s v="00360305"/>
  </r>
  <r>
    <x v="96"/>
    <s v="2021-05-28"/>
    <x v="0"/>
    <x v="0"/>
    <n v="21"/>
    <x v="25"/>
    <n v="1.41"/>
    <n v="18.25"/>
    <s v="59274605"/>
  </r>
  <r>
    <x v="96"/>
    <s v="2021-05-28"/>
    <x v="0"/>
    <x v="0"/>
    <n v="20"/>
    <x v="30"/>
    <n v="1.38"/>
    <n v="17.829999999999998"/>
    <s v="03502961"/>
  </r>
  <r>
    <x v="96"/>
    <s v="2021-05-28"/>
    <x v="0"/>
    <x v="0"/>
    <n v="19"/>
    <x v="32"/>
    <n v="1.37"/>
    <n v="17.670000000000002"/>
    <s v="60701190"/>
  </r>
  <r>
    <x v="96"/>
    <s v="2021-05-28"/>
    <x v="0"/>
    <x v="0"/>
    <n v="18"/>
    <x v="28"/>
    <n v="1.35"/>
    <n v="17.440000000000001"/>
    <s v="90400888"/>
  </r>
  <r>
    <x v="96"/>
    <s v="2021-05-28"/>
    <x v="0"/>
    <x v="0"/>
    <n v="17"/>
    <x v="19"/>
    <n v="1.32"/>
    <n v="16.97"/>
    <s v="92702067"/>
  </r>
  <r>
    <x v="96"/>
    <s v="2021-05-28"/>
    <x v="0"/>
    <x v="0"/>
    <n v="16"/>
    <x v="26"/>
    <n v="1.31"/>
    <n v="16.86"/>
    <s v="30172491"/>
  </r>
  <r>
    <x v="96"/>
    <s v="2021-05-28"/>
    <x v="0"/>
    <x v="0"/>
    <n v="15"/>
    <x v="36"/>
    <n v="1.3"/>
    <n v="16.73"/>
    <s v="33136888"/>
  </r>
  <r>
    <x v="96"/>
    <s v="2021-05-28"/>
    <x v="0"/>
    <x v="0"/>
    <n v="14"/>
    <x v="29"/>
    <n v="1.3"/>
    <n v="16.72"/>
    <s v="60746948"/>
  </r>
  <r>
    <x v="96"/>
    <s v="2021-05-28"/>
    <x v="0"/>
    <x v="0"/>
    <n v="13"/>
    <x v="23"/>
    <n v="1.3"/>
    <n v="16.71"/>
    <s v="03215790"/>
  </r>
  <r>
    <x v="96"/>
    <s v="2021-05-28"/>
    <x v="0"/>
    <x v="0"/>
    <n v="12"/>
    <x v="33"/>
    <n v="1.27"/>
    <n v="16.29"/>
    <s v="62307848"/>
  </r>
  <r>
    <x v="96"/>
    <s v="2021-05-28"/>
    <x v="0"/>
    <x v="0"/>
    <n v="11"/>
    <x v="27"/>
    <n v="1.22"/>
    <n v="15.71"/>
    <s v="00000000"/>
  </r>
  <r>
    <x v="96"/>
    <s v="2021-05-28"/>
    <x v="0"/>
    <x v="0"/>
    <n v="10"/>
    <x v="31"/>
    <n v="1.19"/>
    <n v="15.26"/>
    <s v="17167412"/>
  </r>
  <r>
    <x v="96"/>
    <s v="2021-05-28"/>
    <x v="0"/>
    <x v="0"/>
    <n v="9"/>
    <x v="43"/>
    <n v="1.18"/>
    <n v="15.15"/>
    <s v="07441209"/>
  </r>
  <r>
    <x v="96"/>
    <s v="2021-05-28"/>
    <x v="0"/>
    <x v="0"/>
    <n v="8"/>
    <x v="34"/>
    <n v="1.1399999999999999"/>
    <n v="14.61"/>
    <s v="33603457"/>
  </r>
  <r>
    <x v="96"/>
    <s v="2021-05-28"/>
    <x v="0"/>
    <x v="0"/>
    <n v="7"/>
    <x v="39"/>
    <n v="1.1299999999999999"/>
    <n v="14.45"/>
    <s v="04902979"/>
  </r>
  <r>
    <x v="96"/>
    <s v="2021-05-28"/>
    <x v="0"/>
    <x v="0"/>
    <n v="6"/>
    <x v="37"/>
    <n v="1.08"/>
    <n v="13.79"/>
    <s v="04452473"/>
  </r>
  <r>
    <x v="96"/>
    <s v="2021-05-28"/>
    <x v="0"/>
    <x v="0"/>
    <n v="5"/>
    <x v="22"/>
    <n v="1.01"/>
    <n v="12.85"/>
    <s v="11417016"/>
  </r>
  <r>
    <x v="96"/>
    <s v="2021-05-28"/>
    <x v="0"/>
    <x v="0"/>
    <n v="4"/>
    <x v="35"/>
    <n v="0.99"/>
    <n v="12.57"/>
    <s v="59109165"/>
  </r>
  <r>
    <x v="96"/>
    <s v="2021-05-28"/>
    <x v="0"/>
    <x v="0"/>
    <n v="3"/>
    <x v="44"/>
    <n v="0.96"/>
    <n v="12.18"/>
    <s v="58017179"/>
  </r>
  <r>
    <x v="96"/>
    <s v="2021-05-28"/>
    <x v="0"/>
    <x v="0"/>
    <n v="2"/>
    <x v="38"/>
    <n v="0.94"/>
    <n v="11.83"/>
    <s v="60814191"/>
  </r>
  <r>
    <x v="96"/>
    <s v="2021-05-28"/>
    <x v="0"/>
    <x v="0"/>
    <n v="1"/>
    <x v="40"/>
    <n v="0.92"/>
    <n v="11.62"/>
    <s v="02992446"/>
  </r>
  <r>
    <x v="97"/>
    <s v="2021-05-31"/>
    <x v="0"/>
    <x v="0"/>
    <n v="45"/>
    <x v="0"/>
    <n v="3.28"/>
    <n v="47.28"/>
    <s v="60850229"/>
  </r>
  <r>
    <x v="97"/>
    <s v="2021-05-31"/>
    <x v="0"/>
    <x v="0"/>
    <n v="44"/>
    <x v="3"/>
    <n v="3.19"/>
    <n v="45.75"/>
    <s v="05503849"/>
  </r>
  <r>
    <x v="97"/>
    <s v="2021-05-31"/>
    <x v="0"/>
    <x v="0"/>
    <n v="43"/>
    <x v="1"/>
    <n v="3.12"/>
    <n v="44.66"/>
    <s v="01800019"/>
  </r>
  <r>
    <x v="97"/>
    <s v="2021-05-31"/>
    <x v="0"/>
    <x v="0"/>
    <n v="42"/>
    <x v="2"/>
    <n v="3.02"/>
    <n v="42.84"/>
    <s v="92228410"/>
  </r>
  <r>
    <x v="97"/>
    <s v="2021-05-31"/>
    <x v="0"/>
    <x v="0"/>
    <n v="41"/>
    <x v="4"/>
    <n v="2.65"/>
    <n v="36.89"/>
    <s v="62232889"/>
  </r>
  <r>
    <x v="97"/>
    <s v="2021-05-31"/>
    <x v="0"/>
    <x v="0"/>
    <n v="40"/>
    <x v="5"/>
    <n v="2.62"/>
    <n v="36.32"/>
    <s v="80271455"/>
  </r>
  <r>
    <x v="97"/>
    <s v="2021-05-31"/>
    <x v="0"/>
    <x v="0"/>
    <n v="39"/>
    <x v="7"/>
    <n v="2.52"/>
    <n v="34.86"/>
    <s v="92874270"/>
  </r>
  <r>
    <x v="97"/>
    <s v="2021-05-31"/>
    <x v="0"/>
    <x v="0"/>
    <n v="38"/>
    <x v="6"/>
    <n v="2.41"/>
    <n v="33.15"/>
    <s v="05676026"/>
  </r>
  <r>
    <x v="97"/>
    <s v="2021-05-31"/>
    <x v="0"/>
    <x v="0"/>
    <n v="37"/>
    <x v="9"/>
    <n v="2.35"/>
    <n v="32.200000000000003"/>
    <s v="00411939"/>
  </r>
  <r>
    <x v="97"/>
    <s v="2021-05-31"/>
    <x v="0"/>
    <x v="0"/>
    <n v="36"/>
    <x v="8"/>
    <n v="2.2400000000000002"/>
    <n v="30.37"/>
    <s v="59285411"/>
  </r>
  <r>
    <x v="97"/>
    <s v="2021-05-31"/>
    <x v="0"/>
    <x v="0"/>
    <n v="35"/>
    <x v="10"/>
    <n v="2.08"/>
    <n v="28.06"/>
    <s v="10371492"/>
  </r>
  <r>
    <x v="97"/>
    <s v="2021-05-31"/>
    <x v="0"/>
    <x v="0"/>
    <n v="34"/>
    <x v="42"/>
    <n v="2.02"/>
    <n v="27.16"/>
    <s v="34991938"/>
  </r>
  <r>
    <x v="97"/>
    <s v="2021-05-31"/>
    <x v="0"/>
    <x v="0"/>
    <n v="33"/>
    <x v="49"/>
    <n v="1.9"/>
    <n v="25.28"/>
    <s v="58160789"/>
  </r>
  <r>
    <x v="97"/>
    <s v="2021-05-31"/>
    <x v="0"/>
    <x v="0"/>
    <n v="32"/>
    <x v="12"/>
    <n v="1.79"/>
    <n v="23.74"/>
    <s v="04862600"/>
  </r>
  <r>
    <x v="97"/>
    <s v="2021-05-31"/>
    <x v="0"/>
    <x v="0"/>
    <n v="31"/>
    <x v="13"/>
    <n v="1.79"/>
    <n v="23.69"/>
    <s v="07707650"/>
  </r>
  <r>
    <x v="97"/>
    <s v="2021-05-31"/>
    <x v="0"/>
    <x v="0"/>
    <n v="30"/>
    <x v="19"/>
    <n v="1.72"/>
    <n v="22.67"/>
    <s v="92702067"/>
  </r>
  <r>
    <x v="97"/>
    <s v="2021-05-31"/>
    <x v="0"/>
    <x v="0"/>
    <n v="29"/>
    <x v="41"/>
    <n v="1.68"/>
    <n v="22.09"/>
    <s v="20443996"/>
  </r>
  <r>
    <x v="97"/>
    <s v="2021-05-31"/>
    <x v="0"/>
    <x v="0"/>
    <n v="28"/>
    <x v="14"/>
    <n v="1.67"/>
    <n v="21.95"/>
    <s v="00360305"/>
  </r>
  <r>
    <x v="97"/>
    <s v="2021-05-31"/>
    <x v="0"/>
    <x v="0"/>
    <n v="27"/>
    <x v="11"/>
    <n v="1.66"/>
    <n v="21.82"/>
    <s v="03634220"/>
  </r>
  <r>
    <x v="97"/>
    <s v="2021-05-31"/>
    <x v="0"/>
    <x v="0"/>
    <n v="26"/>
    <x v="15"/>
    <n v="1.65"/>
    <n v="21.68"/>
    <s v="59588111"/>
  </r>
  <r>
    <x v="97"/>
    <s v="2021-05-31"/>
    <x v="0"/>
    <x v="0"/>
    <n v="25"/>
    <x v="16"/>
    <n v="1.6"/>
    <n v="21.03"/>
    <s v="07207996"/>
  </r>
  <r>
    <x v="97"/>
    <s v="2021-05-31"/>
    <x v="0"/>
    <x v="0"/>
    <n v="24"/>
    <x v="18"/>
    <n v="1.53"/>
    <n v="19.940000000000001"/>
    <s v="28127603"/>
  </r>
  <r>
    <x v="97"/>
    <s v="2021-05-31"/>
    <x v="0"/>
    <x v="0"/>
    <n v="23"/>
    <x v="20"/>
    <n v="1.5"/>
    <n v="19.5"/>
    <s v="17192451"/>
  </r>
  <r>
    <x v="97"/>
    <s v="2021-05-31"/>
    <x v="0"/>
    <x v="0"/>
    <n v="22"/>
    <x v="24"/>
    <n v="1.47"/>
    <n v="19.149999999999999"/>
    <s v="22639377"/>
  </r>
  <r>
    <x v="97"/>
    <s v="2021-05-31"/>
    <x v="0"/>
    <x v="0"/>
    <n v="21"/>
    <x v="21"/>
    <n v="1.46"/>
    <n v="19.04"/>
    <s v="03017677"/>
  </r>
  <r>
    <x v="97"/>
    <s v="2021-05-31"/>
    <x v="0"/>
    <x v="0"/>
    <n v="20"/>
    <x v="25"/>
    <n v="1.41"/>
    <n v="18.34"/>
    <s v="59274605"/>
  </r>
  <r>
    <x v="97"/>
    <s v="2021-05-31"/>
    <x v="0"/>
    <x v="0"/>
    <n v="19"/>
    <x v="30"/>
    <n v="1.39"/>
    <n v="17.989999999999998"/>
    <s v="03502961"/>
  </r>
  <r>
    <x v="97"/>
    <s v="2021-05-31"/>
    <x v="0"/>
    <x v="0"/>
    <n v="18"/>
    <x v="28"/>
    <n v="1.35"/>
    <n v="17.45"/>
    <s v="90400888"/>
  </r>
  <r>
    <x v="97"/>
    <s v="2021-05-31"/>
    <x v="0"/>
    <x v="0"/>
    <n v="17"/>
    <x v="32"/>
    <n v="1.35"/>
    <n v="17.41"/>
    <s v="60701190"/>
  </r>
  <r>
    <x v="97"/>
    <s v="2021-05-31"/>
    <x v="0"/>
    <x v="0"/>
    <n v="16"/>
    <x v="26"/>
    <n v="1.33"/>
    <n v="17.13"/>
    <s v="30172491"/>
  </r>
  <r>
    <x v="97"/>
    <s v="2021-05-31"/>
    <x v="0"/>
    <x v="0"/>
    <n v="15"/>
    <x v="36"/>
    <n v="1.3"/>
    <n v="16.73"/>
    <s v="33136888"/>
  </r>
  <r>
    <x v="97"/>
    <s v="2021-05-31"/>
    <x v="0"/>
    <x v="0"/>
    <n v="14"/>
    <x v="29"/>
    <n v="1.29"/>
    <n v="16.670000000000002"/>
    <s v="60746948"/>
  </r>
  <r>
    <x v="97"/>
    <s v="2021-05-31"/>
    <x v="0"/>
    <x v="0"/>
    <n v="13"/>
    <x v="23"/>
    <n v="1.28"/>
    <n v="16.54"/>
    <s v="03215790"/>
  </r>
  <r>
    <x v="97"/>
    <s v="2021-05-31"/>
    <x v="0"/>
    <x v="0"/>
    <n v="12"/>
    <x v="33"/>
    <n v="1.26"/>
    <n v="16.22"/>
    <s v="62307848"/>
  </r>
  <r>
    <x v="97"/>
    <s v="2021-05-31"/>
    <x v="0"/>
    <x v="0"/>
    <n v="11"/>
    <x v="27"/>
    <n v="1.21"/>
    <n v="15.58"/>
    <s v="00000000"/>
  </r>
  <r>
    <x v="97"/>
    <s v="2021-05-31"/>
    <x v="0"/>
    <x v="0"/>
    <n v="10"/>
    <x v="31"/>
    <n v="1.19"/>
    <n v="15.18"/>
    <s v="17167412"/>
  </r>
  <r>
    <x v="97"/>
    <s v="2021-05-31"/>
    <x v="0"/>
    <x v="0"/>
    <n v="9"/>
    <x v="43"/>
    <n v="1.18"/>
    <n v="15.15"/>
    <s v="07441209"/>
  </r>
  <r>
    <x v="97"/>
    <s v="2021-05-31"/>
    <x v="0"/>
    <x v="0"/>
    <n v="8"/>
    <x v="34"/>
    <n v="1.1299999999999999"/>
    <n v="14.39"/>
    <s v="33603457"/>
  </r>
  <r>
    <x v="97"/>
    <s v="2021-05-31"/>
    <x v="0"/>
    <x v="0"/>
    <n v="7"/>
    <x v="39"/>
    <n v="1.1200000000000001"/>
    <n v="14.23"/>
    <s v="04902979"/>
  </r>
  <r>
    <x v="97"/>
    <s v="2021-05-31"/>
    <x v="0"/>
    <x v="0"/>
    <n v="6"/>
    <x v="37"/>
    <n v="1.0900000000000001"/>
    <n v="13.84"/>
    <s v="04452473"/>
  </r>
  <r>
    <x v="97"/>
    <s v="2021-05-31"/>
    <x v="0"/>
    <x v="0"/>
    <n v="5"/>
    <x v="22"/>
    <n v="1.05"/>
    <n v="13.34"/>
    <s v="11417016"/>
  </r>
  <r>
    <x v="97"/>
    <s v="2021-05-31"/>
    <x v="0"/>
    <x v="0"/>
    <n v="4"/>
    <x v="44"/>
    <n v="1"/>
    <n v="12.71"/>
    <s v="58017179"/>
  </r>
  <r>
    <x v="97"/>
    <s v="2021-05-31"/>
    <x v="0"/>
    <x v="0"/>
    <n v="3"/>
    <x v="35"/>
    <n v="0.97"/>
    <n v="12.34"/>
    <s v="59109165"/>
  </r>
  <r>
    <x v="97"/>
    <s v="2021-05-31"/>
    <x v="0"/>
    <x v="0"/>
    <n v="2"/>
    <x v="38"/>
    <n v="0.92"/>
    <n v="11.58"/>
    <s v="60814191"/>
  </r>
  <r>
    <x v="97"/>
    <s v="2021-05-31"/>
    <x v="0"/>
    <x v="0"/>
    <n v="1"/>
    <x v="40"/>
    <n v="0.9"/>
    <n v="11.4"/>
    <s v="02992446"/>
  </r>
  <r>
    <x v="98"/>
    <s v="2021-06-01"/>
    <x v="0"/>
    <x v="0"/>
    <n v="45"/>
    <x v="0"/>
    <n v="3.21"/>
    <n v="46.09"/>
    <s v="60850229"/>
  </r>
  <r>
    <x v="98"/>
    <s v="2021-06-01"/>
    <x v="0"/>
    <x v="0"/>
    <n v="44"/>
    <x v="3"/>
    <n v="3.2"/>
    <n v="45.95"/>
    <s v="05503849"/>
  </r>
  <r>
    <x v="98"/>
    <s v="2021-06-01"/>
    <x v="0"/>
    <x v="0"/>
    <n v="43"/>
    <x v="1"/>
    <n v="3.12"/>
    <n v="44.57"/>
    <s v="01800019"/>
  </r>
  <r>
    <x v="98"/>
    <s v="2021-06-01"/>
    <x v="0"/>
    <x v="0"/>
    <n v="42"/>
    <x v="2"/>
    <n v="3.02"/>
    <n v="42.87"/>
    <s v="92228410"/>
  </r>
  <r>
    <x v="98"/>
    <s v="2021-06-01"/>
    <x v="0"/>
    <x v="0"/>
    <n v="41"/>
    <x v="4"/>
    <n v="2.65"/>
    <n v="36.89"/>
    <s v="62232889"/>
  </r>
  <r>
    <x v="98"/>
    <s v="2021-06-01"/>
    <x v="0"/>
    <x v="0"/>
    <n v="40"/>
    <x v="5"/>
    <n v="2.57"/>
    <n v="35.520000000000003"/>
    <s v="80271455"/>
  </r>
  <r>
    <x v="98"/>
    <s v="2021-06-01"/>
    <x v="0"/>
    <x v="0"/>
    <n v="39"/>
    <x v="7"/>
    <n v="2.5299999999999998"/>
    <n v="34.94"/>
    <s v="92874270"/>
  </r>
  <r>
    <x v="98"/>
    <s v="2021-06-01"/>
    <x v="0"/>
    <x v="0"/>
    <n v="38"/>
    <x v="6"/>
    <n v="2.41"/>
    <n v="33.14"/>
    <s v="05676026"/>
  </r>
  <r>
    <x v="98"/>
    <s v="2021-06-01"/>
    <x v="0"/>
    <x v="0"/>
    <n v="37"/>
    <x v="9"/>
    <n v="2.31"/>
    <n v="31.54"/>
    <s v="00411939"/>
  </r>
  <r>
    <x v="98"/>
    <s v="2021-06-01"/>
    <x v="0"/>
    <x v="0"/>
    <n v="36"/>
    <x v="8"/>
    <n v="2.2400000000000002"/>
    <n v="30.44"/>
    <s v="59285411"/>
  </r>
  <r>
    <x v="98"/>
    <s v="2021-06-01"/>
    <x v="0"/>
    <x v="0"/>
    <n v="35"/>
    <x v="42"/>
    <n v="2.21"/>
    <n v="30.05"/>
    <s v="34991938"/>
  </r>
  <r>
    <x v="98"/>
    <s v="2021-06-01"/>
    <x v="0"/>
    <x v="0"/>
    <n v="34"/>
    <x v="10"/>
    <n v="2.08"/>
    <n v="28.08"/>
    <s v="10371492"/>
  </r>
  <r>
    <x v="98"/>
    <s v="2021-06-01"/>
    <x v="0"/>
    <x v="0"/>
    <n v="33"/>
    <x v="49"/>
    <n v="1.9"/>
    <n v="25.28"/>
    <s v="58160789"/>
  </r>
  <r>
    <x v="98"/>
    <s v="2021-06-01"/>
    <x v="0"/>
    <x v="0"/>
    <n v="32"/>
    <x v="12"/>
    <n v="1.81"/>
    <n v="23.96"/>
    <s v="04862600"/>
  </r>
  <r>
    <x v="98"/>
    <s v="2021-06-01"/>
    <x v="0"/>
    <x v="0"/>
    <n v="31"/>
    <x v="13"/>
    <n v="1.78"/>
    <n v="23.62"/>
    <s v="07707650"/>
  </r>
  <r>
    <x v="98"/>
    <s v="2021-06-01"/>
    <x v="0"/>
    <x v="0"/>
    <n v="30"/>
    <x v="19"/>
    <n v="1.72"/>
    <n v="22.67"/>
    <s v="92702067"/>
  </r>
  <r>
    <x v="98"/>
    <s v="2021-06-01"/>
    <x v="0"/>
    <x v="0"/>
    <n v="29"/>
    <x v="41"/>
    <n v="1.68"/>
    <n v="22.09"/>
    <s v="20443996"/>
  </r>
  <r>
    <x v="98"/>
    <s v="2021-06-01"/>
    <x v="0"/>
    <x v="0"/>
    <n v="28"/>
    <x v="14"/>
    <n v="1.66"/>
    <n v="21.89"/>
    <s v="00360305"/>
  </r>
  <r>
    <x v="98"/>
    <s v="2021-06-01"/>
    <x v="0"/>
    <x v="0"/>
    <n v="27"/>
    <x v="11"/>
    <n v="1.65"/>
    <n v="21.72"/>
    <s v="03634220"/>
  </r>
  <r>
    <x v="98"/>
    <s v="2021-06-01"/>
    <x v="0"/>
    <x v="0"/>
    <n v="26"/>
    <x v="15"/>
    <n v="1.65"/>
    <n v="21.63"/>
    <s v="59588111"/>
  </r>
  <r>
    <x v="98"/>
    <s v="2021-06-01"/>
    <x v="0"/>
    <x v="0"/>
    <n v="25"/>
    <x v="16"/>
    <n v="1.61"/>
    <n v="21.06"/>
    <s v="07207996"/>
  </r>
  <r>
    <x v="98"/>
    <s v="2021-06-01"/>
    <x v="0"/>
    <x v="0"/>
    <n v="24"/>
    <x v="18"/>
    <n v="1.6"/>
    <n v="20.92"/>
    <s v="28127603"/>
  </r>
  <r>
    <x v="98"/>
    <s v="2021-06-01"/>
    <x v="0"/>
    <x v="0"/>
    <n v="23"/>
    <x v="24"/>
    <n v="1.5"/>
    <n v="19.62"/>
    <s v="22639377"/>
  </r>
  <r>
    <x v="98"/>
    <s v="2021-06-01"/>
    <x v="0"/>
    <x v="0"/>
    <n v="22"/>
    <x v="20"/>
    <n v="1.5"/>
    <n v="19.54"/>
    <s v="17192451"/>
  </r>
  <r>
    <x v="98"/>
    <s v="2021-06-01"/>
    <x v="0"/>
    <x v="0"/>
    <n v="21"/>
    <x v="21"/>
    <n v="1.46"/>
    <n v="18.989999999999998"/>
    <s v="03017677"/>
  </r>
  <r>
    <x v="98"/>
    <s v="2021-06-01"/>
    <x v="0"/>
    <x v="0"/>
    <n v="20"/>
    <x v="25"/>
    <n v="1.43"/>
    <n v="18.579999999999998"/>
    <s v="59274605"/>
  </r>
  <r>
    <x v="98"/>
    <s v="2021-06-01"/>
    <x v="0"/>
    <x v="0"/>
    <n v="19"/>
    <x v="30"/>
    <n v="1.38"/>
    <n v="17.899999999999999"/>
    <s v="03502961"/>
  </r>
  <r>
    <x v="98"/>
    <s v="2021-06-01"/>
    <x v="0"/>
    <x v="0"/>
    <n v="18"/>
    <x v="36"/>
    <n v="1.37"/>
    <n v="17.68"/>
    <s v="33136888"/>
  </r>
  <r>
    <x v="98"/>
    <s v="2021-06-01"/>
    <x v="0"/>
    <x v="0"/>
    <n v="17"/>
    <x v="32"/>
    <n v="1.34"/>
    <n v="17.36"/>
    <s v="60701190"/>
  </r>
  <r>
    <x v="98"/>
    <s v="2021-06-01"/>
    <x v="0"/>
    <x v="0"/>
    <n v="16"/>
    <x v="28"/>
    <n v="1.34"/>
    <n v="17.34"/>
    <s v="90400888"/>
  </r>
  <r>
    <x v="98"/>
    <s v="2021-06-01"/>
    <x v="0"/>
    <x v="0"/>
    <n v="15"/>
    <x v="26"/>
    <n v="1.33"/>
    <n v="17.22"/>
    <s v="30172491"/>
  </r>
  <r>
    <x v="98"/>
    <s v="2021-06-01"/>
    <x v="0"/>
    <x v="0"/>
    <n v="14"/>
    <x v="29"/>
    <n v="1.29"/>
    <n v="16.600000000000001"/>
    <s v="60746948"/>
  </r>
  <r>
    <x v="98"/>
    <s v="2021-06-01"/>
    <x v="0"/>
    <x v="0"/>
    <n v="13"/>
    <x v="23"/>
    <n v="1.29"/>
    <n v="16.559999999999999"/>
    <s v="03215790"/>
  </r>
  <r>
    <x v="98"/>
    <s v="2021-06-01"/>
    <x v="0"/>
    <x v="0"/>
    <n v="12"/>
    <x v="33"/>
    <n v="1.26"/>
    <n v="16.25"/>
    <s v="62307848"/>
  </r>
  <r>
    <x v="98"/>
    <s v="2021-06-01"/>
    <x v="0"/>
    <x v="0"/>
    <n v="11"/>
    <x v="27"/>
    <n v="1.21"/>
    <n v="15.53"/>
    <s v="00000000"/>
  </r>
  <r>
    <x v="98"/>
    <s v="2021-06-01"/>
    <x v="0"/>
    <x v="0"/>
    <n v="10"/>
    <x v="31"/>
    <n v="1.18"/>
    <n v="15.16"/>
    <s v="17167412"/>
  </r>
  <r>
    <x v="98"/>
    <s v="2021-06-01"/>
    <x v="0"/>
    <x v="0"/>
    <n v="9"/>
    <x v="43"/>
    <n v="1.18"/>
    <n v="15.15"/>
    <s v="07441209"/>
  </r>
  <r>
    <x v="98"/>
    <s v="2021-06-01"/>
    <x v="0"/>
    <x v="0"/>
    <n v="8"/>
    <x v="34"/>
    <n v="1.1299999999999999"/>
    <n v="14.37"/>
    <s v="33603457"/>
  </r>
  <r>
    <x v="98"/>
    <s v="2021-06-01"/>
    <x v="0"/>
    <x v="0"/>
    <n v="7"/>
    <x v="39"/>
    <n v="1.1100000000000001"/>
    <n v="14.16"/>
    <s v="04902979"/>
  </r>
  <r>
    <x v="98"/>
    <s v="2021-06-01"/>
    <x v="0"/>
    <x v="0"/>
    <n v="6"/>
    <x v="37"/>
    <n v="1.0900000000000001"/>
    <n v="13.93"/>
    <s v="04452473"/>
  </r>
  <r>
    <x v="98"/>
    <s v="2021-06-01"/>
    <x v="0"/>
    <x v="0"/>
    <n v="5"/>
    <x v="44"/>
    <n v="1.01"/>
    <n v="12.87"/>
    <s v="58017179"/>
  </r>
  <r>
    <x v="98"/>
    <s v="2021-06-01"/>
    <x v="0"/>
    <x v="0"/>
    <n v="4"/>
    <x v="35"/>
    <n v="0.98"/>
    <n v="12.4"/>
    <s v="59109165"/>
  </r>
  <r>
    <x v="98"/>
    <s v="2021-06-01"/>
    <x v="0"/>
    <x v="0"/>
    <n v="3"/>
    <x v="22"/>
    <n v="0.95"/>
    <n v="11.99"/>
    <s v="11417016"/>
  </r>
  <r>
    <x v="98"/>
    <s v="2021-06-01"/>
    <x v="0"/>
    <x v="0"/>
    <n v="2"/>
    <x v="38"/>
    <n v="0.91"/>
    <n v="11.51"/>
    <s v="60814191"/>
  </r>
  <r>
    <x v="98"/>
    <s v="2021-06-01"/>
    <x v="0"/>
    <x v="0"/>
    <n v="1"/>
    <x v="40"/>
    <n v="0.9"/>
    <n v="11.4"/>
    <s v="02992446"/>
  </r>
  <r>
    <x v="99"/>
    <s v="2021-06-02"/>
    <x v="0"/>
    <x v="0"/>
    <n v="45"/>
    <x v="1"/>
    <n v="3.22"/>
    <n v="46.21"/>
    <s v="01800019"/>
  </r>
  <r>
    <x v="99"/>
    <s v="2021-06-02"/>
    <x v="0"/>
    <x v="0"/>
    <n v="44"/>
    <x v="3"/>
    <n v="3.16"/>
    <n v="45.26"/>
    <s v="05503849"/>
  </r>
  <r>
    <x v="99"/>
    <s v="2021-06-02"/>
    <x v="0"/>
    <x v="0"/>
    <n v="43"/>
    <x v="0"/>
    <n v="3.15"/>
    <n v="45.09"/>
    <s v="60850229"/>
  </r>
  <r>
    <x v="99"/>
    <s v="2021-06-02"/>
    <x v="0"/>
    <x v="0"/>
    <n v="42"/>
    <x v="2"/>
    <n v="3.02"/>
    <n v="42.84"/>
    <s v="92228410"/>
  </r>
  <r>
    <x v="99"/>
    <s v="2021-06-02"/>
    <x v="0"/>
    <x v="0"/>
    <n v="41"/>
    <x v="4"/>
    <n v="2.65"/>
    <n v="36.82"/>
    <s v="62232889"/>
  </r>
  <r>
    <x v="99"/>
    <s v="2021-06-02"/>
    <x v="0"/>
    <x v="0"/>
    <n v="40"/>
    <x v="5"/>
    <n v="2.57"/>
    <n v="35.57"/>
    <s v="80271455"/>
  </r>
  <r>
    <x v="99"/>
    <s v="2021-06-02"/>
    <x v="0"/>
    <x v="0"/>
    <n v="39"/>
    <x v="7"/>
    <n v="2.5099999999999998"/>
    <n v="34.72"/>
    <s v="92874270"/>
  </r>
  <r>
    <x v="99"/>
    <s v="2021-06-02"/>
    <x v="0"/>
    <x v="0"/>
    <n v="38"/>
    <x v="6"/>
    <n v="2.42"/>
    <n v="33.15"/>
    <s v="05676026"/>
  </r>
  <r>
    <x v="99"/>
    <s v="2021-06-02"/>
    <x v="0"/>
    <x v="0"/>
    <n v="37"/>
    <x v="9"/>
    <n v="2.3199999999999998"/>
    <n v="31.68"/>
    <s v="00411939"/>
  </r>
  <r>
    <x v="99"/>
    <s v="2021-06-02"/>
    <x v="0"/>
    <x v="0"/>
    <n v="36"/>
    <x v="8"/>
    <n v="2.2400000000000002"/>
    <n v="30.51"/>
    <s v="59285411"/>
  </r>
  <r>
    <x v="99"/>
    <s v="2021-06-02"/>
    <x v="0"/>
    <x v="0"/>
    <n v="35"/>
    <x v="10"/>
    <n v="2.08"/>
    <n v="28.06"/>
    <s v="10371492"/>
  </r>
  <r>
    <x v="99"/>
    <s v="2021-06-02"/>
    <x v="0"/>
    <x v="0"/>
    <n v="34"/>
    <x v="42"/>
    <n v="2.0499999999999998"/>
    <n v="27.53"/>
    <s v="34991938"/>
  </r>
  <r>
    <x v="99"/>
    <s v="2021-06-02"/>
    <x v="0"/>
    <x v="0"/>
    <n v="33"/>
    <x v="49"/>
    <n v="1.9"/>
    <n v="25.28"/>
    <s v="58160789"/>
  </r>
  <r>
    <x v="99"/>
    <s v="2021-06-02"/>
    <x v="0"/>
    <x v="0"/>
    <n v="32"/>
    <x v="12"/>
    <n v="1.8"/>
    <n v="23.91"/>
    <s v="04862600"/>
  </r>
  <r>
    <x v="99"/>
    <s v="2021-06-02"/>
    <x v="0"/>
    <x v="0"/>
    <n v="31"/>
    <x v="13"/>
    <n v="1.79"/>
    <n v="23.69"/>
    <s v="07707650"/>
  </r>
  <r>
    <x v="99"/>
    <s v="2021-06-02"/>
    <x v="0"/>
    <x v="0"/>
    <n v="30"/>
    <x v="14"/>
    <n v="1.73"/>
    <n v="22.78"/>
    <s v="00360305"/>
  </r>
  <r>
    <x v="99"/>
    <s v="2021-06-02"/>
    <x v="0"/>
    <x v="0"/>
    <n v="29"/>
    <x v="19"/>
    <n v="1.72"/>
    <n v="22.67"/>
    <s v="92702067"/>
  </r>
  <r>
    <x v="99"/>
    <s v="2021-06-02"/>
    <x v="0"/>
    <x v="0"/>
    <n v="28"/>
    <x v="11"/>
    <n v="1.66"/>
    <n v="21.88"/>
    <s v="03634220"/>
  </r>
  <r>
    <x v="99"/>
    <s v="2021-06-02"/>
    <x v="0"/>
    <x v="0"/>
    <n v="27"/>
    <x v="15"/>
    <n v="1.64"/>
    <n v="21.59"/>
    <s v="59588111"/>
  </r>
  <r>
    <x v="99"/>
    <s v="2021-06-02"/>
    <x v="0"/>
    <x v="0"/>
    <n v="26"/>
    <x v="16"/>
    <n v="1.61"/>
    <n v="21.1"/>
    <s v="07207996"/>
  </r>
  <r>
    <x v="99"/>
    <s v="2021-06-02"/>
    <x v="0"/>
    <x v="0"/>
    <n v="25"/>
    <x v="18"/>
    <n v="1.6"/>
    <n v="20.93"/>
    <s v="28127603"/>
  </r>
  <r>
    <x v="99"/>
    <s v="2021-06-02"/>
    <x v="0"/>
    <x v="0"/>
    <n v="24"/>
    <x v="46"/>
    <n v="1.59"/>
    <n v="20.88"/>
    <s v="11760553"/>
  </r>
  <r>
    <x v="99"/>
    <s v="2021-06-02"/>
    <x v="0"/>
    <x v="0"/>
    <n v="23"/>
    <x v="24"/>
    <n v="1.55"/>
    <n v="20.27"/>
    <s v="22639377"/>
  </r>
  <r>
    <x v="99"/>
    <s v="2021-06-02"/>
    <x v="0"/>
    <x v="0"/>
    <n v="22"/>
    <x v="20"/>
    <n v="1.51"/>
    <n v="19.66"/>
    <s v="17192451"/>
  </r>
  <r>
    <x v="99"/>
    <s v="2021-06-02"/>
    <x v="0"/>
    <x v="0"/>
    <n v="21"/>
    <x v="21"/>
    <n v="1.46"/>
    <n v="19.04"/>
    <s v="03017677"/>
  </r>
  <r>
    <x v="99"/>
    <s v="2021-06-02"/>
    <x v="0"/>
    <x v="0"/>
    <n v="20"/>
    <x v="25"/>
    <n v="1.43"/>
    <n v="18.59"/>
    <s v="59274605"/>
  </r>
  <r>
    <x v="99"/>
    <s v="2021-06-02"/>
    <x v="0"/>
    <x v="0"/>
    <n v="19"/>
    <x v="30"/>
    <n v="1.38"/>
    <n v="17.829999999999998"/>
    <s v="03502961"/>
  </r>
  <r>
    <x v="99"/>
    <s v="2021-06-02"/>
    <x v="0"/>
    <x v="0"/>
    <n v="18"/>
    <x v="32"/>
    <n v="1.35"/>
    <n v="17.43"/>
    <s v="60701190"/>
  </r>
  <r>
    <x v="99"/>
    <s v="2021-06-02"/>
    <x v="0"/>
    <x v="0"/>
    <n v="17"/>
    <x v="26"/>
    <n v="1.34"/>
    <n v="17.32"/>
    <s v="30172491"/>
  </r>
  <r>
    <x v="99"/>
    <s v="2021-06-02"/>
    <x v="0"/>
    <x v="0"/>
    <n v="16"/>
    <x v="28"/>
    <n v="1.34"/>
    <n v="17.260000000000002"/>
    <s v="90400888"/>
  </r>
  <r>
    <x v="99"/>
    <s v="2021-06-02"/>
    <x v="0"/>
    <x v="0"/>
    <n v="15"/>
    <x v="29"/>
    <n v="1.29"/>
    <n v="16.57"/>
    <s v="60746948"/>
  </r>
  <r>
    <x v="99"/>
    <s v="2021-06-02"/>
    <x v="0"/>
    <x v="0"/>
    <n v="14"/>
    <x v="23"/>
    <n v="1.28"/>
    <n v="16.47"/>
    <s v="03215790"/>
  </r>
  <r>
    <x v="99"/>
    <s v="2021-06-02"/>
    <x v="0"/>
    <x v="0"/>
    <n v="13"/>
    <x v="33"/>
    <n v="1.27"/>
    <n v="16.329999999999998"/>
    <s v="62307848"/>
  </r>
  <r>
    <x v="99"/>
    <s v="2021-06-02"/>
    <x v="0"/>
    <x v="0"/>
    <n v="12"/>
    <x v="27"/>
    <n v="1.23"/>
    <n v="15.73"/>
    <s v="00000000"/>
  </r>
  <r>
    <x v="99"/>
    <s v="2021-06-02"/>
    <x v="0"/>
    <x v="0"/>
    <n v="11"/>
    <x v="31"/>
    <n v="1.18"/>
    <n v="15.17"/>
    <s v="17167412"/>
  </r>
  <r>
    <x v="99"/>
    <s v="2021-06-02"/>
    <x v="0"/>
    <x v="0"/>
    <n v="10"/>
    <x v="43"/>
    <n v="1.18"/>
    <n v="15.15"/>
    <s v="07441209"/>
  </r>
  <r>
    <x v="99"/>
    <s v="2021-06-02"/>
    <x v="0"/>
    <x v="0"/>
    <n v="9"/>
    <x v="36"/>
    <n v="1.18"/>
    <n v="15.1"/>
    <s v="33136888"/>
  </r>
  <r>
    <x v="99"/>
    <s v="2021-06-02"/>
    <x v="0"/>
    <x v="0"/>
    <n v="8"/>
    <x v="34"/>
    <n v="1.1200000000000001"/>
    <n v="14.36"/>
    <s v="33603457"/>
  </r>
  <r>
    <x v="99"/>
    <s v="2021-06-02"/>
    <x v="0"/>
    <x v="0"/>
    <n v="7"/>
    <x v="37"/>
    <n v="1.1100000000000001"/>
    <n v="14.13"/>
    <s v="04452473"/>
  </r>
  <r>
    <x v="99"/>
    <s v="2021-06-02"/>
    <x v="0"/>
    <x v="0"/>
    <n v="6"/>
    <x v="39"/>
    <n v="1.0900000000000001"/>
    <n v="13.93"/>
    <s v="04902979"/>
  </r>
  <r>
    <x v="99"/>
    <s v="2021-06-02"/>
    <x v="0"/>
    <x v="0"/>
    <n v="5"/>
    <x v="44"/>
    <n v="1.04"/>
    <n v="13.15"/>
    <s v="58017179"/>
  </r>
  <r>
    <x v="99"/>
    <s v="2021-06-02"/>
    <x v="0"/>
    <x v="0"/>
    <n v="4"/>
    <x v="35"/>
    <n v="0.99"/>
    <n v="12.57"/>
    <s v="59109165"/>
  </r>
  <r>
    <x v="99"/>
    <s v="2021-06-02"/>
    <x v="0"/>
    <x v="0"/>
    <n v="3"/>
    <x v="22"/>
    <n v="0.95"/>
    <n v="11.99"/>
    <s v="11417016"/>
  </r>
  <r>
    <x v="99"/>
    <s v="2021-06-02"/>
    <x v="0"/>
    <x v="0"/>
    <n v="2"/>
    <x v="38"/>
    <n v="0.92"/>
    <n v="11.67"/>
    <s v="60814191"/>
  </r>
  <r>
    <x v="99"/>
    <s v="2021-06-02"/>
    <x v="0"/>
    <x v="0"/>
    <n v="1"/>
    <x v="40"/>
    <n v="0.63"/>
    <n v="7.81"/>
    <s v="02992446"/>
  </r>
  <r>
    <x v="100"/>
    <s v="2021-06-04"/>
    <x v="0"/>
    <x v="0"/>
    <n v="45"/>
    <x v="1"/>
    <n v="3.27"/>
    <n v="47.08"/>
    <s v="01800019"/>
  </r>
  <r>
    <x v="100"/>
    <s v="2021-06-04"/>
    <x v="0"/>
    <x v="0"/>
    <n v="44"/>
    <x v="3"/>
    <n v="3.1"/>
    <n v="44.18"/>
    <s v="05503849"/>
  </r>
  <r>
    <x v="100"/>
    <s v="2021-06-04"/>
    <x v="0"/>
    <x v="0"/>
    <n v="43"/>
    <x v="0"/>
    <n v="3.05"/>
    <n v="43.34"/>
    <s v="60850229"/>
  </r>
  <r>
    <x v="100"/>
    <s v="2021-06-04"/>
    <x v="0"/>
    <x v="0"/>
    <n v="42"/>
    <x v="2"/>
    <n v="3.02"/>
    <n v="42.84"/>
    <s v="92228410"/>
  </r>
  <r>
    <x v="100"/>
    <s v="2021-06-04"/>
    <x v="0"/>
    <x v="0"/>
    <n v="41"/>
    <x v="4"/>
    <n v="2.64"/>
    <n v="36.67"/>
    <s v="62232889"/>
  </r>
  <r>
    <x v="100"/>
    <s v="2021-06-04"/>
    <x v="0"/>
    <x v="0"/>
    <n v="40"/>
    <x v="5"/>
    <n v="2.54"/>
    <n v="35.11"/>
    <s v="80271455"/>
  </r>
  <r>
    <x v="100"/>
    <s v="2021-06-04"/>
    <x v="0"/>
    <x v="0"/>
    <n v="39"/>
    <x v="7"/>
    <n v="2.5099999999999998"/>
    <n v="34.71"/>
    <s v="92874270"/>
  </r>
  <r>
    <x v="100"/>
    <s v="2021-06-04"/>
    <x v="0"/>
    <x v="0"/>
    <n v="38"/>
    <x v="6"/>
    <n v="2.41"/>
    <n v="33.15"/>
    <s v="05676026"/>
  </r>
  <r>
    <x v="100"/>
    <s v="2021-06-04"/>
    <x v="0"/>
    <x v="0"/>
    <n v="37"/>
    <x v="9"/>
    <n v="2.35"/>
    <n v="32.17"/>
    <s v="00411939"/>
  </r>
  <r>
    <x v="100"/>
    <s v="2021-06-04"/>
    <x v="0"/>
    <x v="0"/>
    <n v="36"/>
    <x v="8"/>
    <n v="2.2400000000000002"/>
    <n v="30.5"/>
    <s v="59285411"/>
  </r>
  <r>
    <x v="100"/>
    <s v="2021-06-04"/>
    <x v="0"/>
    <x v="0"/>
    <n v="35"/>
    <x v="42"/>
    <n v="2.13"/>
    <n v="28.76"/>
    <s v="34991938"/>
  </r>
  <r>
    <x v="100"/>
    <s v="2021-06-04"/>
    <x v="0"/>
    <x v="0"/>
    <n v="34"/>
    <x v="10"/>
    <n v="2.08"/>
    <n v="28.03"/>
    <s v="10371492"/>
  </r>
  <r>
    <x v="100"/>
    <s v="2021-06-04"/>
    <x v="0"/>
    <x v="0"/>
    <n v="33"/>
    <x v="12"/>
    <n v="1.81"/>
    <n v="24.04"/>
    <s v="04862600"/>
  </r>
  <r>
    <x v="100"/>
    <s v="2021-06-04"/>
    <x v="0"/>
    <x v="0"/>
    <n v="32"/>
    <x v="13"/>
    <n v="1.8"/>
    <n v="23.84"/>
    <s v="07707650"/>
  </r>
  <r>
    <x v="100"/>
    <s v="2021-06-04"/>
    <x v="0"/>
    <x v="0"/>
    <n v="31"/>
    <x v="19"/>
    <n v="1.72"/>
    <n v="22.67"/>
    <s v="92702067"/>
  </r>
  <r>
    <x v="100"/>
    <s v="2021-06-04"/>
    <x v="0"/>
    <x v="0"/>
    <n v="30"/>
    <x v="14"/>
    <n v="1.67"/>
    <n v="22.04"/>
    <s v="00360305"/>
  </r>
  <r>
    <x v="100"/>
    <s v="2021-06-04"/>
    <x v="0"/>
    <x v="0"/>
    <n v="29"/>
    <x v="11"/>
    <n v="1.65"/>
    <n v="21.69"/>
    <s v="03634220"/>
  </r>
  <r>
    <x v="100"/>
    <s v="2021-06-04"/>
    <x v="0"/>
    <x v="0"/>
    <n v="28"/>
    <x v="15"/>
    <n v="1.64"/>
    <n v="21.56"/>
    <s v="59588111"/>
  </r>
  <r>
    <x v="100"/>
    <s v="2021-06-04"/>
    <x v="0"/>
    <x v="0"/>
    <n v="27"/>
    <x v="16"/>
    <n v="1.61"/>
    <n v="21.1"/>
    <s v="07207996"/>
  </r>
  <r>
    <x v="100"/>
    <s v="2021-06-04"/>
    <x v="0"/>
    <x v="0"/>
    <n v="26"/>
    <x v="17"/>
    <n v="1.6"/>
    <n v="20.96"/>
    <s v="04866275"/>
  </r>
  <r>
    <x v="100"/>
    <s v="2021-06-04"/>
    <x v="0"/>
    <x v="0"/>
    <n v="25"/>
    <x v="46"/>
    <n v="1.59"/>
    <n v="20.88"/>
    <s v="11760553"/>
  </r>
  <r>
    <x v="100"/>
    <s v="2021-06-04"/>
    <x v="0"/>
    <x v="0"/>
    <n v="24"/>
    <x v="24"/>
    <n v="1.57"/>
    <n v="20.56"/>
    <s v="22639377"/>
  </r>
  <r>
    <x v="100"/>
    <s v="2021-06-04"/>
    <x v="0"/>
    <x v="0"/>
    <n v="23"/>
    <x v="18"/>
    <n v="1.55"/>
    <n v="20.260000000000002"/>
    <s v="28127603"/>
  </r>
  <r>
    <x v="100"/>
    <s v="2021-06-04"/>
    <x v="0"/>
    <x v="0"/>
    <n v="22"/>
    <x v="20"/>
    <n v="1.52"/>
    <n v="19.899999999999999"/>
    <s v="17192451"/>
  </r>
  <r>
    <x v="100"/>
    <s v="2021-06-04"/>
    <x v="0"/>
    <x v="0"/>
    <n v="21"/>
    <x v="21"/>
    <n v="1.46"/>
    <n v="18.989999999999998"/>
    <s v="03017677"/>
  </r>
  <r>
    <x v="100"/>
    <s v="2021-06-04"/>
    <x v="0"/>
    <x v="0"/>
    <n v="20"/>
    <x v="25"/>
    <n v="1.45"/>
    <n v="18.87"/>
    <s v="59274605"/>
  </r>
  <r>
    <x v="100"/>
    <s v="2021-06-04"/>
    <x v="0"/>
    <x v="0"/>
    <n v="19"/>
    <x v="30"/>
    <n v="1.37"/>
    <n v="17.739999999999998"/>
    <s v="03502961"/>
  </r>
  <r>
    <x v="100"/>
    <s v="2021-06-04"/>
    <x v="0"/>
    <x v="0"/>
    <n v="18"/>
    <x v="32"/>
    <n v="1.37"/>
    <n v="17.72"/>
    <s v="60701190"/>
  </r>
  <r>
    <x v="100"/>
    <s v="2021-06-04"/>
    <x v="0"/>
    <x v="0"/>
    <n v="17"/>
    <x v="26"/>
    <n v="1.35"/>
    <n v="17.43"/>
    <s v="30172491"/>
  </r>
  <r>
    <x v="100"/>
    <s v="2021-06-04"/>
    <x v="0"/>
    <x v="0"/>
    <n v="16"/>
    <x v="28"/>
    <n v="1.34"/>
    <n v="17.309999999999999"/>
    <s v="90400888"/>
  </r>
  <r>
    <x v="100"/>
    <s v="2021-06-04"/>
    <x v="0"/>
    <x v="0"/>
    <n v="15"/>
    <x v="29"/>
    <n v="1.28"/>
    <n v="16.5"/>
    <s v="60746948"/>
  </r>
  <r>
    <x v="100"/>
    <s v="2021-06-04"/>
    <x v="0"/>
    <x v="0"/>
    <n v="14"/>
    <x v="23"/>
    <n v="1.28"/>
    <n v="16.46"/>
    <s v="03215790"/>
  </r>
  <r>
    <x v="100"/>
    <s v="2021-06-04"/>
    <x v="0"/>
    <x v="0"/>
    <n v="13"/>
    <x v="33"/>
    <n v="1.27"/>
    <n v="16.38"/>
    <s v="62307848"/>
  </r>
  <r>
    <x v="100"/>
    <s v="2021-06-04"/>
    <x v="0"/>
    <x v="0"/>
    <n v="12"/>
    <x v="27"/>
    <n v="1.22"/>
    <n v="15.7"/>
    <s v="00000000"/>
  </r>
  <r>
    <x v="100"/>
    <s v="2021-06-04"/>
    <x v="0"/>
    <x v="0"/>
    <n v="11"/>
    <x v="43"/>
    <n v="1.22"/>
    <n v="15.66"/>
    <s v="07441209"/>
  </r>
  <r>
    <x v="100"/>
    <s v="2021-06-04"/>
    <x v="0"/>
    <x v="0"/>
    <n v="10"/>
    <x v="36"/>
    <n v="1.18"/>
    <n v="15.1"/>
    <s v="33136888"/>
  </r>
  <r>
    <x v="100"/>
    <s v="2021-06-04"/>
    <x v="0"/>
    <x v="0"/>
    <n v="9"/>
    <x v="31"/>
    <n v="1.18"/>
    <n v="15.05"/>
    <s v="17167412"/>
  </r>
  <r>
    <x v="100"/>
    <s v="2021-06-04"/>
    <x v="0"/>
    <x v="0"/>
    <n v="8"/>
    <x v="34"/>
    <n v="1.1200000000000001"/>
    <n v="14.35"/>
    <s v="33603457"/>
  </r>
  <r>
    <x v="100"/>
    <s v="2021-06-04"/>
    <x v="0"/>
    <x v="0"/>
    <n v="7"/>
    <x v="37"/>
    <n v="1.1200000000000001"/>
    <n v="14.3"/>
    <s v="04452473"/>
  </r>
  <r>
    <x v="100"/>
    <s v="2021-06-04"/>
    <x v="0"/>
    <x v="0"/>
    <n v="6"/>
    <x v="39"/>
    <n v="1.0900000000000001"/>
    <n v="13.93"/>
    <s v="04902979"/>
  </r>
  <r>
    <x v="100"/>
    <s v="2021-06-04"/>
    <x v="0"/>
    <x v="0"/>
    <n v="5"/>
    <x v="44"/>
    <n v="1.04"/>
    <n v="13.15"/>
    <s v="58017179"/>
  </r>
  <r>
    <x v="100"/>
    <s v="2021-06-04"/>
    <x v="0"/>
    <x v="0"/>
    <n v="4"/>
    <x v="35"/>
    <n v="1"/>
    <n v="12.67"/>
    <s v="59109165"/>
  </r>
  <r>
    <x v="100"/>
    <s v="2021-06-04"/>
    <x v="0"/>
    <x v="0"/>
    <n v="3"/>
    <x v="22"/>
    <n v="0.95"/>
    <n v="11.99"/>
    <s v="11417016"/>
  </r>
  <r>
    <x v="100"/>
    <s v="2021-06-04"/>
    <x v="0"/>
    <x v="0"/>
    <n v="2"/>
    <x v="38"/>
    <n v="0.92"/>
    <n v="11.67"/>
    <s v="60814191"/>
  </r>
  <r>
    <x v="100"/>
    <s v="2021-06-04"/>
    <x v="0"/>
    <x v="0"/>
    <n v="1"/>
    <x v="40"/>
    <n v="0.92"/>
    <n v="11.64"/>
    <s v="02992446"/>
  </r>
  <r>
    <x v="101"/>
    <s v="2021-06-07"/>
    <x v="0"/>
    <x v="0"/>
    <n v="45"/>
    <x v="1"/>
    <n v="3.19"/>
    <n v="45.83"/>
    <s v="01800019"/>
  </r>
  <r>
    <x v="101"/>
    <s v="2021-06-07"/>
    <x v="0"/>
    <x v="0"/>
    <n v="44"/>
    <x v="3"/>
    <n v="3.12"/>
    <n v="44.63"/>
    <s v="05503849"/>
  </r>
  <r>
    <x v="101"/>
    <s v="2021-06-07"/>
    <x v="0"/>
    <x v="0"/>
    <n v="43"/>
    <x v="2"/>
    <n v="3.01"/>
    <n v="42.75"/>
    <s v="92228410"/>
  </r>
  <r>
    <x v="101"/>
    <s v="2021-06-07"/>
    <x v="0"/>
    <x v="0"/>
    <n v="42"/>
    <x v="0"/>
    <n v="2.91"/>
    <n v="41.05"/>
    <s v="60850229"/>
  </r>
  <r>
    <x v="101"/>
    <s v="2021-06-07"/>
    <x v="0"/>
    <x v="0"/>
    <n v="41"/>
    <x v="4"/>
    <n v="2.64"/>
    <n v="36.69"/>
    <s v="62232889"/>
  </r>
  <r>
    <x v="101"/>
    <s v="2021-06-07"/>
    <x v="0"/>
    <x v="0"/>
    <n v="40"/>
    <x v="5"/>
    <n v="2.56"/>
    <n v="35.369999999999997"/>
    <s v="80271455"/>
  </r>
  <r>
    <x v="101"/>
    <s v="2021-06-07"/>
    <x v="0"/>
    <x v="0"/>
    <n v="39"/>
    <x v="7"/>
    <n v="2.5099999999999998"/>
    <n v="34.65"/>
    <s v="92874270"/>
  </r>
  <r>
    <x v="101"/>
    <s v="2021-06-07"/>
    <x v="0"/>
    <x v="0"/>
    <n v="38"/>
    <x v="6"/>
    <n v="2.42"/>
    <n v="33.17"/>
    <s v="05676026"/>
  </r>
  <r>
    <x v="101"/>
    <s v="2021-06-07"/>
    <x v="0"/>
    <x v="0"/>
    <n v="37"/>
    <x v="9"/>
    <n v="2.39"/>
    <n v="32.72"/>
    <s v="00411939"/>
  </r>
  <r>
    <x v="101"/>
    <s v="2021-06-07"/>
    <x v="0"/>
    <x v="0"/>
    <n v="36"/>
    <x v="8"/>
    <n v="2.2400000000000002"/>
    <n v="30.38"/>
    <s v="59285411"/>
  </r>
  <r>
    <x v="101"/>
    <s v="2021-06-07"/>
    <x v="0"/>
    <x v="0"/>
    <n v="35"/>
    <x v="42"/>
    <n v="2.13"/>
    <n v="28.76"/>
    <s v="34991938"/>
  </r>
  <r>
    <x v="101"/>
    <s v="2021-06-07"/>
    <x v="0"/>
    <x v="0"/>
    <n v="34"/>
    <x v="10"/>
    <n v="2.0699999999999998"/>
    <n v="27.85"/>
    <s v="10371492"/>
  </r>
  <r>
    <x v="101"/>
    <s v="2021-06-07"/>
    <x v="0"/>
    <x v="0"/>
    <n v="33"/>
    <x v="13"/>
    <n v="1.81"/>
    <n v="24.01"/>
    <s v="07707650"/>
  </r>
  <r>
    <x v="101"/>
    <s v="2021-06-07"/>
    <x v="0"/>
    <x v="0"/>
    <n v="32"/>
    <x v="12"/>
    <n v="1.81"/>
    <n v="23.95"/>
    <s v="04862600"/>
  </r>
  <r>
    <x v="101"/>
    <s v="2021-06-07"/>
    <x v="0"/>
    <x v="0"/>
    <n v="31"/>
    <x v="24"/>
    <n v="1.68"/>
    <n v="22.17"/>
    <s v="22639377"/>
  </r>
  <r>
    <x v="101"/>
    <s v="2021-06-07"/>
    <x v="0"/>
    <x v="0"/>
    <n v="30"/>
    <x v="11"/>
    <n v="1.65"/>
    <n v="21.74"/>
    <s v="03634220"/>
  </r>
  <r>
    <x v="101"/>
    <s v="2021-06-07"/>
    <x v="0"/>
    <x v="0"/>
    <n v="29"/>
    <x v="14"/>
    <n v="1.65"/>
    <n v="21.67"/>
    <s v="00360305"/>
  </r>
  <r>
    <x v="101"/>
    <s v="2021-06-07"/>
    <x v="0"/>
    <x v="0"/>
    <n v="28"/>
    <x v="19"/>
    <n v="1.65"/>
    <n v="21.65"/>
    <s v="92702067"/>
  </r>
  <r>
    <x v="101"/>
    <s v="2021-06-07"/>
    <x v="0"/>
    <x v="0"/>
    <n v="27"/>
    <x v="15"/>
    <n v="1.64"/>
    <n v="21.51"/>
    <s v="59588111"/>
  </r>
  <r>
    <x v="101"/>
    <s v="2021-06-07"/>
    <x v="0"/>
    <x v="0"/>
    <n v="26"/>
    <x v="16"/>
    <n v="1.61"/>
    <n v="21.16"/>
    <s v="07207996"/>
  </r>
  <r>
    <x v="101"/>
    <s v="2021-06-07"/>
    <x v="0"/>
    <x v="0"/>
    <n v="25"/>
    <x v="17"/>
    <n v="1.6"/>
    <n v="20.96"/>
    <s v="04866275"/>
  </r>
  <r>
    <x v="101"/>
    <s v="2021-06-07"/>
    <x v="0"/>
    <x v="0"/>
    <n v="24"/>
    <x v="46"/>
    <n v="1.59"/>
    <n v="20.88"/>
    <s v="11760553"/>
  </r>
  <r>
    <x v="101"/>
    <s v="2021-06-07"/>
    <x v="0"/>
    <x v="0"/>
    <n v="23"/>
    <x v="20"/>
    <n v="1.53"/>
    <n v="20.03"/>
    <s v="17192451"/>
  </r>
  <r>
    <x v="101"/>
    <s v="2021-06-07"/>
    <x v="0"/>
    <x v="0"/>
    <n v="22"/>
    <x v="18"/>
    <n v="1.53"/>
    <n v="20.03"/>
    <s v="28127603"/>
  </r>
  <r>
    <x v="101"/>
    <s v="2021-06-07"/>
    <x v="0"/>
    <x v="0"/>
    <n v="21"/>
    <x v="25"/>
    <n v="1.47"/>
    <n v="19.190000000000001"/>
    <s v="59274605"/>
  </r>
  <r>
    <x v="101"/>
    <s v="2021-06-07"/>
    <x v="0"/>
    <x v="0"/>
    <n v="20"/>
    <x v="21"/>
    <n v="1.46"/>
    <n v="19.04"/>
    <s v="03017677"/>
  </r>
  <r>
    <x v="101"/>
    <s v="2021-06-07"/>
    <x v="0"/>
    <x v="0"/>
    <n v="19"/>
    <x v="30"/>
    <n v="1.39"/>
    <n v="18"/>
    <s v="03502961"/>
  </r>
  <r>
    <x v="101"/>
    <s v="2021-06-07"/>
    <x v="0"/>
    <x v="0"/>
    <n v="18"/>
    <x v="32"/>
    <n v="1.37"/>
    <n v="17.739999999999998"/>
    <s v="60701190"/>
  </r>
  <r>
    <x v="101"/>
    <s v="2021-06-07"/>
    <x v="0"/>
    <x v="0"/>
    <n v="17"/>
    <x v="28"/>
    <n v="1.36"/>
    <n v="17.61"/>
    <s v="90400888"/>
  </r>
  <r>
    <x v="101"/>
    <s v="2021-06-07"/>
    <x v="0"/>
    <x v="0"/>
    <n v="16"/>
    <x v="26"/>
    <n v="1.35"/>
    <n v="17.48"/>
    <s v="30172491"/>
  </r>
  <r>
    <x v="101"/>
    <s v="2021-06-07"/>
    <x v="0"/>
    <x v="0"/>
    <n v="15"/>
    <x v="29"/>
    <n v="1.29"/>
    <n v="16.62"/>
    <s v="60746948"/>
  </r>
  <r>
    <x v="101"/>
    <s v="2021-06-07"/>
    <x v="0"/>
    <x v="0"/>
    <n v="14"/>
    <x v="33"/>
    <n v="1.28"/>
    <n v="16.489999999999998"/>
    <s v="62307848"/>
  </r>
  <r>
    <x v="101"/>
    <s v="2021-06-07"/>
    <x v="0"/>
    <x v="0"/>
    <n v="13"/>
    <x v="23"/>
    <n v="1.28"/>
    <n v="16.43"/>
    <s v="03215790"/>
  </r>
  <r>
    <x v="101"/>
    <s v="2021-06-07"/>
    <x v="0"/>
    <x v="0"/>
    <n v="12"/>
    <x v="27"/>
    <n v="1.22"/>
    <n v="15.71"/>
    <s v="00000000"/>
  </r>
  <r>
    <x v="101"/>
    <s v="2021-06-07"/>
    <x v="0"/>
    <x v="0"/>
    <n v="11"/>
    <x v="31"/>
    <n v="1.19"/>
    <n v="15.3"/>
    <s v="17167412"/>
  </r>
  <r>
    <x v="101"/>
    <s v="2021-06-07"/>
    <x v="0"/>
    <x v="0"/>
    <n v="10"/>
    <x v="43"/>
    <n v="1.19"/>
    <n v="15.26"/>
    <s v="07441209"/>
  </r>
  <r>
    <x v="101"/>
    <s v="2021-06-07"/>
    <x v="0"/>
    <x v="0"/>
    <n v="9"/>
    <x v="36"/>
    <n v="1.18"/>
    <n v="15.1"/>
    <s v="33136888"/>
  </r>
  <r>
    <x v="101"/>
    <s v="2021-06-07"/>
    <x v="0"/>
    <x v="0"/>
    <n v="8"/>
    <x v="34"/>
    <n v="1.1399999999999999"/>
    <n v="14.51"/>
    <s v="33603457"/>
  </r>
  <r>
    <x v="101"/>
    <s v="2021-06-07"/>
    <x v="0"/>
    <x v="0"/>
    <n v="7"/>
    <x v="37"/>
    <n v="1.1299999999999999"/>
    <n v="14.45"/>
    <s v="04452473"/>
  </r>
  <r>
    <x v="101"/>
    <s v="2021-06-07"/>
    <x v="0"/>
    <x v="0"/>
    <n v="6"/>
    <x v="39"/>
    <n v="1.1000000000000001"/>
    <n v="14"/>
    <s v="04902979"/>
  </r>
  <r>
    <x v="101"/>
    <s v="2021-06-07"/>
    <x v="0"/>
    <x v="0"/>
    <n v="5"/>
    <x v="44"/>
    <n v="1.06"/>
    <n v="13.43"/>
    <s v="58017179"/>
  </r>
  <r>
    <x v="101"/>
    <s v="2021-06-07"/>
    <x v="0"/>
    <x v="0"/>
    <n v="4"/>
    <x v="35"/>
    <n v="0.99"/>
    <n v="12.51"/>
    <s v="59109165"/>
  </r>
  <r>
    <x v="101"/>
    <s v="2021-06-07"/>
    <x v="0"/>
    <x v="0"/>
    <n v="3"/>
    <x v="22"/>
    <n v="0.95"/>
    <n v="11.99"/>
    <s v="11417016"/>
  </r>
  <r>
    <x v="101"/>
    <s v="2021-06-07"/>
    <x v="0"/>
    <x v="0"/>
    <n v="2"/>
    <x v="38"/>
    <n v="0.94"/>
    <n v="11.88"/>
    <s v="60814191"/>
  </r>
  <r>
    <x v="101"/>
    <s v="2021-06-07"/>
    <x v="0"/>
    <x v="0"/>
    <n v="1"/>
    <x v="40"/>
    <n v="0.79"/>
    <n v="9.85"/>
    <s v="02992446"/>
  </r>
  <r>
    <x v="102"/>
    <s v="2021-06-08"/>
    <x v="0"/>
    <x v="0"/>
    <n v="44"/>
    <x v="3"/>
    <n v="3.16"/>
    <n v="45.27"/>
    <s v="05503849"/>
  </r>
  <r>
    <x v="102"/>
    <s v="2021-06-08"/>
    <x v="0"/>
    <x v="0"/>
    <n v="43"/>
    <x v="1"/>
    <n v="3.13"/>
    <n v="44.7"/>
    <s v="01800019"/>
  </r>
  <r>
    <x v="102"/>
    <s v="2021-06-08"/>
    <x v="0"/>
    <x v="0"/>
    <n v="42"/>
    <x v="2"/>
    <n v="3"/>
    <n v="42.58"/>
    <s v="92228410"/>
  </r>
  <r>
    <x v="102"/>
    <s v="2021-06-08"/>
    <x v="0"/>
    <x v="0"/>
    <n v="41"/>
    <x v="0"/>
    <n v="2.97"/>
    <n v="42.05"/>
    <s v="60850229"/>
  </r>
  <r>
    <x v="102"/>
    <s v="2021-06-08"/>
    <x v="0"/>
    <x v="0"/>
    <n v="40"/>
    <x v="4"/>
    <n v="2.63"/>
    <n v="36.56"/>
    <s v="62232889"/>
  </r>
  <r>
    <x v="102"/>
    <s v="2021-06-08"/>
    <x v="0"/>
    <x v="0"/>
    <n v="39"/>
    <x v="5"/>
    <n v="2.5299999999999998"/>
    <n v="34.96"/>
    <s v="80271455"/>
  </r>
  <r>
    <x v="102"/>
    <s v="2021-06-08"/>
    <x v="0"/>
    <x v="0"/>
    <n v="38"/>
    <x v="7"/>
    <n v="2.5099999999999998"/>
    <n v="34.72"/>
    <s v="92874270"/>
  </r>
  <r>
    <x v="102"/>
    <s v="2021-06-08"/>
    <x v="0"/>
    <x v="0"/>
    <n v="37"/>
    <x v="6"/>
    <n v="2.42"/>
    <n v="33.21"/>
    <s v="05676026"/>
  </r>
  <r>
    <x v="102"/>
    <s v="2021-06-08"/>
    <x v="0"/>
    <x v="0"/>
    <n v="36"/>
    <x v="9"/>
    <n v="2.37"/>
    <n v="32.4"/>
    <s v="00411939"/>
  </r>
  <r>
    <x v="102"/>
    <s v="2021-06-08"/>
    <x v="0"/>
    <x v="0"/>
    <n v="35"/>
    <x v="8"/>
    <n v="2.2400000000000002"/>
    <n v="30.42"/>
    <s v="59285411"/>
  </r>
  <r>
    <x v="102"/>
    <s v="2021-06-08"/>
    <x v="0"/>
    <x v="0"/>
    <n v="34"/>
    <x v="42"/>
    <n v="2.12"/>
    <n v="28.58"/>
    <s v="34991938"/>
  </r>
  <r>
    <x v="102"/>
    <s v="2021-06-08"/>
    <x v="0"/>
    <x v="0"/>
    <n v="33"/>
    <x v="10"/>
    <n v="2.0699999999999998"/>
    <n v="27.94"/>
    <s v="10371492"/>
  </r>
  <r>
    <x v="102"/>
    <s v="2021-06-08"/>
    <x v="0"/>
    <x v="0"/>
    <n v="32"/>
    <x v="13"/>
    <n v="1.82"/>
    <n v="24.19"/>
    <s v="07707650"/>
  </r>
  <r>
    <x v="102"/>
    <s v="2021-06-08"/>
    <x v="0"/>
    <x v="0"/>
    <n v="31"/>
    <x v="12"/>
    <n v="1.8"/>
    <n v="23.92"/>
    <s v="04862600"/>
  </r>
  <r>
    <x v="102"/>
    <s v="2021-06-08"/>
    <x v="0"/>
    <x v="0"/>
    <n v="30"/>
    <x v="24"/>
    <n v="1.67"/>
    <n v="22"/>
    <s v="22639377"/>
  </r>
  <r>
    <x v="102"/>
    <s v="2021-06-08"/>
    <x v="0"/>
    <x v="0"/>
    <n v="29"/>
    <x v="14"/>
    <n v="1.66"/>
    <n v="21.87"/>
    <s v="00360305"/>
  </r>
  <r>
    <x v="102"/>
    <s v="2021-06-08"/>
    <x v="0"/>
    <x v="0"/>
    <n v="28"/>
    <x v="11"/>
    <n v="1.65"/>
    <n v="21.65"/>
    <s v="03634220"/>
  </r>
  <r>
    <x v="102"/>
    <s v="2021-06-08"/>
    <x v="0"/>
    <x v="0"/>
    <n v="27"/>
    <x v="15"/>
    <n v="1.64"/>
    <n v="21.53"/>
    <s v="59588111"/>
  </r>
  <r>
    <x v="102"/>
    <s v="2021-06-08"/>
    <x v="0"/>
    <x v="0"/>
    <n v="26"/>
    <x v="16"/>
    <n v="1.61"/>
    <n v="21.17"/>
    <s v="07207996"/>
  </r>
  <r>
    <x v="102"/>
    <s v="2021-06-08"/>
    <x v="0"/>
    <x v="0"/>
    <n v="25"/>
    <x v="17"/>
    <n v="1.6"/>
    <n v="20.96"/>
    <s v="04866275"/>
  </r>
  <r>
    <x v="102"/>
    <s v="2021-06-08"/>
    <x v="0"/>
    <x v="0"/>
    <n v="24"/>
    <x v="46"/>
    <n v="1.59"/>
    <n v="20.88"/>
    <s v="11760553"/>
  </r>
  <r>
    <x v="102"/>
    <s v="2021-06-08"/>
    <x v="0"/>
    <x v="0"/>
    <n v="23"/>
    <x v="19"/>
    <n v="1.59"/>
    <n v="20.81"/>
    <s v="92702067"/>
  </r>
  <r>
    <x v="102"/>
    <s v="2021-06-08"/>
    <x v="0"/>
    <x v="0"/>
    <n v="22"/>
    <x v="18"/>
    <n v="1.56"/>
    <n v="20.350000000000001"/>
    <s v="28127603"/>
  </r>
  <r>
    <x v="102"/>
    <s v="2021-06-08"/>
    <x v="0"/>
    <x v="0"/>
    <n v="21"/>
    <x v="20"/>
    <n v="1.54"/>
    <n v="20.18"/>
    <s v="17192451"/>
  </r>
  <r>
    <x v="102"/>
    <s v="2021-06-08"/>
    <x v="0"/>
    <x v="0"/>
    <n v="20"/>
    <x v="25"/>
    <n v="1.51"/>
    <n v="19.63"/>
    <s v="59274605"/>
  </r>
  <r>
    <x v="102"/>
    <s v="2021-06-08"/>
    <x v="0"/>
    <x v="0"/>
    <n v="19"/>
    <x v="21"/>
    <n v="1.47"/>
    <n v="19.18"/>
    <s v="03017677"/>
  </r>
  <r>
    <x v="102"/>
    <s v="2021-06-08"/>
    <x v="0"/>
    <x v="0"/>
    <n v="18"/>
    <x v="30"/>
    <n v="1.4"/>
    <n v="18.170000000000002"/>
    <s v="03502961"/>
  </r>
  <r>
    <x v="102"/>
    <s v="2021-06-08"/>
    <x v="0"/>
    <x v="0"/>
    <n v="17"/>
    <x v="32"/>
    <n v="1.39"/>
    <n v="17.96"/>
    <s v="60701190"/>
  </r>
  <r>
    <x v="102"/>
    <s v="2021-06-08"/>
    <x v="0"/>
    <x v="0"/>
    <n v="16"/>
    <x v="28"/>
    <n v="1.37"/>
    <n v="17.739999999999998"/>
    <s v="90400888"/>
  </r>
  <r>
    <x v="102"/>
    <s v="2021-06-08"/>
    <x v="0"/>
    <x v="0"/>
    <n v="15"/>
    <x v="26"/>
    <n v="1.35"/>
    <n v="17.47"/>
    <s v="30172491"/>
  </r>
  <r>
    <x v="102"/>
    <s v="2021-06-08"/>
    <x v="0"/>
    <x v="0"/>
    <n v="14"/>
    <x v="23"/>
    <n v="1.29"/>
    <n v="16.66"/>
    <s v="03215790"/>
  </r>
  <r>
    <x v="102"/>
    <s v="2021-06-08"/>
    <x v="0"/>
    <x v="0"/>
    <n v="13"/>
    <x v="33"/>
    <n v="1.29"/>
    <n v="16.649999999999999"/>
    <s v="62307848"/>
  </r>
  <r>
    <x v="102"/>
    <s v="2021-06-08"/>
    <x v="0"/>
    <x v="0"/>
    <n v="12"/>
    <x v="29"/>
    <n v="1.29"/>
    <n v="16.63"/>
    <s v="60746948"/>
  </r>
  <r>
    <x v="102"/>
    <s v="2021-06-08"/>
    <x v="0"/>
    <x v="0"/>
    <n v="11"/>
    <x v="27"/>
    <n v="1.24"/>
    <n v="15.88"/>
    <s v="00000000"/>
  </r>
  <r>
    <x v="102"/>
    <s v="2021-06-08"/>
    <x v="0"/>
    <x v="0"/>
    <n v="10"/>
    <x v="36"/>
    <n v="1.22"/>
    <n v="15.7"/>
    <s v="33136888"/>
  </r>
  <r>
    <x v="102"/>
    <s v="2021-06-08"/>
    <x v="0"/>
    <x v="0"/>
    <n v="9"/>
    <x v="31"/>
    <n v="1.2"/>
    <n v="15.44"/>
    <s v="17167412"/>
  </r>
  <r>
    <x v="102"/>
    <s v="2021-06-08"/>
    <x v="0"/>
    <x v="0"/>
    <n v="8"/>
    <x v="43"/>
    <n v="1.19"/>
    <n v="15.26"/>
    <s v="07441209"/>
  </r>
  <r>
    <x v="102"/>
    <s v="2021-06-08"/>
    <x v="0"/>
    <x v="0"/>
    <n v="7"/>
    <x v="34"/>
    <n v="1.1599999999999999"/>
    <n v="14.78"/>
    <s v="33603457"/>
  </r>
  <r>
    <x v="102"/>
    <s v="2021-06-08"/>
    <x v="0"/>
    <x v="0"/>
    <n v="6"/>
    <x v="37"/>
    <n v="1.1399999999999999"/>
    <n v="14.62"/>
    <s v="04452473"/>
  </r>
  <r>
    <x v="102"/>
    <s v="2021-06-08"/>
    <x v="0"/>
    <x v="0"/>
    <n v="5"/>
    <x v="44"/>
    <n v="1.1299999999999999"/>
    <n v="14.48"/>
    <s v="58017179"/>
  </r>
  <r>
    <x v="102"/>
    <s v="2021-06-08"/>
    <x v="0"/>
    <x v="0"/>
    <n v="4"/>
    <x v="39"/>
    <n v="1.1000000000000001"/>
    <n v="14.04"/>
    <s v="04902979"/>
  </r>
  <r>
    <x v="102"/>
    <s v="2021-06-08"/>
    <x v="0"/>
    <x v="0"/>
    <n v="3"/>
    <x v="35"/>
    <n v="1.01"/>
    <n v="12.82"/>
    <s v="59109165"/>
  </r>
  <r>
    <x v="102"/>
    <s v="2021-06-08"/>
    <x v="0"/>
    <x v="0"/>
    <n v="2"/>
    <x v="38"/>
    <n v="0.94"/>
    <n v="11.83"/>
    <s v="60814191"/>
  </r>
  <r>
    <x v="102"/>
    <s v="2021-06-08"/>
    <x v="0"/>
    <x v="0"/>
    <n v="1"/>
    <x v="40"/>
    <n v="0.79"/>
    <n v="9.85"/>
    <s v="02992446"/>
  </r>
  <r>
    <x v="103"/>
    <s v="2021-06-09"/>
    <x v="0"/>
    <x v="0"/>
    <n v="44"/>
    <x v="3"/>
    <n v="3.15"/>
    <n v="45.06"/>
    <s v="05503849"/>
  </r>
  <r>
    <x v="103"/>
    <s v="2021-06-09"/>
    <x v="0"/>
    <x v="0"/>
    <n v="43"/>
    <x v="1"/>
    <n v="3.14"/>
    <n v="44.97"/>
    <s v="01800019"/>
  </r>
  <r>
    <x v="103"/>
    <s v="2021-06-09"/>
    <x v="0"/>
    <x v="0"/>
    <n v="42"/>
    <x v="0"/>
    <n v="3.04"/>
    <n v="43.16"/>
    <s v="60850229"/>
  </r>
  <r>
    <x v="103"/>
    <s v="2021-06-09"/>
    <x v="0"/>
    <x v="0"/>
    <n v="41"/>
    <x v="2"/>
    <n v="3"/>
    <n v="42.65"/>
    <s v="92228410"/>
  </r>
  <r>
    <x v="103"/>
    <s v="2021-06-09"/>
    <x v="0"/>
    <x v="0"/>
    <n v="40"/>
    <x v="4"/>
    <n v="2.64"/>
    <n v="36.700000000000003"/>
    <s v="62232889"/>
  </r>
  <r>
    <x v="103"/>
    <s v="2021-06-09"/>
    <x v="0"/>
    <x v="0"/>
    <n v="39"/>
    <x v="5"/>
    <n v="2.52"/>
    <n v="34.79"/>
    <s v="80271455"/>
  </r>
  <r>
    <x v="103"/>
    <s v="2021-06-09"/>
    <x v="0"/>
    <x v="0"/>
    <n v="38"/>
    <x v="7"/>
    <n v="2.5099999999999998"/>
    <n v="34.630000000000003"/>
    <s v="92874270"/>
  </r>
  <r>
    <x v="103"/>
    <s v="2021-06-09"/>
    <x v="0"/>
    <x v="0"/>
    <n v="37"/>
    <x v="6"/>
    <n v="2.4300000000000002"/>
    <n v="33.35"/>
    <s v="05676026"/>
  </r>
  <r>
    <x v="103"/>
    <s v="2021-06-09"/>
    <x v="0"/>
    <x v="0"/>
    <n v="36"/>
    <x v="9"/>
    <n v="2.38"/>
    <n v="32.549999999999997"/>
    <s v="00411939"/>
  </r>
  <r>
    <x v="103"/>
    <s v="2021-06-09"/>
    <x v="0"/>
    <x v="0"/>
    <n v="35"/>
    <x v="42"/>
    <n v="2.29"/>
    <n v="31.25"/>
    <s v="34991938"/>
  </r>
  <r>
    <x v="103"/>
    <s v="2021-06-09"/>
    <x v="0"/>
    <x v="0"/>
    <n v="34"/>
    <x v="8"/>
    <n v="2.2400000000000002"/>
    <n v="30.39"/>
    <s v="59285411"/>
  </r>
  <r>
    <x v="103"/>
    <s v="2021-06-09"/>
    <x v="0"/>
    <x v="0"/>
    <n v="33"/>
    <x v="10"/>
    <n v="2.06"/>
    <n v="27.78"/>
    <s v="10371492"/>
  </r>
  <r>
    <x v="103"/>
    <s v="2021-06-09"/>
    <x v="0"/>
    <x v="0"/>
    <n v="32"/>
    <x v="13"/>
    <n v="1.84"/>
    <n v="24.45"/>
    <s v="07707650"/>
  </r>
  <r>
    <x v="103"/>
    <s v="2021-06-09"/>
    <x v="0"/>
    <x v="0"/>
    <n v="31"/>
    <x v="12"/>
    <n v="1.8"/>
    <n v="23.86"/>
    <s v="04862600"/>
  </r>
  <r>
    <x v="103"/>
    <s v="2021-06-09"/>
    <x v="0"/>
    <x v="0"/>
    <n v="30"/>
    <x v="24"/>
    <n v="1.72"/>
    <n v="22.71"/>
    <s v="22639377"/>
  </r>
  <r>
    <x v="103"/>
    <s v="2021-06-09"/>
    <x v="0"/>
    <x v="0"/>
    <n v="29"/>
    <x v="11"/>
    <n v="1.66"/>
    <n v="21.81"/>
    <s v="03634220"/>
  </r>
  <r>
    <x v="103"/>
    <s v="2021-06-09"/>
    <x v="0"/>
    <x v="0"/>
    <n v="28"/>
    <x v="15"/>
    <n v="1.64"/>
    <n v="21.56"/>
    <s v="59588111"/>
  </r>
  <r>
    <x v="103"/>
    <s v="2021-06-09"/>
    <x v="0"/>
    <x v="0"/>
    <n v="27"/>
    <x v="14"/>
    <n v="1.63"/>
    <n v="21.45"/>
    <s v="00360305"/>
  </r>
  <r>
    <x v="103"/>
    <s v="2021-06-09"/>
    <x v="0"/>
    <x v="0"/>
    <n v="26"/>
    <x v="16"/>
    <n v="1.62"/>
    <n v="21.23"/>
    <s v="07207996"/>
  </r>
  <r>
    <x v="103"/>
    <s v="2021-06-09"/>
    <x v="0"/>
    <x v="0"/>
    <n v="25"/>
    <x v="17"/>
    <n v="1.6"/>
    <n v="20.96"/>
    <s v="04866275"/>
  </r>
  <r>
    <x v="103"/>
    <s v="2021-06-09"/>
    <x v="0"/>
    <x v="0"/>
    <n v="24"/>
    <x v="46"/>
    <n v="1.59"/>
    <n v="20.88"/>
    <s v="11760553"/>
  </r>
  <r>
    <x v="103"/>
    <s v="2021-06-09"/>
    <x v="0"/>
    <x v="0"/>
    <n v="23"/>
    <x v="20"/>
    <n v="1.55"/>
    <n v="20.3"/>
    <s v="17192451"/>
  </r>
  <r>
    <x v="103"/>
    <s v="2021-06-09"/>
    <x v="0"/>
    <x v="0"/>
    <n v="22"/>
    <x v="25"/>
    <n v="1.53"/>
    <n v="20.010000000000002"/>
    <s v="59274605"/>
  </r>
  <r>
    <x v="103"/>
    <s v="2021-06-09"/>
    <x v="0"/>
    <x v="0"/>
    <n v="21"/>
    <x v="18"/>
    <n v="1.47"/>
    <n v="19.170000000000002"/>
    <s v="28127603"/>
  </r>
  <r>
    <x v="103"/>
    <s v="2021-06-09"/>
    <x v="0"/>
    <x v="0"/>
    <n v="20"/>
    <x v="21"/>
    <n v="1.47"/>
    <n v="19.079999999999998"/>
    <s v="03017677"/>
  </r>
  <r>
    <x v="103"/>
    <s v="2021-06-09"/>
    <x v="0"/>
    <x v="0"/>
    <n v="19"/>
    <x v="19"/>
    <n v="1.46"/>
    <n v="18.98"/>
    <s v="92702067"/>
  </r>
  <r>
    <x v="103"/>
    <s v="2021-06-09"/>
    <x v="0"/>
    <x v="0"/>
    <n v="18"/>
    <x v="30"/>
    <n v="1.4"/>
    <n v="18.149999999999999"/>
    <s v="03502961"/>
  </r>
  <r>
    <x v="103"/>
    <s v="2021-06-09"/>
    <x v="0"/>
    <x v="0"/>
    <n v="17"/>
    <x v="32"/>
    <n v="1.4"/>
    <n v="18.13"/>
    <s v="60701190"/>
  </r>
  <r>
    <x v="103"/>
    <s v="2021-06-09"/>
    <x v="0"/>
    <x v="0"/>
    <n v="16"/>
    <x v="28"/>
    <n v="1.38"/>
    <n v="17.899999999999999"/>
    <s v="90400888"/>
  </r>
  <r>
    <x v="103"/>
    <s v="2021-06-09"/>
    <x v="0"/>
    <x v="0"/>
    <n v="15"/>
    <x v="26"/>
    <n v="1.36"/>
    <n v="17.55"/>
    <s v="30172491"/>
  </r>
  <r>
    <x v="103"/>
    <s v="2021-06-09"/>
    <x v="0"/>
    <x v="0"/>
    <n v="14"/>
    <x v="33"/>
    <n v="1.31"/>
    <n v="16.829999999999998"/>
    <s v="62307848"/>
  </r>
  <r>
    <x v="103"/>
    <s v="2021-06-09"/>
    <x v="0"/>
    <x v="0"/>
    <n v="13"/>
    <x v="29"/>
    <n v="1.3"/>
    <n v="16.72"/>
    <s v="60746948"/>
  </r>
  <r>
    <x v="103"/>
    <s v="2021-06-09"/>
    <x v="0"/>
    <x v="0"/>
    <n v="12"/>
    <x v="23"/>
    <n v="1.28"/>
    <n v="16.510000000000002"/>
    <s v="03215790"/>
  </r>
  <r>
    <x v="103"/>
    <s v="2021-06-09"/>
    <x v="0"/>
    <x v="0"/>
    <n v="11"/>
    <x v="27"/>
    <n v="1.25"/>
    <n v="16.05"/>
    <s v="00000000"/>
  </r>
  <r>
    <x v="103"/>
    <s v="2021-06-09"/>
    <x v="0"/>
    <x v="0"/>
    <n v="10"/>
    <x v="31"/>
    <n v="1.21"/>
    <n v="15.58"/>
    <s v="17167412"/>
  </r>
  <r>
    <x v="103"/>
    <s v="2021-06-09"/>
    <x v="0"/>
    <x v="0"/>
    <n v="9"/>
    <x v="43"/>
    <n v="1.19"/>
    <n v="15.26"/>
    <s v="07441209"/>
  </r>
  <r>
    <x v="103"/>
    <s v="2021-06-09"/>
    <x v="0"/>
    <x v="0"/>
    <n v="8"/>
    <x v="34"/>
    <n v="1.17"/>
    <n v="14.95"/>
    <s v="33603457"/>
  </r>
  <r>
    <x v="103"/>
    <s v="2021-06-09"/>
    <x v="0"/>
    <x v="0"/>
    <n v="7"/>
    <x v="37"/>
    <n v="1.1599999999999999"/>
    <n v="14.85"/>
    <s v="04452473"/>
  </r>
  <r>
    <x v="103"/>
    <s v="2021-06-09"/>
    <x v="0"/>
    <x v="0"/>
    <n v="6"/>
    <x v="36"/>
    <n v="1.1599999999999999"/>
    <n v="14.85"/>
    <s v="33136888"/>
  </r>
  <r>
    <x v="103"/>
    <s v="2021-06-09"/>
    <x v="0"/>
    <x v="0"/>
    <n v="5"/>
    <x v="44"/>
    <n v="1.1299999999999999"/>
    <n v="14.48"/>
    <s v="58017179"/>
  </r>
  <r>
    <x v="103"/>
    <s v="2021-06-09"/>
    <x v="0"/>
    <x v="0"/>
    <n v="4"/>
    <x v="39"/>
    <n v="1.1100000000000001"/>
    <n v="14.14"/>
    <s v="04902979"/>
  </r>
  <r>
    <x v="103"/>
    <s v="2021-06-09"/>
    <x v="0"/>
    <x v="0"/>
    <n v="3"/>
    <x v="35"/>
    <n v="1.02"/>
    <n v="12.89"/>
    <s v="59109165"/>
  </r>
  <r>
    <x v="103"/>
    <s v="2021-06-09"/>
    <x v="0"/>
    <x v="0"/>
    <n v="2"/>
    <x v="38"/>
    <n v="0.95"/>
    <n v="11.97"/>
    <s v="60814191"/>
  </r>
  <r>
    <x v="103"/>
    <s v="2021-06-09"/>
    <x v="0"/>
    <x v="0"/>
    <n v="1"/>
    <x v="40"/>
    <n v="0.83"/>
    <n v="10.48"/>
    <s v="02992446"/>
  </r>
  <r>
    <x v="104"/>
    <s v="2021-06-10"/>
    <x v="0"/>
    <x v="0"/>
    <n v="44"/>
    <x v="3"/>
    <n v="3.18"/>
    <n v="45.66"/>
    <s v="05503849"/>
  </r>
  <r>
    <x v="104"/>
    <s v="2021-06-10"/>
    <x v="0"/>
    <x v="0"/>
    <n v="43"/>
    <x v="1"/>
    <n v="3.06"/>
    <n v="43.65"/>
    <s v="01800019"/>
  </r>
  <r>
    <x v="104"/>
    <s v="2021-06-10"/>
    <x v="0"/>
    <x v="0"/>
    <n v="42"/>
    <x v="0"/>
    <n v="3.04"/>
    <n v="43.29"/>
    <s v="60850229"/>
  </r>
  <r>
    <x v="104"/>
    <s v="2021-06-10"/>
    <x v="0"/>
    <x v="0"/>
    <n v="41"/>
    <x v="2"/>
    <n v="2.99"/>
    <n v="42.48"/>
    <s v="92228410"/>
  </r>
  <r>
    <x v="104"/>
    <s v="2021-06-10"/>
    <x v="0"/>
    <x v="0"/>
    <n v="40"/>
    <x v="4"/>
    <n v="2.63"/>
    <n v="36.549999999999997"/>
    <s v="62232889"/>
  </r>
  <r>
    <x v="104"/>
    <s v="2021-06-10"/>
    <x v="0"/>
    <x v="0"/>
    <n v="39"/>
    <x v="7"/>
    <n v="2.52"/>
    <n v="34.78"/>
    <s v="92874270"/>
  </r>
  <r>
    <x v="104"/>
    <s v="2021-06-10"/>
    <x v="0"/>
    <x v="0"/>
    <n v="38"/>
    <x v="5"/>
    <n v="2.5"/>
    <n v="34.46"/>
    <s v="80271455"/>
  </r>
  <r>
    <x v="104"/>
    <s v="2021-06-10"/>
    <x v="0"/>
    <x v="0"/>
    <n v="37"/>
    <x v="6"/>
    <n v="2.42"/>
    <n v="33.24"/>
    <s v="05676026"/>
  </r>
  <r>
    <x v="104"/>
    <s v="2021-06-10"/>
    <x v="0"/>
    <x v="0"/>
    <n v="36"/>
    <x v="9"/>
    <n v="2.37"/>
    <n v="32.380000000000003"/>
    <s v="00411939"/>
  </r>
  <r>
    <x v="104"/>
    <s v="2021-06-10"/>
    <x v="0"/>
    <x v="0"/>
    <n v="35"/>
    <x v="42"/>
    <n v="2.25"/>
    <n v="30.56"/>
    <s v="34991938"/>
  </r>
  <r>
    <x v="104"/>
    <s v="2021-06-10"/>
    <x v="0"/>
    <x v="0"/>
    <n v="34"/>
    <x v="8"/>
    <n v="2.23"/>
    <n v="30.35"/>
    <s v="59285411"/>
  </r>
  <r>
    <x v="104"/>
    <s v="2021-06-10"/>
    <x v="0"/>
    <x v="0"/>
    <n v="33"/>
    <x v="10"/>
    <n v="2.0699999999999998"/>
    <n v="27.79"/>
    <s v="10371492"/>
  </r>
  <r>
    <x v="104"/>
    <s v="2021-06-10"/>
    <x v="0"/>
    <x v="0"/>
    <n v="32"/>
    <x v="13"/>
    <n v="1.85"/>
    <n v="24.61"/>
    <s v="07707650"/>
  </r>
  <r>
    <x v="104"/>
    <s v="2021-06-10"/>
    <x v="0"/>
    <x v="0"/>
    <n v="31"/>
    <x v="12"/>
    <n v="1.81"/>
    <n v="24"/>
    <s v="04862600"/>
  </r>
  <r>
    <x v="104"/>
    <s v="2021-06-10"/>
    <x v="0"/>
    <x v="0"/>
    <n v="30"/>
    <x v="24"/>
    <n v="1.81"/>
    <n v="24"/>
    <s v="22639377"/>
  </r>
  <r>
    <x v="104"/>
    <s v="2021-06-10"/>
    <x v="0"/>
    <x v="0"/>
    <n v="29"/>
    <x v="41"/>
    <n v="1.67"/>
    <n v="21.93"/>
    <s v="20443996"/>
  </r>
  <r>
    <x v="104"/>
    <s v="2021-06-10"/>
    <x v="0"/>
    <x v="0"/>
    <n v="28"/>
    <x v="11"/>
    <n v="1.65"/>
    <n v="21.74"/>
    <s v="03634220"/>
  </r>
  <r>
    <x v="104"/>
    <s v="2021-06-10"/>
    <x v="0"/>
    <x v="0"/>
    <n v="27"/>
    <x v="15"/>
    <n v="1.64"/>
    <n v="21.54"/>
    <s v="59588111"/>
  </r>
  <r>
    <x v="104"/>
    <s v="2021-06-10"/>
    <x v="0"/>
    <x v="0"/>
    <n v="26"/>
    <x v="16"/>
    <n v="1.62"/>
    <n v="21.22"/>
    <s v="07207996"/>
  </r>
  <r>
    <x v="104"/>
    <s v="2021-06-10"/>
    <x v="0"/>
    <x v="0"/>
    <n v="25"/>
    <x v="14"/>
    <n v="1.61"/>
    <n v="21.11"/>
    <s v="00360305"/>
  </r>
  <r>
    <x v="104"/>
    <s v="2021-06-10"/>
    <x v="0"/>
    <x v="0"/>
    <n v="24"/>
    <x v="17"/>
    <n v="1.6"/>
    <n v="20.96"/>
    <s v="04866275"/>
  </r>
  <r>
    <x v="104"/>
    <s v="2021-06-10"/>
    <x v="0"/>
    <x v="0"/>
    <n v="23"/>
    <x v="20"/>
    <n v="1.56"/>
    <n v="20.350000000000001"/>
    <s v="17192451"/>
  </r>
  <r>
    <x v="104"/>
    <s v="2021-06-10"/>
    <x v="0"/>
    <x v="0"/>
    <n v="22"/>
    <x v="25"/>
    <n v="1.55"/>
    <n v="20.29"/>
    <s v="59274605"/>
  </r>
  <r>
    <x v="104"/>
    <s v="2021-06-10"/>
    <x v="0"/>
    <x v="0"/>
    <n v="21"/>
    <x v="18"/>
    <n v="1.49"/>
    <n v="19.399999999999999"/>
    <s v="28127603"/>
  </r>
  <r>
    <x v="104"/>
    <s v="2021-06-10"/>
    <x v="0"/>
    <x v="0"/>
    <n v="20"/>
    <x v="21"/>
    <n v="1.47"/>
    <n v="19.079999999999998"/>
    <s v="03017677"/>
  </r>
  <r>
    <x v="104"/>
    <s v="2021-06-10"/>
    <x v="0"/>
    <x v="0"/>
    <n v="19"/>
    <x v="19"/>
    <n v="1.46"/>
    <n v="18.98"/>
    <s v="92702067"/>
  </r>
  <r>
    <x v="104"/>
    <s v="2021-06-10"/>
    <x v="0"/>
    <x v="0"/>
    <n v="18"/>
    <x v="28"/>
    <n v="1.41"/>
    <n v="18.27"/>
    <s v="90400888"/>
  </r>
  <r>
    <x v="104"/>
    <s v="2021-06-10"/>
    <x v="0"/>
    <x v="0"/>
    <n v="17"/>
    <x v="30"/>
    <n v="1.41"/>
    <n v="18.260000000000002"/>
    <s v="03502961"/>
  </r>
  <r>
    <x v="104"/>
    <s v="2021-06-10"/>
    <x v="0"/>
    <x v="0"/>
    <n v="16"/>
    <x v="32"/>
    <n v="1.4"/>
    <n v="18.16"/>
    <s v="60701190"/>
  </r>
  <r>
    <x v="104"/>
    <s v="2021-06-10"/>
    <x v="0"/>
    <x v="0"/>
    <n v="15"/>
    <x v="26"/>
    <n v="1.36"/>
    <n v="17.559999999999999"/>
    <s v="30172491"/>
  </r>
  <r>
    <x v="104"/>
    <s v="2021-06-10"/>
    <x v="0"/>
    <x v="0"/>
    <n v="14"/>
    <x v="33"/>
    <n v="1.31"/>
    <n v="16.89"/>
    <s v="62307848"/>
  </r>
  <r>
    <x v="104"/>
    <s v="2021-06-10"/>
    <x v="0"/>
    <x v="0"/>
    <n v="13"/>
    <x v="29"/>
    <n v="1.3"/>
    <n v="16.7"/>
    <s v="60746948"/>
  </r>
  <r>
    <x v="104"/>
    <s v="2021-06-10"/>
    <x v="0"/>
    <x v="0"/>
    <n v="12"/>
    <x v="23"/>
    <n v="1.28"/>
    <n v="16.510000000000002"/>
    <s v="03215790"/>
  </r>
  <r>
    <x v="104"/>
    <s v="2021-06-10"/>
    <x v="0"/>
    <x v="0"/>
    <n v="11"/>
    <x v="27"/>
    <n v="1.23"/>
    <n v="15.86"/>
    <s v="00000000"/>
  </r>
  <r>
    <x v="104"/>
    <s v="2021-06-10"/>
    <x v="0"/>
    <x v="0"/>
    <n v="10"/>
    <x v="31"/>
    <n v="1.22"/>
    <n v="15.67"/>
    <s v="17167412"/>
  </r>
  <r>
    <x v="104"/>
    <s v="2021-06-10"/>
    <x v="0"/>
    <x v="0"/>
    <n v="9"/>
    <x v="34"/>
    <n v="1.1599999999999999"/>
    <n v="14.9"/>
    <s v="33603457"/>
  </r>
  <r>
    <x v="104"/>
    <s v="2021-06-10"/>
    <x v="0"/>
    <x v="0"/>
    <n v="8"/>
    <x v="37"/>
    <n v="1.1599999999999999"/>
    <n v="14.83"/>
    <s v="04452473"/>
  </r>
  <r>
    <x v="104"/>
    <s v="2021-06-10"/>
    <x v="0"/>
    <x v="0"/>
    <n v="7"/>
    <x v="36"/>
    <n v="1.1399999999999999"/>
    <n v="14.61"/>
    <s v="33136888"/>
  </r>
  <r>
    <x v="104"/>
    <s v="2021-06-10"/>
    <x v="0"/>
    <x v="0"/>
    <n v="6"/>
    <x v="43"/>
    <n v="1.1399999999999999"/>
    <n v="14.56"/>
    <s v="07441209"/>
  </r>
  <r>
    <x v="104"/>
    <s v="2021-06-10"/>
    <x v="0"/>
    <x v="0"/>
    <n v="5"/>
    <x v="39"/>
    <n v="1.1000000000000001"/>
    <n v="14.05"/>
    <s v="04902979"/>
  </r>
  <r>
    <x v="104"/>
    <s v="2021-06-10"/>
    <x v="0"/>
    <x v="0"/>
    <n v="4"/>
    <x v="35"/>
    <n v="1.01"/>
    <n v="12.84"/>
    <s v="59109165"/>
  </r>
  <r>
    <x v="104"/>
    <s v="2021-06-10"/>
    <x v="0"/>
    <x v="0"/>
    <n v="3"/>
    <x v="40"/>
    <n v="0.98"/>
    <n v="12.41"/>
    <s v="02992446"/>
  </r>
  <r>
    <x v="104"/>
    <s v="2021-06-10"/>
    <x v="0"/>
    <x v="0"/>
    <n v="2"/>
    <x v="38"/>
    <n v="0.96"/>
    <n v="12.19"/>
    <s v="60814191"/>
  </r>
  <r>
    <x v="104"/>
    <s v="2021-06-10"/>
    <x v="0"/>
    <x v="0"/>
    <n v="1"/>
    <x v="22"/>
    <n v="0.92"/>
    <n v="11.66"/>
    <s v="11417016"/>
  </r>
  <r>
    <x v="105"/>
    <s v="2021-06-11"/>
    <x v="0"/>
    <x v="0"/>
    <n v="44"/>
    <x v="3"/>
    <n v="3.23"/>
    <n v="46.38"/>
    <s v="05503849"/>
  </r>
  <r>
    <x v="105"/>
    <s v="2021-06-11"/>
    <x v="0"/>
    <x v="0"/>
    <n v="43"/>
    <x v="0"/>
    <n v="3.07"/>
    <n v="43.77"/>
    <s v="60850229"/>
  </r>
  <r>
    <x v="105"/>
    <s v="2021-06-11"/>
    <x v="0"/>
    <x v="0"/>
    <n v="42"/>
    <x v="2"/>
    <n v="2.98"/>
    <n v="42.31"/>
    <s v="92228410"/>
  </r>
  <r>
    <x v="105"/>
    <s v="2021-06-11"/>
    <x v="0"/>
    <x v="0"/>
    <n v="41"/>
    <x v="1"/>
    <n v="2.86"/>
    <n v="40.29"/>
    <s v="01800019"/>
  </r>
  <r>
    <x v="105"/>
    <s v="2021-06-11"/>
    <x v="0"/>
    <x v="0"/>
    <n v="40"/>
    <x v="4"/>
    <n v="2.62"/>
    <n v="36.450000000000003"/>
    <s v="62232889"/>
  </r>
  <r>
    <x v="105"/>
    <s v="2021-06-11"/>
    <x v="0"/>
    <x v="0"/>
    <n v="39"/>
    <x v="7"/>
    <n v="2.52"/>
    <n v="34.729999999999997"/>
    <s v="92874270"/>
  </r>
  <r>
    <x v="105"/>
    <s v="2021-06-11"/>
    <x v="0"/>
    <x v="0"/>
    <n v="38"/>
    <x v="6"/>
    <n v="2.42"/>
    <n v="33.229999999999997"/>
    <s v="05676026"/>
  </r>
  <r>
    <x v="105"/>
    <s v="2021-06-11"/>
    <x v="0"/>
    <x v="0"/>
    <n v="37"/>
    <x v="9"/>
    <n v="2.36"/>
    <n v="32.24"/>
    <s v="00411939"/>
  </r>
  <r>
    <x v="105"/>
    <s v="2021-06-11"/>
    <x v="0"/>
    <x v="0"/>
    <n v="36"/>
    <x v="5"/>
    <n v="2.35"/>
    <n v="32.159999999999997"/>
    <s v="80271455"/>
  </r>
  <r>
    <x v="105"/>
    <s v="2021-06-11"/>
    <x v="0"/>
    <x v="0"/>
    <n v="35"/>
    <x v="42"/>
    <n v="2.2799999999999998"/>
    <n v="31.02"/>
    <s v="34991938"/>
  </r>
  <r>
    <x v="105"/>
    <s v="2021-06-11"/>
    <x v="0"/>
    <x v="0"/>
    <n v="34"/>
    <x v="8"/>
    <n v="2.23"/>
    <n v="30.3"/>
    <s v="59285411"/>
  </r>
  <r>
    <x v="105"/>
    <s v="2021-06-11"/>
    <x v="0"/>
    <x v="0"/>
    <n v="33"/>
    <x v="10"/>
    <n v="2.08"/>
    <n v="27.97"/>
    <s v="10371492"/>
  </r>
  <r>
    <x v="105"/>
    <s v="2021-06-11"/>
    <x v="0"/>
    <x v="0"/>
    <n v="32"/>
    <x v="49"/>
    <n v="1.88"/>
    <n v="25.01"/>
    <s v="58160789"/>
  </r>
  <r>
    <x v="105"/>
    <s v="2021-06-11"/>
    <x v="0"/>
    <x v="0"/>
    <n v="31"/>
    <x v="13"/>
    <n v="1.86"/>
    <n v="24.73"/>
    <s v="07707650"/>
  </r>
  <r>
    <x v="105"/>
    <s v="2021-06-11"/>
    <x v="0"/>
    <x v="0"/>
    <n v="30"/>
    <x v="24"/>
    <n v="1.82"/>
    <n v="24.16"/>
    <s v="22639377"/>
  </r>
  <r>
    <x v="105"/>
    <s v="2021-06-11"/>
    <x v="0"/>
    <x v="0"/>
    <n v="29"/>
    <x v="12"/>
    <n v="1.82"/>
    <n v="24.09"/>
    <s v="04862600"/>
  </r>
  <r>
    <x v="105"/>
    <s v="2021-06-11"/>
    <x v="0"/>
    <x v="0"/>
    <n v="28"/>
    <x v="41"/>
    <n v="1.67"/>
    <n v="21.93"/>
    <s v="20443996"/>
  </r>
  <r>
    <x v="105"/>
    <s v="2021-06-11"/>
    <x v="0"/>
    <x v="0"/>
    <n v="27"/>
    <x v="11"/>
    <n v="1.65"/>
    <n v="21.64"/>
    <s v="03634220"/>
  </r>
  <r>
    <x v="105"/>
    <s v="2021-06-11"/>
    <x v="0"/>
    <x v="0"/>
    <n v="26"/>
    <x v="15"/>
    <n v="1.64"/>
    <n v="21.54"/>
    <s v="59588111"/>
  </r>
  <r>
    <x v="105"/>
    <s v="2021-06-11"/>
    <x v="0"/>
    <x v="0"/>
    <n v="25"/>
    <x v="16"/>
    <n v="1.63"/>
    <n v="21.34"/>
    <s v="07207996"/>
  </r>
  <r>
    <x v="105"/>
    <s v="2021-06-11"/>
    <x v="0"/>
    <x v="0"/>
    <n v="24"/>
    <x v="18"/>
    <n v="1.56"/>
    <n v="20.420000000000002"/>
    <s v="28127603"/>
  </r>
  <r>
    <x v="105"/>
    <s v="2021-06-11"/>
    <x v="0"/>
    <x v="0"/>
    <n v="23"/>
    <x v="14"/>
    <n v="1.56"/>
    <n v="20.41"/>
    <s v="00360305"/>
  </r>
  <r>
    <x v="105"/>
    <s v="2021-06-11"/>
    <x v="0"/>
    <x v="0"/>
    <n v="22"/>
    <x v="20"/>
    <n v="1.56"/>
    <n v="20.350000000000001"/>
    <s v="17192451"/>
  </r>
  <r>
    <x v="105"/>
    <s v="2021-06-11"/>
    <x v="0"/>
    <x v="0"/>
    <n v="21"/>
    <x v="25"/>
    <n v="1.54"/>
    <n v="20.16"/>
    <s v="59274605"/>
  </r>
  <r>
    <x v="105"/>
    <s v="2021-06-11"/>
    <x v="0"/>
    <x v="0"/>
    <n v="20"/>
    <x v="21"/>
    <n v="1.47"/>
    <n v="19.16"/>
    <s v="03017677"/>
  </r>
  <r>
    <x v="105"/>
    <s v="2021-06-11"/>
    <x v="0"/>
    <x v="0"/>
    <n v="19"/>
    <x v="19"/>
    <n v="1.46"/>
    <n v="18.98"/>
    <s v="92702067"/>
  </r>
  <r>
    <x v="105"/>
    <s v="2021-06-11"/>
    <x v="0"/>
    <x v="0"/>
    <n v="18"/>
    <x v="30"/>
    <n v="1.41"/>
    <n v="18.309999999999999"/>
    <s v="03502961"/>
  </r>
  <r>
    <x v="105"/>
    <s v="2021-06-11"/>
    <x v="0"/>
    <x v="0"/>
    <n v="17"/>
    <x v="28"/>
    <n v="1.41"/>
    <n v="18.22"/>
    <s v="90400888"/>
  </r>
  <r>
    <x v="105"/>
    <s v="2021-06-11"/>
    <x v="0"/>
    <x v="0"/>
    <n v="16"/>
    <x v="32"/>
    <n v="1.4"/>
    <n v="18.100000000000001"/>
    <s v="60701190"/>
  </r>
  <r>
    <x v="105"/>
    <s v="2021-06-11"/>
    <x v="0"/>
    <x v="0"/>
    <n v="15"/>
    <x v="26"/>
    <n v="1.36"/>
    <n v="17.57"/>
    <s v="30172491"/>
  </r>
  <r>
    <x v="105"/>
    <s v="2021-06-11"/>
    <x v="0"/>
    <x v="0"/>
    <n v="14"/>
    <x v="33"/>
    <n v="1.31"/>
    <n v="16.88"/>
    <s v="62307848"/>
  </r>
  <r>
    <x v="105"/>
    <s v="2021-06-11"/>
    <x v="0"/>
    <x v="0"/>
    <n v="13"/>
    <x v="29"/>
    <n v="1.3"/>
    <n v="16.78"/>
    <s v="60746948"/>
  </r>
  <r>
    <x v="105"/>
    <s v="2021-06-11"/>
    <x v="0"/>
    <x v="0"/>
    <n v="12"/>
    <x v="23"/>
    <n v="1.28"/>
    <n v="16.55"/>
    <s v="03215790"/>
  </r>
  <r>
    <x v="105"/>
    <s v="2021-06-11"/>
    <x v="0"/>
    <x v="0"/>
    <n v="11"/>
    <x v="31"/>
    <n v="1.24"/>
    <n v="15.93"/>
    <s v="17167412"/>
  </r>
  <r>
    <x v="105"/>
    <s v="2021-06-11"/>
    <x v="0"/>
    <x v="0"/>
    <n v="10"/>
    <x v="27"/>
    <n v="1.23"/>
    <n v="15.86"/>
    <s v="00000000"/>
  </r>
  <r>
    <x v="105"/>
    <s v="2021-06-11"/>
    <x v="0"/>
    <x v="0"/>
    <n v="9"/>
    <x v="36"/>
    <n v="1.17"/>
    <n v="15.03"/>
    <s v="33136888"/>
  </r>
  <r>
    <x v="105"/>
    <s v="2021-06-11"/>
    <x v="0"/>
    <x v="0"/>
    <n v="8"/>
    <x v="37"/>
    <n v="1.1599999999999999"/>
    <n v="14.82"/>
    <s v="04452473"/>
  </r>
  <r>
    <x v="105"/>
    <s v="2021-06-11"/>
    <x v="0"/>
    <x v="0"/>
    <n v="7"/>
    <x v="34"/>
    <n v="1.1200000000000001"/>
    <n v="14.35"/>
    <s v="33603457"/>
  </r>
  <r>
    <x v="105"/>
    <s v="2021-06-11"/>
    <x v="0"/>
    <x v="0"/>
    <n v="6"/>
    <x v="39"/>
    <n v="1.1000000000000001"/>
    <n v="14.05"/>
    <s v="04902979"/>
  </r>
  <r>
    <x v="105"/>
    <s v="2021-06-11"/>
    <x v="0"/>
    <x v="0"/>
    <n v="5"/>
    <x v="43"/>
    <n v="1.01"/>
    <n v="12.81"/>
    <s v="07441209"/>
  </r>
  <r>
    <x v="105"/>
    <s v="2021-06-11"/>
    <x v="0"/>
    <x v="0"/>
    <n v="4"/>
    <x v="35"/>
    <n v="1.01"/>
    <n v="12.75"/>
    <s v="59109165"/>
  </r>
  <r>
    <x v="105"/>
    <s v="2021-06-11"/>
    <x v="0"/>
    <x v="0"/>
    <n v="3"/>
    <x v="40"/>
    <n v="0.98"/>
    <n v="12.39"/>
    <s v="02992446"/>
  </r>
  <r>
    <x v="105"/>
    <s v="2021-06-11"/>
    <x v="0"/>
    <x v="0"/>
    <n v="2"/>
    <x v="22"/>
    <n v="0.92"/>
    <n v="11.66"/>
    <s v="11417016"/>
  </r>
  <r>
    <x v="105"/>
    <s v="2021-06-11"/>
    <x v="0"/>
    <x v="0"/>
    <n v="1"/>
    <x v="38"/>
    <n v="0.91"/>
    <n v="11.45"/>
    <s v="60814191"/>
  </r>
  <r>
    <x v="106"/>
    <s v="2021-06-14"/>
    <x v="0"/>
    <x v="0"/>
    <n v="45"/>
    <x v="3"/>
    <n v="3.25"/>
    <n v="46.79"/>
    <s v="05503849"/>
  </r>
  <r>
    <x v="106"/>
    <s v="2021-06-14"/>
    <x v="0"/>
    <x v="0"/>
    <n v="44"/>
    <x v="0"/>
    <n v="3.03"/>
    <n v="43.01"/>
    <s v="60850229"/>
  </r>
  <r>
    <x v="106"/>
    <s v="2021-06-14"/>
    <x v="0"/>
    <x v="0"/>
    <n v="43"/>
    <x v="2"/>
    <n v="2.98"/>
    <n v="42.23"/>
    <s v="92228410"/>
  </r>
  <r>
    <x v="106"/>
    <s v="2021-06-14"/>
    <x v="0"/>
    <x v="0"/>
    <n v="42"/>
    <x v="1"/>
    <n v="2.77"/>
    <n v="38.82"/>
    <s v="01800019"/>
  </r>
  <r>
    <x v="106"/>
    <s v="2021-06-14"/>
    <x v="0"/>
    <x v="0"/>
    <n v="41"/>
    <x v="4"/>
    <n v="2.63"/>
    <n v="36.590000000000003"/>
    <s v="62232889"/>
  </r>
  <r>
    <x v="106"/>
    <s v="2021-06-14"/>
    <x v="0"/>
    <x v="0"/>
    <n v="40"/>
    <x v="7"/>
    <n v="2.5099999999999998"/>
    <n v="34.72"/>
    <s v="92874270"/>
  </r>
  <r>
    <x v="106"/>
    <s v="2021-06-14"/>
    <x v="0"/>
    <x v="0"/>
    <n v="39"/>
    <x v="6"/>
    <n v="2.42"/>
    <n v="33.21"/>
    <s v="05676026"/>
  </r>
  <r>
    <x v="106"/>
    <s v="2021-06-14"/>
    <x v="0"/>
    <x v="0"/>
    <n v="38"/>
    <x v="5"/>
    <n v="2.42"/>
    <n v="33.159999999999997"/>
    <s v="80271455"/>
  </r>
  <r>
    <x v="106"/>
    <s v="2021-06-14"/>
    <x v="0"/>
    <x v="0"/>
    <n v="37"/>
    <x v="42"/>
    <n v="2.2799999999999998"/>
    <n v="31.02"/>
    <s v="34991938"/>
  </r>
  <r>
    <x v="106"/>
    <s v="2021-06-14"/>
    <x v="0"/>
    <x v="0"/>
    <n v="36"/>
    <x v="9"/>
    <n v="2.25"/>
    <n v="30.57"/>
    <s v="00411939"/>
  </r>
  <r>
    <x v="106"/>
    <s v="2021-06-14"/>
    <x v="0"/>
    <x v="0"/>
    <n v="35"/>
    <x v="8"/>
    <n v="2.23"/>
    <n v="30.23"/>
    <s v="59285411"/>
  </r>
  <r>
    <x v="106"/>
    <s v="2021-06-14"/>
    <x v="0"/>
    <x v="0"/>
    <n v="34"/>
    <x v="10"/>
    <n v="2.09"/>
    <n v="28.14"/>
    <s v="10371492"/>
  </r>
  <r>
    <x v="106"/>
    <s v="2021-06-14"/>
    <x v="0"/>
    <x v="0"/>
    <n v="33"/>
    <x v="49"/>
    <n v="1.88"/>
    <n v="25.01"/>
    <s v="58160789"/>
  </r>
  <r>
    <x v="106"/>
    <s v="2021-06-14"/>
    <x v="0"/>
    <x v="0"/>
    <n v="32"/>
    <x v="13"/>
    <n v="1.87"/>
    <n v="24.87"/>
    <s v="07707650"/>
  </r>
  <r>
    <x v="106"/>
    <s v="2021-06-14"/>
    <x v="0"/>
    <x v="0"/>
    <n v="31"/>
    <x v="12"/>
    <n v="1.84"/>
    <n v="24.42"/>
    <s v="04862600"/>
  </r>
  <r>
    <x v="106"/>
    <s v="2021-06-14"/>
    <x v="0"/>
    <x v="0"/>
    <n v="30"/>
    <x v="41"/>
    <n v="1.67"/>
    <n v="21.93"/>
    <s v="20443996"/>
  </r>
  <r>
    <x v="106"/>
    <s v="2021-06-14"/>
    <x v="0"/>
    <x v="0"/>
    <n v="29"/>
    <x v="24"/>
    <n v="1.66"/>
    <n v="21.8"/>
    <s v="22639377"/>
  </r>
  <r>
    <x v="106"/>
    <s v="2021-06-14"/>
    <x v="0"/>
    <x v="0"/>
    <n v="28"/>
    <x v="15"/>
    <n v="1.64"/>
    <n v="21.57"/>
    <s v="59588111"/>
  </r>
  <r>
    <x v="106"/>
    <s v="2021-06-14"/>
    <x v="0"/>
    <x v="0"/>
    <n v="27"/>
    <x v="16"/>
    <n v="1.63"/>
    <n v="21.45"/>
    <s v="07207996"/>
  </r>
  <r>
    <x v="106"/>
    <s v="2021-06-14"/>
    <x v="0"/>
    <x v="0"/>
    <n v="26"/>
    <x v="11"/>
    <n v="1.63"/>
    <n v="21.35"/>
    <s v="03634220"/>
  </r>
  <r>
    <x v="106"/>
    <s v="2021-06-14"/>
    <x v="0"/>
    <x v="0"/>
    <n v="25"/>
    <x v="20"/>
    <n v="1.56"/>
    <n v="20.38"/>
    <s v="17192451"/>
  </r>
  <r>
    <x v="106"/>
    <s v="2021-06-14"/>
    <x v="0"/>
    <x v="0"/>
    <n v="24"/>
    <x v="25"/>
    <n v="1.53"/>
    <n v="20.010000000000002"/>
    <s v="59274605"/>
  </r>
  <r>
    <x v="106"/>
    <s v="2021-06-14"/>
    <x v="0"/>
    <x v="0"/>
    <n v="23"/>
    <x v="14"/>
    <n v="1.53"/>
    <n v="19.940000000000001"/>
    <s v="00360305"/>
  </r>
  <r>
    <x v="106"/>
    <s v="2021-06-14"/>
    <x v="0"/>
    <x v="0"/>
    <n v="22"/>
    <x v="21"/>
    <n v="1.47"/>
    <n v="19.18"/>
    <s v="03017677"/>
  </r>
  <r>
    <x v="106"/>
    <s v="2021-06-14"/>
    <x v="0"/>
    <x v="0"/>
    <n v="21"/>
    <x v="18"/>
    <n v="1.45"/>
    <n v="18.850000000000001"/>
    <s v="28127603"/>
  </r>
  <r>
    <x v="106"/>
    <s v="2021-06-14"/>
    <x v="0"/>
    <x v="0"/>
    <n v="20"/>
    <x v="19"/>
    <n v="1.45"/>
    <n v="18.79"/>
    <s v="92702067"/>
  </r>
  <r>
    <x v="106"/>
    <s v="2021-06-14"/>
    <x v="0"/>
    <x v="0"/>
    <n v="19"/>
    <x v="30"/>
    <n v="1.41"/>
    <n v="18.329999999999998"/>
    <s v="03502961"/>
  </r>
  <r>
    <x v="106"/>
    <s v="2021-06-14"/>
    <x v="0"/>
    <x v="0"/>
    <n v="18"/>
    <x v="28"/>
    <n v="1.41"/>
    <n v="18.309999999999999"/>
    <s v="90400888"/>
  </r>
  <r>
    <x v="106"/>
    <s v="2021-06-14"/>
    <x v="0"/>
    <x v="0"/>
    <n v="17"/>
    <x v="32"/>
    <n v="1.4"/>
    <n v="18.09"/>
    <s v="60701190"/>
  </r>
  <r>
    <x v="106"/>
    <s v="2021-06-14"/>
    <x v="0"/>
    <x v="0"/>
    <n v="16"/>
    <x v="26"/>
    <n v="1.35"/>
    <n v="17.48"/>
    <s v="30172491"/>
  </r>
  <r>
    <x v="106"/>
    <s v="2021-06-14"/>
    <x v="0"/>
    <x v="0"/>
    <n v="15"/>
    <x v="33"/>
    <n v="1.31"/>
    <n v="16.829999999999998"/>
    <s v="62307848"/>
  </r>
  <r>
    <x v="106"/>
    <s v="2021-06-14"/>
    <x v="0"/>
    <x v="0"/>
    <n v="14"/>
    <x v="29"/>
    <n v="1.3"/>
    <n v="16.760000000000002"/>
    <s v="60746948"/>
  </r>
  <r>
    <x v="106"/>
    <s v="2021-06-14"/>
    <x v="0"/>
    <x v="0"/>
    <n v="13"/>
    <x v="23"/>
    <n v="1.29"/>
    <n v="16.64"/>
    <s v="03215790"/>
  </r>
  <r>
    <x v="106"/>
    <s v="2021-06-14"/>
    <x v="0"/>
    <x v="0"/>
    <n v="12"/>
    <x v="27"/>
    <n v="1.23"/>
    <n v="15.86"/>
    <s v="00000000"/>
  </r>
  <r>
    <x v="106"/>
    <s v="2021-06-14"/>
    <x v="0"/>
    <x v="0"/>
    <n v="11"/>
    <x v="31"/>
    <n v="1.23"/>
    <n v="15.85"/>
    <s v="17167412"/>
  </r>
  <r>
    <x v="106"/>
    <s v="2021-06-14"/>
    <x v="0"/>
    <x v="0"/>
    <n v="10"/>
    <x v="36"/>
    <n v="1.17"/>
    <n v="15.03"/>
    <s v="33136888"/>
  </r>
  <r>
    <x v="106"/>
    <s v="2021-06-14"/>
    <x v="0"/>
    <x v="0"/>
    <n v="9"/>
    <x v="37"/>
    <n v="1.1599999999999999"/>
    <n v="14.85"/>
    <s v="04452473"/>
  </r>
  <r>
    <x v="106"/>
    <s v="2021-06-14"/>
    <x v="0"/>
    <x v="0"/>
    <n v="8"/>
    <x v="34"/>
    <n v="1.1100000000000001"/>
    <n v="14.16"/>
    <s v="33603457"/>
  </r>
  <r>
    <x v="106"/>
    <s v="2021-06-14"/>
    <x v="0"/>
    <x v="0"/>
    <n v="7"/>
    <x v="39"/>
    <n v="1.08"/>
    <n v="13.74"/>
    <s v="04902979"/>
  </r>
  <r>
    <x v="106"/>
    <s v="2021-06-14"/>
    <x v="0"/>
    <x v="0"/>
    <n v="6"/>
    <x v="40"/>
    <n v="1.04"/>
    <n v="13.23"/>
    <s v="02992446"/>
  </r>
  <r>
    <x v="106"/>
    <s v="2021-06-14"/>
    <x v="0"/>
    <x v="0"/>
    <n v="5"/>
    <x v="47"/>
    <n v="1.01"/>
    <n v="12.87"/>
    <s v="28517628"/>
  </r>
  <r>
    <x v="106"/>
    <s v="2021-06-14"/>
    <x v="0"/>
    <x v="0"/>
    <n v="4"/>
    <x v="35"/>
    <n v="1.01"/>
    <n v="12.81"/>
    <s v="59109165"/>
  </r>
  <r>
    <x v="106"/>
    <s v="2021-06-14"/>
    <x v="0"/>
    <x v="0"/>
    <n v="3"/>
    <x v="43"/>
    <n v="1.01"/>
    <n v="12.81"/>
    <s v="07441209"/>
  </r>
  <r>
    <x v="106"/>
    <s v="2021-06-14"/>
    <x v="0"/>
    <x v="0"/>
    <n v="2"/>
    <x v="22"/>
    <n v="0.92"/>
    <n v="11.64"/>
    <s v="11417016"/>
  </r>
  <r>
    <x v="106"/>
    <s v="2021-06-14"/>
    <x v="0"/>
    <x v="0"/>
    <n v="1"/>
    <x v="38"/>
    <n v="0.89"/>
    <n v="11.25"/>
    <s v="60814191"/>
  </r>
  <r>
    <x v="107"/>
    <s v="2021-06-15"/>
    <x v="0"/>
    <x v="0"/>
    <n v="44"/>
    <x v="3"/>
    <n v="3.29"/>
    <n v="47.5"/>
    <s v="05503849"/>
  </r>
  <r>
    <x v="107"/>
    <s v="2021-06-15"/>
    <x v="0"/>
    <x v="0"/>
    <n v="43"/>
    <x v="2"/>
    <n v="2.99"/>
    <n v="42.33"/>
    <s v="92228410"/>
  </r>
  <r>
    <x v="107"/>
    <s v="2021-06-15"/>
    <x v="0"/>
    <x v="0"/>
    <n v="42"/>
    <x v="0"/>
    <n v="2.96"/>
    <n v="41.94"/>
    <s v="60850229"/>
  </r>
  <r>
    <x v="107"/>
    <s v="2021-06-15"/>
    <x v="0"/>
    <x v="0"/>
    <n v="41"/>
    <x v="1"/>
    <n v="2.79"/>
    <n v="39.14"/>
    <s v="01800019"/>
  </r>
  <r>
    <x v="107"/>
    <s v="2021-06-15"/>
    <x v="0"/>
    <x v="0"/>
    <n v="40"/>
    <x v="4"/>
    <n v="2.64"/>
    <n v="36.64"/>
    <s v="62232889"/>
  </r>
  <r>
    <x v="107"/>
    <s v="2021-06-15"/>
    <x v="0"/>
    <x v="0"/>
    <n v="39"/>
    <x v="7"/>
    <n v="2.52"/>
    <n v="34.770000000000003"/>
    <s v="92874270"/>
  </r>
  <r>
    <x v="107"/>
    <s v="2021-06-15"/>
    <x v="0"/>
    <x v="0"/>
    <n v="38"/>
    <x v="6"/>
    <n v="2.42"/>
    <n v="33.19"/>
    <s v="05676026"/>
  </r>
  <r>
    <x v="107"/>
    <s v="2021-06-15"/>
    <x v="0"/>
    <x v="0"/>
    <n v="37"/>
    <x v="5"/>
    <n v="2.41"/>
    <n v="33.119999999999997"/>
    <s v="80271455"/>
  </r>
  <r>
    <x v="107"/>
    <s v="2021-06-15"/>
    <x v="0"/>
    <x v="0"/>
    <n v="36"/>
    <x v="42"/>
    <n v="2.3199999999999998"/>
    <n v="31.6"/>
    <s v="34991938"/>
  </r>
  <r>
    <x v="107"/>
    <s v="2021-06-15"/>
    <x v="0"/>
    <x v="0"/>
    <n v="35"/>
    <x v="9"/>
    <n v="2.29"/>
    <n v="31.2"/>
    <s v="00411939"/>
  </r>
  <r>
    <x v="107"/>
    <s v="2021-06-15"/>
    <x v="0"/>
    <x v="0"/>
    <n v="34"/>
    <x v="8"/>
    <n v="2.23"/>
    <n v="30.25"/>
    <s v="59285411"/>
  </r>
  <r>
    <x v="107"/>
    <s v="2021-06-15"/>
    <x v="0"/>
    <x v="0"/>
    <n v="33"/>
    <x v="10"/>
    <n v="2.09"/>
    <n v="28.11"/>
    <s v="10371492"/>
  </r>
  <r>
    <x v="107"/>
    <s v="2021-06-15"/>
    <x v="0"/>
    <x v="0"/>
    <n v="32"/>
    <x v="49"/>
    <n v="1.88"/>
    <n v="25.01"/>
    <s v="58160789"/>
  </r>
  <r>
    <x v="107"/>
    <s v="2021-06-15"/>
    <x v="0"/>
    <x v="0"/>
    <n v="31"/>
    <x v="12"/>
    <n v="1.87"/>
    <n v="24.95"/>
    <s v="04862600"/>
  </r>
  <r>
    <x v="107"/>
    <s v="2021-06-15"/>
    <x v="0"/>
    <x v="0"/>
    <n v="30"/>
    <x v="13"/>
    <n v="1.87"/>
    <n v="24.87"/>
    <s v="07707650"/>
  </r>
  <r>
    <x v="107"/>
    <s v="2021-06-15"/>
    <x v="0"/>
    <x v="0"/>
    <n v="29"/>
    <x v="24"/>
    <n v="1.69"/>
    <n v="22.23"/>
    <s v="22639377"/>
  </r>
  <r>
    <x v="107"/>
    <s v="2021-06-15"/>
    <x v="0"/>
    <x v="0"/>
    <n v="28"/>
    <x v="41"/>
    <n v="1.67"/>
    <n v="21.93"/>
    <s v="20443996"/>
  </r>
  <r>
    <x v="107"/>
    <s v="2021-06-15"/>
    <x v="0"/>
    <x v="0"/>
    <n v="27"/>
    <x v="15"/>
    <n v="1.64"/>
    <n v="21.58"/>
    <s v="59588111"/>
  </r>
  <r>
    <x v="107"/>
    <s v="2021-06-15"/>
    <x v="0"/>
    <x v="0"/>
    <n v="26"/>
    <x v="16"/>
    <n v="1.63"/>
    <n v="21.46"/>
    <s v="07207996"/>
  </r>
  <r>
    <x v="107"/>
    <s v="2021-06-15"/>
    <x v="0"/>
    <x v="0"/>
    <n v="25"/>
    <x v="11"/>
    <n v="1.63"/>
    <n v="21.39"/>
    <s v="03634220"/>
  </r>
  <r>
    <x v="107"/>
    <s v="2021-06-15"/>
    <x v="0"/>
    <x v="0"/>
    <n v="24"/>
    <x v="20"/>
    <n v="1.56"/>
    <n v="20.399999999999999"/>
    <s v="17192451"/>
  </r>
  <r>
    <x v="107"/>
    <s v="2021-06-15"/>
    <x v="0"/>
    <x v="0"/>
    <n v="23"/>
    <x v="25"/>
    <n v="1.51"/>
    <n v="19.77"/>
    <s v="59274605"/>
  </r>
  <r>
    <x v="107"/>
    <s v="2021-06-15"/>
    <x v="0"/>
    <x v="0"/>
    <n v="22"/>
    <x v="14"/>
    <n v="1.51"/>
    <n v="19.690000000000001"/>
    <s v="00360305"/>
  </r>
  <r>
    <x v="107"/>
    <s v="2021-06-15"/>
    <x v="0"/>
    <x v="0"/>
    <n v="21"/>
    <x v="21"/>
    <n v="1.47"/>
    <n v="19.14"/>
    <s v="03017677"/>
  </r>
  <r>
    <x v="107"/>
    <s v="2021-06-15"/>
    <x v="0"/>
    <x v="0"/>
    <n v="20"/>
    <x v="18"/>
    <n v="1.46"/>
    <n v="18.93"/>
    <s v="28127603"/>
  </r>
  <r>
    <x v="107"/>
    <s v="2021-06-15"/>
    <x v="0"/>
    <x v="0"/>
    <n v="19"/>
    <x v="28"/>
    <n v="1.43"/>
    <n v="18.579999999999998"/>
    <s v="90400888"/>
  </r>
  <r>
    <x v="107"/>
    <s v="2021-06-15"/>
    <x v="0"/>
    <x v="0"/>
    <n v="18"/>
    <x v="30"/>
    <n v="1.43"/>
    <n v="18.53"/>
    <s v="03502961"/>
  </r>
  <r>
    <x v="107"/>
    <s v="2021-06-15"/>
    <x v="0"/>
    <x v="0"/>
    <n v="17"/>
    <x v="32"/>
    <n v="1.38"/>
    <n v="17.899999999999999"/>
    <s v="60701190"/>
  </r>
  <r>
    <x v="107"/>
    <s v="2021-06-15"/>
    <x v="0"/>
    <x v="0"/>
    <n v="16"/>
    <x v="26"/>
    <n v="1.35"/>
    <n v="17.420000000000002"/>
    <s v="30172491"/>
  </r>
  <r>
    <x v="107"/>
    <s v="2021-06-15"/>
    <x v="0"/>
    <x v="0"/>
    <n v="15"/>
    <x v="29"/>
    <n v="1.31"/>
    <n v="16.95"/>
    <s v="60746948"/>
  </r>
  <r>
    <x v="107"/>
    <s v="2021-06-15"/>
    <x v="0"/>
    <x v="0"/>
    <n v="14"/>
    <x v="33"/>
    <n v="1.31"/>
    <n v="16.88"/>
    <s v="62307848"/>
  </r>
  <r>
    <x v="107"/>
    <s v="2021-06-15"/>
    <x v="0"/>
    <x v="0"/>
    <n v="13"/>
    <x v="23"/>
    <n v="1.28"/>
    <n v="16.48"/>
    <s v="03215790"/>
  </r>
  <r>
    <x v="107"/>
    <s v="2021-06-15"/>
    <x v="0"/>
    <x v="0"/>
    <n v="12"/>
    <x v="31"/>
    <n v="1.24"/>
    <n v="15.95"/>
    <s v="17167412"/>
  </r>
  <r>
    <x v="107"/>
    <s v="2021-06-15"/>
    <x v="0"/>
    <x v="0"/>
    <n v="11"/>
    <x v="27"/>
    <n v="1.23"/>
    <n v="15.81"/>
    <s v="00000000"/>
  </r>
  <r>
    <x v="107"/>
    <s v="2021-06-15"/>
    <x v="0"/>
    <x v="0"/>
    <n v="10"/>
    <x v="37"/>
    <n v="1.1599999999999999"/>
    <n v="14.85"/>
    <s v="04452473"/>
  </r>
  <r>
    <x v="107"/>
    <s v="2021-06-15"/>
    <x v="0"/>
    <x v="0"/>
    <n v="9"/>
    <x v="36"/>
    <n v="1.1499999999999999"/>
    <n v="14.64"/>
    <s v="33136888"/>
  </r>
  <r>
    <x v="107"/>
    <s v="2021-06-15"/>
    <x v="0"/>
    <x v="0"/>
    <n v="8"/>
    <x v="39"/>
    <n v="1.1399999999999999"/>
    <n v="14.51"/>
    <s v="04902979"/>
  </r>
  <r>
    <x v="107"/>
    <s v="2021-06-15"/>
    <x v="0"/>
    <x v="0"/>
    <n v="7"/>
    <x v="34"/>
    <n v="1.1100000000000001"/>
    <n v="14.2"/>
    <s v="33603457"/>
  </r>
  <r>
    <x v="107"/>
    <s v="2021-06-15"/>
    <x v="0"/>
    <x v="0"/>
    <n v="6"/>
    <x v="40"/>
    <n v="1.04"/>
    <n v="13.22"/>
    <s v="02992446"/>
  </r>
  <r>
    <x v="107"/>
    <s v="2021-06-15"/>
    <x v="0"/>
    <x v="0"/>
    <n v="5"/>
    <x v="35"/>
    <n v="1.02"/>
    <n v="12.93"/>
    <s v="59109165"/>
  </r>
  <r>
    <x v="107"/>
    <s v="2021-06-15"/>
    <x v="0"/>
    <x v="0"/>
    <n v="4"/>
    <x v="47"/>
    <n v="1.01"/>
    <n v="12.87"/>
    <s v="28517628"/>
  </r>
  <r>
    <x v="107"/>
    <s v="2021-06-15"/>
    <x v="0"/>
    <x v="0"/>
    <n v="3"/>
    <x v="43"/>
    <n v="1.01"/>
    <n v="12.81"/>
    <s v="07441209"/>
  </r>
  <r>
    <x v="107"/>
    <s v="2021-06-15"/>
    <x v="0"/>
    <x v="0"/>
    <n v="2"/>
    <x v="22"/>
    <n v="0.92"/>
    <n v="11.66"/>
    <s v="11417016"/>
  </r>
  <r>
    <x v="107"/>
    <s v="2021-06-15"/>
    <x v="0"/>
    <x v="0"/>
    <n v="1"/>
    <x v="38"/>
    <n v="0.88"/>
    <n v="11.11"/>
    <s v="60814191"/>
  </r>
  <r>
    <x v="108"/>
    <s v="2021-06-16"/>
    <x v="0"/>
    <x v="0"/>
    <n v="44"/>
    <x v="3"/>
    <n v="3.31"/>
    <n v="47.73"/>
    <s v="05503849"/>
  </r>
  <r>
    <x v="108"/>
    <s v="2021-06-16"/>
    <x v="0"/>
    <x v="0"/>
    <n v="43"/>
    <x v="0"/>
    <n v="3.03"/>
    <n v="43.02"/>
    <s v="60850229"/>
  </r>
  <r>
    <x v="108"/>
    <s v="2021-06-16"/>
    <x v="0"/>
    <x v="0"/>
    <n v="42"/>
    <x v="2"/>
    <n v="2.96"/>
    <n v="41.97"/>
    <s v="92228410"/>
  </r>
  <r>
    <x v="108"/>
    <s v="2021-06-16"/>
    <x v="0"/>
    <x v="0"/>
    <n v="41"/>
    <x v="1"/>
    <n v="2.75"/>
    <n v="38.53"/>
    <s v="01800019"/>
  </r>
  <r>
    <x v="108"/>
    <s v="2021-06-16"/>
    <x v="0"/>
    <x v="0"/>
    <n v="40"/>
    <x v="4"/>
    <n v="2.62"/>
    <n v="36.36"/>
    <s v="62232889"/>
  </r>
  <r>
    <x v="108"/>
    <s v="2021-06-16"/>
    <x v="0"/>
    <x v="0"/>
    <n v="39"/>
    <x v="7"/>
    <n v="2.5299999999999998"/>
    <n v="34.880000000000003"/>
    <s v="92874270"/>
  </r>
  <r>
    <x v="108"/>
    <s v="2021-06-16"/>
    <x v="0"/>
    <x v="0"/>
    <n v="38"/>
    <x v="6"/>
    <n v="2.42"/>
    <n v="33.18"/>
    <s v="05676026"/>
  </r>
  <r>
    <x v="108"/>
    <s v="2021-06-16"/>
    <x v="0"/>
    <x v="0"/>
    <n v="37"/>
    <x v="5"/>
    <n v="2.41"/>
    <n v="33.04"/>
    <s v="80271455"/>
  </r>
  <r>
    <x v="108"/>
    <s v="2021-06-16"/>
    <x v="0"/>
    <x v="0"/>
    <n v="36"/>
    <x v="9"/>
    <n v="2.29"/>
    <n v="31.18"/>
    <s v="00411939"/>
  </r>
  <r>
    <x v="108"/>
    <s v="2021-06-16"/>
    <x v="0"/>
    <x v="0"/>
    <n v="35"/>
    <x v="8"/>
    <n v="2.23"/>
    <n v="30.27"/>
    <s v="59285411"/>
  </r>
  <r>
    <x v="108"/>
    <s v="2021-06-16"/>
    <x v="0"/>
    <x v="0"/>
    <n v="34"/>
    <x v="42"/>
    <n v="2.14"/>
    <n v="29"/>
    <s v="34991938"/>
  </r>
  <r>
    <x v="108"/>
    <s v="2021-06-16"/>
    <x v="0"/>
    <x v="0"/>
    <n v="33"/>
    <x v="10"/>
    <n v="2.1"/>
    <n v="28.26"/>
    <s v="10371492"/>
  </r>
  <r>
    <x v="108"/>
    <s v="2021-06-16"/>
    <x v="0"/>
    <x v="0"/>
    <n v="32"/>
    <x v="12"/>
    <n v="1.88"/>
    <n v="25.09"/>
    <s v="04862600"/>
  </r>
  <r>
    <x v="108"/>
    <s v="2021-06-16"/>
    <x v="0"/>
    <x v="0"/>
    <n v="31"/>
    <x v="49"/>
    <n v="1.88"/>
    <n v="25.01"/>
    <s v="58160789"/>
  </r>
  <r>
    <x v="108"/>
    <s v="2021-06-16"/>
    <x v="0"/>
    <x v="0"/>
    <n v="30"/>
    <x v="13"/>
    <n v="1.87"/>
    <n v="24.88"/>
    <s v="07707650"/>
  </r>
  <r>
    <x v="108"/>
    <s v="2021-06-16"/>
    <x v="0"/>
    <x v="0"/>
    <n v="29"/>
    <x v="24"/>
    <n v="1.72"/>
    <n v="22.71"/>
    <s v="22639377"/>
  </r>
  <r>
    <x v="108"/>
    <s v="2021-06-16"/>
    <x v="0"/>
    <x v="0"/>
    <n v="28"/>
    <x v="41"/>
    <n v="1.67"/>
    <n v="21.93"/>
    <s v="20443996"/>
  </r>
  <r>
    <x v="108"/>
    <s v="2021-06-16"/>
    <x v="0"/>
    <x v="0"/>
    <n v="27"/>
    <x v="15"/>
    <n v="1.65"/>
    <n v="21.63"/>
    <s v="59588111"/>
  </r>
  <r>
    <x v="108"/>
    <s v="2021-06-16"/>
    <x v="0"/>
    <x v="0"/>
    <n v="26"/>
    <x v="16"/>
    <n v="1.64"/>
    <n v="21.49"/>
    <s v="07207996"/>
  </r>
  <r>
    <x v="108"/>
    <s v="2021-06-16"/>
    <x v="0"/>
    <x v="0"/>
    <n v="25"/>
    <x v="11"/>
    <n v="1.63"/>
    <n v="21.38"/>
    <s v="03634220"/>
  </r>
  <r>
    <x v="108"/>
    <s v="2021-06-16"/>
    <x v="0"/>
    <x v="0"/>
    <n v="24"/>
    <x v="20"/>
    <n v="1.57"/>
    <n v="20.51"/>
    <s v="17192451"/>
  </r>
  <r>
    <x v="108"/>
    <s v="2021-06-16"/>
    <x v="0"/>
    <x v="0"/>
    <n v="23"/>
    <x v="14"/>
    <n v="1.54"/>
    <n v="20.100000000000001"/>
    <s v="00360305"/>
  </r>
  <r>
    <x v="108"/>
    <s v="2021-06-16"/>
    <x v="0"/>
    <x v="0"/>
    <n v="22"/>
    <x v="25"/>
    <n v="1.49"/>
    <n v="19.47"/>
    <s v="59274605"/>
  </r>
  <r>
    <x v="108"/>
    <s v="2021-06-16"/>
    <x v="0"/>
    <x v="0"/>
    <n v="21"/>
    <x v="18"/>
    <n v="1.48"/>
    <n v="19.34"/>
    <s v="28127603"/>
  </r>
  <r>
    <x v="108"/>
    <s v="2021-06-16"/>
    <x v="0"/>
    <x v="0"/>
    <n v="20"/>
    <x v="21"/>
    <n v="1.48"/>
    <n v="19.25"/>
    <s v="03017677"/>
  </r>
  <r>
    <x v="108"/>
    <s v="2021-06-16"/>
    <x v="0"/>
    <x v="0"/>
    <n v="19"/>
    <x v="28"/>
    <n v="1.43"/>
    <n v="18.600000000000001"/>
    <s v="90400888"/>
  </r>
  <r>
    <x v="108"/>
    <s v="2021-06-16"/>
    <x v="0"/>
    <x v="0"/>
    <n v="18"/>
    <x v="30"/>
    <n v="1.42"/>
    <n v="18.440000000000001"/>
    <s v="03502961"/>
  </r>
  <r>
    <x v="108"/>
    <s v="2021-06-16"/>
    <x v="0"/>
    <x v="0"/>
    <n v="17"/>
    <x v="32"/>
    <n v="1.38"/>
    <n v="17.82"/>
    <s v="60701190"/>
  </r>
  <r>
    <x v="108"/>
    <s v="2021-06-16"/>
    <x v="0"/>
    <x v="0"/>
    <n v="16"/>
    <x v="26"/>
    <n v="1.35"/>
    <n v="17.510000000000002"/>
    <s v="30172491"/>
  </r>
  <r>
    <x v="108"/>
    <s v="2021-06-16"/>
    <x v="0"/>
    <x v="0"/>
    <n v="15"/>
    <x v="29"/>
    <n v="1.3"/>
    <n v="16.809999999999999"/>
    <s v="60746948"/>
  </r>
  <r>
    <x v="108"/>
    <s v="2021-06-16"/>
    <x v="0"/>
    <x v="0"/>
    <n v="14"/>
    <x v="33"/>
    <n v="1.3"/>
    <n v="16.8"/>
    <s v="62307848"/>
  </r>
  <r>
    <x v="108"/>
    <s v="2021-06-16"/>
    <x v="0"/>
    <x v="0"/>
    <n v="13"/>
    <x v="23"/>
    <n v="1.28"/>
    <n v="16.5"/>
    <s v="03215790"/>
  </r>
  <r>
    <x v="108"/>
    <s v="2021-06-16"/>
    <x v="0"/>
    <x v="0"/>
    <n v="12"/>
    <x v="31"/>
    <n v="1.24"/>
    <n v="15.93"/>
    <s v="17167412"/>
  </r>
  <r>
    <x v="108"/>
    <s v="2021-06-16"/>
    <x v="0"/>
    <x v="0"/>
    <n v="11"/>
    <x v="27"/>
    <n v="1.21"/>
    <n v="15.55"/>
    <s v="00000000"/>
  </r>
  <r>
    <x v="108"/>
    <s v="2021-06-16"/>
    <x v="0"/>
    <x v="0"/>
    <n v="10"/>
    <x v="36"/>
    <n v="1.18"/>
    <n v="15.06"/>
    <s v="33136888"/>
  </r>
  <r>
    <x v="108"/>
    <s v="2021-06-16"/>
    <x v="0"/>
    <x v="0"/>
    <n v="9"/>
    <x v="37"/>
    <n v="1.1599999999999999"/>
    <n v="14.84"/>
    <s v="04452473"/>
  </r>
  <r>
    <x v="108"/>
    <s v="2021-06-16"/>
    <x v="0"/>
    <x v="0"/>
    <n v="8"/>
    <x v="39"/>
    <n v="1.1399999999999999"/>
    <n v="14.51"/>
    <s v="04902979"/>
  </r>
  <r>
    <x v="108"/>
    <s v="2021-06-16"/>
    <x v="0"/>
    <x v="0"/>
    <n v="7"/>
    <x v="34"/>
    <n v="1.1000000000000001"/>
    <n v="14.02"/>
    <s v="33603457"/>
  </r>
  <r>
    <x v="108"/>
    <s v="2021-06-16"/>
    <x v="0"/>
    <x v="0"/>
    <n v="6"/>
    <x v="40"/>
    <n v="1.03"/>
    <n v="13.04"/>
    <s v="02992446"/>
  </r>
  <r>
    <x v="108"/>
    <s v="2021-06-16"/>
    <x v="0"/>
    <x v="0"/>
    <n v="5"/>
    <x v="35"/>
    <n v="1.02"/>
    <n v="12.95"/>
    <s v="59109165"/>
  </r>
  <r>
    <x v="108"/>
    <s v="2021-06-16"/>
    <x v="0"/>
    <x v="0"/>
    <n v="4"/>
    <x v="47"/>
    <n v="1.01"/>
    <n v="12.87"/>
    <s v="28517628"/>
  </r>
  <r>
    <x v="108"/>
    <s v="2021-06-16"/>
    <x v="0"/>
    <x v="0"/>
    <n v="3"/>
    <x v="43"/>
    <n v="1.01"/>
    <n v="12.81"/>
    <s v="07441209"/>
  </r>
  <r>
    <x v="108"/>
    <s v="2021-06-16"/>
    <x v="0"/>
    <x v="0"/>
    <n v="2"/>
    <x v="22"/>
    <n v="0.92"/>
    <n v="11.62"/>
    <s v="11417016"/>
  </r>
  <r>
    <x v="108"/>
    <s v="2021-06-16"/>
    <x v="0"/>
    <x v="0"/>
    <n v="1"/>
    <x v="38"/>
    <n v="0.88"/>
    <n v="11.13"/>
    <s v="60814191"/>
  </r>
  <r>
    <x v="109"/>
    <s v="2021-06-17"/>
    <x v="0"/>
    <x v="0"/>
    <n v="42"/>
    <x v="3"/>
    <n v="3.3"/>
    <n v="47.59"/>
    <s v="05503849"/>
  </r>
  <r>
    <x v="109"/>
    <s v="2021-06-17"/>
    <x v="0"/>
    <x v="0"/>
    <n v="41"/>
    <x v="0"/>
    <n v="3"/>
    <n v="42.59"/>
    <s v="60850229"/>
  </r>
  <r>
    <x v="109"/>
    <s v="2021-06-17"/>
    <x v="0"/>
    <x v="0"/>
    <n v="40"/>
    <x v="2"/>
    <n v="2.99"/>
    <n v="42.36"/>
    <s v="92228410"/>
  </r>
  <r>
    <x v="109"/>
    <s v="2021-06-17"/>
    <x v="0"/>
    <x v="0"/>
    <n v="39"/>
    <x v="1"/>
    <n v="2.77"/>
    <n v="38.770000000000003"/>
    <s v="01800019"/>
  </r>
  <r>
    <x v="109"/>
    <s v="2021-06-17"/>
    <x v="0"/>
    <x v="0"/>
    <n v="38"/>
    <x v="4"/>
    <n v="2.62"/>
    <n v="36.409999999999997"/>
    <s v="62232889"/>
  </r>
  <r>
    <x v="109"/>
    <s v="2021-06-17"/>
    <x v="0"/>
    <x v="0"/>
    <n v="37"/>
    <x v="5"/>
    <n v="2.58"/>
    <n v="35.69"/>
    <s v="80271455"/>
  </r>
  <r>
    <x v="109"/>
    <s v="2021-06-17"/>
    <x v="0"/>
    <x v="0"/>
    <n v="36"/>
    <x v="7"/>
    <n v="2.5299999999999998"/>
    <n v="35.01"/>
    <s v="92874270"/>
  </r>
  <r>
    <x v="109"/>
    <s v="2021-06-17"/>
    <x v="0"/>
    <x v="0"/>
    <n v="35"/>
    <x v="6"/>
    <n v="2.42"/>
    <n v="33.21"/>
    <s v="05676026"/>
  </r>
  <r>
    <x v="109"/>
    <s v="2021-06-17"/>
    <x v="0"/>
    <x v="0"/>
    <n v="34"/>
    <x v="9"/>
    <n v="2.29"/>
    <n v="31.26"/>
    <s v="00411939"/>
  </r>
  <r>
    <x v="109"/>
    <s v="2021-06-17"/>
    <x v="0"/>
    <x v="0"/>
    <n v="33"/>
    <x v="8"/>
    <n v="2.23"/>
    <n v="30.25"/>
    <s v="59285411"/>
  </r>
  <r>
    <x v="109"/>
    <s v="2021-06-17"/>
    <x v="0"/>
    <x v="0"/>
    <n v="32"/>
    <x v="42"/>
    <n v="2.14"/>
    <n v="28.88"/>
    <s v="34991938"/>
  </r>
  <r>
    <x v="109"/>
    <s v="2021-06-17"/>
    <x v="0"/>
    <x v="0"/>
    <n v="31"/>
    <x v="10"/>
    <n v="2.09"/>
    <n v="28.21"/>
    <s v="10371492"/>
  </r>
  <r>
    <x v="109"/>
    <s v="2021-06-17"/>
    <x v="0"/>
    <x v="0"/>
    <n v="30"/>
    <x v="12"/>
    <n v="1.9"/>
    <n v="25.32"/>
    <s v="04862600"/>
  </r>
  <r>
    <x v="109"/>
    <s v="2021-06-17"/>
    <x v="0"/>
    <x v="0"/>
    <n v="29"/>
    <x v="49"/>
    <n v="1.88"/>
    <n v="25.01"/>
    <s v="58160789"/>
  </r>
  <r>
    <x v="109"/>
    <s v="2021-06-17"/>
    <x v="0"/>
    <x v="0"/>
    <n v="28"/>
    <x v="13"/>
    <n v="1.87"/>
    <n v="24.93"/>
    <s v="07707650"/>
  </r>
  <r>
    <x v="109"/>
    <s v="2021-06-17"/>
    <x v="0"/>
    <x v="0"/>
    <n v="27"/>
    <x v="24"/>
    <n v="1.68"/>
    <n v="22.19"/>
    <s v="22639377"/>
  </r>
  <r>
    <x v="109"/>
    <s v="2021-06-17"/>
    <x v="0"/>
    <x v="0"/>
    <n v="26"/>
    <x v="15"/>
    <n v="1.65"/>
    <n v="21.65"/>
    <s v="59588111"/>
  </r>
  <r>
    <x v="109"/>
    <s v="2021-06-17"/>
    <x v="0"/>
    <x v="0"/>
    <n v="25"/>
    <x v="11"/>
    <n v="1.64"/>
    <n v="21.52"/>
    <s v="03634220"/>
  </r>
  <r>
    <x v="109"/>
    <s v="2021-06-17"/>
    <x v="0"/>
    <x v="0"/>
    <n v="24"/>
    <x v="16"/>
    <n v="1.64"/>
    <n v="21.5"/>
    <s v="07207996"/>
  </r>
  <r>
    <x v="109"/>
    <s v="2021-06-17"/>
    <x v="0"/>
    <x v="0"/>
    <n v="23"/>
    <x v="20"/>
    <n v="1.57"/>
    <n v="20.52"/>
    <s v="17192451"/>
  </r>
  <r>
    <x v="109"/>
    <s v="2021-06-17"/>
    <x v="0"/>
    <x v="0"/>
    <n v="22"/>
    <x v="14"/>
    <n v="1.55"/>
    <n v="20.309999999999999"/>
    <s v="00360305"/>
  </r>
  <r>
    <x v="109"/>
    <s v="2021-06-17"/>
    <x v="0"/>
    <x v="0"/>
    <n v="21"/>
    <x v="25"/>
    <n v="1.49"/>
    <n v="19.45"/>
    <s v="59274605"/>
  </r>
  <r>
    <x v="109"/>
    <s v="2021-06-17"/>
    <x v="0"/>
    <x v="0"/>
    <n v="20"/>
    <x v="21"/>
    <n v="1.47"/>
    <n v="19.2"/>
    <s v="03017677"/>
  </r>
  <r>
    <x v="109"/>
    <s v="2021-06-17"/>
    <x v="0"/>
    <x v="0"/>
    <n v="19"/>
    <x v="28"/>
    <n v="1.43"/>
    <n v="18.53"/>
    <s v="90400888"/>
  </r>
  <r>
    <x v="109"/>
    <s v="2021-06-17"/>
    <x v="0"/>
    <x v="0"/>
    <n v="18"/>
    <x v="30"/>
    <n v="1.42"/>
    <n v="18.38"/>
    <s v="03502961"/>
  </r>
  <r>
    <x v="109"/>
    <s v="2021-06-17"/>
    <x v="0"/>
    <x v="0"/>
    <n v="17"/>
    <x v="18"/>
    <n v="1.39"/>
    <n v="18.05"/>
    <s v="28127603"/>
  </r>
  <r>
    <x v="109"/>
    <s v="2021-06-17"/>
    <x v="0"/>
    <x v="0"/>
    <n v="16"/>
    <x v="32"/>
    <n v="1.37"/>
    <n v="17.68"/>
    <s v="60701190"/>
  </r>
  <r>
    <x v="109"/>
    <s v="2021-06-17"/>
    <x v="0"/>
    <x v="0"/>
    <n v="15"/>
    <x v="26"/>
    <n v="1.35"/>
    <n v="17.5"/>
    <s v="30172491"/>
  </r>
  <r>
    <x v="109"/>
    <s v="2021-06-17"/>
    <x v="0"/>
    <x v="0"/>
    <n v="14"/>
    <x v="29"/>
    <n v="1.31"/>
    <n v="16.91"/>
    <s v="60746948"/>
  </r>
  <r>
    <x v="109"/>
    <s v="2021-06-17"/>
    <x v="0"/>
    <x v="0"/>
    <n v="13"/>
    <x v="33"/>
    <n v="1.3"/>
    <n v="16.75"/>
    <s v="62307848"/>
  </r>
  <r>
    <x v="109"/>
    <s v="2021-06-17"/>
    <x v="0"/>
    <x v="0"/>
    <n v="12"/>
    <x v="23"/>
    <n v="1.29"/>
    <n v="16.64"/>
    <s v="03215790"/>
  </r>
  <r>
    <x v="109"/>
    <s v="2021-06-17"/>
    <x v="0"/>
    <x v="0"/>
    <n v="11"/>
    <x v="36"/>
    <n v="1.25"/>
    <n v="16.04"/>
    <s v="33136888"/>
  </r>
  <r>
    <x v="109"/>
    <s v="2021-06-17"/>
    <x v="0"/>
    <x v="0"/>
    <n v="10"/>
    <x v="31"/>
    <n v="1.24"/>
    <n v="15.92"/>
    <s v="17167412"/>
  </r>
  <r>
    <x v="109"/>
    <s v="2021-06-17"/>
    <x v="0"/>
    <x v="0"/>
    <n v="9"/>
    <x v="27"/>
    <n v="1.21"/>
    <n v="15.53"/>
    <s v="00000000"/>
  </r>
  <r>
    <x v="109"/>
    <s v="2021-06-17"/>
    <x v="0"/>
    <x v="0"/>
    <n v="8"/>
    <x v="37"/>
    <n v="1.1599999999999999"/>
    <n v="14.88"/>
    <s v="04452473"/>
  </r>
  <r>
    <x v="109"/>
    <s v="2021-06-17"/>
    <x v="0"/>
    <x v="0"/>
    <n v="7"/>
    <x v="39"/>
    <n v="1.1200000000000001"/>
    <n v="14.33"/>
    <s v="04902979"/>
  </r>
  <r>
    <x v="109"/>
    <s v="2021-06-17"/>
    <x v="0"/>
    <x v="0"/>
    <n v="6"/>
    <x v="34"/>
    <n v="1.1000000000000001"/>
    <n v="14.06"/>
    <s v="33603457"/>
  </r>
  <r>
    <x v="109"/>
    <s v="2021-06-17"/>
    <x v="0"/>
    <x v="0"/>
    <n v="5"/>
    <x v="35"/>
    <n v="1.02"/>
    <n v="12.97"/>
    <s v="59109165"/>
  </r>
  <r>
    <x v="109"/>
    <s v="2021-06-17"/>
    <x v="0"/>
    <x v="0"/>
    <n v="4"/>
    <x v="47"/>
    <n v="1.01"/>
    <n v="12.87"/>
    <s v="28517628"/>
  </r>
  <r>
    <x v="109"/>
    <s v="2021-06-17"/>
    <x v="0"/>
    <x v="0"/>
    <n v="3"/>
    <x v="22"/>
    <n v="0.95"/>
    <n v="11.96"/>
    <s v="11417016"/>
  </r>
  <r>
    <x v="109"/>
    <s v="2021-06-17"/>
    <x v="0"/>
    <x v="0"/>
    <n v="2"/>
    <x v="38"/>
    <n v="0.88"/>
    <n v="11.06"/>
    <s v="60814191"/>
  </r>
  <r>
    <x v="109"/>
    <s v="2021-06-17"/>
    <x v="0"/>
    <x v="0"/>
    <n v="1"/>
    <x v="40"/>
    <n v="0.82"/>
    <n v="10.29"/>
    <s v="02992446"/>
  </r>
  <r>
    <x v="110"/>
    <s v="2021-06-18"/>
    <x v="0"/>
    <x v="0"/>
    <n v="42"/>
    <x v="3"/>
    <n v="3.28"/>
    <n v="47.29"/>
    <s v="05503849"/>
  </r>
  <r>
    <x v="110"/>
    <s v="2021-06-18"/>
    <x v="0"/>
    <x v="0"/>
    <n v="41"/>
    <x v="2"/>
    <n v="3"/>
    <n v="42.52"/>
    <s v="92228410"/>
  </r>
  <r>
    <x v="110"/>
    <s v="2021-06-18"/>
    <x v="0"/>
    <x v="0"/>
    <n v="40"/>
    <x v="0"/>
    <n v="2.99"/>
    <n v="42.47"/>
    <s v="60850229"/>
  </r>
  <r>
    <x v="110"/>
    <s v="2021-06-18"/>
    <x v="0"/>
    <x v="0"/>
    <n v="39"/>
    <x v="1"/>
    <n v="2.97"/>
    <n v="42.06"/>
    <s v="01800019"/>
  </r>
  <r>
    <x v="110"/>
    <s v="2021-06-18"/>
    <x v="0"/>
    <x v="0"/>
    <n v="38"/>
    <x v="5"/>
    <n v="2.75"/>
    <n v="38.520000000000003"/>
    <s v="80271455"/>
  </r>
  <r>
    <x v="110"/>
    <s v="2021-06-18"/>
    <x v="0"/>
    <x v="0"/>
    <n v="37"/>
    <x v="4"/>
    <n v="2.63"/>
    <n v="36.549999999999997"/>
    <s v="62232889"/>
  </r>
  <r>
    <x v="110"/>
    <s v="2021-06-18"/>
    <x v="0"/>
    <x v="0"/>
    <n v="36"/>
    <x v="7"/>
    <n v="2.54"/>
    <n v="35.049999999999997"/>
    <s v="92874270"/>
  </r>
  <r>
    <x v="110"/>
    <s v="2021-06-18"/>
    <x v="0"/>
    <x v="0"/>
    <n v="35"/>
    <x v="6"/>
    <n v="2.42"/>
    <n v="33.15"/>
    <s v="05676026"/>
  </r>
  <r>
    <x v="110"/>
    <s v="2021-06-18"/>
    <x v="0"/>
    <x v="0"/>
    <n v="34"/>
    <x v="9"/>
    <n v="2.2999999999999998"/>
    <n v="31.3"/>
    <s v="00411939"/>
  </r>
  <r>
    <x v="110"/>
    <s v="2021-06-18"/>
    <x v="0"/>
    <x v="0"/>
    <n v="33"/>
    <x v="8"/>
    <n v="2.23"/>
    <n v="30.32"/>
    <s v="59285411"/>
  </r>
  <r>
    <x v="110"/>
    <s v="2021-06-18"/>
    <x v="0"/>
    <x v="0"/>
    <n v="32"/>
    <x v="42"/>
    <n v="2.13"/>
    <n v="28.79"/>
    <s v="34991938"/>
  </r>
  <r>
    <x v="110"/>
    <s v="2021-06-18"/>
    <x v="0"/>
    <x v="0"/>
    <n v="31"/>
    <x v="10"/>
    <n v="2.1"/>
    <n v="28.26"/>
    <s v="10371492"/>
  </r>
  <r>
    <x v="110"/>
    <s v="2021-06-18"/>
    <x v="0"/>
    <x v="0"/>
    <n v="30"/>
    <x v="12"/>
    <n v="1.94"/>
    <n v="25.94"/>
    <s v="04862600"/>
  </r>
  <r>
    <x v="110"/>
    <s v="2021-06-18"/>
    <x v="0"/>
    <x v="0"/>
    <n v="29"/>
    <x v="13"/>
    <n v="1.87"/>
    <n v="24.9"/>
    <s v="07707650"/>
  </r>
  <r>
    <x v="110"/>
    <s v="2021-06-18"/>
    <x v="0"/>
    <x v="0"/>
    <n v="28"/>
    <x v="24"/>
    <n v="1.72"/>
    <n v="22.67"/>
    <s v="22639377"/>
  </r>
  <r>
    <x v="110"/>
    <s v="2021-06-18"/>
    <x v="0"/>
    <x v="0"/>
    <n v="27"/>
    <x v="11"/>
    <n v="1.66"/>
    <n v="21.83"/>
    <s v="03634220"/>
  </r>
  <r>
    <x v="110"/>
    <s v="2021-06-18"/>
    <x v="0"/>
    <x v="0"/>
    <n v="26"/>
    <x v="15"/>
    <n v="1.65"/>
    <n v="21.64"/>
    <s v="59588111"/>
  </r>
  <r>
    <x v="110"/>
    <s v="2021-06-18"/>
    <x v="0"/>
    <x v="0"/>
    <n v="25"/>
    <x v="14"/>
    <n v="1.63"/>
    <n v="21.38"/>
    <s v="00360305"/>
  </r>
  <r>
    <x v="110"/>
    <s v="2021-06-18"/>
    <x v="0"/>
    <x v="0"/>
    <n v="24"/>
    <x v="16"/>
    <n v="1.63"/>
    <n v="21.38"/>
    <s v="07207996"/>
  </r>
  <r>
    <x v="110"/>
    <s v="2021-06-18"/>
    <x v="0"/>
    <x v="0"/>
    <n v="23"/>
    <x v="20"/>
    <n v="1.57"/>
    <n v="20.52"/>
    <s v="17192451"/>
  </r>
  <r>
    <x v="110"/>
    <s v="2021-06-18"/>
    <x v="0"/>
    <x v="0"/>
    <n v="22"/>
    <x v="25"/>
    <n v="1.49"/>
    <n v="19.36"/>
    <s v="59274605"/>
  </r>
  <r>
    <x v="110"/>
    <s v="2021-06-18"/>
    <x v="0"/>
    <x v="0"/>
    <n v="21"/>
    <x v="21"/>
    <n v="1.47"/>
    <n v="19.14"/>
    <s v="03017677"/>
  </r>
  <r>
    <x v="110"/>
    <s v="2021-06-18"/>
    <x v="0"/>
    <x v="0"/>
    <n v="20"/>
    <x v="28"/>
    <n v="1.44"/>
    <n v="18.73"/>
    <s v="90400888"/>
  </r>
  <r>
    <x v="110"/>
    <s v="2021-06-18"/>
    <x v="0"/>
    <x v="0"/>
    <n v="19"/>
    <x v="19"/>
    <n v="1.44"/>
    <n v="18.7"/>
    <s v="92702067"/>
  </r>
  <r>
    <x v="110"/>
    <s v="2021-06-18"/>
    <x v="0"/>
    <x v="0"/>
    <n v="18"/>
    <x v="30"/>
    <n v="1.43"/>
    <n v="18.559999999999999"/>
    <s v="03502961"/>
  </r>
  <r>
    <x v="110"/>
    <s v="2021-06-18"/>
    <x v="0"/>
    <x v="0"/>
    <n v="17"/>
    <x v="18"/>
    <n v="1.42"/>
    <n v="18.47"/>
    <s v="28127603"/>
  </r>
  <r>
    <x v="110"/>
    <s v="2021-06-18"/>
    <x v="0"/>
    <x v="0"/>
    <n v="16"/>
    <x v="32"/>
    <n v="1.37"/>
    <n v="17.670000000000002"/>
    <s v="60701190"/>
  </r>
  <r>
    <x v="110"/>
    <s v="2021-06-18"/>
    <x v="0"/>
    <x v="0"/>
    <n v="15"/>
    <x v="26"/>
    <n v="1.35"/>
    <n v="17.5"/>
    <s v="30172491"/>
  </r>
  <r>
    <x v="110"/>
    <s v="2021-06-18"/>
    <x v="0"/>
    <x v="0"/>
    <n v="14"/>
    <x v="29"/>
    <n v="1.31"/>
    <n v="16.91"/>
    <s v="60746948"/>
  </r>
  <r>
    <x v="110"/>
    <s v="2021-06-18"/>
    <x v="0"/>
    <x v="0"/>
    <n v="13"/>
    <x v="33"/>
    <n v="1.29"/>
    <n v="16.63"/>
    <s v="62307848"/>
  </r>
  <r>
    <x v="110"/>
    <s v="2021-06-18"/>
    <x v="0"/>
    <x v="0"/>
    <n v="12"/>
    <x v="23"/>
    <n v="1.29"/>
    <n v="16.59"/>
    <s v="03215790"/>
  </r>
  <r>
    <x v="110"/>
    <s v="2021-06-18"/>
    <x v="0"/>
    <x v="0"/>
    <n v="11"/>
    <x v="31"/>
    <n v="1.23"/>
    <n v="15.86"/>
    <s v="17167412"/>
  </r>
  <r>
    <x v="110"/>
    <s v="2021-06-18"/>
    <x v="0"/>
    <x v="0"/>
    <n v="10"/>
    <x v="36"/>
    <n v="1.23"/>
    <n v="15.84"/>
    <s v="33136888"/>
  </r>
  <r>
    <x v="110"/>
    <s v="2021-06-18"/>
    <x v="0"/>
    <x v="0"/>
    <n v="9"/>
    <x v="27"/>
    <n v="1.21"/>
    <n v="15.46"/>
    <s v="00000000"/>
  </r>
  <r>
    <x v="110"/>
    <s v="2021-06-18"/>
    <x v="0"/>
    <x v="0"/>
    <n v="8"/>
    <x v="37"/>
    <n v="1.17"/>
    <n v="14.94"/>
    <s v="04452473"/>
  </r>
  <r>
    <x v="110"/>
    <s v="2021-06-18"/>
    <x v="0"/>
    <x v="0"/>
    <n v="7"/>
    <x v="34"/>
    <n v="1.1100000000000001"/>
    <n v="14.22"/>
    <s v="33603457"/>
  </r>
  <r>
    <x v="110"/>
    <s v="2021-06-18"/>
    <x v="0"/>
    <x v="0"/>
    <n v="6"/>
    <x v="39"/>
    <n v="1.1100000000000001"/>
    <n v="14.11"/>
    <s v="04902979"/>
  </r>
  <r>
    <x v="110"/>
    <s v="2021-06-18"/>
    <x v="0"/>
    <x v="0"/>
    <n v="5"/>
    <x v="35"/>
    <n v="1.02"/>
    <n v="12.94"/>
    <s v="59109165"/>
  </r>
  <r>
    <x v="110"/>
    <s v="2021-06-18"/>
    <x v="0"/>
    <x v="0"/>
    <n v="4"/>
    <x v="47"/>
    <n v="1.01"/>
    <n v="12.87"/>
    <s v="28517628"/>
  </r>
  <r>
    <x v="110"/>
    <s v="2021-06-18"/>
    <x v="0"/>
    <x v="0"/>
    <n v="3"/>
    <x v="40"/>
    <n v="0.95"/>
    <n v="12.04"/>
    <s v="02992446"/>
  </r>
  <r>
    <x v="110"/>
    <s v="2021-06-18"/>
    <x v="0"/>
    <x v="0"/>
    <n v="2"/>
    <x v="22"/>
    <n v="0.94"/>
    <n v="11.85"/>
    <s v="11417016"/>
  </r>
  <r>
    <x v="110"/>
    <s v="2021-06-18"/>
    <x v="0"/>
    <x v="0"/>
    <n v="1"/>
    <x v="38"/>
    <n v="0.89"/>
    <n v="11.22"/>
    <s v="60814191"/>
  </r>
  <r>
    <x v="111"/>
    <s v="2021-06-21"/>
    <x v="0"/>
    <x v="0"/>
    <n v="41"/>
    <x v="3"/>
    <n v="3.28"/>
    <n v="47.25"/>
    <s v="05503849"/>
  </r>
  <r>
    <x v="111"/>
    <s v="2021-06-21"/>
    <x v="0"/>
    <x v="0"/>
    <n v="40"/>
    <x v="1"/>
    <n v="3.11"/>
    <n v="44.37"/>
    <s v="01800019"/>
  </r>
  <r>
    <x v="111"/>
    <s v="2021-06-21"/>
    <x v="0"/>
    <x v="0"/>
    <n v="39"/>
    <x v="0"/>
    <n v="3.05"/>
    <n v="43.47"/>
    <s v="60850229"/>
  </r>
  <r>
    <x v="111"/>
    <s v="2021-06-21"/>
    <x v="0"/>
    <x v="0"/>
    <n v="38"/>
    <x v="2"/>
    <n v="2.99"/>
    <n v="42.48"/>
    <s v="92228410"/>
  </r>
  <r>
    <x v="111"/>
    <s v="2021-06-21"/>
    <x v="0"/>
    <x v="0"/>
    <n v="37"/>
    <x v="5"/>
    <n v="2.79"/>
    <n v="39.119999999999997"/>
    <s v="80271455"/>
  </r>
  <r>
    <x v="111"/>
    <s v="2021-06-21"/>
    <x v="0"/>
    <x v="0"/>
    <n v="36"/>
    <x v="4"/>
    <n v="2.64"/>
    <n v="36.69"/>
    <s v="62232889"/>
  </r>
  <r>
    <x v="111"/>
    <s v="2021-06-21"/>
    <x v="0"/>
    <x v="0"/>
    <n v="35"/>
    <x v="7"/>
    <n v="2.54"/>
    <n v="35.17"/>
    <s v="92874270"/>
  </r>
  <r>
    <x v="111"/>
    <s v="2021-06-21"/>
    <x v="0"/>
    <x v="0"/>
    <n v="34"/>
    <x v="6"/>
    <n v="2.41"/>
    <n v="33.14"/>
    <s v="05676026"/>
  </r>
  <r>
    <x v="111"/>
    <s v="2021-06-21"/>
    <x v="0"/>
    <x v="0"/>
    <n v="33"/>
    <x v="9"/>
    <n v="2.36"/>
    <n v="32.32"/>
    <s v="00411939"/>
  </r>
  <r>
    <x v="111"/>
    <s v="2021-06-21"/>
    <x v="0"/>
    <x v="0"/>
    <n v="32"/>
    <x v="8"/>
    <n v="2.2400000000000002"/>
    <n v="30.44"/>
    <s v="59285411"/>
  </r>
  <r>
    <x v="111"/>
    <s v="2021-06-21"/>
    <x v="0"/>
    <x v="0"/>
    <n v="31"/>
    <x v="42"/>
    <n v="2.13"/>
    <n v="28.79"/>
    <s v="34991938"/>
  </r>
  <r>
    <x v="111"/>
    <s v="2021-06-21"/>
    <x v="0"/>
    <x v="0"/>
    <n v="30"/>
    <x v="10"/>
    <n v="2.11"/>
    <n v="28.47"/>
    <s v="10371492"/>
  </r>
  <r>
    <x v="111"/>
    <s v="2021-06-21"/>
    <x v="0"/>
    <x v="0"/>
    <n v="29"/>
    <x v="24"/>
    <n v="1.96"/>
    <n v="26.18"/>
    <s v="22639377"/>
  </r>
  <r>
    <x v="111"/>
    <s v="2021-06-21"/>
    <x v="0"/>
    <x v="0"/>
    <n v="28"/>
    <x v="12"/>
    <n v="1.95"/>
    <n v="26.1"/>
    <s v="04862600"/>
  </r>
  <r>
    <x v="111"/>
    <s v="2021-06-21"/>
    <x v="0"/>
    <x v="0"/>
    <n v="27"/>
    <x v="13"/>
    <n v="1.86"/>
    <n v="24.79"/>
    <s v="07707650"/>
  </r>
  <r>
    <x v="111"/>
    <s v="2021-06-21"/>
    <x v="0"/>
    <x v="0"/>
    <n v="26"/>
    <x v="14"/>
    <n v="1.68"/>
    <n v="22.15"/>
    <s v="00360305"/>
  </r>
  <r>
    <x v="111"/>
    <s v="2021-06-21"/>
    <x v="0"/>
    <x v="0"/>
    <n v="25"/>
    <x v="11"/>
    <n v="1.68"/>
    <n v="22.07"/>
    <s v="03634220"/>
  </r>
  <r>
    <x v="111"/>
    <s v="2021-06-21"/>
    <x v="0"/>
    <x v="0"/>
    <n v="24"/>
    <x v="15"/>
    <n v="1.65"/>
    <n v="21.64"/>
    <s v="59588111"/>
  </r>
  <r>
    <x v="111"/>
    <s v="2021-06-21"/>
    <x v="0"/>
    <x v="0"/>
    <n v="23"/>
    <x v="16"/>
    <n v="1.63"/>
    <n v="21.4"/>
    <s v="07207996"/>
  </r>
  <r>
    <x v="111"/>
    <s v="2021-06-21"/>
    <x v="0"/>
    <x v="0"/>
    <n v="22"/>
    <x v="20"/>
    <n v="1.57"/>
    <n v="20.61"/>
    <s v="17192451"/>
  </r>
  <r>
    <x v="111"/>
    <s v="2021-06-21"/>
    <x v="0"/>
    <x v="0"/>
    <n v="21"/>
    <x v="25"/>
    <n v="1.48"/>
    <n v="19.309999999999999"/>
    <s v="59274605"/>
  </r>
  <r>
    <x v="111"/>
    <s v="2021-06-21"/>
    <x v="0"/>
    <x v="0"/>
    <n v="20"/>
    <x v="21"/>
    <n v="1.47"/>
    <n v="19.2"/>
    <s v="03017677"/>
  </r>
  <r>
    <x v="111"/>
    <s v="2021-06-21"/>
    <x v="0"/>
    <x v="0"/>
    <n v="19"/>
    <x v="18"/>
    <n v="1.46"/>
    <n v="18.95"/>
    <s v="28127603"/>
  </r>
  <r>
    <x v="111"/>
    <s v="2021-06-21"/>
    <x v="0"/>
    <x v="0"/>
    <n v="18"/>
    <x v="19"/>
    <n v="1.44"/>
    <n v="18.7"/>
    <s v="92702067"/>
  </r>
  <r>
    <x v="111"/>
    <s v="2021-06-21"/>
    <x v="0"/>
    <x v="0"/>
    <n v="17"/>
    <x v="28"/>
    <n v="1.43"/>
    <n v="18.63"/>
    <s v="90400888"/>
  </r>
  <r>
    <x v="111"/>
    <s v="2021-06-21"/>
    <x v="0"/>
    <x v="0"/>
    <n v="16"/>
    <x v="30"/>
    <n v="1.43"/>
    <n v="18.510000000000002"/>
    <s v="03502961"/>
  </r>
  <r>
    <x v="111"/>
    <s v="2021-06-21"/>
    <x v="0"/>
    <x v="0"/>
    <n v="15"/>
    <x v="32"/>
    <n v="1.36"/>
    <n v="17.66"/>
    <s v="60701190"/>
  </r>
  <r>
    <x v="111"/>
    <s v="2021-06-21"/>
    <x v="0"/>
    <x v="0"/>
    <n v="14"/>
    <x v="26"/>
    <n v="1.36"/>
    <n v="17.62"/>
    <s v="30172491"/>
  </r>
  <r>
    <x v="111"/>
    <s v="2021-06-21"/>
    <x v="0"/>
    <x v="0"/>
    <n v="13"/>
    <x v="29"/>
    <n v="1.32"/>
    <n v="17.02"/>
    <s v="60746948"/>
  </r>
  <r>
    <x v="111"/>
    <s v="2021-06-21"/>
    <x v="0"/>
    <x v="0"/>
    <n v="12"/>
    <x v="23"/>
    <n v="1.3"/>
    <n v="16.72"/>
    <s v="03215790"/>
  </r>
  <r>
    <x v="111"/>
    <s v="2021-06-21"/>
    <x v="0"/>
    <x v="0"/>
    <n v="11"/>
    <x v="33"/>
    <n v="1.29"/>
    <n v="16.57"/>
    <s v="62307848"/>
  </r>
  <r>
    <x v="111"/>
    <s v="2021-06-21"/>
    <x v="0"/>
    <x v="0"/>
    <n v="10"/>
    <x v="36"/>
    <n v="1.24"/>
    <n v="15.95"/>
    <s v="33136888"/>
  </r>
  <r>
    <x v="111"/>
    <s v="2021-06-21"/>
    <x v="0"/>
    <x v="0"/>
    <n v="9"/>
    <x v="31"/>
    <n v="1.23"/>
    <n v="15.82"/>
    <s v="17167412"/>
  </r>
  <r>
    <x v="111"/>
    <s v="2021-06-21"/>
    <x v="0"/>
    <x v="0"/>
    <n v="8"/>
    <x v="27"/>
    <n v="1.19"/>
    <n v="15.26"/>
    <s v="00000000"/>
  </r>
  <r>
    <x v="111"/>
    <s v="2021-06-21"/>
    <x v="0"/>
    <x v="0"/>
    <n v="7"/>
    <x v="37"/>
    <n v="1.17"/>
    <n v="14.95"/>
    <s v="04452473"/>
  </r>
  <r>
    <x v="111"/>
    <s v="2021-06-21"/>
    <x v="0"/>
    <x v="0"/>
    <n v="6"/>
    <x v="34"/>
    <n v="1.1299999999999999"/>
    <n v="14.44"/>
    <s v="33603457"/>
  </r>
  <r>
    <x v="111"/>
    <s v="2021-06-21"/>
    <x v="0"/>
    <x v="0"/>
    <n v="5"/>
    <x v="39"/>
    <n v="1.1100000000000001"/>
    <n v="14.12"/>
    <s v="04902979"/>
  </r>
  <r>
    <x v="111"/>
    <s v="2021-06-21"/>
    <x v="0"/>
    <x v="0"/>
    <n v="4"/>
    <x v="35"/>
    <n v="1.03"/>
    <n v="13.08"/>
    <s v="59109165"/>
  </r>
  <r>
    <x v="111"/>
    <s v="2021-06-21"/>
    <x v="0"/>
    <x v="0"/>
    <n v="3"/>
    <x v="40"/>
    <n v="0.95"/>
    <n v="12.04"/>
    <s v="02992446"/>
  </r>
  <r>
    <x v="111"/>
    <s v="2021-06-21"/>
    <x v="0"/>
    <x v="0"/>
    <n v="2"/>
    <x v="22"/>
    <n v="0.94"/>
    <n v="11.9"/>
    <s v="11417016"/>
  </r>
  <r>
    <x v="111"/>
    <s v="2021-06-21"/>
    <x v="0"/>
    <x v="0"/>
    <n v="1"/>
    <x v="38"/>
    <n v="0.89"/>
    <n v="11.23"/>
    <s v="60814191"/>
  </r>
  <r>
    <x v="112"/>
    <s v="2021-06-22"/>
    <x v="0"/>
    <x v="0"/>
    <n v="42"/>
    <x v="3"/>
    <n v="3.25"/>
    <n v="46.74"/>
    <s v="05503849"/>
  </r>
  <r>
    <x v="112"/>
    <s v="2021-06-22"/>
    <x v="0"/>
    <x v="0"/>
    <n v="41"/>
    <x v="1"/>
    <n v="3.15"/>
    <n v="45.06"/>
    <s v="01800019"/>
  </r>
  <r>
    <x v="112"/>
    <s v="2021-06-22"/>
    <x v="0"/>
    <x v="0"/>
    <n v="40"/>
    <x v="0"/>
    <n v="3.06"/>
    <n v="43.52"/>
    <s v="60850229"/>
  </r>
  <r>
    <x v="112"/>
    <s v="2021-06-22"/>
    <x v="0"/>
    <x v="0"/>
    <n v="39"/>
    <x v="2"/>
    <n v="2.99"/>
    <n v="42.41"/>
    <s v="92228410"/>
  </r>
  <r>
    <x v="112"/>
    <s v="2021-06-22"/>
    <x v="0"/>
    <x v="0"/>
    <n v="38"/>
    <x v="5"/>
    <n v="2.74"/>
    <n v="38.26"/>
    <s v="80271455"/>
  </r>
  <r>
    <x v="112"/>
    <s v="2021-06-22"/>
    <x v="0"/>
    <x v="0"/>
    <n v="37"/>
    <x v="4"/>
    <n v="2.63"/>
    <n v="36.619999999999997"/>
    <s v="62232889"/>
  </r>
  <r>
    <x v="112"/>
    <s v="2021-06-22"/>
    <x v="0"/>
    <x v="0"/>
    <n v="36"/>
    <x v="7"/>
    <n v="2.5499999999999998"/>
    <n v="35.22"/>
    <s v="92874270"/>
  </r>
  <r>
    <x v="112"/>
    <s v="2021-06-22"/>
    <x v="0"/>
    <x v="0"/>
    <n v="35"/>
    <x v="6"/>
    <n v="2.42"/>
    <n v="33.19"/>
    <s v="05676026"/>
  </r>
  <r>
    <x v="112"/>
    <s v="2021-06-22"/>
    <x v="0"/>
    <x v="0"/>
    <n v="34"/>
    <x v="9"/>
    <n v="2.36"/>
    <n v="32.299999999999997"/>
    <s v="00411939"/>
  </r>
  <r>
    <x v="112"/>
    <s v="2021-06-22"/>
    <x v="0"/>
    <x v="0"/>
    <n v="33"/>
    <x v="8"/>
    <n v="2.25"/>
    <n v="30.56"/>
    <s v="59285411"/>
  </r>
  <r>
    <x v="112"/>
    <s v="2021-06-22"/>
    <x v="0"/>
    <x v="0"/>
    <n v="32"/>
    <x v="10"/>
    <n v="2.11"/>
    <n v="28.47"/>
    <s v="10371492"/>
  </r>
  <r>
    <x v="112"/>
    <s v="2021-06-22"/>
    <x v="0"/>
    <x v="0"/>
    <n v="31"/>
    <x v="24"/>
    <n v="2.1"/>
    <n v="28.38"/>
    <s v="22639377"/>
  </r>
  <r>
    <x v="112"/>
    <s v="2021-06-22"/>
    <x v="0"/>
    <x v="0"/>
    <n v="30"/>
    <x v="42"/>
    <n v="1.96"/>
    <n v="26.21"/>
    <s v="34991938"/>
  </r>
  <r>
    <x v="112"/>
    <s v="2021-06-22"/>
    <x v="0"/>
    <x v="0"/>
    <n v="29"/>
    <x v="12"/>
    <n v="1.95"/>
    <n v="26.04"/>
    <s v="04862600"/>
  </r>
  <r>
    <x v="112"/>
    <s v="2021-06-22"/>
    <x v="0"/>
    <x v="0"/>
    <n v="28"/>
    <x v="13"/>
    <n v="1.86"/>
    <n v="24.77"/>
    <s v="07707650"/>
  </r>
  <r>
    <x v="112"/>
    <s v="2021-06-22"/>
    <x v="0"/>
    <x v="0"/>
    <n v="27"/>
    <x v="11"/>
    <n v="1.68"/>
    <n v="22.19"/>
    <s v="03634220"/>
  </r>
  <r>
    <x v="112"/>
    <s v="2021-06-22"/>
    <x v="0"/>
    <x v="0"/>
    <n v="26"/>
    <x v="14"/>
    <n v="1.67"/>
    <n v="22.03"/>
    <s v="00360305"/>
  </r>
  <r>
    <x v="112"/>
    <s v="2021-06-22"/>
    <x v="0"/>
    <x v="0"/>
    <n v="25"/>
    <x v="15"/>
    <n v="1.65"/>
    <n v="21.66"/>
    <s v="59588111"/>
  </r>
  <r>
    <x v="112"/>
    <s v="2021-06-22"/>
    <x v="0"/>
    <x v="0"/>
    <n v="24"/>
    <x v="16"/>
    <n v="1.63"/>
    <n v="21.41"/>
    <s v="07207996"/>
  </r>
  <r>
    <x v="112"/>
    <s v="2021-06-22"/>
    <x v="0"/>
    <x v="0"/>
    <n v="23"/>
    <x v="20"/>
    <n v="1.57"/>
    <n v="20.59"/>
    <s v="17192451"/>
  </r>
  <r>
    <x v="112"/>
    <s v="2021-06-22"/>
    <x v="0"/>
    <x v="0"/>
    <n v="22"/>
    <x v="25"/>
    <n v="1.49"/>
    <n v="19.47"/>
    <s v="59274605"/>
  </r>
  <r>
    <x v="112"/>
    <s v="2021-06-22"/>
    <x v="0"/>
    <x v="0"/>
    <n v="21"/>
    <x v="21"/>
    <n v="1.48"/>
    <n v="19.28"/>
    <s v="03017677"/>
  </r>
  <r>
    <x v="112"/>
    <s v="2021-06-22"/>
    <x v="0"/>
    <x v="0"/>
    <n v="20"/>
    <x v="19"/>
    <n v="1.44"/>
    <n v="18.7"/>
    <s v="92702067"/>
  </r>
  <r>
    <x v="112"/>
    <s v="2021-06-22"/>
    <x v="0"/>
    <x v="0"/>
    <n v="19"/>
    <x v="18"/>
    <n v="1.42"/>
    <n v="18.420000000000002"/>
    <s v="28127603"/>
  </r>
  <r>
    <x v="112"/>
    <s v="2021-06-22"/>
    <x v="0"/>
    <x v="0"/>
    <n v="18"/>
    <x v="30"/>
    <n v="1.41"/>
    <n v="18.309999999999999"/>
    <s v="03502961"/>
  </r>
  <r>
    <x v="112"/>
    <s v="2021-06-22"/>
    <x v="0"/>
    <x v="0"/>
    <n v="17"/>
    <x v="28"/>
    <n v="1.41"/>
    <n v="18.28"/>
    <s v="90400888"/>
  </r>
  <r>
    <x v="112"/>
    <s v="2021-06-22"/>
    <x v="0"/>
    <x v="0"/>
    <n v="16"/>
    <x v="32"/>
    <n v="1.38"/>
    <n v="17.89"/>
    <s v="60701190"/>
  </r>
  <r>
    <x v="112"/>
    <s v="2021-06-22"/>
    <x v="0"/>
    <x v="0"/>
    <n v="15"/>
    <x v="26"/>
    <n v="1.37"/>
    <n v="17.68"/>
    <s v="30172491"/>
  </r>
  <r>
    <x v="112"/>
    <s v="2021-06-22"/>
    <x v="0"/>
    <x v="0"/>
    <n v="14"/>
    <x v="29"/>
    <n v="1.31"/>
    <n v="16.899999999999999"/>
    <s v="60746948"/>
  </r>
  <r>
    <x v="112"/>
    <s v="2021-06-22"/>
    <x v="0"/>
    <x v="0"/>
    <n v="13"/>
    <x v="23"/>
    <n v="1.3"/>
    <n v="16.739999999999998"/>
    <s v="03215790"/>
  </r>
  <r>
    <x v="112"/>
    <s v="2021-06-22"/>
    <x v="0"/>
    <x v="0"/>
    <n v="12"/>
    <x v="36"/>
    <n v="1.28"/>
    <n v="16.510000000000002"/>
    <s v="33136888"/>
  </r>
  <r>
    <x v="112"/>
    <s v="2021-06-22"/>
    <x v="0"/>
    <x v="0"/>
    <n v="11"/>
    <x v="33"/>
    <n v="1.27"/>
    <n v="16.38"/>
    <s v="62307848"/>
  </r>
  <r>
    <x v="112"/>
    <s v="2021-06-22"/>
    <x v="0"/>
    <x v="0"/>
    <n v="10"/>
    <x v="31"/>
    <n v="1.24"/>
    <n v="15.92"/>
    <s v="17167412"/>
  </r>
  <r>
    <x v="112"/>
    <s v="2021-06-22"/>
    <x v="0"/>
    <x v="0"/>
    <n v="9"/>
    <x v="27"/>
    <n v="1.18"/>
    <n v="15.17"/>
    <s v="00000000"/>
  </r>
  <r>
    <x v="112"/>
    <s v="2021-06-22"/>
    <x v="0"/>
    <x v="0"/>
    <n v="8"/>
    <x v="37"/>
    <n v="1.17"/>
    <n v="14.95"/>
    <s v="04452473"/>
  </r>
  <r>
    <x v="112"/>
    <s v="2021-06-22"/>
    <x v="0"/>
    <x v="0"/>
    <n v="7"/>
    <x v="34"/>
    <n v="1.1100000000000001"/>
    <n v="14.22"/>
    <s v="33603457"/>
  </r>
  <r>
    <x v="112"/>
    <s v="2021-06-22"/>
    <x v="0"/>
    <x v="0"/>
    <n v="6"/>
    <x v="39"/>
    <n v="1.0900000000000001"/>
    <n v="13.87"/>
    <s v="04902979"/>
  </r>
  <r>
    <x v="112"/>
    <s v="2021-06-22"/>
    <x v="0"/>
    <x v="0"/>
    <n v="5"/>
    <x v="35"/>
    <n v="1.03"/>
    <n v="13.04"/>
    <s v="59109165"/>
  </r>
  <r>
    <x v="112"/>
    <s v="2021-06-22"/>
    <x v="0"/>
    <x v="0"/>
    <n v="4"/>
    <x v="44"/>
    <n v="1.02"/>
    <n v="12.92"/>
    <s v="58017179"/>
  </r>
  <r>
    <x v="112"/>
    <s v="2021-06-22"/>
    <x v="0"/>
    <x v="0"/>
    <n v="3"/>
    <x v="40"/>
    <n v="0.95"/>
    <n v="12.03"/>
    <s v="02992446"/>
  </r>
  <r>
    <x v="112"/>
    <s v="2021-06-22"/>
    <x v="0"/>
    <x v="0"/>
    <n v="2"/>
    <x v="22"/>
    <n v="0.94"/>
    <n v="11.91"/>
    <s v="11417016"/>
  </r>
  <r>
    <x v="112"/>
    <s v="2021-06-22"/>
    <x v="0"/>
    <x v="0"/>
    <n v="1"/>
    <x v="38"/>
    <n v="0.88"/>
    <n v="11.1"/>
    <s v="60814191"/>
  </r>
  <r>
    <x v="113"/>
    <s v="2021-06-23"/>
    <x v="0"/>
    <x v="0"/>
    <n v="42"/>
    <x v="3"/>
    <n v="3.25"/>
    <n v="46.76"/>
    <s v="05503849"/>
  </r>
  <r>
    <x v="113"/>
    <s v="2021-06-23"/>
    <x v="0"/>
    <x v="0"/>
    <n v="41"/>
    <x v="1"/>
    <n v="3.17"/>
    <n v="45.45"/>
    <s v="01800019"/>
  </r>
  <r>
    <x v="113"/>
    <s v="2021-06-23"/>
    <x v="0"/>
    <x v="0"/>
    <n v="40"/>
    <x v="2"/>
    <n v="3.01"/>
    <n v="42.74"/>
    <s v="92228410"/>
  </r>
  <r>
    <x v="113"/>
    <s v="2021-06-23"/>
    <x v="0"/>
    <x v="0"/>
    <n v="39"/>
    <x v="0"/>
    <n v="2.97"/>
    <n v="42.08"/>
    <s v="60850229"/>
  </r>
  <r>
    <x v="113"/>
    <s v="2021-06-23"/>
    <x v="0"/>
    <x v="0"/>
    <n v="38"/>
    <x v="5"/>
    <n v="2.72"/>
    <n v="37.92"/>
    <s v="80271455"/>
  </r>
  <r>
    <x v="113"/>
    <s v="2021-06-23"/>
    <x v="0"/>
    <x v="0"/>
    <n v="37"/>
    <x v="4"/>
    <n v="2.65"/>
    <n v="36.880000000000003"/>
    <s v="62232889"/>
  </r>
  <r>
    <x v="113"/>
    <s v="2021-06-23"/>
    <x v="0"/>
    <x v="0"/>
    <n v="36"/>
    <x v="7"/>
    <n v="2.54"/>
    <n v="35.19"/>
    <s v="92874270"/>
  </r>
  <r>
    <x v="113"/>
    <s v="2021-06-23"/>
    <x v="0"/>
    <x v="0"/>
    <n v="35"/>
    <x v="6"/>
    <n v="2.42"/>
    <n v="33.200000000000003"/>
    <s v="05676026"/>
  </r>
  <r>
    <x v="113"/>
    <s v="2021-06-23"/>
    <x v="0"/>
    <x v="0"/>
    <n v="34"/>
    <x v="9"/>
    <n v="2.39"/>
    <n v="32.770000000000003"/>
    <s v="00411939"/>
  </r>
  <r>
    <x v="113"/>
    <s v="2021-06-23"/>
    <x v="0"/>
    <x v="0"/>
    <n v="33"/>
    <x v="8"/>
    <n v="2.27"/>
    <n v="30.86"/>
    <s v="59285411"/>
  </r>
  <r>
    <x v="113"/>
    <s v="2021-06-23"/>
    <x v="0"/>
    <x v="0"/>
    <n v="32"/>
    <x v="42"/>
    <n v="2.2599999999999998"/>
    <n v="30.81"/>
    <s v="34991938"/>
  </r>
  <r>
    <x v="113"/>
    <s v="2021-06-23"/>
    <x v="0"/>
    <x v="0"/>
    <n v="31"/>
    <x v="10"/>
    <n v="2.11"/>
    <n v="28.46"/>
    <s v="10371492"/>
  </r>
  <r>
    <x v="113"/>
    <s v="2021-06-23"/>
    <x v="0"/>
    <x v="0"/>
    <n v="30"/>
    <x v="12"/>
    <n v="1.95"/>
    <n v="26.14"/>
    <s v="04862600"/>
  </r>
  <r>
    <x v="113"/>
    <s v="2021-06-23"/>
    <x v="0"/>
    <x v="0"/>
    <n v="29"/>
    <x v="13"/>
    <n v="1.86"/>
    <n v="24.77"/>
    <s v="07707650"/>
  </r>
  <r>
    <x v="113"/>
    <s v="2021-06-23"/>
    <x v="0"/>
    <x v="0"/>
    <n v="28"/>
    <x v="24"/>
    <n v="1.82"/>
    <n v="24.17"/>
    <s v="22639377"/>
  </r>
  <r>
    <x v="113"/>
    <s v="2021-06-23"/>
    <x v="0"/>
    <x v="0"/>
    <n v="27"/>
    <x v="14"/>
    <n v="1.75"/>
    <n v="23.11"/>
    <s v="00360305"/>
  </r>
  <r>
    <x v="113"/>
    <s v="2021-06-23"/>
    <x v="0"/>
    <x v="0"/>
    <n v="26"/>
    <x v="11"/>
    <n v="1.72"/>
    <n v="22.68"/>
    <s v="03634220"/>
  </r>
  <r>
    <x v="113"/>
    <s v="2021-06-23"/>
    <x v="0"/>
    <x v="0"/>
    <n v="25"/>
    <x v="15"/>
    <n v="1.65"/>
    <n v="21.65"/>
    <s v="59588111"/>
  </r>
  <r>
    <x v="113"/>
    <s v="2021-06-23"/>
    <x v="0"/>
    <x v="0"/>
    <n v="24"/>
    <x v="16"/>
    <n v="1.63"/>
    <n v="21.4"/>
    <s v="07207996"/>
  </r>
  <r>
    <x v="113"/>
    <s v="2021-06-23"/>
    <x v="0"/>
    <x v="0"/>
    <n v="23"/>
    <x v="20"/>
    <n v="1.57"/>
    <n v="20.61"/>
    <s v="17192451"/>
  </r>
  <r>
    <x v="113"/>
    <s v="2021-06-23"/>
    <x v="0"/>
    <x v="0"/>
    <n v="22"/>
    <x v="25"/>
    <n v="1.48"/>
    <n v="19.32"/>
    <s v="59274605"/>
  </r>
  <r>
    <x v="113"/>
    <s v="2021-06-23"/>
    <x v="0"/>
    <x v="0"/>
    <n v="21"/>
    <x v="21"/>
    <n v="1.48"/>
    <n v="19.309999999999999"/>
    <s v="03017677"/>
  </r>
  <r>
    <x v="113"/>
    <s v="2021-06-23"/>
    <x v="0"/>
    <x v="0"/>
    <n v="20"/>
    <x v="19"/>
    <n v="1.44"/>
    <n v="18.7"/>
    <s v="92702067"/>
  </r>
  <r>
    <x v="113"/>
    <s v="2021-06-23"/>
    <x v="0"/>
    <x v="0"/>
    <n v="19"/>
    <x v="18"/>
    <n v="1.42"/>
    <n v="18.48"/>
    <s v="28127603"/>
  </r>
  <r>
    <x v="113"/>
    <s v="2021-06-23"/>
    <x v="0"/>
    <x v="0"/>
    <n v="18"/>
    <x v="28"/>
    <n v="1.41"/>
    <n v="18.34"/>
    <s v="90400888"/>
  </r>
  <r>
    <x v="113"/>
    <s v="2021-06-23"/>
    <x v="0"/>
    <x v="0"/>
    <n v="17"/>
    <x v="30"/>
    <n v="1.41"/>
    <n v="18.239999999999998"/>
    <s v="03502961"/>
  </r>
  <r>
    <x v="113"/>
    <s v="2021-06-23"/>
    <x v="0"/>
    <x v="0"/>
    <n v="16"/>
    <x v="32"/>
    <n v="1.38"/>
    <n v="17.940000000000001"/>
    <s v="60701190"/>
  </r>
  <r>
    <x v="113"/>
    <s v="2021-06-23"/>
    <x v="0"/>
    <x v="0"/>
    <n v="15"/>
    <x v="26"/>
    <n v="1.36"/>
    <n v="17.559999999999999"/>
    <s v="30172491"/>
  </r>
  <r>
    <x v="113"/>
    <s v="2021-06-23"/>
    <x v="0"/>
    <x v="0"/>
    <n v="14"/>
    <x v="29"/>
    <n v="1.33"/>
    <n v="17.170000000000002"/>
    <s v="60746948"/>
  </r>
  <r>
    <x v="113"/>
    <s v="2021-06-23"/>
    <x v="0"/>
    <x v="0"/>
    <n v="13"/>
    <x v="23"/>
    <n v="1.3"/>
    <n v="16.78"/>
    <s v="03215790"/>
  </r>
  <r>
    <x v="113"/>
    <s v="2021-06-23"/>
    <x v="0"/>
    <x v="0"/>
    <n v="12"/>
    <x v="36"/>
    <n v="1.28"/>
    <n v="16.510000000000002"/>
    <s v="33136888"/>
  </r>
  <r>
    <x v="113"/>
    <s v="2021-06-23"/>
    <x v="0"/>
    <x v="0"/>
    <n v="11"/>
    <x v="33"/>
    <n v="1.27"/>
    <n v="16.329999999999998"/>
    <s v="62307848"/>
  </r>
  <r>
    <x v="113"/>
    <s v="2021-06-23"/>
    <x v="0"/>
    <x v="0"/>
    <n v="10"/>
    <x v="31"/>
    <n v="1.24"/>
    <n v="15.91"/>
    <s v="17167412"/>
  </r>
  <r>
    <x v="113"/>
    <s v="2021-06-23"/>
    <x v="0"/>
    <x v="0"/>
    <n v="9"/>
    <x v="27"/>
    <n v="1.19"/>
    <n v="15.24"/>
    <s v="00000000"/>
  </r>
  <r>
    <x v="113"/>
    <s v="2021-06-23"/>
    <x v="0"/>
    <x v="0"/>
    <n v="8"/>
    <x v="37"/>
    <n v="1.17"/>
    <n v="14.94"/>
    <s v="04452473"/>
  </r>
  <r>
    <x v="113"/>
    <s v="2021-06-23"/>
    <x v="0"/>
    <x v="0"/>
    <n v="7"/>
    <x v="34"/>
    <n v="1.1399999999999999"/>
    <n v="14.58"/>
    <s v="33603457"/>
  </r>
  <r>
    <x v="113"/>
    <s v="2021-06-23"/>
    <x v="0"/>
    <x v="0"/>
    <n v="6"/>
    <x v="39"/>
    <n v="1.0900000000000001"/>
    <n v="13.87"/>
    <s v="04902979"/>
  </r>
  <r>
    <x v="113"/>
    <s v="2021-06-23"/>
    <x v="0"/>
    <x v="0"/>
    <n v="5"/>
    <x v="35"/>
    <n v="1.03"/>
    <n v="13.11"/>
    <s v="59109165"/>
  </r>
  <r>
    <x v="113"/>
    <s v="2021-06-23"/>
    <x v="0"/>
    <x v="0"/>
    <n v="4"/>
    <x v="44"/>
    <n v="1"/>
    <n v="12.62"/>
    <s v="58017179"/>
  </r>
  <r>
    <x v="113"/>
    <s v="2021-06-23"/>
    <x v="0"/>
    <x v="0"/>
    <n v="3"/>
    <x v="40"/>
    <n v="0.95"/>
    <n v="12.05"/>
    <s v="02992446"/>
  </r>
  <r>
    <x v="113"/>
    <s v="2021-06-23"/>
    <x v="0"/>
    <x v="0"/>
    <n v="2"/>
    <x v="22"/>
    <n v="0.95"/>
    <n v="12.03"/>
    <s v="11417016"/>
  </r>
  <r>
    <x v="113"/>
    <s v="2021-06-23"/>
    <x v="0"/>
    <x v="0"/>
    <n v="1"/>
    <x v="38"/>
    <n v="0.94"/>
    <n v="11.91"/>
    <s v="60814191"/>
  </r>
  <r>
    <x v="114"/>
    <s v="2021-06-24"/>
    <x v="0"/>
    <x v="0"/>
    <n v="42"/>
    <x v="3"/>
    <n v="3.28"/>
    <n v="47.24"/>
    <s v="05503849"/>
  </r>
  <r>
    <x v="114"/>
    <s v="2021-06-24"/>
    <x v="0"/>
    <x v="0"/>
    <n v="41"/>
    <x v="1"/>
    <n v="3.22"/>
    <n v="46.3"/>
    <s v="01800019"/>
  </r>
  <r>
    <x v="114"/>
    <s v="2021-06-24"/>
    <x v="0"/>
    <x v="0"/>
    <n v="40"/>
    <x v="2"/>
    <n v="3"/>
    <n v="42.53"/>
    <s v="92228410"/>
  </r>
  <r>
    <x v="114"/>
    <s v="2021-06-24"/>
    <x v="0"/>
    <x v="0"/>
    <n v="39"/>
    <x v="0"/>
    <n v="2.97"/>
    <n v="42.09"/>
    <s v="60850229"/>
  </r>
  <r>
    <x v="114"/>
    <s v="2021-06-24"/>
    <x v="0"/>
    <x v="0"/>
    <n v="38"/>
    <x v="4"/>
    <n v="2.65"/>
    <n v="36.79"/>
    <s v="62232889"/>
  </r>
  <r>
    <x v="114"/>
    <s v="2021-06-24"/>
    <x v="0"/>
    <x v="0"/>
    <n v="37"/>
    <x v="7"/>
    <n v="2.54"/>
    <n v="35.15"/>
    <s v="92874270"/>
  </r>
  <r>
    <x v="114"/>
    <s v="2021-06-24"/>
    <x v="0"/>
    <x v="0"/>
    <n v="36"/>
    <x v="6"/>
    <n v="2.42"/>
    <n v="33.17"/>
    <s v="05676026"/>
  </r>
  <r>
    <x v="114"/>
    <s v="2021-06-24"/>
    <x v="0"/>
    <x v="0"/>
    <n v="35"/>
    <x v="9"/>
    <n v="2.41"/>
    <n v="33"/>
    <s v="00411939"/>
  </r>
  <r>
    <x v="114"/>
    <s v="2021-06-24"/>
    <x v="0"/>
    <x v="0"/>
    <n v="34"/>
    <x v="42"/>
    <n v="2.33"/>
    <n v="31.79"/>
    <s v="34991938"/>
  </r>
  <r>
    <x v="114"/>
    <s v="2021-06-24"/>
    <x v="0"/>
    <x v="0"/>
    <n v="33"/>
    <x v="5"/>
    <n v="2.33"/>
    <n v="31.79"/>
    <s v="80271455"/>
  </r>
  <r>
    <x v="114"/>
    <s v="2021-06-24"/>
    <x v="0"/>
    <x v="0"/>
    <n v="32"/>
    <x v="8"/>
    <n v="2.2799999999999998"/>
    <n v="31.06"/>
    <s v="59285411"/>
  </r>
  <r>
    <x v="114"/>
    <s v="2021-06-24"/>
    <x v="0"/>
    <x v="0"/>
    <n v="31"/>
    <x v="10"/>
    <n v="2.12"/>
    <n v="28.57"/>
    <s v="10371492"/>
  </r>
  <r>
    <x v="114"/>
    <s v="2021-06-24"/>
    <x v="0"/>
    <x v="0"/>
    <n v="30"/>
    <x v="12"/>
    <n v="1.95"/>
    <n v="26.02"/>
    <s v="04862600"/>
  </r>
  <r>
    <x v="114"/>
    <s v="2021-06-24"/>
    <x v="0"/>
    <x v="0"/>
    <n v="29"/>
    <x v="24"/>
    <n v="1.86"/>
    <n v="24.82"/>
    <s v="22639377"/>
  </r>
  <r>
    <x v="114"/>
    <s v="2021-06-24"/>
    <x v="0"/>
    <x v="0"/>
    <n v="28"/>
    <x v="13"/>
    <n v="1.86"/>
    <n v="24.73"/>
    <s v="07707650"/>
  </r>
  <r>
    <x v="114"/>
    <s v="2021-06-24"/>
    <x v="0"/>
    <x v="0"/>
    <n v="27"/>
    <x v="11"/>
    <n v="1.72"/>
    <n v="22.64"/>
    <s v="03634220"/>
  </r>
  <r>
    <x v="114"/>
    <s v="2021-06-24"/>
    <x v="0"/>
    <x v="0"/>
    <n v="26"/>
    <x v="15"/>
    <n v="1.65"/>
    <n v="21.69"/>
    <s v="59588111"/>
  </r>
  <r>
    <x v="114"/>
    <s v="2021-06-24"/>
    <x v="0"/>
    <x v="0"/>
    <n v="25"/>
    <x v="14"/>
    <n v="1.64"/>
    <n v="21.61"/>
    <s v="00360305"/>
  </r>
  <r>
    <x v="114"/>
    <s v="2021-06-24"/>
    <x v="0"/>
    <x v="0"/>
    <n v="24"/>
    <x v="16"/>
    <n v="1.64"/>
    <n v="21.59"/>
    <s v="07207996"/>
  </r>
  <r>
    <x v="114"/>
    <s v="2021-06-24"/>
    <x v="0"/>
    <x v="0"/>
    <n v="23"/>
    <x v="20"/>
    <n v="1.59"/>
    <n v="20.78"/>
    <s v="17192451"/>
  </r>
  <r>
    <x v="114"/>
    <s v="2021-06-24"/>
    <x v="0"/>
    <x v="0"/>
    <n v="22"/>
    <x v="21"/>
    <n v="1.49"/>
    <n v="19.399999999999999"/>
    <s v="03017677"/>
  </r>
  <r>
    <x v="114"/>
    <s v="2021-06-24"/>
    <x v="0"/>
    <x v="0"/>
    <n v="21"/>
    <x v="18"/>
    <n v="1.47"/>
    <n v="19.13"/>
    <s v="28127603"/>
  </r>
  <r>
    <x v="114"/>
    <s v="2021-06-24"/>
    <x v="0"/>
    <x v="0"/>
    <n v="20"/>
    <x v="25"/>
    <n v="1.46"/>
    <n v="19.04"/>
    <s v="59274605"/>
  </r>
  <r>
    <x v="114"/>
    <s v="2021-06-24"/>
    <x v="0"/>
    <x v="0"/>
    <n v="19"/>
    <x v="19"/>
    <n v="1.44"/>
    <n v="18.7"/>
    <s v="92702067"/>
  </r>
  <r>
    <x v="114"/>
    <s v="2021-06-24"/>
    <x v="0"/>
    <x v="0"/>
    <n v="18"/>
    <x v="30"/>
    <n v="1.41"/>
    <n v="18.32"/>
    <s v="03502961"/>
  </r>
  <r>
    <x v="114"/>
    <s v="2021-06-24"/>
    <x v="0"/>
    <x v="0"/>
    <n v="17"/>
    <x v="28"/>
    <n v="1.41"/>
    <n v="18.309999999999999"/>
    <s v="90400888"/>
  </r>
  <r>
    <x v="114"/>
    <s v="2021-06-24"/>
    <x v="0"/>
    <x v="0"/>
    <n v="16"/>
    <x v="32"/>
    <n v="1.39"/>
    <n v="17.95"/>
    <s v="60701190"/>
  </r>
  <r>
    <x v="114"/>
    <s v="2021-06-24"/>
    <x v="0"/>
    <x v="0"/>
    <n v="15"/>
    <x v="26"/>
    <n v="1.36"/>
    <n v="17.54"/>
    <s v="30172491"/>
  </r>
  <r>
    <x v="114"/>
    <s v="2021-06-24"/>
    <x v="0"/>
    <x v="0"/>
    <n v="14"/>
    <x v="29"/>
    <n v="1.33"/>
    <n v="17.21"/>
    <s v="60746948"/>
  </r>
  <r>
    <x v="114"/>
    <s v="2021-06-24"/>
    <x v="0"/>
    <x v="0"/>
    <n v="13"/>
    <x v="23"/>
    <n v="1.3"/>
    <n v="16.75"/>
    <s v="03215790"/>
  </r>
  <r>
    <x v="114"/>
    <s v="2021-06-24"/>
    <x v="0"/>
    <x v="0"/>
    <n v="12"/>
    <x v="36"/>
    <n v="1.28"/>
    <n v="16.48"/>
    <s v="33136888"/>
  </r>
  <r>
    <x v="114"/>
    <s v="2021-06-24"/>
    <x v="0"/>
    <x v="0"/>
    <n v="11"/>
    <x v="33"/>
    <n v="1.26"/>
    <n v="16.239999999999998"/>
    <s v="62307848"/>
  </r>
  <r>
    <x v="114"/>
    <s v="2021-06-24"/>
    <x v="0"/>
    <x v="0"/>
    <n v="10"/>
    <x v="31"/>
    <n v="1.25"/>
    <n v="16.079999999999998"/>
    <s v="17167412"/>
  </r>
  <r>
    <x v="114"/>
    <s v="2021-06-24"/>
    <x v="0"/>
    <x v="0"/>
    <n v="9"/>
    <x v="27"/>
    <n v="1.19"/>
    <n v="15.2"/>
    <s v="00000000"/>
  </r>
  <r>
    <x v="114"/>
    <s v="2021-06-24"/>
    <x v="0"/>
    <x v="0"/>
    <n v="8"/>
    <x v="37"/>
    <n v="1.17"/>
    <n v="14.92"/>
    <s v="04452473"/>
  </r>
  <r>
    <x v="114"/>
    <s v="2021-06-24"/>
    <x v="0"/>
    <x v="0"/>
    <n v="7"/>
    <x v="34"/>
    <n v="1.1499999999999999"/>
    <n v="14.66"/>
    <s v="33603457"/>
  </r>
  <r>
    <x v="114"/>
    <s v="2021-06-24"/>
    <x v="0"/>
    <x v="0"/>
    <n v="6"/>
    <x v="39"/>
    <n v="1.1000000000000001"/>
    <n v="13.97"/>
    <s v="04902979"/>
  </r>
  <r>
    <x v="114"/>
    <s v="2021-06-24"/>
    <x v="0"/>
    <x v="0"/>
    <n v="5"/>
    <x v="40"/>
    <n v="1.07"/>
    <n v="13.6"/>
    <s v="02992446"/>
  </r>
  <r>
    <x v="114"/>
    <s v="2021-06-24"/>
    <x v="0"/>
    <x v="0"/>
    <n v="4"/>
    <x v="35"/>
    <n v="1.04"/>
    <n v="13.18"/>
    <s v="59109165"/>
  </r>
  <r>
    <x v="114"/>
    <s v="2021-06-24"/>
    <x v="0"/>
    <x v="0"/>
    <n v="3"/>
    <x v="44"/>
    <n v="1"/>
    <n v="12.62"/>
    <s v="58017179"/>
  </r>
  <r>
    <x v="114"/>
    <s v="2021-06-24"/>
    <x v="0"/>
    <x v="0"/>
    <n v="2"/>
    <x v="38"/>
    <n v="0.96"/>
    <n v="12.14"/>
    <s v="60814191"/>
  </r>
  <r>
    <x v="114"/>
    <s v="2021-06-24"/>
    <x v="0"/>
    <x v="0"/>
    <n v="1"/>
    <x v="22"/>
    <n v="0.94"/>
    <n v="11.89"/>
    <s v="11417016"/>
  </r>
  <r>
    <x v="115"/>
    <s v="2021-06-25"/>
    <x v="0"/>
    <x v="0"/>
    <n v="40"/>
    <x v="3"/>
    <n v="3.28"/>
    <n v="47.29"/>
    <s v="05503849"/>
  </r>
  <r>
    <x v="115"/>
    <s v="2021-06-25"/>
    <x v="0"/>
    <x v="0"/>
    <n v="39"/>
    <x v="1"/>
    <n v="3.03"/>
    <n v="43.05"/>
    <s v="01800019"/>
  </r>
  <r>
    <x v="115"/>
    <s v="2021-06-25"/>
    <x v="0"/>
    <x v="0"/>
    <n v="38"/>
    <x v="2"/>
    <n v="2.98"/>
    <n v="42.2"/>
    <s v="92228410"/>
  </r>
  <r>
    <x v="115"/>
    <s v="2021-06-25"/>
    <x v="0"/>
    <x v="0"/>
    <n v="37"/>
    <x v="0"/>
    <n v="2.94"/>
    <n v="41.53"/>
    <s v="60850229"/>
  </r>
  <r>
    <x v="115"/>
    <s v="2021-06-25"/>
    <x v="0"/>
    <x v="0"/>
    <n v="36"/>
    <x v="4"/>
    <n v="2.64"/>
    <n v="36.76"/>
    <s v="62232889"/>
  </r>
  <r>
    <x v="115"/>
    <s v="2021-06-25"/>
    <x v="0"/>
    <x v="0"/>
    <n v="35"/>
    <x v="7"/>
    <n v="2.56"/>
    <n v="35.36"/>
    <s v="92874270"/>
  </r>
  <r>
    <x v="115"/>
    <s v="2021-06-25"/>
    <x v="0"/>
    <x v="0"/>
    <n v="34"/>
    <x v="6"/>
    <n v="2.42"/>
    <n v="33.159999999999997"/>
    <s v="05676026"/>
  </r>
  <r>
    <x v="115"/>
    <s v="2021-06-25"/>
    <x v="0"/>
    <x v="0"/>
    <n v="33"/>
    <x v="9"/>
    <n v="2.37"/>
    <n v="32.51"/>
    <s v="00411939"/>
  </r>
  <r>
    <x v="115"/>
    <s v="2021-06-25"/>
    <x v="0"/>
    <x v="0"/>
    <n v="32"/>
    <x v="42"/>
    <n v="2.35"/>
    <n v="32.119999999999997"/>
    <s v="34991938"/>
  </r>
  <r>
    <x v="115"/>
    <s v="2021-06-25"/>
    <x v="0"/>
    <x v="0"/>
    <n v="31"/>
    <x v="5"/>
    <n v="2.33"/>
    <n v="31.87"/>
    <s v="80271455"/>
  </r>
  <r>
    <x v="115"/>
    <s v="2021-06-25"/>
    <x v="0"/>
    <x v="0"/>
    <n v="30"/>
    <x v="8"/>
    <n v="2.29"/>
    <n v="31.26"/>
    <s v="59285411"/>
  </r>
  <r>
    <x v="115"/>
    <s v="2021-06-25"/>
    <x v="0"/>
    <x v="0"/>
    <n v="29"/>
    <x v="10"/>
    <n v="2.12"/>
    <n v="28.56"/>
    <s v="10371492"/>
  </r>
  <r>
    <x v="115"/>
    <s v="2021-06-25"/>
    <x v="0"/>
    <x v="0"/>
    <n v="28"/>
    <x v="12"/>
    <n v="1.92"/>
    <n v="25.67"/>
    <s v="04862600"/>
  </r>
  <r>
    <x v="115"/>
    <s v="2021-06-25"/>
    <x v="0"/>
    <x v="0"/>
    <n v="27"/>
    <x v="13"/>
    <n v="1.86"/>
    <n v="24.67"/>
    <s v="07707650"/>
  </r>
  <r>
    <x v="115"/>
    <s v="2021-06-25"/>
    <x v="0"/>
    <x v="0"/>
    <n v="26"/>
    <x v="24"/>
    <n v="1.85"/>
    <n v="24.54"/>
    <s v="22639377"/>
  </r>
  <r>
    <x v="115"/>
    <s v="2021-06-25"/>
    <x v="0"/>
    <x v="0"/>
    <n v="25"/>
    <x v="11"/>
    <n v="1.71"/>
    <n v="22.49"/>
    <s v="03634220"/>
  </r>
  <r>
    <x v="115"/>
    <s v="2021-06-25"/>
    <x v="0"/>
    <x v="0"/>
    <n v="24"/>
    <x v="15"/>
    <n v="1.66"/>
    <n v="21.77"/>
    <s v="59588111"/>
  </r>
  <r>
    <x v="115"/>
    <s v="2021-06-25"/>
    <x v="0"/>
    <x v="0"/>
    <n v="23"/>
    <x v="16"/>
    <n v="1.65"/>
    <n v="21.67"/>
    <s v="07207996"/>
  </r>
  <r>
    <x v="115"/>
    <s v="2021-06-25"/>
    <x v="0"/>
    <x v="0"/>
    <n v="22"/>
    <x v="20"/>
    <n v="1.59"/>
    <n v="20.88"/>
    <s v="17192451"/>
  </r>
  <r>
    <x v="115"/>
    <s v="2021-06-25"/>
    <x v="0"/>
    <x v="0"/>
    <n v="21"/>
    <x v="14"/>
    <n v="1.59"/>
    <n v="20.79"/>
    <s v="00360305"/>
  </r>
  <r>
    <x v="115"/>
    <s v="2021-06-25"/>
    <x v="0"/>
    <x v="0"/>
    <n v="20"/>
    <x v="21"/>
    <n v="1.49"/>
    <n v="19.45"/>
    <s v="03017677"/>
  </r>
  <r>
    <x v="115"/>
    <s v="2021-06-25"/>
    <x v="0"/>
    <x v="0"/>
    <n v="19"/>
    <x v="25"/>
    <n v="1.46"/>
    <n v="18.97"/>
    <s v="59274605"/>
  </r>
  <r>
    <x v="115"/>
    <s v="2021-06-25"/>
    <x v="0"/>
    <x v="0"/>
    <n v="18"/>
    <x v="18"/>
    <n v="1.42"/>
    <n v="18.38"/>
    <s v="28127603"/>
  </r>
  <r>
    <x v="115"/>
    <s v="2021-06-25"/>
    <x v="0"/>
    <x v="0"/>
    <n v="17"/>
    <x v="28"/>
    <n v="1.41"/>
    <n v="18.28"/>
    <s v="90400888"/>
  </r>
  <r>
    <x v="115"/>
    <s v="2021-06-25"/>
    <x v="0"/>
    <x v="0"/>
    <n v="16"/>
    <x v="30"/>
    <n v="1.4"/>
    <n v="18.149999999999999"/>
    <s v="03502961"/>
  </r>
  <r>
    <x v="115"/>
    <s v="2021-06-25"/>
    <x v="0"/>
    <x v="0"/>
    <n v="15"/>
    <x v="32"/>
    <n v="1.38"/>
    <n v="17.88"/>
    <s v="60701190"/>
  </r>
  <r>
    <x v="115"/>
    <s v="2021-06-25"/>
    <x v="0"/>
    <x v="0"/>
    <n v="14"/>
    <x v="26"/>
    <n v="1.36"/>
    <n v="17.559999999999999"/>
    <s v="30172491"/>
  </r>
  <r>
    <x v="115"/>
    <s v="2021-06-25"/>
    <x v="0"/>
    <x v="0"/>
    <n v="13"/>
    <x v="29"/>
    <n v="1.35"/>
    <n v="17.420000000000002"/>
    <s v="60746948"/>
  </r>
  <r>
    <x v="115"/>
    <s v="2021-06-25"/>
    <x v="0"/>
    <x v="0"/>
    <n v="12"/>
    <x v="23"/>
    <n v="1.3"/>
    <n v="16.75"/>
    <s v="03215790"/>
  </r>
  <r>
    <x v="115"/>
    <s v="2021-06-25"/>
    <x v="0"/>
    <x v="0"/>
    <n v="11"/>
    <x v="36"/>
    <n v="1.28"/>
    <n v="16.5"/>
    <s v="33136888"/>
  </r>
  <r>
    <x v="115"/>
    <s v="2021-06-25"/>
    <x v="0"/>
    <x v="0"/>
    <n v="10"/>
    <x v="33"/>
    <n v="1.26"/>
    <n v="16.25"/>
    <s v="62307848"/>
  </r>
  <r>
    <x v="115"/>
    <s v="2021-06-25"/>
    <x v="0"/>
    <x v="0"/>
    <n v="9"/>
    <x v="31"/>
    <n v="1.25"/>
    <n v="16.05"/>
    <s v="17167412"/>
  </r>
  <r>
    <x v="115"/>
    <s v="2021-06-25"/>
    <x v="0"/>
    <x v="0"/>
    <n v="8"/>
    <x v="27"/>
    <n v="1.19"/>
    <n v="15.21"/>
    <s v="00000000"/>
  </r>
  <r>
    <x v="115"/>
    <s v="2021-06-25"/>
    <x v="0"/>
    <x v="0"/>
    <n v="7"/>
    <x v="37"/>
    <n v="1.1599999999999999"/>
    <n v="14.84"/>
    <s v="04452473"/>
  </r>
  <r>
    <x v="115"/>
    <s v="2021-06-25"/>
    <x v="0"/>
    <x v="0"/>
    <n v="6"/>
    <x v="34"/>
    <n v="1.1299999999999999"/>
    <n v="14.37"/>
    <s v="33603457"/>
  </r>
  <r>
    <x v="115"/>
    <s v="2021-06-25"/>
    <x v="0"/>
    <x v="0"/>
    <n v="5"/>
    <x v="39"/>
    <n v="1.1100000000000001"/>
    <n v="14.13"/>
    <s v="04902979"/>
  </r>
  <r>
    <x v="115"/>
    <s v="2021-06-25"/>
    <x v="0"/>
    <x v="0"/>
    <n v="4"/>
    <x v="35"/>
    <n v="1.04"/>
    <n v="13.2"/>
    <s v="59109165"/>
  </r>
  <r>
    <x v="115"/>
    <s v="2021-06-25"/>
    <x v="0"/>
    <x v="0"/>
    <n v="3"/>
    <x v="44"/>
    <n v="1"/>
    <n v="12.62"/>
    <s v="58017179"/>
  </r>
  <r>
    <x v="115"/>
    <s v="2021-06-25"/>
    <x v="0"/>
    <x v="0"/>
    <n v="2"/>
    <x v="38"/>
    <n v="0.99"/>
    <n v="12.56"/>
    <s v="60814191"/>
  </r>
  <r>
    <x v="115"/>
    <s v="2021-06-25"/>
    <x v="0"/>
    <x v="0"/>
    <n v="1"/>
    <x v="22"/>
    <n v="0.95"/>
    <n v="11.98"/>
    <s v="11417016"/>
  </r>
  <r>
    <x v="116"/>
    <s v="2021-06-28"/>
    <x v="0"/>
    <x v="0"/>
    <n v="39"/>
    <x v="3"/>
    <n v="3.2"/>
    <n v="45.91"/>
    <s v="05503849"/>
  </r>
  <r>
    <x v="116"/>
    <s v="2021-06-28"/>
    <x v="0"/>
    <x v="0"/>
    <n v="38"/>
    <x v="1"/>
    <n v="3"/>
    <n v="42.59"/>
    <s v="01800019"/>
  </r>
  <r>
    <x v="116"/>
    <s v="2021-06-28"/>
    <x v="0"/>
    <x v="0"/>
    <n v="37"/>
    <x v="2"/>
    <n v="2.98"/>
    <n v="42.31"/>
    <s v="92228410"/>
  </r>
  <r>
    <x v="116"/>
    <s v="2021-06-28"/>
    <x v="0"/>
    <x v="0"/>
    <n v="36"/>
    <x v="0"/>
    <n v="2.93"/>
    <n v="41.38"/>
    <s v="60850229"/>
  </r>
  <r>
    <x v="116"/>
    <s v="2021-06-28"/>
    <x v="0"/>
    <x v="0"/>
    <n v="35"/>
    <x v="4"/>
    <n v="2.65"/>
    <n v="36.799999999999997"/>
    <s v="62232889"/>
  </r>
  <r>
    <x v="116"/>
    <s v="2021-06-28"/>
    <x v="0"/>
    <x v="0"/>
    <n v="34"/>
    <x v="7"/>
    <n v="2.5499999999999998"/>
    <n v="35.340000000000003"/>
    <s v="92874270"/>
  </r>
  <r>
    <x v="116"/>
    <s v="2021-06-28"/>
    <x v="0"/>
    <x v="0"/>
    <n v="33"/>
    <x v="6"/>
    <n v="2.42"/>
    <n v="33.159999999999997"/>
    <s v="05676026"/>
  </r>
  <r>
    <x v="116"/>
    <s v="2021-06-28"/>
    <x v="0"/>
    <x v="0"/>
    <n v="32"/>
    <x v="9"/>
    <n v="2.34"/>
    <n v="31.99"/>
    <s v="00411939"/>
  </r>
  <r>
    <x v="116"/>
    <s v="2021-06-28"/>
    <x v="0"/>
    <x v="0"/>
    <n v="31"/>
    <x v="8"/>
    <n v="2.31"/>
    <n v="31.53"/>
    <s v="59285411"/>
  </r>
  <r>
    <x v="116"/>
    <s v="2021-06-28"/>
    <x v="0"/>
    <x v="0"/>
    <n v="30"/>
    <x v="5"/>
    <n v="2.2999999999999998"/>
    <n v="31.4"/>
    <s v="80271455"/>
  </r>
  <r>
    <x v="116"/>
    <s v="2021-06-28"/>
    <x v="0"/>
    <x v="0"/>
    <n v="29"/>
    <x v="42"/>
    <n v="2.29"/>
    <n v="31.15"/>
    <s v="34991938"/>
  </r>
  <r>
    <x v="116"/>
    <s v="2021-06-28"/>
    <x v="0"/>
    <x v="0"/>
    <n v="28"/>
    <x v="10"/>
    <n v="2.11"/>
    <n v="28.41"/>
    <s v="10371492"/>
  </r>
  <r>
    <x v="116"/>
    <s v="2021-06-28"/>
    <x v="0"/>
    <x v="0"/>
    <n v="27"/>
    <x v="12"/>
    <n v="1.92"/>
    <n v="25.57"/>
    <s v="04862600"/>
  </r>
  <r>
    <x v="116"/>
    <s v="2021-06-28"/>
    <x v="0"/>
    <x v="0"/>
    <n v="26"/>
    <x v="13"/>
    <n v="1.85"/>
    <n v="24.6"/>
    <s v="07707650"/>
  </r>
  <r>
    <x v="116"/>
    <s v="2021-06-28"/>
    <x v="0"/>
    <x v="0"/>
    <n v="25"/>
    <x v="24"/>
    <n v="1.72"/>
    <n v="22.68"/>
    <s v="22639377"/>
  </r>
  <r>
    <x v="116"/>
    <s v="2021-06-28"/>
    <x v="0"/>
    <x v="0"/>
    <n v="24"/>
    <x v="11"/>
    <n v="1.71"/>
    <n v="22.51"/>
    <s v="03634220"/>
  </r>
  <r>
    <x v="116"/>
    <s v="2021-06-28"/>
    <x v="0"/>
    <x v="0"/>
    <n v="23"/>
    <x v="15"/>
    <n v="1.65"/>
    <n v="21.77"/>
    <s v="59588111"/>
  </r>
  <r>
    <x v="116"/>
    <s v="2021-06-28"/>
    <x v="0"/>
    <x v="0"/>
    <n v="22"/>
    <x v="16"/>
    <n v="1.65"/>
    <n v="21.63"/>
    <s v="07207996"/>
  </r>
  <r>
    <x v="116"/>
    <s v="2021-06-28"/>
    <x v="0"/>
    <x v="0"/>
    <n v="21"/>
    <x v="20"/>
    <n v="1.6"/>
    <n v="21.03"/>
    <s v="17192451"/>
  </r>
  <r>
    <x v="116"/>
    <s v="2021-06-28"/>
    <x v="0"/>
    <x v="0"/>
    <n v="20"/>
    <x v="14"/>
    <n v="1.58"/>
    <n v="20.67"/>
    <s v="00360305"/>
  </r>
  <r>
    <x v="116"/>
    <s v="2021-06-28"/>
    <x v="0"/>
    <x v="0"/>
    <n v="19"/>
    <x v="21"/>
    <n v="1.49"/>
    <n v="19.41"/>
    <s v="03017677"/>
  </r>
  <r>
    <x v="116"/>
    <s v="2021-06-28"/>
    <x v="0"/>
    <x v="0"/>
    <n v="18"/>
    <x v="25"/>
    <n v="1.44"/>
    <n v="18.75"/>
    <s v="59274605"/>
  </r>
  <r>
    <x v="116"/>
    <s v="2021-06-28"/>
    <x v="0"/>
    <x v="0"/>
    <n v="17"/>
    <x v="18"/>
    <n v="1.42"/>
    <n v="18.37"/>
    <s v="28127603"/>
  </r>
  <r>
    <x v="116"/>
    <s v="2021-06-28"/>
    <x v="0"/>
    <x v="0"/>
    <n v="16"/>
    <x v="28"/>
    <n v="1.4"/>
    <n v="18.21"/>
    <s v="90400888"/>
  </r>
  <r>
    <x v="116"/>
    <s v="2021-06-28"/>
    <x v="0"/>
    <x v="0"/>
    <n v="15"/>
    <x v="30"/>
    <n v="1.39"/>
    <n v="18.07"/>
    <s v="03502961"/>
  </r>
  <r>
    <x v="116"/>
    <s v="2021-06-28"/>
    <x v="0"/>
    <x v="0"/>
    <n v="14"/>
    <x v="32"/>
    <n v="1.38"/>
    <n v="17.88"/>
    <s v="60701190"/>
  </r>
  <r>
    <x v="116"/>
    <s v="2021-06-28"/>
    <x v="0"/>
    <x v="0"/>
    <n v="13"/>
    <x v="26"/>
    <n v="1.35"/>
    <n v="17.52"/>
    <s v="30172491"/>
  </r>
  <r>
    <x v="116"/>
    <s v="2021-06-28"/>
    <x v="0"/>
    <x v="0"/>
    <n v="12"/>
    <x v="29"/>
    <n v="1.34"/>
    <n v="17.37"/>
    <s v="60746948"/>
  </r>
  <r>
    <x v="116"/>
    <s v="2021-06-28"/>
    <x v="0"/>
    <x v="0"/>
    <n v="11"/>
    <x v="23"/>
    <n v="1.28"/>
    <n v="16.489999999999998"/>
    <s v="03215790"/>
  </r>
  <r>
    <x v="116"/>
    <s v="2021-06-28"/>
    <x v="0"/>
    <x v="0"/>
    <n v="10"/>
    <x v="33"/>
    <n v="1.26"/>
    <n v="16.170000000000002"/>
    <s v="62307848"/>
  </r>
  <r>
    <x v="116"/>
    <s v="2021-06-28"/>
    <x v="0"/>
    <x v="0"/>
    <n v="9"/>
    <x v="31"/>
    <n v="1.25"/>
    <n v="16.04"/>
    <s v="17167412"/>
  </r>
  <r>
    <x v="116"/>
    <s v="2021-06-28"/>
    <x v="0"/>
    <x v="0"/>
    <n v="8"/>
    <x v="27"/>
    <n v="1.19"/>
    <n v="15.27"/>
    <s v="00000000"/>
  </r>
  <r>
    <x v="116"/>
    <s v="2021-06-28"/>
    <x v="0"/>
    <x v="0"/>
    <n v="7"/>
    <x v="37"/>
    <n v="1.1599999999999999"/>
    <n v="14.79"/>
    <s v="04452473"/>
  </r>
  <r>
    <x v="116"/>
    <s v="2021-06-28"/>
    <x v="0"/>
    <x v="0"/>
    <n v="6"/>
    <x v="34"/>
    <n v="1.1399999999999999"/>
    <n v="14.5"/>
    <s v="33603457"/>
  </r>
  <r>
    <x v="116"/>
    <s v="2021-06-28"/>
    <x v="0"/>
    <x v="0"/>
    <n v="5"/>
    <x v="39"/>
    <n v="1.1100000000000001"/>
    <n v="14.13"/>
    <s v="04902979"/>
  </r>
  <r>
    <x v="116"/>
    <s v="2021-06-28"/>
    <x v="0"/>
    <x v="0"/>
    <n v="4"/>
    <x v="35"/>
    <n v="1.04"/>
    <n v="13.16"/>
    <s v="59109165"/>
  </r>
  <r>
    <x v="116"/>
    <s v="2021-06-28"/>
    <x v="0"/>
    <x v="0"/>
    <n v="3"/>
    <x v="38"/>
    <n v="0.99"/>
    <n v="12.58"/>
    <s v="60814191"/>
  </r>
  <r>
    <x v="116"/>
    <s v="2021-06-28"/>
    <x v="0"/>
    <x v="0"/>
    <n v="2"/>
    <x v="44"/>
    <n v="0.97"/>
    <n v="12.32"/>
    <s v="58017179"/>
  </r>
  <r>
    <x v="116"/>
    <s v="2021-06-28"/>
    <x v="0"/>
    <x v="0"/>
    <n v="1"/>
    <x v="22"/>
    <n v="0.95"/>
    <n v="12.03"/>
    <s v="11417016"/>
  </r>
  <r>
    <x v="117"/>
    <s v="2021-06-29"/>
    <x v="0"/>
    <x v="0"/>
    <n v="41"/>
    <x v="3"/>
    <n v="3.18"/>
    <n v="45.65"/>
    <s v="05503849"/>
  </r>
  <r>
    <x v="117"/>
    <s v="2021-06-29"/>
    <x v="0"/>
    <x v="0"/>
    <n v="40"/>
    <x v="1"/>
    <n v="3.03"/>
    <n v="43.06"/>
    <s v="01800019"/>
  </r>
  <r>
    <x v="117"/>
    <s v="2021-06-29"/>
    <x v="0"/>
    <x v="0"/>
    <n v="39"/>
    <x v="2"/>
    <n v="2.98"/>
    <n v="42.19"/>
    <s v="92228410"/>
  </r>
  <r>
    <x v="117"/>
    <s v="2021-06-29"/>
    <x v="0"/>
    <x v="0"/>
    <n v="38"/>
    <x v="0"/>
    <n v="2.9"/>
    <n v="40.950000000000003"/>
    <s v="60850229"/>
  </r>
  <r>
    <x v="117"/>
    <s v="2021-06-29"/>
    <x v="0"/>
    <x v="0"/>
    <n v="37"/>
    <x v="4"/>
    <n v="2.65"/>
    <n v="36.94"/>
    <s v="62232889"/>
  </r>
  <r>
    <x v="117"/>
    <s v="2021-06-29"/>
    <x v="0"/>
    <x v="0"/>
    <n v="36"/>
    <x v="7"/>
    <n v="2.5499999999999998"/>
    <n v="35.340000000000003"/>
    <s v="92874270"/>
  </r>
  <r>
    <x v="117"/>
    <s v="2021-06-29"/>
    <x v="0"/>
    <x v="0"/>
    <n v="35"/>
    <x v="6"/>
    <n v="2.41"/>
    <n v="33.14"/>
    <s v="05676026"/>
  </r>
  <r>
    <x v="117"/>
    <s v="2021-06-29"/>
    <x v="0"/>
    <x v="0"/>
    <n v="34"/>
    <x v="8"/>
    <n v="2.3199999999999998"/>
    <n v="31.69"/>
    <s v="59285411"/>
  </r>
  <r>
    <x v="117"/>
    <s v="2021-06-29"/>
    <x v="0"/>
    <x v="0"/>
    <n v="33"/>
    <x v="9"/>
    <n v="2.31"/>
    <n v="31.52"/>
    <s v="00411939"/>
  </r>
  <r>
    <x v="117"/>
    <s v="2021-06-29"/>
    <x v="0"/>
    <x v="0"/>
    <n v="32"/>
    <x v="5"/>
    <n v="2.2400000000000002"/>
    <n v="30.39"/>
    <s v="80271455"/>
  </r>
  <r>
    <x v="117"/>
    <s v="2021-06-29"/>
    <x v="0"/>
    <x v="0"/>
    <n v="31"/>
    <x v="42"/>
    <n v="2.1800000000000002"/>
    <n v="29.55"/>
    <s v="34991938"/>
  </r>
  <r>
    <x v="117"/>
    <s v="2021-06-29"/>
    <x v="0"/>
    <x v="0"/>
    <n v="30"/>
    <x v="10"/>
    <n v="2.11"/>
    <n v="28.45"/>
    <s v="10371492"/>
  </r>
  <r>
    <x v="117"/>
    <s v="2021-06-29"/>
    <x v="0"/>
    <x v="0"/>
    <n v="29"/>
    <x v="12"/>
    <n v="1.91"/>
    <n v="25.41"/>
    <s v="04862600"/>
  </r>
  <r>
    <x v="117"/>
    <s v="2021-06-29"/>
    <x v="0"/>
    <x v="0"/>
    <n v="28"/>
    <x v="13"/>
    <n v="1.84"/>
    <n v="24.51"/>
    <s v="07707650"/>
  </r>
  <r>
    <x v="117"/>
    <s v="2021-06-29"/>
    <x v="0"/>
    <x v="0"/>
    <n v="27"/>
    <x v="11"/>
    <n v="1.73"/>
    <n v="22.89"/>
    <s v="03634220"/>
  </r>
  <r>
    <x v="117"/>
    <s v="2021-06-29"/>
    <x v="0"/>
    <x v="0"/>
    <n v="26"/>
    <x v="24"/>
    <n v="1.7"/>
    <n v="22.48"/>
    <s v="22639377"/>
  </r>
  <r>
    <x v="117"/>
    <s v="2021-06-29"/>
    <x v="0"/>
    <x v="0"/>
    <n v="25"/>
    <x v="15"/>
    <n v="1.65"/>
    <n v="21.74"/>
    <s v="59588111"/>
  </r>
  <r>
    <x v="117"/>
    <s v="2021-06-29"/>
    <x v="0"/>
    <x v="0"/>
    <n v="24"/>
    <x v="16"/>
    <n v="1.64"/>
    <n v="21.51"/>
    <s v="07207996"/>
  </r>
  <r>
    <x v="117"/>
    <s v="2021-06-29"/>
    <x v="0"/>
    <x v="0"/>
    <n v="23"/>
    <x v="20"/>
    <n v="1.61"/>
    <n v="21.12"/>
    <s v="17192451"/>
  </r>
  <r>
    <x v="117"/>
    <s v="2021-06-29"/>
    <x v="0"/>
    <x v="0"/>
    <n v="22"/>
    <x v="14"/>
    <n v="1.53"/>
    <n v="19.93"/>
    <s v="00360305"/>
  </r>
  <r>
    <x v="117"/>
    <s v="2021-06-29"/>
    <x v="0"/>
    <x v="0"/>
    <n v="21"/>
    <x v="21"/>
    <n v="1.48"/>
    <n v="19.34"/>
    <s v="03017677"/>
  </r>
  <r>
    <x v="117"/>
    <s v="2021-06-29"/>
    <x v="0"/>
    <x v="0"/>
    <n v="20"/>
    <x v="18"/>
    <n v="1.47"/>
    <n v="19.11"/>
    <s v="28127603"/>
  </r>
  <r>
    <x v="117"/>
    <s v="2021-06-29"/>
    <x v="0"/>
    <x v="0"/>
    <n v="19"/>
    <x v="25"/>
    <n v="1.42"/>
    <n v="18.45"/>
    <s v="59274605"/>
  </r>
  <r>
    <x v="117"/>
    <s v="2021-06-29"/>
    <x v="0"/>
    <x v="0"/>
    <n v="18"/>
    <x v="28"/>
    <n v="1.41"/>
    <n v="18.36"/>
    <s v="90400888"/>
  </r>
  <r>
    <x v="117"/>
    <s v="2021-06-29"/>
    <x v="0"/>
    <x v="0"/>
    <n v="17"/>
    <x v="30"/>
    <n v="1.38"/>
    <n v="17.91"/>
    <s v="03502961"/>
  </r>
  <r>
    <x v="117"/>
    <s v="2021-06-29"/>
    <x v="0"/>
    <x v="0"/>
    <n v="16"/>
    <x v="32"/>
    <n v="1.37"/>
    <n v="17.690000000000001"/>
    <s v="60701190"/>
  </r>
  <r>
    <x v="117"/>
    <s v="2021-06-29"/>
    <x v="0"/>
    <x v="0"/>
    <n v="15"/>
    <x v="26"/>
    <n v="1.35"/>
    <n v="17.47"/>
    <s v="30172491"/>
  </r>
  <r>
    <x v="117"/>
    <s v="2021-06-29"/>
    <x v="0"/>
    <x v="0"/>
    <n v="14"/>
    <x v="29"/>
    <n v="1.35"/>
    <n v="17.440000000000001"/>
    <s v="60746948"/>
  </r>
  <r>
    <x v="117"/>
    <s v="2021-06-29"/>
    <x v="0"/>
    <x v="0"/>
    <n v="13"/>
    <x v="23"/>
    <n v="1.28"/>
    <n v="16.5"/>
    <s v="03215790"/>
  </r>
  <r>
    <x v="117"/>
    <s v="2021-06-29"/>
    <x v="0"/>
    <x v="0"/>
    <n v="12"/>
    <x v="33"/>
    <n v="1.26"/>
    <n v="16.14"/>
    <s v="62307848"/>
  </r>
  <r>
    <x v="117"/>
    <s v="2021-06-29"/>
    <x v="0"/>
    <x v="0"/>
    <n v="11"/>
    <x v="31"/>
    <n v="1.25"/>
    <n v="16.03"/>
    <s v="17167412"/>
  </r>
  <r>
    <x v="117"/>
    <s v="2021-06-29"/>
    <x v="0"/>
    <x v="0"/>
    <n v="10"/>
    <x v="27"/>
    <n v="1.19"/>
    <n v="15.25"/>
    <s v="00000000"/>
  </r>
  <r>
    <x v="117"/>
    <s v="2021-06-29"/>
    <x v="0"/>
    <x v="0"/>
    <n v="9"/>
    <x v="37"/>
    <n v="1.1499999999999999"/>
    <n v="14.73"/>
    <s v="04452473"/>
  </r>
  <r>
    <x v="117"/>
    <s v="2021-06-29"/>
    <x v="0"/>
    <x v="0"/>
    <n v="8"/>
    <x v="34"/>
    <n v="1.1399999999999999"/>
    <n v="14.58"/>
    <s v="33603457"/>
  </r>
  <r>
    <x v="117"/>
    <s v="2021-06-29"/>
    <x v="0"/>
    <x v="0"/>
    <n v="7"/>
    <x v="39"/>
    <n v="1.1100000000000001"/>
    <n v="14.13"/>
    <s v="04902979"/>
  </r>
  <r>
    <x v="117"/>
    <s v="2021-06-29"/>
    <x v="0"/>
    <x v="0"/>
    <n v="6"/>
    <x v="36"/>
    <n v="1.06"/>
    <n v="13.45"/>
    <s v="33136888"/>
  </r>
  <r>
    <x v="117"/>
    <s v="2021-06-29"/>
    <x v="0"/>
    <x v="0"/>
    <n v="5"/>
    <x v="35"/>
    <n v="1.05"/>
    <n v="13.33"/>
    <s v="59109165"/>
  </r>
  <r>
    <x v="117"/>
    <s v="2021-06-29"/>
    <x v="0"/>
    <x v="0"/>
    <n v="4"/>
    <x v="44"/>
    <n v="0.97"/>
    <n v="12.34"/>
    <s v="58017179"/>
  </r>
  <r>
    <x v="117"/>
    <s v="2021-06-29"/>
    <x v="0"/>
    <x v="0"/>
    <n v="3"/>
    <x v="38"/>
    <n v="0.97"/>
    <n v="12.24"/>
    <s v="60814191"/>
  </r>
  <r>
    <x v="117"/>
    <s v="2021-06-29"/>
    <x v="0"/>
    <x v="0"/>
    <n v="2"/>
    <x v="22"/>
    <n v="0.96"/>
    <n v="12.09"/>
    <s v="11417016"/>
  </r>
  <r>
    <x v="117"/>
    <s v="2021-06-29"/>
    <x v="0"/>
    <x v="0"/>
    <n v="1"/>
    <x v="40"/>
    <n v="0.96"/>
    <n v="12.08"/>
    <s v="02992446"/>
  </r>
  <r>
    <x v="118"/>
    <s v="2021-06-30"/>
    <x v="0"/>
    <x v="0"/>
    <n v="42"/>
    <x v="3"/>
    <n v="3.23"/>
    <n v="46.51"/>
    <s v="05503849"/>
  </r>
  <r>
    <x v="118"/>
    <s v="2021-06-30"/>
    <x v="0"/>
    <x v="0"/>
    <n v="41"/>
    <x v="2"/>
    <n v="2.97"/>
    <n v="42.07"/>
    <s v="92228410"/>
  </r>
  <r>
    <x v="118"/>
    <s v="2021-06-30"/>
    <x v="0"/>
    <x v="0"/>
    <n v="40"/>
    <x v="1"/>
    <n v="2.94"/>
    <n v="41.62"/>
    <s v="01800019"/>
  </r>
  <r>
    <x v="118"/>
    <s v="2021-06-30"/>
    <x v="0"/>
    <x v="0"/>
    <n v="39"/>
    <x v="0"/>
    <n v="2.92"/>
    <n v="41.25"/>
    <s v="60850229"/>
  </r>
  <r>
    <x v="118"/>
    <s v="2021-06-30"/>
    <x v="0"/>
    <x v="0"/>
    <n v="38"/>
    <x v="4"/>
    <n v="2.65"/>
    <n v="36.83"/>
    <s v="62232889"/>
  </r>
  <r>
    <x v="118"/>
    <s v="2021-06-30"/>
    <x v="0"/>
    <x v="0"/>
    <n v="37"/>
    <x v="7"/>
    <n v="2.57"/>
    <n v="35.57"/>
    <s v="92874270"/>
  </r>
  <r>
    <x v="118"/>
    <s v="2021-06-30"/>
    <x v="0"/>
    <x v="0"/>
    <n v="36"/>
    <x v="5"/>
    <n v="2.4500000000000002"/>
    <n v="33.75"/>
    <s v="80271455"/>
  </r>
  <r>
    <x v="118"/>
    <s v="2021-06-30"/>
    <x v="0"/>
    <x v="0"/>
    <n v="35"/>
    <x v="6"/>
    <n v="2.41"/>
    <n v="33.130000000000003"/>
    <s v="05676026"/>
  </r>
  <r>
    <x v="118"/>
    <s v="2021-06-30"/>
    <x v="0"/>
    <x v="0"/>
    <n v="34"/>
    <x v="8"/>
    <n v="2.33"/>
    <n v="31.85"/>
    <s v="59285411"/>
  </r>
  <r>
    <x v="118"/>
    <s v="2021-06-30"/>
    <x v="0"/>
    <x v="0"/>
    <n v="33"/>
    <x v="9"/>
    <n v="2.29"/>
    <n v="31.27"/>
    <s v="00411939"/>
  </r>
  <r>
    <x v="118"/>
    <s v="2021-06-30"/>
    <x v="0"/>
    <x v="0"/>
    <n v="32"/>
    <x v="42"/>
    <n v="2.12"/>
    <n v="28.66"/>
    <s v="34991938"/>
  </r>
  <r>
    <x v="118"/>
    <s v="2021-06-30"/>
    <x v="0"/>
    <x v="0"/>
    <n v="31"/>
    <x v="10"/>
    <n v="2.12"/>
    <n v="28.6"/>
    <s v="10371492"/>
  </r>
  <r>
    <x v="118"/>
    <s v="2021-06-30"/>
    <x v="0"/>
    <x v="0"/>
    <n v="30"/>
    <x v="12"/>
    <n v="1.89"/>
    <n v="25.22"/>
    <s v="04862600"/>
  </r>
  <r>
    <x v="118"/>
    <s v="2021-06-30"/>
    <x v="0"/>
    <x v="0"/>
    <n v="29"/>
    <x v="13"/>
    <n v="1.83"/>
    <n v="24.37"/>
    <s v="07707650"/>
  </r>
  <r>
    <x v="118"/>
    <s v="2021-06-30"/>
    <x v="0"/>
    <x v="0"/>
    <n v="28"/>
    <x v="24"/>
    <n v="1.81"/>
    <n v="24.02"/>
    <s v="22639377"/>
  </r>
  <r>
    <x v="118"/>
    <s v="2021-06-30"/>
    <x v="0"/>
    <x v="0"/>
    <n v="27"/>
    <x v="11"/>
    <n v="1.77"/>
    <n v="23.37"/>
    <s v="03634220"/>
  </r>
  <r>
    <x v="118"/>
    <s v="2021-06-30"/>
    <x v="0"/>
    <x v="0"/>
    <n v="26"/>
    <x v="15"/>
    <n v="1.65"/>
    <n v="21.66"/>
    <s v="59588111"/>
  </r>
  <r>
    <x v="118"/>
    <s v="2021-06-30"/>
    <x v="0"/>
    <x v="0"/>
    <n v="25"/>
    <x v="16"/>
    <n v="1.63"/>
    <n v="21.44"/>
    <s v="07207996"/>
  </r>
  <r>
    <x v="118"/>
    <s v="2021-06-30"/>
    <x v="0"/>
    <x v="0"/>
    <n v="24"/>
    <x v="20"/>
    <n v="1.61"/>
    <n v="21.06"/>
    <s v="17192451"/>
  </r>
  <r>
    <x v="118"/>
    <s v="2021-06-30"/>
    <x v="0"/>
    <x v="0"/>
    <n v="23"/>
    <x v="18"/>
    <n v="1.53"/>
    <n v="19.96"/>
    <s v="28127603"/>
  </r>
  <r>
    <x v="118"/>
    <s v="2021-06-30"/>
    <x v="0"/>
    <x v="0"/>
    <n v="22"/>
    <x v="21"/>
    <n v="1.48"/>
    <n v="19.21"/>
    <s v="03017677"/>
  </r>
  <r>
    <x v="118"/>
    <s v="2021-06-30"/>
    <x v="0"/>
    <x v="0"/>
    <n v="21"/>
    <x v="14"/>
    <n v="1.46"/>
    <n v="19.02"/>
    <s v="00360305"/>
  </r>
  <r>
    <x v="118"/>
    <s v="2021-06-30"/>
    <x v="0"/>
    <x v="0"/>
    <n v="20"/>
    <x v="25"/>
    <n v="1.44"/>
    <n v="18.68"/>
    <s v="59274605"/>
  </r>
  <r>
    <x v="118"/>
    <s v="2021-06-30"/>
    <x v="0"/>
    <x v="0"/>
    <n v="19"/>
    <x v="28"/>
    <n v="1.43"/>
    <n v="18.53"/>
    <s v="90400888"/>
  </r>
  <r>
    <x v="118"/>
    <s v="2021-06-30"/>
    <x v="0"/>
    <x v="0"/>
    <n v="18"/>
    <x v="30"/>
    <n v="1.39"/>
    <n v="17.98"/>
    <s v="03502961"/>
  </r>
  <r>
    <x v="118"/>
    <s v="2021-06-30"/>
    <x v="0"/>
    <x v="0"/>
    <n v="17"/>
    <x v="32"/>
    <n v="1.36"/>
    <n v="17.62"/>
    <s v="60701190"/>
  </r>
  <r>
    <x v="118"/>
    <s v="2021-06-30"/>
    <x v="0"/>
    <x v="0"/>
    <n v="16"/>
    <x v="26"/>
    <n v="1.35"/>
    <n v="17.5"/>
    <s v="30172491"/>
  </r>
  <r>
    <x v="118"/>
    <s v="2021-06-30"/>
    <x v="0"/>
    <x v="0"/>
    <n v="15"/>
    <x v="29"/>
    <n v="1.34"/>
    <n v="17.27"/>
    <s v="60746948"/>
  </r>
  <r>
    <x v="118"/>
    <s v="2021-06-30"/>
    <x v="0"/>
    <x v="0"/>
    <n v="14"/>
    <x v="23"/>
    <n v="1.27"/>
    <n v="16.41"/>
    <s v="03215790"/>
  </r>
  <r>
    <x v="118"/>
    <s v="2021-06-30"/>
    <x v="0"/>
    <x v="0"/>
    <n v="13"/>
    <x v="33"/>
    <n v="1.25"/>
    <n v="16.14"/>
    <s v="62307848"/>
  </r>
  <r>
    <x v="118"/>
    <s v="2021-06-30"/>
    <x v="0"/>
    <x v="0"/>
    <n v="12"/>
    <x v="31"/>
    <n v="1.22"/>
    <n v="15.64"/>
    <s v="17167412"/>
  </r>
  <r>
    <x v="118"/>
    <s v="2021-06-30"/>
    <x v="0"/>
    <x v="0"/>
    <n v="11"/>
    <x v="27"/>
    <n v="1.19"/>
    <n v="15.26"/>
    <s v="00000000"/>
  </r>
  <r>
    <x v="118"/>
    <s v="2021-06-30"/>
    <x v="0"/>
    <x v="0"/>
    <n v="10"/>
    <x v="37"/>
    <n v="1.1499999999999999"/>
    <n v="14.69"/>
    <s v="04452473"/>
  </r>
  <r>
    <x v="118"/>
    <s v="2021-06-30"/>
    <x v="0"/>
    <x v="0"/>
    <n v="9"/>
    <x v="34"/>
    <n v="1.1399999999999999"/>
    <n v="14.62"/>
    <s v="33603457"/>
  </r>
  <r>
    <x v="118"/>
    <s v="2021-06-30"/>
    <x v="0"/>
    <x v="0"/>
    <n v="8"/>
    <x v="39"/>
    <n v="1.1100000000000001"/>
    <n v="14.13"/>
    <s v="04902979"/>
  </r>
  <r>
    <x v="118"/>
    <s v="2021-06-30"/>
    <x v="0"/>
    <x v="0"/>
    <n v="7"/>
    <x v="36"/>
    <n v="1.1000000000000001"/>
    <n v="13.96"/>
    <s v="33136888"/>
  </r>
  <r>
    <x v="118"/>
    <s v="2021-06-30"/>
    <x v="0"/>
    <x v="0"/>
    <n v="6"/>
    <x v="35"/>
    <n v="1.06"/>
    <n v="13.48"/>
    <s v="59109165"/>
  </r>
  <r>
    <x v="118"/>
    <s v="2021-06-30"/>
    <x v="0"/>
    <x v="0"/>
    <n v="5"/>
    <x v="44"/>
    <n v="1.05"/>
    <n v="13.34"/>
    <s v="58017179"/>
  </r>
  <r>
    <x v="118"/>
    <s v="2021-06-30"/>
    <x v="0"/>
    <x v="0"/>
    <n v="4"/>
    <x v="47"/>
    <n v="1.03"/>
    <n v="13.14"/>
    <s v="28517628"/>
  </r>
  <r>
    <x v="118"/>
    <s v="2021-06-30"/>
    <x v="0"/>
    <x v="0"/>
    <n v="3"/>
    <x v="22"/>
    <n v="0.94"/>
    <n v="11.9"/>
    <s v="11417016"/>
  </r>
  <r>
    <x v="118"/>
    <s v="2021-06-30"/>
    <x v="0"/>
    <x v="0"/>
    <n v="2"/>
    <x v="40"/>
    <n v="0.94"/>
    <n v="11.86"/>
    <s v="02992446"/>
  </r>
  <r>
    <x v="118"/>
    <s v="2021-06-30"/>
    <x v="0"/>
    <x v="0"/>
    <n v="1"/>
    <x v="38"/>
    <n v="0.93"/>
    <n v="11.75"/>
    <s v="60814191"/>
  </r>
  <r>
    <x v="119"/>
    <s v="2021-07-01"/>
    <x v="0"/>
    <x v="0"/>
    <n v="42"/>
    <x v="3"/>
    <n v="3.24"/>
    <n v="46.62"/>
    <s v="05503849"/>
  </r>
  <r>
    <x v="119"/>
    <s v="2021-07-01"/>
    <x v="0"/>
    <x v="0"/>
    <n v="41"/>
    <x v="1"/>
    <n v="2.98"/>
    <n v="42.23"/>
    <s v="01800019"/>
  </r>
  <r>
    <x v="119"/>
    <s v="2021-07-01"/>
    <x v="0"/>
    <x v="0"/>
    <n v="40"/>
    <x v="2"/>
    <n v="2.97"/>
    <n v="42.07"/>
    <s v="92228410"/>
  </r>
  <r>
    <x v="119"/>
    <s v="2021-07-01"/>
    <x v="0"/>
    <x v="0"/>
    <n v="39"/>
    <x v="0"/>
    <n v="2.96"/>
    <n v="41.92"/>
    <s v="60850229"/>
  </r>
  <r>
    <x v="119"/>
    <s v="2021-07-01"/>
    <x v="0"/>
    <x v="0"/>
    <n v="38"/>
    <x v="7"/>
    <n v="2.65"/>
    <n v="36.840000000000003"/>
    <s v="92874270"/>
  </r>
  <r>
    <x v="119"/>
    <s v="2021-07-01"/>
    <x v="0"/>
    <x v="0"/>
    <n v="37"/>
    <x v="4"/>
    <n v="2.65"/>
    <n v="36.82"/>
    <s v="62232889"/>
  </r>
  <r>
    <x v="119"/>
    <s v="2021-07-01"/>
    <x v="0"/>
    <x v="0"/>
    <n v="36"/>
    <x v="5"/>
    <n v="2.5299999999999998"/>
    <n v="34.950000000000003"/>
    <s v="80271455"/>
  </r>
  <r>
    <x v="119"/>
    <s v="2021-07-01"/>
    <x v="0"/>
    <x v="0"/>
    <n v="35"/>
    <x v="6"/>
    <n v="2.42"/>
    <n v="33.17"/>
    <s v="05676026"/>
  </r>
  <r>
    <x v="119"/>
    <s v="2021-07-01"/>
    <x v="0"/>
    <x v="0"/>
    <n v="34"/>
    <x v="8"/>
    <n v="2.34"/>
    <n v="31.92"/>
    <s v="59285411"/>
  </r>
  <r>
    <x v="119"/>
    <s v="2021-07-01"/>
    <x v="0"/>
    <x v="0"/>
    <n v="33"/>
    <x v="9"/>
    <n v="2.27"/>
    <n v="30.93"/>
    <s v="00411939"/>
  </r>
  <r>
    <x v="119"/>
    <s v="2021-07-01"/>
    <x v="0"/>
    <x v="0"/>
    <n v="32"/>
    <x v="42"/>
    <n v="2.12"/>
    <n v="28.58"/>
    <s v="34991938"/>
  </r>
  <r>
    <x v="119"/>
    <s v="2021-07-01"/>
    <x v="0"/>
    <x v="0"/>
    <n v="31"/>
    <x v="10"/>
    <n v="2.1"/>
    <n v="28.37"/>
    <s v="10371492"/>
  </r>
  <r>
    <x v="119"/>
    <s v="2021-07-01"/>
    <x v="0"/>
    <x v="0"/>
    <n v="30"/>
    <x v="12"/>
    <n v="1.89"/>
    <n v="25.15"/>
    <s v="04862600"/>
  </r>
  <r>
    <x v="119"/>
    <s v="2021-07-01"/>
    <x v="0"/>
    <x v="0"/>
    <n v="29"/>
    <x v="13"/>
    <n v="1.83"/>
    <n v="24.26"/>
    <s v="07707650"/>
  </r>
  <r>
    <x v="119"/>
    <s v="2021-07-01"/>
    <x v="0"/>
    <x v="0"/>
    <n v="28"/>
    <x v="11"/>
    <n v="1.76"/>
    <n v="23.24"/>
    <s v="03634220"/>
  </r>
  <r>
    <x v="119"/>
    <s v="2021-07-01"/>
    <x v="0"/>
    <x v="0"/>
    <n v="27"/>
    <x v="24"/>
    <n v="1.73"/>
    <n v="22.84"/>
    <s v="22639377"/>
  </r>
  <r>
    <x v="119"/>
    <s v="2021-07-01"/>
    <x v="0"/>
    <x v="0"/>
    <n v="26"/>
    <x v="15"/>
    <n v="1.64"/>
    <n v="21.59"/>
    <s v="59588111"/>
  </r>
  <r>
    <x v="119"/>
    <s v="2021-07-01"/>
    <x v="0"/>
    <x v="0"/>
    <n v="25"/>
    <x v="16"/>
    <n v="1.62"/>
    <n v="21.2"/>
    <s v="07207996"/>
  </r>
  <r>
    <x v="119"/>
    <s v="2021-07-01"/>
    <x v="0"/>
    <x v="0"/>
    <n v="24"/>
    <x v="20"/>
    <n v="1.6"/>
    <n v="20.98"/>
    <s v="17192451"/>
  </r>
  <r>
    <x v="119"/>
    <s v="2021-07-01"/>
    <x v="0"/>
    <x v="0"/>
    <n v="23"/>
    <x v="18"/>
    <n v="1.58"/>
    <n v="20.7"/>
    <s v="28127603"/>
  </r>
  <r>
    <x v="119"/>
    <s v="2021-07-01"/>
    <x v="0"/>
    <x v="0"/>
    <n v="22"/>
    <x v="14"/>
    <n v="1.54"/>
    <n v="20.14"/>
    <s v="00360305"/>
  </r>
  <r>
    <x v="119"/>
    <s v="2021-07-01"/>
    <x v="0"/>
    <x v="0"/>
    <n v="21"/>
    <x v="21"/>
    <n v="1.47"/>
    <n v="19.18"/>
    <s v="03017677"/>
  </r>
  <r>
    <x v="119"/>
    <s v="2021-07-01"/>
    <x v="0"/>
    <x v="0"/>
    <n v="20"/>
    <x v="25"/>
    <n v="1.43"/>
    <n v="18.61"/>
    <s v="59274605"/>
  </r>
  <r>
    <x v="119"/>
    <s v="2021-07-01"/>
    <x v="0"/>
    <x v="0"/>
    <n v="19"/>
    <x v="28"/>
    <n v="1.41"/>
    <n v="18.32"/>
    <s v="90400888"/>
  </r>
  <r>
    <x v="119"/>
    <s v="2021-07-01"/>
    <x v="0"/>
    <x v="0"/>
    <n v="18"/>
    <x v="30"/>
    <n v="1.38"/>
    <n v="17.89"/>
    <s v="03502961"/>
  </r>
  <r>
    <x v="119"/>
    <s v="2021-07-01"/>
    <x v="0"/>
    <x v="0"/>
    <n v="17"/>
    <x v="32"/>
    <n v="1.36"/>
    <n v="17.63"/>
    <s v="60701190"/>
  </r>
  <r>
    <x v="119"/>
    <s v="2021-07-01"/>
    <x v="0"/>
    <x v="0"/>
    <n v="16"/>
    <x v="26"/>
    <n v="1.36"/>
    <n v="17.54"/>
    <s v="30172491"/>
  </r>
  <r>
    <x v="119"/>
    <s v="2021-07-01"/>
    <x v="0"/>
    <x v="0"/>
    <n v="15"/>
    <x v="29"/>
    <n v="1.34"/>
    <n v="17.37"/>
    <s v="60746948"/>
  </r>
  <r>
    <x v="119"/>
    <s v="2021-07-01"/>
    <x v="0"/>
    <x v="0"/>
    <n v="14"/>
    <x v="23"/>
    <n v="1.27"/>
    <n v="16.36"/>
    <s v="03215790"/>
  </r>
  <r>
    <x v="119"/>
    <s v="2021-07-01"/>
    <x v="0"/>
    <x v="0"/>
    <n v="13"/>
    <x v="33"/>
    <n v="1.25"/>
    <n v="16.14"/>
    <s v="62307848"/>
  </r>
  <r>
    <x v="119"/>
    <s v="2021-07-01"/>
    <x v="0"/>
    <x v="0"/>
    <n v="12"/>
    <x v="31"/>
    <n v="1.2"/>
    <n v="15.41"/>
    <s v="17167412"/>
  </r>
  <r>
    <x v="119"/>
    <s v="2021-07-01"/>
    <x v="0"/>
    <x v="0"/>
    <n v="11"/>
    <x v="27"/>
    <n v="1.18"/>
    <n v="15.12"/>
    <s v="00000000"/>
  </r>
  <r>
    <x v="119"/>
    <s v="2021-07-01"/>
    <x v="0"/>
    <x v="0"/>
    <n v="10"/>
    <x v="37"/>
    <n v="1.1499999999999999"/>
    <n v="14.73"/>
    <s v="04452473"/>
  </r>
  <r>
    <x v="119"/>
    <s v="2021-07-01"/>
    <x v="0"/>
    <x v="0"/>
    <n v="9"/>
    <x v="34"/>
    <n v="1.1499999999999999"/>
    <n v="14.68"/>
    <s v="33603457"/>
  </r>
  <r>
    <x v="119"/>
    <s v="2021-07-01"/>
    <x v="0"/>
    <x v="0"/>
    <n v="8"/>
    <x v="36"/>
    <n v="1.1399999999999999"/>
    <n v="14.55"/>
    <s v="33136888"/>
  </r>
  <r>
    <x v="119"/>
    <s v="2021-07-01"/>
    <x v="0"/>
    <x v="0"/>
    <n v="7"/>
    <x v="39"/>
    <n v="1.0900000000000001"/>
    <n v="13.89"/>
    <s v="04902979"/>
  </r>
  <r>
    <x v="119"/>
    <s v="2021-07-01"/>
    <x v="0"/>
    <x v="0"/>
    <n v="6"/>
    <x v="35"/>
    <n v="1.06"/>
    <n v="13.54"/>
    <s v="59109165"/>
  </r>
  <r>
    <x v="119"/>
    <s v="2021-07-01"/>
    <x v="0"/>
    <x v="0"/>
    <n v="5"/>
    <x v="44"/>
    <n v="1.05"/>
    <n v="13.38"/>
    <s v="58017179"/>
  </r>
  <r>
    <x v="119"/>
    <s v="2021-07-01"/>
    <x v="0"/>
    <x v="0"/>
    <n v="4"/>
    <x v="47"/>
    <n v="1.03"/>
    <n v="13.14"/>
    <s v="28517628"/>
  </r>
  <r>
    <x v="119"/>
    <s v="2021-07-01"/>
    <x v="0"/>
    <x v="0"/>
    <n v="3"/>
    <x v="40"/>
    <n v="1.03"/>
    <n v="13.08"/>
    <s v="02992446"/>
  </r>
  <r>
    <x v="119"/>
    <s v="2021-07-01"/>
    <x v="0"/>
    <x v="0"/>
    <n v="2"/>
    <x v="38"/>
    <n v="0.92"/>
    <n v="11.55"/>
    <s v="60814191"/>
  </r>
  <r>
    <x v="119"/>
    <s v="2021-07-01"/>
    <x v="0"/>
    <x v="0"/>
    <n v="1"/>
    <x v="22"/>
    <n v="0.91"/>
    <n v="11.47"/>
    <s v="11417016"/>
  </r>
  <r>
    <x v="120"/>
    <s v="2021-07-02"/>
    <x v="0"/>
    <x v="0"/>
    <n v="42"/>
    <x v="3"/>
    <n v="3.27"/>
    <n v="47.2"/>
    <s v="05503849"/>
  </r>
  <r>
    <x v="120"/>
    <s v="2021-07-02"/>
    <x v="0"/>
    <x v="0"/>
    <n v="41"/>
    <x v="0"/>
    <n v="3.03"/>
    <n v="43.11"/>
    <s v="60850229"/>
  </r>
  <r>
    <x v="120"/>
    <s v="2021-07-02"/>
    <x v="0"/>
    <x v="0"/>
    <n v="40"/>
    <x v="2"/>
    <n v="3.01"/>
    <n v="42.78"/>
    <s v="92228410"/>
  </r>
  <r>
    <x v="120"/>
    <s v="2021-07-02"/>
    <x v="0"/>
    <x v="0"/>
    <n v="39"/>
    <x v="1"/>
    <n v="2.99"/>
    <n v="42.48"/>
    <s v="01800019"/>
  </r>
  <r>
    <x v="120"/>
    <s v="2021-07-02"/>
    <x v="0"/>
    <x v="0"/>
    <n v="38"/>
    <x v="7"/>
    <n v="2.67"/>
    <n v="37.26"/>
    <s v="92874270"/>
  </r>
  <r>
    <x v="120"/>
    <s v="2021-07-02"/>
    <x v="0"/>
    <x v="0"/>
    <n v="37"/>
    <x v="4"/>
    <n v="2.65"/>
    <n v="36.94"/>
    <s v="62232889"/>
  </r>
  <r>
    <x v="120"/>
    <s v="2021-07-02"/>
    <x v="0"/>
    <x v="0"/>
    <n v="36"/>
    <x v="5"/>
    <n v="2.54"/>
    <n v="35.090000000000003"/>
    <s v="80271455"/>
  </r>
  <r>
    <x v="120"/>
    <s v="2021-07-02"/>
    <x v="0"/>
    <x v="0"/>
    <n v="35"/>
    <x v="6"/>
    <n v="2.42"/>
    <n v="33.21"/>
    <s v="05676026"/>
  </r>
  <r>
    <x v="120"/>
    <s v="2021-07-02"/>
    <x v="0"/>
    <x v="0"/>
    <n v="34"/>
    <x v="8"/>
    <n v="2.34"/>
    <n v="31.92"/>
    <s v="59285411"/>
  </r>
  <r>
    <x v="120"/>
    <s v="2021-07-02"/>
    <x v="0"/>
    <x v="0"/>
    <n v="33"/>
    <x v="9"/>
    <n v="2.2799999999999998"/>
    <n v="31.07"/>
    <s v="00411939"/>
  </r>
  <r>
    <x v="120"/>
    <s v="2021-07-02"/>
    <x v="0"/>
    <x v="0"/>
    <n v="32"/>
    <x v="10"/>
    <n v="2.1"/>
    <n v="28.25"/>
    <s v="10371492"/>
  </r>
  <r>
    <x v="120"/>
    <s v="2021-07-02"/>
    <x v="0"/>
    <x v="0"/>
    <n v="31"/>
    <x v="42"/>
    <n v="2.06"/>
    <n v="27.67"/>
    <s v="34991938"/>
  </r>
  <r>
    <x v="120"/>
    <s v="2021-07-02"/>
    <x v="0"/>
    <x v="0"/>
    <n v="30"/>
    <x v="12"/>
    <n v="1.88"/>
    <n v="25.08"/>
    <s v="04862600"/>
  </r>
  <r>
    <x v="120"/>
    <s v="2021-07-02"/>
    <x v="0"/>
    <x v="0"/>
    <n v="29"/>
    <x v="13"/>
    <n v="1.83"/>
    <n v="24.3"/>
    <s v="07707650"/>
  </r>
  <r>
    <x v="120"/>
    <s v="2021-07-02"/>
    <x v="0"/>
    <x v="0"/>
    <n v="28"/>
    <x v="11"/>
    <n v="1.76"/>
    <n v="23.28"/>
    <s v="03634220"/>
  </r>
  <r>
    <x v="120"/>
    <s v="2021-07-02"/>
    <x v="0"/>
    <x v="0"/>
    <n v="27"/>
    <x v="18"/>
    <n v="1.69"/>
    <n v="22.25"/>
    <s v="28127603"/>
  </r>
  <r>
    <x v="120"/>
    <s v="2021-07-02"/>
    <x v="0"/>
    <x v="0"/>
    <n v="26"/>
    <x v="24"/>
    <n v="1.67"/>
    <n v="22.05"/>
    <s v="22639377"/>
  </r>
  <r>
    <x v="120"/>
    <s v="2021-07-02"/>
    <x v="0"/>
    <x v="0"/>
    <n v="25"/>
    <x v="15"/>
    <n v="1.64"/>
    <n v="21.52"/>
    <s v="59588111"/>
  </r>
  <r>
    <x v="120"/>
    <s v="2021-07-02"/>
    <x v="0"/>
    <x v="0"/>
    <n v="24"/>
    <x v="16"/>
    <n v="1.61"/>
    <n v="21.17"/>
    <s v="07207996"/>
  </r>
  <r>
    <x v="120"/>
    <s v="2021-07-02"/>
    <x v="0"/>
    <x v="0"/>
    <n v="23"/>
    <x v="20"/>
    <n v="1.61"/>
    <n v="21.07"/>
    <s v="17192451"/>
  </r>
  <r>
    <x v="120"/>
    <s v="2021-07-02"/>
    <x v="0"/>
    <x v="0"/>
    <n v="22"/>
    <x v="14"/>
    <n v="1.55"/>
    <n v="20.3"/>
    <s v="00360305"/>
  </r>
  <r>
    <x v="120"/>
    <s v="2021-07-02"/>
    <x v="0"/>
    <x v="0"/>
    <n v="21"/>
    <x v="21"/>
    <n v="1.48"/>
    <n v="19.23"/>
    <s v="03017677"/>
  </r>
  <r>
    <x v="120"/>
    <s v="2021-07-02"/>
    <x v="0"/>
    <x v="0"/>
    <n v="20"/>
    <x v="25"/>
    <n v="1.42"/>
    <n v="18.43"/>
    <s v="59274605"/>
  </r>
  <r>
    <x v="120"/>
    <s v="2021-07-02"/>
    <x v="0"/>
    <x v="0"/>
    <n v="19"/>
    <x v="28"/>
    <n v="1.42"/>
    <n v="18.39"/>
    <s v="90400888"/>
  </r>
  <r>
    <x v="120"/>
    <s v="2021-07-02"/>
    <x v="0"/>
    <x v="0"/>
    <n v="18"/>
    <x v="30"/>
    <n v="1.38"/>
    <n v="17.88"/>
    <s v="03502961"/>
  </r>
  <r>
    <x v="120"/>
    <s v="2021-07-02"/>
    <x v="0"/>
    <x v="0"/>
    <n v="17"/>
    <x v="32"/>
    <n v="1.38"/>
    <n v="17.87"/>
    <s v="60701190"/>
  </r>
  <r>
    <x v="120"/>
    <s v="2021-07-02"/>
    <x v="0"/>
    <x v="0"/>
    <n v="16"/>
    <x v="26"/>
    <n v="1.36"/>
    <n v="17.57"/>
    <s v="30172491"/>
  </r>
  <r>
    <x v="120"/>
    <s v="2021-07-02"/>
    <x v="0"/>
    <x v="0"/>
    <n v="15"/>
    <x v="29"/>
    <n v="1.34"/>
    <n v="17.260000000000002"/>
    <s v="60746948"/>
  </r>
  <r>
    <x v="120"/>
    <s v="2021-07-02"/>
    <x v="0"/>
    <x v="0"/>
    <n v="14"/>
    <x v="23"/>
    <n v="1.27"/>
    <n v="16.38"/>
    <s v="03215790"/>
  </r>
  <r>
    <x v="120"/>
    <s v="2021-07-02"/>
    <x v="0"/>
    <x v="0"/>
    <n v="13"/>
    <x v="33"/>
    <n v="1.25"/>
    <n v="16.12"/>
    <s v="62307848"/>
  </r>
  <r>
    <x v="120"/>
    <s v="2021-07-02"/>
    <x v="0"/>
    <x v="0"/>
    <n v="12"/>
    <x v="31"/>
    <n v="1.21"/>
    <n v="15.5"/>
    <s v="17167412"/>
  </r>
  <r>
    <x v="120"/>
    <s v="2021-07-02"/>
    <x v="0"/>
    <x v="0"/>
    <n v="11"/>
    <x v="27"/>
    <n v="1.19"/>
    <n v="15.18"/>
    <s v="00000000"/>
  </r>
  <r>
    <x v="120"/>
    <s v="2021-07-02"/>
    <x v="0"/>
    <x v="0"/>
    <n v="10"/>
    <x v="37"/>
    <n v="1.1499999999999999"/>
    <n v="14.73"/>
    <s v="04452473"/>
  </r>
  <r>
    <x v="120"/>
    <s v="2021-07-02"/>
    <x v="0"/>
    <x v="0"/>
    <n v="9"/>
    <x v="34"/>
    <n v="1.1399999999999999"/>
    <n v="14.54"/>
    <s v="33603457"/>
  </r>
  <r>
    <x v="120"/>
    <s v="2021-07-02"/>
    <x v="0"/>
    <x v="0"/>
    <n v="8"/>
    <x v="36"/>
    <n v="1.1299999999999999"/>
    <n v="14.42"/>
    <s v="33136888"/>
  </r>
  <r>
    <x v="120"/>
    <s v="2021-07-02"/>
    <x v="0"/>
    <x v="0"/>
    <n v="7"/>
    <x v="39"/>
    <n v="1.0900000000000001"/>
    <n v="13.89"/>
    <s v="04902979"/>
  </r>
  <r>
    <x v="120"/>
    <s v="2021-07-02"/>
    <x v="0"/>
    <x v="0"/>
    <n v="6"/>
    <x v="35"/>
    <n v="1.07"/>
    <n v="13.65"/>
    <s v="59109165"/>
  </r>
  <r>
    <x v="120"/>
    <s v="2021-07-02"/>
    <x v="0"/>
    <x v="0"/>
    <n v="5"/>
    <x v="44"/>
    <n v="1.05"/>
    <n v="13.38"/>
    <s v="58017179"/>
  </r>
  <r>
    <x v="120"/>
    <s v="2021-07-02"/>
    <x v="0"/>
    <x v="0"/>
    <n v="4"/>
    <x v="47"/>
    <n v="1.03"/>
    <n v="13.14"/>
    <s v="28517628"/>
  </r>
  <r>
    <x v="120"/>
    <s v="2021-07-02"/>
    <x v="0"/>
    <x v="0"/>
    <n v="3"/>
    <x v="40"/>
    <n v="0.99"/>
    <n v="12.58"/>
    <s v="02992446"/>
  </r>
  <r>
    <x v="120"/>
    <s v="2021-07-02"/>
    <x v="0"/>
    <x v="0"/>
    <n v="2"/>
    <x v="38"/>
    <n v="0.92"/>
    <n v="11.59"/>
    <s v="60814191"/>
  </r>
  <r>
    <x v="120"/>
    <s v="2021-07-02"/>
    <x v="0"/>
    <x v="0"/>
    <n v="1"/>
    <x v="22"/>
    <n v="0.91"/>
    <n v="11.47"/>
    <s v="11417016"/>
  </r>
  <r>
    <x v="121"/>
    <s v="2021-07-05"/>
    <x v="0"/>
    <x v="0"/>
    <n v="43"/>
    <x v="3"/>
    <n v="3.35"/>
    <n v="48.5"/>
    <s v="05503849"/>
  </r>
  <r>
    <x v="121"/>
    <s v="2021-07-05"/>
    <x v="0"/>
    <x v="0"/>
    <n v="42"/>
    <x v="0"/>
    <n v="3.09"/>
    <n v="44.12"/>
    <s v="60850229"/>
  </r>
  <r>
    <x v="121"/>
    <s v="2021-07-05"/>
    <x v="0"/>
    <x v="0"/>
    <n v="41"/>
    <x v="2"/>
    <n v="3.04"/>
    <n v="43.21"/>
    <s v="92228410"/>
  </r>
  <r>
    <x v="121"/>
    <s v="2021-07-05"/>
    <x v="0"/>
    <x v="0"/>
    <n v="40"/>
    <x v="1"/>
    <n v="2.96"/>
    <n v="41.87"/>
    <s v="01800019"/>
  </r>
  <r>
    <x v="121"/>
    <s v="2021-07-05"/>
    <x v="0"/>
    <x v="0"/>
    <n v="39"/>
    <x v="7"/>
    <n v="2.69"/>
    <n v="37.549999999999997"/>
    <s v="92874270"/>
  </r>
  <r>
    <x v="121"/>
    <s v="2021-07-05"/>
    <x v="0"/>
    <x v="0"/>
    <n v="38"/>
    <x v="4"/>
    <n v="2.64"/>
    <n v="36.770000000000003"/>
    <s v="62232889"/>
  </r>
  <r>
    <x v="121"/>
    <s v="2021-07-05"/>
    <x v="0"/>
    <x v="0"/>
    <n v="37"/>
    <x v="5"/>
    <n v="2.52"/>
    <n v="34.76"/>
    <s v="80271455"/>
  </r>
  <r>
    <x v="121"/>
    <s v="2021-07-05"/>
    <x v="0"/>
    <x v="0"/>
    <n v="36"/>
    <x v="6"/>
    <n v="2.42"/>
    <n v="33.22"/>
    <s v="05676026"/>
  </r>
  <r>
    <x v="121"/>
    <s v="2021-07-05"/>
    <x v="0"/>
    <x v="0"/>
    <n v="35"/>
    <x v="8"/>
    <n v="2.34"/>
    <n v="31.92"/>
    <s v="59285411"/>
  </r>
  <r>
    <x v="121"/>
    <s v="2021-07-05"/>
    <x v="0"/>
    <x v="0"/>
    <n v="34"/>
    <x v="9"/>
    <n v="2.3199999999999998"/>
    <n v="31.7"/>
    <s v="00411939"/>
  </r>
  <r>
    <x v="121"/>
    <s v="2021-07-05"/>
    <x v="0"/>
    <x v="0"/>
    <n v="33"/>
    <x v="10"/>
    <n v="2.09"/>
    <n v="28.24"/>
    <s v="10371492"/>
  </r>
  <r>
    <x v="121"/>
    <s v="2021-07-05"/>
    <x v="0"/>
    <x v="0"/>
    <n v="32"/>
    <x v="42"/>
    <n v="2.0699999999999998"/>
    <n v="27.9"/>
    <s v="34991938"/>
  </r>
  <r>
    <x v="121"/>
    <s v="2021-07-05"/>
    <x v="0"/>
    <x v="0"/>
    <n v="31"/>
    <x v="12"/>
    <n v="1.88"/>
    <n v="25.01"/>
    <s v="04862600"/>
  </r>
  <r>
    <x v="121"/>
    <s v="2021-07-05"/>
    <x v="0"/>
    <x v="0"/>
    <n v="30"/>
    <x v="13"/>
    <n v="1.83"/>
    <n v="24.34"/>
    <s v="07707650"/>
  </r>
  <r>
    <x v="121"/>
    <s v="2021-07-05"/>
    <x v="0"/>
    <x v="0"/>
    <n v="29"/>
    <x v="24"/>
    <n v="1.8"/>
    <n v="23.89"/>
    <s v="22639377"/>
  </r>
  <r>
    <x v="121"/>
    <s v="2021-07-05"/>
    <x v="0"/>
    <x v="0"/>
    <n v="28"/>
    <x v="11"/>
    <n v="1.75"/>
    <n v="23.08"/>
    <s v="03634220"/>
  </r>
  <r>
    <x v="121"/>
    <s v="2021-07-05"/>
    <x v="0"/>
    <x v="0"/>
    <n v="27"/>
    <x v="18"/>
    <n v="1.72"/>
    <n v="22.71"/>
    <s v="28127603"/>
  </r>
  <r>
    <x v="121"/>
    <s v="2021-07-05"/>
    <x v="0"/>
    <x v="0"/>
    <n v="26"/>
    <x v="15"/>
    <n v="1.65"/>
    <n v="21.63"/>
    <s v="59588111"/>
  </r>
  <r>
    <x v="121"/>
    <s v="2021-07-05"/>
    <x v="0"/>
    <x v="0"/>
    <n v="25"/>
    <x v="16"/>
    <n v="1.62"/>
    <n v="21.27"/>
    <s v="07207996"/>
  </r>
  <r>
    <x v="121"/>
    <s v="2021-07-05"/>
    <x v="0"/>
    <x v="0"/>
    <n v="24"/>
    <x v="20"/>
    <n v="1.62"/>
    <n v="21.25"/>
    <s v="17192451"/>
  </r>
  <r>
    <x v="121"/>
    <s v="2021-07-05"/>
    <x v="0"/>
    <x v="0"/>
    <n v="23"/>
    <x v="14"/>
    <n v="1.5"/>
    <n v="19.61"/>
    <s v="00360305"/>
  </r>
  <r>
    <x v="121"/>
    <s v="2021-07-05"/>
    <x v="0"/>
    <x v="0"/>
    <n v="22"/>
    <x v="21"/>
    <n v="1.48"/>
    <n v="19.21"/>
    <s v="03017677"/>
  </r>
  <r>
    <x v="121"/>
    <s v="2021-07-05"/>
    <x v="0"/>
    <x v="0"/>
    <n v="21"/>
    <x v="28"/>
    <n v="1.43"/>
    <n v="18.579999999999998"/>
    <s v="90400888"/>
  </r>
  <r>
    <x v="121"/>
    <s v="2021-07-05"/>
    <x v="0"/>
    <x v="0"/>
    <n v="20"/>
    <x v="25"/>
    <n v="1.42"/>
    <n v="18.47"/>
    <s v="59274605"/>
  </r>
  <r>
    <x v="121"/>
    <s v="2021-07-05"/>
    <x v="0"/>
    <x v="0"/>
    <n v="19"/>
    <x v="30"/>
    <n v="1.39"/>
    <n v="18.03"/>
    <s v="03502961"/>
  </r>
  <r>
    <x v="121"/>
    <s v="2021-07-05"/>
    <x v="0"/>
    <x v="0"/>
    <n v="18"/>
    <x v="32"/>
    <n v="1.39"/>
    <n v="17.97"/>
    <s v="60701190"/>
  </r>
  <r>
    <x v="121"/>
    <s v="2021-07-05"/>
    <x v="0"/>
    <x v="0"/>
    <n v="17"/>
    <x v="26"/>
    <n v="1.36"/>
    <n v="17.61"/>
    <s v="30172491"/>
  </r>
  <r>
    <x v="121"/>
    <s v="2021-07-05"/>
    <x v="0"/>
    <x v="0"/>
    <n v="16"/>
    <x v="29"/>
    <n v="1.34"/>
    <n v="17.34"/>
    <s v="60746948"/>
  </r>
  <r>
    <x v="121"/>
    <s v="2021-07-05"/>
    <x v="0"/>
    <x v="0"/>
    <n v="15"/>
    <x v="23"/>
    <n v="1.28"/>
    <n v="16.420000000000002"/>
    <s v="03215790"/>
  </r>
  <r>
    <x v="121"/>
    <s v="2021-07-05"/>
    <x v="0"/>
    <x v="0"/>
    <n v="14"/>
    <x v="33"/>
    <n v="1.25"/>
    <n v="16.13"/>
    <s v="62307848"/>
  </r>
  <r>
    <x v="121"/>
    <s v="2021-07-05"/>
    <x v="0"/>
    <x v="0"/>
    <n v="13"/>
    <x v="31"/>
    <n v="1.21"/>
    <n v="15.55"/>
    <s v="17167412"/>
  </r>
  <r>
    <x v="121"/>
    <s v="2021-07-05"/>
    <x v="0"/>
    <x v="0"/>
    <n v="12"/>
    <x v="27"/>
    <n v="1.19"/>
    <n v="15.21"/>
    <s v="00000000"/>
  </r>
  <r>
    <x v="121"/>
    <s v="2021-07-05"/>
    <x v="0"/>
    <x v="0"/>
    <n v="11"/>
    <x v="37"/>
    <n v="1.1399999999999999"/>
    <n v="14.62"/>
    <s v="04452473"/>
  </r>
  <r>
    <x v="121"/>
    <s v="2021-07-05"/>
    <x v="0"/>
    <x v="0"/>
    <n v="10"/>
    <x v="36"/>
    <n v="1.1299999999999999"/>
    <n v="14.42"/>
    <s v="33136888"/>
  </r>
  <r>
    <x v="121"/>
    <s v="2021-07-05"/>
    <x v="0"/>
    <x v="0"/>
    <n v="9"/>
    <x v="43"/>
    <n v="1.1299999999999999"/>
    <n v="14.42"/>
    <s v="07441209"/>
  </r>
  <r>
    <x v="121"/>
    <s v="2021-07-05"/>
    <x v="0"/>
    <x v="0"/>
    <n v="8"/>
    <x v="34"/>
    <n v="1.1200000000000001"/>
    <n v="14.25"/>
    <s v="33603457"/>
  </r>
  <r>
    <x v="121"/>
    <s v="2021-07-05"/>
    <x v="0"/>
    <x v="0"/>
    <n v="7"/>
    <x v="44"/>
    <n v="1.1000000000000001"/>
    <n v="13.97"/>
    <s v="58017179"/>
  </r>
  <r>
    <x v="121"/>
    <s v="2021-07-05"/>
    <x v="0"/>
    <x v="0"/>
    <n v="6"/>
    <x v="39"/>
    <n v="1.0900000000000001"/>
    <n v="13.89"/>
    <s v="04902979"/>
  </r>
  <r>
    <x v="121"/>
    <s v="2021-07-05"/>
    <x v="0"/>
    <x v="0"/>
    <n v="5"/>
    <x v="35"/>
    <n v="1.08"/>
    <n v="13.72"/>
    <s v="59109165"/>
  </r>
  <r>
    <x v="121"/>
    <s v="2021-07-05"/>
    <x v="0"/>
    <x v="0"/>
    <n v="4"/>
    <x v="47"/>
    <n v="1.03"/>
    <n v="13.14"/>
    <s v="28517628"/>
  </r>
  <r>
    <x v="121"/>
    <s v="2021-07-05"/>
    <x v="0"/>
    <x v="0"/>
    <n v="3"/>
    <x v="40"/>
    <n v="0.99"/>
    <n v="12.56"/>
    <s v="02992446"/>
  </r>
  <r>
    <x v="121"/>
    <s v="2021-07-05"/>
    <x v="0"/>
    <x v="0"/>
    <n v="2"/>
    <x v="38"/>
    <n v="0.94"/>
    <n v="11.82"/>
    <s v="60814191"/>
  </r>
  <r>
    <x v="121"/>
    <s v="2021-07-05"/>
    <x v="0"/>
    <x v="0"/>
    <n v="1"/>
    <x v="22"/>
    <n v="0.91"/>
    <n v="11.46"/>
    <s v="11417016"/>
  </r>
  <r>
    <x v="122"/>
    <s v="2021-07-06"/>
    <x v="0"/>
    <x v="0"/>
    <n v="43"/>
    <x v="3"/>
    <n v="3.34"/>
    <n v="48.32"/>
    <s v="05503849"/>
  </r>
  <r>
    <x v="122"/>
    <s v="2021-07-06"/>
    <x v="0"/>
    <x v="0"/>
    <n v="42"/>
    <x v="0"/>
    <n v="3.15"/>
    <n v="45.05"/>
    <s v="60850229"/>
  </r>
  <r>
    <x v="122"/>
    <s v="2021-07-06"/>
    <x v="0"/>
    <x v="0"/>
    <n v="41"/>
    <x v="2"/>
    <n v="3.11"/>
    <n v="44.41"/>
    <s v="92228410"/>
  </r>
  <r>
    <x v="122"/>
    <s v="2021-07-06"/>
    <x v="0"/>
    <x v="0"/>
    <n v="40"/>
    <x v="1"/>
    <n v="3.01"/>
    <n v="42.79"/>
    <s v="01800019"/>
  </r>
  <r>
    <x v="122"/>
    <s v="2021-07-06"/>
    <x v="0"/>
    <x v="0"/>
    <n v="39"/>
    <x v="7"/>
    <n v="2.69"/>
    <n v="37.54"/>
    <s v="92874270"/>
  </r>
  <r>
    <x v="122"/>
    <s v="2021-07-06"/>
    <x v="0"/>
    <x v="0"/>
    <n v="38"/>
    <x v="4"/>
    <n v="2.63"/>
    <n v="36.56"/>
    <s v="62232889"/>
  </r>
  <r>
    <x v="122"/>
    <s v="2021-07-06"/>
    <x v="0"/>
    <x v="0"/>
    <n v="37"/>
    <x v="5"/>
    <n v="2.6"/>
    <n v="36.08"/>
    <s v="80271455"/>
  </r>
  <r>
    <x v="122"/>
    <s v="2021-07-06"/>
    <x v="0"/>
    <x v="0"/>
    <n v="36"/>
    <x v="6"/>
    <n v="2.42"/>
    <n v="33.21"/>
    <s v="05676026"/>
  </r>
  <r>
    <x v="122"/>
    <s v="2021-07-06"/>
    <x v="0"/>
    <x v="0"/>
    <n v="35"/>
    <x v="9"/>
    <n v="2.34"/>
    <n v="32.04"/>
    <s v="00411939"/>
  </r>
  <r>
    <x v="122"/>
    <s v="2021-07-06"/>
    <x v="0"/>
    <x v="0"/>
    <n v="34"/>
    <x v="8"/>
    <n v="2.34"/>
    <n v="31.94"/>
    <s v="59285411"/>
  </r>
  <r>
    <x v="122"/>
    <s v="2021-07-06"/>
    <x v="0"/>
    <x v="0"/>
    <n v="33"/>
    <x v="42"/>
    <n v="2.09"/>
    <n v="28.23"/>
    <s v="34991938"/>
  </r>
  <r>
    <x v="122"/>
    <s v="2021-07-06"/>
    <x v="0"/>
    <x v="0"/>
    <n v="32"/>
    <x v="10"/>
    <n v="2.09"/>
    <n v="28.23"/>
    <s v="10371492"/>
  </r>
  <r>
    <x v="122"/>
    <s v="2021-07-06"/>
    <x v="0"/>
    <x v="0"/>
    <n v="31"/>
    <x v="12"/>
    <n v="1.87"/>
    <n v="24.85"/>
    <s v="04862600"/>
  </r>
  <r>
    <x v="122"/>
    <s v="2021-07-06"/>
    <x v="0"/>
    <x v="0"/>
    <n v="30"/>
    <x v="13"/>
    <n v="1.84"/>
    <n v="24.39"/>
    <s v="07707650"/>
  </r>
  <r>
    <x v="122"/>
    <s v="2021-07-06"/>
    <x v="0"/>
    <x v="0"/>
    <n v="29"/>
    <x v="18"/>
    <n v="1.73"/>
    <n v="22.79"/>
    <s v="28127603"/>
  </r>
  <r>
    <x v="122"/>
    <s v="2021-07-06"/>
    <x v="0"/>
    <x v="0"/>
    <n v="28"/>
    <x v="11"/>
    <n v="1.71"/>
    <n v="22.5"/>
    <s v="03634220"/>
  </r>
  <r>
    <x v="122"/>
    <s v="2021-07-06"/>
    <x v="0"/>
    <x v="0"/>
    <n v="27"/>
    <x v="15"/>
    <n v="1.65"/>
    <n v="21.67"/>
    <s v="59588111"/>
  </r>
  <r>
    <x v="122"/>
    <s v="2021-07-06"/>
    <x v="0"/>
    <x v="0"/>
    <n v="26"/>
    <x v="16"/>
    <n v="1.63"/>
    <n v="21.41"/>
    <s v="07207996"/>
  </r>
  <r>
    <x v="122"/>
    <s v="2021-07-06"/>
    <x v="0"/>
    <x v="0"/>
    <n v="25"/>
    <x v="20"/>
    <n v="1.63"/>
    <n v="21.41"/>
    <s v="17192451"/>
  </r>
  <r>
    <x v="122"/>
    <s v="2021-07-06"/>
    <x v="0"/>
    <x v="0"/>
    <n v="24"/>
    <x v="24"/>
    <n v="1.54"/>
    <n v="20.16"/>
    <s v="22639377"/>
  </r>
  <r>
    <x v="122"/>
    <s v="2021-07-06"/>
    <x v="0"/>
    <x v="0"/>
    <n v="23"/>
    <x v="14"/>
    <n v="1.53"/>
    <n v="19.940000000000001"/>
    <s v="00360305"/>
  </r>
  <r>
    <x v="122"/>
    <s v="2021-07-06"/>
    <x v="0"/>
    <x v="0"/>
    <n v="22"/>
    <x v="21"/>
    <n v="1.49"/>
    <n v="19.36"/>
    <s v="03017677"/>
  </r>
  <r>
    <x v="122"/>
    <s v="2021-07-06"/>
    <x v="0"/>
    <x v="0"/>
    <n v="21"/>
    <x v="28"/>
    <n v="1.42"/>
    <n v="18.48"/>
    <s v="90400888"/>
  </r>
  <r>
    <x v="122"/>
    <s v="2021-07-06"/>
    <x v="0"/>
    <x v="0"/>
    <n v="20"/>
    <x v="25"/>
    <n v="1.42"/>
    <n v="18.39"/>
    <s v="59274605"/>
  </r>
  <r>
    <x v="122"/>
    <s v="2021-07-06"/>
    <x v="0"/>
    <x v="0"/>
    <n v="19"/>
    <x v="32"/>
    <n v="1.41"/>
    <n v="18.260000000000002"/>
    <s v="60701190"/>
  </r>
  <r>
    <x v="122"/>
    <s v="2021-07-06"/>
    <x v="0"/>
    <x v="0"/>
    <n v="18"/>
    <x v="30"/>
    <n v="1.4"/>
    <n v="18.21"/>
    <s v="03502961"/>
  </r>
  <r>
    <x v="122"/>
    <s v="2021-07-06"/>
    <x v="0"/>
    <x v="0"/>
    <n v="17"/>
    <x v="26"/>
    <n v="1.38"/>
    <n v="17.829999999999998"/>
    <s v="30172491"/>
  </r>
  <r>
    <x v="122"/>
    <s v="2021-07-06"/>
    <x v="0"/>
    <x v="0"/>
    <n v="16"/>
    <x v="29"/>
    <n v="1.35"/>
    <n v="17.489999999999998"/>
    <s v="60746948"/>
  </r>
  <r>
    <x v="122"/>
    <s v="2021-07-06"/>
    <x v="0"/>
    <x v="0"/>
    <n v="15"/>
    <x v="23"/>
    <n v="1.28"/>
    <n v="16.46"/>
    <s v="03215790"/>
  </r>
  <r>
    <x v="122"/>
    <s v="2021-07-06"/>
    <x v="0"/>
    <x v="0"/>
    <n v="14"/>
    <x v="33"/>
    <n v="1.26"/>
    <n v="16.190000000000001"/>
    <s v="62307848"/>
  </r>
  <r>
    <x v="122"/>
    <s v="2021-07-06"/>
    <x v="0"/>
    <x v="0"/>
    <n v="13"/>
    <x v="31"/>
    <n v="1.21"/>
    <n v="15.48"/>
    <s v="17167412"/>
  </r>
  <r>
    <x v="122"/>
    <s v="2021-07-06"/>
    <x v="0"/>
    <x v="0"/>
    <n v="12"/>
    <x v="27"/>
    <n v="1.19"/>
    <n v="15.23"/>
    <s v="00000000"/>
  </r>
  <r>
    <x v="122"/>
    <s v="2021-07-06"/>
    <x v="0"/>
    <x v="0"/>
    <n v="11"/>
    <x v="36"/>
    <n v="1.1499999999999999"/>
    <n v="14.66"/>
    <s v="33136888"/>
  </r>
  <r>
    <x v="122"/>
    <s v="2021-07-06"/>
    <x v="0"/>
    <x v="0"/>
    <n v="10"/>
    <x v="37"/>
    <n v="1.1399999999999999"/>
    <n v="14.61"/>
    <s v="04452473"/>
  </r>
  <r>
    <x v="122"/>
    <s v="2021-07-06"/>
    <x v="0"/>
    <x v="0"/>
    <n v="9"/>
    <x v="43"/>
    <n v="1.1299999999999999"/>
    <n v="14.42"/>
    <s v="07441209"/>
  </r>
  <r>
    <x v="122"/>
    <s v="2021-07-06"/>
    <x v="0"/>
    <x v="0"/>
    <n v="8"/>
    <x v="34"/>
    <n v="1.1200000000000001"/>
    <n v="14.25"/>
    <s v="33603457"/>
  </r>
  <r>
    <x v="122"/>
    <s v="2021-07-06"/>
    <x v="0"/>
    <x v="0"/>
    <n v="7"/>
    <x v="44"/>
    <n v="1.1100000000000001"/>
    <n v="14.1"/>
    <s v="58017179"/>
  </r>
  <r>
    <x v="122"/>
    <s v="2021-07-06"/>
    <x v="0"/>
    <x v="0"/>
    <n v="6"/>
    <x v="39"/>
    <n v="1.0900000000000001"/>
    <n v="13.89"/>
    <s v="04902979"/>
  </r>
  <r>
    <x v="122"/>
    <s v="2021-07-06"/>
    <x v="0"/>
    <x v="0"/>
    <n v="5"/>
    <x v="35"/>
    <n v="1.07"/>
    <n v="13.65"/>
    <s v="59109165"/>
  </r>
  <r>
    <x v="122"/>
    <s v="2021-07-06"/>
    <x v="0"/>
    <x v="0"/>
    <n v="4"/>
    <x v="47"/>
    <n v="1.03"/>
    <n v="13.14"/>
    <s v="28517628"/>
  </r>
  <r>
    <x v="122"/>
    <s v="2021-07-06"/>
    <x v="0"/>
    <x v="0"/>
    <n v="3"/>
    <x v="40"/>
    <n v="0.99"/>
    <n v="12.59"/>
    <s v="02992446"/>
  </r>
  <r>
    <x v="122"/>
    <s v="2021-07-06"/>
    <x v="0"/>
    <x v="0"/>
    <n v="2"/>
    <x v="38"/>
    <n v="0.99"/>
    <n v="12.57"/>
    <s v="60814191"/>
  </r>
  <r>
    <x v="122"/>
    <s v="2021-07-06"/>
    <x v="0"/>
    <x v="0"/>
    <n v="1"/>
    <x v="22"/>
    <n v="0.91"/>
    <n v="11.46"/>
    <s v="11417016"/>
  </r>
  <r>
    <x v="123"/>
    <s v="2021-07-07"/>
    <x v="0"/>
    <x v="0"/>
    <n v="42"/>
    <x v="3"/>
    <n v="3.33"/>
    <n v="48.07"/>
    <s v="05503849"/>
  </r>
  <r>
    <x v="123"/>
    <s v="2021-07-07"/>
    <x v="0"/>
    <x v="0"/>
    <n v="41"/>
    <x v="0"/>
    <n v="3.3"/>
    <n v="47.71"/>
    <s v="60850229"/>
  </r>
  <r>
    <x v="123"/>
    <s v="2021-07-07"/>
    <x v="0"/>
    <x v="0"/>
    <n v="40"/>
    <x v="2"/>
    <n v="3.17"/>
    <n v="45.44"/>
    <s v="92228410"/>
  </r>
  <r>
    <x v="123"/>
    <s v="2021-07-07"/>
    <x v="0"/>
    <x v="0"/>
    <n v="39"/>
    <x v="1"/>
    <n v="3.04"/>
    <n v="43.25"/>
    <s v="01800019"/>
  </r>
  <r>
    <x v="123"/>
    <s v="2021-07-07"/>
    <x v="0"/>
    <x v="0"/>
    <n v="38"/>
    <x v="7"/>
    <n v="2.7"/>
    <n v="37.72"/>
    <s v="92874270"/>
  </r>
  <r>
    <x v="123"/>
    <s v="2021-07-07"/>
    <x v="0"/>
    <x v="0"/>
    <n v="37"/>
    <x v="4"/>
    <n v="2.63"/>
    <n v="36.520000000000003"/>
    <s v="62232889"/>
  </r>
  <r>
    <x v="123"/>
    <s v="2021-07-07"/>
    <x v="0"/>
    <x v="0"/>
    <n v="36"/>
    <x v="6"/>
    <n v="2.42"/>
    <n v="33.229999999999997"/>
    <s v="05676026"/>
  </r>
  <r>
    <x v="123"/>
    <s v="2021-07-07"/>
    <x v="0"/>
    <x v="0"/>
    <n v="35"/>
    <x v="5"/>
    <n v="2.42"/>
    <n v="33.159999999999997"/>
    <s v="80271455"/>
  </r>
  <r>
    <x v="123"/>
    <s v="2021-07-07"/>
    <x v="0"/>
    <x v="0"/>
    <n v="34"/>
    <x v="9"/>
    <n v="2.37"/>
    <n v="32.380000000000003"/>
    <s v="00411939"/>
  </r>
  <r>
    <x v="123"/>
    <s v="2021-07-07"/>
    <x v="0"/>
    <x v="0"/>
    <n v="33"/>
    <x v="8"/>
    <n v="2.33"/>
    <n v="31.76"/>
    <s v="59285411"/>
  </r>
  <r>
    <x v="123"/>
    <s v="2021-07-07"/>
    <x v="0"/>
    <x v="0"/>
    <n v="32"/>
    <x v="42"/>
    <n v="2.19"/>
    <n v="29.75"/>
    <s v="34991938"/>
  </r>
  <r>
    <x v="123"/>
    <s v="2021-07-07"/>
    <x v="0"/>
    <x v="0"/>
    <n v="31"/>
    <x v="10"/>
    <n v="2.08"/>
    <n v="28.01"/>
    <s v="10371492"/>
  </r>
  <r>
    <x v="123"/>
    <s v="2021-07-07"/>
    <x v="0"/>
    <x v="0"/>
    <n v="30"/>
    <x v="12"/>
    <n v="1.86"/>
    <n v="24.73"/>
    <s v="04862600"/>
  </r>
  <r>
    <x v="123"/>
    <s v="2021-07-07"/>
    <x v="0"/>
    <x v="0"/>
    <n v="29"/>
    <x v="13"/>
    <n v="1.85"/>
    <n v="24.59"/>
    <s v="07707650"/>
  </r>
  <r>
    <x v="123"/>
    <s v="2021-07-07"/>
    <x v="0"/>
    <x v="0"/>
    <n v="28"/>
    <x v="18"/>
    <n v="1.77"/>
    <n v="23.47"/>
    <s v="28127603"/>
  </r>
  <r>
    <x v="123"/>
    <s v="2021-07-07"/>
    <x v="0"/>
    <x v="0"/>
    <n v="27"/>
    <x v="24"/>
    <n v="1.68"/>
    <n v="22.09"/>
    <s v="22639377"/>
  </r>
  <r>
    <x v="123"/>
    <s v="2021-07-07"/>
    <x v="0"/>
    <x v="0"/>
    <n v="26"/>
    <x v="15"/>
    <n v="1.66"/>
    <n v="21.83"/>
    <s v="59588111"/>
  </r>
  <r>
    <x v="123"/>
    <s v="2021-07-07"/>
    <x v="0"/>
    <x v="0"/>
    <n v="25"/>
    <x v="20"/>
    <n v="1.65"/>
    <n v="21.69"/>
    <s v="17192451"/>
  </r>
  <r>
    <x v="123"/>
    <s v="2021-07-07"/>
    <x v="0"/>
    <x v="0"/>
    <n v="24"/>
    <x v="16"/>
    <n v="1.64"/>
    <n v="21.58"/>
    <s v="07207996"/>
  </r>
  <r>
    <x v="123"/>
    <s v="2021-07-07"/>
    <x v="0"/>
    <x v="0"/>
    <n v="23"/>
    <x v="11"/>
    <n v="1.62"/>
    <n v="21.29"/>
    <s v="03634220"/>
  </r>
  <r>
    <x v="123"/>
    <s v="2021-07-07"/>
    <x v="0"/>
    <x v="0"/>
    <n v="22"/>
    <x v="21"/>
    <n v="1.5"/>
    <n v="19.559999999999999"/>
    <s v="03017677"/>
  </r>
  <r>
    <x v="123"/>
    <s v="2021-07-07"/>
    <x v="0"/>
    <x v="0"/>
    <n v="21"/>
    <x v="14"/>
    <n v="1.46"/>
    <n v="19.04"/>
    <s v="00360305"/>
  </r>
  <r>
    <x v="123"/>
    <s v="2021-07-07"/>
    <x v="0"/>
    <x v="0"/>
    <n v="20"/>
    <x v="32"/>
    <n v="1.43"/>
    <n v="18.53"/>
    <s v="60701190"/>
  </r>
  <r>
    <x v="123"/>
    <s v="2021-07-07"/>
    <x v="0"/>
    <x v="0"/>
    <n v="19"/>
    <x v="28"/>
    <n v="1.42"/>
    <n v="18.38"/>
    <s v="90400888"/>
  </r>
  <r>
    <x v="123"/>
    <s v="2021-07-07"/>
    <x v="0"/>
    <x v="0"/>
    <n v="18"/>
    <x v="30"/>
    <n v="1.41"/>
    <n v="18.25"/>
    <s v="03502961"/>
  </r>
  <r>
    <x v="123"/>
    <s v="2021-07-07"/>
    <x v="0"/>
    <x v="0"/>
    <n v="17"/>
    <x v="25"/>
    <n v="1.4"/>
    <n v="18.149999999999999"/>
    <s v="59274605"/>
  </r>
  <r>
    <x v="123"/>
    <s v="2021-07-07"/>
    <x v="0"/>
    <x v="0"/>
    <n v="16"/>
    <x v="26"/>
    <n v="1.39"/>
    <n v="17.98"/>
    <s v="30172491"/>
  </r>
  <r>
    <x v="123"/>
    <s v="2021-07-07"/>
    <x v="0"/>
    <x v="0"/>
    <n v="15"/>
    <x v="29"/>
    <n v="1.37"/>
    <n v="17.73"/>
    <s v="60746948"/>
  </r>
  <r>
    <x v="123"/>
    <s v="2021-07-07"/>
    <x v="0"/>
    <x v="0"/>
    <n v="14"/>
    <x v="23"/>
    <n v="1.29"/>
    <n v="16.600000000000001"/>
    <s v="03215790"/>
  </r>
  <r>
    <x v="123"/>
    <s v="2021-07-07"/>
    <x v="0"/>
    <x v="0"/>
    <n v="13"/>
    <x v="33"/>
    <n v="1.26"/>
    <n v="16.22"/>
    <s v="62307848"/>
  </r>
  <r>
    <x v="123"/>
    <s v="2021-07-07"/>
    <x v="0"/>
    <x v="0"/>
    <n v="12"/>
    <x v="31"/>
    <n v="1.23"/>
    <n v="15.81"/>
    <s v="17167412"/>
  </r>
  <r>
    <x v="123"/>
    <s v="2021-07-07"/>
    <x v="0"/>
    <x v="0"/>
    <n v="11"/>
    <x v="27"/>
    <n v="1.19"/>
    <n v="15.19"/>
    <s v="00000000"/>
  </r>
  <r>
    <x v="123"/>
    <s v="2021-07-07"/>
    <x v="0"/>
    <x v="0"/>
    <n v="10"/>
    <x v="43"/>
    <n v="1.18"/>
    <n v="15.16"/>
    <s v="07441209"/>
  </r>
  <r>
    <x v="123"/>
    <s v="2021-07-07"/>
    <x v="0"/>
    <x v="0"/>
    <n v="9"/>
    <x v="36"/>
    <n v="1.1499999999999999"/>
    <n v="14.75"/>
    <s v="33136888"/>
  </r>
  <r>
    <x v="123"/>
    <s v="2021-07-07"/>
    <x v="0"/>
    <x v="0"/>
    <n v="8"/>
    <x v="37"/>
    <n v="1.1399999999999999"/>
    <n v="14.62"/>
    <s v="04452473"/>
  </r>
  <r>
    <x v="123"/>
    <s v="2021-07-07"/>
    <x v="0"/>
    <x v="0"/>
    <n v="7"/>
    <x v="34"/>
    <n v="1.1100000000000001"/>
    <n v="14.17"/>
    <s v="33603457"/>
  </r>
  <r>
    <x v="123"/>
    <s v="2021-07-07"/>
    <x v="0"/>
    <x v="0"/>
    <n v="6"/>
    <x v="44"/>
    <n v="1.0900000000000001"/>
    <n v="13.89"/>
    <s v="58017179"/>
  </r>
  <r>
    <x v="123"/>
    <s v="2021-07-07"/>
    <x v="0"/>
    <x v="0"/>
    <n v="5"/>
    <x v="39"/>
    <n v="1.0900000000000001"/>
    <n v="13.89"/>
    <s v="04902979"/>
  </r>
  <r>
    <x v="123"/>
    <s v="2021-07-07"/>
    <x v="0"/>
    <x v="0"/>
    <n v="4"/>
    <x v="35"/>
    <n v="1.08"/>
    <n v="13.77"/>
    <s v="59109165"/>
  </r>
  <r>
    <x v="123"/>
    <s v="2021-07-07"/>
    <x v="0"/>
    <x v="0"/>
    <n v="3"/>
    <x v="38"/>
    <n v="1.02"/>
    <n v="12.97"/>
    <s v="60814191"/>
  </r>
  <r>
    <x v="123"/>
    <s v="2021-07-07"/>
    <x v="0"/>
    <x v="0"/>
    <n v="2"/>
    <x v="40"/>
    <n v="1"/>
    <n v="12.71"/>
    <s v="02992446"/>
  </r>
  <r>
    <x v="123"/>
    <s v="2021-07-07"/>
    <x v="0"/>
    <x v="0"/>
    <n v="1"/>
    <x v="22"/>
    <n v="0.91"/>
    <n v="11.46"/>
    <s v="11417016"/>
  </r>
  <r>
    <x v="124"/>
    <s v="2021-07-08"/>
    <x v="0"/>
    <x v="0"/>
    <n v="41"/>
    <x v="0"/>
    <n v="3.39"/>
    <n v="49.24"/>
    <s v="60850229"/>
  </r>
  <r>
    <x v="124"/>
    <s v="2021-07-08"/>
    <x v="0"/>
    <x v="0"/>
    <n v="40"/>
    <x v="3"/>
    <n v="3.29"/>
    <n v="47.45"/>
    <s v="05503849"/>
  </r>
  <r>
    <x v="124"/>
    <s v="2021-07-08"/>
    <x v="0"/>
    <x v="0"/>
    <n v="39"/>
    <x v="2"/>
    <n v="3.19"/>
    <n v="45.71"/>
    <s v="92228410"/>
  </r>
  <r>
    <x v="124"/>
    <s v="2021-07-08"/>
    <x v="0"/>
    <x v="0"/>
    <n v="38"/>
    <x v="1"/>
    <n v="3.1"/>
    <n v="44.16"/>
    <s v="01800019"/>
  </r>
  <r>
    <x v="124"/>
    <s v="2021-07-08"/>
    <x v="0"/>
    <x v="0"/>
    <n v="37"/>
    <x v="7"/>
    <n v="2.72"/>
    <n v="38.020000000000003"/>
    <s v="92874270"/>
  </r>
  <r>
    <x v="124"/>
    <s v="2021-07-08"/>
    <x v="0"/>
    <x v="0"/>
    <n v="36"/>
    <x v="4"/>
    <n v="2.65"/>
    <n v="36.799999999999997"/>
    <s v="62232889"/>
  </r>
  <r>
    <x v="124"/>
    <s v="2021-07-08"/>
    <x v="0"/>
    <x v="0"/>
    <n v="35"/>
    <x v="5"/>
    <n v="2.42"/>
    <n v="33.31"/>
    <s v="80271455"/>
  </r>
  <r>
    <x v="124"/>
    <s v="2021-07-08"/>
    <x v="0"/>
    <x v="0"/>
    <n v="34"/>
    <x v="6"/>
    <n v="2.42"/>
    <n v="33.21"/>
    <s v="05676026"/>
  </r>
  <r>
    <x v="124"/>
    <s v="2021-07-08"/>
    <x v="0"/>
    <x v="0"/>
    <n v="33"/>
    <x v="9"/>
    <n v="2.39"/>
    <n v="32.700000000000003"/>
    <s v="00411939"/>
  </r>
  <r>
    <x v="124"/>
    <s v="2021-07-08"/>
    <x v="0"/>
    <x v="0"/>
    <n v="32"/>
    <x v="8"/>
    <n v="2.3199999999999998"/>
    <n v="31.74"/>
    <s v="59285411"/>
  </r>
  <r>
    <x v="124"/>
    <s v="2021-07-08"/>
    <x v="0"/>
    <x v="0"/>
    <n v="31"/>
    <x v="42"/>
    <n v="2.19"/>
    <n v="29.75"/>
    <s v="34991938"/>
  </r>
  <r>
    <x v="124"/>
    <s v="2021-07-08"/>
    <x v="0"/>
    <x v="0"/>
    <n v="30"/>
    <x v="10"/>
    <n v="2.09"/>
    <n v="28.22"/>
    <s v="10371492"/>
  </r>
  <r>
    <x v="124"/>
    <s v="2021-07-08"/>
    <x v="0"/>
    <x v="0"/>
    <n v="29"/>
    <x v="12"/>
    <n v="1.89"/>
    <n v="25.19"/>
    <s v="04862600"/>
  </r>
  <r>
    <x v="124"/>
    <s v="2021-07-08"/>
    <x v="0"/>
    <x v="0"/>
    <n v="28"/>
    <x v="13"/>
    <n v="1.87"/>
    <n v="24.82"/>
    <s v="07707650"/>
  </r>
  <r>
    <x v="124"/>
    <s v="2021-07-08"/>
    <x v="0"/>
    <x v="0"/>
    <n v="27"/>
    <x v="18"/>
    <n v="1.69"/>
    <n v="22.33"/>
    <s v="28127603"/>
  </r>
  <r>
    <x v="124"/>
    <s v="2021-07-08"/>
    <x v="0"/>
    <x v="0"/>
    <n v="26"/>
    <x v="15"/>
    <n v="1.67"/>
    <n v="21.96"/>
    <s v="59588111"/>
  </r>
  <r>
    <x v="124"/>
    <s v="2021-07-08"/>
    <x v="0"/>
    <x v="0"/>
    <n v="25"/>
    <x v="20"/>
    <n v="1.67"/>
    <n v="21.93"/>
    <s v="17192451"/>
  </r>
  <r>
    <x v="124"/>
    <s v="2021-07-08"/>
    <x v="0"/>
    <x v="0"/>
    <n v="24"/>
    <x v="16"/>
    <n v="1.66"/>
    <n v="21.79"/>
    <s v="07207996"/>
  </r>
  <r>
    <x v="124"/>
    <s v="2021-07-08"/>
    <x v="0"/>
    <x v="0"/>
    <n v="23"/>
    <x v="24"/>
    <n v="1.65"/>
    <n v="21.76"/>
    <s v="22639377"/>
  </r>
  <r>
    <x v="124"/>
    <s v="2021-07-08"/>
    <x v="0"/>
    <x v="0"/>
    <n v="22"/>
    <x v="11"/>
    <n v="1.62"/>
    <n v="21.22"/>
    <s v="03634220"/>
  </r>
  <r>
    <x v="124"/>
    <s v="2021-07-08"/>
    <x v="0"/>
    <x v="0"/>
    <n v="21"/>
    <x v="21"/>
    <n v="1.51"/>
    <n v="19.64"/>
    <s v="03017677"/>
  </r>
  <r>
    <x v="124"/>
    <s v="2021-07-08"/>
    <x v="0"/>
    <x v="0"/>
    <n v="20"/>
    <x v="28"/>
    <n v="1.45"/>
    <n v="18.88"/>
    <s v="90400888"/>
  </r>
  <r>
    <x v="124"/>
    <s v="2021-07-08"/>
    <x v="0"/>
    <x v="0"/>
    <n v="19"/>
    <x v="32"/>
    <n v="1.44"/>
    <n v="18.760000000000002"/>
    <s v="60701190"/>
  </r>
  <r>
    <x v="124"/>
    <s v="2021-07-08"/>
    <x v="0"/>
    <x v="0"/>
    <n v="18"/>
    <x v="25"/>
    <n v="1.43"/>
    <n v="18.510000000000002"/>
    <s v="59274605"/>
  </r>
  <r>
    <x v="124"/>
    <s v="2021-07-08"/>
    <x v="0"/>
    <x v="0"/>
    <n v="17"/>
    <x v="30"/>
    <n v="1.41"/>
    <n v="18.25"/>
    <s v="03502961"/>
  </r>
  <r>
    <x v="124"/>
    <s v="2021-07-08"/>
    <x v="0"/>
    <x v="0"/>
    <n v="16"/>
    <x v="26"/>
    <n v="1.4"/>
    <n v="18.18"/>
    <s v="30172491"/>
  </r>
  <r>
    <x v="124"/>
    <s v="2021-07-08"/>
    <x v="0"/>
    <x v="0"/>
    <n v="15"/>
    <x v="14"/>
    <n v="1.4"/>
    <n v="18.170000000000002"/>
    <s v="00360305"/>
  </r>
  <r>
    <x v="124"/>
    <s v="2021-07-08"/>
    <x v="0"/>
    <x v="0"/>
    <n v="14"/>
    <x v="29"/>
    <n v="1.38"/>
    <n v="17.84"/>
    <s v="60746948"/>
  </r>
  <r>
    <x v="124"/>
    <s v="2021-07-08"/>
    <x v="0"/>
    <x v="0"/>
    <n v="13"/>
    <x v="23"/>
    <n v="1.31"/>
    <n v="16.850000000000001"/>
    <s v="03215790"/>
  </r>
  <r>
    <x v="124"/>
    <s v="2021-07-08"/>
    <x v="0"/>
    <x v="0"/>
    <n v="12"/>
    <x v="33"/>
    <n v="1.27"/>
    <n v="16.3"/>
    <s v="62307848"/>
  </r>
  <r>
    <x v="124"/>
    <s v="2021-07-08"/>
    <x v="0"/>
    <x v="0"/>
    <n v="11"/>
    <x v="31"/>
    <n v="1.24"/>
    <n v="15.94"/>
    <s v="17167412"/>
  </r>
  <r>
    <x v="124"/>
    <s v="2021-07-08"/>
    <x v="0"/>
    <x v="0"/>
    <n v="10"/>
    <x v="27"/>
    <n v="1.21"/>
    <n v="15.58"/>
    <s v="00000000"/>
  </r>
  <r>
    <x v="124"/>
    <s v="2021-07-08"/>
    <x v="0"/>
    <x v="0"/>
    <n v="9"/>
    <x v="43"/>
    <n v="1.18"/>
    <n v="15.16"/>
    <s v="07441209"/>
  </r>
  <r>
    <x v="124"/>
    <s v="2021-07-08"/>
    <x v="0"/>
    <x v="0"/>
    <n v="8"/>
    <x v="37"/>
    <n v="1.1299999999999999"/>
    <n v="14.47"/>
    <s v="04452473"/>
  </r>
  <r>
    <x v="124"/>
    <s v="2021-07-08"/>
    <x v="0"/>
    <x v="0"/>
    <n v="7"/>
    <x v="36"/>
    <n v="1.1200000000000001"/>
    <n v="14.28"/>
    <s v="33136888"/>
  </r>
  <r>
    <x v="124"/>
    <s v="2021-07-08"/>
    <x v="0"/>
    <x v="0"/>
    <n v="6"/>
    <x v="34"/>
    <n v="1.1100000000000001"/>
    <n v="14.19"/>
    <s v="33603457"/>
  </r>
  <r>
    <x v="124"/>
    <s v="2021-07-08"/>
    <x v="0"/>
    <x v="0"/>
    <n v="5"/>
    <x v="39"/>
    <n v="1.1100000000000001"/>
    <n v="14.13"/>
    <s v="04902979"/>
  </r>
  <r>
    <x v="124"/>
    <s v="2021-07-08"/>
    <x v="0"/>
    <x v="0"/>
    <n v="4"/>
    <x v="44"/>
    <n v="1.1000000000000001"/>
    <n v="13.97"/>
    <s v="58017179"/>
  </r>
  <r>
    <x v="124"/>
    <s v="2021-07-08"/>
    <x v="0"/>
    <x v="0"/>
    <n v="3"/>
    <x v="35"/>
    <n v="1.08"/>
    <n v="13.77"/>
    <s v="59109165"/>
  </r>
  <r>
    <x v="124"/>
    <s v="2021-07-08"/>
    <x v="0"/>
    <x v="0"/>
    <n v="2"/>
    <x v="38"/>
    <n v="1.07"/>
    <n v="13.58"/>
    <s v="60814191"/>
  </r>
  <r>
    <x v="124"/>
    <s v="2021-07-08"/>
    <x v="0"/>
    <x v="0"/>
    <n v="1"/>
    <x v="40"/>
    <n v="0.96"/>
    <n v="12.14"/>
    <s v="02992446"/>
  </r>
  <r>
    <x v="125"/>
    <s v="2021-07-09"/>
    <x v="0"/>
    <x v="0"/>
    <n v="41"/>
    <x v="0"/>
    <n v="3.39"/>
    <n v="49.14"/>
    <s v="60850229"/>
  </r>
  <r>
    <x v="125"/>
    <s v="2021-07-09"/>
    <x v="0"/>
    <x v="0"/>
    <n v="40"/>
    <x v="3"/>
    <n v="3.24"/>
    <n v="46.56"/>
    <s v="05503849"/>
  </r>
  <r>
    <x v="125"/>
    <s v="2021-07-09"/>
    <x v="0"/>
    <x v="0"/>
    <n v="39"/>
    <x v="2"/>
    <n v="3.19"/>
    <n v="45.71"/>
    <s v="92228410"/>
  </r>
  <r>
    <x v="125"/>
    <s v="2021-07-09"/>
    <x v="0"/>
    <x v="0"/>
    <n v="38"/>
    <x v="1"/>
    <n v="2.97"/>
    <n v="42.07"/>
    <s v="01800019"/>
  </r>
  <r>
    <x v="125"/>
    <s v="2021-07-09"/>
    <x v="0"/>
    <x v="0"/>
    <n v="37"/>
    <x v="7"/>
    <n v="2.73"/>
    <n v="38.15"/>
    <s v="92874270"/>
  </r>
  <r>
    <x v="125"/>
    <s v="2021-07-09"/>
    <x v="0"/>
    <x v="0"/>
    <n v="36"/>
    <x v="4"/>
    <n v="2.65"/>
    <n v="36.869999999999997"/>
    <s v="62232889"/>
  </r>
  <r>
    <x v="125"/>
    <s v="2021-07-09"/>
    <x v="0"/>
    <x v="0"/>
    <n v="35"/>
    <x v="5"/>
    <n v="2.46"/>
    <n v="33.9"/>
    <s v="80271455"/>
  </r>
  <r>
    <x v="125"/>
    <s v="2021-07-09"/>
    <x v="0"/>
    <x v="0"/>
    <n v="34"/>
    <x v="6"/>
    <n v="2.41"/>
    <n v="33.1"/>
    <s v="05676026"/>
  </r>
  <r>
    <x v="125"/>
    <s v="2021-07-09"/>
    <x v="0"/>
    <x v="0"/>
    <n v="33"/>
    <x v="9"/>
    <n v="2.4"/>
    <n v="32.909999999999997"/>
    <s v="00411939"/>
  </r>
  <r>
    <x v="125"/>
    <s v="2021-07-09"/>
    <x v="0"/>
    <x v="0"/>
    <n v="32"/>
    <x v="8"/>
    <n v="2.33"/>
    <n v="31.75"/>
    <s v="59285411"/>
  </r>
  <r>
    <x v="125"/>
    <s v="2021-07-09"/>
    <x v="0"/>
    <x v="0"/>
    <n v="31"/>
    <x v="42"/>
    <n v="2.19"/>
    <n v="29.75"/>
    <s v="34991938"/>
  </r>
  <r>
    <x v="125"/>
    <s v="2021-07-09"/>
    <x v="0"/>
    <x v="0"/>
    <n v="30"/>
    <x v="10"/>
    <n v="2.1"/>
    <n v="28.28"/>
    <s v="10371492"/>
  </r>
  <r>
    <x v="125"/>
    <s v="2021-07-09"/>
    <x v="0"/>
    <x v="0"/>
    <n v="29"/>
    <x v="12"/>
    <n v="1.89"/>
    <n v="25.15"/>
    <s v="04862600"/>
  </r>
  <r>
    <x v="125"/>
    <s v="2021-07-09"/>
    <x v="0"/>
    <x v="0"/>
    <n v="28"/>
    <x v="13"/>
    <n v="1.86"/>
    <n v="24.81"/>
    <s v="07707650"/>
  </r>
  <r>
    <x v="125"/>
    <s v="2021-07-09"/>
    <x v="0"/>
    <x v="0"/>
    <n v="27"/>
    <x v="15"/>
    <n v="1.68"/>
    <n v="22.1"/>
    <s v="59588111"/>
  </r>
  <r>
    <x v="125"/>
    <s v="2021-07-09"/>
    <x v="0"/>
    <x v="0"/>
    <n v="26"/>
    <x v="20"/>
    <n v="1.67"/>
    <n v="22.02"/>
    <s v="17192451"/>
  </r>
  <r>
    <x v="125"/>
    <s v="2021-07-09"/>
    <x v="0"/>
    <x v="0"/>
    <n v="25"/>
    <x v="16"/>
    <n v="1.66"/>
    <n v="21.85"/>
    <s v="07207996"/>
  </r>
  <r>
    <x v="125"/>
    <s v="2021-07-09"/>
    <x v="0"/>
    <x v="0"/>
    <n v="24"/>
    <x v="24"/>
    <n v="1.63"/>
    <n v="21.47"/>
    <s v="22639377"/>
  </r>
  <r>
    <x v="125"/>
    <s v="2021-07-09"/>
    <x v="0"/>
    <x v="0"/>
    <n v="23"/>
    <x v="11"/>
    <n v="1.6"/>
    <n v="21.04"/>
    <s v="03634220"/>
  </r>
  <r>
    <x v="125"/>
    <s v="2021-07-09"/>
    <x v="0"/>
    <x v="0"/>
    <n v="22"/>
    <x v="18"/>
    <n v="1.59"/>
    <n v="20.77"/>
    <s v="28127603"/>
  </r>
  <r>
    <x v="125"/>
    <s v="2021-07-09"/>
    <x v="0"/>
    <x v="0"/>
    <n v="21"/>
    <x v="21"/>
    <n v="1.51"/>
    <n v="19.690000000000001"/>
    <s v="03017677"/>
  </r>
  <r>
    <x v="125"/>
    <s v="2021-07-09"/>
    <x v="0"/>
    <x v="0"/>
    <n v="20"/>
    <x v="32"/>
    <n v="1.44"/>
    <n v="18.75"/>
    <s v="60701190"/>
  </r>
  <r>
    <x v="125"/>
    <s v="2021-07-09"/>
    <x v="0"/>
    <x v="0"/>
    <n v="19"/>
    <x v="25"/>
    <n v="1.44"/>
    <n v="18.690000000000001"/>
    <s v="59274605"/>
  </r>
  <r>
    <x v="125"/>
    <s v="2021-07-09"/>
    <x v="0"/>
    <x v="0"/>
    <n v="18"/>
    <x v="28"/>
    <n v="1.43"/>
    <n v="18.62"/>
    <s v="90400888"/>
  </r>
  <r>
    <x v="125"/>
    <s v="2021-07-09"/>
    <x v="0"/>
    <x v="0"/>
    <n v="17"/>
    <x v="30"/>
    <n v="1.41"/>
    <n v="18.34"/>
    <s v="03502961"/>
  </r>
  <r>
    <x v="125"/>
    <s v="2021-07-09"/>
    <x v="0"/>
    <x v="0"/>
    <n v="16"/>
    <x v="14"/>
    <n v="1.41"/>
    <n v="18.3"/>
    <s v="00360305"/>
  </r>
  <r>
    <x v="125"/>
    <s v="2021-07-09"/>
    <x v="0"/>
    <x v="0"/>
    <n v="15"/>
    <x v="26"/>
    <n v="1.41"/>
    <n v="18.28"/>
    <s v="30172491"/>
  </r>
  <r>
    <x v="125"/>
    <s v="2021-07-09"/>
    <x v="0"/>
    <x v="0"/>
    <n v="14"/>
    <x v="29"/>
    <n v="1.4"/>
    <n v="18.100000000000001"/>
    <s v="60746948"/>
  </r>
  <r>
    <x v="125"/>
    <s v="2021-07-09"/>
    <x v="0"/>
    <x v="0"/>
    <n v="13"/>
    <x v="23"/>
    <n v="1.31"/>
    <n v="16.86"/>
    <s v="03215790"/>
  </r>
  <r>
    <x v="125"/>
    <s v="2021-07-09"/>
    <x v="0"/>
    <x v="0"/>
    <n v="12"/>
    <x v="33"/>
    <n v="1.27"/>
    <n v="16.399999999999999"/>
    <s v="62307848"/>
  </r>
  <r>
    <x v="125"/>
    <s v="2021-07-09"/>
    <x v="0"/>
    <x v="0"/>
    <n v="11"/>
    <x v="27"/>
    <n v="1.24"/>
    <n v="15.99"/>
    <s v="00000000"/>
  </r>
  <r>
    <x v="125"/>
    <s v="2021-07-09"/>
    <x v="0"/>
    <x v="0"/>
    <n v="10"/>
    <x v="31"/>
    <n v="1.24"/>
    <n v="15.87"/>
    <s v="17167412"/>
  </r>
  <r>
    <x v="125"/>
    <s v="2021-07-09"/>
    <x v="0"/>
    <x v="0"/>
    <n v="9"/>
    <x v="43"/>
    <n v="1.18"/>
    <n v="15.16"/>
    <s v="07441209"/>
  </r>
  <r>
    <x v="125"/>
    <s v="2021-07-09"/>
    <x v="0"/>
    <x v="0"/>
    <n v="8"/>
    <x v="37"/>
    <n v="1.1299999999999999"/>
    <n v="14.46"/>
    <s v="04452473"/>
  </r>
  <r>
    <x v="125"/>
    <s v="2021-07-09"/>
    <x v="0"/>
    <x v="0"/>
    <n v="7"/>
    <x v="34"/>
    <n v="1.1299999999999999"/>
    <n v="14.37"/>
    <s v="33603457"/>
  </r>
  <r>
    <x v="125"/>
    <s v="2021-07-09"/>
    <x v="0"/>
    <x v="0"/>
    <n v="6"/>
    <x v="44"/>
    <n v="1.1000000000000001"/>
    <n v="13.97"/>
    <s v="58017179"/>
  </r>
  <r>
    <x v="125"/>
    <s v="2021-07-09"/>
    <x v="0"/>
    <x v="0"/>
    <n v="5"/>
    <x v="39"/>
    <n v="1.0900000000000001"/>
    <n v="13.91"/>
    <s v="04902979"/>
  </r>
  <r>
    <x v="125"/>
    <s v="2021-07-09"/>
    <x v="0"/>
    <x v="0"/>
    <n v="4"/>
    <x v="35"/>
    <n v="1.08"/>
    <n v="13.7"/>
    <s v="59109165"/>
  </r>
  <r>
    <x v="125"/>
    <s v="2021-07-09"/>
    <x v="0"/>
    <x v="0"/>
    <n v="3"/>
    <x v="38"/>
    <n v="1.06"/>
    <n v="13.48"/>
    <s v="60814191"/>
  </r>
  <r>
    <x v="125"/>
    <s v="2021-07-09"/>
    <x v="0"/>
    <x v="0"/>
    <n v="2"/>
    <x v="36"/>
    <n v="1.01"/>
    <n v="12.82"/>
    <s v="33136888"/>
  </r>
  <r>
    <x v="125"/>
    <s v="2021-07-09"/>
    <x v="0"/>
    <x v="0"/>
    <n v="1"/>
    <x v="40"/>
    <n v="0.99"/>
    <n v="12.59"/>
    <s v="02992446"/>
  </r>
  <r>
    <x v="126"/>
    <s v="2021-07-12"/>
    <x v="0"/>
    <x v="0"/>
    <n v="43"/>
    <x v="0"/>
    <n v="3.43"/>
    <n v="49.88"/>
    <s v="60850229"/>
  </r>
  <r>
    <x v="126"/>
    <s v="2021-07-12"/>
    <x v="0"/>
    <x v="0"/>
    <n v="42"/>
    <x v="3"/>
    <n v="3.29"/>
    <n v="47.53"/>
    <s v="05503849"/>
  </r>
  <r>
    <x v="126"/>
    <s v="2021-07-12"/>
    <x v="0"/>
    <x v="0"/>
    <n v="41"/>
    <x v="2"/>
    <n v="3.18"/>
    <n v="45.58"/>
    <s v="92228410"/>
  </r>
  <r>
    <x v="126"/>
    <s v="2021-07-12"/>
    <x v="0"/>
    <x v="0"/>
    <n v="40"/>
    <x v="1"/>
    <n v="3"/>
    <n v="42.58"/>
    <s v="01800019"/>
  </r>
  <r>
    <x v="126"/>
    <s v="2021-07-12"/>
    <x v="0"/>
    <x v="0"/>
    <n v="39"/>
    <x v="7"/>
    <n v="2.73"/>
    <n v="38.15"/>
    <s v="92874270"/>
  </r>
  <r>
    <x v="126"/>
    <s v="2021-07-12"/>
    <x v="0"/>
    <x v="0"/>
    <n v="38"/>
    <x v="4"/>
    <n v="2.65"/>
    <n v="36.9"/>
    <s v="62232889"/>
  </r>
  <r>
    <x v="126"/>
    <s v="2021-07-12"/>
    <x v="0"/>
    <x v="0"/>
    <n v="37"/>
    <x v="5"/>
    <n v="2.5099999999999998"/>
    <n v="34.57"/>
    <s v="80271455"/>
  </r>
  <r>
    <x v="126"/>
    <s v="2021-07-12"/>
    <x v="0"/>
    <x v="0"/>
    <n v="36"/>
    <x v="6"/>
    <n v="2.41"/>
    <n v="33.090000000000003"/>
    <s v="05676026"/>
  </r>
  <r>
    <x v="126"/>
    <s v="2021-07-12"/>
    <x v="0"/>
    <x v="0"/>
    <n v="35"/>
    <x v="9"/>
    <n v="2.4"/>
    <n v="32.99"/>
    <s v="00411939"/>
  </r>
  <r>
    <x v="126"/>
    <s v="2021-07-12"/>
    <x v="0"/>
    <x v="0"/>
    <n v="34"/>
    <x v="42"/>
    <n v="2.36"/>
    <n v="32.33"/>
    <s v="34991938"/>
  </r>
  <r>
    <x v="126"/>
    <s v="2021-07-12"/>
    <x v="0"/>
    <x v="0"/>
    <n v="33"/>
    <x v="8"/>
    <n v="2.3199999999999998"/>
    <n v="31.72"/>
    <s v="59285411"/>
  </r>
  <r>
    <x v="126"/>
    <s v="2021-07-12"/>
    <x v="0"/>
    <x v="0"/>
    <n v="32"/>
    <x v="10"/>
    <n v="2.13"/>
    <n v="28.83"/>
    <s v="10371492"/>
  </r>
  <r>
    <x v="126"/>
    <s v="2021-07-12"/>
    <x v="0"/>
    <x v="0"/>
    <n v="31"/>
    <x v="12"/>
    <n v="1.89"/>
    <n v="25.24"/>
    <s v="04862600"/>
  </r>
  <r>
    <x v="126"/>
    <s v="2021-07-12"/>
    <x v="0"/>
    <x v="0"/>
    <n v="30"/>
    <x v="13"/>
    <n v="1.85"/>
    <n v="24.59"/>
    <s v="07707650"/>
  </r>
  <r>
    <x v="126"/>
    <s v="2021-07-12"/>
    <x v="0"/>
    <x v="0"/>
    <n v="29"/>
    <x v="19"/>
    <n v="1.81"/>
    <n v="24.08"/>
    <s v="92702067"/>
  </r>
  <r>
    <x v="126"/>
    <s v="2021-07-12"/>
    <x v="0"/>
    <x v="0"/>
    <n v="28"/>
    <x v="15"/>
    <n v="1.68"/>
    <n v="22.13"/>
    <s v="59588111"/>
  </r>
  <r>
    <x v="126"/>
    <s v="2021-07-12"/>
    <x v="0"/>
    <x v="0"/>
    <n v="27"/>
    <x v="24"/>
    <n v="1.67"/>
    <n v="22.03"/>
    <s v="22639377"/>
  </r>
  <r>
    <x v="126"/>
    <s v="2021-07-12"/>
    <x v="0"/>
    <x v="0"/>
    <n v="26"/>
    <x v="20"/>
    <n v="1.67"/>
    <n v="22.01"/>
    <s v="17192451"/>
  </r>
  <r>
    <x v="126"/>
    <s v="2021-07-12"/>
    <x v="0"/>
    <x v="0"/>
    <n v="25"/>
    <x v="16"/>
    <n v="1.65"/>
    <n v="21.68"/>
    <s v="07207996"/>
  </r>
  <r>
    <x v="126"/>
    <s v="2021-07-12"/>
    <x v="0"/>
    <x v="0"/>
    <n v="24"/>
    <x v="11"/>
    <n v="1.63"/>
    <n v="21.41"/>
    <s v="03634220"/>
  </r>
  <r>
    <x v="126"/>
    <s v="2021-07-12"/>
    <x v="0"/>
    <x v="0"/>
    <n v="23"/>
    <x v="21"/>
    <n v="1.51"/>
    <n v="19.739999999999998"/>
    <s v="03017677"/>
  </r>
  <r>
    <x v="126"/>
    <s v="2021-07-12"/>
    <x v="0"/>
    <x v="0"/>
    <n v="22"/>
    <x v="18"/>
    <n v="1.46"/>
    <n v="18.98"/>
    <s v="28127603"/>
  </r>
  <r>
    <x v="126"/>
    <s v="2021-07-12"/>
    <x v="0"/>
    <x v="0"/>
    <n v="21"/>
    <x v="32"/>
    <n v="1.44"/>
    <n v="18.75"/>
    <s v="60701190"/>
  </r>
  <r>
    <x v="126"/>
    <s v="2021-07-12"/>
    <x v="0"/>
    <x v="0"/>
    <n v="20"/>
    <x v="28"/>
    <n v="1.43"/>
    <n v="18.600000000000001"/>
    <s v="90400888"/>
  </r>
  <r>
    <x v="126"/>
    <s v="2021-07-12"/>
    <x v="0"/>
    <x v="0"/>
    <n v="19"/>
    <x v="25"/>
    <n v="1.43"/>
    <n v="18.559999999999999"/>
    <s v="59274605"/>
  </r>
  <r>
    <x v="126"/>
    <s v="2021-07-12"/>
    <x v="0"/>
    <x v="0"/>
    <n v="18"/>
    <x v="14"/>
    <n v="1.42"/>
    <n v="18.48"/>
    <s v="00360305"/>
  </r>
  <r>
    <x v="126"/>
    <s v="2021-07-12"/>
    <x v="0"/>
    <x v="0"/>
    <n v="17"/>
    <x v="26"/>
    <n v="1.42"/>
    <n v="18.37"/>
    <s v="30172491"/>
  </r>
  <r>
    <x v="126"/>
    <s v="2021-07-12"/>
    <x v="0"/>
    <x v="0"/>
    <n v="16"/>
    <x v="29"/>
    <n v="1.4"/>
    <n v="18.2"/>
    <s v="60746948"/>
  </r>
  <r>
    <x v="126"/>
    <s v="2021-07-12"/>
    <x v="0"/>
    <x v="0"/>
    <n v="15"/>
    <x v="30"/>
    <n v="1.4"/>
    <n v="18.16"/>
    <s v="03502961"/>
  </r>
  <r>
    <x v="126"/>
    <s v="2021-07-12"/>
    <x v="0"/>
    <x v="0"/>
    <n v="14"/>
    <x v="23"/>
    <n v="1.32"/>
    <n v="16.97"/>
    <s v="03215790"/>
  </r>
  <r>
    <x v="126"/>
    <s v="2021-07-12"/>
    <x v="0"/>
    <x v="0"/>
    <n v="13"/>
    <x v="33"/>
    <n v="1.28"/>
    <n v="16.510000000000002"/>
    <s v="62307848"/>
  </r>
  <r>
    <x v="126"/>
    <s v="2021-07-12"/>
    <x v="0"/>
    <x v="0"/>
    <n v="12"/>
    <x v="31"/>
    <n v="1.24"/>
    <n v="15.94"/>
    <s v="17167412"/>
  </r>
  <r>
    <x v="126"/>
    <s v="2021-07-12"/>
    <x v="0"/>
    <x v="0"/>
    <n v="11"/>
    <x v="27"/>
    <n v="1.23"/>
    <n v="15.86"/>
    <s v="00000000"/>
  </r>
  <r>
    <x v="126"/>
    <s v="2021-07-12"/>
    <x v="0"/>
    <x v="0"/>
    <n v="10"/>
    <x v="43"/>
    <n v="1.21"/>
    <n v="15.49"/>
    <s v="07441209"/>
  </r>
  <r>
    <x v="126"/>
    <s v="2021-07-12"/>
    <x v="0"/>
    <x v="0"/>
    <n v="9"/>
    <x v="34"/>
    <n v="1.1599999999999999"/>
    <n v="14.8"/>
    <s v="33603457"/>
  </r>
  <r>
    <x v="126"/>
    <s v="2021-07-12"/>
    <x v="0"/>
    <x v="0"/>
    <n v="8"/>
    <x v="37"/>
    <n v="1.1499999999999999"/>
    <n v="14.75"/>
    <s v="04452473"/>
  </r>
  <r>
    <x v="126"/>
    <s v="2021-07-12"/>
    <x v="0"/>
    <x v="0"/>
    <n v="7"/>
    <x v="44"/>
    <n v="1.1100000000000001"/>
    <n v="14.19"/>
    <s v="58017179"/>
  </r>
  <r>
    <x v="126"/>
    <s v="2021-07-12"/>
    <x v="0"/>
    <x v="0"/>
    <n v="6"/>
    <x v="39"/>
    <n v="1.0900000000000001"/>
    <n v="13.91"/>
    <s v="04902979"/>
  </r>
  <r>
    <x v="126"/>
    <s v="2021-07-12"/>
    <x v="0"/>
    <x v="0"/>
    <n v="5"/>
    <x v="35"/>
    <n v="1.08"/>
    <n v="13.7"/>
    <s v="59109165"/>
  </r>
  <r>
    <x v="126"/>
    <s v="2021-07-12"/>
    <x v="0"/>
    <x v="0"/>
    <n v="4"/>
    <x v="38"/>
    <n v="1.04"/>
    <n v="13.23"/>
    <s v="60814191"/>
  </r>
  <r>
    <x v="126"/>
    <s v="2021-07-12"/>
    <x v="0"/>
    <x v="0"/>
    <n v="3"/>
    <x v="36"/>
    <n v="1.01"/>
    <n v="12.82"/>
    <s v="33136888"/>
  </r>
  <r>
    <x v="126"/>
    <s v="2021-07-12"/>
    <x v="0"/>
    <x v="0"/>
    <n v="2"/>
    <x v="47"/>
    <n v="1"/>
    <n v="12.69"/>
    <s v="28517628"/>
  </r>
  <r>
    <x v="126"/>
    <s v="2021-07-12"/>
    <x v="0"/>
    <x v="0"/>
    <n v="1"/>
    <x v="40"/>
    <n v="0.99"/>
    <n v="12.59"/>
    <s v="02992446"/>
  </r>
  <r>
    <x v="127"/>
    <s v="2021-07-13"/>
    <x v="0"/>
    <x v="0"/>
    <n v="44"/>
    <x v="0"/>
    <n v="3.48"/>
    <n v="50.71"/>
    <s v="60850229"/>
  </r>
  <r>
    <x v="127"/>
    <s v="2021-07-13"/>
    <x v="0"/>
    <x v="0"/>
    <n v="43"/>
    <x v="3"/>
    <n v="3.28"/>
    <n v="47.35"/>
    <s v="05503849"/>
  </r>
  <r>
    <x v="127"/>
    <s v="2021-07-13"/>
    <x v="0"/>
    <x v="0"/>
    <n v="42"/>
    <x v="2"/>
    <n v="3.16"/>
    <n v="45.23"/>
    <s v="92228410"/>
  </r>
  <r>
    <x v="127"/>
    <s v="2021-07-13"/>
    <x v="0"/>
    <x v="0"/>
    <n v="41"/>
    <x v="1"/>
    <n v="2.89"/>
    <n v="40.83"/>
    <s v="01800019"/>
  </r>
  <r>
    <x v="127"/>
    <s v="2021-07-13"/>
    <x v="0"/>
    <x v="0"/>
    <n v="40"/>
    <x v="7"/>
    <n v="2.74"/>
    <n v="38.29"/>
    <s v="92874270"/>
  </r>
  <r>
    <x v="127"/>
    <s v="2021-07-13"/>
    <x v="0"/>
    <x v="0"/>
    <n v="39"/>
    <x v="4"/>
    <n v="2.66"/>
    <n v="36.97"/>
    <s v="62232889"/>
  </r>
  <r>
    <x v="127"/>
    <s v="2021-07-13"/>
    <x v="0"/>
    <x v="0"/>
    <n v="38"/>
    <x v="5"/>
    <n v="2.62"/>
    <n v="36.32"/>
    <s v="80271455"/>
  </r>
  <r>
    <x v="127"/>
    <s v="2021-07-13"/>
    <x v="0"/>
    <x v="0"/>
    <n v="37"/>
    <x v="6"/>
    <n v="2.41"/>
    <n v="33.08"/>
    <s v="05676026"/>
  </r>
  <r>
    <x v="127"/>
    <s v="2021-07-13"/>
    <x v="0"/>
    <x v="0"/>
    <n v="36"/>
    <x v="9"/>
    <n v="2.4"/>
    <n v="32.909999999999997"/>
    <s v="00411939"/>
  </r>
  <r>
    <x v="127"/>
    <s v="2021-07-13"/>
    <x v="0"/>
    <x v="0"/>
    <n v="35"/>
    <x v="8"/>
    <n v="2.3199999999999998"/>
    <n v="31.61"/>
    <s v="59285411"/>
  </r>
  <r>
    <x v="127"/>
    <s v="2021-07-13"/>
    <x v="0"/>
    <x v="0"/>
    <n v="34"/>
    <x v="10"/>
    <n v="2.14"/>
    <n v="28.93"/>
    <s v="10371492"/>
  </r>
  <r>
    <x v="127"/>
    <s v="2021-07-13"/>
    <x v="0"/>
    <x v="0"/>
    <n v="33"/>
    <x v="42"/>
    <n v="2.06"/>
    <n v="27.72"/>
    <s v="34991938"/>
  </r>
  <r>
    <x v="127"/>
    <s v="2021-07-13"/>
    <x v="0"/>
    <x v="0"/>
    <n v="32"/>
    <x v="12"/>
    <n v="1.9"/>
    <n v="25.26"/>
    <s v="04862600"/>
  </r>
  <r>
    <x v="127"/>
    <s v="2021-07-13"/>
    <x v="0"/>
    <x v="0"/>
    <n v="31"/>
    <x v="13"/>
    <n v="1.84"/>
    <n v="24.48"/>
    <s v="07707650"/>
  </r>
  <r>
    <x v="127"/>
    <s v="2021-07-13"/>
    <x v="0"/>
    <x v="0"/>
    <n v="30"/>
    <x v="19"/>
    <n v="1.81"/>
    <n v="24.08"/>
    <s v="92702067"/>
  </r>
  <r>
    <x v="127"/>
    <s v="2021-07-13"/>
    <x v="0"/>
    <x v="0"/>
    <n v="29"/>
    <x v="24"/>
    <n v="1.77"/>
    <n v="23.44"/>
    <s v="22639377"/>
  </r>
  <r>
    <x v="127"/>
    <s v="2021-07-13"/>
    <x v="0"/>
    <x v="0"/>
    <n v="28"/>
    <x v="15"/>
    <n v="1.68"/>
    <n v="22.17"/>
    <s v="59588111"/>
  </r>
  <r>
    <x v="127"/>
    <s v="2021-07-13"/>
    <x v="0"/>
    <x v="0"/>
    <n v="27"/>
    <x v="20"/>
    <n v="1.67"/>
    <n v="22.04"/>
    <s v="17192451"/>
  </r>
  <r>
    <x v="127"/>
    <s v="2021-07-13"/>
    <x v="0"/>
    <x v="0"/>
    <n v="26"/>
    <x v="16"/>
    <n v="1.65"/>
    <n v="21.67"/>
    <s v="07207996"/>
  </r>
  <r>
    <x v="127"/>
    <s v="2021-07-13"/>
    <x v="0"/>
    <x v="0"/>
    <n v="25"/>
    <x v="11"/>
    <n v="1.63"/>
    <n v="21.4"/>
    <s v="03634220"/>
  </r>
  <r>
    <x v="127"/>
    <s v="2021-07-13"/>
    <x v="0"/>
    <x v="0"/>
    <n v="24"/>
    <x v="21"/>
    <n v="1.51"/>
    <n v="19.68"/>
    <s v="03017677"/>
  </r>
  <r>
    <x v="127"/>
    <s v="2021-07-13"/>
    <x v="0"/>
    <x v="0"/>
    <n v="23"/>
    <x v="25"/>
    <n v="1.45"/>
    <n v="18.79"/>
    <s v="59274605"/>
  </r>
  <r>
    <x v="127"/>
    <s v="2021-07-13"/>
    <x v="0"/>
    <x v="0"/>
    <n v="22"/>
    <x v="28"/>
    <n v="1.44"/>
    <n v="18.73"/>
    <s v="90400888"/>
  </r>
  <r>
    <x v="127"/>
    <s v="2021-07-13"/>
    <x v="0"/>
    <x v="0"/>
    <n v="21"/>
    <x v="18"/>
    <n v="1.44"/>
    <n v="18.68"/>
    <s v="28127603"/>
  </r>
  <r>
    <x v="127"/>
    <s v="2021-07-13"/>
    <x v="0"/>
    <x v="0"/>
    <n v="20"/>
    <x v="32"/>
    <n v="1.43"/>
    <n v="18.63"/>
    <s v="60701190"/>
  </r>
  <r>
    <x v="127"/>
    <s v="2021-07-13"/>
    <x v="0"/>
    <x v="0"/>
    <n v="19"/>
    <x v="14"/>
    <n v="1.43"/>
    <n v="18.63"/>
    <s v="00360305"/>
  </r>
  <r>
    <x v="127"/>
    <s v="2021-07-13"/>
    <x v="0"/>
    <x v="0"/>
    <n v="18"/>
    <x v="30"/>
    <n v="1.42"/>
    <n v="18.39"/>
    <s v="03502961"/>
  </r>
  <r>
    <x v="127"/>
    <s v="2021-07-13"/>
    <x v="0"/>
    <x v="0"/>
    <n v="17"/>
    <x v="26"/>
    <n v="1.42"/>
    <n v="18.36"/>
    <s v="30172491"/>
  </r>
  <r>
    <x v="127"/>
    <s v="2021-07-13"/>
    <x v="0"/>
    <x v="0"/>
    <n v="16"/>
    <x v="29"/>
    <n v="1.4"/>
    <n v="18.22"/>
    <s v="60746948"/>
  </r>
  <r>
    <x v="127"/>
    <s v="2021-07-13"/>
    <x v="0"/>
    <x v="0"/>
    <n v="15"/>
    <x v="23"/>
    <n v="1.31"/>
    <n v="16.84"/>
    <s v="03215790"/>
  </r>
  <r>
    <x v="127"/>
    <s v="2021-07-13"/>
    <x v="0"/>
    <x v="0"/>
    <n v="14"/>
    <x v="33"/>
    <n v="1.28"/>
    <n v="16.46"/>
    <s v="62307848"/>
  </r>
  <r>
    <x v="127"/>
    <s v="2021-07-13"/>
    <x v="0"/>
    <x v="0"/>
    <n v="13"/>
    <x v="27"/>
    <n v="1.24"/>
    <n v="15.9"/>
    <s v="00000000"/>
  </r>
  <r>
    <x v="127"/>
    <s v="2021-07-13"/>
    <x v="0"/>
    <x v="0"/>
    <n v="12"/>
    <x v="31"/>
    <n v="1.24"/>
    <n v="15.9"/>
    <s v="17167412"/>
  </r>
  <r>
    <x v="127"/>
    <s v="2021-07-13"/>
    <x v="0"/>
    <x v="0"/>
    <n v="11"/>
    <x v="43"/>
    <n v="1.21"/>
    <n v="15.49"/>
    <s v="07441209"/>
  </r>
  <r>
    <x v="127"/>
    <s v="2021-07-13"/>
    <x v="0"/>
    <x v="0"/>
    <n v="10"/>
    <x v="34"/>
    <n v="1.17"/>
    <n v="14.92"/>
    <s v="33603457"/>
  </r>
  <r>
    <x v="127"/>
    <s v="2021-07-13"/>
    <x v="0"/>
    <x v="0"/>
    <n v="9"/>
    <x v="37"/>
    <n v="1.1599999999999999"/>
    <n v="14.79"/>
    <s v="04452473"/>
  </r>
  <r>
    <x v="127"/>
    <s v="2021-07-13"/>
    <x v="0"/>
    <x v="0"/>
    <n v="8"/>
    <x v="44"/>
    <n v="1.1299999999999999"/>
    <n v="14.48"/>
    <s v="58017179"/>
  </r>
  <r>
    <x v="127"/>
    <s v="2021-07-13"/>
    <x v="0"/>
    <x v="0"/>
    <n v="7"/>
    <x v="39"/>
    <n v="1.0900000000000001"/>
    <n v="13.91"/>
    <s v="04902979"/>
  </r>
  <r>
    <x v="127"/>
    <s v="2021-07-13"/>
    <x v="0"/>
    <x v="0"/>
    <n v="6"/>
    <x v="35"/>
    <n v="1.06"/>
    <n v="13.52"/>
    <s v="59109165"/>
  </r>
  <r>
    <x v="127"/>
    <s v="2021-07-13"/>
    <x v="0"/>
    <x v="0"/>
    <n v="5"/>
    <x v="38"/>
    <n v="1.05"/>
    <n v="13.35"/>
    <s v="60814191"/>
  </r>
  <r>
    <x v="127"/>
    <s v="2021-07-13"/>
    <x v="0"/>
    <x v="0"/>
    <n v="4"/>
    <x v="36"/>
    <n v="1.01"/>
    <n v="12.82"/>
    <s v="33136888"/>
  </r>
  <r>
    <x v="127"/>
    <s v="2021-07-13"/>
    <x v="0"/>
    <x v="0"/>
    <n v="3"/>
    <x v="47"/>
    <n v="1"/>
    <n v="12.69"/>
    <s v="28517628"/>
  </r>
  <r>
    <x v="127"/>
    <s v="2021-07-13"/>
    <x v="0"/>
    <x v="0"/>
    <n v="2"/>
    <x v="40"/>
    <n v="0.99"/>
    <n v="12.53"/>
    <s v="02992446"/>
  </r>
  <r>
    <x v="127"/>
    <s v="2021-07-13"/>
    <x v="0"/>
    <x v="0"/>
    <n v="1"/>
    <x v="22"/>
    <n v="0.94"/>
    <n v="11.92"/>
    <s v="11417016"/>
  </r>
  <r>
    <x v="128"/>
    <s v="2021-07-14"/>
    <x v="0"/>
    <x v="0"/>
    <n v="43"/>
    <x v="0"/>
    <n v="3.44"/>
    <n v="49.98"/>
    <s v="60850229"/>
  </r>
  <r>
    <x v="128"/>
    <s v="2021-07-14"/>
    <x v="0"/>
    <x v="0"/>
    <n v="42"/>
    <x v="3"/>
    <n v="3.26"/>
    <n v="46.91"/>
    <s v="05503849"/>
  </r>
  <r>
    <x v="128"/>
    <s v="2021-07-14"/>
    <x v="0"/>
    <x v="0"/>
    <n v="41"/>
    <x v="2"/>
    <n v="3.14"/>
    <n v="44.96"/>
    <s v="92228410"/>
  </r>
  <r>
    <x v="128"/>
    <s v="2021-07-14"/>
    <x v="0"/>
    <x v="0"/>
    <n v="40"/>
    <x v="1"/>
    <n v="2.91"/>
    <n v="41"/>
    <s v="01800019"/>
  </r>
  <r>
    <x v="128"/>
    <s v="2021-07-14"/>
    <x v="0"/>
    <x v="0"/>
    <n v="39"/>
    <x v="7"/>
    <n v="2.74"/>
    <n v="38.369999999999997"/>
    <s v="92874270"/>
  </r>
  <r>
    <x v="128"/>
    <s v="2021-07-14"/>
    <x v="0"/>
    <x v="0"/>
    <n v="38"/>
    <x v="4"/>
    <n v="2.69"/>
    <n v="37.43"/>
    <s v="62232889"/>
  </r>
  <r>
    <x v="128"/>
    <s v="2021-07-14"/>
    <x v="0"/>
    <x v="0"/>
    <n v="37"/>
    <x v="5"/>
    <n v="2.56"/>
    <n v="35.51"/>
    <s v="80271455"/>
  </r>
  <r>
    <x v="128"/>
    <s v="2021-07-14"/>
    <x v="0"/>
    <x v="0"/>
    <n v="36"/>
    <x v="6"/>
    <n v="2.41"/>
    <n v="33.11"/>
    <s v="05676026"/>
  </r>
  <r>
    <x v="128"/>
    <s v="2021-07-14"/>
    <x v="0"/>
    <x v="0"/>
    <n v="35"/>
    <x v="9"/>
    <n v="2.39"/>
    <n v="32.770000000000003"/>
    <s v="00411939"/>
  </r>
  <r>
    <x v="128"/>
    <s v="2021-07-14"/>
    <x v="0"/>
    <x v="0"/>
    <n v="34"/>
    <x v="8"/>
    <n v="2.3199999999999998"/>
    <n v="31.7"/>
    <s v="59285411"/>
  </r>
  <r>
    <x v="128"/>
    <s v="2021-07-14"/>
    <x v="0"/>
    <x v="0"/>
    <n v="33"/>
    <x v="10"/>
    <n v="2.13"/>
    <n v="28.83"/>
    <s v="10371492"/>
  </r>
  <r>
    <x v="128"/>
    <s v="2021-07-14"/>
    <x v="0"/>
    <x v="0"/>
    <n v="32"/>
    <x v="42"/>
    <n v="2.0299999999999998"/>
    <n v="27.29"/>
    <s v="34991938"/>
  </r>
  <r>
    <x v="128"/>
    <s v="2021-07-14"/>
    <x v="0"/>
    <x v="0"/>
    <n v="31"/>
    <x v="12"/>
    <n v="1.91"/>
    <n v="25.5"/>
    <s v="04862600"/>
  </r>
  <r>
    <x v="128"/>
    <s v="2021-07-14"/>
    <x v="0"/>
    <x v="0"/>
    <n v="30"/>
    <x v="13"/>
    <n v="1.83"/>
    <n v="24.27"/>
    <s v="07707650"/>
  </r>
  <r>
    <x v="128"/>
    <s v="2021-07-14"/>
    <x v="0"/>
    <x v="0"/>
    <n v="29"/>
    <x v="19"/>
    <n v="1.81"/>
    <n v="24.08"/>
    <s v="92702067"/>
  </r>
  <r>
    <x v="128"/>
    <s v="2021-07-14"/>
    <x v="0"/>
    <x v="0"/>
    <n v="28"/>
    <x v="49"/>
    <n v="1.73"/>
    <n v="22.86"/>
    <s v="58160789"/>
  </r>
  <r>
    <x v="128"/>
    <s v="2021-07-14"/>
    <x v="0"/>
    <x v="0"/>
    <n v="27"/>
    <x v="15"/>
    <n v="1.69"/>
    <n v="22.21"/>
    <s v="59588111"/>
  </r>
  <r>
    <x v="128"/>
    <s v="2021-07-14"/>
    <x v="0"/>
    <x v="0"/>
    <n v="26"/>
    <x v="24"/>
    <n v="1.68"/>
    <n v="22.08"/>
    <s v="22639377"/>
  </r>
  <r>
    <x v="128"/>
    <s v="2021-07-14"/>
    <x v="0"/>
    <x v="0"/>
    <n v="25"/>
    <x v="20"/>
    <n v="1.68"/>
    <n v="22.07"/>
    <s v="17192451"/>
  </r>
  <r>
    <x v="128"/>
    <s v="2021-07-14"/>
    <x v="0"/>
    <x v="0"/>
    <n v="24"/>
    <x v="11"/>
    <n v="1.66"/>
    <n v="21.88"/>
    <s v="03634220"/>
  </r>
  <r>
    <x v="128"/>
    <s v="2021-07-14"/>
    <x v="0"/>
    <x v="0"/>
    <n v="23"/>
    <x v="16"/>
    <n v="1.63"/>
    <n v="21.46"/>
    <s v="07207996"/>
  </r>
  <r>
    <x v="128"/>
    <s v="2021-07-14"/>
    <x v="0"/>
    <x v="0"/>
    <n v="22"/>
    <x v="21"/>
    <n v="1.5"/>
    <n v="19.62"/>
    <s v="03017677"/>
  </r>
  <r>
    <x v="128"/>
    <s v="2021-07-14"/>
    <x v="0"/>
    <x v="0"/>
    <n v="21"/>
    <x v="28"/>
    <n v="1.45"/>
    <n v="18.850000000000001"/>
    <s v="90400888"/>
  </r>
  <r>
    <x v="128"/>
    <s v="2021-07-14"/>
    <x v="0"/>
    <x v="0"/>
    <n v="20"/>
    <x v="25"/>
    <n v="1.44"/>
    <n v="18.71"/>
    <s v="59274605"/>
  </r>
  <r>
    <x v="128"/>
    <s v="2021-07-14"/>
    <x v="0"/>
    <x v="0"/>
    <n v="19"/>
    <x v="18"/>
    <n v="1.43"/>
    <n v="18.64"/>
    <s v="28127603"/>
  </r>
  <r>
    <x v="128"/>
    <s v="2021-07-14"/>
    <x v="0"/>
    <x v="0"/>
    <n v="18"/>
    <x v="32"/>
    <n v="1.43"/>
    <n v="18.61"/>
    <s v="60701190"/>
  </r>
  <r>
    <x v="128"/>
    <s v="2021-07-14"/>
    <x v="0"/>
    <x v="0"/>
    <n v="17"/>
    <x v="30"/>
    <n v="1.42"/>
    <n v="18.43"/>
    <s v="03502961"/>
  </r>
  <r>
    <x v="128"/>
    <s v="2021-07-14"/>
    <x v="0"/>
    <x v="0"/>
    <n v="16"/>
    <x v="26"/>
    <n v="1.42"/>
    <n v="18.38"/>
    <s v="30172491"/>
  </r>
  <r>
    <x v="128"/>
    <s v="2021-07-14"/>
    <x v="0"/>
    <x v="0"/>
    <n v="15"/>
    <x v="29"/>
    <n v="1.4"/>
    <n v="18.190000000000001"/>
    <s v="60746948"/>
  </r>
  <r>
    <x v="128"/>
    <s v="2021-07-14"/>
    <x v="0"/>
    <x v="0"/>
    <n v="14"/>
    <x v="14"/>
    <n v="1.37"/>
    <n v="17.690000000000001"/>
    <s v="00360305"/>
  </r>
  <r>
    <x v="128"/>
    <s v="2021-07-14"/>
    <x v="0"/>
    <x v="0"/>
    <n v="13"/>
    <x v="23"/>
    <n v="1.31"/>
    <n v="16.84"/>
    <s v="03215790"/>
  </r>
  <r>
    <x v="128"/>
    <s v="2021-07-14"/>
    <x v="0"/>
    <x v="0"/>
    <n v="12"/>
    <x v="33"/>
    <n v="1.27"/>
    <n v="16.39"/>
    <s v="62307848"/>
  </r>
  <r>
    <x v="128"/>
    <s v="2021-07-14"/>
    <x v="0"/>
    <x v="0"/>
    <n v="11"/>
    <x v="31"/>
    <n v="1.24"/>
    <n v="15.99"/>
    <s v="17167412"/>
  </r>
  <r>
    <x v="128"/>
    <s v="2021-07-14"/>
    <x v="0"/>
    <x v="0"/>
    <n v="10"/>
    <x v="27"/>
    <n v="1.24"/>
    <n v="15.91"/>
    <s v="00000000"/>
  </r>
  <r>
    <x v="128"/>
    <s v="2021-07-14"/>
    <x v="0"/>
    <x v="0"/>
    <n v="9"/>
    <x v="37"/>
    <n v="1.1599999999999999"/>
    <n v="14.83"/>
    <s v="04452473"/>
  </r>
  <r>
    <x v="128"/>
    <s v="2021-07-14"/>
    <x v="0"/>
    <x v="0"/>
    <n v="8"/>
    <x v="34"/>
    <n v="1.1200000000000001"/>
    <n v="14.24"/>
    <s v="33603457"/>
  </r>
  <r>
    <x v="128"/>
    <s v="2021-07-14"/>
    <x v="0"/>
    <x v="0"/>
    <n v="7"/>
    <x v="39"/>
    <n v="1.0900000000000001"/>
    <n v="13.91"/>
    <s v="04902979"/>
  </r>
  <r>
    <x v="128"/>
    <s v="2021-07-14"/>
    <x v="0"/>
    <x v="0"/>
    <n v="6"/>
    <x v="38"/>
    <n v="1.07"/>
    <n v="13.56"/>
    <s v="60814191"/>
  </r>
  <r>
    <x v="128"/>
    <s v="2021-07-14"/>
    <x v="0"/>
    <x v="0"/>
    <n v="5"/>
    <x v="35"/>
    <n v="1.04"/>
    <n v="13.26"/>
    <s v="59109165"/>
  </r>
  <r>
    <x v="128"/>
    <s v="2021-07-14"/>
    <x v="0"/>
    <x v="0"/>
    <n v="4"/>
    <x v="36"/>
    <n v="1.01"/>
    <n v="12.82"/>
    <s v="33136888"/>
  </r>
  <r>
    <x v="128"/>
    <s v="2021-07-14"/>
    <x v="0"/>
    <x v="0"/>
    <n v="3"/>
    <x v="47"/>
    <n v="1"/>
    <n v="12.69"/>
    <s v="28517628"/>
  </r>
  <r>
    <x v="128"/>
    <s v="2021-07-14"/>
    <x v="0"/>
    <x v="0"/>
    <n v="2"/>
    <x v="40"/>
    <n v="0.99"/>
    <n v="12.55"/>
    <s v="02992446"/>
  </r>
  <r>
    <x v="128"/>
    <s v="2021-07-14"/>
    <x v="0"/>
    <x v="0"/>
    <n v="1"/>
    <x v="22"/>
    <n v="0.94"/>
    <n v="11.92"/>
    <s v="11417016"/>
  </r>
  <r>
    <x v="129"/>
    <s v="2021-07-15"/>
    <x v="0"/>
    <x v="0"/>
    <n v="43"/>
    <x v="0"/>
    <n v="3.38"/>
    <n v="48.96"/>
    <s v="60850229"/>
  </r>
  <r>
    <x v="129"/>
    <s v="2021-07-15"/>
    <x v="0"/>
    <x v="0"/>
    <n v="42"/>
    <x v="3"/>
    <n v="3.29"/>
    <n v="47.53"/>
    <s v="05503849"/>
  </r>
  <r>
    <x v="129"/>
    <s v="2021-07-15"/>
    <x v="0"/>
    <x v="0"/>
    <n v="41"/>
    <x v="2"/>
    <n v="3.16"/>
    <n v="45.28"/>
    <s v="92228410"/>
  </r>
  <r>
    <x v="129"/>
    <s v="2021-07-15"/>
    <x v="0"/>
    <x v="0"/>
    <n v="40"/>
    <x v="1"/>
    <n v="2.82"/>
    <n v="39.56"/>
    <s v="01800019"/>
  </r>
  <r>
    <x v="129"/>
    <s v="2021-07-15"/>
    <x v="0"/>
    <x v="0"/>
    <n v="39"/>
    <x v="7"/>
    <n v="2.75"/>
    <n v="38.409999999999997"/>
    <s v="92874270"/>
  </r>
  <r>
    <x v="129"/>
    <s v="2021-07-15"/>
    <x v="0"/>
    <x v="0"/>
    <n v="38"/>
    <x v="4"/>
    <n v="2.68"/>
    <n v="37.32"/>
    <s v="62232889"/>
  </r>
  <r>
    <x v="129"/>
    <s v="2021-07-15"/>
    <x v="0"/>
    <x v="0"/>
    <n v="37"/>
    <x v="5"/>
    <n v="2.4300000000000002"/>
    <n v="33.32"/>
    <s v="80271455"/>
  </r>
  <r>
    <x v="129"/>
    <s v="2021-07-15"/>
    <x v="0"/>
    <x v="0"/>
    <n v="36"/>
    <x v="6"/>
    <n v="2.41"/>
    <n v="33.119999999999997"/>
    <s v="05676026"/>
  </r>
  <r>
    <x v="129"/>
    <s v="2021-07-15"/>
    <x v="0"/>
    <x v="0"/>
    <n v="35"/>
    <x v="9"/>
    <n v="2.4"/>
    <n v="32.97"/>
    <s v="00411939"/>
  </r>
  <r>
    <x v="129"/>
    <s v="2021-07-15"/>
    <x v="0"/>
    <x v="0"/>
    <n v="34"/>
    <x v="8"/>
    <n v="2.3199999999999998"/>
    <n v="31.63"/>
    <s v="59285411"/>
  </r>
  <r>
    <x v="129"/>
    <s v="2021-07-15"/>
    <x v="0"/>
    <x v="0"/>
    <n v="33"/>
    <x v="10"/>
    <n v="2.13"/>
    <n v="28.74"/>
    <s v="10371492"/>
  </r>
  <r>
    <x v="129"/>
    <s v="2021-07-15"/>
    <x v="0"/>
    <x v="0"/>
    <n v="32"/>
    <x v="42"/>
    <n v="2.09"/>
    <n v="28.13"/>
    <s v="34991938"/>
  </r>
  <r>
    <x v="129"/>
    <s v="2021-07-15"/>
    <x v="0"/>
    <x v="0"/>
    <n v="31"/>
    <x v="12"/>
    <n v="1.89"/>
    <n v="25.14"/>
    <s v="04862600"/>
  </r>
  <r>
    <x v="129"/>
    <s v="2021-07-15"/>
    <x v="0"/>
    <x v="0"/>
    <n v="30"/>
    <x v="19"/>
    <n v="1.81"/>
    <n v="24.08"/>
    <s v="92702067"/>
  </r>
  <r>
    <x v="129"/>
    <s v="2021-07-15"/>
    <x v="0"/>
    <x v="0"/>
    <n v="29"/>
    <x v="13"/>
    <n v="1.81"/>
    <n v="24.02"/>
    <s v="07707650"/>
  </r>
  <r>
    <x v="129"/>
    <s v="2021-07-15"/>
    <x v="0"/>
    <x v="0"/>
    <n v="28"/>
    <x v="49"/>
    <n v="1.73"/>
    <n v="22.86"/>
    <s v="58160789"/>
  </r>
  <r>
    <x v="129"/>
    <s v="2021-07-15"/>
    <x v="0"/>
    <x v="0"/>
    <n v="27"/>
    <x v="24"/>
    <n v="1.7"/>
    <n v="22.34"/>
    <s v="22639377"/>
  </r>
  <r>
    <x v="129"/>
    <s v="2021-07-15"/>
    <x v="0"/>
    <x v="0"/>
    <n v="26"/>
    <x v="11"/>
    <n v="1.69"/>
    <n v="22.34"/>
    <s v="03634220"/>
  </r>
  <r>
    <x v="129"/>
    <s v="2021-07-15"/>
    <x v="0"/>
    <x v="0"/>
    <n v="25"/>
    <x v="15"/>
    <n v="1.69"/>
    <n v="22.3"/>
    <s v="59588111"/>
  </r>
  <r>
    <x v="129"/>
    <s v="2021-07-15"/>
    <x v="0"/>
    <x v="0"/>
    <n v="24"/>
    <x v="20"/>
    <n v="1.67"/>
    <n v="22"/>
    <s v="17192451"/>
  </r>
  <r>
    <x v="129"/>
    <s v="2021-07-15"/>
    <x v="0"/>
    <x v="0"/>
    <n v="23"/>
    <x v="16"/>
    <n v="1.63"/>
    <n v="21.37"/>
    <s v="07207996"/>
  </r>
  <r>
    <x v="129"/>
    <s v="2021-07-15"/>
    <x v="0"/>
    <x v="0"/>
    <n v="22"/>
    <x v="21"/>
    <n v="1.5"/>
    <n v="19.59"/>
    <s v="03017677"/>
  </r>
  <r>
    <x v="129"/>
    <s v="2021-07-15"/>
    <x v="0"/>
    <x v="0"/>
    <n v="21"/>
    <x v="30"/>
    <n v="1.45"/>
    <n v="18.850000000000001"/>
    <s v="03502961"/>
  </r>
  <r>
    <x v="129"/>
    <s v="2021-07-15"/>
    <x v="0"/>
    <x v="0"/>
    <n v="20"/>
    <x v="32"/>
    <n v="1.44"/>
    <n v="18.73"/>
    <s v="60701190"/>
  </r>
  <r>
    <x v="129"/>
    <s v="2021-07-15"/>
    <x v="0"/>
    <x v="0"/>
    <n v="19"/>
    <x v="14"/>
    <n v="1.44"/>
    <n v="18.72"/>
    <s v="00360305"/>
  </r>
  <r>
    <x v="129"/>
    <s v="2021-07-15"/>
    <x v="0"/>
    <x v="0"/>
    <n v="18"/>
    <x v="18"/>
    <n v="1.43"/>
    <n v="18.53"/>
    <s v="28127603"/>
  </r>
  <r>
    <x v="129"/>
    <s v="2021-07-15"/>
    <x v="0"/>
    <x v="0"/>
    <n v="17"/>
    <x v="26"/>
    <n v="1.42"/>
    <n v="18.39"/>
    <s v="30172491"/>
  </r>
  <r>
    <x v="129"/>
    <s v="2021-07-15"/>
    <x v="0"/>
    <x v="0"/>
    <n v="16"/>
    <x v="29"/>
    <n v="1.41"/>
    <n v="18.350000000000001"/>
    <s v="60746948"/>
  </r>
  <r>
    <x v="129"/>
    <s v="2021-07-15"/>
    <x v="0"/>
    <x v="0"/>
    <n v="15"/>
    <x v="25"/>
    <n v="1.41"/>
    <n v="18.32"/>
    <s v="59274605"/>
  </r>
  <r>
    <x v="129"/>
    <s v="2021-07-15"/>
    <x v="0"/>
    <x v="0"/>
    <n v="14"/>
    <x v="28"/>
    <n v="1.31"/>
    <n v="16.91"/>
    <s v="90400888"/>
  </r>
  <r>
    <x v="129"/>
    <s v="2021-07-15"/>
    <x v="0"/>
    <x v="0"/>
    <n v="13"/>
    <x v="23"/>
    <n v="1.3"/>
    <n v="16.75"/>
    <s v="03215790"/>
  </r>
  <r>
    <x v="129"/>
    <s v="2021-07-15"/>
    <x v="0"/>
    <x v="0"/>
    <n v="12"/>
    <x v="33"/>
    <n v="1.27"/>
    <n v="16.3"/>
    <s v="62307848"/>
  </r>
  <r>
    <x v="129"/>
    <s v="2021-07-15"/>
    <x v="0"/>
    <x v="0"/>
    <n v="11"/>
    <x v="27"/>
    <n v="1.24"/>
    <n v="15.92"/>
    <s v="00000000"/>
  </r>
  <r>
    <x v="129"/>
    <s v="2021-07-15"/>
    <x v="0"/>
    <x v="0"/>
    <n v="10"/>
    <x v="31"/>
    <n v="1.23"/>
    <n v="15.8"/>
    <s v="17167412"/>
  </r>
  <r>
    <x v="129"/>
    <s v="2021-07-15"/>
    <x v="0"/>
    <x v="0"/>
    <n v="9"/>
    <x v="37"/>
    <n v="1.1599999999999999"/>
    <n v="14.87"/>
    <s v="04452473"/>
  </r>
  <r>
    <x v="129"/>
    <s v="2021-07-15"/>
    <x v="0"/>
    <x v="0"/>
    <n v="8"/>
    <x v="34"/>
    <n v="1.1200000000000001"/>
    <n v="14.24"/>
    <s v="33603457"/>
  </r>
  <r>
    <x v="129"/>
    <s v="2021-07-15"/>
    <x v="0"/>
    <x v="0"/>
    <n v="7"/>
    <x v="39"/>
    <n v="1.08"/>
    <n v="13.74"/>
    <s v="04902979"/>
  </r>
  <r>
    <x v="129"/>
    <s v="2021-07-15"/>
    <x v="0"/>
    <x v="0"/>
    <n v="6"/>
    <x v="35"/>
    <n v="1.03"/>
    <n v="13.07"/>
    <s v="59109165"/>
  </r>
  <r>
    <x v="129"/>
    <s v="2021-07-15"/>
    <x v="0"/>
    <x v="0"/>
    <n v="5"/>
    <x v="36"/>
    <n v="1.01"/>
    <n v="12.82"/>
    <s v="33136888"/>
  </r>
  <r>
    <x v="129"/>
    <s v="2021-07-15"/>
    <x v="0"/>
    <x v="0"/>
    <n v="4"/>
    <x v="47"/>
    <n v="1"/>
    <n v="12.69"/>
    <s v="28517628"/>
  </r>
  <r>
    <x v="129"/>
    <s v="2021-07-15"/>
    <x v="0"/>
    <x v="0"/>
    <n v="3"/>
    <x v="38"/>
    <n v="0.99"/>
    <n v="12.61"/>
    <s v="60814191"/>
  </r>
  <r>
    <x v="129"/>
    <s v="2021-07-15"/>
    <x v="0"/>
    <x v="0"/>
    <n v="2"/>
    <x v="22"/>
    <n v="0.98"/>
    <n v="12.43"/>
    <s v="11417016"/>
  </r>
  <r>
    <x v="129"/>
    <s v="2021-07-15"/>
    <x v="0"/>
    <x v="0"/>
    <n v="1"/>
    <x v="40"/>
    <n v="0.98"/>
    <n v="12.35"/>
    <s v="02992446"/>
  </r>
  <r>
    <x v="130"/>
    <s v="2021-07-16"/>
    <x v="0"/>
    <x v="0"/>
    <n v="42"/>
    <x v="3"/>
    <n v="3.24"/>
    <n v="46.65"/>
    <s v="05503849"/>
  </r>
  <r>
    <x v="130"/>
    <s v="2021-07-16"/>
    <x v="0"/>
    <x v="0"/>
    <n v="41"/>
    <x v="0"/>
    <n v="3.24"/>
    <n v="46.64"/>
    <s v="60850229"/>
  </r>
  <r>
    <x v="130"/>
    <s v="2021-07-16"/>
    <x v="0"/>
    <x v="0"/>
    <n v="40"/>
    <x v="2"/>
    <n v="3.17"/>
    <n v="45.46"/>
    <s v="92228410"/>
  </r>
  <r>
    <x v="130"/>
    <s v="2021-07-16"/>
    <x v="0"/>
    <x v="0"/>
    <n v="39"/>
    <x v="1"/>
    <n v="2.97"/>
    <n v="42.09"/>
    <s v="01800019"/>
  </r>
  <r>
    <x v="130"/>
    <s v="2021-07-16"/>
    <x v="0"/>
    <x v="0"/>
    <n v="38"/>
    <x v="7"/>
    <n v="2.73"/>
    <n v="38.200000000000003"/>
    <s v="92874270"/>
  </r>
  <r>
    <x v="130"/>
    <s v="2021-07-16"/>
    <x v="0"/>
    <x v="0"/>
    <n v="37"/>
    <x v="4"/>
    <n v="2.67"/>
    <n v="37.17"/>
    <s v="62232889"/>
  </r>
  <r>
    <x v="130"/>
    <s v="2021-07-16"/>
    <x v="0"/>
    <x v="0"/>
    <n v="36"/>
    <x v="6"/>
    <n v="2.42"/>
    <n v="33.19"/>
    <s v="05676026"/>
  </r>
  <r>
    <x v="130"/>
    <s v="2021-07-16"/>
    <x v="0"/>
    <x v="0"/>
    <n v="35"/>
    <x v="5"/>
    <n v="2.41"/>
    <n v="33.020000000000003"/>
    <s v="80271455"/>
  </r>
  <r>
    <x v="130"/>
    <s v="2021-07-16"/>
    <x v="0"/>
    <x v="0"/>
    <n v="34"/>
    <x v="9"/>
    <n v="2.37"/>
    <n v="32.51"/>
    <s v="00411939"/>
  </r>
  <r>
    <x v="130"/>
    <s v="2021-07-16"/>
    <x v="0"/>
    <x v="0"/>
    <n v="33"/>
    <x v="8"/>
    <n v="2.31"/>
    <n v="31.59"/>
    <s v="59285411"/>
  </r>
  <r>
    <x v="130"/>
    <s v="2021-07-16"/>
    <x v="0"/>
    <x v="0"/>
    <n v="32"/>
    <x v="10"/>
    <n v="2.13"/>
    <n v="28.72"/>
    <s v="10371492"/>
  </r>
  <r>
    <x v="130"/>
    <s v="2021-07-16"/>
    <x v="0"/>
    <x v="0"/>
    <n v="31"/>
    <x v="42"/>
    <n v="2.0499999999999998"/>
    <n v="27.62"/>
    <s v="34991938"/>
  </r>
  <r>
    <x v="130"/>
    <s v="2021-07-16"/>
    <x v="0"/>
    <x v="0"/>
    <n v="30"/>
    <x v="12"/>
    <n v="1.88"/>
    <n v="25.08"/>
    <s v="04862600"/>
  </r>
  <r>
    <x v="130"/>
    <s v="2021-07-16"/>
    <x v="0"/>
    <x v="0"/>
    <n v="29"/>
    <x v="19"/>
    <n v="1.81"/>
    <n v="24.08"/>
    <s v="92702067"/>
  </r>
  <r>
    <x v="130"/>
    <s v="2021-07-16"/>
    <x v="0"/>
    <x v="0"/>
    <n v="28"/>
    <x v="13"/>
    <n v="1.8"/>
    <n v="23.89"/>
    <s v="07707650"/>
  </r>
  <r>
    <x v="130"/>
    <s v="2021-07-16"/>
    <x v="0"/>
    <x v="0"/>
    <n v="27"/>
    <x v="24"/>
    <n v="1.79"/>
    <n v="23.66"/>
    <s v="22639377"/>
  </r>
  <r>
    <x v="130"/>
    <s v="2021-07-16"/>
    <x v="0"/>
    <x v="0"/>
    <n v="26"/>
    <x v="49"/>
    <n v="1.73"/>
    <n v="22.86"/>
    <s v="58160789"/>
  </r>
  <r>
    <x v="130"/>
    <s v="2021-07-16"/>
    <x v="0"/>
    <x v="0"/>
    <n v="25"/>
    <x v="11"/>
    <n v="1.72"/>
    <n v="22.75"/>
    <s v="03634220"/>
  </r>
  <r>
    <x v="130"/>
    <s v="2021-07-16"/>
    <x v="0"/>
    <x v="0"/>
    <n v="24"/>
    <x v="15"/>
    <n v="1.69"/>
    <n v="22.34"/>
    <s v="59588111"/>
  </r>
  <r>
    <x v="130"/>
    <s v="2021-07-16"/>
    <x v="0"/>
    <x v="0"/>
    <n v="23"/>
    <x v="20"/>
    <n v="1.67"/>
    <n v="22.03"/>
    <s v="17192451"/>
  </r>
  <r>
    <x v="130"/>
    <s v="2021-07-16"/>
    <x v="0"/>
    <x v="0"/>
    <n v="22"/>
    <x v="16"/>
    <n v="1.62"/>
    <n v="21.31"/>
    <s v="07207996"/>
  </r>
  <r>
    <x v="130"/>
    <s v="2021-07-16"/>
    <x v="0"/>
    <x v="0"/>
    <n v="21"/>
    <x v="21"/>
    <n v="1.5"/>
    <n v="19.54"/>
    <s v="03017677"/>
  </r>
  <r>
    <x v="130"/>
    <s v="2021-07-16"/>
    <x v="0"/>
    <x v="0"/>
    <n v="20"/>
    <x v="30"/>
    <n v="1.44"/>
    <n v="18.73"/>
    <s v="03502961"/>
  </r>
  <r>
    <x v="130"/>
    <s v="2021-07-16"/>
    <x v="0"/>
    <x v="0"/>
    <n v="19"/>
    <x v="32"/>
    <n v="1.43"/>
    <n v="18.559999999999999"/>
    <s v="60701190"/>
  </r>
  <r>
    <x v="130"/>
    <s v="2021-07-16"/>
    <x v="0"/>
    <x v="0"/>
    <n v="18"/>
    <x v="26"/>
    <n v="1.42"/>
    <n v="18.41"/>
    <s v="30172491"/>
  </r>
  <r>
    <x v="130"/>
    <s v="2021-07-16"/>
    <x v="0"/>
    <x v="0"/>
    <n v="17"/>
    <x v="29"/>
    <n v="1.41"/>
    <n v="18.309999999999999"/>
    <s v="60746948"/>
  </r>
  <r>
    <x v="130"/>
    <s v="2021-07-16"/>
    <x v="0"/>
    <x v="0"/>
    <n v="16"/>
    <x v="25"/>
    <n v="1.41"/>
    <n v="18.27"/>
    <s v="59274605"/>
  </r>
  <r>
    <x v="130"/>
    <s v="2021-07-16"/>
    <x v="0"/>
    <x v="0"/>
    <n v="15"/>
    <x v="14"/>
    <n v="1.39"/>
    <n v="18.07"/>
    <s v="00360305"/>
  </r>
  <r>
    <x v="130"/>
    <s v="2021-07-16"/>
    <x v="0"/>
    <x v="0"/>
    <n v="14"/>
    <x v="18"/>
    <n v="1.39"/>
    <n v="17.97"/>
    <s v="28127603"/>
  </r>
  <r>
    <x v="130"/>
    <s v="2021-07-16"/>
    <x v="0"/>
    <x v="0"/>
    <n v="13"/>
    <x v="23"/>
    <n v="1.3"/>
    <n v="16.78"/>
    <s v="03215790"/>
  </r>
  <r>
    <x v="130"/>
    <s v="2021-07-16"/>
    <x v="0"/>
    <x v="0"/>
    <n v="12"/>
    <x v="36"/>
    <n v="1.28"/>
    <n v="16.47"/>
    <s v="33136888"/>
  </r>
  <r>
    <x v="130"/>
    <s v="2021-07-16"/>
    <x v="0"/>
    <x v="0"/>
    <n v="11"/>
    <x v="33"/>
    <n v="1.26"/>
    <n v="16.170000000000002"/>
    <s v="62307848"/>
  </r>
  <r>
    <x v="130"/>
    <s v="2021-07-16"/>
    <x v="0"/>
    <x v="0"/>
    <n v="10"/>
    <x v="31"/>
    <n v="1.23"/>
    <n v="15.83"/>
    <s v="17167412"/>
  </r>
  <r>
    <x v="130"/>
    <s v="2021-07-16"/>
    <x v="0"/>
    <x v="0"/>
    <n v="9"/>
    <x v="27"/>
    <n v="1.23"/>
    <n v="15.77"/>
    <s v="00000000"/>
  </r>
  <r>
    <x v="130"/>
    <s v="2021-07-16"/>
    <x v="0"/>
    <x v="0"/>
    <n v="8"/>
    <x v="37"/>
    <n v="1.1599999999999999"/>
    <n v="14.91"/>
    <s v="04452473"/>
  </r>
  <r>
    <x v="130"/>
    <s v="2021-07-16"/>
    <x v="0"/>
    <x v="0"/>
    <n v="7"/>
    <x v="39"/>
    <n v="1.1399999999999999"/>
    <n v="14.59"/>
    <s v="04902979"/>
  </r>
  <r>
    <x v="130"/>
    <s v="2021-07-16"/>
    <x v="0"/>
    <x v="0"/>
    <n v="6"/>
    <x v="34"/>
    <n v="1.1200000000000001"/>
    <n v="14.34"/>
    <s v="33603457"/>
  </r>
  <r>
    <x v="130"/>
    <s v="2021-07-16"/>
    <x v="0"/>
    <x v="0"/>
    <n v="5"/>
    <x v="35"/>
    <n v="1.04"/>
    <n v="13.22"/>
    <s v="59109165"/>
  </r>
  <r>
    <x v="130"/>
    <s v="2021-07-16"/>
    <x v="0"/>
    <x v="0"/>
    <n v="4"/>
    <x v="47"/>
    <n v="1.03"/>
    <n v="13.11"/>
    <s v="28517628"/>
  </r>
  <r>
    <x v="130"/>
    <s v="2021-07-16"/>
    <x v="0"/>
    <x v="0"/>
    <n v="3"/>
    <x v="38"/>
    <n v="1"/>
    <n v="12.71"/>
    <s v="60814191"/>
  </r>
  <r>
    <x v="130"/>
    <s v="2021-07-16"/>
    <x v="0"/>
    <x v="0"/>
    <n v="2"/>
    <x v="22"/>
    <n v="0.98"/>
    <n v="12.38"/>
    <s v="11417016"/>
  </r>
  <r>
    <x v="130"/>
    <s v="2021-07-16"/>
    <x v="0"/>
    <x v="0"/>
    <n v="1"/>
    <x v="40"/>
    <n v="0.97"/>
    <n v="12.22"/>
    <s v="02992446"/>
  </r>
  <r>
    <x v="131"/>
    <s v="2021-07-19"/>
    <x v="0"/>
    <x v="0"/>
    <n v="41"/>
    <x v="3"/>
    <n v="3.28"/>
    <n v="47.26"/>
    <s v="05503849"/>
  </r>
  <r>
    <x v="131"/>
    <s v="2021-07-19"/>
    <x v="0"/>
    <x v="0"/>
    <n v="40"/>
    <x v="2"/>
    <n v="3.18"/>
    <n v="45.63"/>
    <s v="92228410"/>
  </r>
  <r>
    <x v="131"/>
    <s v="2021-07-19"/>
    <x v="0"/>
    <x v="0"/>
    <n v="39"/>
    <x v="0"/>
    <n v="3.18"/>
    <n v="45.6"/>
    <s v="60850229"/>
  </r>
  <r>
    <x v="131"/>
    <s v="2021-07-19"/>
    <x v="0"/>
    <x v="0"/>
    <n v="38"/>
    <x v="1"/>
    <n v="2.92"/>
    <n v="41.28"/>
    <s v="01800019"/>
  </r>
  <r>
    <x v="131"/>
    <s v="2021-07-19"/>
    <x v="0"/>
    <x v="0"/>
    <n v="37"/>
    <x v="7"/>
    <n v="2.73"/>
    <n v="38.17"/>
    <s v="92874270"/>
  </r>
  <r>
    <x v="131"/>
    <s v="2021-07-19"/>
    <x v="0"/>
    <x v="0"/>
    <n v="36"/>
    <x v="4"/>
    <n v="2.67"/>
    <n v="37.21"/>
    <s v="62232889"/>
  </r>
  <r>
    <x v="131"/>
    <s v="2021-07-19"/>
    <x v="0"/>
    <x v="0"/>
    <n v="35"/>
    <x v="6"/>
    <n v="2.42"/>
    <n v="33.21"/>
    <s v="05676026"/>
  </r>
  <r>
    <x v="131"/>
    <s v="2021-07-19"/>
    <x v="0"/>
    <x v="0"/>
    <n v="34"/>
    <x v="5"/>
    <n v="2.41"/>
    <n v="33.01"/>
    <s v="80271455"/>
  </r>
  <r>
    <x v="131"/>
    <s v="2021-07-19"/>
    <x v="0"/>
    <x v="0"/>
    <n v="33"/>
    <x v="9"/>
    <n v="2.33"/>
    <n v="31.85"/>
    <s v="00411939"/>
  </r>
  <r>
    <x v="131"/>
    <s v="2021-07-19"/>
    <x v="0"/>
    <x v="0"/>
    <n v="32"/>
    <x v="8"/>
    <n v="2.2999999999999998"/>
    <n v="31.34"/>
    <s v="59285411"/>
  </r>
  <r>
    <x v="131"/>
    <s v="2021-07-19"/>
    <x v="0"/>
    <x v="0"/>
    <n v="31"/>
    <x v="10"/>
    <n v="2.12"/>
    <n v="28.68"/>
    <s v="10371492"/>
  </r>
  <r>
    <x v="131"/>
    <s v="2021-07-19"/>
    <x v="0"/>
    <x v="0"/>
    <n v="30"/>
    <x v="42"/>
    <n v="1.99"/>
    <n v="26.68"/>
    <s v="34991938"/>
  </r>
  <r>
    <x v="131"/>
    <s v="2021-07-19"/>
    <x v="0"/>
    <x v="0"/>
    <n v="29"/>
    <x v="12"/>
    <n v="1.87"/>
    <n v="24.93"/>
    <s v="04862600"/>
  </r>
  <r>
    <x v="131"/>
    <s v="2021-07-19"/>
    <x v="0"/>
    <x v="0"/>
    <n v="28"/>
    <x v="13"/>
    <n v="1.8"/>
    <n v="23.86"/>
    <s v="07707650"/>
  </r>
  <r>
    <x v="131"/>
    <s v="2021-07-19"/>
    <x v="0"/>
    <x v="0"/>
    <n v="27"/>
    <x v="24"/>
    <n v="1.74"/>
    <n v="23"/>
    <s v="22639377"/>
  </r>
  <r>
    <x v="131"/>
    <s v="2021-07-19"/>
    <x v="0"/>
    <x v="0"/>
    <n v="26"/>
    <x v="49"/>
    <n v="1.73"/>
    <n v="22.86"/>
    <s v="58160789"/>
  </r>
  <r>
    <x v="131"/>
    <s v="2021-07-19"/>
    <x v="0"/>
    <x v="0"/>
    <n v="25"/>
    <x v="11"/>
    <n v="1.71"/>
    <n v="22.51"/>
    <s v="03634220"/>
  </r>
  <r>
    <x v="131"/>
    <s v="2021-07-19"/>
    <x v="0"/>
    <x v="0"/>
    <n v="24"/>
    <x v="15"/>
    <n v="1.7"/>
    <n v="22.46"/>
    <s v="59588111"/>
  </r>
  <r>
    <x v="131"/>
    <s v="2021-07-19"/>
    <x v="0"/>
    <x v="0"/>
    <n v="23"/>
    <x v="20"/>
    <n v="1.67"/>
    <n v="22.03"/>
    <s v="17192451"/>
  </r>
  <r>
    <x v="131"/>
    <s v="2021-07-19"/>
    <x v="0"/>
    <x v="0"/>
    <n v="22"/>
    <x v="16"/>
    <n v="1.62"/>
    <n v="21.25"/>
    <s v="07207996"/>
  </r>
  <r>
    <x v="131"/>
    <s v="2021-07-19"/>
    <x v="0"/>
    <x v="0"/>
    <n v="21"/>
    <x v="21"/>
    <n v="1.5"/>
    <n v="19.53"/>
    <s v="03017677"/>
  </r>
  <r>
    <x v="131"/>
    <s v="2021-07-19"/>
    <x v="0"/>
    <x v="0"/>
    <n v="20"/>
    <x v="30"/>
    <n v="1.45"/>
    <n v="18.86"/>
    <s v="03502961"/>
  </r>
  <r>
    <x v="131"/>
    <s v="2021-07-19"/>
    <x v="0"/>
    <x v="0"/>
    <n v="19"/>
    <x v="32"/>
    <n v="1.43"/>
    <n v="18.579999999999998"/>
    <s v="60701190"/>
  </r>
  <r>
    <x v="131"/>
    <s v="2021-07-19"/>
    <x v="0"/>
    <x v="0"/>
    <n v="18"/>
    <x v="25"/>
    <n v="1.43"/>
    <n v="18.52"/>
    <s v="59274605"/>
  </r>
  <r>
    <x v="131"/>
    <s v="2021-07-19"/>
    <x v="0"/>
    <x v="0"/>
    <n v="17"/>
    <x v="26"/>
    <n v="1.42"/>
    <n v="18.489999999999998"/>
    <s v="30172491"/>
  </r>
  <r>
    <x v="131"/>
    <s v="2021-07-19"/>
    <x v="0"/>
    <x v="0"/>
    <n v="16"/>
    <x v="29"/>
    <n v="1.42"/>
    <n v="18.41"/>
    <s v="60746948"/>
  </r>
  <r>
    <x v="131"/>
    <s v="2021-07-19"/>
    <x v="0"/>
    <x v="0"/>
    <n v="15"/>
    <x v="14"/>
    <n v="1.39"/>
    <n v="18.04"/>
    <s v="00360305"/>
  </r>
  <r>
    <x v="131"/>
    <s v="2021-07-19"/>
    <x v="0"/>
    <x v="0"/>
    <n v="14"/>
    <x v="18"/>
    <n v="1.36"/>
    <n v="17.57"/>
    <s v="28127603"/>
  </r>
  <r>
    <x v="131"/>
    <s v="2021-07-19"/>
    <x v="0"/>
    <x v="0"/>
    <n v="13"/>
    <x v="23"/>
    <n v="1.31"/>
    <n v="16.86"/>
    <s v="03215790"/>
  </r>
  <r>
    <x v="131"/>
    <s v="2021-07-19"/>
    <x v="0"/>
    <x v="0"/>
    <n v="12"/>
    <x v="36"/>
    <n v="1.28"/>
    <n v="16.47"/>
    <s v="33136888"/>
  </r>
  <r>
    <x v="131"/>
    <s v="2021-07-19"/>
    <x v="0"/>
    <x v="0"/>
    <n v="11"/>
    <x v="33"/>
    <n v="1.25"/>
    <n v="16.11"/>
    <s v="62307848"/>
  </r>
  <r>
    <x v="131"/>
    <s v="2021-07-19"/>
    <x v="0"/>
    <x v="0"/>
    <n v="10"/>
    <x v="27"/>
    <n v="1.23"/>
    <n v="15.84"/>
    <s v="00000000"/>
  </r>
  <r>
    <x v="131"/>
    <s v="2021-07-19"/>
    <x v="0"/>
    <x v="0"/>
    <n v="9"/>
    <x v="31"/>
    <n v="1.23"/>
    <n v="15.78"/>
    <s v="17167412"/>
  </r>
  <r>
    <x v="131"/>
    <s v="2021-07-19"/>
    <x v="0"/>
    <x v="0"/>
    <n v="8"/>
    <x v="37"/>
    <n v="1.17"/>
    <n v="14.95"/>
    <s v="04452473"/>
  </r>
  <r>
    <x v="131"/>
    <s v="2021-07-19"/>
    <x v="0"/>
    <x v="0"/>
    <n v="7"/>
    <x v="39"/>
    <n v="1.1399999999999999"/>
    <n v="14.59"/>
    <s v="04902979"/>
  </r>
  <r>
    <x v="131"/>
    <s v="2021-07-19"/>
    <x v="0"/>
    <x v="0"/>
    <n v="6"/>
    <x v="34"/>
    <n v="1.1200000000000001"/>
    <n v="14.31"/>
    <s v="33603457"/>
  </r>
  <r>
    <x v="131"/>
    <s v="2021-07-19"/>
    <x v="0"/>
    <x v="0"/>
    <n v="5"/>
    <x v="47"/>
    <n v="1.0900000000000001"/>
    <n v="13.88"/>
    <s v="28517628"/>
  </r>
  <r>
    <x v="131"/>
    <s v="2021-07-19"/>
    <x v="0"/>
    <x v="0"/>
    <n v="4"/>
    <x v="35"/>
    <n v="1.04"/>
    <n v="13.16"/>
    <s v="59109165"/>
  </r>
  <r>
    <x v="131"/>
    <s v="2021-07-19"/>
    <x v="0"/>
    <x v="0"/>
    <n v="3"/>
    <x v="38"/>
    <n v="1.01"/>
    <n v="12.76"/>
    <s v="60814191"/>
  </r>
  <r>
    <x v="131"/>
    <s v="2021-07-19"/>
    <x v="0"/>
    <x v="0"/>
    <n v="2"/>
    <x v="22"/>
    <n v="0.98"/>
    <n v="12.38"/>
    <s v="11417016"/>
  </r>
  <r>
    <x v="131"/>
    <s v="2021-07-19"/>
    <x v="0"/>
    <x v="0"/>
    <n v="1"/>
    <x v="40"/>
    <n v="0.96"/>
    <n v="12.1"/>
    <s v="02992446"/>
  </r>
  <r>
    <x v="132"/>
    <s v="2021-07-20"/>
    <x v="0"/>
    <x v="0"/>
    <n v="42"/>
    <x v="3"/>
    <n v="3.25"/>
    <n v="46.76"/>
    <s v="05503849"/>
  </r>
  <r>
    <x v="132"/>
    <s v="2021-07-20"/>
    <x v="0"/>
    <x v="0"/>
    <n v="41"/>
    <x v="2"/>
    <n v="3.19"/>
    <n v="45.78"/>
    <s v="92228410"/>
  </r>
  <r>
    <x v="132"/>
    <s v="2021-07-20"/>
    <x v="0"/>
    <x v="0"/>
    <n v="40"/>
    <x v="0"/>
    <n v="3.13"/>
    <n v="44.81"/>
    <s v="60850229"/>
  </r>
  <r>
    <x v="132"/>
    <s v="2021-07-20"/>
    <x v="0"/>
    <x v="0"/>
    <n v="39"/>
    <x v="1"/>
    <n v="2.93"/>
    <n v="41.48"/>
    <s v="01800019"/>
  </r>
  <r>
    <x v="132"/>
    <s v="2021-07-20"/>
    <x v="0"/>
    <x v="0"/>
    <n v="38"/>
    <x v="7"/>
    <n v="2.73"/>
    <n v="38.21"/>
    <s v="92874270"/>
  </r>
  <r>
    <x v="132"/>
    <s v="2021-07-20"/>
    <x v="0"/>
    <x v="0"/>
    <n v="37"/>
    <x v="4"/>
    <n v="2.68"/>
    <n v="37.270000000000003"/>
    <s v="62232889"/>
  </r>
  <r>
    <x v="132"/>
    <s v="2021-07-20"/>
    <x v="0"/>
    <x v="0"/>
    <n v="36"/>
    <x v="6"/>
    <n v="2.42"/>
    <n v="33.18"/>
    <s v="05676026"/>
  </r>
  <r>
    <x v="132"/>
    <s v="2021-07-20"/>
    <x v="0"/>
    <x v="0"/>
    <n v="35"/>
    <x v="5"/>
    <n v="2.38"/>
    <n v="32.549999999999997"/>
    <s v="80271455"/>
  </r>
  <r>
    <x v="132"/>
    <s v="2021-07-20"/>
    <x v="0"/>
    <x v="0"/>
    <n v="34"/>
    <x v="9"/>
    <n v="2.35"/>
    <n v="32.18"/>
    <s v="00411939"/>
  </r>
  <r>
    <x v="132"/>
    <s v="2021-07-20"/>
    <x v="0"/>
    <x v="0"/>
    <n v="33"/>
    <x v="8"/>
    <n v="2.2999999999999998"/>
    <n v="31.31"/>
    <s v="59285411"/>
  </r>
  <r>
    <x v="132"/>
    <s v="2021-07-20"/>
    <x v="0"/>
    <x v="0"/>
    <n v="32"/>
    <x v="42"/>
    <n v="2.11"/>
    <n v="28.49"/>
    <s v="34991938"/>
  </r>
  <r>
    <x v="132"/>
    <s v="2021-07-20"/>
    <x v="0"/>
    <x v="0"/>
    <n v="31"/>
    <x v="10"/>
    <n v="2.11"/>
    <n v="28.49"/>
    <s v="10371492"/>
  </r>
  <r>
    <x v="132"/>
    <s v="2021-07-20"/>
    <x v="0"/>
    <x v="0"/>
    <n v="30"/>
    <x v="12"/>
    <n v="1.88"/>
    <n v="24.97"/>
    <s v="04862600"/>
  </r>
  <r>
    <x v="132"/>
    <s v="2021-07-20"/>
    <x v="0"/>
    <x v="0"/>
    <n v="29"/>
    <x v="13"/>
    <n v="1.79"/>
    <n v="23.75"/>
    <s v="07707650"/>
  </r>
  <r>
    <x v="132"/>
    <s v="2021-07-20"/>
    <x v="0"/>
    <x v="0"/>
    <n v="28"/>
    <x v="11"/>
    <n v="1.75"/>
    <n v="23.11"/>
    <s v="03634220"/>
  </r>
  <r>
    <x v="132"/>
    <s v="2021-07-20"/>
    <x v="0"/>
    <x v="0"/>
    <n v="27"/>
    <x v="49"/>
    <n v="1.73"/>
    <n v="22.86"/>
    <s v="58160789"/>
  </r>
  <r>
    <x v="132"/>
    <s v="2021-07-20"/>
    <x v="0"/>
    <x v="0"/>
    <n v="26"/>
    <x v="15"/>
    <n v="1.7"/>
    <n v="22.48"/>
    <s v="59588111"/>
  </r>
  <r>
    <x v="132"/>
    <s v="2021-07-20"/>
    <x v="0"/>
    <x v="0"/>
    <n v="25"/>
    <x v="24"/>
    <n v="1.67"/>
    <n v="22.05"/>
    <s v="22639377"/>
  </r>
  <r>
    <x v="132"/>
    <s v="2021-07-20"/>
    <x v="0"/>
    <x v="0"/>
    <n v="24"/>
    <x v="20"/>
    <n v="1.67"/>
    <n v="21.97"/>
    <s v="17192451"/>
  </r>
  <r>
    <x v="132"/>
    <s v="2021-07-20"/>
    <x v="0"/>
    <x v="0"/>
    <n v="23"/>
    <x v="16"/>
    <n v="1.61"/>
    <n v="21.19"/>
    <s v="07207996"/>
  </r>
  <r>
    <x v="132"/>
    <s v="2021-07-20"/>
    <x v="0"/>
    <x v="0"/>
    <n v="22"/>
    <x v="21"/>
    <n v="1.5"/>
    <n v="19.52"/>
    <s v="03017677"/>
  </r>
  <r>
    <x v="132"/>
    <s v="2021-07-20"/>
    <x v="0"/>
    <x v="0"/>
    <n v="21"/>
    <x v="30"/>
    <n v="1.44"/>
    <n v="18.7"/>
    <s v="03502961"/>
  </r>
  <r>
    <x v="132"/>
    <s v="2021-07-20"/>
    <x v="0"/>
    <x v="0"/>
    <n v="20"/>
    <x v="32"/>
    <n v="1.44"/>
    <n v="18.690000000000001"/>
    <s v="60701190"/>
  </r>
  <r>
    <x v="132"/>
    <s v="2021-07-20"/>
    <x v="0"/>
    <x v="0"/>
    <n v="19"/>
    <x v="26"/>
    <n v="1.42"/>
    <n v="18.440000000000001"/>
    <s v="30172491"/>
  </r>
  <r>
    <x v="132"/>
    <s v="2021-07-20"/>
    <x v="0"/>
    <x v="0"/>
    <n v="18"/>
    <x v="29"/>
    <n v="1.41"/>
    <n v="18.3"/>
    <s v="60746948"/>
  </r>
  <r>
    <x v="132"/>
    <s v="2021-07-20"/>
    <x v="0"/>
    <x v="0"/>
    <n v="17"/>
    <x v="25"/>
    <n v="1.4"/>
    <n v="18.09"/>
    <s v="59274605"/>
  </r>
  <r>
    <x v="132"/>
    <s v="2021-07-20"/>
    <x v="0"/>
    <x v="0"/>
    <n v="16"/>
    <x v="18"/>
    <n v="1.39"/>
    <n v="18.05"/>
    <s v="28127603"/>
  </r>
  <r>
    <x v="132"/>
    <s v="2021-07-20"/>
    <x v="0"/>
    <x v="0"/>
    <n v="15"/>
    <x v="14"/>
    <n v="1.37"/>
    <n v="17.77"/>
    <s v="00360305"/>
  </r>
  <r>
    <x v="132"/>
    <s v="2021-07-20"/>
    <x v="0"/>
    <x v="0"/>
    <n v="14"/>
    <x v="23"/>
    <n v="1.32"/>
    <n v="17.02"/>
    <s v="03215790"/>
  </r>
  <r>
    <x v="132"/>
    <s v="2021-07-20"/>
    <x v="0"/>
    <x v="0"/>
    <n v="13"/>
    <x v="36"/>
    <n v="1.28"/>
    <n v="16.47"/>
    <s v="33136888"/>
  </r>
  <r>
    <x v="132"/>
    <s v="2021-07-20"/>
    <x v="0"/>
    <x v="0"/>
    <n v="12"/>
    <x v="33"/>
    <n v="1.25"/>
    <n v="16.07"/>
    <s v="62307848"/>
  </r>
  <r>
    <x v="132"/>
    <s v="2021-07-20"/>
    <x v="0"/>
    <x v="0"/>
    <n v="11"/>
    <x v="31"/>
    <n v="1.24"/>
    <n v="15.97"/>
    <s v="17167412"/>
  </r>
  <r>
    <x v="132"/>
    <s v="2021-07-20"/>
    <x v="0"/>
    <x v="0"/>
    <n v="10"/>
    <x v="27"/>
    <n v="1.23"/>
    <n v="15.85"/>
    <s v="00000000"/>
  </r>
  <r>
    <x v="132"/>
    <s v="2021-07-20"/>
    <x v="0"/>
    <x v="0"/>
    <n v="9"/>
    <x v="37"/>
    <n v="1.17"/>
    <n v="14.99"/>
    <s v="04452473"/>
  </r>
  <r>
    <x v="132"/>
    <s v="2021-07-20"/>
    <x v="0"/>
    <x v="0"/>
    <n v="8"/>
    <x v="34"/>
    <n v="1.1100000000000001"/>
    <n v="14.21"/>
    <s v="33603457"/>
  </r>
  <r>
    <x v="132"/>
    <s v="2021-07-20"/>
    <x v="0"/>
    <x v="0"/>
    <n v="7"/>
    <x v="39"/>
    <n v="1.1100000000000001"/>
    <n v="14.2"/>
    <s v="04902979"/>
  </r>
  <r>
    <x v="132"/>
    <s v="2021-07-20"/>
    <x v="0"/>
    <x v="0"/>
    <n v="6"/>
    <x v="47"/>
    <n v="1.07"/>
    <n v="13.58"/>
    <s v="28517628"/>
  </r>
  <r>
    <x v="132"/>
    <s v="2021-07-20"/>
    <x v="0"/>
    <x v="0"/>
    <n v="5"/>
    <x v="35"/>
    <n v="1.05"/>
    <n v="13.28"/>
    <s v="59109165"/>
  </r>
  <r>
    <x v="132"/>
    <s v="2021-07-20"/>
    <x v="0"/>
    <x v="0"/>
    <n v="4"/>
    <x v="40"/>
    <n v="1.01"/>
    <n v="12.78"/>
    <s v="02992446"/>
  </r>
  <r>
    <x v="132"/>
    <s v="2021-07-20"/>
    <x v="0"/>
    <x v="0"/>
    <n v="3"/>
    <x v="22"/>
    <n v="0.99"/>
    <n v="12.58"/>
    <s v="11417016"/>
  </r>
  <r>
    <x v="132"/>
    <s v="2021-07-20"/>
    <x v="0"/>
    <x v="0"/>
    <n v="2"/>
    <x v="38"/>
    <n v="0.99"/>
    <n v="12.54"/>
    <s v="60814191"/>
  </r>
  <r>
    <x v="132"/>
    <s v="2021-07-20"/>
    <x v="0"/>
    <x v="0"/>
    <n v="1"/>
    <x v="44"/>
    <n v="0.98"/>
    <n v="12.39"/>
    <s v="58017179"/>
  </r>
  <r>
    <x v="133"/>
    <s v="2021-07-21"/>
    <x v="0"/>
    <x v="0"/>
    <n v="43"/>
    <x v="3"/>
    <n v="3.27"/>
    <n v="47.04"/>
    <s v="05503849"/>
  </r>
  <r>
    <x v="133"/>
    <s v="2021-07-21"/>
    <x v="0"/>
    <x v="0"/>
    <n v="42"/>
    <x v="2"/>
    <n v="3.2"/>
    <n v="45.92"/>
    <s v="92228410"/>
  </r>
  <r>
    <x v="133"/>
    <s v="2021-07-21"/>
    <x v="0"/>
    <x v="0"/>
    <n v="41"/>
    <x v="0"/>
    <n v="3.16"/>
    <n v="45.18"/>
    <s v="60850229"/>
  </r>
  <r>
    <x v="133"/>
    <s v="2021-07-21"/>
    <x v="0"/>
    <x v="0"/>
    <n v="40"/>
    <x v="1"/>
    <n v="2.9"/>
    <n v="40.92"/>
    <s v="01800019"/>
  </r>
  <r>
    <x v="133"/>
    <s v="2021-07-21"/>
    <x v="0"/>
    <x v="0"/>
    <n v="39"/>
    <x v="7"/>
    <n v="2.73"/>
    <n v="38.130000000000003"/>
    <s v="92874270"/>
  </r>
  <r>
    <x v="133"/>
    <s v="2021-07-21"/>
    <x v="0"/>
    <x v="0"/>
    <n v="38"/>
    <x v="4"/>
    <n v="2.66"/>
    <n v="37.01"/>
    <s v="62232889"/>
  </r>
  <r>
    <x v="133"/>
    <s v="2021-07-21"/>
    <x v="0"/>
    <x v="0"/>
    <n v="37"/>
    <x v="6"/>
    <n v="2.42"/>
    <n v="33.17"/>
    <s v="05676026"/>
  </r>
  <r>
    <x v="133"/>
    <s v="2021-07-21"/>
    <x v="0"/>
    <x v="0"/>
    <n v="36"/>
    <x v="5"/>
    <n v="2.34"/>
    <n v="32.01"/>
    <s v="80271455"/>
  </r>
  <r>
    <x v="133"/>
    <s v="2021-07-21"/>
    <x v="0"/>
    <x v="0"/>
    <n v="35"/>
    <x v="9"/>
    <n v="2.33"/>
    <n v="31.78"/>
    <s v="00411939"/>
  </r>
  <r>
    <x v="133"/>
    <s v="2021-07-21"/>
    <x v="0"/>
    <x v="0"/>
    <n v="34"/>
    <x v="8"/>
    <n v="2.2799999999999998"/>
    <n v="31.1"/>
    <s v="59285411"/>
  </r>
  <r>
    <x v="133"/>
    <s v="2021-07-21"/>
    <x v="0"/>
    <x v="0"/>
    <n v="33"/>
    <x v="42"/>
    <n v="2.1800000000000002"/>
    <n v="29.61"/>
    <s v="34991938"/>
  </r>
  <r>
    <x v="133"/>
    <s v="2021-07-21"/>
    <x v="0"/>
    <x v="0"/>
    <n v="32"/>
    <x v="10"/>
    <n v="2.13"/>
    <n v="28.79"/>
    <s v="10371492"/>
  </r>
  <r>
    <x v="133"/>
    <s v="2021-07-21"/>
    <x v="0"/>
    <x v="0"/>
    <n v="31"/>
    <x v="41"/>
    <n v="1.87"/>
    <n v="24.88"/>
    <s v="20443996"/>
  </r>
  <r>
    <x v="133"/>
    <s v="2021-07-21"/>
    <x v="0"/>
    <x v="0"/>
    <n v="30"/>
    <x v="12"/>
    <n v="1.86"/>
    <n v="24.81"/>
    <s v="04862600"/>
  </r>
  <r>
    <x v="133"/>
    <s v="2021-07-21"/>
    <x v="0"/>
    <x v="0"/>
    <n v="29"/>
    <x v="13"/>
    <n v="1.79"/>
    <n v="23.69"/>
    <s v="07707650"/>
  </r>
  <r>
    <x v="133"/>
    <s v="2021-07-21"/>
    <x v="0"/>
    <x v="0"/>
    <n v="28"/>
    <x v="11"/>
    <n v="1.71"/>
    <n v="22.63"/>
    <s v="03634220"/>
  </r>
  <r>
    <x v="133"/>
    <s v="2021-07-21"/>
    <x v="0"/>
    <x v="0"/>
    <n v="27"/>
    <x v="15"/>
    <n v="1.71"/>
    <n v="22.52"/>
    <s v="59588111"/>
  </r>
  <r>
    <x v="133"/>
    <s v="2021-07-21"/>
    <x v="0"/>
    <x v="0"/>
    <n v="26"/>
    <x v="20"/>
    <n v="1.67"/>
    <n v="21.93"/>
    <s v="17192451"/>
  </r>
  <r>
    <x v="133"/>
    <s v="2021-07-21"/>
    <x v="0"/>
    <x v="0"/>
    <n v="25"/>
    <x v="24"/>
    <n v="1.66"/>
    <n v="21.81"/>
    <s v="22639377"/>
  </r>
  <r>
    <x v="133"/>
    <s v="2021-07-21"/>
    <x v="0"/>
    <x v="0"/>
    <n v="24"/>
    <x v="16"/>
    <n v="1.62"/>
    <n v="21.21"/>
    <s v="07207996"/>
  </r>
  <r>
    <x v="133"/>
    <s v="2021-07-21"/>
    <x v="0"/>
    <x v="0"/>
    <n v="23"/>
    <x v="21"/>
    <n v="1.5"/>
    <n v="19.600000000000001"/>
    <s v="03017677"/>
  </r>
  <r>
    <x v="133"/>
    <s v="2021-07-21"/>
    <x v="0"/>
    <x v="0"/>
    <n v="22"/>
    <x v="18"/>
    <n v="1.48"/>
    <n v="19.3"/>
    <s v="28127603"/>
  </r>
  <r>
    <x v="133"/>
    <s v="2021-07-21"/>
    <x v="0"/>
    <x v="0"/>
    <n v="21"/>
    <x v="30"/>
    <n v="1.45"/>
    <n v="18.79"/>
    <s v="03502961"/>
  </r>
  <r>
    <x v="133"/>
    <s v="2021-07-21"/>
    <x v="0"/>
    <x v="0"/>
    <n v="20"/>
    <x v="14"/>
    <n v="1.44"/>
    <n v="18.739999999999998"/>
    <s v="00360305"/>
  </r>
  <r>
    <x v="133"/>
    <s v="2021-07-21"/>
    <x v="0"/>
    <x v="0"/>
    <n v="19"/>
    <x v="32"/>
    <n v="1.43"/>
    <n v="18.63"/>
    <s v="60701190"/>
  </r>
  <r>
    <x v="133"/>
    <s v="2021-07-21"/>
    <x v="0"/>
    <x v="0"/>
    <n v="18"/>
    <x v="26"/>
    <n v="1.42"/>
    <n v="18.420000000000002"/>
    <s v="30172491"/>
  </r>
  <r>
    <x v="133"/>
    <s v="2021-07-21"/>
    <x v="0"/>
    <x v="0"/>
    <n v="17"/>
    <x v="29"/>
    <n v="1.41"/>
    <n v="18.350000000000001"/>
    <s v="60746948"/>
  </r>
  <r>
    <x v="133"/>
    <s v="2021-07-21"/>
    <x v="0"/>
    <x v="0"/>
    <n v="16"/>
    <x v="28"/>
    <n v="1.41"/>
    <n v="18.260000000000002"/>
    <s v="90400888"/>
  </r>
  <r>
    <x v="133"/>
    <s v="2021-07-21"/>
    <x v="0"/>
    <x v="0"/>
    <n v="15"/>
    <x v="25"/>
    <n v="1.37"/>
    <n v="17.8"/>
    <s v="59274605"/>
  </r>
  <r>
    <x v="133"/>
    <s v="2021-07-21"/>
    <x v="0"/>
    <x v="0"/>
    <n v="14"/>
    <x v="23"/>
    <n v="1.31"/>
    <n v="16.920000000000002"/>
    <s v="03215790"/>
  </r>
  <r>
    <x v="133"/>
    <s v="2021-07-21"/>
    <x v="0"/>
    <x v="0"/>
    <n v="13"/>
    <x v="36"/>
    <n v="1.27"/>
    <n v="16.350000000000001"/>
    <s v="33136888"/>
  </r>
  <r>
    <x v="133"/>
    <s v="2021-07-21"/>
    <x v="0"/>
    <x v="0"/>
    <n v="12"/>
    <x v="33"/>
    <n v="1.25"/>
    <n v="16.14"/>
    <s v="62307848"/>
  </r>
  <r>
    <x v="133"/>
    <s v="2021-07-21"/>
    <x v="0"/>
    <x v="0"/>
    <n v="11"/>
    <x v="31"/>
    <n v="1.24"/>
    <n v="15.87"/>
    <s v="17167412"/>
  </r>
  <r>
    <x v="133"/>
    <s v="2021-07-21"/>
    <x v="0"/>
    <x v="0"/>
    <n v="10"/>
    <x v="27"/>
    <n v="1.23"/>
    <n v="15.73"/>
    <s v="00000000"/>
  </r>
  <r>
    <x v="133"/>
    <s v="2021-07-21"/>
    <x v="0"/>
    <x v="0"/>
    <n v="9"/>
    <x v="37"/>
    <n v="1.17"/>
    <n v="14.99"/>
    <s v="04452473"/>
  </r>
  <r>
    <x v="133"/>
    <s v="2021-07-21"/>
    <x v="0"/>
    <x v="0"/>
    <n v="8"/>
    <x v="34"/>
    <n v="1.1399999999999999"/>
    <n v="14.63"/>
    <s v="33603457"/>
  </r>
  <r>
    <x v="133"/>
    <s v="2021-07-21"/>
    <x v="0"/>
    <x v="0"/>
    <n v="7"/>
    <x v="39"/>
    <n v="1.1100000000000001"/>
    <n v="14.2"/>
    <s v="04902979"/>
  </r>
  <r>
    <x v="133"/>
    <s v="2021-07-21"/>
    <x v="0"/>
    <x v="0"/>
    <n v="6"/>
    <x v="47"/>
    <n v="1.07"/>
    <n v="13.58"/>
    <s v="28517628"/>
  </r>
  <r>
    <x v="133"/>
    <s v="2021-07-21"/>
    <x v="0"/>
    <x v="0"/>
    <n v="5"/>
    <x v="44"/>
    <n v="1.06"/>
    <n v="13.51"/>
    <s v="58017179"/>
  </r>
  <r>
    <x v="133"/>
    <s v="2021-07-21"/>
    <x v="0"/>
    <x v="0"/>
    <n v="4"/>
    <x v="35"/>
    <n v="1.04"/>
    <n v="13.17"/>
    <s v="59109165"/>
  </r>
  <r>
    <x v="133"/>
    <s v="2021-07-21"/>
    <x v="0"/>
    <x v="0"/>
    <n v="3"/>
    <x v="40"/>
    <n v="1"/>
    <n v="12.72"/>
    <s v="02992446"/>
  </r>
  <r>
    <x v="133"/>
    <s v="2021-07-21"/>
    <x v="0"/>
    <x v="0"/>
    <n v="2"/>
    <x v="22"/>
    <n v="0.99"/>
    <n v="12.58"/>
    <s v="11417016"/>
  </r>
  <r>
    <x v="133"/>
    <s v="2021-07-21"/>
    <x v="0"/>
    <x v="0"/>
    <n v="1"/>
    <x v="38"/>
    <n v="0.95"/>
    <n v="12.04"/>
    <s v="60814191"/>
  </r>
  <r>
    <x v="134"/>
    <s v="2021-07-22"/>
    <x v="0"/>
    <x v="0"/>
    <n v="44"/>
    <x v="3"/>
    <n v="3.22"/>
    <n v="46.26"/>
    <s v="05503849"/>
  </r>
  <r>
    <x v="134"/>
    <s v="2021-07-22"/>
    <x v="0"/>
    <x v="0"/>
    <n v="43"/>
    <x v="2"/>
    <n v="3.2"/>
    <n v="45.86"/>
    <s v="92228410"/>
  </r>
  <r>
    <x v="134"/>
    <s v="2021-07-22"/>
    <x v="0"/>
    <x v="0"/>
    <n v="42"/>
    <x v="0"/>
    <n v="3.12"/>
    <n v="44.51"/>
    <s v="60850229"/>
  </r>
  <r>
    <x v="134"/>
    <s v="2021-07-22"/>
    <x v="0"/>
    <x v="0"/>
    <n v="41"/>
    <x v="1"/>
    <n v="2.79"/>
    <n v="39.15"/>
    <s v="01800019"/>
  </r>
  <r>
    <x v="134"/>
    <s v="2021-07-22"/>
    <x v="0"/>
    <x v="0"/>
    <n v="40"/>
    <x v="7"/>
    <n v="2.73"/>
    <n v="38.17"/>
    <s v="92874270"/>
  </r>
  <r>
    <x v="134"/>
    <s v="2021-07-22"/>
    <x v="0"/>
    <x v="0"/>
    <n v="39"/>
    <x v="4"/>
    <n v="2.67"/>
    <n v="37.119999999999997"/>
    <s v="62232889"/>
  </r>
  <r>
    <x v="134"/>
    <s v="2021-07-22"/>
    <x v="0"/>
    <x v="0"/>
    <n v="38"/>
    <x v="6"/>
    <n v="2.42"/>
    <n v="33.229999999999997"/>
    <s v="05676026"/>
  </r>
  <r>
    <x v="134"/>
    <s v="2021-07-22"/>
    <x v="0"/>
    <x v="0"/>
    <n v="37"/>
    <x v="9"/>
    <n v="2.3199999999999998"/>
    <n v="31.69"/>
    <s v="00411939"/>
  </r>
  <r>
    <x v="134"/>
    <s v="2021-07-22"/>
    <x v="0"/>
    <x v="0"/>
    <n v="36"/>
    <x v="8"/>
    <n v="2.27"/>
    <n v="30.94"/>
    <s v="59285411"/>
  </r>
  <r>
    <x v="134"/>
    <s v="2021-07-22"/>
    <x v="0"/>
    <x v="0"/>
    <n v="35"/>
    <x v="5"/>
    <n v="2.25"/>
    <n v="30.57"/>
    <s v="80271455"/>
  </r>
  <r>
    <x v="134"/>
    <s v="2021-07-22"/>
    <x v="0"/>
    <x v="0"/>
    <n v="34"/>
    <x v="49"/>
    <n v="2.2400000000000002"/>
    <n v="30.38"/>
    <s v="58160789"/>
  </r>
  <r>
    <x v="134"/>
    <s v="2021-07-22"/>
    <x v="0"/>
    <x v="0"/>
    <n v="33"/>
    <x v="42"/>
    <n v="2.2000000000000002"/>
    <n v="29.81"/>
    <s v="34991938"/>
  </r>
  <r>
    <x v="134"/>
    <s v="2021-07-22"/>
    <x v="0"/>
    <x v="0"/>
    <n v="32"/>
    <x v="10"/>
    <n v="2.14"/>
    <n v="29"/>
    <s v="10371492"/>
  </r>
  <r>
    <x v="134"/>
    <s v="2021-07-22"/>
    <x v="0"/>
    <x v="0"/>
    <n v="31"/>
    <x v="41"/>
    <n v="1.87"/>
    <n v="24.88"/>
    <s v="20443996"/>
  </r>
  <r>
    <x v="134"/>
    <s v="2021-07-22"/>
    <x v="0"/>
    <x v="0"/>
    <n v="30"/>
    <x v="12"/>
    <n v="1.85"/>
    <n v="24.64"/>
    <s v="04862600"/>
  </r>
  <r>
    <x v="134"/>
    <s v="2021-07-22"/>
    <x v="0"/>
    <x v="0"/>
    <n v="29"/>
    <x v="13"/>
    <n v="1.79"/>
    <n v="23.65"/>
    <s v="07707650"/>
  </r>
  <r>
    <x v="134"/>
    <s v="2021-07-22"/>
    <x v="0"/>
    <x v="0"/>
    <n v="28"/>
    <x v="24"/>
    <n v="1.78"/>
    <n v="23.64"/>
    <s v="22639377"/>
  </r>
  <r>
    <x v="134"/>
    <s v="2021-07-22"/>
    <x v="0"/>
    <x v="0"/>
    <n v="27"/>
    <x v="15"/>
    <n v="1.71"/>
    <n v="22.51"/>
    <s v="59588111"/>
  </r>
  <r>
    <x v="134"/>
    <s v="2021-07-22"/>
    <x v="0"/>
    <x v="0"/>
    <n v="26"/>
    <x v="11"/>
    <n v="1.67"/>
    <n v="22"/>
    <s v="03634220"/>
  </r>
  <r>
    <x v="134"/>
    <s v="2021-07-22"/>
    <x v="0"/>
    <x v="0"/>
    <n v="25"/>
    <x v="20"/>
    <n v="1.67"/>
    <n v="21.99"/>
    <s v="17192451"/>
  </r>
  <r>
    <x v="134"/>
    <s v="2021-07-22"/>
    <x v="0"/>
    <x v="0"/>
    <n v="24"/>
    <x v="16"/>
    <n v="1.61"/>
    <n v="21.09"/>
    <s v="07207996"/>
  </r>
  <r>
    <x v="134"/>
    <s v="2021-07-22"/>
    <x v="0"/>
    <x v="0"/>
    <n v="23"/>
    <x v="21"/>
    <n v="1.5"/>
    <n v="19.579999999999998"/>
    <s v="03017677"/>
  </r>
  <r>
    <x v="134"/>
    <s v="2021-07-22"/>
    <x v="0"/>
    <x v="0"/>
    <n v="22"/>
    <x v="28"/>
    <n v="1.43"/>
    <n v="18.61"/>
    <s v="90400888"/>
  </r>
  <r>
    <x v="134"/>
    <s v="2021-07-22"/>
    <x v="0"/>
    <x v="0"/>
    <n v="21"/>
    <x v="32"/>
    <n v="1.43"/>
    <n v="18.559999999999999"/>
    <s v="60701190"/>
  </r>
  <r>
    <x v="134"/>
    <s v="2021-07-22"/>
    <x v="0"/>
    <x v="0"/>
    <n v="20"/>
    <x v="18"/>
    <n v="1.43"/>
    <n v="18.54"/>
    <s v="28127603"/>
  </r>
  <r>
    <x v="134"/>
    <s v="2021-07-22"/>
    <x v="0"/>
    <x v="0"/>
    <n v="19"/>
    <x v="30"/>
    <n v="1.43"/>
    <n v="18.52"/>
    <s v="03502961"/>
  </r>
  <r>
    <x v="134"/>
    <s v="2021-07-22"/>
    <x v="0"/>
    <x v="0"/>
    <n v="18"/>
    <x v="26"/>
    <n v="1.42"/>
    <n v="18.39"/>
    <s v="30172491"/>
  </r>
  <r>
    <x v="134"/>
    <s v="2021-07-22"/>
    <x v="0"/>
    <x v="0"/>
    <n v="17"/>
    <x v="29"/>
    <n v="1.4"/>
    <n v="18.14"/>
    <s v="60746948"/>
  </r>
  <r>
    <x v="134"/>
    <s v="2021-07-22"/>
    <x v="0"/>
    <x v="0"/>
    <n v="16"/>
    <x v="25"/>
    <n v="1.36"/>
    <n v="17.61"/>
    <s v="59274605"/>
  </r>
  <r>
    <x v="134"/>
    <s v="2021-07-22"/>
    <x v="0"/>
    <x v="0"/>
    <n v="15"/>
    <x v="14"/>
    <n v="1.31"/>
    <n v="16.899999999999999"/>
    <s v="00360305"/>
  </r>
  <r>
    <x v="134"/>
    <s v="2021-07-22"/>
    <x v="0"/>
    <x v="0"/>
    <n v="14"/>
    <x v="23"/>
    <n v="1.31"/>
    <n v="16.829999999999998"/>
    <s v="03215790"/>
  </r>
  <r>
    <x v="134"/>
    <s v="2021-07-22"/>
    <x v="0"/>
    <x v="0"/>
    <n v="13"/>
    <x v="36"/>
    <n v="1.27"/>
    <n v="16.350000000000001"/>
    <s v="33136888"/>
  </r>
  <r>
    <x v="134"/>
    <s v="2021-07-22"/>
    <x v="0"/>
    <x v="0"/>
    <n v="12"/>
    <x v="33"/>
    <n v="1.26"/>
    <n v="16.21"/>
    <s v="62307848"/>
  </r>
  <r>
    <x v="134"/>
    <s v="2021-07-22"/>
    <x v="0"/>
    <x v="0"/>
    <n v="11"/>
    <x v="31"/>
    <n v="1.25"/>
    <n v="16.059999999999999"/>
    <s v="17167412"/>
  </r>
  <r>
    <x v="134"/>
    <s v="2021-07-22"/>
    <x v="0"/>
    <x v="0"/>
    <n v="10"/>
    <x v="27"/>
    <n v="1.23"/>
    <n v="15.8"/>
    <s v="00000000"/>
  </r>
  <r>
    <x v="134"/>
    <s v="2021-07-22"/>
    <x v="0"/>
    <x v="0"/>
    <n v="9"/>
    <x v="34"/>
    <n v="1.18"/>
    <n v="15.09"/>
    <s v="33603457"/>
  </r>
  <r>
    <x v="134"/>
    <s v="2021-07-22"/>
    <x v="0"/>
    <x v="0"/>
    <n v="8"/>
    <x v="37"/>
    <n v="1.17"/>
    <n v="14.99"/>
    <s v="04452473"/>
  </r>
  <r>
    <x v="134"/>
    <s v="2021-07-22"/>
    <x v="0"/>
    <x v="0"/>
    <n v="7"/>
    <x v="39"/>
    <n v="1.1100000000000001"/>
    <n v="14.2"/>
    <s v="04902979"/>
  </r>
  <r>
    <x v="134"/>
    <s v="2021-07-22"/>
    <x v="0"/>
    <x v="0"/>
    <n v="6"/>
    <x v="44"/>
    <n v="1.0900000000000001"/>
    <n v="13.88"/>
    <s v="58017179"/>
  </r>
  <r>
    <x v="134"/>
    <s v="2021-07-22"/>
    <x v="0"/>
    <x v="0"/>
    <n v="5"/>
    <x v="47"/>
    <n v="1.07"/>
    <n v="13.58"/>
    <s v="28517628"/>
  </r>
  <r>
    <x v="134"/>
    <s v="2021-07-22"/>
    <x v="0"/>
    <x v="0"/>
    <n v="4"/>
    <x v="35"/>
    <n v="1.04"/>
    <n v="13.27"/>
    <s v="59109165"/>
  </r>
  <r>
    <x v="134"/>
    <s v="2021-07-22"/>
    <x v="0"/>
    <x v="0"/>
    <n v="3"/>
    <x v="40"/>
    <n v="1"/>
    <n v="12.72"/>
    <s v="02992446"/>
  </r>
  <r>
    <x v="134"/>
    <s v="2021-07-22"/>
    <x v="0"/>
    <x v="0"/>
    <n v="2"/>
    <x v="22"/>
    <n v="0.97"/>
    <n v="12.26"/>
    <s v="11417016"/>
  </r>
  <r>
    <x v="134"/>
    <s v="2021-07-22"/>
    <x v="0"/>
    <x v="0"/>
    <n v="1"/>
    <x v="38"/>
    <n v="0.9"/>
    <n v="11.33"/>
    <s v="60814191"/>
  </r>
  <r>
    <x v="135"/>
    <s v="2021-07-23"/>
    <x v="0"/>
    <x v="0"/>
    <n v="43"/>
    <x v="3"/>
    <n v="3.3"/>
    <n v="47.71"/>
    <s v="05503849"/>
  </r>
  <r>
    <x v="135"/>
    <s v="2021-07-23"/>
    <x v="0"/>
    <x v="0"/>
    <n v="42"/>
    <x v="0"/>
    <n v="3.25"/>
    <n v="46.72"/>
    <s v="60850229"/>
  </r>
  <r>
    <x v="135"/>
    <s v="2021-07-23"/>
    <x v="0"/>
    <x v="0"/>
    <n v="41"/>
    <x v="2"/>
    <n v="3.17"/>
    <n v="45.37"/>
    <s v="92228410"/>
  </r>
  <r>
    <x v="135"/>
    <s v="2021-07-23"/>
    <x v="0"/>
    <x v="0"/>
    <n v="40"/>
    <x v="1"/>
    <n v="2.84"/>
    <n v="39.92"/>
    <s v="01800019"/>
  </r>
  <r>
    <x v="135"/>
    <s v="2021-07-23"/>
    <x v="0"/>
    <x v="0"/>
    <n v="39"/>
    <x v="7"/>
    <n v="2.74"/>
    <n v="38.39"/>
    <s v="92874270"/>
  </r>
  <r>
    <x v="135"/>
    <s v="2021-07-23"/>
    <x v="0"/>
    <x v="0"/>
    <n v="38"/>
    <x v="4"/>
    <n v="2.68"/>
    <n v="37.270000000000003"/>
    <s v="62232889"/>
  </r>
  <r>
    <x v="135"/>
    <s v="2021-07-23"/>
    <x v="0"/>
    <x v="0"/>
    <n v="37"/>
    <x v="6"/>
    <n v="2.42"/>
    <n v="33.18"/>
    <s v="05676026"/>
  </r>
  <r>
    <x v="135"/>
    <s v="2021-07-23"/>
    <x v="0"/>
    <x v="0"/>
    <n v="36"/>
    <x v="9"/>
    <n v="2.34"/>
    <n v="31.91"/>
    <s v="00411939"/>
  </r>
  <r>
    <x v="135"/>
    <s v="2021-07-23"/>
    <x v="0"/>
    <x v="0"/>
    <n v="35"/>
    <x v="42"/>
    <n v="2.27"/>
    <n v="30.93"/>
    <s v="34991938"/>
  </r>
  <r>
    <x v="135"/>
    <s v="2021-07-23"/>
    <x v="0"/>
    <x v="0"/>
    <n v="34"/>
    <x v="8"/>
    <n v="2.27"/>
    <n v="30.85"/>
    <s v="59285411"/>
  </r>
  <r>
    <x v="135"/>
    <s v="2021-07-23"/>
    <x v="0"/>
    <x v="0"/>
    <n v="33"/>
    <x v="5"/>
    <n v="2.25"/>
    <n v="30.55"/>
    <s v="80271455"/>
  </r>
  <r>
    <x v="135"/>
    <s v="2021-07-23"/>
    <x v="0"/>
    <x v="0"/>
    <n v="32"/>
    <x v="49"/>
    <n v="2.2400000000000002"/>
    <n v="30.38"/>
    <s v="58160789"/>
  </r>
  <r>
    <x v="135"/>
    <s v="2021-07-23"/>
    <x v="0"/>
    <x v="0"/>
    <n v="31"/>
    <x v="10"/>
    <n v="2.15"/>
    <n v="29.07"/>
    <s v="10371492"/>
  </r>
  <r>
    <x v="135"/>
    <s v="2021-07-23"/>
    <x v="0"/>
    <x v="0"/>
    <n v="30"/>
    <x v="41"/>
    <n v="1.87"/>
    <n v="24.88"/>
    <s v="20443996"/>
  </r>
  <r>
    <x v="135"/>
    <s v="2021-07-23"/>
    <x v="0"/>
    <x v="0"/>
    <n v="29"/>
    <x v="12"/>
    <n v="1.85"/>
    <n v="24.61"/>
    <s v="04862600"/>
  </r>
  <r>
    <x v="135"/>
    <s v="2021-07-23"/>
    <x v="0"/>
    <x v="0"/>
    <n v="28"/>
    <x v="24"/>
    <n v="1.79"/>
    <n v="23.74"/>
    <s v="22639377"/>
  </r>
  <r>
    <x v="135"/>
    <s v="2021-07-23"/>
    <x v="0"/>
    <x v="0"/>
    <n v="27"/>
    <x v="13"/>
    <n v="1.78"/>
    <n v="23.62"/>
    <s v="07707650"/>
  </r>
  <r>
    <x v="135"/>
    <s v="2021-07-23"/>
    <x v="0"/>
    <x v="0"/>
    <n v="26"/>
    <x v="15"/>
    <n v="1.71"/>
    <n v="22.49"/>
    <s v="59588111"/>
  </r>
  <r>
    <x v="135"/>
    <s v="2021-07-23"/>
    <x v="0"/>
    <x v="0"/>
    <n v="25"/>
    <x v="20"/>
    <n v="1.67"/>
    <n v="22"/>
    <s v="17192451"/>
  </r>
  <r>
    <x v="135"/>
    <s v="2021-07-23"/>
    <x v="0"/>
    <x v="0"/>
    <n v="24"/>
    <x v="11"/>
    <n v="1.66"/>
    <n v="21.89"/>
    <s v="03634220"/>
  </r>
  <r>
    <x v="135"/>
    <s v="2021-07-23"/>
    <x v="0"/>
    <x v="0"/>
    <n v="23"/>
    <x v="16"/>
    <n v="1.6"/>
    <n v="20.92"/>
    <s v="07207996"/>
  </r>
  <r>
    <x v="135"/>
    <s v="2021-07-23"/>
    <x v="0"/>
    <x v="0"/>
    <n v="22"/>
    <x v="21"/>
    <n v="1.5"/>
    <n v="19.63"/>
    <s v="03017677"/>
  </r>
  <r>
    <x v="135"/>
    <s v="2021-07-23"/>
    <x v="0"/>
    <x v="0"/>
    <n v="21"/>
    <x v="28"/>
    <n v="1.44"/>
    <n v="18.68"/>
    <s v="90400888"/>
  </r>
  <r>
    <x v="135"/>
    <s v="2021-07-23"/>
    <x v="0"/>
    <x v="0"/>
    <n v="20"/>
    <x v="32"/>
    <n v="1.44"/>
    <n v="18.66"/>
    <s v="60701190"/>
  </r>
  <r>
    <x v="135"/>
    <s v="2021-07-23"/>
    <x v="0"/>
    <x v="0"/>
    <n v="19"/>
    <x v="30"/>
    <n v="1.43"/>
    <n v="18.57"/>
    <s v="03502961"/>
  </r>
  <r>
    <x v="135"/>
    <s v="2021-07-23"/>
    <x v="0"/>
    <x v="0"/>
    <n v="18"/>
    <x v="26"/>
    <n v="1.41"/>
    <n v="18.23"/>
    <s v="30172491"/>
  </r>
  <r>
    <x v="135"/>
    <s v="2021-07-23"/>
    <x v="0"/>
    <x v="0"/>
    <n v="17"/>
    <x v="18"/>
    <n v="1.4"/>
    <n v="18.13"/>
    <s v="28127603"/>
  </r>
  <r>
    <x v="135"/>
    <s v="2021-07-23"/>
    <x v="0"/>
    <x v="0"/>
    <n v="16"/>
    <x v="29"/>
    <n v="1.4"/>
    <n v="18.13"/>
    <s v="60746948"/>
  </r>
  <r>
    <x v="135"/>
    <s v="2021-07-23"/>
    <x v="0"/>
    <x v="0"/>
    <n v="15"/>
    <x v="14"/>
    <n v="1.37"/>
    <n v="17.72"/>
    <s v="00360305"/>
  </r>
  <r>
    <x v="135"/>
    <s v="2021-07-23"/>
    <x v="0"/>
    <x v="0"/>
    <n v="14"/>
    <x v="25"/>
    <n v="1.35"/>
    <n v="17.510000000000002"/>
    <s v="59274605"/>
  </r>
  <r>
    <x v="135"/>
    <s v="2021-07-23"/>
    <x v="0"/>
    <x v="0"/>
    <n v="13"/>
    <x v="23"/>
    <n v="1.3"/>
    <n v="16.8"/>
    <s v="03215790"/>
  </r>
  <r>
    <x v="135"/>
    <s v="2021-07-23"/>
    <x v="0"/>
    <x v="0"/>
    <n v="12"/>
    <x v="33"/>
    <n v="1.27"/>
    <n v="16.39"/>
    <s v="62307848"/>
  </r>
  <r>
    <x v="135"/>
    <s v="2021-07-23"/>
    <x v="0"/>
    <x v="0"/>
    <n v="11"/>
    <x v="36"/>
    <n v="1.26"/>
    <n v="16.149999999999999"/>
    <s v="33136888"/>
  </r>
  <r>
    <x v="135"/>
    <s v="2021-07-23"/>
    <x v="0"/>
    <x v="0"/>
    <n v="10"/>
    <x v="31"/>
    <n v="1.24"/>
    <n v="15.98"/>
    <s v="17167412"/>
  </r>
  <r>
    <x v="135"/>
    <s v="2021-07-23"/>
    <x v="0"/>
    <x v="0"/>
    <n v="9"/>
    <x v="27"/>
    <n v="1.23"/>
    <n v="15.83"/>
    <s v="00000000"/>
  </r>
  <r>
    <x v="135"/>
    <s v="2021-07-23"/>
    <x v="0"/>
    <x v="0"/>
    <n v="8"/>
    <x v="34"/>
    <n v="1.21"/>
    <n v="15.58"/>
    <s v="33603457"/>
  </r>
  <r>
    <x v="135"/>
    <s v="2021-07-23"/>
    <x v="0"/>
    <x v="0"/>
    <n v="7"/>
    <x v="37"/>
    <n v="1.17"/>
    <n v="14.98"/>
    <s v="04452473"/>
  </r>
  <r>
    <x v="135"/>
    <s v="2021-07-23"/>
    <x v="0"/>
    <x v="0"/>
    <n v="6"/>
    <x v="44"/>
    <n v="1.0900000000000001"/>
    <n v="13.88"/>
    <s v="58017179"/>
  </r>
  <r>
    <x v="135"/>
    <s v="2021-07-23"/>
    <x v="0"/>
    <x v="0"/>
    <n v="5"/>
    <x v="39"/>
    <n v="1.08"/>
    <n v="13.8"/>
    <s v="04902979"/>
  </r>
  <r>
    <x v="135"/>
    <s v="2021-07-23"/>
    <x v="0"/>
    <x v="0"/>
    <n v="4"/>
    <x v="47"/>
    <n v="1.05"/>
    <n v="13.41"/>
    <s v="28517628"/>
  </r>
  <r>
    <x v="135"/>
    <s v="2021-07-23"/>
    <x v="0"/>
    <x v="0"/>
    <n v="3"/>
    <x v="40"/>
    <n v="1.02"/>
    <n v="12.94"/>
    <s v="02992446"/>
  </r>
  <r>
    <x v="135"/>
    <s v="2021-07-23"/>
    <x v="0"/>
    <x v="0"/>
    <n v="2"/>
    <x v="35"/>
    <n v="1.01"/>
    <n v="12.82"/>
    <s v="59109165"/>
  </r>
  <r>
    <x v="135"/>
    <s v="2021-07-23"/>
    <x v="0"/>
    <x v="0"/>
    <n v="1"/>
    <x v="38"/>
    <n v="0.91"/>
    <n v="11.52"/>
    <s v="60814191"/>
  </r>
  <r>
    <x v="136"/>
    <s v="2021-07-26"/>
    <x v="0"/>
    <x v="0"/>
    <n v="43"/>
    <x v="0"/>
    <n v="3.28"/>
    <n v="47.26"/>
    <s v="60850229"/>
  </r>
  <r>
    <x v="136"/>
    <s v="2021-07-26"/>
    <x v="0"/>
    <x v="0"/>
    <n v="42"/>
    <x v="3"/>
    <n v="3.24"/>
    <n v="46.68"/>
    <s v="05503849"/>
  </r>
  <r>
    <x v="136"/>
    <s v="2021-07-26"/>
    <x v="0"/>
    <x v="0"/>
    <n v="41"/>
    <x v="2"/>
    <n v="3.17"/>
    <n v="45.41"/>
    <s v="92228410"/>
  </r>
  <r>
    <x v="136"/>
    <s v="2021-07-26"/>
    <x v="0"/>
    <x v="0"/>
    <n v="40"/>
    <x v="1"/>
    <n v="2.82"/>
    <n v="39.53"/>
    <s v="01800019"/>
  </r>
  <r>
    <x v="136"/>
    <s v="2021-07-26"/>
    <x v="0"/>
    <x v="0"/>
    <n v="39"/>
    <x v="7"/>
    <n v="2.74"/>
    <n v="38.380000000000003"/>
    <s v="92874270"/>
  </r>
  <r>
    <x v="136"/>
    <s v="2021-07-26"/>
    <x v="0"/>
    <x v="0"/>
    <n v="38"/>
    <x v="4"/>
    <n v="2.66"/>
    <n v="37.08"/>
    <s v="62232889"/>
  </r>
  <r>
    <x v="136"/>
    <s v="2021-07-26"/>
    <x v="0"/>
    <x v="0"/>
    <n v="37"/>
    <x v="6"/>
    <n v="2.42"/>
    <n v="33.200000000000003"/>
    <s v="05676026"/>
  </r>
  <r>
    <x v="136"/>
    <s v="2021-07-26"/>
    <x v="0"/>
    <x v="0"/>
    <n v="36"/>
    <x v="9"/>
    <n v="2.36"/>
    <n v="32.25"/>
    <s v="00411939"/>
  </r>
  <r>
    <x v="136"/>
    <s v="2021-07-26"/>
    <x v="0"/>
    <x v="0"/>
    <n v="35"/>
    <x v="8"/>
    <n v="2.27"/>
    <n v="30.87"/>
    <s v="59285411"/>
  </r>
  <r>
    <x v="136"/>
    <s v="2021-07-26"/>
    <x v="0"/>
    <x v="0"/>
    <n v="34"/>
    <x v="5"/>
    <n v="2.2599999999999998"/>
    <n v="30.74"/>
    <s v="80271455"/>
  </r>
  <r>
    <x v="136"/>
    <s v="2021-07-26"/>
    <x v="0"/>
    <x v="0"/>
    <n v="33"/>
    <x v="42"/>
    <n v="2.2400000000000002"/>
    <n v="30.42"/>
    <s v="34991938"/>
  </r>
  <r>
    <x v="136"/>
    <s v="2021-07-26"/>
    <x v="0"/>
    <x v="0"/>
    <n v="32"/>
    <x v="49"/>
    <n v="2.2400000000000002"/>
    <n v="30.38"/>
    <s v="58160789"/>
  </r>
  <r>
    <x v="136"/>
    <s v="2021-07-26"/>
    <x v="0"/>
    <x v="0"/>
    <n v="31"/>
    <x v="10"/>
    <n v="2.15"/>
    <n v="29.12"/>
    <s v="10371492"/>
  </r>
  <r>
    <x v="136"/>
    <s v="2021-07-26"/>
    <x v="0"/>
    <x v="0"/>
    <n v="30"/>
    <x v="41"/>
    <n v="1.87"/>
    <n v="24.88"/>
    <s v="20443996"/>
  </r>
  <r>
    <x v="136"/>
    <s v="2021-07-26"/>
    <x v="0"/>
    <x v="0"/>
    <n v="29"/>
    <x v="12"/>
    <n v="1.85"/>
    <n v="24.58"/>
    <s v="04862600"/>
  </r>
  <r>
    <x v="136"/>
    <s v="2021-07-26"/>
    <x v="0"/>
    <x v="0"/>
    <n v="28"/>
    <x v="13"/>
    <n v="1.79"/>
    <n v="23.66"/>
    <s v="07707650"/>
  </r>
  <r>
    <x v="136"/>
    <s v="2021-07-26"/>
    <x v="0"/>
    <x v="0"/>
    <n v="27"/>
    <x v="24"/>
    <n v="1.78"/>
    <n v="23.58"/>
    <s v="22639377"/>
  </r>
  <r>
    <x v="136"/>
    <s v="2021-07-26"/>
    <x v="0"/>
    <x v="0"/>
    <n v="26"/>
    <x v="15"/>
    <n v="1.71"/>
    <n v="22.51"/>
    <s v="59588111"/>
  </r>
  <r>
    <x v="136"/>
    <s v="2021-07-26"/>
    <x v="0"/>
    <x v="0"/>
    <n v="25"/>
    <x v="11"/>
    <n v="1.67"/>
    <n v="22.04"/>
    <s v="03634220"/>
  </r>
  <r>
    <x v="136"/>
    <s v="2021-07-26"/>
    <x v="0"/>
    <x v="0"/>
    <n v="24"/>
    <x v="20"/>
    <n v="1.67"/>
    <n v="21.97"/>
    <s v="17192451"/>
  </r>
  <r>
    <x v="136"/>
    <s v="2021-07-26"/>
    <x v="0"/>
    <x v="0"/>
    <n v="23"/>
    <x v="16"/>
    <n v="1.59"/>
    <n v="20.9"/>
    <s v="07207996"/>
  </r>
  <r>
    <x v="136"/>
    <s v="2021-07-26"/>
    <x v="0"/>
    <x v="0"/>
    <n v="22"/>
    <x v="21"/>
    <n v="1.5"/>
    <n v="19.59"/>
    <s v="03017677"/>
  </r>
  <r>
    <x v="136"/>
    <s v="2021-07-26"/>
    <x v="0"/>
    <x v="0"/>
    <n v="21"/>
    <x v="28"/>
    <n v="1.45"/>
    <n v="18.809999999999999"/>
    <s v="90400888"/>
  </r>
  <r>
    <x v="136"/>
    <s v="2021-07-26"/>
    <x v="0"/>
    <x v="0"/>
    <n v="20"/>
    <x v="32"/>
    <n v="1.44"/>
    <n v="18.690000000000001"/>
    <s v="60701190"/>
  </r>
  <r>
    <x v="136"/>
    <s v="2021-07-26"/>
    <x v="0"/>
    <x v="0"/>
    <n v="19"/>
    <x v="18"/>
    <n v="1.43"/>
    <n v="18.55"/>
    <s v="28127603"/>
  </r>
  <r>
    <x v="136"/>
    <s v="2021-07-26"/>
    <x v="0"/>
    <x v="0"/>
    <n v="18"/>
    <x v="30"/>
    <n v="1.42"/>
    <n v="18.5"/>
    <s v="03502961"/>
  </r>
  <r>
    <x v="136"/>
    <s v="2021-07-26"/>
    <x v="0"/>
    <x v="0"/>
    <n v="17"/>
    <x v="26"/>
    <n v="1.4"/>
    <n v="18.16"/>
    <s v="30172491"/>
  </r>
  <r>
    <x v="136"/>
    <s v="2021-07-26"/>
    <x v="0"/>
    <x v="0"/>
    <n v="16"/>
    <x v="29"/>
    <n v="1.39"/>
    <n v="17.989999999999998"/>
    <s v="60746948"/>
  </r>
  <r>
    <x v="136"/>
    <s v="2021-07-26"/>
    <x v="0"/>
    <x v="0"/>
    <n v="15"/>
    <x v="14"/>
    <n v="1.37"/>
    <n v="17.72"/>
    <s v="00360305"/>
  </r>
  <r>
    <x v="136"/>
    <s v="2021-07-26"/>
    <x v="0"/>
    <x v="0"/>
    <n v="14"/>
    <x v="25"/>
    <n v="1.33"/>
    <n v="17.16"/>
    <s v="59274605"/>
  </r>
  <r>
    <x v="136"/>
    <s v="2021-07-26"/>
    <x v="0"/>
    <x v="0"/>
    <n v="13"/>
    <x v="23"/>
    <n v="1.3"/>
    <n v="16.77"/>
    <s v="03215790"/>
  </r>
  <r>
    <x v="136"/>
    <s v="2021-07-26"/>
    <x v="0"/>
    <x v="0"/>
    <n v="12"/>
    <x v="33"/>
    <n v="1.28"/>
    <n v="16.46"/>
    <s v="62307848"/>
  </r>
  <r>
    <x v="136"/>
    <s v="2021-07-26"/>
    <x v="0"/>
    <x v="0"/>
    <n v="11"/>
    <x v="31"/>
    <n v="1.24"/>
    <n v="15.87"/>
    <s v="17167412"/>
  </r>
  <r>
    <x v="136"/>
    <s v="2021-07-26"/>
    <x v="0"/>
    <x v="0"/>
    <n v="10"/>
    <x v="27"/>
    <n v="1.23"/>
    <n v="15.77"/>
    <s v="00000000"/>
  </r>
  <r>
    <x v="136"/>
    <s v="2021-07-26"/>
    <x v="0"/>
    <x v="0"/>
    <n v="9"/>
    <x v="34"/>
    <n v="1.21"/>
    <n v="15.57"/>
    <s v="33603457"/>
  </r>
  <r>
    <x v="136"/>
    <s v="2021-07-26"/>
    <x v="0"/>
    <x v="0"/>
    <n v="8"/>
    <x v="37"/>
    <n v="1.17"/>
    <n v="14.98"/>
    <s v="04452473"/>
  </r>
  <r>
    <x v="136"/>
    <s v="2021-07-26"/>
    <x v="0"/>
    <x v="0"/>
    <n v="7"/>
    <x v="36"/>
    <n v="1.1399999999999999"/>
    <n v="14.62"/>
    <s v="33136888"/>
  </r>
  <r>
    <x v="136"/>
    <s v="2021-07-26"/>
    <x v="0"/>
    <x v="0"/>
    <n v="6"/>
    <x v="44"/>
    <n v="1.1100000000000001"/>
    <n v="14.12"/>
    <s v="58017179"/>
  </r>
  <r>
    <x v="136"/>
    <s v="2021-07-26"/>
    <x v="0"/>
    <x v="0"/>
    <n v="5"/>
    <x v="39"/>
    <n v="1.08"/>
    <n v="13.8"/>
    <s v="04902979"/>
  </r>
  <r>
    <x v="136"/>
    <s v="2021-07-26"/>
    <x v="0"/>
    <x v="0"/>
    <n v="4"/>
    <x v="47"/>
    <n v="1.03"/>
    <n v="13.03"/>
    <s v="28517628"/>
  </r>
  <r>
    <x v="136"/>
    <s v="2021-07-26"/>
    <x v="0"/>
    <x v="0"/>
    <n v="3"/>
    <x v="35"/>
    <n v="1"/>
    <n v="12.71"/>
    <s v="59109165"/>
  </r>
  <r>
    <x v="136"/>
    <s v="2021-07-26"/>
    <x v="0"/>
    <x v="0"/>
    <n v="2"/>
    <x v="40"/>
    <n v="0.96"/>
    <n v="12.14"/>
    <s v="02992446"/>
  </r>
  <r>
    <x v="136"/>
    <s v="2021-07-26"/>
    <x v="0"/>
    <x v="0"/>
    <n v="1"/>
    <x v="38"/>
    <n v="0.9"/>
    <n v="11.28"/>
    <s v="60814191"/>
  </r>
  <r>
    <x v="137"/>
    <s v="2021-07-27"/>
    <x v="0"/>
    <x v="0"/>
    <n v="43"/>
    <x v="0"/>
    <n v="3.27"/>
    <n v="47.14"/>
    <s v="60850229"/>
  </r>
  <r>
    <x v="137"/>
    <s v="2021-07-27"/>
    <x v="0"/>
    <x v="0"/>
    <n v="42"/>
    <x v="3"/>
    <n v="3.24"/>
    <n v="46.6"/>
    <s v="05503849"/>
  </r>
  <r>
    <x v="137"/>
    <s v="2021-07-27"/>
    <x v="0"/>
    <x v="0"/>
    <n v="41"/>
    <x v="2"/>
    <n v="3.17"/>
    <n v="45.38"/>
    <s v="92228410"/>
  </r>
  <r>
    <x v="137"/>
    <s v="2021-07-27"/>
    <x v="0"/>
    <x v="0"/>
    <n v="40"/>
    <x v="7"/>
    <n v="2.77"/>
    <n v="38.869999999999997"/>
    <s v="92874270"/>
  </r>
  <r>
    <x v="137"/>
    <s v="2021-07-27"/>
    <x v="0"/>
    <x v="0"/>
    <n v="39"/>
    <x v="1"/>
    <n v="2.74"/>
    <n v="38.32"/>
    <s v="01800019"/>
  </r>
  <r>
    <x v="137"/>
    <s v="2021-07-27"/>
    <x v="0"/>
    <x v="0"/>
    <n v="38"/>
    <x v="4"/>
    <n v="2.67"/>
    <n v="37.159999999999997"/>
    <s v="62232889"/>
  </r>
  <r>
    <x v="137"/>
    <s v="2021-07-27"/>
    <x v="0"/>
    <x v="0"/>
    <n v="37"/>
    <x v="6"/>
    <n v="2.42"/>
    <n v="33.21"/>
    <s v="05676026"/>
  </r>
  <r>
    <x v="137"/>
    <s v="2021-07-27"/>
    <x v="0"/>
    <x v="0"/>
    <n v="36"/>
    <x v="9"/>
    <n v="2.34"/>
    <n v="31.98"/>
    <s v="00411939"/>
  </r>
  <r>
    <x v="137"/>
    <s v="2021-07-27"/>
    <x v="0"/>
    <x v="0"/>
    <n v="35"/>
    <x v="42"/>
    <n v="2.2599999999999998"/>
    <n v="30.77"/>
    <s v="34991938"/>
  </r>
  <r>
    <x v="137"/>
    <s v="2021-07-27"/>
    <x v="0"/>
    <x v="0"/>
    <n v="34"/>
    <x v="8"/>
    <n v="2.25"/>
    <n v="30.68"/>
    <s v="59285411"/>
  </r>
  <r>
    <x v="137"/>
    <s v="2021-07-27"/>
    <x v="0"/>
    <x v="0"/>
    <n v="33"/>
    <x v="49"/>
    <n v="2.2400000000000002"/>
    <n v="30.38"/>
    <s v="58160789"/>
  </r>
  <r>
    <x v="137"/>
    <s v="2021-07-27"/>
    <x v="0"/>
    <x v="0"/>
    <n v="32"/>
    <x v="10"/>
    <n v="2.1800000000000002"/>
    <n v="29.55"/>
    <s v="10371492"/>
  </r>
  <r>
    <x v="137"/>
    <s v="2021-07-27"/>
    <x v="0"/>
    <x v="0"/>
    <n v="31"/>
    <x v="5"/>
    <n v="2.13"/>
    <n v="28.72"/>
    <s v="80271455"/>
  </r>
  <r>
    <x v="137"/>
    <s v="2021-07-27"/>
    <x v="0"/>
    <x v="0"/>
    <n v="30"/>
    <x v="24"/>
    <n v="1.9"/>
    <n v="25.38"/>
    <s v="22639377"/>
  </r>
  <r>
    <x v="137"/>
    <s v="2021-07-27"/>
    <x v="0"/>
    <x v="0"/>
    <n v="29"/>
    <x v="41"/>
    <n v="1.87"/>
    <n v="24.88"/>
    <s v="20443996"/>
  </r>
  <r>
    <x v="137"/>
    <s v="2021-07-27"/>
    <x v="0"/>
    <x v="0"/>
    <n v="28"/>
    <x v="12"/>
    <n v="1.85"/>
    <n v="24.59"/>
    <s v="04862600"/>
  </r>
  <r>
    <x v="137"/>
    <s v="2021-07-27"/>
    <x v="0"/>
    <x v="0"/>
    <n v="27"/>
    <x v="13"/>
    <n v="1.78"/>
    <n v="23.64"/>
    <s v="07707650"/>
  </r>
  <r>
    <x v="137"/>
    <s v="2021-07-27"/>
    <x v="0"/>
    <x v="0"/>
    <n v="26"/>
    <x v="15"/>
    <n v="1.71"/>
    <n v="22.58"/>
    <s v="59588111"/>
  </r>
  <r>
    <x v="137"/>
    <s v="2021-07-27"/>
    <x v="0"/>
    <x v="0"/>
    <n v="25"/>
    <x v="20"/>
    <n v="1.67"/>
    <n v="22.02"/>
    <s v="17192451"/>
  </r>
  <r>
    <x v="137"/>
    <s v="2021-07-27"/>
    <x v="0"/>
    <x v="0"/>
    <n v="24"/>
    <x v="11"/>
    <n v="1.64"/>
    <n v="21.62"/>
    <s v="03634220"/>
  </r>
  <r>
    <x v="137"/>
    <s v="2021-07-27"/>
    <x v="0"/>
    <x v="0"/>
    <n v="23"/>
    <x v="50"/>
    <n v="1.59"/>
    <n v="20.84"/>
    <s v="31880826"/>
  </r>
  <r>
    <x v="137"/>
    <s v="2021-07-27"/>
    <x v="0"/>
    <x v="0"/>
    <n v="22"/>
    <x v="16"/>
    <n v="1.59"/>
    <n v="20.79"/>
    <s v="07207996"/>
  </r>
  <r>
    <x v="137"/>
    <s v="2021-07-27"/>
    <x v="0"/>
    <x v="0"/>
    <n v="21"/>
    <x v="21"/>
    <n v="1.5"/>
    <n v="19.61"/>
    <s v="03017677"/>
  </r>
  <r>
    <x v="137"/>
    <s v="2021-07-27"/>
    <x v="0"/>
    <x v="0"/>
    <n v="20"/>
    <x v="28"/>
    <n v="1.47"/>
    <n v="19.2"/>
    <s v="90400888"/>
  </r>
  <r>
    <x v="137"/>
    <s v="2021-07-27"/>
    <x v="0"/>
    <x v="0"/>
    <n v="19"/>
    <x v="32"/>
    <n v="1.44"/>
    <n v="18.64"/>
    <s v="60701190"/>
  </r>
  <r>
    <x v="137"/>
    <s v="2021-07-27"/>
    <x v="0"/>
    <x v="0"/>
    <n v="18"/>
    <x v="30"/>
    <n v="1.43"/>
    <n v="18.55"/>
    <s v="03502961"/>
  </r>
  <r>
    <x v="137"/>
    <s v="2021-07-27"/>
    <x v="0"/>
    <x v="0"/>
    <n v="17"/>
    <x v="26"/>
    <n v="1.41"/>
    <n v="18.329999999999998"/>
    <s v="30172491"/>
  </r>
  <r>
    <x v="137"/>
    <s v="2021-07-27"/>
    <x v="0"/>
    <x v="0"/>
    <n v="16"/>
    <x v="14"/>
    <n v="1.4"/>
    <n v="18.2"/>
    <s v="00360305"/>
  </r>
  <r>
    <x v="137"/>
    <s v="2021-07-27"/>
    <x v="0"/>
    <x v="0"/>
    <n v="15"/>
    <x v="29"/>
    <n v="1.4"/>
    <n v="18.11"/>
    <s v="60746948"/>
  </r>
  <r>
    <x v="137"/>
    <s v="2021-07-27"/>
    <x v="0"/>
    <x v="0"/>
    <n v="14"/>
    <x v="18"/>
    <n v="1.39"/>
    <n v="17.989999999999998"/>
    <s v="28127603"/>
  </r>
  <r>
    <x v="137"/>
    <s v="2021-07-27"/>
    <x v="0"/>
    <x v="0"/>
    <n v="13"/>
    <x v="25"/>
    <n v="1.32"/>
    <n v="17.02"/>
    <s v="59274605"/>
  </r>
  <r>
    <x v="137"/>
    <s v="2021-07-27"/>
    <x v="0"/>
    <x v="0"/>
    <n v="12"/>
    <x v="23"/>
    <n v="1.29"/>
    <n v="16.649999999999999"/>
    <s v="03215790"/>
  </r>
  <r>
    <x v="137"/>
    <s v="2021-07-27"/>
    <x v="0"/>
    <x v="0"/>
    <n v="11"/>
    <x v="33"/>
    <n v="1.28"/>
    <n v="16.47"/>
    <s v="62307848"/>
  </r>
  <r>
    <x v="137"/>
    <s v="2021-07-27"/>
    <x v="0"/>
    <x v="0"/>
    <n v="10"/>
    <x v="31"/>
    <n v="1.22"/>
    <n v="15.7"/>
    <s v="17167412"/>
  </r>
  <r>
    <x v="137"/>
    <s v="2021-07-27"/>
    <x v="0"/>
    <x v="0"/>
    <n v="9"/>
    <x v="27"/>
    <n v="1.22"/>
    <n v="15.7"/>
    <s v="00000000"/>
  </r>
  <r>
    <x v="137"/>
    <s v="2021-07-27"/>
    <x v="0"/>
    <x v="0"/>
    <n v="8"/>
    <x v="34"/>
    <n v="1.21"/>
    <n v="15.48"/>
    <s v="33603457"/>
  </r>
  <r>
    <x v="137"/>
    <s v="2021-07-27"/>
    <x v="0"/>
    <x v="0"/>
    <n v="7"/>
    <x v="37"/>
    <n v="1.17"/>
    <n v="15"/>
    <s v="04452473"/>
  </r>
  <r>
    <x v="137"/>
    <s v="2021-07-27"/>
    <x v="0"/>
    <x v="0"/>
    <n v="6"/>
    <x v="44"/>
    <n v="1.1599999999999999"/>
    <n v="14.84"/>
    <s v="58017179"/>
  </r>
  <r>
    <x v="137"/>
    <s v="2021-07-27"/>
    <x v="0"/>
    <x v="0"/>
    <n v="5"/>
    <x v="36"/>
    <n v="1.1399999999999999"/>
    <n v="14.62"/>
    <s v="33136888"/>
  </r>
  <r>
    <x v="137"/>
    <s v="2021-07-27"/>
    <x v="0"/>
    <x v="0"/>
    <n v="4"/>
    <x v="39"/>
    <n v="1.08"/>
    <n v="13.74"/>
    <s v="04902979"/>
  </r>
  <r>
    <x v="137"/>
    <s v="2021-07-27"/>
    <x v="0"/>
    <x v="0"/>
    <n v="3"/>
    <x v="40"/>
    <n v="1.02"/>
    <n v="12.94"/>
    <s v="02992446"/>
  </r>
  <r>
    <x v="137"/>
    <s v="2021-07-27"/>
    <x v="0"/>
    <x v="0"/>
    <n v="2"/>
    <x v="35"/>
    <n v="1"/>
    <n v="12.63"/>
    <s v="59109165"/>
  </r>
  <r>
    <x v="137"/>
    <s v="2021-07-27"/>
    <x v="0"/>
    <x v="0"/>
    <n v="1"/>
    <x v="38"/>
    <n v="0.92"/>
    <n v="11.58"/>
    <s v="60814191"/>
  </r>
  <r>
    <x v="138"/>
    <s v="2021-07-28"/>
    <x v="0"/>
    <x v="0"/>
    <n v="42"/>
    <x v="0"/>
    <n v="3.32"/>
    <n v="48"/>
    <s v="60850229"/>
  </r>
  <r>
    <x v="138"/>
    <s v="2021-07-28"/>
    <x v="0"/>
    <x v="0"/>
    <n v="41"/>
    <x v="3"/>
    <n v="3.27"/>
    <n v="47.17"/>
    <s v="05503849"/>
  </r>
  <r>
    <x v="138"/>
    <s v="2021-07-28"/>
    <x v="0"/>
    <x v="0"/>
    <n v="40"/>
    <x v="2"/>
    <n v="3.14"/>
    <n v="44.85"/>
    <s v="92228410"/>
  </r>
  <r>
    <x v="138"/>
    <s v="2021-07-28"/>
    <x v="0"/>
    <x v="0"/>
    <n v="39"/>
    <x v="1"/>
    <n v="2.81"/>
    <n v="39.479999999999997"/>
    <s v="01800019"/>
  </r>
  <r>
    <x v="138"/>
    <s v="2021-07-28"/>
    <x v="0"/>
    <x v="0"/>
    <n v="38"/>
    <x v="7"/>
    <n v="2.8"/>
    <n v="39.299999999999997"/>
    <s v="92874270"/>
  </r>
  <r>
    <x v="138"/>
    <s v="2021-07-28"/>
    <x v="0"/>
    <x v="0"/>
    <n v="37"/>
    <x v="4"/>
    <n v="2.67"/>
    <n v="37.11"/>
    <s v="62232889"/>
  </r>
  <r>
    <x v="138"/>
    <s v="2021-07-28"/>
    <x v="0"/>
    <x v="0"/>
    <n v="36"/>
    <x v="6"/>
    <n v="2.42"/>
    <n v="33.25"/>
    <s v="05676026"/>
  </r>
  <r>
    <x v="138"/>
    <s v="2021-07-28"/>
    <x v="0"/>
    <x v="0"/>
    <n v="35"/>
    <x v="9"/>
    <n v="2.38"/>
    <n v="32.54"/>
    <s v="00411939"/>
  </r>
  <r>
    <x v="138"/>
    <s v="2021-07-28"/>
    <x v="0"/>
    <x v="0"/>
    <n v="34"/>
    <x v="8"/>
    <n v="2.25"/>
    <n v="30.66"/>
    <s v="59285411"/>
  </r>
  <r>
    <x v="138"/>
    <s v="2021-07-28"/>
    <x v="0"/>
    <x v="0"/>
    <n v="33"/>
    <x v="42"/>
    <n v="2.25"/>
    <n v="30.58"/>
    <s v="34991938"/>
  </r>
  <r>
    <x v="138"/>
    <s v="2021-07-28"/>
    <x v="0"/>
    <x v="0"/>
    <n v="32"/>
    <x v="49"/>
    <n v="2.2400000000000002"/>
    <n v="30.38"/>
    <s v="58160789"/>
  </r>
  <r>
    <x v="138"/>
    <s v="2021-07-28"/>
    <x v="0"/>
    <x v="0"/>
    <n v="31"/>
    <x v="10"/>
    <n v="2.1800000000000002"/>
    <n v="29.55"/>
    <s v="10371492"/>
  </r>
  <r>
    <x v="138"/>
    <s v="2021-07-28"/>
    <x v="0"/>
    <x v="0"/>
    <n v="30"/>
    <x v="5"/>
    <n v="2.17"/>
    <n v="29.32"/>
    <s v="80271455"/>
  </r>
  <r>
    <x v="138"/>
    <s v="2021-07-28"/>
    <x v="0"/>
    <x v="0"/>
    <n v="29"/>
    <x v="24"/>
    <n v="1.97"/>
    <n v="26.4"/>
    <s v="22639377"/>
  </r>
  <r>
    <x v="138"/>
    <s v="2021-07-28"/>
    <x v="0"/>
    <x v="0"/>
    <n v="28"/>
    <x v="12"/>
    <n v="1.86"/>
    <n v="24.79"/>
    <s v="04862600"/>
  </r>
  <r>
    <x v="138"/>
    <s v="2021-07-28"/>
    <x v="0"/>
    <x v="0"/>
    <n v="27"/>
    <x v="13"/>
    <n v="1.79"/>
    <n v="23.68"/>
    <s v="07707650"/>
  </r>
  <r>
    <x v="138"/>
    <s v="2021-07-28"/>
    <x v="0"/>
    <x v="0"/>
    <n v="26"/>
    <x v="15"/>
    <n v="1.71"/>
    <n v="22.6"/>
    <s v="59588111"/>
  </r>
  <r>
    <x v="138"/>
    <s v="2021-07-28"/>
    <x v="0"/>
    <x v="0"/>
    <n v="25"/>
    <x v="20"/>
    <n v="1.67"/>
    <n v="22.05"/>
    <s v="17192451"/>
  </r>
  <r>
    <x v="138"/>
    <s v="2021-07-28"/>
    <x v="0"/>
    <x v="0"/>
    <n v="24"/>
    <x v="11"/>
    <n v="1.62"/>
    <n v="21.29"/>
    <s v="03634220"/>
  </r>
  <r>
    <x v="138"/>
    <s v="2021-07-28"/>
    <x v="0"/>
    <x v="0"/>
    <n v="23"/>
    <x v="50"/>
    <n v="1.59"/>
    <n v="20.84"/>
    <s v="31880826"/>
  </r>
  <r>
    <x v="138"/>
    <s v="2021-07-28"/>
    <x v="0"/>
    <x v="0"/>
    <n v="22"/>
    <x v="16"/>
    <n v="1.59"/>
    <n v="20.78"/>
    <s v="07207996"/>
  </r>
  <r>
    <x v="138"/>
    <s v="2021-07-28"/>
    <x v="0"/>
    <x v="0"/>
    <n v="21"/>
    <x v="21"/>
    <n v="1.5"/>
    <n v="19.55"/>
    <s v="03017677"/>
  </r>
  <r>
    <x v="138"/>
    <s v="2021-07-28"/>
    <x v="0"/>
    <x v="0"/>
    <n v="20"/>
    <x v="28"/>
    <n v="1.45"/>
    <n v="18.84"/>
    <s v="90400888"/>
  </r>
  <r>
    <x v="138"/>
    <s v="2021-07-28"/>
    <x v="0"/>
    <x v="0"/>
    <n v="19"/>
    <x v="32"/>
    <n v="1.43"/>
    <n v="18.52"/>
    <s v="60701190"/>
  </r>
  <r>
    <x v="138"/>
    <s v="2021-07-28"/>
    <x v="0"/>
    <x v="0"/>
    <n v="18"/>
    <x v="26"/>
    <n v="1.41"/>
    <n v="18.329999999999998"/>
    <s v="30172491"/>
  </r>
  <r>
    <x v="138"/>
    <s v="2021-07-28"/>
    <x v="0"/>
    <x v="0"/>
    <n v="17"/>
    <x v="30"/>
    <n v="1.41"/>
    <n v="18.309999999999999"/>
    <s v="03502961"/>
  </r>
  <r>
    <x v="138"/>
    <s v="2021-07-28"/>
    <x v="0"/>
    <x v="0"/>
    <n v="16"/>
    <x v="14"/>
    <n v="1.41"/>
    <n v="18.28"/>
    <s v="00360305"/>
  </r>
  <r>
    <x v="138"/>
    <s v="2021-07-28"/>
    <x v="0"/>
    <x v="0"/>
    <n v="15"/>
    <x v="29"/>
    <n v="1.39"/>
    <n v="18.04"/>
    <s v="60746948"/>
  </r>
  <r>
    <x v="138"/>
    <s v="2021-07-28"/>
    <x v="0"/>
    <x v="0"/>
    <n v="14"/>
    <x v="25"/>
    <n v="1.34"/>
    <n v="17.350000000000001"/>
    <s v="59274605"/>
  </r>
  <r>
    <x v="138"/>
    <s v="2021-07-28"/>
    <x v="0"/>
    <x v="0"/>
    <n v="13"/>
    <x v="18"/>
    <n v="1.34"/>
    <n v="17.28"/>
    <s v="28127603"/>
  </r>
  <r>
    <x v="138"/>
    <s v="2021-07-28"/>
    <x v="0"/>
    <x v="0"/>
    <n v="12"/>
    <x v="23"/>
    <n v="1.29"/>
    <n v="16.63"/>
    <s v="03215790"/>
  </r>
  <r>
    <x v="138"/>
    <s v="2021-07-28"/>
    <x v="0"/>
    <x v="0"/>
    <n v="11"/>
    <x v="33"/>
    <n v="1.27"/>
    <n v="16.32"/>
    <s v="62307848"/>
  </r>
  <r>
    <x v="138"/>
    <s v="2021-07-28"/>
    <x v="0"/>
    <x v="0"/>
    <n v="10"/>
    <x v="34"/>
    <n v="1.24"/>
    <n v="15.92"/>
    <s v="33603457"/>
  </r>
  <r>
    <x v="138"/>
    <s v="2021-07-28"/>
    <x v="0"/>
    <x v="0"/>
    <n v="9"/>
    <x v="27"/>
    <n v="1.24"/>
    <n v="15.91"/>
    <s v="00000000"/>
  </r>
  <r>
    <x v="138"/>
    <s v="2021-07-28"/>
    <x v="0"/>
    <x v="0"/>
    <n v="8"/>
    <x v="31"/>
    <n v="1.23"/>
    <n v="15.76"/>
    <s v="17167412"/>
  </r>
  <r>
    <x v="138"/>
    <s v="2021-07-28"/>
    <x v="0"/>
    <x v="0"/>
    <n v="7"/>
    <x v="44"/>
    <n v="1.18"/>
    <n v="15.17"/>
    <s v="58017179"/>
  </r>
  <r>
    <x v="138"/>
    <s v="2021-07-28"/>
    <x v="0"/>
    <x v="0"/>
    <n v="6"/>
    <x v="37"/>
    <n v="1.17"/>
    <n v="15.02"/>
    <s v="04452473"/>
  </r>
  <r>
    <x v="138"/>
    <s v="2021-07-28"/>
    <x v="0"/>
    <x v="0"/>
    <n v="5"/>
    <x v="39"/>
    <n v="1.1200000000000001"/>
    <n v="14.29"/>
    <s v="04902979"/>
  </r>
  <r>
    <x v="138"/>
    <s v="2021-07-28"/>
    <x v="0"/>
    <x v="0"/>
    <n v="4"/>
    <x v="36"/>
    <n v="1.05"/>
    <n v="13.37"/>
    <s v="33136888"/>
  </r>
  <r>
    <x v="138"/>
    <s v="2021-07-28"/>
    <x v="0"/>
    <x v="0"/>
    <n v="3"/>
    <x v="40"/>
    <n v="1.03"/>
    <n v="13.11"/>
    <s v="02992446"/>
  </r>
  <r>
    <x v="138"/>
    <s v="2021-07-28"/>
    <x v="0"/>
    <x v="0"/>
    <n v="2"/>
    <x v="35"/>
    <n v="1.01"/>
    <n v="12.8"/>
    <s v="59109165"/>
  </r>
  <r>
    <x v="138"/>
    <s v="2021-07-28"/>
    <x v="0"/>
    <x v="0"/>
    <n v="1"/>
    <x v="38"/>
    <n v="0.96"/>
    <n v="12.1"/>
    <s v="60814191"/>
  </r>
  <r>
    <x v="139"/>
    <s v="2021-07-29"/>
    <x v="0"/>
    <x v="0"/>
    <n v="42"/>
    <x v="3"/>
    <n v="3.3"/>
    <n v="47.56"/>
    <s v="05503849"/>
  </r>
  <r>
    <x v="139"/>
    <s v="2021-07-29"/>
    <x v="0"/>
    <x v="0"/>
    <n v="41"/>
    <x v="0"/>
    <n v="3.24"/>
    <n v="46.63"/>
    <s v="60850229"/>
  </r>
  <r>
    <x v="139"/>
    <s v="2021-07-29"/>
    <x v="0"/>
    <x v="0"/>
    <n v="40"/>
    <x v="2"/>
    <n v="3.13"/>
    <n v="44.76"/>
    <s v="92228410"/>
  </r>
  <r>
    <x v="139"/>
    <s v="2021-07-29"/>
    <x v="0"/>
    <x v="0"/>
    <n v="39"/>
    <x v="1"/>
    <n v="3.02"/>
    <n v="42.97"/>
    <s v="01800019"/>
  </r>
  <r>
    <x v="139"/>
    <s v="2021-07-29"/>
    <x v="0"/>
    <x v="0"/>
    <n v="38"/>
    <x v="7"/>
    <n v="2.82"/>
    <n v="39.6"/>
    <s v="92874270"/>
  </r>
  <r>
    <x v="139"/>
    <s v="2021-07-29"/>
    <x v="0"/>
    <x v="0"/>
    <n v="37"/>
    <x v="4"/>
    <n v="2.66"/>
    <n v="37.04"/>
    <s v="62232889"/>
  </r>
  <r>
    <x v="139"/>
    <s v="2021-07-29"/>
    <x v="0"/>
    <x v="0"/>
    <n v="36"/>
    <x v="6"/>
    <n v="2.42"/>
    <n v="33.229999999999997"/>
    <s v="05676026"/>
  </r>
  <r>
    <x v="139"/>
    <s v="2021-07-29"/>
    <x v="0"/>
    <x v="0"/>
    <n v="35"/>
    <x v="9"/>
    <n v="2.38"/>
    <n v="32.659999999999997"/>
    <s v="00411939"/>
  </r>
  <r>
    <x v="139"/>
    <s v="2021-07-29"/>
    <x v="0"/>
    <x v="0"/>
    <n v="34"/>
    <x v="5"/>
    <n v="2.2799999999999998"/>
    <n v="31.05"/>
    <s v="80271455"/>
  </r>
  <r>
    <x v="139"/>
    <s v="2021-07-29"/>
    <x v="0"/>
    <x v="0"/>
    <n v="33"/>
    <x v="8"/>
    <n v="2.25"/>
    <n v="30.66"/>
    <s v="59285411"/>
  </r>
  <r>
    <x v="139"/>
    <s v="2021-07-29"/>
    <x v="0"/>
    <x v="0"/>
    <n v="32"/>
    <x v="10"/>
    <n v="2.2000000000000002"/>
    <n v="29.8"/>
    <s v="10371492"/>
  </r>
  <r>
    <x v="139"/>
    <s v="2021-07-29"/>
    <x v="0"/>
    <x v="0"/>
    <n v="31"/>
    <x v="42"/>
    <n v="2.1"/>
    <n v="28.38"/>
    <s v="34991938"/>
  </r>
  <r>
    <x v="139"/>
    <s v="2021-07-29"/>
    <x v="0"/>
    <x v="0"/>
    <n v="30"/>
    <x v="24"/>
    <n v="1.93"/>
    <n v="25.76"/>
    <s v="22639377"/>
  </r>
  <r>
    <x v="139"/>
    <s v="2021-07-29"/>
    <x v="0"/>
    <x v="0"/>
    <n v="29"/>
    <x v="12"/>
    <n v="1.86"/>
    <n v="24.82"/>
    <s v="04862600"/>
  </r>
  <r>
    <x v="139"/>
    <s v="2021-07-29"/>
    <x v="0"/>
    <x v="0"/>
    <n v="28"/>
    <x v="13"/>
    <n v="1.78"/>
    <n v="23.64"/>
    <s v="07707650"/>
  </r>
  <r>
    <x v="139"/>
    <s v="2021-07-29"/>
    <x v="0"/>
    <x v="0"/>
    <n v="27"/>
    <x v="15"/>
    <n v="1.71"/>
    <n v="22.59"/>
    <s v="59588111"/>
  </r>
  <r>
    <x v="139"/>
    <s v="2021-07-29"/>
    <x v="0"/>
    <x v="0"/>
    <n v="26"/>
    <x v="20"/>
    <n v="1.67"/>
    <n v="21.98"/>
    <s v="17192451"/>
  </r>
  <r>
    <x v="139"/>
    <s v="2021-07-29"/>
    <x v="0"/>
    <x v="0"/>
    <n v="25"/>
    <x v="11"/>
    <n v="1.62"/>
    <n v="21.27"/>
    <s v="03634220"/>
  </r>
  <r>
    <x v="139"/>
    <s v="2021-07-29"/>
    <x v="0"/>
    <x v="0"/>
    <n v="24"/>
    <x v="16"/>
    <n v="1.59"/>
    <n v="20.86"/>
    <s v="07207996"/>
  </r>
  <r>
    <x v="139"/>
    <s v="2021-07-29"/>
    <x v="0"/>
    <x v="0"/>
    <n v="23"/>
    <x v="50"/>
    <n v="1.59"/>
    <n v="20.84"/>
    <s v="31880826"/>
  </r>
  <r>
    <x v="139"/>
    <s v="2021-07-29"/>
    <x v="0"/>
    <x v="0"/>
    <n v="22"/>
    <x v="21"/>
    <n v="1.5"/>
    <n v="19.55"/>
    <s v="03017677"/>
  </r>
  <r>
    <x v="139"/>
    <s v="2021-07-29"/>
    <x v="0"/>
    <x v="0"/>
    <n v="21"/>
    <x v="18"/>
    <n v="1.45"/>
    <n v="18.899999999999999"/>
    <s v="28127603"/>
  </r>
  <r>
    <x v="139"/>
    <s v="2021-07-29"/>
    <x v="0"/>
    <x v="0"/>
    <n v="20"/>
    <x v="32"/>
    <n v="1.42"/>
    <n v="18.46"/>
    <s v="60701190"/>
  </r>
  <r>
    <x v="139"/>
    <s v="2021-07-29"/>
    <x v="0"/>
    <x v="0"/>
    <n v="19"/>
    <x v="30"/>
    <n v="1.42"/>
    <n v="18.37"/>
    <s v="03502961"/>
  </r>
  <r>
    <x v="139"/>
    <s v="2021-07-29"/>
    <x v="0"/>
    <x v="0"/>
    <n v="18"/>
    <x v="26"/>
    <n v="1.41"/>
    <n v="18.25"/>
    <s v="30172491"/>
  </r>
  <r>
    <x v="139"/>
    <s v="2021-07-29"/>
    <x v="0"/>
    <x v="0"/>
    <n v="17"/>
    <x v="28"/>
    <n v="1.4"/>
    <n v="18.2"/>
    <s v="90400888"/>
  </r>
  <r>
    <x v="139"/>
    <s v="2021-07-29"/>
    <x v="0"/>
    <x v="0"/>
    <n v="16"/>
    <x v="14"/>
    <n v="1.39"/>
    <n v="18.03"/>
    <s v="00360305"/>
  </r>
  <r>
    <x v="139"/>
    <s v="2021-07-29"/>
    <x v="0"/>
    <x v="0"/>
    <n v="15"/>
    <x v="29"/>
    <n v="1.39"/>
    <n v="18.03"/>
    <s v="60746948"/>
  </r>
  <r>
    <x v="139"/>
    <s v="2021-07-29"/>
    <x v="0"/>
    <x v="0"/>
    <n v="14"/>
    <x v="25"/>
    <n v="1.36"/>
    <n v="17.63"/>
    <s v="59274605"/>
  </r>
  <r>
    <x v="139"/>
    <s v="2021-07-29"/>
    <x v="0"/>
    <x v="0"/>
    <n v="13"/>
    <x v="23"/>
    <n v="1.29"/>
    <n v="16.59"/>
    <s v="03215790"/>
  </r>
  <r>
    <x v="139"/>
    <s v="2021-07-29"/>
    <x v="0"/>
    <x v="0"/>
    <n v="12"/>
    <x v="33"/>
    <n v="1.27"/>
    <n v="16.28"/>
    <s v="62307848"/>
  </r>
  <r>
    <x v="139"/>
    <s v="2021-07-29"/>
    <x v="0"/>
    <x v="0"/>
    <n v="11"/>
    <x v="44"/>
    <n v="1.24"/>
    <n v="15.95"/>
    <s v="58017179"/>
  </r>
  <r>
    <x v="139"/>
    <s v="2021-07-29"/>
    <x v="0"/>
    <x v="0"/>
    <n v="10"/>
    <x v="34"/>
    <n v="1.23"/>
    <n v="15.83"/>
    <s v="33603457"/>
  </r>
  <r>
    <x v="139"/>
    <s v="2021-07-29"/>
    <x v="0"/>
    <x v="0"/>
    <n v="9"/>
    <x v="27"/>
    <n v="1.23"/>
    <n v="15.73"/>
    <s v="00000000"/>
  </r>
  <r>
    <x v="139"/>
    <s v="2021-07-29"/>
    <x v="0"/>
    <x v="0"/>
    <n v="8"/>
    <x v="31"/>
    <n v="1.22"/>
    <n v="15.63"/>
    <s v="17167412"/>
  </r>
  <r>
    <x v="139"/>
    <s v="2021-07-29"/>
    <x v="0"/>
    <x v="0"/>
    <n v="7"/>
    <x v="37"/>
    <n v="1.18"/>
    <n v="15.11"/>
    <s v="04452473"/>
  </r>
  <r>
    <x v="139"/>
    <s v="2021-07-29"/>
    <x v="0"/>
    <x v="0"/>
    <n v="6"/>
    <x v="43"/>
    <n v="1.17"/>
    <n v="14.94"/>
    <s v="07441209"/>
  </r>
  <r>
    <x v="139"/>
    <s v="2021-07-29"/>
    <x v="0"/>
    <x v="0"/>
    <n v="5"/>
    <x v="39"/>
    <n v="1.1200000000000001"/>
    <n v="14.29"/>
    <s v="04902979"/>
  </r>
  <r>
    <x v="139"/>
    <s v="2021-07-29"/>
    <x v="0"/>
    <x v="0"/>
    <n v="4"/>
    <x v="36"/>
    <n v="1.05"/>
    <n v="13.33"/>
    <s v="33136888"/>
  </r>
  <r>
    <x v="139"/>
    <s v="2021-07-29"/>
    <x v="0"/>
    <x v="0"/>
    <n v="3"/>
    <x v="35"/>
    <n v="1.01"/>
    <n v="12.82"/>
    <s v="59109165"/>
  </r>
  <r>
    <x v="139"/>
    <s v="2021-07-29"/>
    <x v="0"/>
    <x v="0"/>
    <n v="2"/>
    <x v="38"/>
    <n v="0.99"/>
    <n v="12.57"/>
    <s v="60814191"/>
  </r>
  <r>
    <x v="139"/>
    <s v="2021-07-29"/>
    <x v="0"/>
    <x v="0"/>
    <n v="1"/>
    <x v="40"/>
    <n v="0.99"/>
    <n v="12.48"/>
    <s v="02992446"/>
  </r>
  <r>
    <x v="140"/>
    <s v="2021-07-30"/>
    <x v="0"/>
    <x v="0"/>
    <n v="41"/>
    <x v="3"/>
    <n v="3.28"/>
    <n v="47.32"/>
    <s v="05503849"/>
  </r>
  <r>
    <x v="140"/>
    <s v="2021-07-30"/>
    <x v="0"/>
    <x v="0"/>
    <n v="40"/>
    <x v="0"/>
    <n v="3.22"/>
    <n v="46.19"/>
    <s v="60850229"/>
  </r>
  <r>
    <x v="140"/>
    <s v="2021-07-30"/>
    <x v="0"/>
    <x v="0"/>
    <n v="39"/>
    <x v="2"/>
    <n v="3.12"/>
    <n v="44.66"/>
    <s v="92228410"/>
  </r>
  <r>
    <x v="140"/>
    <s v="2021-07-30"/>
    <x v="0"/>
    <x v="0"/>
    <n v="38"/>
    <x v="1"/>
    <n v="2.97"/>
    <n v="42.11"/>
    <s v="01800019"/>
  </r>
  <r>
    <x v="140"/>
    <s v="2021-07-30"/>
    <x v="0"/>
    <x v="0"/>
    <n v="37"/>
    <x v="7"/>
    <n v="2.83"/>
    <n v="39.78"/>
    <s v="92874270"/>
  </r>
  <r>
    <x v="140"/>
    <s v="2021-07-30"/>
    <x v="0"/>
    <x v="0"/>
    <n v="36"/>
    <x v="4"/>
    <n v="2.65"/>
    <n v="36.869999999999997"/>
    <s v="62232889"/>
  </r>
  <r>
    <x v="140"/>
    <s v="2021-07-30"/>
    <x v="0"/>
    <x v="0"/>
    <n v="35"/>
    <x v="6"/>
    <n v="2.42"/>
    <n v="33.26"/>
    <s v="05676026"/>
  </r>
  <r>
    <x v="140"/>
    <s v="2021-07-30"/>
    <x v="0"/>
    <x v="0"/>
    <n v="34"/>
    <x v="9"/>
    <n v="2.35"/>
    <n v="32.090000000000003"/>
    <s v="00411939"/>
  </r>
  <r>
    <x v="140"/>
    <s v="2021-07-30"/>
    <x v="0"/>
    <x v="0"/>
    <n v="33"/>
    <x v="8"/>
    <n v="2.2400000000000002"/>
    <n v="30.5"/>
    <s v="59285411"/>
  </r>
  <r>
    <x v="140"/>
    <s v="2021-07-30"/>
    <x v="0"/>
    <x v="0"/>
    <n v="32"/>
    <x v="5"/>
    <n v="2.21"/>
    <n v="30.04"/>
    <s v="80271455"/>
  </r>
  <r>
    <x v="140"/>
    <s v="2021-07-30"/>
    <x v="0"/>
    <x v="0"/>
    <n v="31"/>
    <x v="10"/>
    <n v="2.21"/>
    <n v="29.94"/>
    <s v="10371492"/>
  </r>
  <r>
    <x v="140"/>
    <s v="2021-07-30"/>
    <x v="0"/>
    <x v="0"/>
    <n v="30"/>
    <x v="42"/>
    <n v="2.0499999999999998"/>
    <n v="27.62"/>
    <s v="34991938"/>
  </r>
  <r>
    <x v="140"/>
    <s v="2021-07-30"/>
    <x v="0"/>
    <x v="0"/>
    <n v="29"/>
    <x v="24"/>
    <n v="1.91"/>
    <n v="25.52"/>
    <s v="22639377"/>
  </r>
  <r>
    <x v="140"/>
    <s v="2021-07-30"/>
    <x v="0"/>
    <x v="0"/>
    <n v="28"/>
    <x v="12"/>
    <n v="1.86"/>
    <n v="24.67"/>
    <s v="04862600"/>
  </r>
  <r>
    <x v="140"/>
    <s v="2021-07-30"/>
    <x v="0"/>
    <x v="0"/>
    <n v="27"/>
    <x v="13"/>
    <n v="1.78"/>
    <n v="23.54"/>
    <s v="07707650"/>
  </r>
  <r>
    <x v="140"/>
    <s v="2021-07-30"/>
    <x v="0"/>
    <x v="0"/>
    <n v="26"/>
    <x v="15"/>
    <n v="1.72"/>
    <n v="22.65"/>
    <s v="59588111"/>
  </r>
  <r>
    <x v="140"/>
    <s v="2021-07-30"/>
    <x v="0"/>
    <x v="0"/>
    <n v="25"/>
    <x v="20"/>
    <n v="1.66"/>
    <n v="21.85"/>
    <s v="17192451"/>
  </r>
  <r>
    <x v="140"/>
    <s v="2021-07-30"/>
    <x v="0"/>
    <x v="0"/>
    <n v="24"/>
    <x v="16"/>
    <n v="1.59"/>
    <n v="20.89"/>
    <s v="07207996"/>
  </r>
  <r>
    <x v="140"/>
    <s v="2021-07-30"/>
    <x v="0"/>
    <x v="0"/>
    <n v="23"/>
    <x v="50"/>
    <n v="1.59"/>
    <n v="20.84"/>
    <s v="31880826"/>
  </r>
  <r>
    <x v="140"/>
    <s v="2021-07-30"/>
    <x v="0"/>
    <x v="0"/>
    <n v="22"/>
    <x v="11"/>
    <n v="1.59"/>
    <n v="20.78"/>
    <s v="03634220"/>
  </r>
  <r>
    <x v="140"/>
    <s v="2021-07-30"/>
    <x v="0"/>
    <x v="0"/>
    <n v="21"/>
    <x v="21"/>
    <n v="1.49"/>
    <n v="19.399999999999999"/>
    <s v="03017677"/>
  </r>
  <r>
    <x v="140"/>
    <s v="2021-07-30"/>
    <x v="0"/>
    <x v="0"/>
    <n v="20"/>
    <x v="28"/>
    <n v="1.43"/>
    <n v="18.600000000000001"/>
    <s v="90400888"/>
  </r>
  <r>
    <x v="140"/>
    <s v="2021-07-30"/>
    <x v="0"/>
    <x v="0"/>
    <n v="19"/>
    <x v="30"/>
    <n v="1.42"/>
    <n v="18.46"/>
    <s v="03502961"/>
  </r>
  <r>
    <x v="140"/>
    <s v="2021-07-30"/>
    <x v="0"/>
    <x v="0"/>
    <n v="18"/>
    <x v="32"/>
    <n v="1.41"/>
    <n v="18.309999999999999"/>
    <s v="60701190"/>
  </r>
  <r>
    <x v="140"/>
    <s v="2021-07-30"/>
    <x v="0"/>
    <x v="0"/>
    <n v="17"/>
    <x v="26"/>
    <n v="1.41"/>
    <n v="18.260000000000002"/>
    <s v="30172491"/>
  </r>
  <r>
    <x v="140"/>
    <s v="2021-07-30"/>
    <x v="0"/>
    <x v="0"/>
    <n v="16"/>
    <x v="18"/>
    <n v="1.39"/>
    <n v="18.04"/>
    <s v="28127603"/>
  </r>
  <r>
    <x v="140"/>
    <s v="2021-07-30"/>
    <x v="0"/>
    <x v="0"/>
    <n v="15"/>
    <x v="29"/>
    <n v="1.38"/>
    <n v="17.87"/>
    <s v="60746948"/>
  </r>
  <r>
    <x v="140"/>
    <s v="2021-07-30"/>
    <x v="0"/>
    <x v="0"/>
    <n v="14"/>
    <x v="25"/>
    <n v="1.36"/>
    <n v="17.600000000000001"/>
    <s v="59274605"/>
  </r>
  <r>
    <x v="140"/>
    <s v="2021-07-30"/>
    <x v="0"/>
    <x v="0"/>
    <n v="13"/>
    <x v="44"/>
    <n v="1.3"/>
    <n v="16.75"/>
    <s v="58017179"/>
  </r>
  <r>
    <x v="140"/>
    <s v="2021-07-30"/>
    <x v="0"/>
    <x v="0"/>
    <n v="12"/>
    <x v="23"/>
    <n v="1.29"/>
    <n v="16.600000000000001"/>
    <s v="03215790"/>
  </r>
  <r>
    <x v="140"/>
    <s v="2021-07-30"/>
    <x v="0"/>
    <x v="0"/>
    <n v="11"/>
    <x v="33"/>
    <n v="1.26"/>
    <n v="16.190000000000001"/>
    <s v="62307848"/>
  </r>
  <r>
    <x v="140"/>
    <s v="2021-07-30"/>
    <x v="0"/>
    <x v="0"/>
    <n v="10"/>
    <x v="27"/>
    <n v="1.23"/>
    <n v="15.77"/>
    <s v="00000000"/>
  </r>
  <r>
    <x v="140"/>
    <s v="2021-07-30"/>
    <x v="0"/>
    <x v="0"/>
    <n v="9"/>
    <x v="34"/>
    <n v="1.22"/>
    <n v="15.71"/>
    <s v="33603457"/>
  </r>
  <r>
    <x v="140"/>
    <s v="2021-07-30"/>
    <x v="0"/>
    <x v="0"/>
    <n v="8"/>
    <x v="31"/>
    <n v="1.21"/>
    <n v="15.48"/>
    <s v="17167412"/>
  </r>
  <r>
    <x v="140"/>
    <s v="2021-07-30"/>
    <x v="0"/>
    <x v="0"/>
    <n v="7"/>
    <x v="37"/>
    <n v="1.18"/>
    <n v="15.16"/>
    <s v="04452473"/>
  </r>
  <r>
    <x v="140"/>
    <s v="2021-07-30"/>
    <x v="0"/>
    <x v="0"/>
    <n v="6"/>
    <x v="39"/>
    <n v="1.1200000000000001"/>
    <n v="14.29"/>
    <s v="04902979"/>
  </r>
  <r>
    <x v="140"/>
    <s v="2021-07-30"/>
    <x v="0"/>
    <x v="0"/>
    <n v="5"/>
    <x v="36"/>
    <n v="1.06"/>
    <n v="13.47"/>
    <s v="33136888"/>
  </r>
  <r>
    <x v="140"/>
    <s v="2021-07-30"/>
    <x v="0"/>
    <x v="0"/>
    <n v="4"/>
    <x v="43"/>
    <n v="1.05"/>
    <n v="13.36"/>
    <s v="07441209"/>
  </r>
  <r>
    <x v="140"/>
    <s v="2021-07-30"/>
    <x v="0"/>
    <x v="0"/>
    <n v="3"/>
    <x v="35"/>
    <n v="1.01"/>
    <n v="12.82"/>
    <s v="59109165"/>
  </r>
  <r>
    <x v="140"/>
    <s v="2021-07-30"/>
    <x v="0"/>
    <x v="0"/>
    <n v="2"/>
    <x v="38"/>
    <n v="0.99"/>
    <n v="12.55"/>
    <s v="60814191"/>
  </r>
  <r>
    <x v="140"/>
    <s v="2021-07-30"/>
    <x v="0"/>
    <x v="0"/>
    <n v="1"/>
    <x v="40"/>
    <n v="0.98"/>
    <n v="12.43"/>
    <s v="02992446"/>
  </r>
  <r>
    <x v="141"/>
    <s v="2021-08-02"/>
    <x v="0"/>
    <x v="0"/>
    <n v="42"/>
    <x v="3"/>
    <n v="3.27"/>
    <n v="47.07"/>
    <s v="05503849"/>
  </r>
  <r>
    <x v="141"/>
    <s v="2021-08-02"/>
    <x v="0"/>
    <x v="0"/>
    <n v="41"/>
    <x v="0"/>
    <n v="3.15"/>
    <n v="45.01"/>
    <s v="60850229"/>
  </r>
  <r>
    <x v="141"/>
    <s v="2021-08-02"/>
    <x v="0"/>
    <x v="0"/>
    <n v="40"/>
    <x v="2"/>
    <n v="3.12"/>
    <n v="44.62"/>
    <s v="92228410"/>
  </r>
  <r>
    <x v="141"/>
    <s v="2021-08-02"/>
    <x v="0"/>
    <x v="0"/>
    <n v="39"/>
    <x v="1"/>
    <n v="3.05"/>
    <n v="43.36"/>
    <s v="01800019"/>
  </r>
  <r>
    <x v="141"/>
    <s v="2021-08-02"/>
    <x v="0"/>
    <x v="0"/>
    <n v="38"/>
    <x v="7"/>
    <n v="2.83"/>
    <n v="39.85"/>
    <s v="92874270"/>
  </r>
  <r>
    <x v="141"/>
    <s v="2021-08-02"/>
    <x v="0"/>
    <x v="0"/>
    <n v="37"/>
    <x v="4"/>
    <n v="2.65"/>
    <n v="36.909999999999997"/>
    <s v="62232889"/>
  </r>
  <r>
    <x v="141"/>
    <s v="2021-08-02"/>
    <x v="0"/>
    <x v="0"/>
    <n v="36"/>
    <x v="6"/>
    <n v="2.42"/>
    <n v="33.29"/>
    <s v="05676026"/>
  </r>
  <r>
    <x v="141"/>
    <s v="2021-08-02"/>
    <x v="0"/>
    <x v="0"/>
    <n v="35"/>
    <x v="9"/>
    <n v="2.35"/>
    <n v="32.200000000000003"/>
    <s v="00411939"/>
  </r>
  <r>
    <x v="141"/>
    <s v="2021-08-02"/>
    <x v="0"/>
    <x v="0"/>
    <n v="34"/>
    <x v="8"/>
    <n v="2.2400000000000002"/>
    <n v="30.45"/>
    <s v="59285411"/>
  </r>
  <r>
    <x v="141"/>
    <s v="2021-08-02"/>
    <x v="0"/>
    <x v="0"/>
    <n v="33"/>
    <x v="10"/>
    <n v="2.2000000000000002"/>
    <n v="29.82"/>
    <s v="10371492"/>
  </r>
  <r>
    <x v="141"/>
    <s v="2021-08-02"/>
    <x v="0"/>
    <x v="0"/>
    <n v="32"/>
    <x v="5"/>
    <n v="2.2000000000000002"/>
    <n v="29.8"/>
    <s v="80271455"/>
  </r>
  <r>
    <x v="141"/>
    <s v="2021-08-02"/>
    <x v="0"/>
    <x v="0"/>
    <n v="31"/>
    <x v="42"/>
    <n v="2.0299999999999998"/>
    <n v="27.33"/>
    <s v="34991938"/>
  </r>
  <r>
    <x v="141"/>
    <s v="2021-08-02"/>
    <x v="0"/>
    <x v="0"/>
    <n v="30"/>
    <x v="24"/>
    <n v="1.9"/>
    <n v="25.36"/>
    <s v="22639377"/>
  </r>
  <r>
    <x v="141"/>
    <s v="2021-08-02"/>
    <x v="0"/>
    <x v="0"/>
    <n v="29"/>
    <x v="12"/>
    <n v="1.85"/>
    <n v="24.57"/>
    <s v="04862600"/>
  </r>
  <r>
    <x v="141"/>
    <s v="2021-08-02"/>
    <x v="0"/>
    <x v="0"/>
    <n v="28"/>
    <x v="13"/>
    <n v="1.77"/>
    <n v="23.39"/>
    <s v="07707650"/>
  </r>
  <r>
    <x v="141"/>
    <s v="2021-08-02"/>
    <x v="0"/>
    <x v="0"/>
    <n v="27"/>
    <x v="41"/>
    <n v="1.76"/>
    <n v="23.25"/>
    <s v="20443996"/>
  </r>
  <r>
    <x v="141"/>
    <s v="2021-08-02"/>
    <x v="0"/>
    <x v="0"/>
    <n v="26"/>
    <x v="15"/>
    <n v="1.72"/>
    <n v="22.64"/>
    <s v="59588111"/>
  </r>
  <r>
    <x v="141"/>
    <s v="2021-08-02"/>
    <x v="0"/>
    <x v="0"/>
    <n v="25"/>
    <x v="20"/>
    <n v="1.66"/>
    <n v="21.89"/>
    <s v="17192451"/>
  </r>
  <r>
    <x v="141"/>
    <s v="2021-08-02"/>
    <x v="0"/>
    <x v="0"/>
    <n v="24"/>
    <x v="16"/>
    <n v="1.59"/>
    <n v="20.88"/>
    <s v="07207996"/>
  </r>
  <r>
    <x v="141"/>
    <s v="2021-08-02"/>
    <x v="0"/>
    <x v="0"/>
    <n v="23"/>
    <x v="50"/>
    <n v="1.59"/>
    <n v="20.84"/>
    <s v="31880826"/>
  </r>
  <r>
    <x v="141"/>
    <s v="2021-08-02"/>
    <x v="0"/>
    <x v="0"/>
    <n v="22"/>
    <x v="11"/>
    <n v="1.54"/>
    <n v="20.18"/>
    <s v="03634220"/>
  </r>
  <r>
    <x v="141"/>
    <s v="2021-08-02"/>
    <x v="0"/>
    <x v="0"/>
    <n v="21"/>
    <x v="21"/>
    <n v="1.49"/>
    <n v="19.38"/>
    <s v="03017677"/>
  </r>
  <r>
    <x v="141"/>
    <s v="2021-08-02"/>
    <x v="0"/>
    <x v="0"/>
    <n v="20"/>
    <x v="28"/>
    <n v="1.42"/>
    <n v="18.47"/>
    <s v="90400888"/>
  </r>
  <r>
    <x v="141"/>
    <s v="2021-08-02"/>
    <x v="0"/>
    <x v="0"/>
    <n v="19"/>
    <x v="30"/>
    <n v="1.42"/>
    <n v="18.420000000000002"/>
    <s v="03502961"/>
  </r>
  <r>
    <x v="141"/>
    <s v="2021-08-02"/>
    <x v="0"/>
    <x v="0"/>
    <n v="18"/>
    <x v="26"/>
    <n v="1.4"/>
    <n v="18.21"/>
    <s v="30172491"/>
  </r>
  <r>
    <x v="141"/>
    <s v="2021-08-02"/>
    <x v="0"/>
    <x v="0"/>
    <n v="17"/>
    <x v="32"/>
    <n v="1.4"/>
    <n v="18.21"/>
    <s v="60701190"/>
  </r>
  <r>
    <x v="141"/>
    <s v="2021-08-02"/>
    <x v="0"/>
    <x v="0"/>
    <n v="16"/>
    <x v="29"/>
    <n v="1.38"/>
    <n v="17.89"/>
    <s v="60746948"/>
  </r>
  <r>
    <x v="141"/>
    <s v="2021-08-02"/>
    <x v="0"/>
    <x v="0"/>
    <n v="15"/>
    <x v="25"/>
    <n v="1.36"/>
    <n v="17.52"/>
    <s v="59274605"/>
  </r>
  <r>
    <x v="141"/>
    <s v="2021-08-02"/>
    <x v="0"/>
    <x v="0"/>
    <n v="14"/>
    <x v="18"/>
    <n v="1.32"/>
    <n v="17.010000000000002"/>
    <s v="28127603"/>
  </r>
  <r>
    <x v="141"/>
    <s v="2021-08-02"/>
    <x v="0"/>
    <x v="0"/>
    <n v="13"/>
    <x v="44"/>
    <n v="1.31"/>
    <n v="16.91"/>
    <s v="58017179"/>
  </r>
  <r>
    <x v="141"/>
    <s v="2021-08-02"/>
    <x v="0"/>
    <x v="0"/>
    <n v="12"/>
    <x v="23"/>
    <n v="1.29"/>
    <n v="16.559999999999999"/>
    <s v="03215790"/>
  </r>
  <r>
    <x v="141"/>
    <s v="2021-08-02"/>
    <x v="0"/>
    <x v="0"/>
    <n v="11"/>
    <x v="33"/>
    <n v="1.26"/>
    <n v="16.22"/>
    <s v="62307848"/>
  </r>
  <r>
    <x v="141"/>
    <s v="2021-08-02"/>
    <x v="0"/>
    <x v="0"/>
    <n v="10"/>
    <x v="34"/>
    <n v="1.25"/>
    <n v="16.059999999999999"/>
    <s v="33603457"/>
  </r>
  <r>
    <x v="141"/>
    <s v="2021-08-02"/>
    <x v="0"/>
    <x v="0"/>
    <n v="9"/>
    <x v="27"/>
    <n v="1.22"/>
    <n v="15.63"/>
    <s v="00000000"/>
  </r>
  <r>
    <x v="141"/>
    <s v="2021-08-02"/>
    <x v="0"/>
    <x v="0"/>
    <n v="8"/>
    <x v="31"/>
    <n v="1.21"/>
    <n v="15.5"/>
    <s v="17167412"/>
  </r>
  <r>
    <x v="141"/>
    <s v="2021-08-02"/>
    <x v="0"/>
    <x v="0"/>
    <n v="7"/>
    <x v="37"/>
    <n v="1.18"/>
    <n v="15.16"/>
    <s v="04452473"/>
  </r>
  <r>
    <x v="141"/>
    <s v="2021-08-02"/>
    <x v="0"/>
    <x v="0"/>
    <n v="6"/>
    <x v="39"/>
    <n v="1.1200000000000001"/>
    <n v="14.29"/>
    <s v="04902979"/>
  </r>
  <r>
    <x v="141"/>
    <s v="2021-08-02"/>
    <x v="0"/>
    <x v="0"/>
    <n v="5"/>
    <x v="36"/>
    <n v="1.1100000000000001"/>
    <n v="14.15"/>
    <s v="33136888"/>
  </r>
  <r>
    <x v="141"/>
    <s v="2021-08-02"/>
    <x v="0"/>
    <x v="0"/>
    <n v="4"/>
    <x v="43"/>
    <n v="1.05"/>
    <n v="13.36"/>
    <s v="07441209"/>
  </r>
  <r>
    <x v="141"/>
    <s v="2021-08-02"/>
    <x v="0"/>
    <x v="0"/>
    <n v="3"/>
    <x v="35"/>
    <n v="1.01"/>
    <n v="12.78"/>
    <s v="59109165"/>
  </r>
  <r>
    <x v="141"/>
    <s v="2021-08-02"/>
    <x v="0"/>
    <x v="0"/>
    <n v="2"/>
    <x v="38"/>
    <n v="1"/>
    <n v="12.64"/>
    <s v="60814191"/>
  </r>
  <r>
    <x v="141"/>
    <s v="2021-08-02"/>
    <x v="0"/>
    <x v="0"/>
    <n v="1"/>
    <x v="40"/>
    <n v="1"/>
    <n v="12.64"/>
    <s v="02992446"/>
  </r>
  <r>
    <x v="142"/>
    <s v="2021-08-03"/>
    <x v="0"/>
    <x v="0"/>
    <n v="42"/>
    <x v="3"/>
    <n v="3.31"/>
    <n v="47.76"/>
    <s v="05503849"/>
  </r>
  <r>
    <x v="142"/>
    <s v="2021-08-03"/>
    <x v="0"/>
    <x v="0"/>
    <n v="41"/>
    <x v="1"/>
    <n v="3.18"/>
    <n v="45.67"/>
    <s v="01800019"/>
  </r>
  <r>
    <x v="142"/>
    <s v="2021-08-03"/>
    <x v="0"/>
    <x v="0"/>
    <n v="40"/>
    <x v="0"/>
    <n v="3.17"/>
    <n v="45.38"/>
    <s v="60850229"/>
  </r>
  <r>
    <x v="142"/>
    <s v="2021-08-03"/>
    <x v="0"/>
    <x v="0"/>
    <n v="39"/>
    <x v="2"/>
    <n v="3.11"/>
    <n v="44.47"/>
    <s v="92228410"/>
  </r>
  <r>
    <x v="142"/>
    <s v="2021-08-03"/>
    <x v="0"/>
    <x v="0"/>
    <n v="38"/>
    <x v="7"/>
    <n v="2.86"/>
    <n v="40.200000000000003"/>
    <s v="92874270"/>
  </r>
  <r>
    <x v="142"/>
    <s v="2021-08-03"/>
    <x v="0"/>
    <x v="0"/>
    <n v="37"/>
    <x v="4"/>
    <n v="2.65"/>
    <n v="36.89"/>
    <s v="62232889"/>
  </r>
  <r>
    <x v="142"/>
    <s v="2021-08-03"/>
    <x v="0"/>
    <x v="0"/>
    <n v="36"/>
    <x v="6"/>
    <n v="2.4300000000000002"/>
    <n v="33.31"/>
    <s v="05676026"/>
  </r>
  <r>
    <x v="142"/>
    <s v="2021-08-03"/>
    <x v="0"/>
    <x v="0"/>
    <n v="35"/>
    <x v="9"/>
    <n v="2.36"/>
    <n v="32.29"/>
    <s v="00411939"/>
  </r>
  <r>
    <x v="142"/>
    <s v="2021-08-03"/>
    <x v="0"/>
    <x v="0"/>
    <n v="34"/>
    <x v="5"/>
    <n v="2.3199999999999998"/>
    <n v="31.64"/>
    <s v="80271455"/>
  </r>
  <r>
    <x v="142"/>
    <s v="2021-08-03"/>
    <x v="0"/>
    <x v="0"/>
    <n v="33"/>
    <x v="8"/>
    <n v="2.2400000000000002"/>
    <n v="30.46"/>
    <s v="59285411"/>
  </r>
  <r>
    <x v="142"/>
    <s v="2021-08-03"/>
    <x v="0"/>
    <x v="0"/>
    <n v="32"/>
    <x v="10"/>
    <n v="2.2000000000000002"/>
    <n v="29.85"/>
    <s v="10371492"/>
  </r>
  <r>
    <x v="142"/>
    <s v="2021-08-03"/>
    <x v="0"/>
    <x v="0"/>
    <n v="31"/>
    <x v="42"/>
    <n v="2.04"/>
    <n v="27.37"/>
    <s v="34991938"/>
  </r>
  <r>
    <x v="142"/>
    <s v="2021-08-03"/>
    <x v="0"/>
    <x v="0"/>
    <n v="30"/>
    <x v="12"/>
    <n v="1.84"/>
    <n v="24.44"/>
    <s v="04862600"/>
  </r>
  <r>
    <x v="142"/>
    <s v="2021-08-03"/>
    <x v="0"/>
    <x v="0"/>
    <n v="29"/>
    <x v="24"/>
    <n v="1.82"/>
    <n v="24.13"/>
    <s v="22639377"/>
  </r>
  <r>
    <x v="142"/>
    <s v="2021-08-03"/>
    <x v="0"/>
    <x v="0"/>
    <n v="28"/>
    <x v="13"/>
    <n v="1.76"/>
    <n v="23.36"/>
    <s v="07707650"/>
  </r>
  <r>
    <x v="142"/>
    <s v="2021-08-03"/>
    <x v="0"/>
    <x v="0"/>
    <n v="27"/>
    <x v="41"/>
    <n v="1.76"/>
    <n v="23.25"/>
    <s v="20443996"/>
  </r>
  <r>
    <x v="142"/>
    <s v="2021-08-03"/>
    <x v="0"/>
    <x v="0"/>
    <n v="26"/>
    <x v="15"/>
    <n v="1.71"/>
    <n v="22.57"/>
    <s v="59588111"/>
  </r>
  <r>
    <x v="142"/>
    <s v="2021-08-03"/>
    <x v="0"/>
    <x v="0"/>
    <n v="25"/>
    <x v="49"/>
    <n v="1.67"/>
    <n v="22.04"/>
    <s v="58160789"/>
  </r>
  <r>
    <x v="142"/>
    <s v="2021-08-03"/>
    <x v="0"/>
    <x v="0"/>
    <n v="24"/>
    <x v="20"/>
    <n v="1.66"/>
    <n v="21.86"/>
    <s v="17192451"/>
  </r>
  <r>
    <x v="142"/>
    <s v="2021-08-03"/>
    <x v="0"/>
    <x v="0"/>
    <n v="23"/>
    <x v="16"/>
    <n v="1.6"/>
    <n v="21.02"/>
    <s v="07207996"/>
  </r>
  <r>
    <x v="142"/>
    <s v="2021-08-03"/>
    <x v="0"/>
    <x v="0"/>
    <n v="22"/>
    <x v="11"/>
    <n v="1.51"/>
    <n v="19.68"/>
    <s v="03634220"/>
  </r>
  <r>
    <x v="142"/>
    <s v="2021-08-03"/>
    <x v="0"/>
    <x v="0"/>
    <n v="21"/>
    <x v="21"/>
    <n v="1.48"/>
    <n v="19.32"/>
    <s v="03017677"/>
  </r>
  <r>
    <x v="142"/>
    <s v="2021-08-03"/>
    <x v="0"/>
    <x v="0"/>
    <n v="20"/>
    <x v="28"/>
    <n v="1.47"/>
    <n v="19.09"/>
    <s v="90400888"/>
  </r>
  <r>
    <x v="142"/>
    <s v="2021-08-03"/>
    <x v="0"/>
    <x v="0"/>
    <n v="19"/>
    <x v="30"/>
    <n v="1.42"/>
    <n v="18.399999999999999"/>
    <s v="03502961"/>
  </r>
  <r>
    <x v="142"/>
    <s v="2021-08-03"/>
    <x v="0"/>
    <x v="0"/>
    <n v="18"/>
    <x v="32"/>
    <n v="1.41"/>
    <n v="18.23"/>
    <s v="60701190"/>
  </r>
  <r>
    <x v="142"/>
    <s v="2021-08-03"/>
    <x v="0"/>
    <x v="0"/>
    <n v="17"/>
    <x v="29"/>
    <n v="1.38"/>
    <n v="17.809999999999999"/>
    <s v="60746948"/>
  </r>
  <r>
    <x v="142"/>
    <s v="2021-08-03"/>
    <x v="0"/>
    <x v="0"/>
    <n v="16"/>
    <x v="26"/>
    <n v="1.37"/>
    <n v="17.75"/>
    <s v="30172491"/>
  </r>
  <r>
    <x v="142"/>
    <s v="2021-08-03"/>
    <x v="0"/>
    <x v="0"/>
    <n v="15"/>
    <x v="25"/>
    <n v="1.36"/>
    <n v="17.579999999999998"/>
    <s v="59274605"/>
  </r>
  <r>
    <x v="142"/>
    <s v="2021-08-03"/>
    <x v="0"/>
    <x v="0"/>
    <n v="14"/>
    <x v="23"/>
    <n v="1.28"/>
    <n v="16.54"/>
    <s v="03215790"/>
  </r>
  <r>
    <x v="142"/>
    <s v="2021-08-03"/>
    <x v="0"/>
    <x v="0"/>
    <n v="13"/>
    <x v="34"/>
    <n v="1.28"/>
    <n v="16.46"/>
    <s v="33603457"/>
  </r>
  <r>
    <x v="142"/>
    <s v="2021-08-03"/>
    <x v="0"/>
    <x v="0"/>
    <n v="12"/>
    <x v="18"/>
    <n v="1.27"/>
    <n v="16.329999999999998"/>
    <s v="28127603"/>
  </r>
  <r>
    <x v="142"/>
    <s v="2021-08-03"/>
    <x v="0"/>
    <x v="0"/>
    <n v="11"/>
    <x v="33"/>
    <n v="1.26"/>
    <n v="16.149999999999999"/>
    <s v="62307848"/>
  </r>
  <r>
    <x v="142"/>
    <s v="2021-08-03"/>
    <x v="0"/>
    <x v="0"/>
    <n v="10"/>
    <x v="27"/>
    <n v="1.21"/>
    <n v="15.46"/>
    <s v="00000000"/>
  </r>
  <r>
    <x v="142"/>
    <s v="2021-08-03"/>
    <x v="0"/>
    <x v="0"/>
    <n v="9"/>
    <x v="31"/>
    <n v="1.2"/>
    <n v="15.33"/>
    <s v="17167412"/>
  </r>
  <r>
    <x v="142"/>
    <s v="2021-08-03"/>
    <x v="0"/>
    <x v="0"/>
    <n v="8"/>
    <x v="44"/>
    <n v="1.19"/>
    <n v="15.28"/>
    <s v="58017179"/>
  </r>
  <r>
    <x v="142"/>
    <s v="2021-08-03"/>
    <x v="0"/>
    <x v="0"/>
    <n v="7"/>
    <x v="37"/>
    <n v="1.19"/>
    <n v="15.18"/>
    <s v="04452473"/>
  </r>
  <r>
    <x v="142"/>
    <s v="2021-08-03"/>
    <x v="0"/>
    <x v="0"/>
    <n v="6"/>
    <x v="39"/>
    <n v="1.1200000000000001"/>
    <n v="14.29"/>
    <s v="04902979"/>
  </r>
  <r>
    <x v="142"/>
    <s v="2021-08-03"/>
    <x v="0"/>
    <x v="0"/>
    <n v="5"/>
    <x v="36"/>
    <n v="1.1100000000000001"/>
    <n v="14.15"/>
    <s v="33136888"/>
  </r>
  <r>
    <x v="142"/>
    <s v="2021-08-03"/>
    <x v="0"/>
    <x v="0"/>
    <n v="4"/>
    <x v="43"/>
    <n v="1.05"/>
    <n v="13.36"/>
    <s v="07441209"/>
  </r>
  <r>
    <x v="142"/>
    <s v="2021-08-03"/>
    <x v="0"/>
    <x v="0"/>
    <n v="3"/>
    <x v="35"/>
    <n v="1"/>
    <n v="12.74"/>
    <s v="59109165"/>
  </r>
  <r>
    <x v="142"/>
    <s v="2021-08-03"/>
    <x v="0"/>
    <x v="0"/>
    <n v="2"/>
    <x v="38"/>
    <n v="1"/>
    <n v="12.71"/>
    <s v="60814191"/>
  </r>
  <r>
    <x v="142"/>
    <s v="2021-08-03"/>
    <x v="0"/>
    <x v="0"/>
    <n v="1"/>
    <x v="40"/>
    <n v="0.98"/>
    <n v="12.34"/>
    <s v="02992446"/>
  </r>
  <r>
    <x v="143"/>
    <s v="2021-08-04"/>
    <x v="0"/>
    <x v="0"/>
    <n v="44"/>
    <x v="3"/>
    <n v="3.3"/>
    <n v="47.6"/>
    <s v="05503849"/>
  </r>
  <r>
    <x v="143"/>
    <s v="2021-08-04"/>
    <x v="0"/>
    <x v="0"/>
    <n v="43"/>
    <x v="1"/>
    <n v="3.27"/>
    <n v="47.05"/>
    <s v="01800019"/>
  </r>
  <r>
    <x v="143"/>
    <s v="2021-08-04"/>
    <x v="0"/>
    <x v="0"/>
    <n v="42"/>
    <x v="2"/>
    <n v="3.15"/>
    <n v="45.04"/>
    <s v="92228410"/>
  </r>
  <r>
    <x v="143"/>
    <s v="2021-08-04"/>
    <x v="0"/>
    <x v="0"/>
    <n v="41"/>
    <x v="0"/>
    <n v="3.05"/>
    <n v="43.43"/>
    <s v="60850229"/>
  </r>
  <r>
    <x v="143"/>
    <s v="2021-08-04"/>
    <x v="0"/>
    <x v="0"/>
    <n v="40"/>
    <x v="7"/>
    <n v="2.86"/>
    <n v="40.26"/>
    <s v="92874270"/>
  </r>
  <r>
    <x v="143"/>
    <s v="2021-08-04"/>
    <x v="0"/>
    <x v="0"/>
    <n v="39"/>
    <x v="4"/>
    <n v="2.65"/>
    <n v="36.880000000000003"/>
    <s v="62232889"/>
  </r>
  <r>
    <x v="143"/>
    <s v="2021-08-04"/>
    <x v="0"/>
    <x v="0"/>
    <n v="38"/>
    <x v="5"/>
    <n v="2.4900000000000002"/>
    <n v="34.25"/>
    <s v="80271455"/>
  </r>
  <r>
    <x v="143"/>
    <s v="2021-08-04"/>
    <x v="0"/>
    <x v="0"/>
    <n v="37"/>
    <x v="6"/>
    <n v="2.42"/>
    <n v="33.29"/>
    <s v="05676026"/>
  </r>
  <r>
    <x v="143"/>
    <s v="2021-08-04"/>
    <x v="0"/>
    <x v="0"/>
    <n v="36"/>
    <x v="9"/>
    <n v="2.33"/>
    <n v="31.84"/>
    <s v="00411939"/>
  </r>
  <r>
    <x v="143"/>
    <s v="2021-08-04"/>
    <x v="0"/>
    <x v="0"/>
    <n v="35"/>
    <x v="8"/>
    <n v="2.2400000000000002"/>
    <n v="30.48"/>
    <s v="59285411"/>
  </r>
  <r>
    <x v="143"/>
    <s v="2021-08-04"/>
    <x v="0"/>
    <x v="0"/>
    <n v="34"/>
    <x v="10"/>
    <n v="2.21"/>
    <n v="29.95"/>
    <s v="10371492"/>
  </r>
  <r>
    <x v="143"/>
    <s v="2021-08-04"/>
    <x v="0"/>
    <x v="0"/>
    <n v="33"/>
    <x v="42"/>
    <n v="2.0299999999999998"/>
    <n v="27.29"/>
    <s v="34991938"/>
  </r>
  <r>
    <x v="143"/>
    <s v="2021-08-04"/>
    <x v="0"/>
    <x v="0"/>
    <n v="32"/>
    <x v="12"/>
    <n v="1.82"/>
    <n v="24.18"/>
    <s v="04862600"/>
  </r>
  <r>
    <x v="143"/>
    <s v="2021-08-04"/>
    <x v="0"/>
    <x v="0"/>
    <n v="31"/>
    <x v="24"/>
    <n v="1.8"/>
    <n v="23.89"/>
    <s v="22639377"/>
  </r>
  <r>
    <x v="143"/>
    <s v="2021-08-04"/>
    <x v="0"/>
    <x v="0"/>
    <n v="30"/>
    <x v="13"/>
    <n v="1.76"/>
    <n v="23.31"/>
    <s v="07707650"/>
  </r>
  <r>
    <x v="143"/>
    <s v="2021-08-04"/>
    <x v="0"/>
    <x v="0"/>
    <n v="29"/>
    <x v="41"/>
    <n v="1.76"/>
    <n v="23.25"/>
    <s v="20443996"/>
  </r>
  <r>
    <x v="143"/>
    <s v="2021-08-04"/>
    <x v="0"/>
    <x v="0"/>
    <n v="28"/>
    <x v="15"/>
    <n v="1.71"/>
    <n v="22.55"/>
    <s v="59588111"/>
  </r>
  <r>
    <x v="143"/>
    <s v="2021-08-04"/>
    <x v="0"/>
    <x v="0"/>
    <n v="27"/>
    <x v="49"/>
    <n v="1.67"/>
    <n v="22.04"/>
    <s v="58160789"/>
  </r>
  <r>
    <x v="143"/>
    <s v="2021-08-04"/>
    <x v="0"/>
    <x v="0"/>
    <n v="26"/>
    <x v="20"/>
    <n v="1.66"/>
    <n v="21.9"/>
    <s v="17192451"/>
  </r>
  <r>
    <x v="143"/>
    <s v="2021-08-04"/>
    <x v="0"/>
    <x v="0"/>
    <n v="25"/>
    <x v="16"/>
    <n v="1.61"/>
    <n v="21.15"/>
    <s v="07207996"/>
  </r>
  <r>
    <x v="143"/>
    <s v="2021-08-04"/>
    <x v="0"/>
    <x v="0"/>
    <n v="24"/>
    <x v="11"/>
    <n v="1.53"/>
    <n v="19.920000000000002"/>
    <s v="03634220"/>
  </r>
  <r>
    <x v="143"/>
    <s v="2021-08-04"/>
    <x v="0"/>
    <x v="0"/>
    <n v="23"/>
    <x v="28"/>
    <n v="1.48"/>
    <n v="19.309999999999999"/>
    <s v="90400888"/>
  </r>
  <r>
    <x v="143"/>
    <s v="2021-08-04"/>
    <x v="0"/>
    <x v="0"/>
    <n v="22"/>
    <x v="21"/>
    <n v="1.48"/>
    <n v="19.3"/>
    <s v="03017677"/>
  </r>
  <r>
    <x v="143"/>
    <s v="2021-08-04"/>
    <x v="0"/>
    <x v="0"/>
    <n v="21"/>
    <x v="30"/>
    <n v="1.43"/>
    <n v="18.53"/>
    <s v="03502961"/>
  </r>
  <r>
    <x v="143"/>
    <s v="2021-08-04"/>
    <x v="0"/>
    <x v="0"/>
    <n v="20"/>
    <x v="32"/>
    <n v="1.42"/>
    <n v="18.440000000000001"/>
    <s v="60701190"/>
  </r>
  <r>
    <x v="143"/>
    <s v="2021-08-04"/>
    <x v="0"/>
    <x v="0"/>
    <n v="19"/>
    <x v="29"/>
    <n v="1.38"/>
    <n v="17.899999999999999"/>
    <s v="60746948"/>
  </r>
  <r>
    <x v="143"/>
    <s v="2021-08-04"/>
    <x v="0"/>
    <x v="0"/>
    <n v="18"/>
    <x v="26"/>
    <n v="1.36"/>
    <n v="17.579999999999998"/>
    <s v="30172491"/>
  </r>
  <r>
    <x v="143"/>
    <s v="2021-08-04"/>
    <x v="0"/>
    <x v="0"/>
    <n v="17"/>
    <x v="25"/>
    <n v="1.35"/>
    <n v="17.41"/>
    <s v="59274605"/>
  </r>
  <r>
    <x v="143"/>
    <s v="2021-08-04"/>
    <x v="0"/>
    <x v="0"/>
    <n v="16"/>
    <x v="23"/>
    <n v="1.29"/>
    <n v="16.559999999999999"/>
    <s v="03215790"/>
  </r>
  <r>
    <x v="143"/>
    <s v="2021-08-04"/>
    <x v="0"/>
    <x v="0"/>
    <n v="15"/>
    <x v="14"/>
    <n v="1.27"/>
    <n v="16.350000000000001"/>
    <s v="00360305"/>
  </r>
  <r>
    <x v="143"/>
    <s v="2021-08-04"/>
    <x v="0"/>
    <x v="0"/>
    <n v="14"/>
    <x v="34"/>
    <n v="1.27"/>
    <n v="16.309999999999999"/>
    <s v="33603457"/>
  </r>
  <r>
    <x v="143"/>
    <s v="2021-08-04"/>
    <x v="0"/>
    <x v="0"/>
    <n v="13"/>
    <x v="33"/>
    <n v="1.26"/>
    <n v="16.260000000000002"/>
    <s v="62307848"/>
  </r>
  <r>
    <x v="143"/>
    <s v="2021-08-04"/>
    <x v="0"/>
    <x v="0"/>
    <n v="12"/>
    <x v="18"/>
    <n v="1.26"/>
    <n v="16.170000000000002"/>
    <s v="28127603"/>
  </r>
  <r>
    <x v="143"/>
    <s v="2021-08-04"/>
    <x v="0"/>
    <x v="0"/>
    <n v="11"/>
    <x v="44"/>
    <n v="1.19"/>
    <n v="15.28"/>
    <s v="58017179"/>
  </r>
  <r>
    <x v="143"/>
    <s v="2021-08-04"/>
    <x v="0"/>
    <x v="0"/>
    <n v="10"/>
    <x v="27"/>
    <n v="1.19"/>
    <n v="15.26"/>
    <s v="00000000"/>
  </r>
  <r>
    <x v="143"/>
    <s v="2021-08-04"/>
    <x v="0"/>
    <x v="0"/>
    <n v="9"/>
    <x v="31"/>
    <n v="1.19"/>
    <n v="15.25"/>
    <s v="17167412"/>
  </r>
  <r>
    <x v="143"/>
    <s v="2021-08-04"/>
    <x v="0"/>
    <x v="0"/>
    <n v="8"/>
    <x v="37"/>
    <n v="1.19"/>
    <n v="15.21"/>
    <s v="04452473"/>
  </r>
  <r>
    <x v="143"/>
    <s v="2021-08-04"/>
    <x v="0"/>
    <x v="0"/>
    <n v="7"/>
    <x v="36"/>
    <n v="1.1100000000000001"/>
    <n v="14.15"/>
    <s v="33136888"/>
  </r>
  <r>
    <x v="143"/>
    <s v="2021-08-04"/>
    <x v="0"/>
    <x v="0"/>
    <n v="6"/>
    <x v="39"/>
    <n v="1.08"/>
    <n v="13.74"/>
    <s v="04902979"/>
  </r>
  <r>
    <x v="143"/>
    <s v="2021-08-04"/>
    <x v="0"/>
    <x v="0"/>
    <n v="5"/>
    <x v="43"/>
    <n v="1.05"/>
    <n v="13.36"/>
    <s v="07441209"/>
  </r>
  <r>
    <x v="143"/>
    <s v="2021-08-04"/>
    <x v="0"/>
    <x v="0"/>
    <n v="4"/>
    <x v="38"/>
    <n v="1.03"/>
    <n v="13.11"/>
    <s v="60814191"/>
  </r>
  <r>
    <x v="143"/>
    <s v="2021-08-04"/>
    <x v="0"/>
    <x v="0"/>
    <n v="3"/>
    <x v="35"/>
    <n v="1"/>
    <n v="12.66"/>
    <s v="59109165"/>
  </r>
  <r>
    <x v="143"/>
    <s v="2021-08-04"/>
    <x v="0"/>
    <x v="0"/>
    <n v="2"/>
    <x v="40"/>
    <n v="0.97"/>
    <n v="12.34"/>
    <s v="02992446"/>
  </r>
  <r>
    <x v="143"/>
    <s v="2021-08-04"/>
    <x v="0"/>
    <x v="0"/>
    <n v="1"/>
    <x v="22"/>
    <n v="0.94"/>
    <n v="11.87"/>
    <s v="11417016"/>
  </r>
  <r>
    <x v="144"/>
    <s v="2021-08-05"/>
    <x v="0"/>
    <x v="0"/>
    <n v="44"/>
    <x v="3"/>
    <n v="3.33"/>
    <n v="48.2"/>
    <s v="05503849"/>
  </r>
  <r>
    <x v="144"/>
    <s v="2021-08-05"/>
    <x v="0"/>
    <x v="0"/>
    <n v="43"/>
    <x v="0"/>
    <n v="3.18"/>
    <n v="45.51"/>
    <s v="60850229"/>
  </r>
  <r>
    <x v="144"/>
    <s v="2021-08-05"/>
    <x v="0"/>
    <x v="0"/>
    <n v="42"/>
    <x v="2"/>
    <n v="3.15"/>
    <n v="45"/>
    <s v="92228410"/>
  </r>
  <r>
    <x v="144"/>
    <s v="2021-08-05"/>
    <x v="0"/>
    <x v="0"/>
    <n v="41"/>
    <x v="1"/>
    <n v="3.14"/>
    <n v="44.87"/>
    <s v="01800019"/>
  </r>
  <r>
    <x v="144"/>
    <s v="2021-08-05"/>
    <x v="0"/>
    <x v="0"/>
    <n v="40"/>
    <x v="7"/>
    <n v="2.87"/>
    <n v="40.380000000000003"/>
    <s v="92874270"/>
  </r>
  <r>
    <x v="144"/>
    <s v="2021-08-05"/>
    <x v="0"/>
    <x v="0"/>
    <n v="39"/>
    <x v="4"/>
    <n v="2.66"/>
    <n v="36.96"/>
    <s v="62232889"/>
  </r>
  <r>
    <x v="144"/>
    <s v="2021-08-05"/>
    <x v="0"/>
    <x v="0"/>
    <n v="38"/>
    <x v="5"/>
    <n v="2.59"/>
    <n v="35.840000000000003"/>
    <s v="80271455"/>
  </r>
  <r>
    <x v="144"/>
    <s v="2021-08-05"/>
    <x v="0"/>
    <x v="0"/>
    <n v="37"/>
    <x v="6"/>
    <n v="2.42"/>
    <n v="33.28"/>
    <s v="05676026"/>
  </r>
  <r>
    <x v="144"/>
    <s v="2021-08-05"/>
    <x v="0"/>
    <x v="0"/>
    <n v="36"/>
    <x v="9"/>
    <n v="2.2999999999999998"/>
    <n v="31.32"/>
    <s v="00411939"/>
  </r>
  <r>
    <x v="144"/>
    <s v="2021-08-05"/>
    <x v="0"/>
    <x v="0"/>
    <n v="35"/>
    <x v="8"/>
    <n v="2.2400000000000002"/>
    <n v="30.49"/>
    <s v="59285411"/>
  </r>
  <r>
    <x v="144"/>
    <s v="2021-08-05"/>
    <x v="0"/>
    <x v="0"/>
    <n v="34"/>
    <x v="42"/>
    <n v="2.2400000000000002"/>
    <n v="30.41"/>
    <s v="34991938"/>
  </r>
  <r>
    <x v="144"/>
    <s v="2021-08-05"/>
    <x v="0"/>
    <x v="0"/>
    <n v="33"/>
    <x v="10"/>
    <n v="2.2000000000000002"/>
    <n v="29.83"/>
    <s v="10371492"/>
  </r>
  <r>
    <x v="144"/>
    <s v="2021-08-05"/>
    <x v="0"/>
    <x v="0"/>
    <n v="32"/>
    <x v="12"/>
    <n v="1.82"/>
    <n v="24.09"/>
    <s v="04862600"/>
  </r>
  <r>
    <x v="144"/>
    <s v="2021-08-05"/>
    <x v="0"/>
    <x v="0"/>
    <n v="31"/>
    <x v="13"/>
    <n v="1.76"/>
    <n v="23.32"/>
    <s v="07707650"/>
  </r>
  <r>
    <x v="144"/>
    <s v="2021-08-05"/>
    <x v="0"/>
    <x v="0"/>
    <n v="30"/>
    <x v="41"/>
    <n v="1.76"/>
    <n v="23.25"/>
    <s v="20443996"/>
  </r>
  <r>
    <x v="144"/>
    <s v="2021-08-05"/>
    <x v="0"/>
    <x v="0"/>
    <n v="29"/>
    <x v="15"/>
    <n v="1.71"/>
    <n v="22.56"/>
    <s v="59588111"/>
  </r>
  <r>
    <x v="144"/>
    <s v="2021-08-05"/>
    <x v="0"/>
    <x v="0"/>
    <n v="28"/>
    <x v="24"/>
    <n v="1.7"/>
    <n v="22.43"/>
    <s v="22639377"/>
  </r>
  <r>
    <x v="144"/>
    <s v="2021-08-05"/>
    <x v="0"/>
    <x v="0"/>
    <n v="27"/>
    <x v="20"/>
    <n v="1.68"/>
    <n v="22.07"/>
    <s v="17192451"/>
  </r>
  <r>
    <x v="144"/>
    <s v="2021-08-05"/>
    <x v="0"/>
    <x v="0"/>
    <n v="26"/>
    <x v="49"/>
    <n v="1.67"/>
    <n v="22.04"/>
    <s v="58160789"/>
  </r>
  <r>
    <x v="144"/>
    <s v="2021-08-05"/>
    <x v="0"/>
    <x v="0"/>
    <n v="25"/>
    <x v="16"/>
    <n v="1.62"/>
    <n v="21.23"/>
    <s v="07207996"/>
  </r>
  <r>
    <x v="144"/>
    <s v="2021-08-05"/>
    <x v="0"/>
    <x v="0"/>
    <n v="24"/>
    <x v="11"/>
    <n v="1.51"/>
    <n v="19.73"/>
    <s v="03634220"/>
  </r>
  <r>
    <x v="144"/>
    <s v="2021-08-05"/>
    <x v="0"/>
    <x v="0"/>
    <n v="23"/>
    <x v="21"/>
    <n v="1.48"/>
    <n v="19.27"/>
    <s v="03017677"/>
  </r>
  <r>
    <x v="144"/>
    <s v="2021-08-05"/>
    <x v="0"/>
    <x v="0"/>
    <n v="22"/>
    <x v="28"/>
    <n v="1.45"/>
    <n v="18.88"/>
    <s v="90400888"/>
  </r>
  <r>
    <x v="144"/>
    <s v="2021-08-05"/>
    <x v="0"/>
    <x v="0"/>
    <n v="21"/>
    <x v="32"/>
    <n v="1.43"/>
    <n v="18.62"/>
    <s v="60701190"/>
  </r>
  <r>
    <x v="144"/>
    <s v="2021-08-05"/>
    <x v="0"/>
    <x v="0"/>
    <n v="20"/>
    <x v="30"/>
    <n v="1.42"/>
    <n v="18.47"/>
    <s v="03502961"/>
  </r>
  <r>
    <x v="144"/>
    <s v="2021-08-05"/>
    <x v="0"/>
    <x v="0"/>
    <n v="19"/>
    <x v="29"/>
    <n v="1.39"/>
    <n v="17.98"/>
    <s v="60746948"/>
  </r>
  <r>
    <x v="144"/>
    <s v="2021-08-05"/>
    <x v="0"/>
    <x v="0"/>
    <n v="18"/>
    <x v="25"/>
    <n v="1.36"/>
    <n v="17.53"/>
    <s v="59274605"/>
  </r>
  <r>
    <x v="144"/>
    <s v="2021-08-05"/>
    <x v="0"/>
    <x v="0"/>
    <n v="17"/>
    <x v="26"/>
    <n v="1.35"/>
    <n v="17.5"/>
    <s v="30172491"/>
  </r>
  <r>
    <x v="144"/>
    <s v="2021-08-05"/>
    <x v="0"/>
    <x v="0"/>
    <n v="16"/>
    <x v="23"/>
    <n v="1.29"/>
    <n v="16.63"/>
    <s v="03215790"/>
  </r>
  <r>
    <x v="144"/>
    <s v="2021-08-05"/>
    <x v="0"/>
    <x v="0"/>
    <n v="15"/>
    <x v="18"/>
    <n v="1.28"/>
    <n v="16.420000000000002"/>
    <s v="28127603"/>
  </r>
  <r>
    <x v="144"/>
    <s v="2021-08-05"/>
    <x v="0"/>
    <x v="0"/>
    <n v="14"/>
    <x v="14"/>
    <n v="1.27"/>
    <n v="16.350000000000001"/>
    <s v="00360305"/>
  </r>
  <r>
    <x v="144"/>
    <s v="2021-08-05"/>
    <x v="0"/>
    <x v="0"/>
    <n v="13"/>
    <x v="33"/>
    <n v="1.27"/>
    <n v="16.34"/>
    <s v="62307848"/>
  </r>
  <r>
    <x v="144"/>
    <s v="2021-08-05"/>
    <x v="0"/>
    <x v="0"/>
    <n v="12"/>
    <x v="34"/>
    <n v="1.26"/>
    <n v="16.25"/>
    <s v="33603457"/>
  </r>
  <r>
    <x v="144"/>
    <s v="2021-08-05"/>
    <x v="0"/>
    <x v="0"/>
    <n v="11"/>
    <x v="36"/>
    <n v="1.22"/>
    <n v="15.73"/>
    <s v="33136888"/>
  </r>
  <r>
    <x v="144"/>
    <s v="2021-08-05"/>
    <x v="0"/>
    <x v="0"/>
    <n v="10"/>
    <x v="44"/>
    <n v="1.21"/>
    <n v="15.53"/>
    <s v="58017179"/>
  </r>
  <r>
    <x v="144"/>
    <s v="2021-08-05"/>
    <x v="0"/>
    <x v="0"/>
    <n v="9"/>
    <x v="27"/>
    <n v="1.19"/>
    <n v="15.27"/>
    <s v="00000000"/>
  </r>
  <r>
    <x v="144"/>
    <s v="2021-08-05"/>
    <x v="0"/>
    <x v="0"/>
    <n v="8"/>
    <x v="31"/>
    <n v="1.19"/>
    <n v="15.26"/>
    <s v="17167412"/>
  </r>
  <r>
    <x v="144"/>
    <s v="2021-08-05"/>
    <x v="0"/>
    <x v="0"/>
    <n v="7"/>
    <x v="37"/>
    <n v="1.19"/>
    <n v="15.23"/>
    <s v="04452473"/>
  </r>
  <r>
    <x v="144"/>
    <s v="2021-08-05"/>
    <x v="0"/>
    <x v="0"/>
    <n v="6"/>
    <x v="39"/>
    <n v="1.08"/>
    <n v="13.74"/>
    <s v="04902979"/>
  </r>
  <r>
    <x v="144"/>
    <s v="2021-08-05"/>
    <x v="0"/>
    <x v="0"/>
    <n v="5"/>
    <x v="43"/>
    <n v="1.06"/>
    <n v="13.49"/>
    <s v="07441209"/>
  </r>
  <r>
    <x v="144"/>
    <s v="2021-08-05"/>
    <x v="0"/>
    <x v="0"/>
    <n v="4"/>
    <x v="38"/>
    <n v="1.05"/>
    <n v="13.31"/>
    <s v="60814191"/>
  </r>
  <r>
    <x v="144"/>
    <s v="2021-08-05"/>
    <x v="0"/>
    <x v="0"/>
    <n v="3"/>
    <x v="40"/>
    <n v="0.99"/>
    <n v="12.59"/>
    <s v="02992446"/>
  </r>
  <r>
    <x v="144"/>
    <s v="2021-08-05"/>
    <x v="0"/>
    <x v="0"/>
    <n v="2"/>
    <x v="35"/>
    <n v="0.99"/>
    <n v="12.59"/>
    <s v="59109165"/>
  </r>
  <r>
    <x v="144"/>
    <s v="2021-08-05"/>
    <x v="0"/>
    <x v="0"/>
    <n v="1"/>
    <x v="22"/>
    <n v="0.94"/>
    <n v="11.86"/>
    <s v="11417016"/>
  </r>
  <r>
    <x v="145"/>
    <s v="2021-08-06"/>
    <x v="0"/>
    <x v="0"/>
    <n v="44"/>
    <x v="3"/>
    <n v="3.33"/>
    <n v="48.08"/>
    <s v="05503849"/>
  </r>
  <r>
    <x v="145"/>
    <s v="2021-08-06"/>
    <x v="0"/>
    <x v="0"/>
    <n v="43"/>
    <x v="1"/>
    <n v="3.23"/>
    <n v="46.36"/>
    <s v="01800019"/>
  </r>
  <r>
    <x v="145"/>
    <s v="2021-08-06"/>
    <x v="0"/>
    <x v="0"/>
    <n v="42"/>
    <x v="2"/>
    <n v="3.17"/>
    <n v="45.47"/>
    <s v="92228410"/>
  </r>
  <r>
    <x v="145"/>
    <s v="2021-08-06"/>
    <x v="0"/>
    <x v="0"/>
    <n v="41"/>
    <x v="0"/>
    <n v="3.16"/>
    <n v="45.18"/>
    <s v="60850229"/>
  </r>
  <r>
    <x v="145"/>
    <s v="2021-08-06"/>
    <x v="0"/>
    <x v="0"/>
    <n v="40"/>
    <x v="7"/>
    <n v="2.88"/>
    <n v="40.53"/>
    <s v="92874270"/>
  </r>
  <r>
    <x v="145"/>
    <s v="2021-08-06"/>
    <x v="0"/>
    <x v="0"/>
    <n v="39"/>
    <x v="5"/>
    <n v="2.71"/>
    <n v="37.78"/>
    <s v="80271455"/>
  </r>
  <r>
    <x v="145"/>
    <s v="2021-08-06"/>
    <x v="0"/>
    <x v="0"/>
    <n v="38"/>
    <x v="4"/>
    <n v="2.67"/>
    <n v="37.119999999999997"/>
    <s v="62232889"/>
  </r>
  <r>
    <x v="145"/>
    <s v="2021-08-06"/>
    <x v="0"/>
    <x v="0"/>
    <n v="37"/>
    <x v="6"/>
    <n v="2.42"/>
    <n v="33.24"/>
    <s v="05676026"/>
  </r>
  <r>
    <x v="145"/>
    <s v="2021-08-06"/>
    <x v="0"/>
    <x v="0"/>
    <n v="36"/>
    <x v="9"/>
    <n v="2.29"/>
    <n v="31.27"/>
    <s v="00411939"/>
  </r>
  <r>
    <x v="145"/>
    <s v="2021-08-06"/>
    <x v="0"/>
    <x v="0"/>
    <n v="35"/>
    <x v="8"/>
    <n v="2.25"/>
    <n v="30.64"/>
    <s v="59285411"/>
  </r>
  <r>
    <x v="145"/>
    <s v="2021-08-06"/>
    <x v="0"/>
    <x v="0"/>
    <n v="34"/>
    <x v="42"/>
    <n v="2.2000000000000002"/>
    <n v="29.85"/>
    <s v="34991938"/>
  </r>
  <r>
    <x v="145"/>
    <s v="2021-08-06"/>
    <x v="0"/>
    <x v="0"/>
    <n v="33"/>
    <x v="10"/>
    <n v="2.19"/>
    <n v="29.76"/>
    <s v="10371492"/>
  </r>
  <r>
    <x v="145"/>
    <s v="2021-08-06"/>
    <x v="0"/>
    <x v="0"/>
    <n v="32"/>
    <x v="19"/>
    <n v="1.91"/>
    <n v="25.53"/>
    <s v="92702067"/>
  </r>
  <r>
    <x v="145"/>
    <s v="2021-08-06"/>
    <x v="0"/>
    <x v="0"/>
    <n v="31"/>
    <x v="12"/>
    <n v="1.82"/>
    <n v="24.14"/>
    <s v="04862600"/>
  </r>
  <r>
    <x v="145"/>
    <s v="2021-08-06"/>
    <x v="0"/>
    <x v="0"/>
    <n v="30"/>
    <x v="13"/>
    <n v="1.77"/>
    <n v="23.41"/>
    <s v="07707650"/>
  </r>
  <r>
    <x v="145"/>
    <s v="2021-08-06"/>
    <x v="0"/>
    <x v="0"/>
    <n v="29"/>
    <x v="41"/>
    <n v="1.76"/>
    <n v="23.25"/>
    <s v="20443996"/>
  </r>
  <r>
    <x v="145"/>
    <s v="2021-08-06"/>
    <x v="0"/>
    <x v="0"/>
    <n v="28"/>
    <x v="15"/>
    <n v="1.71"/>
    <n v="22.49"/>
    <s v="59588111"/>
  </r>
  <r>
    <x v="145"/>
    <s v="2021-08-06"/>
    <x v="0"/>
    <x v="0"/>
    <n v="27"/>
    <x v="24"/>
    <n v="1.7"/>
    <n v="22.47"/>
    <s v="22639377"/>
  </r>
  <r>
    <x v="145"/>
    <s v="2021-08-06"/>
    <x v="0"/>
    <x v="0"/>
    <n v="26"/>
    <x v="20"/>
    <n v="1.69"/>
    <n v="22.25"/>
    <s v="17192451"/>
  </r>
  <r>
    <x v="145"/>
    <s v="2021-08-06"/>
    <x v="0"/>
    <x v="0"/>
    <n v="25"/>
    <x v="49"/>
    <n v="1.67"/>
    <n v="22.04"/>
    <s v="58160789"/>
  </r>
  <r>
    <x v="145"/>
    <s v="2021-08-06"/>
    <x v="0"/>
    <x v="0"/>
    <n v="24"/>
    <x v="16"/>
    <n v="1.63"/>
    <n v="21.39"/>
    <s v="07207996"/>
  </r>
  <r>
    <x v="145"/>
    <s v="2021-08-06"/>
    <x v="0"/>
    <x v="0"/>
    <n v="23"/>
    <x v="28"/>
    <n v="1.53"/>
    <n v="20.05"/>
    <s v="90400888"/>
  </r>
  <r>
    <x v="145"/>
    <s v="2021-08-06"/>
    <x v="0"/>
    <x v="0"/>
    <n v="22"/>
    <x v="11"/>
    <n v="1.53"/>
    <n v="19.93"/>
    <s v="03634220"/>
  </r>
  <r>
    <x v="145"/>
    <s v="2021-08-06"/>
    <x v="0"/>
    <x v="0"/>
    <n v="21"/>
    <x v="21"/>
    <n v="1.49"/>
    <n v="19.43"/>
    <s v="03017677"/>
  </r>
  <r>
    <x v="145"/>
    <s v="2021-08-06"/>
    <x v="0"/>
    <x v="0"/>
    <n v="20"/>
    <x v="32"/>
    <n v="1.46"/>
    <n v="18.96"/>
    <s v="60701190"/>
  </r>
  <r>
    <x v="145"/>
    <s v="2021-08-06"/>
    <x v="0"/>
    <x v="0"/>
    <n v="19"/>
    <x v="30"/>
    <n v="1.42"/>
    <n v="18.38"/>
    <s v="03502961"/>
  </r>
  <r>
    <x v="145"/>
    <s v="2021-08-06"/>
    <x v="0"/>
    <x v="0"/>
    <n v="18"/>
    <x v="29"/>
    <n v="1.41"/>
    <n v="18.260000000000002"/>
    <s v="60746948"/>
  </r>
  <r>
    <x v="145"/>
    <s v="2021-08-06"/>
    <x v="0"/>
    <x v="0"/>
    <n v="17"/>
    <x v="26"/>
    <n v="1.35"/>
    <n v="17.39"/>
    <s v="30172491"/>
  </r>
  <r>
    <x v="145"/>
    <s v="2021-08-06"/>
    <x v="0"/>
    <x v="0"/>
    <n v="16"/>
    <x v="25"/>
    <n v="1.34"/>
    <n v="17.37"/>
    <s v="59274605"/>
  </r>
  <r>
    <x v="145"/>
    <s v="2021-08-06"/>
    <x v="0"/>
    <x v="0"/>
    <n v="15"/>
    <x v="36"/>
    <n v="1.29"/>
    <n v="16.649999999999999"/>
    <s v="33136888"/>
  </r>
  <r>
    <x v="145"/>
    <s v="2021-08-06"/>
    <x v="0"/>
    <x v="0"/>
    <n v="14"/>
    <x v="23"/>
    <n v="1.29"/>
    <n v="16.62"/>
    <s v="03215790"/>
  </r>
  <r>
    <x v="145"/>
    <s v="2021-08-06"/>
    <x v="0"/>
    <x v="0"/>
    <n v="13"/>
    <x v="33"/>
    <n v="1.28"/>
    <n v="16.5"/>
    <s v="62307848"/>
  </r>
  <r>
    <x v="145"/>
    <s v="2021-08-06"/>
    <x v="0"/>
    <x v="0"/>
    <n v="12"/>
    <x v="14"/>
    <n v="1.27"/>
    <n v="16.350000000000001"/>
    <s v="00360305"/>
  </r>
  <r>
    <x v="145"/>
    <s v="2021-08-06"/>
    <x v="0"/>
    <x v="0"/>
    <n v="11"/>
    <x v="34"/>
    <n v="1.26"/>
    <n v="16.260000000000002"/>
    <s v="33603457"/>
  </r>
  <r>
    <x v="145"/>
    <s v="2021-08-06"/>
    <x v="0"/>
    <x v="0"/>
    <n v="10"/>
    <x v="43"/>
    <n v="1.25"/>
    <n v="16.05"/>
    <s v="07441209"/>
  </r>
  <r>
    <x v="145"/>
    <s v="2021-08-06"/>
    <x v="0"/>
    <x v="0"/>
    <n v="9"/>
    <x v="18"/>
    <n v="1.23"/>
    <n v="15.82"/>
    <s v="28127603"/>
  </r>
  <r>
    <x v="145"/>
    <s v="2021-08-06"/>
    <x v="0"/>
    <x v="0"/>
    <n v="8"/>
    <x v="31"/>
    <n v="1.21"/>
    <n v="15.45"/>
    <s v="17167412"/>
  </r>
  <r>
    <x v="145"/>
    <s v="2021-08-06"/>
    <x v="0"/>
    <x v="0"/>
    <n v="7"/>
    <x v="27"/>
    <n v="1.2"/>
    <n v="15.34"/>
    <s v="00000000"/>
  </r>
  <r>
    <x v="145"/>
    <s v="2021-08-06"/>
    <x v="0"/>
    <x v="0"/>
    <n v="6"/>
    <x v="37"/>
    <n v="1.19"/>
    <n v="15.32"/>
    <s v="04452473"/>
  </r>
  <r>
    <x v="145"/>
    <s v="2021-08-06"/>
    <x v="0"/>
    <x v="0"/>
    <n v="5"/>
    <x v="44"/>
    <n v="1.1000000000000001"/>
    <n v="14.07"/>
    <s v="58017179"/>
  </r>
  <r>
    <x v="145"/>
    <s v="2021-08-06"/>
    <x v="0"/>
    <x v="0"/>
    <n v="4"/>
    <x v="38"/>
    <n v="1.08"/>
    <n v="13.69"/>
    <s v="60814191"/>
  </r>
  <r>
    <x v="145"/>
    <s v="2021-08-06"/>
    <x v="0"/>
    <x v="0"/>
    <n v="3"/>
    <x v="35"/>
    <n v="1.01"/>
    <n v="12.85"/>
    <s v="59109165"/>
  </r>
  <r>
    <x v="145"/>
    <s v="2021-08-06"/>
    <x v="0"/>
    <x v="0"/>
    <n v="2"/>
    <x v="40"/>
    <n v="0.98"/>
    <n v="12.41"/>
    <s v="02992446"/>
  </r>
  <r>
    <x v="145"/>
    <s v="2021-08-06"/>
    <x v="0"/>
    <x v="0"/>
    <n v="1"/>
    <x v="22"/>
    <n v="0.95"/>
    <n v="12.07"/>
    <s v="11417016"/>
  </r>
  <r>
    <x v="146"/>
    <s v="2021-08-09"/>
    <x v="0"/>
    <x v="0"/>
    <n v="43"/>
    <x v="3"/>
    <n v="3.4"/>
    <n v="49.41"/>
    <s v="05503849"/>
  </r>
  <r>
    <x v="146"/>
    <s v="2021-08-09"/>
    <x v="0"/>
    <x v="0"/>
    <n v="42"/>
    <x v="1"/>
    <n v="3.22"/>
    <n v="46.26"/>
    <s v="01800019"/>
  </r>
  <r>
    <x v="146"/>
    <s v="2021-08-09"/>
    <x v="0"/>
    <x v="0"/>
    <n v="41"/>
    <x v="2"/>
    <n v="3.19"/>
    <n v="45.78"/>
    <s v="92228410"/>
  </r>
  <r>
    <x v="146"/>
    <s v="2021-08-09"/>
    <x v="0"/>
    <x v="0"/>
    <n v="40"/>
    <x v="0"/>
    <n v="3.14"/>
    <n v="44.96"/>
    <s v="60850229"/>
  </r>
  <r>
    <x v="146"/>
    <s v="2021-08-09"/>
    <x v="0"/>
    <x v="0"/>
    <n v="39"/>
    <x v="7"/>
    <n v="2.88"/>
    <n v="40.630000000000003"/>
    <s v="92874270"/>
  </r>
  <r>
    <x v="146"/>
    <s v="2021-08-09"/>
    <x v="0"/>
    <x v="0"/>
    <n v="38"/>
    <x v="5"/>
    <n v="2.77"/>
    <n v="38.85"/>
    <s v="80271455"/>
  </r>
  <r>
    <x v="146"/>
    <s v="2021-08-09"/>
    <x v="0"/>
    <x v="0"/>
    <n v="37"/>
    <x v="4"/>
    <n v="2.67"/>
    <n v="37.159999999999997"/>
    <s v="62232889"/>
  </r>
  <r>
    <x v="146"/>
    <s v="2021-08-09"/>
    <x v="0"/>
    <x v="0"/>
    <n v="36"/>
    <x v="6"/>
    <n v="2.41"/>
    <n v="33.090000000000003"/>
    <s v="05676026"/>
  </r>
  <r>
    <x v="146"/>
    <s v="2021-08-09"/>
    <x v="0"/>
    <x v="0"/>
    <n v="35"/>
    <x v="9"/>
    <n v="2.2599999999999998"/>
    <n v="30.81"/>
    <s v="00411939"/>
  </r>
  <r>
    <x v="146"/>
    <s v="2021-08-09"/>
    <x v="0"/>
    <x v="0"/>
    <n v="34"/>
    <x v="8"/>
    <n v="2.2599999999999998"/>
    <n v="30.75"/>
    <s v="59285411"/>
  </r>
  <r>
    <x v="146"/>
    <s v="2021-08-09"/>
    <x v="0"/>
    <x v="0"/>
    <n v="33"/>
    <x v="42"/>
    <n v="2.2000000000000002"/>
    <n v="29.85"/>
    <s v="34991938"/>
  </r>
  <r>
    <x v="146"/>
    <s v="2021-08-09"/>
    <x v="0"/>
    <x v="0"/>
    <n v="32"/>
    <x v="10"/>
    <n v="2.1800000000000002"/>
    <n v="29.46"/>
    <s v="10371492"/>
  </r>
  <r>
    <x v="146"/>
    <s v="2021-08-09"/>
    <x v="0"/>
    <x v="0"/>
    <n v="31"/>
    <x v="19"/>
    <n v="1.91"/>
    <n v="25.53"/>
    <s v="92702067"/>
  </r>
  <r>
    <x v="146"/>
    <s v="2021-08-09"/>
    <x v="0"/>
    <x v="0"/>
    <n v="30"/>
    <x v="12"/>
    <n v="1.81"/>
    <n v="24.03"/>
    <s v="04862600"/>
  </r>
  <r>
    <x v="146"/>
    <s v="2021-08-09"/>
    <x v="0"/>
    <x v="0"/>
    <n v="29"/>
    <x v="13"/>
    <n v="1.8"/>
    <n v="23.81"/>
    <s v="07707650"/>
  </r>
  <r>
    <x v="146"/>
    <s v="2021-08-09"/>
    <x v="0"/>
    <x v="0"/>
    <n v="28"/>
    <x v="24"/>
    <n v="1.71"/>
    <n v="22.56"/>
    <s v="22639377"/>
  </r>
  <r>
    <x v="146"/>
    <s v="2021-08-09"/>
    <x v="0"/>
    <x v="0"/>
    <n v="27"/>
    <x v="15"/>
    <n v="1.71"/>
    <n v="22.49"/>
    <s v="59588111"/>
  </r>
  <r>
    <x v="146"/>
    <s v="2021-08-09"/>
    <x v="0"/>
    <x v="0"/>
    <n v="26"/>
    <x v="20"/>
    <n v="1.7"/>
    <n v="22.44"/>
    <s v="17192451"/>
  </r>
  <r>
    <x v="146"/>
    <s v="2021-08-09"/>
    <x v="0"/>
    <x v="0"/>
    <n v="25"/>
    <x v="49"/>
    <n v="1.67"/>
    <n v="22.04"/>
    <s v="58160789"/>
  </r>
  <r>
    <x v="146"/>
    <s v="2021-08-09"/>
    <x v="0"/>
    <x v="0"/>
    <n v="24"/>
    <x v="16"/>
    <n v="1.63"/>
    <n v="21.42"/>
    <s v="07207996"/>
  </r>
  <r>
    <x v="146"/>
    <s v="2021-08-09"/>
    <x v="0"/>
    <x v="0"/>
    <n v="23"/>
    <x v="11"/>
    <n v="1.56"/>
    <n v="20.399999999999999"/>
    <s v="03634220"/>
  </r>
  <r>
    <x v="146"/>
    <s v="2021-08-09"/>
    <x v="0"/>
    <x v="0"/>
    <n v="22"/>
    <x v="28"/>
    <n v="1.56"/>
    <n v="20.38"/>
    <s v="90400888"/>
  </r>
  <r>
    <x v="146"/>
    <s v="2021-08-09"/>
    <x v="0"/>
    <x v="0"/>
    <n v="21"/>
    <x v="21"/>
    <n v="1.51"/>
    <n v="19.64"/>
    <s v="03017677"/>
  </r>
  <r>
    <x v="146"/>
    <s v="2021-08-09"/>
    <x v="0"/>
    <x v="0"/>
    <n v="20"/>
    <x v="32"/>
    <n v="1.47"/>
    <n v="19.079999999999998"/>
    <s v="60701190"/>
  </r>
  <r>
    <x v="146"/>
    <s v="2021-08-09"/>
    <x v="0"/>
    <x v="0"/>
    <n v="19"/>
    <x v="30"/>
    <n v="1.44"/>
    <n v="18.690000000000001"/>
    <s v="03502961"/>
  </r>
  <r>
    <x v="146"/>
    <s v="2021-08-09"/>
    <x v="0"/>
    <x v="0"/>
    <n v="18"/>
    <x v="29"/>
    <n v="1.41"/>
    <n v="18.329999999999998"/>
    <s v="60746948"/>
  </r>
  <r>
    <x v="146"/>
    <s v="2021-08-09"/>
    <x v="0"/>
    <x v="0"/>
    <n v="17"/>
    <x v="18"/>
    <n v="1.4"/>
    <n v="18.190000000000001"/>
    <s v="28127603"/>
  </r>
  <r>
    <x v="146"/>
    <s v="2021-08-09"/>
    <x v="0"/>
    <x v="0"/>
    <n v="16"/>
    <x v="25"/>
    <n v="1.36"/>
    <n v="17.54"/>
    <s v="59274605"/>
  </r>
  <r>
    <x v="146"/>
    <s v="2021-08-09"/>
    <x v="0"/>
    <x v="0"/>
    <n v="15"/>
    <x v="26"/>
    <n v="1.34"/>
    <n v="17.3"/>
    <s v="30172491"/>
  </r>
  <r>
    <x v="146"/>
    <s v="2021-08-09"/>
    <x v="0"/>
    <x v="0"/>
    <n v="14"/>
    <x v="36"/>
    <n v="1.31"/>
    <n v="16.87"/>
    <s v="33136888"/>
  </r>
  <r>
    <x v="146"/>
    <s v="2021-08-09"/>
    <x v="0"/>
    <x v="0"/>
    <n v="13"/>
    <x v="33"/>
    <n v="1.3"/>
    <n v="16.71"/>
    <s v="62307848"/>
  </r>
  <r>
    <x v="146"/>
    <s v="2021-08-09"/>
    <x v="0"/>
    <x v="0"/>
    <n v="12"/>
    <x v="23"/>
    <n v="1.29"/>
    <n v="16.690000000000001"/>
    <s v="03215790"/>
  </r>
  <r>
    <x v="146"/>
    <s v="2021-08-09"/>
    <x v="0"/>
    <x v="0"/>
    <n v="11"/>
    <x v="14"/>
    <n v="1.27"/>
    <n v="16.350000000000001"/>
    <s v="00360305"/>
  </r>
  <r>
    <x v="146"/>
    <s v="2021-08-09"/>
    <x v="0"/>
    <x v="0"/>
    <n v="10"/>
    <x v="43"/>
    <n v="1.25"/>
    <n v="16.05"/>
    <s v="07441209"/>
  </r>
  <r>
    <x v="146"/>
    <s v="2021-08-09"/>
    <x v="0"/>
    <x v="0"/>
    <n v="9"/>
    <x v="27"/>
    <n v="1.23"/>
    <n v="15.74"/>
    <s v="00000000"/>
  </r>
  <r>
    <x v="146"/>
    <s v="2021-08-09"/>
    <x v="0"/>
    <x v="0"/>
    <n v="8"/>
    <x v="34"/>
    <n v="1.22"/>
    <n v="15.61"/>
    <s v="33603457"/>
  </r>
  <r>
    <x v="146"/>
    <s v="2021-08-09"/>
    <x v="0"/>
    <x v="0"/>
    <n v="7"/>
    <x v="31"/>
    <n v="1.21"/>
    <n v="15.53"/>
    <s v="17167412"/>
  </r>
  <r>
    <x v="146"/>
    <s v="2021-08-09"/>
    <x v="0"/>
    <x v="0"/>
    <n v="6"/>
    <x v="37"/>
    <n v="1.21"/>
    <n v="15.51"/>
    <s v="04452473"/>
  </r>
  <r>
    <x v="146"/>
    <s v="2021-08-09"/>
    <x v="0"/>
    <x v="0"/>
    <n v="5"/>
    <x v="44"/>
    <n v="1.1000000000000001"/>
    <n v="14.07"/>
    <s v="58017179"/>
  </r>
  <r>
    <x v="146"/>
    <s v="2021-08-09"/>
    <x v="0"/>
    <x v="0"/>
    <n v="4"/>
    <x v="38"/>
    <n v="1.08"/>
    <n v="13.78"/>
    <s v="60814191"/>
  </r>
  <r>
    <x v="146"/>
    <s v="2021-08-09"/>
    <x v="0"/>
    <x v="0"/>
    <n v="3"/>
    <x v="35"/>
    <n v="1.02"/>
    <n v="13.01"/>
    <s v="59109165"/>
  </r>
  <r>
    <x v="146"/>
    <s v="2021-08-09"/>
    <x v="0"/>
    <x v="0"/>
    <n v="2"/>
    <x v="40"/>
    <n v="0.98"/>
    <n v="12.44"/>
    <s v="02992446"/>
  </r>
  <r>
    <x v="146"/>
    <s v="2021-08-09"/>
    <x v="0"/>
    <x v="0"/>
    <n v="1"/>
    <x v="22"/>
    <n v="0.96"/>
    <n v="12.19"/>
    <s v="11417016"/>
  </r>
  <r>
    <x v="147"/>
    <s v="2021-08-10"/>
    <x v="0"/>
    <x v="0"/>
    <n v="44"/>
    <x v="3"/>
    <n v="3.43"/>
    <n v="49.94"/>
    <s v="05503849"/>
  </r>
  <r>
    <x v="147"/>
    <s v="2021-08-10"/>
    <x v="0"/>
    <x v="0"/>
    <n v="43"/>
    <x v="0"/>
    <n v="3.3"/>
    <n v="47.69"/>
    <s v="60850229"/>
  </r>
  <r>
    <x v="147"/>
    <s v="2021-08-10"/>
    <x v="0"/>
    <x v="0"/>
    <n v="42"/>
    <x v="1"/>
    <n v="3.24"/>
    <n v="46.66"/>
    <s v="01800019"/>
  </r>
  <r>
    <x v="147"/>
    <s v="2021-08-10"/>
    <x v="0"/>
    <x v="0"/>
    <n v="41"/>
    <x v="2"/>
    <n v="3.21"/>
    <n v="46.09"/>
    <s v="92228410"/>
  </r>
  <r>
    <x v="147"/>
    <s v="2021-08-10"/>
    <x v="0"/>
    <x v="0"/>
    <n v="40"/>
    <x v="7"/>
    <n v="2.88"/>
    <n v="40.619999999999997"/>
    <s v="92874270"/>
  </r>
  <r>
    <x v="147"/>
    <s v="2021-08-10"/>
    <x v="0"/>
    <x v="0"/>
    <n v="39"/>
    <x v="5"/>
    <n v="2.83"/>
    <n v="39.72"/>
    <s v="80271455"/>
  </r>
  <r>
    <x v="147"/>
    <s v="2021-08-10"/>
    <x v="0"/>
    <x v="0"/>
    <n v="38"/>
    <x v="4"/>
    <n v="2.63"/>
    <n v="36.53"/>
    <s v="62232889"/>
  </r>
  <r>
    <x v="147"/>
    <s v="2021-08-10"/>
    <x v="0"/>
    <x v="0"/>
    <n v="37"/>
    <x v="6"/>
    <n v="2.41"/>
    <n v="33.090000000000003"/>
    <s v="05676026"/>
  </r>
  <r>
    <x v="147"/>
    <s v="2021-08-10"/>
    <x v="0"/>
    <x v="0"/>
    <n v="36"/>
    <x v="8"/>
    <n v="2.2599999999999998"/>
    <n v="30.78"/>
    <s v="59285411"/>
  </r>
  <r>
    <x v="147"/>
    <s v="2021-08-10"/>
    <x v="0"/>
    <x v="0"/>
    <n v="35"/>
    <x v="9"/>
    <n v="2.2400000000000002"/>
    <n v="30.48"/>
    <s v="00411939"/>
  </r>
  <r>
    <x v="147"/>
    <s v="2021-08-10"/>
    <x v="0"/>
    <x v="0"/>
    <n v="34"/>
    <x v="42"/>
    <n v="2.1800000000000002"/>
    <n v="29.51"/>
    <s v="34991938"/>
  </r>
  <r>
    <x v="147"/>
    <s v="2021-08-10"/>
    <x v="0"/>
    <x v="0"/>
    <n v="33"/>
    <x v="10"/>
    <n v="2.16"/>
    <n v="29.16"/>
    <s v="10371492"/>
  </r>
  <r>
    <x v="147"/>
    <s v="2021-08-10"/>
    <x v="0"/>
    <x v="0"/>
    <n v="32"/>
    <x v="19"/>
    <n v="1.91"/>
    <n v="25.53"/>
    <s v="92702067"/>
  </r>
  <r>
    <x v="147"/>
    <s v="2021-08-10"/>
    <x v="0"/>
    <x v="0"/>
    <n v="31"/>
    <x v="13"/>
    <n v="1.81"/>
    <n v="24.01"/>
    <s v="07707650"/>
  </r>
  <r>
    <x v="147"/>
    <s v="2021-08-10"/>
    <x v="0"/>
    <x v="0"/>
    <n v="30"/>
    <x v="12"/>
    <n v="1.8"/>
    <n v="23.84"/>
    <s v="04862600"/>
  </r>
  <r>
    <x v="147"/>
    <s v="2021-08-10"/>
    <x v="0"/>
    <x v="0"/>
    <n v="29"/>
    <x v="24"/>
    <n v="1.74"/>
    <n v="22.97"/>
    <s v="22639377"/>
  </r>
  <r>
    <x v="147"/>
    <s v="2021-08-10"/>
    <x v="0"/>
    <x v="0"/>
    <n v="28"/>
    <x v="20"/>
    <n v="1.72"/>
    <n v="22.68"/>
    <s v="17192451"/>
  </r>
  <r>
    <x v="147"/>
    <s v="2021-08-10"/>
    <x v="0"/>
    <x v="0"/>
    <n v="27"/>
    <x v="15"/>
    <n v="1.71"/>
    <n v="22.49"/>
    <s v="59588111"/>
  </r>
  <r>
    <x v="147"/>
    <s v="2021-08-10"/>
    <x v="0"/>
    <x v="0"/>
    <n v="26"/>
    <x v="16"/>
    <n v="1.63"/>
    <n v="21.46"/>
    <s v="07207996"/>
  </r>
  <r>
    <x v="147"/>
    <s v="2021-08-10"/>
    <x v="0"/>
    <x v="0"/>
    <n v="25"/>
    <x v="18"/>
    <n v="1.57"/>
    <n v="20.62"/>
    <s v="28127603"/>
  </r>
  <r>
    <x v="147"/>
    <s v="2021-08-10"/>
    <x v="0"/>
    <x v="0"/>
    <n v="24"/>
    <x v="11"/>
    <n v="1.57"/>
    <n v="20.57"/>
    <s v="03634220"/>
  </r>
  <r>
    <x v="147"/>
    <s v="2021-08-10"/>
    <x v="0"/>
    <x v="0"/>
    <n v="23"/>
    <x v="28"/>
    <n v="1.53"/>
    <n v="20.03"/>
    <s v="90400888"/>
  </r>
  <r>
    <x v="147"/>
    <s v="2021-08-10"/>
    <x v="0"/>
    <x v="0"/>
    <n v="22"/>
    <x v="21"/>
    <n v="1.51"/>
    <n v="19.739999999999998"/>
    <s v="03017677"/>
  </r>
  <r>
    <x v="147"/>
    <s v="2021-08-10"/>
    <x v="0"/>
    <x v="0"/>
    <n v="21"/>
    <x v="32"/>
    <n v="1.48"/>
    <n v="19.22"/>
    <s v="60701190"/>
  </r>
  <r>
    <x v="147"/>
    <s v="2021-08-10"/>
    <x v="0"/>
    <x v="0"/>
    <n v="20"/>
    <x v="30"/>
    <n v="1.46"/>
    <n v="18.95"/>
    <s v="03502961"/>
  </r>
  <r>
    <x v="147"/>
    <s v="2021-08-10"/>
    <x v="0"/>
    <x v="0"/>
    <n v="19"/>
    <x v="29"/>
    <n v="1.42"/>
    <n v="18.46"/>
    <s v="60746948"/>
  </r>
  <r>
    <x v="147"/>
    <s v="2021-08-10"/>
    <x v="0"/>
    <x v="0"/>
    <n v="18"/>
    <x v="49"/>
    <n v="1.41"/>
    <n v="18.3"/>
    <s v="58160789"/>
  </r>
  <r>
    <x v="147"/>
    <s v="2021-08-10"/>
    <x v="0"/>
    <x v="0"/>
    <n v="17"/>
    <x v="25"/>
    <n v="1.38"/>
    <n v="17.829999999999998"/>
    <s v="59274605"/>
  </r>
  <r>
    <x v="147"/>
    <s v="2021-08-10"/>
    <x v="0"/>
    <x v="0"/>
    <n v="16"/>
    <x v="26"/>
    <n v="1.34"/>
    <n v="17.28"/>
    <s v="30172491"/>
  </r>
  <r>
    <x v="147"/>
    <s v="2021-08-10"/>
    <x v="0"/>
    <x v="0"/>
    <n v="15"/>
    <x v="33"/>
    <n v="1.31"/>
    <n v="16.96"/>
    <s v="62307848"/>
  </r>
  <r>
    <x v="147"/>
    <s v="2021-08-10"/>
    <x v="0"/>
    <x v="0"/>
    <n v="14"/>
    <x v="36"/>
    <n v="1.31"/>
    <n v="16.87"/>
    <s v="33136888"/>
  </r>
  <r>
    <x v="147"/>
    <s v="2021-08-10"/>
    <x v="0"/>
    <x v="0"/>
    <n v="13"/>
    <x v="23"/>
    <n v="1.29"/>
    <n v="16.62"/>
    <s v="03215790"/>
  </r>
  <r>
    <x v="147"/>
    <s v="2021-08-10"/>
    <x v="0"/>
    <x v="0"/>
    <n v="12"/>
    <x v="14"/>
    <n v="1.27"/>
    <n v="16.350000000000001"/>
    <s v="00360305"/>
  </r>
  <r>
    <x v="147"/>
    <s v="2021-08-10"/>
    <x v="0"/>
    <x v="0"/>
    <n v="11"/>
    <x v="27"/>
    <n v="1.25"/>
    <n v="16.14"/>
    <s v="00000000"/>
  </r>
  <r>
    <x v="147"/>
    <s v="2021-08-10"/>
    <x v="0"/>
    <x v="0"/>
    <n v="10"/>
    <x v="43"/>
    <n v="1.25"/>
    <n v="16.05"/>
    <s v="07441209"/>
  </r>
  <r>
    <x v="147"/>
    <s v="2021-08-10"/>
    <x v="0"/>
    <x v="0"/>
    <n v="9"/>
    <x v="31"/>
    <n v="1.23"/>
    <n v="15.86"/>
    <s v="17167412"/>
  </r>
  <r>
    <x v="147"/>
    <s v="2021-08-10"/>
    <x v="0"/>
    <x v="0"/>
    <n v="8"/>
    <x v="34"/>
    <n v="1.21"/>
    <n v="15.51"/>
    <s v="33603457"/>
  </r>
  <r>
    <x v="147"/>
    <s v="2021-08-10"/>
    <x v="0"/>
    <x v="0"/>
    <n v="7"/>
    <x v="37"/>
    <n v="1.21"/>
    <n v="15.49"/>
    <s v="04452473"/>
  </r>
  <r>
    <x v="147"/>
    <s v="2021-08-10"/>
    <x v="0"/>
    <x v="0"/>
    <n v="6"/>
    <x v="44"/>
    <n v="1.1399999999999999"/>
    <n v="14.6"/>
    <s v="58017179"/>
  </r>
  <r>
    <x v="147"/>
    <s v="2021-08-10"/>
    <x v="0"/>
    <x v="0"/>
    <n v="5"/>
    <x v="39"/>
    <n v="1.1100000000000001"/>
    <n v="14.1"/>
    <s v="04902979"/>
  </r>
  <r>
    <x v="147"/>
    <s v="2021-08-10"/>
    <x v="0"/>
    <x v="0"/>
    <n v="4"/>
    <x v="38"/>
    <n v="1.0900000000000001"/>
    <n v="13.85"/>
    <s v="60814191"/>
  </r>
  <r>
    <x v="147"/>
    <s v="2021-08-10"/>
    <x v="0"/>
    <x v="0"/>
    <n v="3"/>
    <x v="35"/>
    <n v="1.04"/>
    <n v="13.16"/>
    <s v="59109165"/>
  </r>
  <r>
    <x v="147"/>
    <s v="2021-08-10"/>
    <x v="0"/>
    <x v="0"/>
    <n v="2"/>
    <x v="40"/>
    <n v="0.98"/>
    <n v="12.36"/>
    <s v="02992446"/>
  </r>
  <r>
    <x v="147"/>
    <s v="2021-08-10"/>
    <x v="0"/>
    <x v="0"/>
    <n v="1"/>
    <x v="22"/>
    <n v="0.96"/>
    <n v="12.15"/>
    <s v="11417016"/>
  </r>
  <r>
    <x v="148"/>
    <s v="2021-08-11"/>
    <x v="0"/>
    <x v="0"/>
    <n v="43"/>
    <x v="0"/>
    <n v="3.46"/>
    <n v="50.42"/>
    <s v="60850229"/>
  </r>
  <r>
    <x v="148"/>
    <s v="2021-08-11"/>
    <x v="0"/>
    <x v="0"/>
    <n v="42"/>
    <x v="3"/>
    <n v="3.41"/>
    <n v="49.55"/>
    <s v="05503849"/>
  </r>
  <r>
    <x v="148"/>
    <s v="2021-08-11"/>
    <x v="0"/>
    <x v="0"/>
    <n v="41"/>
    <x v="2"/>
    <n v="3.2"/>
    <n v="45.89"/>
    <s v="92228410"/>
  </r>
  <r>
    <x v="148"/>
    <s v="2021-08-11"/>
    <x v="0"/>
    <x v="0"/>
    <n v="40"/>
    <x v="1"/>
    <n v="3.06"/>
    <n v="43.57"/>
    <s v="01800019"/>
  </r>
  <r>
    <x v="148"/>
    <s v="2021-08-11"/>
    <x v="0"/>
    <x v="0"/>
    <n v="39"/>
    <x v="7"/>
    <n v="2.9"/>
    <n v="40.97"/>
    <s v="92874270"/>
  </r>
  <r>
    <x v="148"/>
    <s v="2021-08-11"/>
    <x v="0"/>
    <x v="0"/>
    <n v="38"/>
    <x v="5"/>
    <n v="2.65"/>
    <n v="36.94"/>
    <s v="80271455"/>
  </r>
  <r>
    <x v="148"/>
    <s v="2021-08-11"/>
    <x v="0"/>
    <x v="0"/>
    <n v="37"/>
    <x v="4"/>
    <n v="2.6"/>
    <n v="36.020000000000003"/>
    <s v="62232889"/>
  </r>
  <r>
    <x v="148"/>
    <s v="2021-08-11"/>
    <x v="0"/>
    <x v="0"/>
    <n v="36"/>
    <x v="6"/>
    <n v="2.42"/>
    <n v="33.25"/>
    <s v="05676026"/>
  </r>
  <r>
    <x v="148"/>
    <s v="2021-08-11"/>
    <x v="0"/>
    <x v="0"/>
    <n v="35"/>
    <x v="8"/>
    <n v="2.27"/>
    <n v="30.94"/>
    <s v="59285411"/>
  </r>
  <r>
    <x v="148"/>
    <s v="2021-08-11"/>
    <x v="0"/>
    <x v="0"/>
    <n v="34"/>
    <x v="9"/>
    <n v="2.2599999999999998"/>
    <n v="30.73"/>
    <s v="00411939"/>
  </r>
  <r>
    <x v="148"/>
    <s v="2021-08-11"/>
    <x v="0"/>
    <x v="0"/>
    <n v="33"/>
    <x v="42"/>
    <n v="2.1800000000000002"/>
    <n v="29.57"/>
    <s v="34991938"/>
  </r>
  <r>
    <x v="148"/>
    <s v="2021-08-11"/>
    <x v="0"/>
    <x v="0"/>
    <n v="32"/>
    <x v="10"/>
    <n v="2.14"/>
    <n v="28.99"/>
    <s v="10371492"/>
  </r>
  <r>
    <x v="148"/>
    <s v="2021-08-11"/>
    <x v="0"/>
    <x v="0"/>
    <n v="31"/>
    <x v="19"/>
    <n v="1.91"/>
    <n v="25.53"/>
    <s v="92702067"/>
  </r>
  <r>
    <x v="148"/>
    <s v="2021-08-11"/>
    <x v="0"/>
    <x v="0"/>
    <n v="30"/>
    <x v="13"/>
    <n v="1.83"/>
    <n v="24.24"/>
    <s v="07707650"/>
  </r>
  <r>
    <x v="148"/>
    <s v="2021-08-11"/>
    <x v="0"/>
    <x v="0"/>
    <n v="29"/>
    <x v="12"/>
    <n v="1.79"/>
    <n v="23.76"/>
    <s v="04862600"/>
  </r>
  <r>
    <x v="148"/>
    <s v="2021-08-11"/>
    <x v="0"/>
    <x v="0"/>
    <n v="28"/>
    <x v="24"/>
    <n v="1.77"/>
    <n v="23.49"/>
    <s v="22639377"/>
  </r>
  <r>
    <x v="148"/>
    <s v="2021-08-11"/>
    <x v="0"/>
    <x v="0"/>
    <n v="27"/>
    <x v="15"/>
    <n v="1.74"/>
    <n v="22.98"/>
    <s v="59588111"/>
  </r>
  <r>
    <x v="148"/>
    <s v="2021-08-11"/>
    <x v="0"/>
    <x v="0"/>
    <n v="26"/>
    <x v="20"/>
    <n v="1.73"/>
    <n v="22.9"/>
    <s v="17192451"/>
  </r>
  <r>
    <x v="148"/>
    <s v="2021-08-11"/>
    <x v="0"/>
    <x v="0"/>
    <n v="25"/>
    <x v="18"/>
    <n v="1.64"/>
    <n v="21.61"/>
    <s v="28127603"/>
  </r>
  <r>
    <x v="148"/>
    <s v="2021-08-11"/>
    <x v="0"/>
    <x v="0"/>
    <n v="24"/>
    <x v="16"/>
    <n v="1.63"/>
    <n v="21.46"/>
    <s v="07207996"/>
  </r>
  <r>
    <x v="148"/>
    <s v="2021-08-11"/>
    <x v="0"/>
    <x v="0"/>
    <n v="23"/>
    <x v="28"/>
    <n v="1.62"/>
    <n v="21.24"/>
    <s v="90400888"/>
  </r>
  <r>
    <x v="148"/>
    <s v="2021-08-11"/>
    <x v="0"/>
    <x v="0"/>
    <n v="22"/>
    <x v="11"/>
    <n v="1.55"/>
    <n v="20.32"/>
    <s v="03634220"/>
  </r>
  <r>
    <x v="148"/>
    <s v="2021-08-11"/>
    <x v="0"/>
    <x v="0"/>
    <n v="21"/>
    <x v="21"/>
    <n v="1.52"/>
    <n v="19.89"/>
    <s v="03017677"/>
  </r>
  <r>
    <x v="148"/>
    <s v="2021-08-11"/>
    <x v="0"/>
    <x v="0"/>
    <n v="20"/>
    <x v="32"/>
    <n v="1.49"/>
    <n v="19.350000000000001"/>
    <s v="60701190"/>
  </r>
  <r>
    <x v="148"/>
    <s v="2021-08-11"/>
    <x v="0"/>
    <x v="0"/>
    <n v="19"/>
    <x v="30"/>
    <n v="1.48"/>
    <n v="19.260000000000002"/>
    <s v="03502961"/>
  </r>
  <r>
    <x v="148"/>
    <s v="2021-08-11"/>
    <x v="0"/>
    <x v="0"/>
    <n v="18"/>
    <x v="29"/>
    <n v="1.43"/>
    <n v="18.54"/>
    <s v="60746948"/>
  </r>
  <r>
    <x v="148"/>
    <s v="2021-08-11"/>
    <x v="0"/>
    <x v="0"/>
    <n v="17"/>
    <x v="49"/>
    <n v="1.41"/>
    <n v="18.3"/>
    <s v="58160789"/>
  </r>
  <r>
    <x v="148"/>
    <s v="2021-08-11"/>
    <x v="0"/>
    <x v="0"/>
    <n v="16"/>
    <x v="25"/>
    <n v="1.39"/>
    <n v="18.02"/>
    <s v="59274605"/>
  </r>
  <r>
    <x v="148"/>
    <s v="2021-08-11"/>
    <x v="0"/>
    <x v="0"/>
    <n v="15"/>
    <x v="26"/>
    <n v="1.34"/>
    <n v="17.28"/>
    <s v="30172491"/>
  </r>
  <r>
    <x v="148"/>
    <s v="2021-08-11"/>
    <x v="0"/>
    <x v="0"/>
    <n v="14"/>
    <x v="33"/>
    <n v="1.32"/>
    <n v="17.05"/>
    <s v="62307848"/>
  </r>
  <r>
    <x v="148"/>
    <s v="2021-08-11"/>
    <x v="0"/>
    <x v="0"/>
    <n v="13"/>
    <x v="23"/>
    <n v="1.29"/>
    <n v="16.59"/>
    <s v="03215790"/>
  </r>
  <r>
    <x v="148"/>
    <s v="2021-08-11"/>
    <x v="0"/>
    <x v="0"/>
    <n v="12"/>
    <x v="36"/>
    <n v="1.28"/>
    <n v="16.48"/>
    <s v="33136888"/>
  </r>
  <r>
    <x v="148"/>
    <s v="2021-08-11"/>
    <x v="0"/>
    <x v="0"/>
    <n v="11"/>
    <x v="27"/>
    <n v="1.27"/>
    <n v="16.32"/>
    <s v="00000000"/>
  </r>
  <r>
    <x v="148"/>
    <s v="2021-08-11"/>
    <x v="0"/>
    <x v="0"/>
    <n v="10"/>
    <x v="31"/>
    <n v="1.25"/>
    <n v="16.09"/>
    <s v="17167412"/>
  </r>
  <r>
    <x v="148"/>
    <s v="2021-08-11"/>
    <x v="0"/>
    <x v="0"/>
    <n v="9"/>
    <x v="43"/>
    <n v="1.25"/>
    <n v="16.05"/>
    <s v="07441209"/>
  </r>
  <r>
    <x v="148"/>
    <s v="2021-08-11"/>
    <x v="0"/>
    <x v="0"/>
    <n v="8"/>
    <x v="34"/>
    <n v="1.23"/>
    <n v="15.86"/>
    <s v="33603457"/>
  </r>
  <r>
    <x v="148"/>
    <s v="2021-08-11"/>
    <x v="0"/>
    <x v="0"/>
    <n v="7"/>
    <x v="37"/>
    <n v="1.21"/>
    <n v="15.49"/>
    <s v="04452473"/>
  </r>
  <r>
    <x v="148"/>
    <s v="2021-08-11"/>
    <x v="0"/>
    <x v="0"/>
    <n v="6"/>
    <x v="44"/>
    <n v="1.1399999999999999"/>
    <n v="14.6"/>
    <s v="58017179"/>
  </r>
  <r>
    <x v="148"/>
    <s v="2021-08-11"/>
    <x v="0"/>
    <x v="0"/>
    <n v="5"/>
    <x v="39"/>
    <n v="1.1100000000000001"/>
    <n v="14.1"/>
    <s v="04902979"/>
  </r>
  <r>
    <x v="148"/>
    <s v="2021-08-11"/>
    <x v="0"/>
    <x v="0"/>
    <n v="4"/>
    <x v="38"/>
    <n v="1.06"/>
    <n v="13.47"/>
    <s v="60814191"/>
  </r>
  <r>
    <x v="148"/>
    <s v="2021-08-11"/>
    <x v="0"/>
    <x v="0"/>
    <n v="3"/>
    <x v="35"/>
    <n v="1.04"/>
    <n v="13.15"/>
    <s v="59109165"/>
  </r>
  <r>
    <x v="148"/>
    <s v="2021-08-11"/>
    <x v="0"/>
    <x v="0"/>
    <n v="2"/>
    <x v="22"/>
    <n v="0.97"/>
    <n v="12.32"/>
    <s v="11417016"/>
  </r>
  <r>
    <x v="148"/>
    <s v="2021-08-11"/>
    <x v="0"/>
    <x v="0"/>
    <n v="1"/>
    <x v="40"/>
    <n v="0.97"/>
    <n v="12.21"/>
    <s v="02992446"/>
  </r>
  <r>
    <x v="149"/>
    <s v="2021-08-12"/>
    <x v="0"/>
    <x v="0"/>
    <n v="42"/>
    <x v="0"/>
    <n v="3.4"/>
    <n v="49.39"/>
    <s v="60850229"/>
  </r>
  <r>
    <x v="149"/>
    <s v="2021-08-12"/>
    <x v="0"/>
    <x v="0"/>
    <n v="41"/>
    <x v="3"/>
    <n v="3.39"/>
    <n v="49.25"/>
    <s v="05503849"/>
  </r>
  <r>
    <x v="149"/>
    <s v="2021-08-12"/>
    <x v="0"/>
    <x v="0"/>
    <n v="40"/>
    <x v="2"/>
    <n v="3.2"/>
    <n v="46.01"/>
    <s v="92228410"/>
  </r>
  <r>
    <x v="149"/>
    <s v="2021-08-12"/>
    <x v="0"/>
    <x v="0"/>
    <n v="39"/>
    <x v="1"/>
    <n v="3.11"/>
    <n v="44.43"/>
    <s v="01800019"/>
  </r>
  <r>
    <x v="149"/>
    <s v="2021-08-12"/>
    <x v="0"/>
    <x v="0"/>
    <n v="38"/>
    <x v="7"/>
    <n v="2.91"/>
    <n v="41.14"/>
    <s v="92874270"/>
  </r>
  <r>
    <x v="149"/>
    <s v="2021-08-12"/>
    <x v="0"/>
    <x v="0"/>
    <n v="37"/>
    <x v="4"/>
    <n v="2.59"/>
    <n v="35.9"/>
    <s v="62232889"/>
  </r>
  <r>
    <x v="149"/>
    <s v="2021-08-12"/>
    <x v="0"/>
    <x v="0"/>
    <n v="36"/>
    <x v="5"/>
    <n v="2.5"/>
    <n v="34.479999999999997"/>
    <s v="80271455"/>
  </r>
  <r>
    <x v="149"/>
    <s v="2021-08-12"/>
    <x v="0"/>
    <x v="0"/>
    <n v="35"/>
    <x v="6"/>
    <n v="2.42"/>
    <n v="33.25"/>
    <s v="05676026"/>
  </r>
  <r>
    <x v="149"/>
    <s v="2021-08-12"/>
    <x v="0"/>
    <x v="0"/>
    <n v="34"/>
    <x v="9"/>
    <n v="2.29"/>
    <n v="31.17"/>
    <s v="00411939"/>
  </r>
  <r>
    <x v="149"/>
    <s v="2021-08-12"/>
    <x v="0"/>
    <x v="0"/>
    <n v="33"/>
    <x v="8"/>
    <n v="2.2799999999999998"/>
    <n v="31.1"/>
    <s v="59285411"/>
  </r>
  <r>
    <x v="149"/>
    <s v="2021-08-12"/>
    <x v="0"/>
    <x v="0"/>
    <n v="32"/>
    <x v="42"/>
    <n v="2.1800000000000002"/>
    <n v="29.54"/>
    <s v="34991938"/>
  </r>
  <r>
    <x v="149"/>
    <s v="2021-08-12"/>
    <x v="0"/>
    <x v="0"/>
    <n v="31"/>
    <x v="10"/>
    <n v="2.13"/>
    <n v="28.85"/>
    <s v="10371492"/>
  </r>
  <r>
    <x v="149"/>
    <s v="2021-08-12"/>
    <x v="0"/>
    <x v="0"/>
    <n v="30"/>
    <x v="19"/>
    <n v="1.91"/>
    <n v="25.53"/>
    <s v="92702067"/>
  </r>
  <r>
    <x v="149"/>
    <s v="2021-08-12"/>
    <x v="0"/>
    <x v="0"/>
    <n v="29"/>
    <x v="13"/>
    <n v="1.84"/>
    <n v="24.45"/>
    <s v="07707650"/>
  </r>
  <r>
    <x v="149"/>
    <s v="2021-08-12"/>
    <x v="0"/>
    <x v="0"/>
    <n v="28"/>
    <x v="24"/>
    <n v="1.81"/>
    <n v="24.06"/>
    <s v="22639377"/>
  </r>
  <r>
    <x v="149"/>
    <s v="2021-08-12"/>
    <x v="0"/>
    <x v="0"/>
    <n v="27"/>
    <x v="12"/>
    <n v="1.77"/>
    <n v="23.42"/>
    <s v="04862600"/>
  </r>
  <r>
    <x v="149"/>
    <s v="2021-08-12"/>
    <x v="0"/>
    <x v="0"/>
    <n v="26"/>
    <x v="15"/>
    <n v="1.74"/>
    <n v="23.05"/>
    <s v="59588111"/>
  </r>
  <r>
    <x v="149"/>
    <s v="2021-08-12"/>
    <x v="0"/>
    <x v="0"/>
    <n v="25"/>
    <x v="20"/>
    <n v="1.73"/>
    <n v="22.91"/>
    <s v="17192451"/>
  </r>
  <r>
    <x v="149"/>
    <s v="2021-08-12"/>
    <x v="0"/>
    <x v="0"/>
    <n v="24"/>
    <x v="28"/>
    <n v="1.72"/>
    <n v="22.73"/>
    <s v="90400888"/>
  </r>
  <r>
    <x v="149"/>
    <s v="2021-08-12"/>
    <x v="0"/>
    <x v="0"/>
    <n v="23"/>
    <x v="16"/>
    <n v="1.64"/>
    <n v="21.52"/>
    <s v="07207996"/>
  </r>
  <r>
    <x v="149"/>
    <s v="2021-08-12"/>
    <x v="0"/>
    <x v="0"/>
    <n v="22"/>
    <x v="18"/>
    <n v="1.56"/>
    <n v="20.38"/>
    <s v="28127603"/>
  </r>
  <r>
    <x v="149"/>
    <s v="2021-08-12"/>
    <x v="0"/>
    <x v="0"/>
    <n v="21"/>
    <x v="21"/>
    <n v="1.53"/>
    <n v="20.03"/>
    <s v="03017677"/>
  </r>
  <r>
    <x v="149"/>
    <s v="2021-08-12"/>
    <x v="0"/>
    <x v="0"/>
    <n v="20"/>
    <x v="11"/>
    <n v="1.52"/>
    <n v="19.84"/>
    <s v="03634220"/>
  </r>
  <r>
    <x v="149"/>
    <s v="2021-08-12"/>
    <x v="0"/>
    <x v="0"/>
    <n v="19"/>
    <x v="32"/>
    <n v="1.5"/>
    <n v="19.55"/>
    <s v="60701190"/>
  </r>
  <r>
    <x v="149"/>
    <s v="2021-08-12"/>
    <x v="0"/>
    <x v="0"/>
    <n v="18"/>
    <x v="30"/>
    <n v="1.5"/>
    <n v="19.5"/>
    <s v="03502961"/>
  </r>
  <r>
    <x v="149"/>
    <s v="2021-08-12"/>
    <x v="0"/>
    <x v="0"/>
    <n v="17"/>
    <x v="29"/>
    <n v="1.44"/>
    <n v="18.68"/>
    <s v="60746948"/>
  </r>
  <r>
    <x v="149"/>
    <s v="2021-08-12"/>
    <x v="0"/>
    <x v="0"/>
    <n v="16"/>
    <x v="49"/>
    <n v="1.41"/>
    <n v="18.3"/>
    <s v="58160789"/>
  </r>
  <r>
    <x v="149"/>
    <s v="2021-08-12"/>
    <x v="0"/>
    <x v="0"/>
    <n v="15"/>
    <x v="25"/>
    <n v="1.37"/>
    <n v="17.72"/>
    <s v="59274605"/>
  </r>
  <r>
    <x v="149"/>
    <s v="2021-08-12"/>
    <x v="0"/>
    <x v="0"/>
    <n v="14"/>
    <x v="26"/>
    <n v="1.34"/>
    <n v="17.25"/>
    <s v="30172491"/>
  </r>
  <r>
    <x v="149"/>
    <s v="2021-08-12"/>
    <x v="0"/>
    <x v="0"/>
    <n v="13"/>
    <x v="33"/>
    <n v="1.32"/>
    <n v="16.989999999999998"/>
    <s v="62307848"/>
  </r>
  <r>
    <x v="149"/>
    <s v="2021-08-12"/>
    <x v="0"/>
    <x v="0"/>
    <n v="12"/>
    <x v="36"/>
    <n v="1.3"/>
    <n v="16.72"/>
    <s v="33136888"/>
  </r>
  <r>
    <x v="149"/>
    <s v="2021-08-12"/>
    <x v="0"/>
    <x v="0"/>
    <n v="11"/>
    <x v="23"/>
    <n v="1.29"/>
    <n v="16.66"/>
    <s v="03215790"/>
  </r>
  <r>
    <x v="149"/>
    <s v="2021-08-12"/>
    <x v="0"/>
    <x v="0"/>
    <n v="10"/>
    <x v="27"/>
    <n v="1.28"/>
    <n v="16.46"/>
    <s v="00000000"/>
  </r>
  <r>
    <x v="149"/>
    <s v="2021-08-12"/>
    <x v="0"/>
    <x v="0"/>
    <n v="9"/>
    <x v="31"/>
    <n v="1.26"/>
    <n v="16.260000000000002"/>
    <s v="17167412"/>
  </r>
  <r>
    <x v="149"/>
    <s v="2021-08-12"/>
    <x v="0"/>
    <x v="0"/>
    <n v="8"/>
    <x v="34"/>
    <n v="1.25"/>
    <n v="16.14"/>
    <s v="33603457"/>
  </r>
  <r>
    <x v="149"/>
    <s v="2021-08-12"/>
    <x v="0"/>
    <x v="0"/>
    <n v="7"/>
    <x v="37"/>
    <n v="1.2"/>
    <n v="15.39"/>
    <s v="04452473"/>
  </r>
  <r>
    <x v="149"/>
    <s v="2021-08-12"/>
    <x v="0"/>
    <x v="0"/>
    <n v="6"/>
    <x v="38"/>
    <n v="1.1100000000000001"/>
    <n v="14.13"/>
    <s v="60814191"/>
  </r>
  <r>
    <x v="149"/>
    <s v="2021-08-12"/>
    <x v="0"/>
    <x v="0"/>
    <n v="5"/>
    <x v="39"/>
    <n v="1.1100000000000001"/>
    <n v="14.1"/>
    <s v="04902979"/>
  </r>
  <r>
    <x v="149"/>
    <s v="2021-08-12"/>
    <x v="0"/>
    <x v="0"/>
    <n v="4"/>
    <x v="44"/>
    <n v="1.05"/>
    <n v="13.37"/>
    <s v="58017179"/>
  </r>
  <r>
    <x v="149"/>
    <s v="2021-08-12"/>
    <x v="0"/>
    <x v="0"/>
    <n v="3"/>
    <x v="35"/>
    <n v="1.04"/>
    <n v="13.17"/>
    <s v="59109165"/>
  </r>
  <r>
    <x v="149"/>
    <s v="2021-08-12"/>
    <x v="0"/>
    <x v="0"/>
    <n v="2"/>
    <x v="22"/>
    <n v="0.98"/>
    <n v="12.36"/>
    <s v="11417016"/>
  </r>
  <r>
    <x v="149"/>
    <s v="2021-08-12"/>
    <x v="0"/>
    <x v="0"/>
    <n v="1"/>
    <x v="40"/>
    <n v="0.97"/>
    <n v="12.29"/>
    <s v="02992446"/>
  </r>
  <r>
    <x v="150"/>
    <s v="2021-08-13"/>
    <x v="0"/>
    <x v="0"/>
    <n v="42"/>
    <x v="0"/>
    <n v="3.47"/>
    <n v="50.64"/>
    <s v="60850229"/>
  </r>
  <r>
    <x v="150"/>
    <s v="2021-08-13"/>
    <x v="0"/>
    <x v="0"/>
    <n v="41"/>
    <x v="3"/>
    <n v="3.42"/>
    <n v="49.62"/>
    <s v="05503849"/>
  </r>
  <r>
    <x v="150"/>
    <s v="2021-08-13"/>
    <x v="0"/>
    <x v="0"/>
    <n v="40"/>
    <x v="2"/>
    <n v="3.22"/>
    <n v="46.2"/>
    <s v="92228410"/>
  </r>
  <r>
    <x v="150"/>
    <s v="2021-08-13"/>
    <x v="0"/>
    <x v="0"/>
    <n v="39"/>
    <x v="1"/>
    <n v="3.11"/>
    <n v="44.44"/>
    <s v="01800019"/>
  </r>
  <r>
    <x v="150"/>
    <s v="2021-08-13"/>
    <x v="0"/>
    <x v="0"/>
    <n v="38"/>
    <x v="7"/>
    <n v="2.93"/>
    <n v="41.35"/>
    <s v="92874270"/>
  </r>
  <r>
    <x v="150"/>
    <s v="2021-08-13"/>
    <x v="0"/>
    <x v="0"/>
    <n v="37"/>
    <x v="4"/>
    <n v="2.57"/>
    <n v="35.549999999999997"/>
    <s v="62232889"/>
  </r>
  <r>
    <x v="150"/>
    <s v="2021-08-13"/>
    <x v="0"/>
    <x v="0"/>
    <n v="36"/>
    <x v="5"/>
    <n v="2.54"/>
    <n v="35.08"/>
    <s v="80271455"/>
  </r>
  <r>
    <x v="150"/>
    <s v="2021-08-13"/>
    <x v="0"/>
    <x v="0"/>
    <n v="35"/>
    <x v="6"/>
    <n v="2.4300000000000002"/>
    <n v="33.33"/>
    <s v="05676026"/>
  </r>
  <r>
    <x v="150"/>
    <s v="2021-08-13"/>
    <x v="0"/>
    <x v="0"/>
    <n v="34"/>
    <x v="9"/>
    <n v="2.3199999999999998"/>
    <n v="31.66"/>
    <s v="00411939"/>
  </r>
  <r>
    <x v="150"/>
    <s v="2021-08-13"/>
    <x v="0"/>
    <x v="0"/>
    <n v="33"/>
    <x v="8"/>
    <n v="2.29"/>
    <n v="31.2"/>
    <s v="59285411"/>
  </r>
  <r>
    <x v="150"/>
    <s v="2021-08-13"/>
    <x v="0"/>
    <x v="0"/>
    <n v="32"/>
    <x v="42"/>
    <n v="2.2000000000000002"/>
    <n v="29.82"/>
    <s v="34991938"/>
  </r>
  <r>
    <x v="150"/>
    <s v="2021-08-13"/>
    <x v="0"/>
    <x v="0"/>
    <n v="31"/>
    <x v="10"/>
    <n v="2.13"/>
    <n v="28.85"/>
    <s v="10371492"/>
  </r>
  <r>
    <x v="150"/>
    <s v="2021-08-13"/>
    <x v="0"/>
    <x v="0"/>
    <n v="30"/>
    <x v="24"/>
    <n v="1.85"/>
    <n v="24.66"/>
    <s v="22639377"/>
  </r>
  <r>
    <x v="150"/>
    <s v="2021-08-13"/>
    <x v="0"/>
    <x v="0"/>
    <n v="29"/>
    <x v="13"/>
    <n v="1.85"/>
    <n v="24.64"/>
    <s v="07707650"/>
  </r>
  <r>
    <x v="150"/>
    <s v="2021-08-13"/>
    <x v="0"/>
    <x v="0"/>
    <n v="28"/>
    <x v="15"/>
    <n v="1.75"/>
    <n v="23.11"/>
    <s v="59588111"/>
  </r>
  <r>
    <x v="150"/>
    <s v="2021-08-13"/>
    <x v="0"/>
    <x v="0"/>
    <n v="27"/>
    <x v="28"/>
    <n v="1.74"/>
    <n v="22.99"/>
    <s v="90400888"/>
  </r>
  <r>
    <x v="150"/>
    <s v="2021-08-13"/>
    <x v="0"/>
    <x v="0"/>
    <n v="26"/>
    <x v="12"/>
    <n v="1.74"/>
    <n v="22.98"/>
    <s v="04862600"/>
  </r>
  <r>
    <x v="150"/>
    <s v="2021-08-13"/>
    <x v="0"/>
    <x v="0"/>
    <n v="25"/>
    <x v="20"/>
    <n v="1.74"/>
    <n v="22.98"/>
    <s v="17192451"/>
  </r>
  <r>
    <x v="150"/>
    <s v="2021-08-13"/>
    <x v="0"/>
    <x v="0"/>
    <n v="24"/>
    <x v="16"/>
    <n v="1.65"/>
    <n v="21.63"/>
    <s v="07207996"/>
  </r>
  <r>
    <x v="150"/>
    <s v="2021-08-13"/>
    <x v="0"/>
    <x v="0"/>
    <n v="23"/>
    <x v="18"/>
    <n v="1.59"/>
    <n v="20.91"/>
    <s v="28127603"/>
  </r>
  <r>
    <x v="150"/>
    <s v="2021-08-13"/>
    <x v="0"/>
    <x v="0"/>
    <n v="22"/>
    <x v="21"/>
    <n v="1.53"/>
    <n v="19.920000000000002"/>
    <s v="03017677"/>
  </r>
  <r>
    <x v="150"/>
    <s v="2021-08-13"/>
    <x v="0"/>
    <x v="0"/>
    <n v="21"/>
    <x v="30"/>
    <n v="1.5"/>
    <n v="19.59"/>
    <s v="03502961"/>
  </r>
  <r>
    <x v="150"/>
    <s v="2021-08-13"/>
    <x v="0"/>
    <x v="0"/>
    <n v="20"/>
    <x v="32"/>
    <n v="1.5"/>
    <n v="19.54"/>
    <s v="60701190"/>
  </r>
  <r>
    <x v="150"/>
    <s v="2021-08-13"/>
    <x v="0"/>
    <x v="0"/>
    <n v="19"/>
    <x v="11"/>
    <n v="1.49"/>
    <n v="19.440000000000001"/>
    <s v="03634220"/>
  </r>
  <r>
    <x v="150"/>
    <s v="2021-08-13"/>
    <x v="0"/>
    <x v="0"/>
    <n v="18"/>
    <x v="29"/>
    <n v="1.44"/>
    <n v="18.72"/>
    <s v="60746948"/>
  </r>
  <r>
    <x v="150"/>
    <s v="2021-08-13"/>
    <x v="0"/>
    <x v="0"/>
    <n v="17"/>
    <x v="49"/>
    <n v="1.41"/>
    <n v="18.3"/>
    <s v="58160789"/>
  </r>
  <r>
    <x v="150"/>
    <s v="2021-08-13"/>
    <x v="0"/>
    <x v="0"/>
    <n v="16"/>
    <x v="25"/>
    <n v="1.39"/>
    <n v="18.010000000000002"/>
    <s v="59274605"/>
  </r>
  <r>
    <x v="150"/>
    <s v="2021-08-13"/>
    <x v="0"/>
    <x v="0"/>
    <n v="15"/>
    <x v="26"/>
    <n v="1.33"/>
    <n v="17.23"/>
    <s v="30172491"/>
  </r>
  <r>
    <x v="150"/>
    <s v="2021-08-13"/>
    <x v="0"/>
    <x v="0"/>
    <n v="14"/>
    <x v="33"/>
    <n v="1.31"/>
    <n v="16.91"/>
    <s v="62307848"/>
  </r>
  <r>
    <x v="150"/>
    <s v="2021-08-13"/>
    <x v="0"/>
    <x v="0"/>
    <n v="13"/>
    <x v="23"/>
    <n v="1.29"/>
    <n v="16.62"/>
    <s v="03215790"/>
  </r>
  <r>
    <x v="150"/>
    <s v="2021-08-13"/>
    <x v="0"/>
    <x v="0"/>
    <n v="12"/>
    <x v="27"/>
    <n v="1.28"/>
    <n v="16.489999999999998"/>
    <s v="00000000"/>
  </r>
  <r>
    <x v="150"/>
    <s v="2021-08-13"/>
    <x v="0"/>
    <x v="0"/>
    <n v="11"/>
    <x v="31"/>
    <n v="1.26"/>
    <n v="16.170000000000002"/>
    <s v="17167412"/>
  </r>
  <r>
    <x v="150"/>
    <s v="2021-08-13"/>
    <x v="0"/>
    <x v="0"/>
    <n v="10"/>
    <x v="34"/>
    <n v="1.24"/>
    <n v="15.96"/>
    <s v="33603457"/>
  </r>
  <r>
    <x v="150"/>
    <s v="2021-08-13"/>
    <x v="0"/>
    <x v="0"/>
    <n v="9"/>
    <x v="36"/>
    <n v="1.23"/>
    <n v="15.74"/>
    <s v="33136888"/>
  </r>
  <r>
    <x v="150"/>
    <s v="2021-08-13"/>
    <x v="0"/>
    <x v="0"/>
    <n v="8"/>
    <x v="44"/>
    <n v="1.2"/>
    <n v="15.45"/>
    <s v="58017179"/>
  </r>
  <r>
    <x v="150"/>
    <s v="2021-08-13"/>
    <x v="0"/>
    <x v="0"/>
    <n v="7"/>
    <x v="37"/>
    <n v="1.19"/>
    <n v="15.3"/>
    <s v="04452473"/>
  </r>
  <r>
    <x v="150"/>
    <s v="2021-08-13"/>
    <x v="0"/>
    <x v="0"/>
    <n v="6"/>
    <x v="43"/>
    <n v="1.1200000000000001"/>
    <n v="14.35"/>
    <s v="07441209"/>
  </r>
  <r>
    <x v="150"/>
    <s v="2021-08-13"/>
    <x v="0"/>
    <x v="0"/>
    <n v="5"/>
    <x v="39"/>
    <n v="1.1100000000000001"/>
    <n v="14.1"/>
    <s v="04902979"/>
  </r>
  <r>
    <x v="150"/>
    <s v="2021-08-13"/>
    <x v="0"/>
    <x v="0"/>
    <n v="4"/>
    <x v="38"/>
    <n v="1.1000000000000001"/>
    <n v="14.08"/>
    <s v="60814191"/>
  </r>
  <r>
    <x v="150"/>
    <s v="2021-08-13"/>
    <x v="0"/>
    <x v="0"/>
    <n v="3"/>
    <x v="35"/>
    <n v="1.03"/>
    <n v="13.09"/>
    <s v="59109165"/>
  </r>
  <r>
    <x v="150"/>
    <s v="2021-08-13"/>
    <x v="0"/>
    <x v="0"/>
    <n v="2"/>
    <x v="40"/>
    <n v="0.99"/>
    <n v="12.58"/>
    <s v="02992446"/>
  </r>
  <r>
    <x v="150"/>
    <s v="2021-08-13"/>
    <x v="0"/>
    <x v="0"/>
    <n v="1"/>
    <x v="22"/>
    <n v="0.97"/>
    <n v="12.29"/>
    <s v="11417016"/>
  </r>
  <r>
    <x v="151"/>
    <s v="2021-08-16"/>
    <x v="0"/>
    <x v="0"/>
    <n v="42"/>
    <x v="3"/>
    <n v="3.42"/>
    <n v="49.79"/>
    <s v="05503849"/>
  </r>
  <r>
    <x v="151"/>
    <s v="2021-08-16"/>
    <x v="0"/>
    <x v="0"/>
    <n v="41"/>
    <x v="0"/>
    <n v="3.37"/>
    <n v="48.9"/>
    <s v="60850229"/>
  </r>
  <r>
    <x v="151"/>
    <s v="2021-08-16"/>
    <x v="0"/>
    <x v="0"/>
    <n v="40"/>
    <x v="2"/>
    <n v="3.21"/>
    <n v="46.05"/>
    <s v="92228410"/>
  </r>
  <r>
    <x v="151"/>
    <s v="2021-08-16"/>
    <x v="0"/>
    <x v="0"/>
    <n v="39"/>
    <x v="1"/>
    <n v="3.1"/>
    <n v="44.31"/>
    <s v="01800019"/>
  </r>
  <r>
    <x v="151"/>
    <s v="2021-08-16"/>
    <x v="0"/>
    <x v="0"/>
    <n v="38"/>
    <x v="7"/>
    <n v="2.92"/>
    <n v="41.23"/>
    <s v="92874270"/>
  </r>
  <r>
    <x v="151"/>
    <s v="2021-08-16"/>
    <x v="0"/>
    <x v="0"/>
    <n v="37"/>
    <x v="4"/>
    <n v="2.54"/>
    <n v="35.18"/>
    <s v="62232889"/>
  </r>
  <r>
    <x v="151"/>
    <s v="2021-08-16"/>
    <x v="0"/>
    <x v="0"/>
    <n v="36"/>
    <x v="5"/>
    <n v="2.48"/>
    <n v="34.15"/>
    <s v="80271455"/>
  </r>
  <r>
    <x v="151"/>
    <s v="2021-08-16"/>
    <x v="0"/>
    <x v="0"/>
    <n v="35"/>
    <x v="6"/>
    <n v="2.4300000000000002"/>
    <n v="33.35"/>
    <s v="05676026"/>
  </r>
  <r>
    <x v="151"/>
    <s v="2021-08-16"/>
    <x v="0"/>
    <x v="0"/>
    <n v="34"/>
    <x v="9"/>
    <n v="2.36"/>
    <n v="32.22"/>
    <s v="00411939"/>
  </r>
  <r>
    <x v="151"/>
    <s v="2021-08-16"/>
    <x v="0"/>
    <x v="0"/>
    <n v="33"/>
    <x v="8"/>
    <n v="2.2999999999999998"/>
    <n v="31.42"/>
    <s v="59285411"/>
  </r>
  <r>
    <x v="151"/>
    <s v="2021-08-16"/>
    <x v="0"/>
    <x v="0"/>
    <n v="32"/>
    <x v="42"/>
    <n v="2.2200000000000002"/>
    <n v="30.16"/>
    <s v="34991938"/>
  </r>
  <r>
    <x v="151"/>
    <s v="2021-08-16"/>
    <x v="0"/>
    <x v="0"/>
    <n v="31"/>
    <x v="10"/>
    <n v="2.17"/>
    <n v="29.36"/>
    <s v="10371492"/>
  </r>
  <r>
    <x v="151"/>
    <s v="2021-08-16"/>
    <x v="0"/>
    <x v="0"/>
    <n v="30"/>
    <x v="24"/>
    <n v="1.88"/>
    <n v="25.05"/>
    <s v="22639377"/>
  </r>
  <r>
    <x v="151"/>
    <s v="2021-08-16"/>
    <x v="0"/>
    <x v="0"/>
    <n v="29"/>
    <x v="13"/>
    <n v="1.85"/>
    <n v="24.67"/>
    <s v="07707650"/>
  </r>
  <r>
    <x v="151"/>
    <s v="2021-08-16"/>
    <x v="0"/>
    <x v="0"/>
    <n v="28"/>
    <x v="28"/>
    <n v="1.79"/>
    <n v="23.73"/>
    <s v="90400888"/>
  </r>
  <r>
    <x v="151"/>
    <s v="2021-08-16"/>
    <x v="0"/>
    <x v="0"/>
    <n v="27"/>
    <x v="15"/>
    <n v="1.75"/>
    <n v="23.19"/>
    <s v="59588111"/>
  </r>
  <r>
    <x v="151"/>
    <s v="2021-08-16"/>
    <x v="0"/>
    <x v="0"/>
    <n v="26"/>
    <x v="20"/>
    <n v="1.74"/>
    <n v="23.01"/>
    <s v="17192451"/>
  </r>
  <r>
    <x v="151"/>
    <s v="2021-08-16"/>
    <x v="0"/>
    <x v="0"/>
    <n v="25"/>
    <x v="12"/>
    <n v="1.73"/>
    <n v="22.82"/>
    <s v="04862600"/>
  </r>
  <r>
    <x v="151"/>
    <s v="2021-08-16"/>
    <x v="0"/>
    <x v="0"/>
    <n v="24"/>
    <x v="16"/>
    <n v="1.65"/>
    <n v="21.72"/>
    <s v="07207996"/>
  </r>
  <r>
    <x v="151"/>
    <s v="2021-08-16"/>
    <x v="0"/>
    <x v="0"/>
    <n v="23"/>
    <x v="18"/>
    <n v="1.63"/>
    <n v="21.48"/>
    <s v="28127603"/>
  </r>
  <r>
    <x v="151"/>
    <s v="2021-08-16"/>
    <x v="0"/>
    <x v="0"/>
    <n v="22"/>
    <x v="21"/>
    <n v="1.53"/>
    <n v="19.920000000000002"/>
    <s v="03017677"/>
  </r>
  <r>
    <x v="151"/>
    <s v="2021-08-16"/>
    <x v="0"/>
    <x v="0"/>
    <n v="21"/>
    <x v="30"/>
    <n v="1.5"/>
    <n v="19.559999999999999"/>
    <s v="03502961"/>
  </r>
  <r>
    <x v="151"/>
    <s v="2021-08-16"/>
    <x v="0"/>
    <x v="0"/>
    <n v="20"/>
    <x v="32"/>
    <n v="1.5"/>
    <n v="19.53"/>
    <s v="60701190"/>
  </r>
  <r>
    <x v="151"/>
    <s v="2021-08-16"/>
    <x v="0"/>
    <x v="0"/>
    <n v="19"/>
    <x v="11"/>
    <n v="1.47"/>
    <n v="19.12"/>
    <s v="03634220"/>
  </r>
  <r>
    <x v="151"/>
    <s v="2021-08-16"/>
    <x v="0"/>
    <x v="0"/>
    <n v="18"/>
    <x v="29"/>
    <n v="1.45"/>
    <n v="18.829999999999998"/>
    <s v="60746948"/>
  </r>
  <r>
    <x v="151"/>
    <s v="2021-08-16"/>
    <x v="0"/>
    <x v="0"/>
    <n v="17"/>
    <x v="49"/>
    <n v="1.41"/>
    <n v="18.3"/>
    <s v="58160789"/>
  </r>
  <r>
    <x v="151"/>
    <s v="2021-08-16"/>
    <x v="0"/>
    <x v="0"/>
    <n v="16"/>
    <x v="25"/>
    <n v="1.4"/>
    <n v="18.11"/>
    <s v="59274605"/>
  </r>
  <r>
    <x v="151"/>
    <s v="2021-08-16"/>
    <x v="0"/>
    <x v="0"/>
    <n v="15"/>
    <x v="26"/>
    <n v="1.33"/>
    <n v="17.21"/>
    <s v="30172491"/>
  </r>
  <r>
    <x v="151"/>
    <s v="2021-08-16"/>
    <x v="0"/>
    <x v="0"/>
    <n v="14"/>
    <x v="33"/>
    <n v="1.3"/>
    <n v="16.72"/>
    <s v="62307848"/>
  </r>
  <r>
    <x v="151"/>
    <s v="2021-08-16"/>
    <x v="0"/>
    <x v="0"/>
    <n v="13"/>
    <x v="23"/>
    <n v="1.29"/>
    <n v="16.59"/>
    <s v="03215790"/>
  </r>
  <r>
    <x v="151"/>
    <s v="2021-08-16"/>
    <x v="0"/>
    <x v="0"/>
    <n v="12"/>
    <x v="27"/>
    <n v="1.28"/>
    <n v="16.45"/>
    <s v="00000000"/>
  </r>
  <r>
    <x v="151"/>
    <s v="2021-08-16"/>
    <x v="0"/>
    <x v="0"/>
    <n v="11"/>
    <x v="31"/>
    <n v="1.26"/>
    <n v="16.2"/>
    <s v="17167412"/>
  </r>
  <r>
    <x v="151"/>
    <s v="2021-08-16"/>
    <x v="0"/>
    <x v="0"/>
    <n v="10"/>
    <x v="34"/>
    <n v="1.26"/>
    <n v="16.170000000000002"/>
    <s v="33603457"/>
  </r>
  <r>
    <x v="151"/>
    <s v="2021-08-16"/>
    <x v="0"/>
    <x v="0"/>
    <n v="9"/>
    <x v="36"/>
    <n v="1.2"/>
    <n v="15.44"/>
    <s v="33136888"/>
  </r>
  <r>
    <x v="151"/>
    <s v="2021-08-16"/>
    <x v="0"/>
    <x v="0"/>
    <n v="8"/>
    <x v="37"/>
    <n v="1.19"/>
    <n v="15.24"/>
    <s v="04452473"/>
  </r>
  <r>
    <x v="151"/>
    <s v="2021-08-16"/>
    <x v="0"/>
    <x v="0"/>
    <n v="7"/>
    <x v="44"/>
    <n v="1.18"/>
    <n v="15.17"/>
    <s v="58017179"/>
  </r>
  <r>
    <x v="151"/>
    <s v="2021-08-16"/>
    <x v="0"/>
    <x v="0"/>
    <n v="6"/>
    <x v="43"/>
    <n v="1.1200000000000001"/>
    <n v="14.35"/>
    <s v="07441209"/>
  </r>
  <r>
    <x v="151"/>
    <s v="2021-08-16"/>
    <x v="0"/>
    <x v="0"/>
    <n v="5"/>
    <x v="38"/>
    <n v="1.1200000000000001"/>
    <n v="14.28"/>
    <s v="60814191"/>
  </r>
  <r>
    <x v="151"/>
    <s v="2021-08-16"/>
    <x v="0"/>
    <x v="0"/>
    <n v="4"/>
    <x v="39"/>
    <n v="1.1100000000000001"/>
    <n v="14.1"/>
    <s v="04902979"/>
  </r>
  <r>
    <x v="151"/>
    <s v="2021-08-16"/>
    <x v="0"/>
    <x v="0"/>
    <n v="3"/>
    <x v="35"/>
    <n v="1.02"/>
    <n v="12.96"/>
    <s v="59109165"/>
  </r>
  <r>
    <x v="151"/>
    <s v="2021-08-16"/>
    <x v="0"/>
    <x v="0"/>
    <n v="2"/>
    <x v="40"/>
    <n v="1"/>
    <n v="12.62"/>
    <s v="02992446"/>
  </r>
  <r>
    <x v="151"/>
    <s v="2021-08-16"/>
    <x v="0"/>
    <x v="0"/>
    <n v="1"/>
    <x v="22"/>
    <n v="0.95"/>
    <n v="11.96"/>
    <s v="11417016"/>
  </r>
  <r>
    <x v="152"/>
    <s v="2021-08-17"/>
    <x v="0"/>
    <x v="0"/>
    <n v="40"/>
    <x v="3"/>
    <n v="3.41"/>
    <n v="49.46"/>
    <s v="05503849"/>
  </r>
  <r>
    <x v="152"/>
    <s v="2021-08-17"/>
    <x v="0"/>
    <x v="0"/>
    <n v="39"/>
    <x v="0"/>
    <n v="3.21"/>
    <n v="46.16"/>
    <s v="60850229"/>
  </r>
  <r>
    <x v="152"/>
    <s v="2021-08-17"/>
    <x v="0"/>
    <x v="0"/>
    <n v="38"/>
    <x v="2"/>
    <n v="3.17"/>
    <n v="45.48"/>
    <s v="92228410"/>
  </r>
  <r>
    <x v="152"/>
    <s v="2021-08-17"/>
    <x v="0"/>
    <x v="0"/>
    <n v="37"/>
    <x v="1"/>
    <n v="3.06"/>
    <n v="43.61"/>
    <s v="01800019"/>
  </r>
  <r>
    <x v="152"/>
    <s v="2021-08-17"/>
    <x v="0"/>
    <x v="0"/>
    <n v="36"/>
    <x v="7"/>
    <n v="2.96"/>
    <n v="41.86"/>
    <s v="92874270"/>
  </r>
  <r>
    <x v="152"/>
    <s v="2021-08-17"/>
    <x v="0"/>
    <x v="0"/>
    <n v="35"/>
    <x v="4"/>
    <n v="2.54"/>
    <n v="35.07"/>
    <s v="62232889"/>
  </r>
  <r>
    <x v="152"/>
    <s v="2021-08-17"/>
    <x v="0"/>
    <x v="0"/>
    <n v="34"/>
    <x v="6"/>
    <n v="2.42"/>
    <n v="33.29"/>
    <s v="05676026"/>
  </r>
  <r>
    <x v="152"/>
    <s v="2021-08-17"/>
    <x v="0"/>
    <x v="0"/>
    <n v="33"/>
    <x v="5"/>
    <n v="2.41"/>
    <n v="33.049999999999997"/>
    <s v="80271455"/>
  </r>
  <r>
    <x v="152"/>
    <s v="2021-08-17"/>
    <x v="0"/>
    <x v="0"/>
    <n v="32"/>
    <x v="9"/>
    <n v="2.4"/>
    <n v="32.85"/>
    <s v="00411939"/>
  </r>
  <r>
    <x v="152"/>
    <s v="2021-08-17"/>
    <x v="0"/>
    <x v="0"/>
    <n v="31"/>
    <x v="8"/>
    <n v="2.3199999999999998"/>
    <n v="31.72"/>
    <s v="59285411"/>
  </r>
  <r>
    <x v="152"/>
    <s v="2021-08-17"/>
    <x v="0"/>
    <x v="0"/>
    <n v="30"/>
    <x v="42"/>
    <n v="2.2999999999999998"/>
    <n v="31.4"/>
    <s v="34991938"/>
  </r>
  <r>
    <x v="152"/>
    <s v="2021-08-17"/>
    <x v="0"/>
    <x v="0"/>
    <n v="29"/>
    <x v="10"/>
    <n v="2.17"/>
    <n v="29.36"/>
    <s v="10371492"/>
  </r>
  <r>
    <x v="152"/>
    <s v="2021-08-17"/>
    <x v="0"/>
    <x v="0"/>
    <n v="28"/>
    <x v="24"/>
    <n v="2"/>
    <n v="26.76"/>
    <s v="22639377"/>
  </r>
  <r>
    <x v="152"/>
    <s v="2021-08-17"/>
    <x v="0"/>
    <x v="0"/>
    <n v="27"/>
    <x v="13"/>
    <n v="1.86"/>
    <n v="24.7"/>
    <s v="07707650"/>
  </r>
  <r>
    <x v="152"/>
    <s v="2021-08-17"/>
    <x v="0"/>
    <x v="0"/>
    <n v="26"/>
    <x v="28"/>
    <n v="1.82"/>
    <n v="24.21"/>
    <s v="90400888"/>
  </r>
  <r>
    <x v="152"/>
    <s v="2021-08-17"/>
    <x v="0"/>
    <x v="0"/>
    <n v="25"/>
    <x v="15"/>
    <n v="1.76"/>
    <n v="23.26"/>
    <s v="59588111"/>
  </r>
  <r>
    <x v="152"/>
    <s v="2021-08-17"/>
    <x v="0"/>
    <x v="0"/>
    <n v="24"/>
    <x v="20"/>
    <n v="1.74"/>
    <n v="23.07"/>
    <s v="17192451"/>
  </r>
  <r>
    <x v="152"/>
    <s v="2021-08-17"/>
    <x v="0"/>
    <x v="0"/>
    <n v="23"/>
    <x v="12"/>
    <n v="1.72"/>
    <n v="22.68"/>
    <s v="04862600"/>
  </r>
  <r>
    <x v="152"/>
    <s v="2021-08-17"/>
    <x v="0"/>
    <x v="0"/>
    <n v="22"/>
    <x v="16"/>
    <n v="1.65"/>
    <n v="21.73"/>
    <s v="07207996"/>
  </r>
  <r>
    <x v="152"/>
    <s v="2021-08-17"/>
    <x v="0"/>
    <x v="0"/>
    <n v="21"/>
    <x v="18"/>
    <n v="1.53"/>
    <n v="20"/>
    <s v="28127603"/>
  </r>
  <r>
    <x v="152"/>
    <s v="2021-08-17"/>
    <x v="0"/>
    <x v="0"/>
    <n v="20"/>
    <x v="21"/>
    <n v="1.53"/>
    <n v="19.98"/>
    <s v="03017677"/>
  </r>
  <r>
    <x v="152"/>
    <s v="2021-08-17"/>
    <x v="0"/>
    <x v="0"/>
    <n v="19"/>
    <x v="30"/>
    <n v="1.49"/>
    <n v="19.440000000000001"/>
    <s v="03502961"/>
  </r>
  <r>
    <x v="152"/>
    <s v="2021-08-17"/>
    <x v="0"/>
    <x v="0"/>
    <n v="18"/>
    <x v="32"/>
    <n v="1.49"/>
    <n v="19.420000000000002"/>
    <s v="60701190"/>
  </r>
  <r>
    <x v="152"/>
    <s v="2021-08-17"/>
    <x v="0"/>
    <x v="0"/>
    <n v="17"/>
    <x v="29"/>
    <n v="1.46"/>
    <n v="18.98"/>
    <s v="60746948"/>
  </r>
  <r>
    <x v="152"/>
    <s v="2021-08-17"/>
    <x v="0"/>
    <x v="0"/>
    <n v="16"/>
    <x v="25"/>
    <n v="1.45"/>
    <n v="18.86"/>
    <s v="59274605"/>
  </r>
  <r>
    <x v="152"/>
    <s v="2021-08-17"/>
    <x v="0"/>
    <x v="0"/>
    <n v="15"/>
    <x v="11"/>
    <n v="1.44"/>
    <n v="18.739999999999998"/>
    <s v="03634220"/>
  </r>
  <r>
    <x v="152"/>
    <s v="2021-08-17"/>
    <x v="0"/>
    <x v="0"/>
    <n v="14"/>
    <x v="26"/>
    <n v="1.34"/>
    <n v="17.28"/>
    <s v="30172491"/>
  </r>
  <r>
    <x v="152"/>
    <s v="2021-08-17"/>
    <x v="0"/>
    <x v="0"/>
    <n v="13"/>
    <x v="23"/>
    <n v="1.3"/>
    <n v="16.7"/>
    <s v="03215790"/>
  </r>
  <r>
    <x v="152"/>
    <s v="2021-08-17"/>
    <x v="0"/>
    <x v="0"/>
    <n v="12"/>
    <x v="33"/>
    <n v="1.29"/>
    <n v="16.57"/>
    <s v="62307848"/>
  </r>
  <r>
    <x v="152"/>
    <s v="2021-08-17"/>
    <x v="0"/>
    <x v="0"/>
    <n v="11"/>
    <x v="27"/>
    <n v="1.28"/>
    <n v="16.45"/>
    <s v="00000000"/>
  </r>
  <r>
    <x v="152"/>
    <s v="2021-08-17"/>
    <x v="0"/>
    <x v="0"/>
    <n v="10"/>
    <x v="34"/>
    <n v="1.27"/>
    <n v="16.309999999999999"/>
    <s v="33603457"/>
  </r>
  <r>
    <x v="152"/>
    <s v="2021-08-17"/>
    <x v="0"/>
    <x v="0"/>
    <n v="9"/>
    <x v="31"/>
    <n v="1.26"/>
    <n v="16.149999999999999"/>
    <s v="17167412"/>
  </r>
  <r>
    <x v="152"/>
    <s v="2021-08-17"/>
    <x v="0"/>
    <x v="0"/>
    <n v="8"/>
    <x v="36"/>
    <n v="1.2"/>
    <n v="15.44"/>
    <s v="33136888"/>
  </r>
  <r>
    <x v="152"/>
    <s v="2021-08-17"/>
    <x v="0"/>
    <x v="0"/>
    <n v="7"/>
    <x v="37"/>
    <n v="1.18"/>
    <n v="15.17"/>
    <s v="04452473"/>
  </r>
  <r>
    <x v="152"/>
    <s v="2021-08-17"/>
    <x v="0"/>
    <x v="0"/>
    <n v="6"/>
    <x v="44"/>
    <n v="1.18"/>
    <n v="15.17"/>
    <s v="58017179"/>
  </r>
  <r>
    <x v="152"/>
    <s v="2021-08-17"/>
    <x v="0"/>
    <x v="0"/>
    <n v="5"/>
    <x v="38"/>
    <n v="1.1200000000000001"/>
    <n v="14.33"/>
    <s v="60814191"/>
  </r>
  <r>
    <x v="152"/>
    <s v="2021-08-17"/>
    <x v="0"/>
    <x v="0"/>
    <n v="4"/>
    <x v="43"/>
    <n v="1.1000000000000001"/>
    <n v="14.01"/>
    <s v="07441209"/>
  </r>
  <r>
    <x v="152"/>
    <s v="2021-08-17"/>
    <x v="0"/>
    <x v="0"/>
    <n v="3"/>
    <x v="35"/>
    <n v="1.03"/>
    <n v="13.06"/>
    <s v="59109165"/>
  </r>
  <r>
    <x v="152"/>
    <s v="2021-08-17"/>
    <x v="0"/>
    <x v="0"/>
    <n v="2"/>
    <x v="40"/>
    <n v="1.02"/>
    <n v="12.91"/>
    <s v="02992446"/>
  </r>
  <r>
    <x v="152"/>
    <s v="2021-08-17"/>
    <x v="0"/>
    <x v="0"/>
    <n v="1"/>
    <x v="22"/>
    <n v="0.97"/>
    <n v="12.23"/>
    <s v="11417016"/>
  </r>
  <r>
    <x v="153"/>
    <s v="2021-08-18"/>
    <x v="0"/>
    <x v="0"/>
    <n v="41"/>
    <x v="3"/>
    <n v="3.45"/>
    <n v="50.26"/>
    <s v="05503849"/>
  </r>
  <r>
    <x v="153"/>
    <s v="2021-08-18"/>
    <x v="0"/>
    <x v="0"/>
    <n v="40"/>
    <x v="2"/>
    <n v="3.17"/>
    <n v="45.47"/>
    <s v="92228410"/>
  </r>
  <r>
    <x v="153"/>
    <s v="2021-08-18"/>
    <x v="0"/>
    <x v="0"/>
    <n v="39"/>
    <x v="0"/>
    <n v="3.13"/>
    <n v="44.67"/>
    <s v="60850229"/>
  </r>
  <r>
    <x v="153"/>
    <s v="2021-08-18"/>
    <x v="0"/>
    <x v="0"/>
    <n v="38"/>
    <x v="1"/>
    <n v="3.12"/>
    <n v="44.6"/>
    <s v="01800019"/>
  </r>
  <r>
    <x v="153"/>
    <s v="2021-08-18"/>
    <x v="0"/>
    <x v="0"/>
    <n v="37"/>
    <x v="7"/>
    <n v="2.99"/>
    <n v="42.45"/>
    <s v="92874270"/>
  </r>
  <r>
    <x v="153"/>
    <s v="2021-08-18"/>
    <x v="0"/>
    <x v="0"/>
    <n v="36"/>
    <x v="4"/>
    <n v="2.54"/>
    <n v="35.06"/>
    <s v="62232889"/>
  </r>
  <r>
    <x v="153"/>
    <s v="2021-08-18"/>
    <x v="0"/>
    <x v="0"/>
    <n v="35"/>
    <x v="5"/>
    <n v="2.48"/>
    <n v="34.19"/>
    <s v="80271455"/>
  </r>
  <r>
    <x v="153"/>
    <s v="2021-08-18"/>
    <x v="0"/>
    <x v="0"/>
    <n v="34"/>
    <x v="6"/>
    <n v="2.42"/>
    <n v="33.19"/>
    <s v="05676026"/>
  </r>
  <r>
    <x v="153"/>
    <s v="2021-08-18"/>
    <x v="0"/>
    <x v="0"/>
    <n v="33"/>
    <x v="9"/>
    <n v="2.38"/>
    <n v="32.65"/>
    <s v="00411939"/>
  </r>
  <r>
    <x v="153"/>
    <s v="2021-08-18"/>
    <x v="0"/>
    <x v="0"/>
    <n v="32"/>
    <x v="8"/>
    <n v="2.33"/>
    <n v="31.84"/>
    <s v="59285411"/>
  </r>
  <r>
    <x v="153"/>
    <s v="2021-08-18"/>
    <x v="0"/>
    <x v="0"/>
    <n v="31"/>
    <x v="42"/>
    <n v="2.27"/>
    <n v="30.91"/>
    <s v="34991938"/>
  </r>
  <r>
    <x v="153"/>
    <s v="2021-08-18"/>
    <x v="0"/>
    <x v="0"/>
    <n v="30"/>
    <x v="10"/>
    <n v="2.17"/>
    <n v="29.39"/>
    <s v="10371492"/>
  </r>
  <r>
    <x v="153"/>
    <s v="2021-08-18"/>
    <x v="0"/>
    <x v="0"/>
    <n v="29"/>
    <x v="24"/>
    <n v="1.94"/>
    <n v="25.98"/>
    <s v="22639377"/>
  </r>
  <r>
    <x v="153"/>
    <s v="2021-08-18"/>
    <x v="0"/>
    <x v="0"/>
    <n v="28"/>
    <x v="13"/>
    <n v="1.86"/>
    <n v="24.79"/>
    <s v="07707650"/>
  </r>
  <r>
    <x v="153"/>
    <s v="2021-08-18"/>
    <x v="0"/>
    <x v="0"/>
    <n v="27"/>
    <x v="19"/>
    <n v="1.78"/>
    <n v="23.53"/>
    <s v="92702067"/>
  </r>
  <r>
    <x v="153"/>
    <s v="2021-08-18"/>
    <x v="0"/>
    <x v="0"/>
    <n v="26"/>
    <x v="15"/>
    <n v="1.77"/>
    <n v="23.36"/>
    <s v="59588111"/>
  </r>
  <r>
    <x v="153"/>
    <s v="2021-08-18"/>
    <x v="0"/>
    <x v="0"/>
    <n v="25"/>
    <x v="28"/>
    <n v="1.75"/>
    <n v="23.18"/>
    <s v="90400888"/>
  </r>
  <r>
    <x v="153"/>
    <s v="2021-08-18"/>
    <x v="0"/>
    <x v="0"/>
    <n v="24"/>
    <x v="20"/>
    <n v="1.74"/>
    <n v="22.96"/>
    <s v="17192451"/>
  </r>
  <r>
    <x v="153"/>
    <s v="2021-08-18"/>
    <x v="0"/>
    <x v="0"/>
    <n v="23"/>
    <x v="12"/>
    <n v="1.72"/>
    <n v="22.66"/>
    <s v="04862600"/>
  </r>
  <r>
    <x v="153"/>
    <s v="2021-08-18"/>
    <x v="0"/>
    <x v="0"/>
    <n v="22"/>
    <x v="16"/>
    <n v="1.65"/>
    <n v="21.73"/>
    <s v="07207996"/>
  </r>
  <r>
    <x v="153"/>
    <s v="2021-08-18"/>
    <x v="0"/>
    <x v="0"/>
    <n v="21"/>
    <x v="21"/>
    <n v="1.53"/>
    <n v="20.02"/>
    <s v="03017677"/>
  </r>
  <r>
    <x v="153"/>
    <s v="2021-08-18"/>
    <x v="0"/>
    <x v="0"/>
    <n v="20"/>
    <x v="30"/>
    <n v="1.49"/>
    <n v="19.46"/>
    <s v="03502961"/>
  </r>
  <r>
    <x v="153"/>
    <s v="2021-08-18"/>
    <x v="0"/>
    <x v="0"/>
    <n v="19"/>
    <x v="32"/>
    <n v="1.49"/>
    <n v="19.41"/>
    <s v="60701190"/>
  </r>
  <r>
    <x v="153"/>
    <s v="2021-08-18"/>
    <x v="0"/>
    <x v="0"/>
    <n v="18"/>
    <x v="29"/>
    <n v="1.46"/>
    <n v="19.02"/>
    <s v="60746948"/>
  </r>
  <r>
    <x v="153"/>
    <s v="2021-08-18"/>
    <x v="0"/>
    <x v="0"/>
    <n v="17"/>
    <x v="25"/>
    <n v="1.43"/>
    <n v="18.62"/>
    <s v="59274605"/>
  </r>
  <r>
    <x v="153"/>
    <s v="2021-08-18"/>
    <x v="0"/>
    <x v="0"/>
    <n v="16"/>
    <x v="11"/>
    <n v="1.42"/>
    <n v="18.41"/>
    <s v="03634220"/>
  </r>
  <r>
    <x v="153"/>
    <s v="2021-08-18"/>
    <x v="0"/>
    <x v="0"/>
    <n v="15"/>
    <x v="26"/>
    <n v="1.35"/>
    <n v="17.399999999999999"/>
    <s v="30172491"/>
  </r>
  <r>
    <x v="153"/>
    <s v="2021-08-18"/>
    <x v="0"/>
    <x v="0"/>
    <n v="14"/>
    <x v="23"/>
    <n v="1.29"/>
    <n v="16.670000000000002"/>
    <s v="03215790"/>
  </r>
  <r>
    <x v="153"/>
    <s v="2021-08-18"/>
    <x v="0"/>
    <x v="0"/>
    <n v="13"/>
    <x v="33"/>
    <n v="1.29"/>
    <n v="16.559999999999999"/>
    <s v="62307848"/>
  </r>
  <r>
    <x v="153"/>
    <s v="2021-08-18"/>
    <x v="0"/>
    <x v="0"/>
    <n v="12"/>
    <x v="27"/>
    <n v="1.28"/>
    <n v="16.47"/>
    <s v="00000000"/>
  </r>
  <r>
    <x v="153"/>
    <s v="2021-08-18"/>
    <x v="0"/>
    <x v="0"/>
    <n v="11"/>
    <x v="18"/>
    <n v="1.27"/>
    <n v="16.37"/>
    <s v="28127603"/>
  </r>
  <r>
    <x v="153"/>
    <s v="2021-08-18"/>
    <x v="0"/>
    <x v="0"/>
    <n v="10"/>
    <x v="34"/>
    <n v="1.25"/>
    <n v="16.079999999999998"/>
    <s v="33603457"/>
  </r>
  <r>
    <x v="153"/>
    <s v="2021-08-18"/>
    <x v="0"/>
    <x v="0"/>
    <n v="9"/>
    <x v="31"/>
    <n v="1.25"/>
    <n v="16.05"/>
    <s v="17167412"/>
  </r>
  <r>
    <x v="153"/>
    <s v="2021-08-18"/>
    <x v="0"/>
    <x v="0"/>
    <n v="8"/>
    <x v="37"/>
    <n v="1.18"/>
    <n v="15.14"/>
    <s v="04452473"/>
  </r>
  <r>
    <x v="153"/>
    <s v="2021-08-18"/>
    <x v="0"/>
    <x v="0"/>
    <n v="7"/>
    <x v="36"/>
    <n v="1.17"/>
    <n v="14.92"/>
    <s v="33136888"/>
  </r>
  <r>
    <x v="153"/>
    <s v="2021-08-18"/>
    <x v="0"/>
    <x v="0"/>
    <n v="6"/>
    <x v="44"/>
    <n v="1.1499999999999999"/>
    <n v="14.71"/>
    <s v="58017179"/>
  </r>
  <r>
    <x v="153"/>
    <s v="2021-08-18"/>
    <x v="0"/>
    <x v="0"/>
    <n v="5"/>
    <x v="43"/>
    <n v="1.1000000000000001"/>
    <n v="14.01"/>
    <s v="07441209"/>
  </r>
  <r>
    <x v="153"/>
    <s v="2021-08-18"/>
    <x v="0"/>
    <x v="0"/>
    <n v="4"/>
    <x v="38"/>
    <n v="1.0900000000000001"/>
    <n v="13.87"/>
    <s v="60814191"/>
  </r>
  <r>
    <x v="153"/>
    <s v="2021-08-18"/>
    <x v="0"/>
    <x v="0"/>
    <n v="3"/>
    <x v="35"/>
    <n v="1.03"/>
    <n v="13.09"/>
    <s v="59109165"/>
  </r>
  <r>
    <x v="153"/>
    <s v="2021-08-18"/>
    <x v="0"/>
    <x v="0"/>
    <n v="2"/>
    <x v="40"/>
    <n v="1.01"/>
    <n v="12.85"/>
    <s v="02992446"/>
  </r>
  <r>
    <x v="153"/>
    <s v="2021-08-18"/>
    <x v="0"/>
    <x v="0"/>
    <n v="1"/>
    <x v="22"/>
    <n v="0.98"/>
    <n v="12.39"/>
    <s v="11417016"/>
  </r>
  <r>
    <x v="154"/>
    <s v="2021-08-19"/>
    <x v="0"/>
    <x v="0"/>
    <n v="42"/>
    <x v="3"/>
    <n v="3.45"/>
    <n v="50.26"/>
    <s v="05503849"/>
  </r>
  <r>
    <x v="154"/>
    <s v="2021-08-19"/>
    <x v="0"/>
    <x v="0"/>
    <n v="41"/>
    <x v="2"/>
    <n v="3.16"/>
    <n v="45.19"/>
    <s v="92228410"/>
  </r>
  <r>
    <x v="154"/>
    <s v="2021-08-19"/>
    <x v="0"/>
    <x v="0"/>
    <n v="40"/>
    <x v="1"/>
    <n v="3.12"/>
    <n v="44.51"/>
    <s v="01800019"/>
  </r>
  <r>
    <x v="154"/>
    <s v="2021-08-19"/>
    <x v="0"/>
    <x v="0"/>
    <n v="39"/>
    <x v="0"/>
    <n v="3.06"/>
    <n v="43.5"/>
    <s v="60850229"/>
  </r>
  <r>
    <x v="154"/>
    <s v="2021-08-19"/>
    <x v="0"/>
    <x v="0"/>
    <n v="38"/>
    <x v="7"/>
    <n v="3.01"/>
    <n v="42.67"/>
    <s v="92874270"/>
  </r>
  <r>
    <x v="154"/>
    <s v="2021-08-19"/>
    <x v="0"/>
    <x v="0"/>
    <n v="37"/>
    <x v="5"/>
    <n v="2.62"/>
    <n v="36.380000000000003"/>
    <s v="80271455"/>
  </r>
  <r>
    <x v="154"/>
    <s v="2021-08-19"/>
    <x v="0"/>
    <x v="0"/>
    <n v="36"/>
    <x v="4"/>
    <n v="2.52"/>
    <n v="34.83"/>
    <s v="62232889"/>
  </r>
  <r>
    <x v="154"/>
    <s v="2021-08-19"/>
    <x v="0"/>
    <x v="0"/>
    <n v="35"/>
    <x v="6"/>
    <n v="2.42"/>
    <n v="33.22"/>
    <s v="05676026"/>
  </r>
  <r>
    <x v="154"/>
    <s v="2021-08-19"/>
    <x v="0"/>
    <x v="0"/>
    <n v="34"/>
    <x v="9"/>
    <n v="2.41"/>
    <n v="33.04"/>
    <s v="00411939"/>
  </r>
  <r>
    <x v="154"/>
    <s v="2021-08-19"/>
    <x v="0"/>
    <x v="0"/>
    <n v="33"/>
    <x v="8"/>
    <n v="2.33"/>
    <n v="31.86"/>
    <s v="59285411"/>
  </r>
  <r>
    <x v="154"/>
    <s v="2021-08-19"/>
    <x v="0"/>
    <x v="0"/>
    <n v="32"/>
    <x v="42"/>
    <n v="2.29"/>
    <n v="31.17"/>
    <s v="34991938"/>
  </r>
  <r>
    <x v="154"/>
    <s v="2021-08-19"/>
    <x v="0"/>
    <x v="0"/>
    <n v="31"/>
    <x v="10"/>
    <n v="2.17"/>
    <n v="29.32"/>
    <s v="10371492"/>
  </r>
  <r>
    <x v="154"/>
    <s v="2021-08-19"/>
    <x v="0"/>
    <x v="0"/>
    <n v="30"/>
    <x v="24"/>
    <n v="1.96"/>
    <n v="26.16"/>
    <s v="22639377"/>
  </r>
  <r>
    <x v="154"/>
    <s v="2021-08-19"/>
    <x v="0"/>
    <x v="0"/>
    <n v="29"/>
    <x v="13"/>
    <n v="1.87"/>
    <n v="24.88"/>
    <s v="07707650"/>
  </r>
  <r>
    <x v="154"/>
    <s v="2021-08-19"/>
    <x v="0"/>
    <x v="0"/>
    <n v="28"/>
    <x v="19"/>
    <n v="1.78"/>
    <n v="23.53"/>
    <s v="92702067"/>
  </r>
  <r>
    <x v="154"/>
    <s v="2021-08-19"/>
    <x v="0"/>
    <x v="0"/>
    <n v="27"/>
    <x v="15"/>
    <n v="1.77"/>
    <n v="23.48"/>
    <s v="59588111"/>
  </r>
  <r>
    <x v="154"/>
    <s v="2021-08-19"/>
    <x v="0"/>
    <x v="0"/>
    <n v="26"/>
    <x v="20"/>
    <n v="1.74"/>
    <n v="22.96"/>
    <s v="17192451"/>
  </r>
  <r>
    <x v="154"/>
    <s v="2021-08-19"/>
    <x v="0"/>
    <x v="0"/>
    <n v="25"/>
    <x v="28"/>
    <n v="1.72"/>
    <n v="22.73"/>
    <s v="90400888"/>
  </r>
  <r>
    <x v="154"/>
    <s v="2021-08-19"/>
    <x v="0"/>
    <x v="0"/>
    <n v="24"/>
    <x v="12"/>
    <n v="1.7"/>
    <n v="22.4"/>
    <s v="04862600"/>
  </r>
  <r>
    <x v="154"/>
    <s v="2021-08-19"/>
    <x v="0"/>
    <x v="0"/>
    <n v="23"/>
    <x v="16"/>
    <n v="1.65"/>
    <n v="21.73"/>
    <s v="07207996"/>
  </r>
  <r>
    <x v="154"/>
    <s v="2021-08-19"/>
    <x v="0"/>
    <x v="0"/>
    <n v="22"/>
    <x v="21"/>
    <n v="1.53"/>
    <n v="19.989999999999998"/>
    <s v="03017677"/>
  </r>
  <r>
    <x v="154"/>
    <s v="2021-08-19"/>
    <x v="0"/>
    <x v="0"/>
    <n v="21"/>
    <x v="51"/>
    <n v="1.5"/>
    <n v="19.600000000000001"/>
    <s v="62237425"/>
  </r>
  <r>
    <x v="154"/>
    <s v="2021-08-19"/>
    <x v="0"/>
    <x v="0"/>
    <n v="20"/>
    <x v="30"/>
    <n v="1.5"/>
    <n v="19.510000000000002"/>
    <s v="03502961"/>
  </r>
  <r>
    <x v="154"/>
    <s v="2021-08-19"/>
    <x v="0"/>
    <x v="0"/>
    <n v="19"/>
    <x v="32"/>
    <n v="1.48"/>
    <n v="19.32"/>
    <s v="60701190"/>
  </r>
  <r>
    <x v="154"/>
    <s v="2021-08-19"/>
    <x v="0"/>
    <x v="0"/>
    <n v="18"/>
    <x v="29"/>
    <n v="1.45"/>
    <n v="18.8"/>
    <s v="60746948"/>
  </r>
  <r>
    <x v="154"/>
    <s v="2021-08-19"/>
    <x v="0"/>
    <x v="0"/>
    <n v="17"/>
    <x v="25"/>
    <n v="1.44"/>
    <n v="18.71"/>
    <s v="59274605"/>
  </r>
  <r>
    <x v="154"/>
    <s v="2021-08-19"/>
    <x v="0"/>
    <x v="0"/>
    <n v="16"/>
    <x v="11"/>
    <n v="1.42"/>
    <n v="18.399999999999999"/>
    <s v="03634220"/>
  </r>
  <r>
    <x v="154"/>
    <s v="2021-08-19"/>
    <x v="0"/>
    <x v="0"/>
    <n v="15"/>
    <x v="26"/>
    <n v="1.35"/>
    <n v="17.43"/>
    <s v="30172491"/>
  </r>
  <r>
    <x v="154"/>
    <s v="2021-08-19"/>
    <x v="0"/>
    <x v="0"/>
    <n v="14"/>
    <x v="18"/>
    <n v="1.31"/>
    <n v="16.850000000000001"/>
    <s v="28127603"/>
  </r>
  <r>
    <x v="154"/>
    <s v="2021-08-19"/>
    <x v="0"/>
    <x v="0"/>
    <n v="13"/>
    <x v="33"/>
    <n v="1.3"/>
    <n v="16.71"/>
    <s v="62307848"/>
  </r>
  <r>
    <x v="154"/>
    <s v="2021-08-19"/>
    <x v="0"/>
    <x v="0"/>
    <n v="12"/>
    <x v="27"/>
    <n v="1.29"/>
    <n v="16.66"/>
    <s v="00000000"/>
  </r>
  <r>
    <x v="154"/>
    <s v="2021-08-19"/>
    <x v="0"/>
    <x v="0"/>
    <n v="11"/>
    <x v="23"/>
    <n v="1.29"/>
    <n v="16.61"/>
    <s v="03215790"/>
  </r>
  <r>
    <x v="154"/>
    <s v="2021-08-19"/>
    <x v="0"/>
    <x v="0"/>
    <n v="10"/>
    <x v="34"/>
    <n v="1.26"/>
    <n v="16.25"/>
    <s v="33603457"/>
  </r>
  <r>
    <x v="154"/>
    <s v="2021-08-19"/>
    <x v="0"/>
    <x v="0"/>
    <n v="9"/>
    <x v="31"/>
    <n v="1.24"/>
    <n v="16"/>
    <s v="17167412"/>
  </r>
  <r>
    <x v="154"/>
    <s v="2021-08-19"/>
    <x v="0"/>
    <x v="0"/>
    <n v="8"/>
    <x v="37"/>
    <n v="1.18"/>
    <n v="15.13"/>
    <s v="04452473"/>
  </r>
  <r>
    <x v="154"/>
    <s v="2021-08-19"/>
    <x v="0"/>
    <x v="0"/>
    <n v="7"/>
    <x v="44"/>
    <n v="1.1499999999999999"/>
    <n v="14.71"/>
    <s v="58017179"/>
  </r>
  <r>
    <x v="154"/>
    <s v="2021-08-19"/>
    <x v="0"/>
    <x v="0"/>
    <n v="6"/>
    <x v="36"/>
    <n v="1.1000000000000001"/>
    <n v="14.05"/>
    <s v="33136888"/>
  </r>
  <r>
    <x v="154"/>
    <s v="2021-08-19"/>
    <x v="0"/>
    <x v="0"/>
    <n v="5"/>
    <x v="43"/>
    <n v="1.1000000000000001"/>
    <n v="14.01"/>
    <s v="07441209"/>
  </r>
  <r>
    <x v="154"/>
    <s v="2021-08-19"/>
    <x v="0"/>
    <x v="0"/>
    <n v="4"/>
    <x v="35"/>
    <n v="1.04"/>
    <n v="13.16"/>
    <s v="59109165"/>
  </r>
  <r>
    <x v="154"/>
    <s v="2021-08-19"/>
    <x v="0"/>
    <x v="0"/>
    <n v="3"/>
    <x v="40"/>
    <n v="1.01"/>
    <n v="12.81"/>
    <s v="02992446"/>
  </r>
  <r>
    <x v="154"/>
    <s v="2021-08-19"/>
    <x v="0"/>
    <x v="0"/>
    <n v="2"/>
    <x v="38"/>
    <n v="1"/>
    <n v="12.69"/>
    <s v="60814191"/>
  </r>
  <r>
    <x v="154"/>
    <s v="2021-08-19"/>
    <x v="0"/>
    <x v="0"/>
    <n v="1"/>
    <x v="22"/>
    <n v="0.98"/>
    <n v="12.39"/>
    <s v="11417016"/>
  </r>
  <r>
    <x v="155"/>
    <s v="2021-08-20"/>
    <x v="0"/>
    <x v="0"/>
    <n v="45"/>
    <x v="3"/>
    <n v="3.44"/>
    <n v="50.02"/>
    <s v="05503849"/>
  </r>
  <r>
    <x v="155"/>
    <s v="2021-08-20"/>
    <x v="0"/>
    <x v="0"/>
    <n v="44"/>
    <x v="2"/>
    <n v="3.15"/>
    <n v="45.09"/>
    <s v="92228410"/>
  </r>
  <r>
    <x v="155"/>
    <s v="2021-08-20"/>
    <x v="0"/>
    <x v="0"/>
    <n v="43"/>
    <x v="1"/>
    <n v="3.04"/>
    <n v="43.23"/>
    <s v="01800019"/>
  </r>
  <r>
    <x v="155"/>
    <s v="2021-08-20"/>
    <x v="0"/>
    <x v="0"/>
    <n v="42"/>
    <x v="7"/>
    <n v="3.03"/>
    <n v="43.04"/>
    <s v="92874270"/>
  </r>
  <r>
    <x v="155"/>
    <s v="2021-08-20"/>
    <x v="0"/>
    <x v="0"/>
    <n v="41"/>
    <x v="0"/>
    <n v="3"/>
    <n v="42.61"/>
    <s v="60850229"/>
  </r>
  <r>
    <x v="155"/>
    <s v="2021-08-20"/>
    <x v="0"/>
    <x v="0"/>
    <n v="40"/>
    <x v="5"/>
    <n v="2.5499999999999998"/>
    <n v="35.25"/>
    <s v="80271455"/>
  </r>
  <r>
    <x v="155"/>
    <s v="2021-08-20"/>
    <x v="0"/>
    <x v="0"/>
    <n v="39"/>
    <x v="4"/>
    <n v="2.52"/>
    <n v="34.86"/>
    <s v="62232889"/>
  </r>
  <r>
    <x v="155"/>
    <s v="2021-08-20"/>
    <x v="0"/>
    <x v="0"/>
    <n v="38"/>
    <x v="6"/>
    <n v="2.42"/>
    <n v="33.21"/>
    <s v="05676026"/>
  </r>
  <r>
    <x v="155"/>
    <s v="2021-08-20"/>
    <x v="0"/>
    <x v="0"/>
    <n v="37"/>
    <x v="9"/>
    <n v="2.41"/>
    <n v="33.08"/>
    <s v="00411939"/>
  </r>
  <r>
    <x v="155"/>
    <s v="2021-08-20"/>
    <x v="0"/>
    <x v="0"/>
    <n v="36"/>
    <x v="8"/>
    <n v="2.34"/>
    <n v="31.95"/>
    <s v="59285411"/>
  </r>
  <r>
    <x v="155"/>
    <s v="2021-08-20"/>
    <x v="0"/>
    <x v="0"/>
    <n v="35"/>
    <x v="42"/>
    <n v="2.31"/>
    <n v="31.45"/>
    <s v="34991938"/>
  </r>
  <r>
    <x v="155"/>
    <s v="2021-08-20"/>
    <x v="0"/>
    <x v="0"/>
    <n v="34"/>
    <x v="10"/>
    <n v="2.17"/>
    <n v="29.36"/>
    <s v="10371492"/>
  </r>
  <r>
    <x v="155"/>
    <s v="2021-08-20"/>
    <x v="0"/>
    <x v="0"/>
    <n v="33"/>
    <x v="14"/>
    <n v="2.04"/>
    <n v="27.4"/>
    <s v="00360305"/>
  </r>
  <r>
    <x v="155"/>
    <s v="2021-08-20"/>
    <x v="0"/>
    <x v="0"/>
    <n v="32"/>
    <x v="24"/>
    <n v="1.99"/>
    <n v="26.6"/>
    <s v="22639377"/>
  </r>
  <r>
    <x v="155"/>
    <s v="2021-08-20"/>
    <x v="0"/>
    <x v="0"/>
    <n v="31"/>
    <x v="13"/>
    <n v="1.88"/>
    <n v="25"/>
    <s v="07707650"/>
  </r>
  <r>
    <x v="155"/>
    <s v="2021-08-20"/>
    <x v="0"/>
    <x v="0"/>
    <n v="30"/>
    <x v="15"/>
    <n v="1.78"/>
    <n v="23.56"/>
    <s v="59588111"/>
  </r>
  <r>
    <x v="155"/>
    <s v="2021-08-20"/>
    <x v="0"/>
    <x v="0"/>
    <n v="29"/>
    <x v="19"/>
    <n v="1.78"/>
    <n v="23.53"/>
    <s v="92702067"/>
  </r>
  <r>
    <x v="155"/>
    <s v="2021-08-20"/>
    <x v="0"/>
    <x v="0"/>
    <n v="28"/>
    <x v="52"/>
    <n v="1.76"/>
    <n v="23.32"/>
    <s v="59118133"/>
  </r>
  <r>
    <x v="155"/>
    <s v="2021-08-20"/>
    <x v="0"/>
    <x v="0"/>
    <n v="27"/>
    <x v="20"/>
    <n v="1.74"/>
    <n v="22.95"/>
    <s v="17192451"/>
  </r>
  <r>
    <x v="155"/>
    <s v="2021-08-20"/>
    <x v="0"/>
    <x v="0"/>
    <n v="26"/>
    <x v="28"/>
    <n v="1.74"/>
    <n v="22.93"/>
    <s v="90400888"/>
  </r>
  <r>
    <x v="155"/>
    <s v="2021-08-20"/>
    <x v="0"/>
    <x v="0"/>
    <n v="25"/>
    <x v="12"/>
    <n v="1.69"/>
    <n v="22.23"/>
    <s v="04862600"/>
  </r>
  <r>
    <x v="155"/>
    <s v="2021-08-20"/>
    <x v="0"/>
    <x v="0"/>
    <n v="24"/>
    <x v="16"/>
    <n v="1.65"/>
    <n v="21.74"/>
    <s v="07207996"/>
  </r>
  <r>
    <x v="155"/>
    <s v="2021-08-20"/>
    <x v="0"/>
    <x v="0"/>
    <n v="23"/>
    <x v="21"/>
    <n v="1.54"/>
    <n v="20.13"/>
    <s v="03017677"/>
  </r>
  <r>
    <x v="155"/>
    <s v="2021-08-20"/>
    <x v="0"/>
    <x v="0"/>
    <n v="22"/>
    <x v="51"/>
    <n v="1.5"/>
    <n v="19.600000000000001"/>
    <s v="62237425"/>
  </r>
  <r>
    <x v="155"/>
    <s v="2021-08-20"/>
    <x v="0"/>
    <x v="0"/>
    <n v="21"/>
    <x v="30"/>
    <n v="1.5"/>
    <n v="19.52"/>
    <s v="03502961"/>
  </r>
  <r>
    <x v="155"/>
    <s v="2021-08-20"/>
    <x v="0"/>
    <x v="0"/>
    <n v="20"/>
    <x v="32"/>
    <n v="1.5"/>
    <n v="19.5"/>
    <s v="60701190"/>
  </r>
  <r>
    <x v="155"/>
    <s v="2021-08-20"/>
    <x v="0"/>
    <x v="0"/>
    <n v="19"/>
    <x v="29"/>
    <n v="1.45"/>
    <n v="18.829999999999998"/>
    <s v="60746948"/>
  </r>
  <r>
    <x v="155"/>
    <s v="2021-08-20"/>
    <x v="0"/>
    <x v="0"/>
    <n v="18"/>
    <x v="11"/>
    <n v="1.43"/>
    <n v="18.600000000000001"/>
    <s v="03634220"/>
  </r>
  <r>
    <x v="155"/>
    <s v="2021-08-20"/>
    <x v="0"/>
    <x v="0"/>
    <n v="17"/>
    <x v="25"/>
    <n v="1.42"/>
    <n v="18.399999999999999"/>
    <s v="59274605"/>
  </r>
  <r>
    <x v="155"/>
    <s v="2021-08-20"/>
    <x v="0"/>
    <x v="0"/>
    <n v="16"/>
    <x v="26"/>
    <n v="1.36"/>
    <n v="17.579999999999998"/>
    <s v="30172491"/>
  </r>
  <r>
    <x v="155"/>
    <s v="2021-08-20"/>
    <x v="0"/>
    <x v="0"/>
    <n v="15"/>
    <x v="36"/>
    <n v="1.35"/>
    <n v="17.45"/>
    <s v="33136888"/>
  </r>
  <r>
    <x v="155"/>
    <s v="2021-08-20"/>
    <x v="0"/>
    <x v="0"/>
    <n v="14"/>
    <x v="18"/>
    <n v="1.34"/>
    <n v="17.309999999999999"/>
    <s v="28127603"/>
  </r>
  <r>
    <x v="155"/>
    <s v="2021-08-20"/>
    <x v="0"/>
    <x v="0"/>
    <n v="13"/>
    <x v="33"/>
    <n v="1.3"/>
    <n v="16.72"/>
    <s v="62307848"/>
  </r>
  <r>
    <x v="155"/>
    <s v="2021-08-20"/>
    <x v="0"/>
    <x v="0"/>
    <n v="12"/>
    <x v="23"/>
    <n v="1.3"/>
    <n v="16.71"/>
    <s v="03215790"/>
  </r>
  <r>
    <x v="155"/>
    <s v="2021-08-20"/>
    <x v="0"/>
    <x v="0"/>
    <n v="11"/>
    <x v="27"/>
    <n v="1.29"/>
    <n v="16.649999999999999"/>
    <s v="00000000"/>
  </r>
  <r>
    <x v="155"/>
    <s v="2021-08-20"/>
    <x v="0"/>
    <x v="0"/>
    <n v="10"/>
    <x v="34"/>
    <n v="1.28"/>
    <n v="16.47"/>
    <s v="33603457"/>
  </r>
  <r>
    <x v="155"/>
    <s v="2021-08-20"/>
    <x v="0"/>
    <x v="0"/>
    <n v="9"/>
    <x v="31"/>
    <n v="1.27"/>
    <n v="16.34"/>
    <s v="17167412"/>
  </r>
  <r>
    <x v="155"/>
    <s v="2021-08-20"/>
    <x v="0"/>
    <x v="0"/>
    <n v="8"/>
    <x v="44"/>
    <n v="1.2"/>
    <n v="15.33"/>
    <s v="58017179"/>
  </r>
  <r>
    <x v="155"/>
    <s v="2021-08-20"/>
    <x v="0"/>
    <x v="0"/>
    <n v="7"/>
    <x v="37"/>
    <n v="1.18"/>
    <n v="15.11"/>
    <s v="04452473"/>
  </r>
  <r>
    <x v="155"/>
    <s v="2021-08-20"/>
    <x v="0"/>
    <x v="0"/>
    <n v="6"/>
    <x v="35"/>
    <n v="1.06"/>
    <n v="13.46"/>
    <s v="59109165"/>
  </r>
  <r>
    <x v="155"/>
    <s v="2021-08-20"/>
    <x v="0"/>
    <x v="0"/>
    <n v="5"/>
    <x v="47"/>
    <n v="1.03"/>
    <n v="13.13"/>
    <s v="28517628"/>
  </r>
  <r>
    <x v="155"/>
    <s v="2021-08-20"/>
    <x v="0"/>
    <x v="0"/>
    <n v="4"/>
    <x v="43"/>
    <n v="1.03"/>
    <n v="13.04"/>
    <s v="07441209"/>
  </r>
  <r>
    <x v="155"/>
    <s v="2021-08-20"/>
    <x v="0"/>
    <x v="0"/>
    <n v="3"/>
    <x v="40"/>
    <n v="1.01"/>
    <n v="12.81"/>
    <s v="02992446"/>
  </r>
  <r>
    <x v="155"/>
    <s v="2021-08-20"/>
    <x v="0"/>
    <x v="0"/>
    <n v="2"/>
    <x v="38"/>
    <n v="1.01"/>
    <n v="12.79"/>
    <s v="60814191"/>
  </r>
  <r>
    <x v="155"/>
    <s v="2021-08-20"/>
    <x v="0"/>
    <x v="0"/>
    <n v="1"/>
    <x v="22"/>
    <n v="0.98"/>
    <n v="12.39"/>
    <s v="11417016"/>
  </r>
  <r>
    <x v="156"/>
    <s v="2021-08-23"/>
    <x v="0"/>
    <x v="0"/>
    <n v="45"/>
    <x v="3"/>
    <n v="3.43"/>
    <n v="49.87"/>
    <s v="05503849"/>
  </r>
  <r>
    <x v="156"/>
    <s v="2021-08-23"/>
    <x v="0"/>
    <x v="0"/>
    <n v="44"/>
    <x v="2"/>
    <n v="3.12"/>
    <n v="44.51"/>
    <s v="92228410"/>
  </r>
  <r>
    <x v="156"/>
    <s v="2021-08-23"/>
    <x v="0"/>
    <x v="0"/>
    <n v="43"/>
    <x v="7"/>
    <n v="3.05"/>
    <n v="43.4"/>
    <s v="92874270"/>
  </r>
  <r>
    <x v="156"/>
    <s v="2021-08-23"/>
    <x v="0"/>
    <x v="0"/>
    <n v="42"/>
    <x v="0"/>
    <n v="3.05"/>
    <n v="43.38"/>
    <s v="60850229"/>
  </r>
  <r>
    <x v="156"/>
    <s v="2021-08-23"/>
    <x v="0"/>
    <x v="0"/>
    <n v="41"/>
    <x v="1"/>
    <n v="2.97"/>
    <n v="42.11"/>
    <s v="01800019"/>
  </r>
  <r>
    <x v="156"/>
    <s v="2021-08-23"/>
    <x v="0"/>
    <x v="0"/>
    <n v="40"/>
    <x v="5"/>
    <n v="2.57"/>
    <n v="35.56"/>
    <s v="80271455"/>
  </r>
  <r>
    <x v="156"/>
    <s v="2021-08-23"/>
    <x v="0"/>
    <x v="0"/>
    <n v="39"/>
    <x v="4"/>
    <n v="2.52"/>
    <n v="34.83"/>
    <s v="62232889"/>
  </r>
  <r>
    <x v="156"/>
    <s v="2021-08-23"/>
    <x v="0"/>
    <x v="0"/>
    <n v="38"/>
    <x v="6"/>
    <n v="2.42"/>
    <n v="33.229999999999997"/>
    <s v="05676026"/>
  </r>
  <r>
    <x v="156"/>
    <s v="2021-08-23"/>
    <x v="0"/>
    <x v="0"/>
    <n v="37"/>
    <x v="9"/>
    <n v="2.41"/>
    <n v="33.15"/>
    <s v="00411939"/>
  </r>
  <r>
    <x v="156"/>
    <s v="2021-08-23"/>
    <x v="0"/>
    <x v="0"/>
    <n v="36"/>
    <x v="8"/>
    <n v="2.34"/>
    <n v="31.96"/>
    <s v="59285411"/>
  </r>
  <r>
    <x v="156"/>
    <s v="2021-08-23"/>
    <x v="0"/>
    <x v="0"/>
    <n v="35"/>
    <x v="42"/>
    <n v="2.2799999999999998"/>
    <n v="31.13"/>
    <s v="34991938"/>
  </r>
  <r>
    <x v="156"/>
    <s v="2021-08-23"/>
    <x v="0"/>
    <x v="0"/>
    <n v="34"/>
    <x v="10"/>
    <n v="2.16"/>
    <n v="29.2"/>
    <s v="10371492"/>
  </r>
  <r>
    <x v="156"/>
    <s v="2021-08-23"/>
    <x v="0"/>
    <x v="0"/>
    <n v="33"/>
    <x v="24"/>
    <n v="1.89"/>
    <n v="25.21"/>
    <s v="22639377"/>
  </r>
  <r>
    <x v="156"/>
    <s v="2021-08-23"/>
    <x v="0"/>
    <x v="0"/>
    <n v="32"/>
    <x v="13"/>
    <n v="1.89"/>
    <n v="25.18"/>
    <s v="07707650"/>
  </r>
  <r>
    <x v="156"/>
    <s v="2021-08-23"/>
    <x v="0"/>
    <x v="0"/>
    <n v="31"/>
    <x v="15"/>
    <n v="1.79"/>
    <n v="23.76"/>
    <s v="59588111"/>
  </r>
  <r>
    <x v="156"/>
    <s v="2021-08-23"/>
    <x v="0"/>
    <x v="0"/>
    <n v="30"/>
    <x v="19"/>
    <n v="1.78"/>
    <n v="23.53"/>
    <s v="92702067"/>
  </r>
  <r>
    <x v="156"/>
    <s v="2021-08-23"/>
    <x v="0"/>
    <x v="0"/>
    <n v="29"/>
    <x v="52"/>
    <n v="1.76"/>
    <n v="23.32"/>
    <s v="59118133"/>
  </r>
  <r>
    <x v="156"/>
    <s v="2021-08-23"/>
    <x v="0"/>
    <x v="0"/>
    <n v="28"/>
    <x v="28"/>
    <n v="1.76"/>
    <n v="23.3"/>
    <s v="90400888"/>
  </r>
  <r>
    <x v="156"/>
    <s v="2021-08-23"/>
    <x v="0"/>
    <x v="0"/>
    <n v="27"/>
    <x v="20"/>
    <n v="1.74"/>
    <n v="22.94"/>
    <s v="17192451"/>
  </r>
  <r>
    <x v="156"/>
    <s v="2021-08-23"/>
    <x v="0"/>
    <x v="0"/>
    <n v="26"/>
    <x v="12"/>
    <n v="1.68"/>
    <n v="22.18"/>
    <s v="04862600"/>
  </r>
  <r>
    <x v="156"/>
    <s v="2021-08-23"/>
    <x v="0"/>
    <x v="0"/>
    <n v="25"/>
    <x v="16"/>
    <n v="1.67"/>
    <n v="21.92"/>
    <s v="07207996"/>
  </r>
  <r>
    <x v="156"/>
    <s v="2021-08-23"/>
    <x v="0"/>
    <x v="0"/>
    <n v="24"/>
    <x v="21"/>
    <n v="1.54"/>
    <n v="20.149999999999999"/>
    <s v="03017677"/>
  </r>
  <r>
    <x v="156"/>
    <s v="2021-08-23"/>
    <x v="0"/>
    <x v="0"/>
    <n v="23"/>
    <x v="32"/>
    <n v="1.51"/>
    <n v="19.68"/>
    <s v="60701190"/>
  </r>
  <r>
    <x v="156"/>
    <s v="2021-08-23"/>
    <x v="0"/>
    <x v="0"/>
    <n v="22"/>
    <x v="51"/>
    <n v="1.5"/>
    <n v="19.600000000000001"/>
    <s v="62237425"/>
  </r>
  <r>
    <x v="156"/>
    <s v="2021-08-23"/>
    <x v="0"/>
    <x v="0"/>
    <n v="21"/>
    <x v="30"/>
    <n v="1.5"/>
    <n v="19.559999999999999"/>
    <s v="03502961"/>
  </r>
  <r>
    <x v="156"/>
    <s v="2021-08-23"/>
    <x v="0"/>
    <x v="0"/>
    <n v="20"/>
    <x v="29"/>
    <n v="1.44"/>
    <n v="18.649999999999999"/>
    <s v="60746948"/>
  </r>
  <r>
    <x v="156"/>
    <s v="2021-08-23"/>
    <x v="0"/>
    <x v="0"/>
    <n v="19"/>
    <x v="11"/>
    <n v="1.43"/>
    <n v="18.54"/>
    <s v="03634220"/>
  </r>
  <r>
    <x v="156"/>
    <s v="2021-08-23"/>
    <x v="0"/>
    <x v="0"/>
    <n v="18"/>
    <x v="14"/>
    <n v="1.4"/>
    <n v="18.2"/>
    <s v="00360305"/>
  </r>
  <r>
    <x v="156"/>
    <s v="2021-08-23"/>
    <x v="0"/>
    <x v="0"/>
    <n v="17"/>
    <x v="18"/>
    <n v="1.38"/>
    <n v="17.899999999999999"/>
    <s v="28127603"/>
  </r>
  <r>
    <x v="156"/>
    <s v="2021-08-23"/>
    <x v="0"/>
    <x v="0"/>
    <n v="16"/>
    <x v="25"/>
    <n v="1.38"/>
    <n v="17.829999999999998"/>
    <s v="59274605"/>
  </r>
  <r>
    <x v="156"/>
    <s v="2021-08-23"/>
    <x v="0"/>
    <x v="0"/>
    <n v="15"/>
    <x v="26"/>
    <n v="1.37"/>
    <n v="17.79"/>
    <s v="30172491"/>
  </r>
  <r>
    <x v="156"/>
    <s v="2021-08-23"/>
    <x v="0"/>
    <x v="0"/>
    <n v="14"/>
    <x v="36"/>
    <n v="1.35"/>
    <n v="17.45"/>
    <s v="33136888"/>
  </r>
  <r>
    <x v="156"/>
    <s v="2021-08-23"/>
    <x v="0"/>
    <x v="0"/>
    <n v="13"/>
    <x v="33"/>
    <n v="1.31"/>
    <n v="16.850000000000001"/>
    <s v="62307848"/>
  </r>
  <r>
    <x v="156"/>
    <s v="2021-08-23"/>
    <x v="0"/>
    <x v="0"/>
    <n v="12"/>
    <x v="23"/>
    <n v="1.3"/>
    <n v="16.8"/>
    <s v="03215790"/>
  </r>
  <r>
    <x v="156"/>
    <s v="2021-08-23"/>
    <x v="0"/>
    <x v="0"/>
    <n v="11"/>
    <x v="31"/>
    <n v="1.28"/>
    <n v="16.55"/>
    <s v="17167412"/>
  </r>
  <r>
    <x v="156"/>
    <s v="2021-08-23"/>
    <x v="0"/>
    <x v="0"/>
    <n v="10"/>
    <x v="27"/>
    <n v="1.28"/>
    <n v="16.5"/>
    <s v="00000000"/>
  </r>
  <r>
    <x v="156"/>
    <s v="2021-08-23"/>
    <x v="0"/>
    <x v="0"/>
    <n v="9"/>
    <x v="34"/>
    <n v="1.25"/>
    <n v="16.12"/>
    <s v="33603457"/>
  </r>
  <r>
    <x v="156"/>
    <s v="2021-08-23"/>
    <x v="0"/>
    <x v="0"/>
    <n v="8"/>
    <x v="44"/>
    <n v="1.21"/>
    <n v="15.48"/>
    <s v="58017179"/>
  </r>
  <r>
    <x v="156"/>
    <s v="2021-08-23"/>
    <x v="0"/>
    <x v="0"/>
    <n v="7"/>
    <x v="37"/>
    <n v="1.18"/>
    <n v="15.09"/>
    <s v="04452473"/>
  </r>
  <r>
    <x v="156"/>
    <s v="2021-08-23"/>
    <x v="0"/>
    <x v="0"/>
    <n v="6"/>
    <x v="35"/>
    <n v="1.07"/>
    <n v="13.64"/>
    <s v="59109165"/>
  </r>
  <r>
    <x v="156"/>
    <s v="2021-08-23"/>
    <x v="0"/>
    <x v="0"/>
    <n v="5"/>
    <x v="47"/>
    <n v="1.05"/>
    <n v="13.32"/>
    <s v="28517628"/>
  </r>
  <r>
    <x v="156"/>
    <s v="2021-08-23"/>
    <x v="0"/>
    <x v="0"/>
    <n v="4"/>
    <x v="43"/>
    <n v="1.03"/>
    <n v="13.04"/>
    <s v="07441209"/>
  </r>
  <r>
    <x v="156"/>
    <s v="2021-08-23"/>
    <x v="0"/>
    <x v="0"/>
    <n v="3"/>
    <x v="40"/>
    <n v="1.01"/>
    <n v="12.81"/>
    <s v="02992446"/>
  </r>
  <r>
    <x v="156"/>
    <s v="2021-08-23"/>
    <x v="0"/>
    <x v="0"/>
    <n v="2"/>
    <x v="38"/>
    <n v="1.01"/>
    <n v="12.8"/>
    <s v="60814191"/>
  </r>
  <r>
    <x v="156"/>
    <s v="2021-08-23"/>
    <x v="0"/>
    <x v="0"/>
    <n v="1"/>
    <x v="22"/>
    <n v="0.98"/>
    <n v="12.39"/>
    <s v="11417016"/>
  </r>
  <r>
    <x v="157"/>
    <s v="2021-08-24"/>
    <x v="0"/>
    <x v="0"/>
    <n v="44"/>
    <x v="3"/>
    <n v="3.43"/>
    <n v="49.8"/>
    <s v="05503849"/>
  </r>
  <r>
    <x v="157"/>
    <s v="2021-08-24"/>
    <x v="0"/>
    <x v="0"/>
    <n v="43"/>
    <x v="2"/>
    <n v="3.13"/>
    <n v="44.68"/>
    <s v="92228410"/>
  </r>
  <r>
    <x v="157"/>
    <s v="2021-08-24"/>
    <x v="0"/>
    <x v="0"/>
    <n v="42"/>
    <x v="0"/>
    <n v="3.11"/>
    <n v="44.37"/>
    <s v="60850229"/>
  </r>
  <r>
    <x v="157"/>
    <s v="2021-08-24"/>
    <x v="0"/>
    <x v="0"/>
    <n v="41"/>
    <x v="7"/>
    <n v="3.06"/>
    <n v="43.59"/>
    <s v="92874270"/>
  </r>
  <r>
    <x v="157"/>
    <s v="2021-08-24"/>
    <x v="0"/>
    <x v="0"/>
    <n v="40"/>
    <x v="1"/>
    <n v="2.97"/>
    <n v="41.99"/>
    <s v="01800019"/>
  </r>
  <r>
    <x v="157"/>
    <s v="2021-08-24"/>
    <x v="0"/>
    <x v="0"/>
    <n v="39"/>
    <x v="5"/>
    <n v="2.54"/>
    <n v="35.159999999999997"/>
    <s v="80271455"/>
  </r>
  <r>
    <x v="157"/>
    <s v="2021-08-24"/>
    <x v="0"/>
    <x v="0"/>
    <n v="38"/>
    <x v="4"/>
    <n v="2.5299999999999998"/>
    <n v="34.94"/>
    <s v="62232889"/>
  </r>
  <r>
    <x v="157"/>
    <s v="2021-08-24"/>
    <x v="0"/>
    <x v="0"/>
    <n v="37"/>
    <x v="6"/>
    <n v="2.42"/>
    <n v="33.25"/>
    <s v="05676026"/>
  </r>
  <r>
    <x v="157"/>
    <s v="2021-08-24"/>
    <x v="0"/>
    <x v="0"/>
    <n v="36"/>
    <x v="9"/>
    <n v="2.39"/>
    <n v="32.76"/>
    <s v="00411939"/>
  </r>
  <r>
    <x v="157"/>
    <s v="2021-08-24"/>
    <x v="0"/>
    <x v="0"/>
    <n v="35"/>
    <x v="8"/>
    <n v="2.34"/>
    <n v="31.91"/>
    <s v="59285411"/>
  </r>
  <r>
    <x v="157"/>
    <s v="2021-08-24"/>
    <x v="0"/>
    <x v="0"/>
    <n v="34"/>
    <x v="42"/>
    <n v="2.31"/>
    <n v="31.45"/>
    <s v="34991938"/>
  </r>
  <r>
    <x v="157"/>
    <s v="2021-08-24"/>
    <x v="0"/>
    <x v="0"/>
    <n v="33"/>
    <x v="10"/>
    <n v="2.17"/>
    <n v="29.31"/>
    <s v="10371492"/>
  </r>
  <r>
    <x v="157"/>
    <s v="2021-08-24"/>
    <x v="0"/>
    <x v="0"/>
    <n v="32"/>
    <x v="13"/>
    <n v="1.9"/>
    <n v="25.29"/>
    <s v="07707650"/>
  </r>
  <r>
    <x v="157"/>
    <s v="2021-08-24"/>
    <x v="0"/>
    <x v="0"/>
    <n v="31"/>
    <x v="24"/>
    <n v="1.85"/>
    <n v="24.57"/>
    <s v="22639377"/>
  </r>
  <r>
    <x v="157"/>
    <s v="2021-08-24"/>
    <x v="0"/>
    <x v="0"/>
    <n v="30"/>
    <x v="15"/>
    <n v="1.8"/>
    <n v="23.92"/>
    <s v="59588111"/>
  </r>
  <r>
    <x v="157"/>
    <s v="2021-08-24"/>
    <x v="0"/>
    <x v="0"/>
    <n v="29"/>
    <x v="52"/>
    <n v="1.76"/>
    <n v="23.32"/>
    <s v="59118133"/>
  </r>
  <r>
    <x v="157"/>
    <s v="2021-08-24"/>
    <x v="0"/>
    <x v="0"/>
    <n v="28"/>
    <x v="28"/>
    <n v="1.74"/>
    <n v="23.03"/>
    <s v="90400888"/>
  </r>
  <r>
    <x v="157"/>
    <s v="2021-08-24"/>
    <x v="0"/>
    <x v="0"/>
    <n v="27"/>
    <x v="20"/>
    <n v="1.73"/>
    <n v="22.88"/>
    <s v="17192451"/>
  </r>
  <r>
    <x v="157"/>
    <s v="2021-08-24"/>
    <x v="0"/>
    <x v="0"/>
    <n v="26"/>
    <x v="16"/>
    <n v="1.68"/>
    <n v="22.07"/>
    <s v="07207996"/>
  </r>
  <r>
    <x v="157"/>
    <s v="2021-08-24"/>
    <x v="0"/>
    <x v="0"/>
    <n v="25"/>
    <x v="12"/>
    <n v="1.68"/>
    <n v="22.06"/>
    <s v="04862600"/>
  </r>
  <r>
    <x v="157"/>
    <s v="2021-08-24"/>
    <x v="0"/>
    <x v="0"/>
    <n v="24"/>
    <x v="21"/>
    <n v="1.54"/>
    <n v="20.11"/>
    <s v="03017677"/>
  </r>
  <r>
    <x v="157"/>
    <s v="2021-08-24"/>
    <x v="0"/>
    <x v="0"/>
    <n v="23"/>
    <x v="32"/>
    <n v="1.52"/>
    <n v="19.8"/>
    <s v="60701190"/>
  </r>
  <r>
    <x v="157"/>
    <s v="2021-08-24"/>
    <x v="0"/>
    <x v="0"/>
    <n v="22"/>
    <x v="51"/>
    <n v="1.5"/>
    <n v="19.600000000000001"/>
    <s v="62237425"/>
  </r>
  <r>
    <x v="157"/>
    <s v="2021-08-24"/>
    <x v="0"/>
    <x v="0"/>
    <n v="21"/>
    <x v="30"/>
    <n v="1.5"/>
    <n v="19.54"/>
    <s v="03502961"/>
  </r>
  <r>
    <x v="157"/>
    <s v="2021-08-24"/>
    <x v="0"/>
    <x v="0"/>
    <n v="20"/>
    <x v="11"/>
    <n v="1.45"/>
    <n v="18.91"/>
    <s v="03634220"/>
  </r>
  <r>
    <x v="157"/>
    <s v="2021-08-24"/>
    <x v="0"/>
    <x v="0"/>
    <n v="19"/>
    <x v="19"/>
    <n v="1.45"/>
    <n v="18.87"/>
    <s v="92702067"/>
  </r>
  <r>
    <x v="157"/>
    <s v="2021-08-24"/>
    <x v="0"/>
    <x v="0"/>
    <n v="18"/>
    <x v="29"/>
    <n v="1.44"/>
    <n v="18.670000000000002"/>
    <s v="60746948"/>
  </r>
  <r>
    <x v="157"/>
    <s v="2021-08-24"/>
    <x v="0"/>
    <x v="0"/>
    <n v="17"/>
    <x v="18"/>
    <n v="1.4"/>
    <n v="18.16"/>
    <s v="28127603"/>
  </r>
  <r>
    <x v="157"/>
    <s v="2021-08-24"/>
    <x v="0"/>
    <x v="0"/>
    <n v="16"/>
    <x v="26"/>
    <n v="1.38"/>
    <n v="17.940000000000001"/>
    <s v="30172491"/>
  </r>
  <r>
    <x v="157"/>
    <s v="2021-08-24"/>
    <x v="0"/>
    <x v="0"/>
    <n v="15"/>
    <x v="14"/>
    <n v="1.37"/>
    <n v="17.760000000000002"/>
    <s v="00360305"/>
  </r>
  <r>
    <x v="157"/>
    <s v="2021-08-24"/>
    <x v="0"/>
    <x v="0"/>
    <n v="14"/>
    <x v="25"/>
    <n v="1.35"/>
    <n v="17.47"/>
    <s v="59274605"/>
  </r>
  <r>
    <x v="157"/>
    <s v="2021-08-24"/>
    <x v="0"/>
    <x v="0"/>
    <n v="13"/>
    <x v="33"/>
    <n v="1.31"/>
    <n v="16.899999999999999"/>
    <s v="62307848"/>
  </r>
  <r>
    <x v="157"/>
    <s v="2021-08-24"/>
    <x v="0"/>
    <x v="0"/>
    <n v="12"/>
    <x v="23"/>
    <n v="1.31"/>
    <n v="16.89"/>
    <s v="03215790"/>
  </r>
  <r>
    <x v="157"/>
    <s v="2021-08-24"/>
    <x v="0"/>
    <x v="0"/>
    <n v="11"/>
    <x v="36"/>
    <n v="1.3"/>
    <n v="16.760000000000002"/>
    <s v="33136888"/>
  </r>
  <r>
    <x v="157"/>
    <s v="2021-08-24"/>
    <x v="0"/>
    <x v="0"/>
    <n v="10"/>
    <x v="31"/>
    <n v="1.29"/>
    <n v="16.68"/>
    <s v="17167412"/>
  </r>
  <r>
    <x v="157"/>
    <s v="2021-08-24"/>
    <x v="0"/>
    <x v="0"/>
    <n v="9"/>
    <x v="27"/>
    <n v="1.28"/>
    <n v="16.48"/>
    <s v="00000000"/>
  </r>
  <r>
    <x v="157"/>
    <s v="2021-08-24"/>
    <x v="0"/>
    <x v="0"/>
    <n v="8"/>
    <x v="34"/>
    <n v="1.23"/>
    <n v="15.86"/>
    <s v="33603457"/>
  </r>
  <r>
    <x v="157"/>
    <s v="2021-08-24"/>
    <x v="0"/>
    <x v="0"/>
    <n v="7"/>
    <x v="37"/>
    <n v="1.18"/>
    <n v="15.1"/>
    <s v="04452473"/>
  </r>
  <r>
    <x v="157"/>
    <s v="2021-08-24"/>
    <x v="0"/>
    <x v="0"/>
    <n v="6"/>
    <x v="44"/>
    <n v="1.1599999999999999"/>
    <n v="14.8"/>
    <s v="58017179"/>
  </r>
  <r>
    <x v="157"/>
    <s v="2021-08-24"/>
    <x v="0"/>
    <x v="0"/>
    <n v="5"/>
    <x v="39"/>
    <n v="1.1000000000000001"/>
    <n v="13.98"/>
    <s v="04902979"/>
  </r>
  <r>
    <x v="157"/>
    <s v="2021-08-24"/>
    <x v="0"/>
    <x v="0"/>
    <n v="4"/>
    <x v="35"/>
    <n v="1.07"/>
    <n v="13.64"/>
    <s v="59109165"/>
  </r>
  <r>
    <x v="157"/>
    <s v="2021-08-24"/>
    <x v="0"/>
    <x v="0"/>
    <n v="3"/>
    <x v="47"/>
    <n v="1.05"/>
    <n v="13.33"/>
    <s v="28517628"/>
  </r>
  <r>
    <x v="157"/>
    <s v="2021-08-24"/>
    <x v="0"/>
    <x v="0"/>
    <n v="2"/>
    <x v="38"/>
    <n v="1.02"/>
    <n v="12.89"/>
    <s v="60814191"/>
  </r>
  <r>
    <x v="157"/>
    <s v="2021-08-24"/>
    <x v="0"/>
    <x v="0"/>
    <n v="1"/>
    <x v="40"/>
    <n v="1.01"/>
    <n v="12.75"/>
    <s v="02992446"/>
  </r>
  <r>
    <x v="158"/>
    <s v="2021-08-25"/>
    <x v="0"/>
    <x v="0"/>
    <n v="46"/>
    <x v="3"/>
    <n v="3.39"/>
    <n v="49.19"/>
    <s v="05503849"/>
  </r>
  <r>
    <x v="158"/>
    <s v="2021-08-25"/>
    <x v="0"/>
    <x v="0"/>
    <n v="45"/>
    <x v="0"/>
    <n v="3.16"/>
    <n v="45.31"/>
    <s v="60850229"/>
  </r>
  <r>
    <x v="158"/>
    <s v="2021-08-25"/>
    <x v="0"/>
    <x v="0"/>
    <n v="44"/>
    <x v="2"/>
    <n v="3.1"/>
    <n v="44.24"/>
    <s v="92228410"/>
  </r>
  <r>
    <x v="158"/>
    <s v="2021-08-25"/>
    <x v="0"/>
    <x v="0"/>
    <n v="43"/>
    <x v="7"/>
    <n v="3.04"/>
    <n v="43.26"/>
    <s v="92874270"/>
  </r>
  <r>
    <x v="158"/>
    <s v="2021-08-25"/>
    <x v="0"/>
    <x v="0"/>
    <n v="42"/>
    <x v="1"/>
    <n v="2.98"/>
    <n v="42.29"/>
    <s v="01800019"/>
  </r>
  <r>
    <x v="158"/>
    <s v="2021-08-25"/>
    <x v="0"/>
    <x v="0"/>
    <n v="41"/>
    <x v="5"/>
    <n v="2.54"/>
    <n v="35.18"/>
    <s v="80271455"/>
  </r>
  <r>
    <x v="158"/>
    <s v="2021-08-25"/>
    <x v="0"/>
    <x v="0"/>
    <n v="40"/>
    <x v="4"/>
    <n v="2.5299999999999998"/>
    <n v="34.909999999999997"/>
    <s v="62232889"/>
  </r>
  <r>
    <x v="158"/>
    <s v="2021-08-25"/>
    <x v="0"/>
    <x v="0"/>
    <n v="39"/>
    <x v="6"/>
    <n v="2.42"/>
    <n v="33.229999999999997"/>
    <s v="05676026"/>
  </r>
  <r>
    <x v="158"/>
    <s v="2021-08-25"/>
    <x v="0"/>
    <x v="0"/>
    <n v="38"/>
    <x v="9"/>
    <n v="2.35"/>
    <n v="32.18"/>
    <s v="00411939"/>
  </r>
  <r>
    <x v="158"/>
    <s v="2021-08-25"/>
    <x v="0"/>
    <x v="0"/>
    <n v="37"/>
    <x v="8"/>
    <n v="2.34"/>
    <n v="31.96"/>
    <s v="59285411"/>
  </r>
  <r>
    <x v="158"/>
    <s v="2021-08-25"/>
    <x v="0"/>
    <x v="0"/>
    <n v="36"/>
    <x v="42"/>
    <n v="2.3199999999999998"/>
    <n v="31.71"/>
    <s v="34991938"/>
  </r>
  <r>
    <x v="158"/>
    <s v="2021-08-25"/>
    <x v="0"/>
    <x v="0"/>
    <n v="35"/>
    <x v="10"/>
    <n v="2.17"/>
    <n v="29.38"/>
    <s v="10371492"/>
  </r>
  <r>
    <x v="158"/>
    <s v="2021-08-25"/>
    <x v="0"/>
    <x v="0"/>
    <n v="34"/>
    <x v="24"/>
    <n v="1.91"/>
    <n v="25.47"/>
    <s v="22639377"/>
  </r>
  <r>
    <x v="158"/>
    <s v="2021-08-25"/>
    <x v="0"/>
    <x v="0"/>
    <n v="33"/>
    <x v="13"/>
    <n v="1.9"/>
    <n v="25.32"/>
    <s v="07707650"/>
  </r>
  <r>
    <x v="158"/>
    <s v="2021-08-25"/>
    <x v="0"/>
    <x v="0"/>
    <n v="32"/>
    <x v="28"/>
    <n v="1.84"/>
    <n v="24.5"/>
    <s v="90400888"/>
  </r>
  <r>
    <x v="158"/>
    <s v="2021-08-25"/>
    <x v="0"/>
    <x v="0"/>
    <n v="31"/>
    <x v="15"/>
    <n v="1.82"/>
    <n v="24.18"/>
    <s v="59588111"/>
  </r>
  <r>
    <x v="158"/>
    <s v="2021-08-25"/>
    <x v="0"/>
    <x v="0"/>
    <n v="30"/>
    <x v="52"/>
    <n v="1.76"/>
    <n v="23.32"/>
    <s v="59118133"/>
  </r>
  <r>
    <x v="158"/>
    <s v="2021-08-25"/>
    <x v="0"/>
    <x v="0"/>
    <n v="29"/>
    <x v="20"/>
    <n v="1.74"/>
    <n v="22.93"/>
    <s v="17192451"/>
  </r>
  <r>
    <x v="158"/>
    <s v="2021-08-25"/>
    <x v="0"/>
    <x v="0"/>
    <n v="28"/>
    <x v="16"/>
    <n v="1.68"/>
    <n v="22.17"/>
    <s v="07207996"/>
  </r>
  <r>
    <x v="158"/>
    <s v="2021-08-25"/>
    <x v="0"/>
    <x v="0"/>
    <n v="27"/>
    <x v="12"/>
    <n v="1.66"/>
    <n v="21.82"/>
    <s v="04862600"/>
  </r>
  <r>
    <x v="158"/>
    <s v="2021-08-25"/>
    <x v="0"/>
    <x v="0"/>
    <n v="26"/>
    <x v="21"/>
    <n v="1.54"/>
    <n v="20.100000000000001"/>
    <s v="03017677"/>
  </r>
  <r>
    <x v="158"/>
    <s v="2021-08-25"/>
    <x v="0"/>
    <x v="0"/>
    <n v="25"/>
    <x v="32"/>
    <n v="1.51"/>
    <n v="19.72"/>
    <s v="60701190"/>
  </r>
  <r>
    <x v="158"/>
    <s v="2021-08-25"/>
    <x v="0"/>
    <x v="0"/>
    <n v="24"/>
    <x v="30"/>
    <n v="1.5"/>
    <n v="19.600000000000001"/>
    <s v="03502961"/>
  </r>
  <r>
    <x v="158"/>
    <s v="2021-08-25"/>
    <x v="0"/>
    <x v="0"/>
    <n v="23"/>
    <x v="51"/>
    <n v="1.5"/>
    <n v="19.600000000000001"/>
    <s v="62237425"/>
  </r>
  <r>
    <x v="158"/>
    <s v="2021-08-25"/>
    <x v="0"/>
    <x v="0"/>
    <n v="22"/>
    <x v="18"/>
    <n v="1.49"/>
    <n v="19.37"/>
    <s v="28127603"/>
  </r>
  <r>
    <x v="158"/>
    <s v="2021-08-25"/>
    <x v="0"/>
    <x v="0"/>
    <n v="21"/>
    <x v="11"/>
    <n v="1.48"/>
    <n v="19.3"/>
    <s v="03634220"/>
  </r>
  <r>
    <x v="158"/>
    <s v="2021-08-25"/>
    <x v="0"/>
    <x v="0"/>
    <n v="20"/>
    <x v="29"/>
    <n v="1.44"/>
    <n v="18.760000000000002"/>
    <s v="60746948"/>
  </r>
  <r>
    <x v="158"/>
    <s v="2021-08-25"/>
    <x v="0"/>
    <x v="0"/>
    <n v="19"/>
    <x v="26"/>
    <n v="1.39"/>
    <n v="18.03"/>
    <s v="30172491"/>
  </r>
  <r>
    <x v="158"/>
    <s v="2021-08-25"/>
    <x v="0"/>
    <x v="0"/>
    <n v="18"/>
    <x v="14"/>
    <n v="1.37"/>
    <n v="17.760000000000002"/>
    <s v="00360305"/>
  </r>
  <r>
    <x v="158"/>
    <s v="2021-08-25"/>
    <x v="0"/>
    <x v="0"/>
    <n v="17"/>
    <x v="25"/>
    <n v="1.34"/>
    <n v="17.36"/>
    <s v="59274605"/>
  </r>
  <r>
    <x v="158"/>
    <s v="2021-08-25"/>
    <x v="0"/>
    <x v="0"/>
    <n v="16"/>
    <x v="19"/>
    <n v="1.32"/>
    <n v="17.05"/>
    <s v="92702067"/>
  </r>
  <r>
    <x v="158"/>
    <s v="2021-08-25"/>
    <x v="0"/>
    <x v="0"/>
    <n v="15"/>
    <x v="23"/>
    <n v="1.32"/>
    <n v="17"/>
    <s v="03215790"/>
  </r>
  <r>
    <x v="158"/>
    <s v="2021-08-25"/>
    <x v="0"/>
    <x v="0"/>
    <n v="14"/>
    <x v="33"/>
    <n v="1.31"/>
    <n v="16.87"/>
    <s v="62307848"/>
  </r>
  <r>
    <x v="158"/>
    <s v="2021-08-25"/>
    <x v="0"/>
    <x v="0"/>
    <n v="13"/>
    <x v="31"/>
    <n v="1.29"/>
    <n v="16.670000000000002"/>
    <s v="17167412"/>
  </r>
  <r>
    <x v="158"/>
    <s v="2021-08-25"/>
    <x v="0"/>
    <x v="0"/>
    <n v="12"/>
    <x v="27"/>
    <n v="1.29"/>
    <n v="16.600000000000001"/>
    <s v="00000000"/>
  </r>
  <r>
    <x v="158"/>
    <s v="2021-08-25"/>
    <x v="0"/>
    <x v="0"/>
    <n v="11"/>
    <x v="36"/>
    <n v="1.28"/>
    <n v="16.46"/>
    <s v="33136888"/>
  </r>
  <r>
    <x v="158"/>
    <s v="2021-08-25"/>
    <x v="0"/>
    <x v="0"/>
    <n v="10"/>
    <x v="34"/>
    <n v="1.23"/>
    <n v="15.81"/>
    <s v="33603457"/>
  </r>
  <r>
    <x v="158"/>
    <s v="2021-08-25"/>
    <x v="0"/>
    <x v="0"/>
    <n v="9"/>
    <x v="37"/>
    <n v="1.18"/>
    <n v="15.09"/>
    <s v="04452473"/>
  </r>
  <r>
    <x v="158"/>
    <s v="2021-08-25"/>
    <x v="0"/>
    <x v="0"/>
    <n v="8"/>
    <x v="44"/>
    <n v="1.17"/>
    <n v="14.97"/>
    <s v="58017179"/>
  </r>
  <r>
    <x v="158"/>
    <s v="2021-08-25"/>
    <x v="0"/>
    <x v="0"/>
    <n v="7"/>
    <x v="39"/>
    <n v="1.1000000000000001"/>
    <n v="13.98"/>
    <s v="04902979"/>
  </r>
  <r>
    <x v="158"/>
    <s v="2021-08-25"/>
    <x v="0"/>
    <x v="0"/>
    <n v="6"/>
    <x v="47"/>
    <n v="1.07"/>
    <n v="13.67"/>
    <s v="28517628"/>
  </r>
  <r>
    <x v="158"/>
    <s v="2021-08-25"/>
    <x v="0"/>
    <x v="0"/>
    <n v="5"/>
    <x v="35"/>
    <n v="1.07"/>
    <n v="13.66"/>
    <s v="59109165"/>
  </r>
  <r>
    <x v="158"/>
    <s v="2021-08-25"/>
    <x v="0"/>
    <x v="0"/>
    <n v="4"/>
    <x v="43"/>
    <n v="1.07"/>
    <n v="13.59"/>
    <s v="07441209"/>
  </r>
  <r>
    <x v="158"/>
    <s v="2021-08-25"/>
    <x v="0"/>
    <x v="0"/>
    <n v="3"/>
    <x v="38"/>
    <n v="1.03"/>
    <n v="13.06"/>
    <s v="60814191"/>
  </r>
  <r>
    <x v="158"/>
    <s v="2021-08-25"/>
    <x v="0"/>
    <x v="0"/>
    <n v="2"/>
    <x v="22"/>
    <n v="1.02"/>
    <n v="12.92"/>
    <s v="11417016"/>
  </r>
  <r>
    <x v="158"/>
    <s v="2021-08-25"/>
    <x v="0"/>
    <x v="0"/>
    <n v="1"/>
    <x v="40"/>
    <n v="1"/>
    <n v="12.73"/>
    <s v="02992446"/>
  </r>
  <r>
    <x v="159"/>
    <s v="2021-08-26"/>
    <x v="0"/>
    <x v="0"/>
    <n v="46"/>
    <x v="3"/>
    <n v="3.33"/>
    <n v="48.2"/>
    <s v="05503849"/>
  </r>
  <r>
    <x v="159"/>
    <s v="2021-08-26"/>
    <x v="0"/>
    <x v="0"/>
    <n v="45"/>
    <x v="0"/>
    <n v="3.19"/>
    <n v="45.7"/>
    <s v="60850229"/>
  </r>
  <r>
    <x v="159"/>
    <s v="2021-08-26"/>
    <x v="0"/>
    <x v="0"/>
    <n v="44"/>
    <x v="2"/>
    <n v="3.08"/>
    <n v="43.87"/>
    <s v="92228410"/>
  </r>
  <r>
    <x v="159"/>
    <s v="2021-08-26"/>
    <x v="0"/>
    <x v="0"/>
    <n v="43"/>
    <x v="7"/>
    <n v="3.06"/>
    <n v="43.58"/>
    <s v="92874270"/>
  </r>
  <r>
    <x v="159"/>
    <s v="2021-08-26"/>
    <x v="0"/>
    <x v="0"/>
    <n v="42"/>
    <x v="1"/>
    <n v="2.84"/>
    <n v="39.869999999999997"/>
    <s v="01800019"/>
  </r>
  <r>
    <x v="159"/>
    <s v="2021-08-26"/>
    <x v="0"/>
    <x v="0"/>
    <n v="41"/>
    <x v="5"/>
    <n v="2.56"/>
    <n v="35.380000000000003"/>
    <s v="80271455"/>
  </r>
  <r>
    <x v="159"/>
    <s v="2021-08-26"/>
    <x v="0"/>
    <x v="0"/>
    <n v="40"/>
    <x v="4"/>
    <n v="2.52"/>
    <n v="34.76"/>
    <s v="62232889"/>
  </r>
  <r>
    <x v="159"/>
    <s v="2021-08-26"/>
    <x v="0"/>
    <x v="0"/>
    <n v="39"/>
    <x v="6"/>
    <n v="2.42"/>
    <n v="33.19"/>
    <s v="05676026"/>
  </r>
  <r>
    <x v="159"/>
    <s v="2021-08-26"/>
    <x v="0"/>
    <x v="0"/>
    <n v="38"/>
    <x v="8"/>
    <n v="2.35"/>
    <n v="32.17"/>
    <s v="59285411"/>
  </r>
  <r>
    <x v="159"/>
    <s v="2021-08-26"/>
    <x v="0"/>
    <x v="0"/>
    <n v="37"/>
    <x v="42"/>
    <n v="2.34"/>
    <n v="32.06"/>
    <s v="34991938"/>
  </r>
  <r>
    <x v="159"/>
    <s v="2021-08-26"/>
    <x v="0"/>
    <x v="0"/>
    <n v="36"/>
    <x v="9"/>
    <n v="2.3199999999999998"/>
    <n v="31.74"/>
    <s v="00411939"/>
  </r>
  <r>
    <x v="159"/>
    <s v="2021-08-26"/>
    <x v="0"/>
    <x v="0"/>
    <n v="35"/>
    <x v="10"/>
    <n v="2.17"/>
    <n v="29.42"/>
    <s v="10371492"/>
  </r>
  <r>
    <x v="159"/>
    <s v="2021-08-26"/>
    <x v="0"/>
    <x v="0"/>
    <n v="34"/>
    <x v="13"/>
    <n v="1.9"/>
    <n v="25.38"/>
    <s v="07707650"/>
  </r>
  <r>
    <x v="159"/>
    <s v="2021-08-26"/>
    <x v="0"/>
    <x v="0"/>
    <n v="33"/>
    <x v="15"/>
    <n v="1.83"/>
    <n v="24.32"/>
    <s v="59588111"/>
  </r>
  <r>
    <x v="159"/>
    <s v="2021-08-26"/>
    <x v="0"/>
    <x v="0"/>
    <n v="32"/>
    <x v="24"/>
    <n v="1.8"/>
    <n v="23.89"/>
    <s v="22639377"/>
  </r>
  <r>
    <x v="159"/>
    <s v="2021-08-26"/>
    <x v="0"/>
    <x v="0"/>
    <n v="31"/>
    <x v="28"/>
    <n v="1.77"/>
    <n v="23.5"/>
    <s v="90400888"/>
  </r>
  <r>
    <x v="159"/>
    <s v="2021-08-26"/>
    <x v="0"/>
    <x v="0"/>
    <n v="30"/>
    <x v="52"/>
    <n v="1.76"/>
    <n v="23.32"/>
    <s v="59118133"/>
  </r>
  <r>
    <x v="159"/>
    <s v="2021-08-26"/>
    <x v="0"/>
    <x v="0"/>
    <n v="29"/>
    <x v="20"/>
    <n v="1.74"/>
    <n v="23"/>
    <s v="17192451"/>
  </r>
  <r>
    <x v="159"/>
    <s v="2021-08-26"/>
    <x v="0"/>
    <x v="0"/>
    <n v="28"/>
    <x v="16"/>
    <n v="1.69"/>
    <n v="22.23"/>
    <s v="07207996"/>
  </r>
  <r>
    <x v="159"/>
    <s v="2021-08-26"/>
    <x v="0"/>
    <x v="0"/>
    <n v="27"/>
    <x v="12"/>
    <n v="1.67"/>
    <n v="21.92"/>
    <s v="04862600"/>
  </r>
  <r>
    <x v="159"/>
    <s v="2021-08-26"/>
    <x v="0"/>
    <x v="0"/>
    <n v="26"/>
    <x v="18"/>
    <n v="1.55"/>
    <n v="20.28"/>
    <s v="28127603"/>
  </r>
  <r>
    <x v="159"/>
    <s v="2021-08-26"/>
    <x v="0"/>
    <x v="0"/>
    <n v="25"/>
    <x v="21"/>
    <n v="1.55"/>
    <n v="20.260000000000002"/>
    <s v="03017677"/>
  </r>
  <r>
    <x v="159"/>
    <s v="2021-08-26"/>
    <x v="0"/>
    <x v="0"/>
    <n v="24"/>
    <x v="32"/>
    <n v="1.52"/>
    <n v="19.82"/>
    <s v="60701190"/>
  </r>
  <r>
    <x v="159"/>
    <s v="2021-08-26"/>
    <x v="0"/>
    <x v="0"/>
    <n v="23"/>
    <x v="11"/>
    <n v="1.52"/>
    <n v="19.79"/>
    <s v="03634220"/>
  </r>
  <r>
    <x v="159"/>
    <s v="2021-08-26"/>
    <x v="0"/>
    <x v="0"/>
    <n v="22"/>
    <x v="51"/>
    <n v="1.5"/>
    <n v="19.600000000000001"/>
    <s v="62237425"/>
  </r>
  <r>
    <x v="159"/>
    <s v="2021-08-26"/>
    <x v="0"/>
    <x v="0"/>
    <n v="21"/>
    <x v="30"/>
    <n v="1.5"/>
    <n v="19.53"/>
    <s v="03502961"/>
  </r>
  <r>
    <x v="159"/>
    <s v="2021-08-26"/>
    <x v="0"/>
    <x v="0"/>
    <n v="20"/>
    <x v="29"/>
    <n v="1.45"/>
    <n v="18.899999999999999"/>
    <s v="60746948"/>
  </r>
  <r>
    <x v="159"/>
    <s v="2021-08-26"/>
    <x v="0"/>
    <x v="0"/>
    <n v="19"/>
    <x v="26"/>
    <n v="1.4"/>
    <n v="18.100000000000001"/>
    <s v="30172491"/>
  </r>
  <r>
    <x v="159"/>
    <s v="2021-08-26"/>
    <x v="0"/>
    <x v="0"/>
    <n v="18"/>
    <x v="14"/>
    <n v="1.37"/>
    <n v="17.8"/>
    <s v="00360305"/>
  </r>
  <r>
    <x v="159"/>
    <s v="2021-08-26"/>
    <x v="0"/>
    <x v="0"/>
    <n v="17"/>
    <x v="25"/>
    <n v="1.35"/>
    <n v="17.47"/>
    <s v="59274605"/>
  </r>
  <r>
    <x v="159"/>
    <s v="2021-08-26"/>
    <x v="0"/>
    <x v="0"/>
    <n v="16"/>
    <x v="23"/>
    <n v="1.33"/>
    <n v="17.13"/>
    <s v="03215790"/>
  </r>
  <r>
    <x v="159"/>
    <s v="2021-08-26"/>
    <x v="0"/>
    <x v="0"/>
    <n v="15"/>
    <x v="19"/>
    <n v="1.32"/>
    <n v="17.05"/>
    <s v="92702067"/>
  </r>
  <r>
    <x v="159"/>
    <s v="2021-08-26"/>
    <x v="0"/>
    <x v="0"/>
    <n v="14"/>
    <x v="33"/>
    <n v="1.31"/>
    <n v="16.88"/>
    <s v="62307848"/>
  </r>
  <r>
    <x v="159"/>
    <s v="2021-08-26"/>
    <x v="0"/>
    <x v="0"/>
    <n v="13"/>
    <x v="31"/>
    <n v="1.3"/>
    <n v="16.7"/>
    <s v="17167412"/>
  </r>
  <r>
    <x v="159"/>
    <s v="2021-08-26"/>
    <x v="0"/>
    <x v="0"/>
    <n v="12"/>
    <x v="27"/>
    <n v="1.28"/>
    <n v="16.510000000000002"/>
    <s v="00000000"/>
  </r>
  <r>
    <x v="159"/>
    <s v="2021-08-26"/>
    <x v="0"/>
    <x v="0"/>
    <n v="11"/>
    <x v="36"/>
    <n v="1.28"/>
    <n v="16.46"/>
    <s v="33136888"/>
  </r>
  <r>
    <x v="159"/>
    <s v="2021-08-26"/>
    <x v="0"/>
    <x v="0"/>
    <n v="10"/>
    <x v="34"/>
    <n v="1.22"/>
    <n v="15.65"/>
    <s v="33603457"/>
  </r>
  <r>
    <x v="159"/>
    <s v="2021-08-26"/>
    <x v="0"/>
    <x v="0"/>
    <n v="9"/>
    <x v="37"/>
    <n v="1.18"/>
    <n v="15.11"/>
    <s v="04452473"/>
  </r>
  <r>
    <x v="159"/>
    <s v="2021-08-26"/>
    <x v="0"/>
    <x v="0"/>
    <n v="8"/>
    <x v="44"/>
    <n v="1.1399999999999999"/>
    <n v="14.61"/>
    <s v="58017179"/>
  </r>
  <r>
    <x v="159"/>
    <s v="2021-08-26"/>
    <x v="0"/>
    <x v="0"/>
    <n v="7"/>
    <x v="39"/>
    <n v="1.1000000000000001"/>
    <n v="14.03"/>
    <s v="04902979"/>
  </r>
  <r>
    <x v="159"/>
    <s v="2021-08-26"/>
    <x v="0"/>
    <x v="0"/>
    <n v="6"/>
    <x v="35"/>
    <n v="1.07"/>
    <n v="13.62"/>
    <s v="59109165"/>
  </r>
  <r>
    <x v="159"/>
    <s v="2021-08-26"/>
    <x v="0"/>
    <x v="0"/>
    <n v="5"/>
    <x v="47"/>
    <n v="1.07"/>
    <n v="13.62"/>
    <s v="28517628"/>
  </r>
  <r>
    <x v="159"/>
    <s v="2021-08-26"/>
    <x v="0"/>
    <x v="0"/>
    <n v="4"/>
    <x v="38"/>
    <n v="1.07"/>
    <n v="13.61"/>
    <s v="60814191"/>
  </r>
  <r>
    <x v="159"/>
    <s v="2021-08-26"/>
    <x v="0"/>
    <x v="0"/>
    <n v="3"/>
    <x v="43"/>
    <n v="1.07"/>
    <n v="13.59"/>
    <s v="07441209"/>
  </r>
  <r>
    <x v="159"/>
    <s v="2021-08-26"/>
    <x v="0"/>
    <x v="0"/>
    <n v="2"/>
    <x v="22"/>
    <n v="1.01"/>
    <n v="12.75"/>
    <s v="11417016"/>
  </r>
  <r>
    <x v="159"/>
    <s v="2021-08-26"/>
    <x v="0"/>
    <x v="0"/>
    <n v="1"/>
    <x v="40"/>
    <n v="0.99"/>
    <n v="12.5"/>
    <s v="02992446"/>
  </r>
  <r>
    <x v="160"/>
    <s v="2021-08-27"/>
    <x v="0"/>
    <x v="0"/>
    <n v="45"/>
    <x v="3"/>
    <n v="3.29"/>
    <n v="47.47"/>
    <s v="05503849"/>
  </r>
  <r>
    <x v="160"/>
    <s v="2021-08-27"/>
    <x v="0"/>
    <x v="0"/>
    <n v="44"/>
    <x v="0"/>
    <n v="3.21"/>
    <n v="46.1"/>
    <s v="60850229"/>
  </r>
  <r>
    <x v="160"/>
    <s v="2021-08-27"/>
    <x v="0"/>
    <x v="0"/>
    <n v="43"/>
    <x v="7"/>
    <n v="3.06"/>
    <n v="43.59"/>
    <s v="92874270"/>
  </r>
  <r>
    <x v="160"/>
    <s v="2021-08-27"/>
    <x v="0"/>
    <x v="0"/>
    <n v="42"/>
    <x v="2"/>
    <n v="3.06"/>
    <n v="43.56"/>
    <s v="92228410"/>
  </r>
  <r>
    <x v="160"/>
    <s v="2021-08-27"/>
    <x v="0"/>
    <x v="0"/>
    <n v="41"/>
    <x v="1"/>
    <n v="2.93"/>
    <n v="41.48"/>
    <s v="01800019"/>
  </r>
  <r>
    <x v="160"/>
    <s v="2021-08-27"/>
    <x v="0"/>
    <x v="0"/>
    <n v="40"/>
    <x v="5"/>
    <n v="2.61"/>
    <n v="36.29"/>
    <s v="80271455"/>
  </r>
  <r>
    <x v="160"/>
    <s v="2021-08-27"/>
    <x v="0"/>
    <x v="0"/>
    <n v="39"/>
    <x v="4"/>
    <n v="2.5099999999999998"/>
    <n v="34.61"/>
    <s v="62232889"/>
  </r>
  <r>
    <x v="160"/>
    <s v="2021-08-27"/>
    <x v="0"/>
    <x v="0"/>
    <n v="38"/>
    <x v="42"/>
    <n v="2.42"/>
    <n v="33.28"/>
    <s v="34991938"/>
  </r>
  <r>
    <x v="160"/>
    <s v="2021-08-27"/>
    <x v="0"/>
    <x v="0"/>
    <n v="37"/>
    <x v="6"/>
    <n v="2.42"/>
    <n v="33.159999999999997"/>
    <s v="05676026"/>
  </r>
  <r>
    <x v="160"/>
    <s v="2021-08-27"/>
    <x v="0"/>
    <x v="0"/>
    <n v="36"/>
    <x v="8"/>
    <n v="2.36"/>
    <n v="32.32"/>
    <s v="59285411"/>
  </r>
  <r>
    <x v="160"/>
    <s v="2021-08-27"/>
    <x v="0"/>
    <x v="0"/>
    <n v="35"/>
    <x v="9"/>
    <n v="2.3199999999999998"/>
    <n v="31.6"/>
    <s v="00411939"/>
  </r>
  <r>
    <x v="160"/>
    <s v="2021-08-27"/>
    <x v="0"/>
    <x v="0"/>
    <n v="34"/>
    <x v="10"/>
    <n v="2.1800000000000002"/>
    <n v="29.53"/>
    <s v="10371492"/>
  </r>
  <r>
    <x v="160"/>
    <s v="2021-08-27"/>
    <x v="0"/>
    <x v="0"/>
    <n v="33"/>
    <x v="13"/>
    <n v="1.9"/>
    <n v="25.36"/>
    <s v="07707650"/>
  </r>
  <r>
    <x v="160"/>
    <s v="2021-08-27"/>
    <x v="0"/>
    <x v="0"/>
    <n v="32"/>
    <x v="15"/>
    <n v="1.84"/>
    <n v="24.51"/>
    <s v="59588111"/>
  </r>
  <r>
    <x v="160"/>
    <s v="2021-08-27"/>
    <x v="0"/>
    <x v="0"/>
    <n v="31"/>
    <x v="28"/>
    <n v="1.82"/>
    <n v="24.15"/>
    <s v="90400888"/>
  </r>
  <r>
    <x v="160"/>
    <s v="2021-08-27"/>
    <x v="0"/>
    <x v="0"/>
    <n v="30"/>
    <x v="24"/>
    <n v="1.75"/>
    <n v="23.15"/>
    <s v="22639377"/>
  </r>
  <r>
    <x v="160"/>
    <s v="2021-08-27"/>
    <x v="0"/>
    <x v="0"/>
    <n v="29"/>
    <x v="20"/>
    <n v="1.74"/>
    <n v="23.04"/>
    <s v="17192451"/>
  </r>
  <r>
    <x v="160"/>
    <s v="2021-08-27"/>
    <x v="0"/>
    <x v="0"/>
    <n v="28"/>
    <x v="16"/>
    <n v="1.69"/>
    <n v="22.28"/>
    <s v="07207996"/>
  </r>
  <r>
    <x v="160"/>
    <s v="2021-08-27"/>
    <x v="0"/>
    <x v="0"/>
    <n v="27"/>
    <x v="12"/>
    <n v="1.66"/>
    <n v="21.85"/>
    <s v="04862600"/>
  </r>
  <r>
    <x v="160"/>
    <s v="2021-08-27"/>
    <x v="0"/>
    <x v="0"/>
    <n v="26"/>
    <x v="51"/>
    <n v="1.56"/>
    <n v="20.45"/>
    <s v="62237425"/>
  </r>
  <r>
    <x v="160"/>
    <s v="2021-08-27"/>
    <x v="0"/>
    <x v="0"/>
    <n v="25"/>
    <x v="21"/>
    <n v="1.56"/>
    <n v="20.36"/>
    <s v="03017677"/>
  </r>
  <r>
    <x v="160"/>
    <s v="2021-08-27"/>
    <x v="0"/>
    <x v="0"/>
    <n v="24"/>
    <x v="18"/>
    <n v="1.55"/>
    <n v="20.22"/>
    <s v="28127603"/>
  </r>
  <r>
    <x v="160"/>
    <s v="2021-08-27"/>
    <x v="0"/>
    <x v="0"/>
    <n v="23"/>
    <x v="32"/>
    <n v="1.52"/>
    <n v="19.88"/>
    <s v="60701190"/>
  </r>
  <r>
    <x v="160"/>
    <s v="2021-08-27"/>
    <x v="0"/>
    <x v="0"/>
    <n v="22"/>
    <x v="11"/>
    <n v="1.52"/>
    <n v="19.79"/>
    <s v="03634220"/>
  </r>
  <r>
    <x v="160"/>
    <s v="2021-08-27"/>
    <x v="0"/>
    <x v="0"/>
    <n v="21"/>
    <x v="30"/>
    <n v="1.51"/>
    <n v="19.690000000000001"/>
    <s v="03502961"/>
  </r>
  <r>
    <x v="160"/>
    <s v="2021-08-27"/>
    <x v="0"/>
    <x v="0"/>
    <n v="20"/>
    <x v="29"/>
    <n v="1.45"/>
    <n v="18.89"/>
    <s v="60746948"/>
  </r>
  <r>
    <x v="160"/>
    <s v="2021-08-27"/>
    <x v="0"/>
    <x v="0"/>
    <n v="19"/>
    <x v="26"/>
    <n v="1.39"/>
    <n v="18.07"/>
    <s v="30172491"/>
  </r>
  <r>
    <x v="160"/>
    <s v="2021-08-27"/>
    <x v="0"/>
    <x v="0"/>
    <n v="18"/>
    <x v="14"/>
    <n v="1.35"/>
    <n v="17.41"/>
    <s v="00360305"/>
  </r>
  <r>
    <x v="160"/>
    <s v="2021-08-27"/>
    <x v="0"/>
    <x v="0"/>
    <n v="17"/>
    <x v="25"/>
    <n v="1.35"/>
    <n v="17.41"/>
    <s v="59274605"/>
  </r>
  <r>
    <x v="160"/>
    <s v="2021-08-27"/>
    <x v="0"/>
    <x v="0"/>
    <n v="16"/>
    <x v="23"/>
    <n v="1.33"/>
    <n v="17.170000000000002"/>
    <s v="03215790"/>
  </r>
  <r>
    <x v="160"/>
    <s v="2021-08-27"/>
    <x v="0"/>
    <x v="0"/>
    <n v="15"/>
    <x v="19"/>
    <n v="1.32"/>
    <n v="17.05"/>
    <s v="92702067"/>
  </r>
  <r>
    <x v="160"/>
    <s v="2021-08-27"/>
    <x v="0"/>
    <x v="0"/>
    <n v="14"/>
    <x v="33"/>
    <n v="1.32"/>
    <n v="16.98"/>
    <s v="62307848"/>
  </r>
  <r>
    <x v="160"/>
    <s v="2021-08-27"/>
    <x v="0"/>
    <x v="0"/>
    <n v="13"/>
    <x v="31"/>
    <n v="1.29"/>
    <n v="16.690000000000001"/>
    <s v="17167412"/>
  </r>
  <r>
    <x v="160"/>
    <s v="2021-08-27"/>
    <x v="0"/>
    <x v="0"/>
    <n v="12"/>
    <x v="27"/>
    <n v="1.28"/>
    <n v="16.53"/>
    <s v="00000000"/>
  </r>
  <r>
    <x v="160"/>
    <s v="2021-08-27"/>
    <x v="0"/>
    <x v="0"/>
    <n v="11"/>
    <x v="36"/>
    <n v="1.24"/>
    <n v="15.93"/>
    <s v="33136888"/>
  </r>
  <r>
    <x v="160"/>
    <s v="2021-08-27"/>
    <x v="0"/>
    <x v="0"/>
    <n v="10"/>
    <x v="34"/>
    <n v="1.22"/>
    <n v="15.64"/>
    <s v="33603457"/>
  </r>
  <r>
    <x v="160"/>
    <s v="2021-08-27"/>
    <x v="0"/>
    <x v="0"/>
    <n v="9"/>
    <x v="37"/>
    <n v="1.18"/>
    <n v="15.14"/>
    <s v="04452473"/>
  </r>
  <r>
    <x v="160"/>
    <s v="2021-08-27"/>
    <x v="0"/>
    <x v="0"/>
    <n v="8"/>
    <x v="43"/>
    <n v="1.1499999999999999"/>
    <n v="14.74"/>
    <s v="07441209"/>
  </r>
  <r>
    <x v="160"/>
    <s v="2021-08-27"/>
    <x v="0"/>
    <x v="0"/>
    <n v="7"/>
    <x v="44"/>
    <n v="1.1100000000000001"/>
    <n v="14.2"/>
    <s v="58017179"/>
  </r>
  <r>
    <x v="160"/>
    <s v="2021-08-27"/>
    <x v="0"/>
    <x v="0"/>
    <n v="6"/>
    <x v="39"/>
    <n v="1.1000000000000001"/>
    <n v="14"/>
    <s v="04902979"/>
  </r>
  <r>
    <x v="160"/>
    <s v="2021-08-27"/>
    <x v="0"/>
    <x v="0"/>
    <n v="5"/>
    <x v="47"/>
    <n v="1.08"/>
    <n v="13.73"/>
    <s v="28517628"/>
  </r>
  <r>
    <x v="160"/>
    <s v="2021-08-27"/>
    <x v="0"/>
    <x v="0"/>
    <n v="4"/>
    <x v="38"/>
    <n v="1.06"/>
    <n v="13.45"/>
    <s v="60814191"/>
  </r>
  <r>
    <x v="160"/>
    <s v="2021-08-27"/>
    <x v="0"/>
    <x v="0"/>
    <n v="3"/>
    <x v="35"/>
    <n v="1.06"/>
    <n v="13.44"/>
    <s v="59109165"/>
  </r>
  <r>
    <x v="160"/>
    <s v="2021-08-27"/>
    <x v="0"/>
    <x v="0"/>
    <n v="2"/>
    <x v="22"/>
    <n v="1"/>
    <n v="12.68"/>
    <s v="11417016"/>
  </r>
  <r>
    <x v="160"/>
    <s v="2021-08-27"/>
    <x v="0"/>
    <x v="0"/>
    <n v="1"/>
    <x v="40"/>
    <n v="0.99"/>
    <n v="12.57"/>
    <s v="02992446"/>
  </r>
  <r>
    <x v="161"/>
    <s v="2021-08-30"/>
    <x v="0"/>
    <x v="0"/>
    <n v="45"/>
    <x v="3"/>
    <n v="3.28"/>
    <n v="47.27"/>
    <s v="05503849"/>
  </r>
  <r>
    <x v="161"/>
    <s v="2021-08-30"/>
    <x v="0"/>
    <x v="0"/>
    <n v="44"/>
    <x v="0"/>
    <n v="3.25"/>
    <n v="46.86"/>
    <s v="60850229"/>
  </r>
  <r>
    <x v="161"/>
    <s v="2021-08-30"/>
    <x v="0"/>
    <x v="0"/>
    <n v="43"/>
    <x v="2"/>
    <n v="3.06"/>
    <n v="43.53"/>
    <s v="92228410"/>
  </r>
  <r>
    <x v="161"/>
    <s v="2021-08-30"/>
    <x v="0"/>
    <x v="0"/>
    <n v="42"/>
    <x v="1"/>
    <n v="3.06"/>
    <n v="43.51"/>
    <s v="01800019"/>
  </r>
  <r>
    <x v="161"/>
    <s v="2021-08-30"/>
    <x v="0"/>
    <x v="0"/>
    <n v="41"/>
    <x v="7"/>
    <n v="3.04"/>
    <n v="43.26"/>
    <s v="92874270"/>
  </r>
  <r>
    <x v="161"/>
    <s v="2021-08-30"/>
    <x v="0"/>
    <x v="0"/>
    <n v="40"/>
    <x v="5"/>
    <n v="2.76"/>
    <n v="38.630000000000003"/>
    <s v="80271455"/>
  </r>
  <r>
    <x v="161"/>
    <s v="2021-08-30"/>
    <x v="0"/>
    <x v="0"/>
    <n v="39"/>
    <x v="4"/>
    <n v="2.5099999999999998"/>
    <n v="34.71"/>
    <s v="62232889"/>
  </r>
  <r>
    <x v="161"/>
    <s v="2021-08-30"/>
    <x v="0"/>
    <x v="0"/>
    <n v="38"/>
    <x v="42"/>
    <n v="2.4300000000000002"/>
    <n v="33.35"/>
    <s v="34991938"/>
  </r>
  <r>
    <x v="161"/>
    <s v="2021-08-30"/>
    <x v="0"/>
    <x v="0"/>
    <n v="37"/>
    <x v="6"/>
    <n v="2.41"/>
    <n v="33.14"/>
    <s v="05676026"/>
  </r>
  <r>
    <x v="161"/>
    <s v="2021-08-30"/>
    <x v="0"/>
    <x v="0"/>
    <n v="36"/>
    <x v="8"/>
    <n v="2.38"/>
    <n v="32.68"/>
    <s v="59285411"/>
  </r>
  <r>
    <x v="161"/>
    <s v="2021-08-30"/>
    <x v="0"/>
    <x v="0"/>
    <n v="35"/>
    <x v="9"/>
    <n v="2.33"/>
    <n v="31.9"/>
    <s v="00411939"/>
  </r>
  <r>
    <x v="161"/>
    <s v="2021-08-30"/>
    <x v="0"/>
    <x v="0"/>
    <n v="34"/>
    <x v="10"/>
    <n v="2.2000000000000002"/>
    <n v="29.88"/>
    <s v="10371492"/>
  </r>
  <r>
    <x v="161"/>
    <s v="2021-08-30"/>
    <x v="0"/>
    <x v="0"/>
    <n v="33"/>
    <x v="13"/>
    <n v="1.9"/>
    <n v="25.32"/>
    <s v="07707650"/>
  </r>
  <r>
    <x v="161"/>
    <s v="2021-08-30"/>
    <x v="0"/>
    <x v="0"/>
    <n v="32"/>
    <x v="18"/>
    <n v="1.88"/>
    <n v="25"/>
    <s v="28127603"/>
  </r>
  <r>
    <x v="161"/>
    <s v="2021-08-30"/>
    <x v="0"/>
    <x v="0"/>
    <n v="31"/>
    <x v="15"/>
    <n v="1.85"/>
    <n v="24.66"/>
    <s v="59588111"/>
  </r>
  <r>
    <x v="161"/>
    <s v="2021-08-30"/>
    <x v="0"/>
    <x v="0"/>
    <n v="30"/>
    <x v="28"/>
    <n v="1.83"/>
    <n v="24.24"/>
    <s v="90400888"/>
  </r>
  <r>
    <x v="161"/>
    <s v="2021-08-30"/>
    <x v="0"/>
    <x v="0"/>
    <n v="29"/>
    <x v="20"/>
    <n v="1.74"/>
    <n v="23.01"/>
    <s v="17192451"/>
  </r>
  <r>
    <x v="161"/>
    <s v="2021-08-30"/>
    <x v="0"/>
    <x v="0"/>
    <n v="28"/>
    <x v="24"/>
    <n v="1.73"/>
    <n v="22.9"/>
    <s v="22639377"/>
  </r>
  <r>
    <x v="161"/>
    <s v="2021-08-30"/>
    <x v="0"/>
    <x v="0"/>
    <n v="27"/>
    <x v="16"/>
    <n v="1.68"/>
    <n v="22.18"/>
    <s v="07207996"/>
  </r>
  <r>
    <x v="161"/>
    <s v="2021-08-30"/>
    <x v="0"/>
    <x v="0"/>
    <n v="26"/>
    <x v="12"/>
    <n v="1.65"/>
    <n v="21.69"/>
    <s v="04862600"/>
  </r>
  <r>
    <x v="161"/>
    <s v="2021-08-30"/>
    <x v="0"/>
    <x v="0"/>
    <n v="25"/>
    <x v="11"/>
    <n v="1.57"/>
    <n v="20.54"/>
    <s v="03634220"/>
  </r>
  <r>
    <x v="161"/>
    <s v="2021-08-30"/>
    <x v="0"/>
    <x v="0"/>
    <n v="24"/>
    <x v="51"/>
    <n v="1.56"/>
    <n v="20.45"/>
    <s v="62237425"/>
  </r>
  <r>
    <x v="161"/>
    <s v="2021-08-30"/>
    <x v="0"/>
    <x v="0"/>
    <n v="23"/>
    <x v="21"/>
    <n v="1.56"/>
    <n v="20.420000000000002"/>
    <s v="03017677"/>
  </r>
  <r>
    <x v="161"/>
    <s v="2021-08-30"/>
    <x v="0"/>
    <x v="0"/>
    <n v="22"/>
    <x v="32"/>
    <n v="1.52"/>
    <n v="19.850000000000001"/>
    <s v="60701190"/>
  </r>
  <r>
    <x v="161"/>
    <s v="2021-08-30"/>
    <x v="0"/>
    <x v="0"/>
    <n v="21"/>
    <x v="30"/>
    <n v="1.5"/>
    <n v="19.61"/>
    <s v="03502961"/>
  </r>
  <r>
    <x v="161"/>
    <s v="2021-08-30"/>
    <x v="0"/>
    <x v="0"/>
    <n v="20"/>
    <x v="14"/>
    <n v="1.49"/>
    <n v="19.47"/>
    <s v="00360305"/>
  </r>
  <r>
    <x v="161"/>
    <s v="2021-08-30"/>
    <x v="0"/>
    <x v="0"/>
    <n v="19"/>
    <x v="29"/>
    <n v="1.47"/>
    <n v="19.07"/>
    <s v="60746948"/>
  </r>
  <r>
    <x v="161"/>
    <s v="2021-08-30"/>
    <x v="0"/>
    <x v="0"/>
    <n v="18"/>
    <x v="26"/>
    <n v="1.4"/>
    <n v="18.079999999999998"/>
    <s v="30172491"/>
  </r>
  <r>
    <x v="161"/>
    <s v="2021-08-30"/>
    <x v="0"/>
    <x v="0"/>
    <n v="17"/>
    <x v="25"/>
    <n v="1.37"/>
    <n v="17.739999999999998"/>
    <s v="59274605"/>
  </r>
  <r>
    <x v="161"/>
    <s v="2021-08-30"/>
    <x v="0"/>
    <x v="0"/>
    <n v="16"/>
    <x v="23"/>
    <n v="1.33"/>
    <n v="17.170000000000002"/>
    <s v="03215790"/>
  </r>
  <r>
    <x v="161"/>
    <s v="2021-08-30"/>
    <x v="0"/>
    <x v="0"/>
    <n v="15"/>
    <x v="19"/>
    <n v="1.32"/>
    <n v="17.05"/>
    <s v="92702067"/>
  </r>
  <r>
    <x v="161"/>
    <s v="2021-08-30"/>
    <x v="0"/>
    <x v="0"/>
    <n v="14"/>
    <x v="33"/>
    <n v="1.32"/>
    <n v="17.04"/>
    <s v="62307848"/>
  </r>
  <r>
    <x v="161"/>
    <s v="2021-08-30"/>
    <x v="0"/>
    <x v="0"/>
    <n v="13"/>
    <x v="27"/>
    <n v="1.29"/>
    <n v="16.68"/>
    <s v="00000000"/>
  </r>
  <r>
    <x v="161"/>
    <s v="2021-08-30"/>
    <x v="0"/>
    <x v="0"/>
    <n v="12"/>
    <x v="31"/>
    <n v="1.29"/>
    <n v="16.649999999999999"/>
    <s v="17167412"/>
  </r>
  <r>
    <x v="161"/>
    <s v="2021-08-30"/>
    <x v="0"/>
    <x v="0"/>
    <n v="11"/>
    <x v="36"/>
    <n v="1.24"/>
    <n v="15.93"/>
    <s v="33136888"/>
  </r>
  <r>
    <x v="161"/>
    <s v="2021-08-30"/>
    <x v="0"/>
    <x v="0"/>
    <n v="10"/>
    <x v="34"/>
    <n v="1.22"/>
    <n v="15.66"/>
    <s v="33603457"/>
  </r>
  <r>
    <x v="161"/>
    <s v="2021-08-30"/>
    <x v="0"/>
    <x v="0"/>
    <n v="9"/>
    <x v="37"/>
    <n v="1.18"/>
    <n v="15.16"/>
    <s v="04452473"/>
  </r>
  <r>
    <x v="161"/>
    <s v="2021-08-30"/>
    <x v="0"/>
    <x v="0"/>
    <n v="8"/>
    <x v="43"/>
    <n v="1.1499999999999999"/>
    <n v="14.76"/>
    <s v="07441209"/>
  </r>
  <r>
    <x v="161"/>
    <s v="2021-08-30"/>
    <x v="0"/>
    <x v="0"/>
    <n v="7"/>
    <x v="44"/>
    <n v="1.1100000000000001"/>
    <n v="14.12"/>
    <s v="58017179"/>
  </r>
  <r>
    <x v="161"/>
    <s v="2021-08-30"/>
    <x v="0"/>
    <x v="0"/>
    <n v="6"/>
    <x v="39"/>
    <n v="1.1000000000000001"/>
    <n v="14"/>
    <s v="04902979"/>
  </r>
  <r>
    <x v="161"/>
    <s v="2021-08-30"/>
    <x v="0"/>
    <x v="0"/>
    <n v="5"/>
    <x v="47"/>
    <n v="1.08"/>
    <n v="13.74"/>
    <s v="28517628"/>
  </r>
  <r>
    <x v="161"/>
    <s v="2021-08-30"/>
    <x v="0"/>
    <x v="0"/>
    <n v="4"/>
    <x v="35"/>
    <n v="1.06"/>
    <n v="13.46"/>
    <s v="59109165"/>
  </r>
  <r>
    <x v="161"/>
    <s v="2021-08-30"/>
    <x v="0"/>
    <x v="0"/>
    <n v="3"/>
    <x v="38"/>
    <n v="1.05"/>
    <n v="13.29"/>
    <s v="60814191"/>
  </r>
  <r>
    <x v="161"/>
    <s v="2021-08-30"/>
    <x v="0"/>
    <x v="0"/>
    <n v="2"/>
    <x v="22"/>
    <n v="1"/>
    <n v="12.68"/>
    <s v="11417016"/>
  </r>
  <r>
    <x v="161"/>
    <s v="2021-08-30"/>
    <x v="0"/>
    <x v="0"/>
    <n v="1"/>
    <x v="40"/>
    <n v="0.99"/>
    <n v="12.56"/>
    <s v="02992446"/>
  </r>
  <r>
    <x v="162"/>
    <s v="2021-08-31"/>
    <x v="0"/>
    <x v="0"/>
    <n v="45"/>
    <x v="3"/>
    <n v="3.27"/>
    <n v="47.19"/>
    <s v="05503849"/>
  </r>
  <r>
    <x v="162"/>
    <s v="2021-08-31"/>
    <x v="0"/>
    <x v="0"/>
    <n v="44"/>
    <x v="0"/>
    <n v="3.15"/>
    <n v="45.1"/>
    <s v="60850229"/>
  </r>
  <r>
    <x v="162"/>
    <s v="2021-08-31"/>
    <x v="0"/>
    <x v="0"/>
    <n v="43"/>
    <x v="2"/>
    <n v="3.04"/>
    <n v="43.22"/>
    <s v="92228410"/>
  </r>
  <r>
    <x v="162"/>
    <s v="2021-08-31"/>
    <x v="0"/>
    <x v="0"/>
    <n v="42"/>
    <x v="7"/>
    <n v="3.03"/>
    <n v="43.15"/>
    <s v="92874270"/>
  </r>
  <r>
    <x v="162"/>
    <s v="2021-08-31"/>
    <x v="0"/>
    <x v="0"/>
    <n v="41"/>
    <x v="1"/>
    <n v="3.02"/>
    <n v="42.87"/>
    <s v="01800019"/>
  </r>
  <r>
    <x v="162"/>
    <s v="2021-08-31"/>
    <x v="0"/>
    <x v="0"/>
    <n v="40"/>
    <x v="5"/>
    <n v="2.79"/>
    <n v="39.19"/>
    <s v="80271455"/>
  </r>
  <r>
    <x v="162"/>
    <s v="2021-08-31"/>
    <x v="0"/>
    <x v="0"/>
    <n v="39"/>
    <x v="4"/>
    <n v="2.5099999999999998"/>
    <n v="34.64"/>
    <s v="62232889"/>
  </r>
  <r>
    <x v="162"/>
    <s v="2021-08-31"/>
    <x v="0"/>
    <x v="0"/>
    <n v="38"/>
    <x v="42"/>
    <n v="2.48"/>
    <n v="34.21"/>
    <s v="34991938"/>
  </r>
  <r>
    <x v="162"/>
    <s v="2021-08-31"/>
    <x v="0"/>
    <x v="0"/>
    <n v="37"/>
    <x v="6"/>
    <n v="2.41"/>
    <n v="33.14"/>
    <s v="05676026"/>
  </r>
  <r>
    <x v="162"/>
    <s v="2021-08-31"/>
    <x v="0"/>
    <x v="0"/>
    <n v="36"/>
    <x v="8"/>
    <n v="2.39"/>
    <n v="32.82"/>
    <s v="59285411"/>
  </r>
  <r>
    <x v="162"/>
    <s v="2021-08-31"/>
    <x v="0"/>
    <x v="0"/>
    <n v="35"/>
    <x v="9"/>
    <n v="2.37"/>
    <n v="32.49"/>
    <s v="00411939"/>
  </r>
  <r>
    <x v="162"/>
    <s v="2021-08-31"/>
    <x v="0"/>
    <x v="0"/>
    <n v="34"/>
    <x v="10"/>
    <n v="2.21"/>
    <n v="29.97"/>
    <s v="10371492"/>
  </r>
  <r>
    <x v="162"/>
    <s v="2021-08-31"/>
    <x v="0"/>
    <x v="0"/>
    <n v="33"/>
    <x v="13"/>
    <n v="1.89"/>
    <n v="25.25"/>
    <s v="07707650"/>
  </r>
  <r>
    <x v="162"/>
    <s v="2021-08-31"/>
    <x v="0"/>
    <x v="0"/>
    <n v="32"/>
    <x v="15"/>
    <n v="1.85"/>
    <n v="24.67"/>
    <s v="59588111"/>
  </r>
  <r>
    <x v="162"/>
    <s v="2021-08-31"/>
    <x v="0"/>
    <x v="0"/>
    <n v="31"/>
    <x v="28"/>
    <n v="1.81"/>
    <n v="23.98"/>
    <s v="90400888"/>
  </r>
  <r>
    <x v="162"/>
    <s v="2021-08-31"/>
    <x v="0"/>
    <x v="0"/>
    <n v="30"/>
    <x v="41"/>
    <n v="1.77"/>
    <n v="23.39"/>
    <s v="20443996"/>
  </r>
  <r>
    <x v="162"/>
    <s v="2021-08-31"/>
    <x v="0"/>
    <x v="0"/>
    <n v="29"/>
    <x v="18"/>
    <n v="1.75"/>
    <n v="23.13"/>
    <s v="28127603"/>
  </r>
  <r>
    <x v="162"/>
    <s v="2021-08-31"/>
    <x v="0"/>
    <x v="0"/>
    <n v="28"/>
    <x v="20"/>
    <n v="1.73"/>
    <n v="22.91"/>
    <s v="17192451"/>
  </r>
  <r>
    <x v="162"/>
    <s v="2021-08-31"/>
    <x v="0"/>
    <x v="0"/>
    <n v="27"/>
    <x v="24"/>
    <n v="1.71"/>
    <n v="22.53"/>
    <s v="22639377"/>
  </r>
  <r>
    <x v="162"/>
    <s v="2021-08-31"/>
    <x v="0"/>
    <x v="0"/>
    <n v="26"/>
    <x v="16"/>
    <n v="1.67"/>
    <n v="22.01"/>
    <s v="07207996"/>
  </r>
  <r>
    <x v="162"/>
    <s v="2021-08-31"/>
    <x v="0"/>
    <x v="0"/>
    <n v="25"/>
    <x v="12"/>
    <n v="1.64"/>
    <n v="21.59"/>
    <s v="04862600"/>
  </r>
  <r>
    <x v="162"/>
    <s v="2021-08-31"/>
    <x v="0"/>
    <x v="0"/>
    <n v="24"/>
    <x v="11"/>
    <n v="1.57"/>
    <n v="20.57"/>
    <s v="03634220"/>
  </r>
  <r>
    <x v="162"/>
    <s v="2021-08-31"/>
    <x v="0"/>
    <x v="0"/>
    <n v="23"/>
    <x v="21"/>
    <n v="1.57"/>
    <n v="20.48"/>
    <s v="03017677"/>
  </r>
  <r>
    <x v="162"/>
    <s v="2021-08-31"/>
    <x v="0"/>
    <x v="0"/>
    <n v="22"/>
    <x v="51"/>
    <n v="1.56"/>
    <n v="20.45"/>
    <s v="62237425"/>
  </r>
  <r>
    <x v="162"/>
    <s v="2021-08-31"/>
    <x v="0"/>
    <x v="0"/>
    <n v="21"/>
    <x v="32"/>
    <n v="1.52"/>
    <n v="19.82"/>
    <s v="60701190"/>
  </r>
  <r>
    <x v="162"/>
    <s v="2021-08-31"/>
    <x v="0"/>
    <x v="0"/>
    <n v="20"/>
    <x v="30"/>
    <n v="1.51"/>
    <n v="19.670000000000002"/>
    <s v="03502961"/>
  </r>
  <r>
    <x v="162"/>
    <s v="2021-08-31"/>
    <x v="0"/>
    <x v="0"/>
    <n v="19"/>
    <x v="19"/>
    <n v="1.48"/>
    <n v="19.21"/>
    <s v="92702067"/>
  </r>
  <r>
    <x v="162"/>
    <s v="2021-08-31"/>
    <x v="0"/>
    <x v="0"/>
    <n v="18"/>
    <x v="14"/>
    <n v="1.47"/>
    <n v="19.100000000000001"/>
    <s v="00360305"/>
  </r>
  <r>
    <x v="162"/>
    <s v="2021-08-31"/>
    <x v="0"/>
    <x v="0"/>
    <n v="17"/>
    <x v="29"/>
    <n v="1.45"/>
    <n v="18.88"/>
    <s v="60746948"/>
  </r>
  <r>
    <x v="162"/>
    <s v="2021-08-31"/>
    <x v="0"/>
    <x v="0"/>
    <n v="16"/>
    <x v="26"/>
    <n v="1.4"/>
    <n v="18.09"/>
    <s v="30172491"/>
  </r>
  <r>
    <x v="162"/>
    <s v="2021-08-31"/>
    <x v="0"/>
    <x v="0"/>
    <n v="15"/>
    <x v="25"/>
    <n v="1.39"/>
    <n v="18"/>
    <s v="59274605"/>
  </r>
  <r>
    <x v="162"/>
    <s v="2021-08-31"/>
    <x v="0"/>
    <x v="0"/>
    <n v="14"/>
    <x v="33"/>
    <n v="1.33"/>
    <n v="17.2"/>
    <s v="62307848"/>
  </r>
  <r>
    <x v="162"/>
    <s v="2021-08-31"/>
    <x v="0"/>
    <x v="0"/>
    <n v="13"/>
    <x v="23"/>
    <n v="1.33"/>
    <n v="17.149999999999999"/>
    <s v="03215790"/>
  </r>
  <r>
    <x v="162"/>
    <s v="2021-08-31"/>
    <x v="0"/>
    <x v="0"/>
    <n v="12"/>
    <x v="27"/>
    <n v="1.28"/>
    <n v="16.55"/>
    <s v="00000000"/>
  </r>
  <r>
    <x v="162"/>
    <s v="2021-08-31"/>
    <x v="0"/>
    <x v="0"/>
    <n v="11"/>
    <x v="31"/>
    <n v="1.28"/>
    <n v="16.53"/>
    <s v="17167412"/>
  </r>
  <r>
    <x v="162"/>
    <s v="2021-08-31"/>
    <x v="0"/>
    <x v="0"/>
    <n v="10"/>
    <x v="34"/>
    <n v="1.24"/>
    <n v="15.93"/>
    <s v="33603457"/>
  </r>
  <r>
    <x v="162"/>
    <s v="2021-08-31"/>
    <x v="0"/>
    <x v="0"/>
    <n v="9"/>
    <x v="43"/>
    <n v="1.2"/>
    <n v="15.41"/>
    <s v="07441209"/>
  </r>
  <r>
    <x v="162"/>
    <s v="2021-08-31"/>
    <x v="0"/>
    <x v="0"/>
    <n v="8"/>
    <x v="37"/>
    <n v="1.19"/>
    <n v="15.22"/>
    <s v="04452473"/>
  </r>
  <r>
    <x v="162"/>
    <s v="2021-08-31"/>
    <x v="0"/>
    <x v="0"/>
    <n v="7"/>
    <x v="44"/>
    <n v="1.1200000000000001"/>
    <n v="14.24"/>
    <s v="58017179"/>
  </r>
  <r>
    <x v="162"/>
    <s v="2021-08-31"/>
    <x v="0"/>
    <x v="0"/>
    <n v="6"/>
    <x v="47"/>
    <n v="1.1100000000000001"/>
    <n v="14.2"/>
    <s v="28517628"/>
  </r>
  <r>
    <x v="162"/>
    <s v="2021-08-31"/>
    <x v="0"/>
    <x v="0"/>
    <n v="5"/>
    <x v="39"/>
    <n v="1.0900000000000001"/>
    <n v="13.94"/>
    <s v="04902979"/>
  </r>
  <r>
    <x v="162"/>
    <s v="2021-08-31"/>
    <x v="0"/>
    <x v="0"/>
    <n v="4"/>
    <x v="35"/>
    <n v="1.06"/>
    <n v="13.5"/>
    <s v="59109165"/>
  </r>
  <r>
    <x v="162"/>
    <s v="2021-08-31"/>
    <x v="0"/>
    <x v="0"/>
    <n v="3"/>
    <x v="38"/>
    <n v="1.04"/>
    <n v="13.15"/>
    <s v="60814191"/>
  </r>
  <r>
    <x v="162"/>
    <s v="2021-08-31"/>
    <x v="0"/>
    <x v="0"/>
    <n v="2"/>
    <x v="22"/>
    <n v="1"/>
    <n v="12.63"/>
    <s v="11417016"/>
  </r>
  <r>
    <x v="162"/>
    <s v="2021-08-31"/>
    <x v="0"/>
    <x v="0"/>
    <n v="1"/>
    <x v="40"/>
    <n v="0.99"/>
    <n v="12.51"/>
    <s v="02992446"/>
  </r>
  <r>
    <x v="163"/>
    <s v="2021-09-01"/>
    <x v="0"/>
    <x v="0"/>
    <n v="46"/>
    <x v="3"/>
    <n v="3.23"/>
    <n v="46.39"/>
    <s v="05503849"/>
  </r>
  <r>
    <x v="163"/>
    <s v="2021-09-01"/>
    <x v="0"/>
    <x v="0"/>
    <n v="45"/>
    <x v="0"/>
    <n v="3.1"/>
    <n v="44.16"/>
    <s v="60850229"/>
  </r>
  <r>
    <x v="163"/>
    <s v="2021-09-01"/>
    <x v="0"/>
    <x v="0"/>
    <n v="44"/>
    <x v="7"/>
    <n v="3.07"/>
    <n v="43.76"/>
    <s v="92874270"/>
  </r>
  <r>
    <x v="163"/>
    <s v="2021-09-01"/>
    <x v="0"/>
    <x v="0"/>
    <n v="43"/>
    <x v="2"/>
    <n v="3.05"/>
    <n v="43.38"/>
    <s v="92228410"/>
  </r>
  <r>
    <x v="163"/>
    <s v="2021-09-01"/>
    <x v="0"/>
    <x v="0"/>
    <n v="42"/>
    <x v="1"/>
    <n v="3.03"/>
    <n v="42.99"/>
    <s v="01800019"/>
  </r>
  <r>
    <x v="163"/>
    <s v="2021-09-01"/>
    <x v="0"/>
    <x v="0"/>
    <n v="41"/>
    <x v="5"/>
    <n v="2.77"/>
    <n v="38.869999999999997"/>
    <s v="80271455"/>
  </r>
  <r>
    <x v="163"/>
    <s v="2021-09-01"/>
    <x v="0"/>
    <x v="0"/>
    <n v="40"/>
    <x v="42"/>
    <n v="2.52"/>
    <n v="34.79"/>
    <s v="34991938"/>
  </r>
  <r>
    <x v="163"/>
    <s v="2021-09-01"/>
    <x v="0"/>
    <x v="0"/>
    <n v="39"/>
    <x v="4"/>
    <n v="2.5099999999999998"/>
    <n v="34.630000000000003"/>
    <s v="62232889"/>
  </r>
  <r>
    <x v="163"/>
    <s v="2021-09-01"/>
    <x v="0"/>
    <x v="0"/>
    <n v="38"/>
    <x v="6"/>
    <n v="2.42"/>
    <n v="33.159999999999997"/>
    <s v="05676026"/>
  </r>
  <r>
    <x v="163"/>
    <s v="2021-09-01"/>
    <x v="0"/>
    <x v="0"/>
    <n v="37"/>
    <x v="8"/>
    <n v="2.41"/>
    <n v="33.06"/>
    <s v="59285411"/>
  </r>
  <r>
    <x v="163"/>
    <s v="2021-09-01"/>
    <x v="0"/>
    <x v="0"/>
    <n v="36"/>
    <x v="9"/>
    <n v="2.35"/>
    <n v="32.1"/>
    <s v="00411939"/>
  </r>
  <r>
    <x v="163"/>
    <s v="2021-09-01"/>
    <x v="0"/>
    <x v="0"/>
    <n v="35"/>
    <x v="10"/>
    <n v="2.2200000000000002"/>
    <n v="30.07"/>
    <s v="10371492"/>
  </r>
  <r>
    <x v="163"/>
    <s v="2021-09-01"/>
    <x v="0"/>
    <x v="0"/>
    <n v="34"/>
    <x v="13"/>
    <n v="1.9"/>
    <n v="25.26"/>
    <s v="07707650"/>
  </r>
  <r>
    <x v="163"/>
    <s v="2021-09-01"/>
    <x v="0"/>
    <x v="0"/>
    <n v="33"/>
    <x v="15"/>
    <n v="1.85"/>
    <n v="24.59"/>
    <s v="59588111"/>
  </r>
  <r>
    <x v="163"/>
    <s v="2021-09-01"/>
    <x v="0"/>
    <x v="0"/>
    <n v="32"/>
    <x v="41"/>
    <n v="1.77"/>
    <n v="23.39"/>
    <s v="20443996"/>
  </r>
  <r>
    <x v="163"/>
    <s v="2021-09-01"/>
    <x v="0"/>
    <x v="0"/>
    <n v="31"/>
    <x v="28"/>
    <n v="1.75"/>
    <n v="23.13"/>
    <s v="90400888"/>
  </r>
  <r>
    <x v="163"/>
    <s v="2021-09-01"/>
    <x v="0"/>
    <x v="0"/>
    <n v="30"/>
    <x v="20"/>
    <n v="1.74"/>
    <n v="22.94"/>
    <s v="17192451"/>
  </r>
  <r>
    <x v="163"/>
    <s v="2021-09-01"/>
    <x v="0"/>
    <x v="0"/>
    <n v="29"/>
    <x v="16"/>
    <n v="1.67"/>
    <n v="21.95"/>
    <s v="07207996"/>
  </r>
  <r>
    <x v="163"/>
    <s v="2021-09-01"/>
    <x v="0"/>
    <x v="0"/>
    <n v="28"/>
    <x v="18"/>
    <n v="1.66"/>
    <n v="21.84"/>
    <s v="28127603"/>
  </r>
  <r>
    <x v="163"/>
    <s v="2021-09-01"/>
    <x v="0"/>
    <x v="0"/>
    <n v="27"/>
    <x v="51"/>
    <n v="1.64"/>
    <n v="21.57"/>
    <s v="62237425"/>
  </r>
  <r>
    <x v="163"/>
    <s v="2021-09-01"/>
    <x v="0"/>
    <x v="0"/>
    <n v="26"/>
    <x v="12"/>
    <n v="1.63"/>
    <n v="21.4"/>
    <s v="04862600"/>
  </r>
  <r>
    <x v="163"/>
    <s v="2021-09-01"/>
    <x v="0"/>
    <x v="0"/>
    <n v="25"/>
    <x v="24"/>
    <n v="1.6"/>
    <n v="21.02"/>
    <s v="22639377"/>
  </r>
  <r>
    <x v="163"/>
    <s v="2021-09-01"/>
    <x v="0"/>
    <x v="0"/>
    <n v="24"/>
    <x v="11"/>
    <n v="1.59"/>
    <n v="20.79"/>
    <s v="03634220"/>
  </r>
  <r>
    <x v="163"/>
    <s v="2021-09-01"/>
    <x v="0"/>
    <x v="0"/>
    <n v="23"/>
    <x v="21"/>
    <n v="1.56"/>
    <n v="20.45"/>
    <s v="03017677"/>
  </r>
  <r>
    <x v="163"/>
    <s v="2021-09-01"/>
    <x v="0"/>
    <x v="0"/>
    <n v="22"/>
    <x v="14"/>
    <n v="1.54"/>
    <n v="20.07"/>
    <s v="00360305"/>
  </r>
  <r>
    <x v="163"/>
    <s v="2021-09-01"/>
    <x v="0"/>
    <x v="0"/>
    <n v="21"/>
    <x v="30"/>
    <n v="1.53"/>
    <n v="20.010000000000002"/>
    <s v="03502961"/>
  </r>
  <r>
    <x v="163"/>
    <s v="2021-09-01"/>
    <x v="0"/>
    <x v="0"/>
    <n v="20"/>
    <x v="32"/>
    <n v="1.53"/>
    <n v="20"/>
    <s v="60701190"/>
  </r>
  <r>
    <x v="163"/>
    <s v="2021-09-01"/>
    <x v="0"/>
    <x v="0"/>
    <n v="19"/>
    <x v="19"/>
    <n v="1.48"/>
    <n v="19.21"/>
    <s v="92702067"/>
  </r>
  <r>
    <x v="163"/>
    <s v="2021-09-01"/>
    <x v="0"/>
    <x v="0"/>
    <n v="18"/>
    <x v="29"/>
    <n v="1.44"/>
    <n v="18.760000000000002"/>
    <s v="60746948"/>
  </r>
  <r>
    <x v="163"/>
    <s v="2021-09-01"/>
    <x v="0"/>
    <x v="0"/>
    <n v="17"/>
    <x v="25"/>
    <n v="1.4"/>
    <n v="18.09"/>
    <s v="59274605"/>
  </r>
  <r>
    <x v="163"/>
    <s v="2021-09-01"/>
    <x v="0"/>
    <x v="0"/>
    <n v="16"/>
    <x v="26"/>
    <n v="1.39"/>
    <n v="17.97"/>
    <s v="30172491"/>
  </r>
  <r>
    <x v="163"/>
    <s v="2021-09-01"/>
    <x v="0"/>
    <x v="0"/>
    <n v="15"/>
    <x v="23"/>
    <n v="1.33"/>
    <n v="17.22"/>
    <s v="03215790"/>
  </r>
  <r>
    <x v="163"/>
    <s v="2021-09-01"/>
    <x v="0"/>
    <x v="0"/>
    <n v="14"/>
    <x v="33"/>
    <n v="1.33"/>
    <n v="17.21"/>
    <s v="62307848"/>
  </r>
  <r>
    <x v="163"/>
    <s v="2021-09-01"/>
    <x v="0"/>
    <x v="0"/>
    <n v="13"/>
    <x v="31"/>
    <n v="1.28"/>
    <n v="16.47"/>
    <s v="17167412"/>
  </r>
  <r>
    <x v="163"/>
    <s v="2021-09-01"/>
    <x v="0"/>
    <x v="0"/>
    <n v="12"/>
    <x v="27"/>
    <n v="1.27"/>
    <n v="16.38"/>
    <s v="00000000"/>
  </r>
  <r>
    <x v="163"/>
    <s v="2021-09-01"/>
    <x v="0"/>
    <x v="0"/>
    <n v="11"/>
    <x v="34"/>
    <n v="1.25"/>
    <n v="16.09"/>
    <s v="33603457"/>
  </r>
  <r>
    <x v="163"/>
    <s v="2021-09-01"/>
    <x v="0"/>
    <x v="0"/>
    <n v="10"/>
    <x v="43"/>
    <n v="1.22"/>
    <n v="15.6"/>
    <s v="07441209"/>
  </r>
  <r>
    <x v="163"/>
    <s v="2021-09-01"/>
    <x v="0"/>
    <x v="0"/>
    <n v="9"/>
    <x v="37"/>
    <n v="1.2"/>
    <n v="15.4"/>
    <s v="04452473"/>
  </r>
  <r>
    <x v="163"/>
    <s v="2021-09-01"/>
    <x v="0"/>
    <x v="0"/>
    <n v="8"/>
    <x v="44"/>
    <n v="1.1200000000000001"/>
    <n v="14.24"/>
    <s v="58017179"/>
  </r>
  <r>
    <x v="163"/>
    <s v="2021-09-01"/>
    <x v="0"/>
    <x v="0"/>
    <n v="7"/>
    <x v="39"/>
    <n v="1.0900000000000001"/>
    <n v="13.94"/>
    <s v="04902979"/>
  </r>
  <r>
    <x v="163"/>
    <s v="2021-09-01"/>
    <x v="0"/>
    <x v="0"/>
    <n v="6"/>
    <x v="47"/>
    <n v="1.0900000000000001"/>
    <n v="13.85"/>
    <s v="28517628"/>
  </r>
  <r>
    <x v="163"/>
    <s v="2021-09-01"/>
    <x v="0"/>
    <x v="0"/>
    <n v="5"/>
    <x v="35"/>
    <n v="1.06"/>
    <n v="13.51"/>
    <s v="59109165"/>
  </r>
  <r>
    <x v="163"/>
    <s v="2021-09-01"/>
    <x v="0"/>
    <x v="0"/>
    <n v="4"/>
    <x v="38"/>
    <n v="1.04"/>
    <n v="13.23"/>
    <s v="60814191"/>
  </r>
  <r>
    <x v="163"/>
    <s v="2021-09-01"/>
    <x v="0"/>
    <x v="0"/>
    <n v="3"/>
    <x v="36"/>
    <n v="1.01"/>
    <n v="12.88"/>
    <s v="33136888"/>
  </r>
  <r>
    <x v="163"/>
    <s v="2021-09-01"/>
    <x v="0"/>
    <x v="0"/>
    <n v="2"/>
    <x v="22"/>
    <n v="0.99"/>
    <n v="12.6"/>
    <s v="11417016"/>
  </r>
  <r>
    <x v="163"/>
    <s v="2021-09-01"/>
    <x v="0"/>
    <x v="0"/>
    <n v="1"/>
    <x v="40"/>
    <n v="0.99"/>
    <n v="12.53"/>
    <s v="02992446"/>
  </r>
  <r>
    <x v="164"/>
    <s v="2021-09-02"/>
    <x v="0"/>
    <x v="0"/>
    <n v="47"/>
    <x v="3"/>
    <n v="3.26"/>
    <n v="47.03"/>
    <s v="05503849"/>
  </r>
  <r>
    <x v="164"/>
    <s v="2021-09-02"/>
    <x v="0"/>
    <x v="0"/>
    <n v="46"/>
    <x v="1"/>
    <n v="3.25"/>
    <n v="46.72"/>
    <s v="01800019"/>
  </r>
  <r>
    <x v="164"/>
    <s v="2021-09-02"/>
    <x v="0"/>
    <x v="0"/>
    <n v="45"/>
    <x v="0"/>
    <n v="3.07"/>
    <n v="43.81"/>
    <s v="60850229"/>
  </r>
  <r>
    <x v="164"/>
    <s v="2021-09-02"/>
    <x v="0"/>
    <x v="0"/>
    <n v="44"/>
    <x v="7"/>
    <n v="3.06"/>
    <n v="43.53"/>
    <s v="92874270"/>
  </r>
  <r>
    <x v="164"/>
    <s v="2021-09-02"/>
    <x v="0"/>
    <x v="0"/>
    <n v="43"/>
    <x v="2"/>
    <n v="3.04"/>
    <n v="43.29"/>
    <s v="92228410"/>
  </r>
  <r>
    <x v="164"/>
    <s v="2021-09-02"/>
    <x v="0"/>
    <x v="0"/>
    <n v="42"/>
    <x v="5"/>
    <n v="2.73"/>
    <n v="38.159999999999997"/>
    <s v="80271455"/>
  </r>
  <r>
    <x v="164"/>
    <s v="2021-09-02"/>
    <x v="0"/>
    <x v="0"/>
    <n v="41"/>
    <x v="4"/>
    <n v="2.5099999999999998"/>
    <n v="34.659999999999997"/>
    <s v="62232889"/>
  </r>
  <r>
    <x v="164"/>
    <s v="2021-09-02"/>
    <x v="0"/>
    <x v="0"/>
    <n v="40"/>
    <x v="42"/>
    <n v="2.5"/>
    <n v="34.47"/>
    <s v="34991938"/>
  </r>
  <r>
    <x v="164"/>
    <s v="2021-09-02"/>
    <x v="0"/>
    <x v="0"/>
    <n v="39"/>
    <x v="6"/>
    <n v="2.42"/>
    <n v="33.17"/>
    <s v="05676026"/>
  </r>
  <r>
    <x v="164"/>
    <s v="2021-09-02"/>
    <x v="0"/>
    <x v="0"/>
    <n v="38"/>
    <x v="8"/>
    <n v="2.42"/>
    <n v="33.159999999999997"/>
    <s v="59285411"/>
  </r>
  <r>
    <x v="164"/>
    <s v="2021-09-02"/>
    <x v="0"/>
    <x v="0"/>
    <n v="37"/>
    <x v="9"/>
    <n v="2.34"/>
    <n v="32.04"/>
    <s v="00411939"/>
  </r>
  <r>
    <x v="164"/>
    <s v="2021-09-02"/>
    <x v="0"/>
    <x v="0"/>
    <n v="36"/>
    <x v="10"/>
    <n v="2.2200000000000002"/>
    <n v="30.19"/>
    <s v="10371492"/>
  </r>
  <r>
    <x v="164"/>
    <s v="2021-09-02"/>
    <x v="0"/>
    <x v="0"/>
    <n v="35"/>
    <x v="46"/>
    <n v="2.19"/>
    <n v="29.64"/>
    <s v="11760553"/>
  </r>
  <r>
    <x v="164"/>
    <s v="2021-09-02"/>
    <x v="0"/>
    <x v="0"/>
    <n v="34"/>
    <x v="13"/>
    <n v="1.9"/>
    <n v="25.29"/>
    <s v="07707650"/>
  </r>
  <r>
    <x v="164"/>
    <s v="2021-09-02"/>
    <x v="0"/>
    <x v="0"/>
    <n v="33"/>
    <x v="15"/>
    <n v="1.85"/>
    <n v="24.66"/>
    <s v="59588111"/>
  </r>
  <r>
    <x v="164"/>
    <s v="2021-09-02"/>
    <x v="0"/>
    <x v="0"/>
    <n v="32"/>
    <x v="28"/>
    <n v="1.81"/>
    <n v="23.95"/>
    <s v="90400888"/>
  </r>
  <r>
    <x v="164"/>
    <s v="2021-09-02"/>
    <x v="0"/>
    <x v="0"/>
    <n v="31"/>
    <x v="41"/>
    <n v="1.77"/>
    <n v="23.39"/>
    <s v="20443996"/>
  </r>
  <r>
    <x v="164"/>
    <s v="2021-09-02"/>
    <x v="0"/>
    <x v="0"/>
    <n v="30"/>
    <x v="20"/>
    <n v="1.74"/>
    <n v="22.93"/>
    <s v="17192451"/>
  </r>
  <r>
    <x v="164"/>
    <s v="2021-09-02"/>
    <x v="0"/>
    <x v="0"/>
    <n v="29"/>
    <x v="16"/>
    <n v="1.67"/>
    <n v="22"/>
    <s v="07207996"/>
  </r>
  <r>
    <x v="164"/>
    <s v="2021-09-02"/>
    <x v="0"/>
    <x v="0"/>
    <n v="28"/>
    <x v="18"/>
    <n v="1.65"/>
    <n v="21.73"/>
    <s v="28127603"/>
  </r>
  <r>
    <x v="164"/>
    <s v="2021-09-02"/>
    <x v="0"/>
    <x v="0"/>
    <n v="27"/>
    <x v="51"/>
    <n v="1.64"/>
    <n v="21.57"/>
    <s v="62237425"/>
  </r>
  <r>
    <x v="164"/>
    <s v="2021-09-02"/>
    <x v="0"/>
    <x v="0"/>
    <n v="26"/>
    <x v="24"/>
    <n v="1.62"/>
    <n v="21.29"/>
    <s v="22639377"/>
  </r>
  <r>
    <x v="164"/>
    <s v="2021-09-02"/>
    <x v="0"/>
    <x v="0"/>
    <n v="25"/>
    <x v="12"/>
    <n v="1.62"/>
    <n v="21.2"/>
    <s v="04862600"/>
  </r>
  <r>
    <x v="164"/>
    <s v="2021-09-02"/>
    <x v="0"/>
    <x v="0"/>
    <n v="24"/>
    <x v="14"/>
    <n v="1.58"/>
    <n v="20.73"/>
    <s v="00360305"/>
  </r>
  <r>
    <x v="164"/>
    <s v="2021-09-02"/>
    <x v="0"/>
    <x v="0"/>
    <n v="23"/>
    <x v="11"/>
    <n v="1.58"/>
    <n v="20.73"/>
    <s v="03634220"/>
  </r>
  <r>
    <x v="164"/>
    <s v="2021-09-02"/>
    <x v="0"/>
    <x v="0"/>
    <n v="22"/>
    <x v="21"/>
    <n v="1.57"/>
    <n v="20.49"/>
    <s v="03017677"/>
  </r>
  <r>
    <x v="164"/>
    <s v="2021-09-02"/>
    <x v="0"/>
    <x v="0"/>
    <n v="21"/>
    <x v="19"/>
    <n v="1.55"/>
    <n v="20.21"/>
    <s v="92702067"/>
  </r>
  <r>
    <x v="164"/>
    <s v="2021-09-02"/>
    <x v="0"/>
    <x v="0"/>
    <n v="20"/>
    <x v="30"/>
    <n v="1.54"/>
    <n v="20.18"/>
    <s v="03502961"/>
  </r>
  <r>
    <x v="164"/>
    <s v="2021-09-02"/>
    <x v="0"/>
    <x v="0"/>
    <n v="19"/>
    <x v="32"/>
    <n v="1.52"/>
    <n v="19.899999999999999"/>
    <s v="60701190"/>
  </r>
  <r>
    <x v="164"/>
    <s v="2021-09-02"/>
    <x v="0"/>
    <x v="0"/>
    <n v="18"/>
    <x v="29"/>
    <n v="1.45"/>
    <n v="18.829999999999998"/>
    <s v="60746948"/>
  </r>
  <r>
    <x v="164"/>
    <s v="2021-09-02"/>
    <x v="0"/>
    <x v="0"/>
    <n v="17"/>
    <x v="26"/>
    <n v="1.4"/>
    <n v="18.2"/>
    <s v="30172491"/>
  </r>
  <r>
    <x v="164"/>
    <s v="2021-09-02"/>
    <x v="0"/>
    <x v="0"/>
    <n v="16"/>
    <x v="25"/>
    <n v="1.4"/>
    <n v="18.11"/>
    <s v="59274605"/>
  </r>
  <r>
    <x v="164"/>
    <s v="2021-09-02"/>
    <x v="0"/>
    <x v="0"/>
    <n v="15"/>
    <x v="33"/>
    <n v="1.34"/>
    <n v="17.28"/>
    <s v="62307848"/>
  </r>
  <r>
    <x v="164"/>
    <s v="2021-09-02"/>
    <x v="0"/>
    <x v="0"/>
    <n v="14"/>
    <x v="23"/>
    <n v="1.34"/>
    <n v="17.27"/>
    <s v="03215790"/>
  </r>
  <r>
    <x v="164"/>
    <s v="2021-09-02"/>
    <x v="0"/>
    <x v="0"/>
    <n v="13"/>
    <x v="31"/>
    <n v="1.28"/>
    <n v="16.510000000000002"/>
    <s v="17167412"/>
  </r>
  <r>
    <x v="164"/>
    <s v="2021-09-02"/>
    <x v="0"/>
    <x v="0"/>
    <n v="12"/>
    <x v="27"/>
    <n v="1.28"/>
    <n v="16.45"/>
    <s v="00000000"/>
  </r>
  <r>
    <x v="164"/>
    <s v="2021-09-02"/>
    <x v="0"/>
    <x v="0"/>
    <n v="11"/>
    <x v="34"/>
    <n v="1.26"/>
    <n v="16.21"/>
    <s v="33603457"/>
  </r>
  <r>
    <x v="164"/>
    <s v="2021-09-02"/>
    <x v="0"/>
    <x v="0"/>
    <n v="10"/>
    <x v="43"/>
    <n v="1.23"/>
    <n v="15.74"/>
    <s v="07441209"/>
  </r>
  <r>
    <x v="164"/>
    <s v="2021-09-02"/>
    <x v="0"/>
    <x v="0"/>
    <n v="9"/>
    <x v="37"/>
    <n v="1.21"/>
    <n v="15.51"/>
    <s v="04452473"/>
  </r>
  <r>
    <x v="164"/>
    <s v="2021-09-02"/>
    <x v="0"/>
    <x v="0"/>
    <n v="8"/>
    <x v="47"/>
    <n v="1.1499999999999999"/>
    <n v="14.69"/>
    <s v="28517628"/>
  </r>
  <r>
    <x v="164"/>
    <s v="2021-09-02"/>
    <x v="0"/>
    <x v="0"/>
    <n v="7"/>
    <x v="44"/>
    <n v="1.1200000000000001"/>
    <n v="14.24"/>
    <s v="58017179"/>
  </r>
  <r>
    <x v="164"/>
    <s v="2021-09-02"/>
    <x v="0"/>
    <x v="0"/>
    <n v="6"/>
    <x v="39"/>
    <n v="1.0900000000000001"/>
    <n v="13.88"/>
    <s v="04902979"/>
  </r>
  <r>
    <x v="164"/>
    <s v="2021-09-02"/>
    <x v="0"/>
    <x v="0"/>
    <n v="5"/>
    <x v="36"/>
    <n v="1.08"/>
    <n v="13.8"/>
    <s v="33136888"/>
  </r>
  <r>
    <x v="164"/>
    <s v="2021-09-02"/>
    <x v="0"/>
    <x v="0"/>
    <n v="4"/>
    <x v="35"/>
    <n v="1.07"/>
    <n v="13.61"/>
    <s v="59109165"/>
  </r>
  <r>
    <x v="164"/>
    <s v="2021-09-02"/>
    <x v="0"/>
    <x v="0"/>
    <n v="3"/>
    <x v="38"/>
    <n v="1.05"/>
    <n v="13.3"/>
    <s v="60814191"/>
  </r>
  <r>
    <x v="164"/>
    <s v="2021-09-02"/>
    <x v="0"/>
    <x v="0"/>
    <n v="2"/>
    <x v="22"/>
    <n v="1.04"/>
    <n v="13.16"/>
    <s v="11417016"/>
  </r>
  <r>
    <x v="164"/>
    <s v="2021-09-02"/>
    <x v="0"/>
    <x v="0"/>
    <n v="1"/>
    <x v="40"/>
    <n v="0.99"/>
    <n v="12.56"/>
    <s v="02992446"/>
  </r>
  <r>
    <x v="165"/>
    <s v="2021-09-03"/>
    <x v="0"/>
    <x v="0"/>
    <n v="45"/>
    <x v="3"/>
    <n v="3.27"/>
    <n v="47.19"/>
    <s v="05503849"/>
  </r>
  <r>
    <x v="165"/>
    <s v="2021-09-03"/>
    <x v="0"/>
    <x v="0"/>
    <n v="44"/>
    <x v="0"/>
    <n v="3.1"/>
    <n v="44.21"/>
    <s v="60850229"/>
  </r>
  <r>
    <x v="165"/>
    <s v="2021-09-03"/>
    <x v="0"/>
    <x v="0"/>
    <n v="43"/>
    <x v="1"/>
    <n v="3.09"/>
    <n v="44.09"/>
    <s v="01800019"/>
  </r>
  <r>
    <x v="165"/>
    <s v="2021-09-03"/>
    <x v="0"/>
    <x v="0"/>
    <n v="42"/>
    <x v="7"/>
    <n v="3.06"/>
    <n v="43.59"/>
    <s v="92874270"/>
  </r>
  <r>
    <x v="165"/>
    <s v="2021-09-03"/>
    <x v="0"/>
    <x v="0"/>
    <n v="41"/>
    <x v="2"/>
    <n v="3.05"/>
    <n v="43.37"/>
    <s v="92228410"/>
  </r>
  <r>
    <x v="165"/>
    <s v="2021-09-03"/>
    <x v="0"/>
    <x v="0"/>
    <n v="40"/>
    <x v="5"/>
    <n v="2.72"/>
    <n v="37.97"/>
    <s v="80271455"/>
  </r>
  <r>
    <x v="165"/>
    <s v="2021-09-03"/>
    <x v="0"/>
    <x v="0"/>
    <n v="39"/>
    <x v="4"/>
    <n v="2.52"/>
    <n v="34.729999999999997"/>
    <s v="62232889"/>
  </r>
  <r>
    <x v="165"/>
    <s v="2021-09-03"/>
    <x v="0"/>
    <x v="0"/>
    <n v="38"/>
    <x v="42"/>
    <n v="2.5099999999999998"/>
    <n v="34.67"/>
    <s v="34991938"/>
  </r>
  <r>
    <x v="165"/>
    <s v="2021-09-03"/>
    <x v="0"/>
    <x v="0"/>
    <n v="37"/>
    <x v="8"/>
    <n v="2.4300000000000002"/>
    <n v="33.32"/>
    <s v="59285411"/>
  </r>
  <r>
    <x v="165"/>
    <s v="2021-09-03"/>
    <x v="0"/>
    <x v="0"/>
    <n v="36"/>
    <x v="6"/>
    <n v="2.42"/>
    <n v="33.159999999999997"/>
    <s v="05676026"/>
  </r>
  <r>
    <x v="165"/>
    <s v="2021-09-03"/>
    <x v="0"/>
    <x v="0"/>
    <n v="35"/>
    <x v="9"/>
    <n v="2.35"/>
    <n v="32.14"/>
    <s v="00411939"/>
  </r>
  <r>
    <x v="165"/>
    <s v="2021-09-03"/>
    <x v="0"/>
    <x v="0"/>
    <n v="34"/>
    <x v="10"/>
    <n v="2.2200000000000002"/>
    <n v="30.15"/>
    <s v="10371492"/>
  </r>
  <r>
    <x v="165"/>
    <s v="2021-09-03"/>
    <x v="0"/>
    <x v="0"/>
    <n v="33"/>
    <x v="46"/>
    <n v="2.19"/>
    <n v="29.64"/>
    <s v="11760553"/>
  </r>
  <r>
    <x v="165"/>
    <s v="2021-09-03"/>
    <x v="0"/>
    <x v="0"/>
    <n v="32"/>
    <x v="13"/>
    <n v="1.91"/>
    <n v="25.45"/>
    <s v="07707650"/>
  </r>
  <r>
    <x v="165"/>
    <s v="2021-09-03"/>
    <x v="0"/>
    <x v="0"/>
    <n v="31"/>
    <x v="15"/>
    <n v="1.86"/>
    <n v="24.75"/>
    <s v="59588111"/>
  </r>
  <r>
    <x v="165"/>
    <s v="2021-09-03"/>
    <x v="0"/>
    <x v="0"/>
    <n v="30"/>
    <x v="41"/>
    <n v="1.77"/>
    <n v="23.39"/>
    <s v="20443996"/>
  </r>
  <r>
    <x v="165"/>
    <s v="2021-09-03"/>
    <x v="0"/>
    <x v="0"/>
    <n v="29"/>
    <x v="20"/>
    <n v="1.74"/>
    <n v="22.98"/>
    <s v="17192451"/>
  </r>
  <r>
    <x v="165"/>
    <s v="2021-09-03"/>
    <x v="0"/>
    <x v="0"/>
    <n v="28"/>
    <x v="28"/>
    <n v="1.72"/>
    <n v="22.75"/>
    <s v="90400888"/>
  </r>
  <r>
    <x v="165"/>
    <s v="2021-09-03"/>
    <x v="0"/>
    <x v="0"/>
    <n v="27"/>
    <x v="16"/>
    <n v="1.68"/>
    <n v="22.11"/>
    <s v="07207996"/>
  </r>
  <r>
    <x v="165"/>
    <s v="2021-09-03"/>
    <x v="0"/>
    <x v="0"/>
    <n v="26"/>
    <x v="18"/>
    <n v="1.65"/>
    <n v="21.75"/>
    <s v="28127603"/>
  </r>
  <r>
    <x v="165"/>
    <s v="2021-09-03"/>
    <x v="0"/>
    <x v="0"/>
    <n v="25"/>
    <x v="24"/>
    <n v="1.65"/>
    <n v="21.63"/>
    <s v="22639377"/>
  </r>
  <r>
    <x v="165"/>
    <s v="2021-09-03"/>
    <x v="0"/>
    <x v="0"/>
    <n v="24"/>
    <x v="11"/>
    <n v="1.62"/>
    <n v="21.24"/>
    <s v="03634220"/>
  </r>
  <r>
    <x v="165"/>
    <s v="2021-09-03"/>
    <x v="0"/>
    <x v="0"/>
    <n v="23"/>
    <x v="12"/>
    <n v="1.61"/>
    <n v="21.05"/>
    <s v="04862600"/>
  </r>
  <r>
    <x v="165"/>
    <s v="2021-09-03"/>
    <x v="0"/>
    <x v="0"/>
    <n v="22"/>
    <x v="14"/>
    <n v="1.57"/>
    <n v="20.58"/>
    <s v="00360305"/>
  </r>
  <r>
    <x v="165"/>
    <s v="2021-09-03"/>
    <x v="0"/>
    <x v="0"/>
    <n v="21"/>
    <x v="21"/>
    <n v="1.57"/>
    <n v="20.5"/>
    <s v="03017677"/>
  </r>
  <r>
    <x v="165"/>
    <s v="2021-09-03"/>
    <x v="0"/>
    <x v="0"/>
    <n v="20"/>
    <x v="30"/>
    <n v="1.55"/>
    <n v="20.22"/>
    <s v="03502961"/>
  </r>
  <r>
    <x v="165"/>
    <s v="2021-09-03"/>
    <x v="0"/>
    <x v="0"/>
    <n v="19"/>
    <x v="19"/>
    <n v="1.55"/>
    <n v="20.21"/>
    <s v="92702067"/>
  </r>
  <r>
    <x v="165"/>
    <s v="2021-09-03"/>
    <x v="0"/>
    <x v="0"/>
    <n v="18"/>
    <x v="32"/>
    <n v="1.52"/>
    <n v="19.8"/>
    <s v="60701190"/>
  </r>
  <r>
    <x v="165"/>
    <s v="2021-09-03"/>
    <x v="0"/>
    <x v="0"/>
    <n v="17"/>
    <x v="29"/>
    <n v="1.44"/>
    <n v="18.78"/>
    <s v="60746948"/>
  </r>
  <r>
    <x v="165"/>
    <s v="2021-09-03"/>
    <x v="0"/>
    <x v="0"/>
    <n v="16"/>
    <x v="25"/>
    <n v="1.41"/>
    <n v="18.260000000000002"/>
    <s v="59274605"/>
  </r>
  <r>
    <x v="165"/>
    <s v="2021-09-03"/>
    <x v="0"/>
    <x v="0"/>
    <n v="15"/>
    <x v="33"/>
    <n v="1.34"/>
    <n v="17.37"/>
    <s v="62307848"/>
  </r>
  <r>
    <x v="165"/>
    <s v="2021-09-03"/>
    <x v="0"/>
    <x v="0"/>
    <n v="14"/>
    <x v="23"/>
    <n v="1.34"/>
    <n v="17.32"/>
    <s v="03215790"/>
  </r>
  <r>
    <x v="165"/>
    <s v="2021-09-03"/>
    <x v="0"/>
    <x v="0"/>
    <n v="13"/>
    <x v="31"/>
    <n v="1.28"/>
    <n v="16.420000000000002"/>
    <s v="17167412"/>
  </r>
  <r>
    <x v="165"/>
    <s v="2021-09-03"/>
    <x v="0"/>
    <x v="0"/>
    <n v="12"/>
    <x v="27"/>
    <n v="1.28"/>
    <n v="16.420000000000002"/>
    <s v="00000000"/>
  </r>
  <r>
    <x v="165"/>
    <s v="2021-09-03"/>
    <x v="0"/>
    <x v="0"/>
    <n v="11"/>
    <x v="34"/>
    <n v="1.27"/>
    <n v="16.29"/>
    <s v="33603457"/>
  </r>
  <r>
    <x v="165"/>
    <s v="2021-09-03"/>
    <x v="0"/>
    <x v="0"/>
    <n v="10"/>
    <x v="43"/>
    <n v="1.24"/>
    <n v="15.92"/>
    <s v="07441209"/>
  </r>
  <r>
    <x v="165"/>
    <s v="2021-09-03"/>
    <x v="0"/>
    <x v="0"/>
    <n v="9"/>
    <x v="37"/>
    <n v="1.21"/>
    <n v="15.58"/>
    <s v="04452473"/>
  </r>
  <r>
    <x v="165"/>
    <s v="2021-09-03"/>
    <x v="0"/>
    <x v="0"/>
    <n v="8"/>
    <x v="47"/>
    <n v="1.1399999999999999"/>
    <n v="14.56"/>
    <s v="28517628"/>
  </r>
  <r>
    <x v="165"/>
    <s v="2021-09-03"/>
    <x v="0"/>
    <x v="0"/>
    <n v="7"/>
    <x v="44"/>
    <n v="1.1399999999999999"/>
    <n v="14.53"/>
    <s v="58017179"/>
  </r>
  <r>
    <x v="165"/>
    <s v="2021-09-03"/>
    <x v="0"/>
    <x v="0"/>
    <n v="6"/>
    <x v="36"/>
    <n v="1.1299999999999999"/>
    <n v="14.43"/>
    <s v="33136888"/>
  </r>
  <r>
    <x v="165"/>
    <s v="2021-09-03"/>
    <x v="0"/>
    <x v="0"/>
    <n v="5"/>
    <x v="39"/>
    <n v="1.08"/>
    <n v="13.74"/>
    <s v="04902979"/>
  </r>
  <r>
    <x v="165"/>
    <s v="2021-09-03"/>
    <x v="0"/>
    <x v="0"/>
    <n v="4"/>
    <x v="35"/>
    <n v="1.08"/>
    <n v="13.71"/>
    <s v="59109165"/>
  </r>
  <r>
    <x v="165"/>
    <s v="2021-09-03"/>
    <x v="0"/>
    <x v="0"/>
    <n v="3"/>
    <x v="38"/>
    <n v="1.05"/>
    <n v="13.38"/>
    <s v="60814191"/>
  </r>
  <r>
    <x v="165"/>
    <s v="2021-09-03"/>
    <x v="0"/>
    <x v="0"/>
    <n v="2"/>
    <x v="22"/>
    <n v="1.04"/>
    <n v="13.23"/>
    <s v="11417016"/>
  </r>
  <r>
    <x v="165"/>
    <s v="2021-09-03"/>
    <x v="0"/>
    <x v="0"/>
    <n v="1"/>
    <x v="40"/>
    <n v="0.99"/>
    <n v="12.48"/>
    <s v="02992446"/>
  </r>
  <r>
    <x v="166"/>
    <s v="2021-09-06"/>
    <x v="0"/>
    <x v="0"/>
    <n v="46"/>
    <x v="3"/>
    <n v="3.28"/>
    <n v="47.31"/>
    <s v="05503849"/>
  </r>
  <r>
    <x v="166"/>
    <s v="2021-09-06"/>
    <x v="0"/>
    <x v="0"/>
    <n v="45"/>
    <x v="0"/>
    <n v="3.13"/>
    <n v="44.72"/>
    <s v="60850229"/>
  </r>
  <r>
    <x v="166"/>
    <s v="2021-09-06"/>
    <x v="0"/>
    <x v="0"/>
    <n v="44"/>
    <x v="2"/>
    <n v="3.07"/>
    <n v="43.66"/>
    <s v="92228410"/>
  </r>
  <r>
    <x v="166"/>
    <s v="2021-09-06"/>
    <x v="0"/>
    <x v="0"/>
    <n v="43"/>
    <x v="7"/>
    <n v="3.06"/>
    <n v="43.64"/>
    <s v="92874270"/>
  </r>
  <r>
    <x v="166"/>
    <s v="2021-09-06"/>
    <x v="0"/>
    <x v="0"/>
    <n v="42"/>
    <x v="1"/>
    <n v="3.03"/>
    <n v="43.02"/>
    <s v="01800019"/>
  </r>
  <r>
    <x v="166"/>
    <s v="2021-09-06"/>
    <x v="0"/>
    <x v="0"/>
    <n v="41"/>
    <x v="5"/>
    <n v="2.5499999999999998"/>
    <n v="35.35"/>
    <s v="80271455"/>
  </r>
  <r>
    <x v="166"/>
    <s v="2021-09-06"/>
    <x v="0"/>
    <x v="0"/>
    <n v="40"/>
    <x v="4"/>
    <n v="2.52"/>
    <n v="34.72"/>
    <s v="62232889"/>
  </r>
  <r>
    <x v="166"/>
    <s v="2021-09-06"/>
    <x v="0"/>
    <x v="0"/>
    <n v="39"/>
    <x v="42"/>
    <n v="2.5"/>
    <n v="34.47"/>
    <s v="34991938"/>
  </r>
  <r>
    <x v="166"/>
    <s v="2021-09-06"/>
    <x v="0"/>
    <x v="0"/>
    <n v="38"/>
    <x v="8"/>
    <n v="2.44"/>
    <n v="33.47"/>
    <s v="59285411"/>
  </r>
  <r>
    <x v="166"/>
    <s v="2021-09-06"/>
    <x v="0"/>
    <x v="0"/>
    <n v="37"/>
    <x v="6"/>
    <n v="2.42"/>
    <n v="33.19"/>
    <s v="05676026"/>
  </r>
  <r>
    <x v="166"/>
    <s v="2021-09-06"/>
    <x v="0"/>
    <x v="0"/>
    <n v="36"/>
    <x v="9"/>
    <n v="2.36"/>
    <n v="32.26"/>
    <s v="00411939"/>
  </r>
  <r>
    <x v="166"/>
    <s v="2021-09-06"/>
    <x v="0"/>
    <x v="0"/>
    <n v="35"/>
    <x v="10"/>
    <n v="2.21"/>
    <n v="29.94"/>
    <s v="10371492"/>
  </r>
  <r>
    <x v="166"/>
    <s v="2021-09-06"/>
    <x v="0"/>
    <x v="0"/>
    <n v="34"/>
    <x v="46"/>
    <n v="2.19"/>
    <n v="29.64"/>
    <s v="11760553"/>
  </r>
  <r>
    <x v="166"/>
    <s v="2021-09-06"/>
    <x v="0"/>
    <x v="0"/>
    <n v="33"/>
    <x v="13"/>
    <n v="1.92"/>
    <n v="25.68"/>
    <s v="07707650"/>
  </r>
  <r>
    <x v="166"/>
    <s v="2021-09-06"/>
    <x v="0"/>
    <x v="0"/>
    <n v="32"/>
    <x v="15"/>
    <n v="1.87"/>
    <n v="24.91"/>
    <s v="59588111"/>
  </r>
  <r>
    <x v="166"/>
    <s v="2021-09-06"/>
    <x v="0"/>
    <x v="0"/>
    <n v="31"/>
    <x v="41"/>
    <n v="1.77"/>
    <n v="23.39"/>
    <s v="20443996"/>
  </r>
  <r>
    <x v="166"/>
    <s v="2021-09-06"/>
    <x v="0"/>
    <x v="0"/>
    <n v="30"/>
    <x v="20"/>
    <n v="1.74"/>
    <n v="23"/>
    <s v="17192451"/>
  </r>
  <r>
    <x v="166"/>
    <s v="2021-09-06"/>
    <x v="0"/>
    <x v="0"/>
    <n v="29"/>
    <x v="28"/>
    <n v="1.72"/>
    <n v="22.67"/>
    <s v="90400888"/>
  </r>
  <r>
    <x v="166"/>
    <s v="2021-09-06"/>
    <x v="0"/>
    <x v="0"/>
    <n v="28"/>
    <x v="16"/>
    <n v="1.69"/>
    <n v="22.3"/>
    <s v="07207996"/>
  </r>
  <r>
    <x v="166"/>
    <s v="2021-09-06"/>
    <x v="0"/>
    <x v="0"/>
    <n v="27"/>
    <x v="24"/>
    <n v="1.69"/>
    <n v="22.23"/>
    <s v="22639377"/>
  </r>
  <r>
    <x v="166"/>
    <s v="2021-09-06"/>
    <x v="0"/>
    <x v="0"/>
    <n v="26"/>
    <x v="11"/>
    <n v="1.63"/>
    <n v="21.45"/>
    <s v="03634220"/>
  </r>
  <r>
    <x v="166"/>
    <s v="2021-09-06"/>
    <x v="0"/>
    <x v="0"/>
    <n v="25"/>
    <x v="12"/>
    <n v="1.61"/>
    <n v="21.16"/>
    <s v="04862600"/>
  </r>
  <r>
    <x v="166"/>
    <s v="2021-09-06"/>
    <x v="0"/>
    <x v="0"/>
    <n v="24"/>
    <x v="21"/>
    <n v="1.57"/>
    <n v="20.61"/>
    <s v="03017677"/>
  </r>
  <r>
    <x v="166"/>
    <s v="2021-09-06"/>
    <x v="0"/>
    <x v="0"/>
    <n v="23"/>
    <x v="30"/>
    <n v="1.56"/>
    <n v="20.37"/>
    <s v="03502961"/>
  </r>
  <r>
    <x v="166"/>
    <s v="2021-09-06"/>
    <x v="0"/>
    <x v="0"/>
    <n v="22"/>
    <x v="19"/>
    <n v="1.55"/>
    <n v="20.21"/>
    <s v="92702067"/>
  </r>
  <r>
    <x v="166"/>
    <s v="2021-09-06"/>
    <x v="0"/>
    <x v="0"/>
    <n v="21"/>
    <x v="32"/>
    <n v="1.52"/>
    <n v="19.84"/>
    <s v="60701190"/>
  </r>
  <r>
    <x v="166"/>
    <s v="2021-09-06"/>
    <x v="0"/>
    <x v="0"/>
    <n v="20"/>
    <x v="14"/>
    <n v="1.48"/>
    <n v="19.34"/>
    <s v="00360305"/>
  </r>
  <r>
    <x v="166"/>
    <s v="2021-09-06"/>
    <x v="0"/>
    <x v="0"/>
    <n v="19"/>
    <x v="18"/>
    <n v="1.46"/>
    <n v="19.059999999999999"/>
    <s v="28127603"/>
  </r>
  <r>
    <x v="166"/>
    <s v="2021-09-06"/>
    <x v="0"/>
    <x v="0"/>
    <n v="18"/>
    <x v="29"/>
    <n v="1.44"/>
    <n v="18.73"/>
    <s v="60746948"/>
  </r>
  <r>
    <x v="166"/>
    <s v="2021-09-06"/>
    <x v="0"/>
    <x v="0"/>
    <n v="17"/>
    <x v="26"/>
    <n v="1.43"/>
    <n v="18.54"/>
    <s v="30172491"/>
  </r>
  <r>
    <x v="166"/>
    <s v="2021-09-06"/>
    <x v="0"/>
    <x v="0"/>
    <n v="16"/>
    <x v="25"/>
    <n v="1.42"/>
    <n v="18.37"/>
    <s v="59274605"/>
  </r>
  <r>
    <x v="166"/>
    <s v="2021-09-06"/>
    <x v="0"/>
    <x v="0"/>
    <n v="15"/>
    <x v="33"/>
    <n v="1.36"/>
    <n v="17.53"/>
    <s v="62307848"/>
  </r>
  <r>
    <x v="166"/>
    <s v="2021-09-06"/>
    <x v="0"/>
    <x v="0"/>
    <n v="14"/>
    <x v="23"/>
    <n v="1.35"/>
    <n v="17.420000000000002"/>
    <s v="03215790"/>
  </r>
  <r>
    <x v="166"/>
    <s v="2021-09-06"/>
    <x v="0"/>
    <x v="0"/>
    <n v="13"/>
    <x v="34"/>
    <n v="1.29"/>
    <n v="16.600000000000001"/>
    <s v="33603457"/>
  </r>
  <r>
    <x v="166"/>
    <s v="2021-09-06"/>
    <x v="0"/>
    <x v="0"/>
    <n v="12"/>
    <x v="27"/>
    <n v="1.29"/>
    <n v="16.57"/>
    <s v="00000000"/>
  </r>
  <r>
    <x v="166"/>
    <s v="2021-09-06"/>
    <x v="0"/>
    <x v="0"/>
    <n v="11"/>
    <x v="43"/>
    <n v="1.26"/>
    <n v="16.260000000000002"/>
    <s v="07441209"/>
  </r>
  <r>
    <x v="166"/>
    <s v="2021-09-06"/>
    <x v="0"/>
    <x v="0"/>
    <n v="10"/>
    <x v="31"/>
    <n v="1.26"/>
    <n v="16.25"/>
    <s v="17167412"/>
  </r>
  <r>
    <x v="166"/>
    <s v="2021-09-06"/>
    <x v="0"/>
    <x v="0"/>
    <n v="9"/>
    <x v="37"/>
    <n v="1.22"/>
    <n v="15.66"/>
    <s v="04452473"/>
  </r>
  <r>
    <x v="166"/>
    <s v="2021-09-06"/>
    <x v="0"/>
    <x v="0"/>
    <n v="8"/>
    <x v="36"/>
    <n v="1.18"/>
    <n v="15.06"/>
    <s v="33136888"/>
  </r>
  <r>
    <x v="166"/>
    <s v="2021-09-06"/>
    <x v="0"/>
    <x v="0"/>
    <n v="7"/>
    <x v="44"/>
    <n v="1.1499999999999999"/>
    <n v="14.76"/>
    <s v="58017179"/>
  </r>
  <r>
    <x v="166"/>
    <s v="2021-09-06"/>
    <x v="0"/>
    <x v="0"/>
    <n v="6"/>
    <x v="47"/>
    <n v="1.1399999999999999"/>
    <n v="14.56"/>
    <s v="28517628"/>
  </r>
  <r>
    <x v="166"/>
    <s v="2021-09-06"/>
    <x v="0"/>
    <x v="0"/>
    <n v="5"/>
    <x v="38"/>
    <n v="1.1000000000000001"/>
    <n v="14.02"/>
    <s v="60814191"/>
  </r>
  <r>
    <x v="166"/>
    <s v="2021-09-06"/>
    <x v="0"/>
    <x v="0"/>
    <n v="4"/>
    <x v="35"/>
    <n v="1.0900000000000001"/>
    <n v="13.88"/>
    <s v="59109165"/>
  </r>
  <r>
    <x v="166"/>
    <s v="2021-09-06"/>
    <x v="0"/>
    <x v="0"/>
    <n v="3"/>
    <x v="39"/>
    <n v="1.08"/>
    <n v="13.74"/>
    <s v="04902979"/>
  </r>
  <r>
    <x v="166"/>
    <s v="2021-09-06"/>
    <x v="0"/>
    <x v="0"/>
    <n v="2"/>
    <x v="22"/>
    <n v="1.04"/>
    <n v="13.23"/>
    <s v="11417016"/>
  </r>
  <r>
    <x v="166"/>
    <s v="2021-09-06"/>
    <x v="0"/>
    <x v="0"/>
    <n v="1"/>
    <x v="40"/>
    <n v="0.98"/>
    <n v="12.47"/>
    <s v="02992446"/>
  </r>
  <r>
    <x v="167"/>
    <s v="2021-09-08"/>
    <x v="0"/>
    <x v="0"/>
    <n v="44"/>
    <x v="3"/>
    <n v="3.3"/>
    <n v="47.66"/>
    <s v="05503849"/>
  </r>
  <r>
    <x v="167"/>
    <s v="2021-09-08"/>
    <x v="0"/>
    <x v="0"/>
    <n v="43"/>
    <x v="0"/>
    <n v="3.24"/>
    <n v="46.57"/>
    <s v="60850229"/>
  </r>
  <r>
    <x v="167"/>
    <s v="2021-09-08"/>
    <x v="0"/>
    <x v="0"/>
    <n v="42"/>
    <x v="1"/>
    <n v="3.21"/>
    <n v="46.07"/>
    <s v="01800019"/>
  </r>
  <r>
    <x v="167"/>
    <s v="2021-09-08"/>
    <x v="0"/>
    <x v="0"/>
    <n v="41"/>
    <x v="2"/>
    <n v="3.08"/>
    <n v="43.87"/>
    <s v="92228410"/>
  </r>
  <r>
    <x v="167"/>
    <s v="2021-09-08"/>
    <x v="0"/>
    <x v="0"/>
    <n v="40"/>
    <x v="7"/>
    <n v="3.06"/>
    <n v="43.57"/>
    <s v="92874270"/>
  </r>
  <r>
    <x v="167"/>
    <s v="2021-09-08"/>
    <x v="0"/>
    <x v="0"/>
    <n v="39"/>
    <x v="5"/>
    <n v="2.57"/>
    <n v="35.630000000000003"/>
    <s v="80271455"/>
  </r>
  <r>
    <x v="167"/>
    <s v="2021-09-08"/>
    <x v="0"/>
    <x v="0"/>
    <n v="38"/>
    <x v="4"/>
    <n v="2.5299999999999998"/>
    <n v="35.020000000000003"/>
    <s v="62232889"/>
  </r>
  <r>
    <x v="167"/>
    <s v="2021-09-08"/>
    <x v="0"/>
    <x v="0"/>
    <n v="37"/>
    <x v="42"/>
    <n v="2.5299999999999998"/>
    <n v="35"/>
    <s v="34991938"/>
  </r>
  <r>
    <x v="167"/>
    <s v="2021-09-08"/>
    <x v="0"/>
    <x v="0"/>
    <n v="36"/>
    <x v="8"/>
    <n v="2.44"/>
    <n v="33.6"/>
    <s v="59285411"/>
  </r>
  <r>
    <x v="167"/>
    <s v="2021-09-08"/>
    <x v="0"/>
    <x v="0"/>
    <n v="35"/>
    <x v="6"/>
    <n v="2.42"/>
    <n v="33.159999999999997"/>
    <s v="05676026"/>
  </r>
  <r>
    <x v="167"/>
    <s v="2021-09-08"/>
    <x v="0"/>
    <x v="0"/>
    <n v="34"/>
    <x v="9"/>
    <n v="2.34"/>
    <n v="31.91"/>
    <s v="00411939"/>
  </r>
  <r>
    <x v="167"/>
    <s v="2021-09-08"/>
    <x v="0"/>
    <x v="0"/>
    <n v="33"/>
    <x v="10"/>
    <n v="2.2000000000000002"/>
    <n v="29.76"/>
    <s v="10371492"/>
  </r>
  <r>
    <x v="167"/>
    <s v="2021-09-08"/>
    <x v="0"/>
    <x v="0"/>
    <n v="32"/>
    <x v="46"/>
    <n v="2.19"/>
    <n v="29.64"/>
    <s v="11760553"/>
  </r>
  <r>
    <x v="167"/>
    <s v="2021-09-08"/>
    <x v="0"/>
    <x v="0"/>
    <n v="31"/>
    <x v="13"/>
    <n v="1.93"/>
    <n v="25.84"/>
    <s v="07707650"/>
  </r>
  <r>
    <x v="167"/>
    <s v="2021-09-08"/>
    <x v="0"/>
    <x v="0"/>
    <n v="30"/>
    <x v="15"/>
    <n v="1.88"/>
    <n v="25.06"/>
    <s v="59588111"/>
  </r>
  <r>
    <x v="167"/>
    <s v="2021-09-08"/>
    <x v="0"/>
    <x v="0"/>
    <n v="29"/>
    <x v="19"/>
    <n v="1.77"/>
    <n v="23.49"/>
    <s v="92702067"/>
  </r>
  <r>
    <x v="167"/>
    <s v="2021-09-08"/>
    <x v="0"/>
    <x v="0"/>
    <n v="28"/>
    <x v="20"/>
    <n v="1.76"/>
    <n v="23.22"/>
    <s v="17192451"/>
  </r>
  <r>
    <x v="167"/>
    <s v="2021-09-08"/>
    <x v="0"/>
    <x v="0"/>
    <n v="27"/>
    <x v="28"/>
    <n v="1.72"/>
    <n v="22.69"/>
    <s v="90400888"/>
  </r>
  <r>
    <x v="167"/>
    <s v="2021-09-08"/>
    <x v="0"/>
    <x v="0"/>
    <n v="26"/>
    <x v="16"/>
    <n v="1.71"/>
    <n v="22.63"/>
    <s v="07207996"/>
  </r>
  <r>
    <x v="167"/>
    <s v="2021-09-08"/>
    <x v="0"/>
    <x v="0"/>
    <n v="25"/>
    <x v="24"/>
    <n v="1.71"/>
    <n v="22.54"/>
    <s v="22639377"/>
  </r>
  <r>
    <x v="167"/>
    <s v="2021-09-08"/>
    <x v="0"/>
    <x v="0"/>
    <n v="24"/>
    <x v="14"/>
    <n v="1.71"/>
    <n v="22.53"/>
    <s v="00360305"/>
  </r>
  <r>
    <x v="167"/>
    <s v="2021-09-08"/>
    <x v="0"/>
    <x v="0"/>
    <n v="23"/>
    <x v="11"/>
    <n v="1.69"/>
    <n v="22.27"/>
    <s v="03634220"/>
  </r>
  <r>
    <x v="167"/>
    <s v="2021-09-08"/>
    <x v="0"/>
    <x v="0"/>
    <n v="22"/>
    <x v="12"/>
    <n v="1.62"/>
    <n v="21.25"/>
    <s v="04862600"/>
  </r>
  <r>
    <x v="167"/>
    <s v="2021-09-08"/>
    <x v="0"/>
    <x v="0"/>
    <n v="21"/>
    <x v="21"/>
    <n v="1.59"/>
    <n v="20.78"/>
    <s v="03017677"/>
  </r>
  <r>
    <x v="167"/>
    <s v="2021-09-08"/>
    <x v="0"/>
    <x v="0"/>
    <n v="20"/>
    <x v="30"/>
    <n v="1.57"/>
    <n v="20.59"/>
    <s v="03502961"/>
  </r>
  <r>
    <x v="167"/>
    <s v="2021-09-08"/>
    <x v="0"/>
    <x v="0"/>
    <n v="19"/>
    <x v="18"/>
    <n v="1.54"/>
    <n v="20.07"/>
    <s v="28127603"/>
  </r>
  <r>
    <x v="167"/>
    <s v="2021-09-08"/>
    <x v="0"/>
    <x v="0"/>
    <n v="18"/>
    <x v="32"/>
    <n v="1.53"/>
    <n v="20.04"/>
    <s v="60701190"/>
  </r>
  <r>
    <x v="167"/>
    <s v="2021-09-08"/>
    <x v="0"/>
    <x v="0"/>
    <n v="17"/>
    <x v="29"/>
    <n v="1.45"/>
    <n v="18.899999999999999"/>
    <s v="60746948"/>
  </r>
  <r>
    <x v="167"/>
    <s v="2021-09-08"/>
    <x v="0"/>
    <x v="0"/>
    <n v="16"/>
    <x v="25"/>
    <n v="1.44"/>
    <n v="18.72"/>
    <s v="59274605"/>
  </r>
  <r>
    <x v="167"/>
    <s v="2021-09-08"/>
    <x v="0"/>
    <x v="0"/>
    <n v="15"/>
    <x v="26"/>
    <n v="1.42"/>
    <n v="18.5"/>
    <s v="30172491"/>
  </r>
  <r>
    <x v="167"/>
    <s v="2021-09-08"/>
    <x v="0"/>
    <x v="0"/>
    <n v="14"/>
    <x v="23"/>
    <n v="1.36"/>
    <n v="17.63"/>
    <s v="03215790"/>
  </r>
  <r>
    <x v="167"/>
    <s v="2021-09-08"/>
    <x v="0"/>
    <x v="0"/>
    <n v="13"/>
    <x v="33"/>
    <n v="1.36"/>
    <n v="17.559999999999999"/>
    <s v="62307848"/>
  </r>
  <r>
    <x v="167"/>
    <s v="2021-09-08"/>
    <x v="0"/>
    <x v="0"/>
    <n v="12"/>
    <x v="34"/>
    <n v="1.3"/>
    <n v="16.75"/>
    <s v="33603457"/>
  </r>
  <r>
    <x v="167"/>
    <s v="2021-09-08"/>
    <x v="0"/>
    <x v="0"/>
    <n v="11"/>
    <x v="27"/>
    <n v="1.3"/>
    <n v="16.71"/>
    <s v="00000000"/>
  </r>
  <r>
    <x v="167"/>
    <s v="2021-09-08"/>
    <x v="0"/>
    <x v="0"/>
    <n v="10"/>
    <x v="43"/>
    <n v="1.27"/>
    <n v="16.399999999999999"/>
    <s v="07441209"/>
  </r>
  <r>
    <x v="167"/>
    <s v="2021-09-08"/>
    <x v="0"/>
    <x v="0"/>
    <n v="9"/>
    <x v="31"/>
    <n v="1.27"/>
    <n v="16.34"/>
    <s v="17167412"/>
  </r>
  <r>
    <x v="167"/>
    <s v="2021-09-08"/>
    <x v="0"/>
    <x v="0"/>
    <n v="8"/>
    <x v="37"/>
    <n v="1.23"/>
    <n v="15.85"/>
    <s v="04452473"/>
  </r>
  <r>
    <x v="167"/>
    <s v="2021-09-08"/>
    <x v="0"/>
    <x v="0"/>
    <n v="7"/>
    <x v="36"/>
    <n v="1.18"/>
    <n v="15.06"/>
    <s v="33136888"/>
  </r>
  <r>
    <x v="167"/>
    <s v="2021-09-08"/>
    <x v="0"/>
    <x v="0"/>
    <n v="6"/>
    <x v="38"/>
    <n v="1.1599999999999999"/>
    <n v="14.85"/>
    <s v="60814191"/>
  </r>
  <r>
    <x v="167"/>
    <s v="2021-09-08"/>
    <x v="0"/>
    <x v="0"/>
    <n v="5"/>
    <x v="44"/>
    <n v="1.1599999999999999"/>
    <n v="14.8"/>
    <s v="58017179"/>
  </r>
  <r>
    <x v="167"/>
    <s v="2021-09-08"/>
    <x v="0"/>
    <x v="0"/>
    <n v="4"/>
    <x v="47"/>
    <n v="1.1399999999999999"/>
    <n v="14.52"/>
    <s v="28517628"/>
  </r>
  <r>
    <x v="167"/>
    <s v="2021-09-08"/>
    <x v="0"/>
    <x v="0"/>
    <n v="3"/>
    <x v="35"/>
    <n v="1.1000000000000001"/>
    <n v="13.98"/>
    <s v="59109165"/>
  </r>
  <r>
    <x v="167"/>
    <s v="2021-09-08"/>
    <x v="0"/>
    <x v="0"/>
    <n v="2"/>
    <x v="22"/>
    <n v="1.0900000000000001"/>
    <n v="13.95"/>
    <s v="11417016"/>
  </r>
  <r>
    <x v="167"/>
    <s v="2021-09-08"/>
    <x v="0"/>
    <x v="0"/>
    <n v="1"/>
    <x v="40"/>
    <n v="1"/>
    <n v="12.66"/>
    <s v="02992446"/>
  </r>
  <r>
    <x v="168"/>
    <s v="2021-09-09"/>
    <x v="0"/>
    <x v="0"/>
    <n v="44"/>
    <x v="3"/>
    <n v="3.36"/>
    <n v="48.75"/>
    <s v="05503849"/>
  </r>
  <r>
    <x v="168"/>
    <s v="2021-09-09"/>
    <x v="0"/>
    <x v="0"/>
    <n v="43"/>
    <x v="0"/>
    <n v="3.24"/>
    <n v="46.67"/>
    <s v="60850229"/>
  </r>
  <r>
    <x v="168"/>
    <s v="2021-09-09"/>
    <x v="0"/>
    <x v="0"/>
    <n v="42"/>
    <x v="1"/>
    <n v="3.22"/>
    <n v="46.33"/>
    <s v="01800019"/>
  </r>
  <r>
    <x v="168"/>
    <s v="2021-09-09"/>
    <x v="0"/>
    <x v="0"/>
    <n v="41"/>
    <x v="2"/>
    <n v="3.08"/>
    <n v="43.86"/>
    <s v="92228410"/>
  </r>
  <r>
    <x v="168"/>
    <s v="2021-09-09"/>
    <x v="0"/>
    <x v="0"/>
    <n v="40"/>
    <x v="7"/>
    <n v="3.06"/>
    <n v="43.6"/>
    <s v="92874270"/>
  </r>
  <r>
    <x v="168"/>
    <s v="2021-09-09"/>
    <x v="0"/>
    <x v="0"/>
    <n v="39"/>
    <x v="5"/>
    <n v="2.6"/>
    <n v="36.119999999999997"/>
    <s v="80271455"/>
  </r>
  <r>
    <x v="168"/>
    <s v="2021-09-09"/>
    <x v="0"/>
    <x v="0"/>
    <n v="38"/>
    <x v="4"/>
    <n v="2.54"/>
    <n v="35.049999999999997"/>
    <s v="62232889"/>
  </r>
  <r>
    <x v="168"/>
    <s v="2021-09-09"/>
    <x v="0"/>
    <x v="0"/>
    <n v="37"/>
    <x v="42"/>
    <n v="2.5099999999999998"/>
    <n v="34.630000000000003"/>
    <s v="34991938"/>
  </r>
  <r>
    <x v="168"/>
    <s v="2021-09-09"/>
    <x v="0"/>
    <x v="0"/>
    <n v="36"/>
    <x v="8"/>
    <n v="2.44"/>
    <n v="33.51"/>
    <s v="59285411"/>
  </r>
  <r>
    <x v="168"/>
    <s v="2021-09-09"/>
    <x v="0"/>
    <x v="0"/>
    <n v="35"/>
    <x v="6"/>
    <n v="2.41"/>
    <n v="33.1"/>
    <s v="05676026"/>
  </r>
  <r>
    <x v="168"/>
    <s v="2021-09-09"/>
    <x v="0"/>
    <x v="0"/>
    <n v="34"/>
    <x v="9"/>
    <n v="2.36"/>
    <n v="32.31"/>
    <s v="00411939"/>
  </r>
  <r>
    <x v="168"/>
    <s v="2021-09-09"/>
    <x v="0"/>
    <x v="0"/>
    <n v="33"/>
    <x v="46"/>
    <n v="2.19"/>
    <n v="29.64"/>
    <s v="11760553"/>
  </r>
  <r>
    <x v="168"/>
    <s v="2021-09-09"/>
    <x v="0"/>
    <x v="0"/>
    <n v="32"/>
    <x v="10"/>
    <n v="2.1800000000000002"/>
    <n v="29.51"/>
    <s v="10371492"/>
  </r>
  <r>
    <x v="168"/>
    <s v="2021-09-09"/>
    <x v="0"/>
    <x v="0"/>
    <n v="31"/>
    <x v="13"/>
    <n v="1.94"/>
    <n v="25.98"/>
    <s v="07707650"/>
  </r>
  <r>
    <x v="168"/>
    <s v="2021-09-09"/>
    <x v="0"/>
    <x v="0"/>
    <n v="30"/>
    <x v="15"/>
    <n v="1.89"/>
    <n v="25.21"/>
    <s v="59588111"/>
  </r>
  <r>
    <x v="168"/>
    <s v="2021-09-09"/>
    <x v="0"/>
    <x v="0"/>
    <n v="29"/>
    <x v="20"/>
    <n v="1.76"/>
    <n v="23.3"/>
    <s v="17192451"/>
  </r>
  <r>
    <x v="168"/>
    <s v="2021-09-09"/>
    <x v="0"/>
    <x v="0"/>
    <n v="28"/>
    <x v="16"/>
    <n v="1.73"/>
    <n v="22.92"/>
    <s v="07207996"/>
  </r>
  <r>
    <x v="168"/>
    <s v="2021-09-09"/>
    <x v="0"/>
    <x v="0"/>
    <n v="27"/>
    <x v="19"/>
    <n v="1.71"/>
    <n v="22.55"/>
    <s v="92702067"/>
  </r>
  <r>
    <x v="168"/>
    <s v="2021-09-09"/>
    <x v="0"/>
    <x v="0"/>
    <n v="26"/>
    <x v="28"/>
    <n v="1.69"/>
    <n v="22.26"/>
    <s v="90400888"/>
  </r>
  <r>
    <x v="168"/>
    <s v="2021-09-09"/>
    <x v="0"/>
    <x v="0"/>
    <n v="25"/>
    <x v="14"/>
    <n v="1.67"/>
    <n v="22.01"/>
    <s v="00360305"/>
  </r>
  <r>
    <x v="168"/>
    <s v="2021-09-09"/>
    <x v="0"/>
    <x v="0"/>
    <n v="24"/>
    <x v="24"/>
    <n v="1.67"/>
    <n v="22.01"/>
    <s v="22639377"/>
  </r>
  <r>
    <x v="168"/>
    <s v="2021-09-09"/>
    <x v="0"/>
    <x v="0"/>
    <n v="23"/>
    <x v="11"/>
    <n v="1.66"/>
    <n v="21.85"/>
    <s v="03634220"/>
  </r>
  <r>
    <x v="168"/>
    <s v="2021-09-09"/>
    <x v="0"/>
    <x v="0"/>
    <n v="22"/>
    <x v="12"/>
    <n v="1.63"/>
    <n v="21.35"/>
    <s v="04862600"/>
  </r>
  <r>
    <x v="168"/>
    <s v="2021-09-09"/>
    <x v="0"/>
    <x v="0"/>
    <n v="21"/>
    <x v="21"/>
    <n v="1.6"/>
    <n v="20.98"/>
    <s v="03017677"/>
  </r>
  <r>
    <x v="168"/>
    <s v="2021-09-09"/>
    <x v="0"/>
    <x v="0"/>
    <n v="20"/>
    <x v="32"/>
    <n v="1.54"/>
    <n v="20.059999999999999"/>
    <s v="60701190"/>
  </r>
  <r>
    <x v="168"/>
    <s v="2021-09-09"/>
    <x v="0"/>
    <x v="0"/>
    <n v="19"/>
    <x v="30"/>
    <n v="1.53"/>
    <n v="20.03"/>
    <s v="03502961"/>
  </r>
  <r>
    <x v="168"/>
    <s v="2021-09-09"/>
    <x v="0"/>
    <x v="0"/>
    <n v="18"/>
    <x v="18"/>
    <n v="1.52"/>
    <n v="19.89"/>
    <s v="28127603"/>
  </r>
  <r>
    <x v="168"/>
    <s v="2021-09-09"/>
    <x v="0"/>
    <x v="0"/>
    <n v="17"/>
    <x v="25"/>
    <n v="1.47"/>
    <n v="19.13"/>
    <s v="59274605"/>
  </r>
  <r>
    <x v="168"/>
    <s v="2021-09-09"/>
    <x v="0"/>
    <x v="0"/>
    <n v="16"/>
    <x v="29"/>
    <n v="1.46"/>
    <n v="18.98"/>
    <s v="60746948"/>
  </r>
  <r>
    <x v="168"/>
    <s v="2021-09-09"/>
    <x v="0"/>
    <x v="0"/>
    <n v="15"/>
    <x v="26"/>
    <n v="1.41"/>
    <n v="18.22"/>
    <s v="30172491"/>
  </r>
  <r>
    <x v="168"/>
    <s v="2021-09-09"/>
    <x v="0"/>
    <x v="0"/>
    <n v="14"/>
    <x v="33"/>
    <n v="1.38"/>
    <n v="17.899999999999999"/>
    <s v="62307848"/>
  </r>
  <r>
    <x v="168"/>
    <s v="2021-09-09"/>
    <x v="0"/>
    <x v="0"/>
    <n v="13"/>
    <x v="23"/>
    <n v="1.37"/>
    <n v="17.77"/>
    <s v="03215790"/>
  </r>
  <r>
    <x v="168"/>
    <s v="2021-09-09"/>
    <x v="0"/>
    <x v="0"/>
    <n v="12"/>
    <x v="27"/>
    <n v="1.31"/>
    <n v="16.89"/>
    <s v="00000000"/>
  </r>
  <r>
    <x v="168"/>
    <s v="2021-09-09"/>
    <x v="0"/>
    <x v="0"/>
    <n v="11"/>
    <x v="31"/>
    <n v="1.29"/>
    <n v="16.68"/>
    <s v="17167412"/>
  </r>
  <r>
    <x v="168"/>
    <s v="2021-09-09"/>
    <x v="0"/>
    <x v="0"/>
    <n v="10"/>
    <x v="43"/>
    <n v="1.27"/>
    <n v="16.399999999999999"/>
    <s v="07441209"/>
  </r>
  <r>
    <x v="168"/>
    <s v="2021-09-09"/>
    <x v="0"/>
    <x v="0"/>
    <n v="9"/>
    <x v="34"/>
    <n v="1.25"/>
    <n v="16.04"/>
    <s v="33603457"/>
  </r>
  <r>
    <x v="168"/>
    <s v="2021-09-09"/>
    <x v="0"/>
    <x v="0"/>
    <n v="8"/>
    <x v="37"/>
    <n v="1.23"/>
    <n v="15.84"/>
    <s v="04452473"/>
  </r>
  <r>
    <x v="168"/>
    <s v="2021-09-09"/>
    <x v="0"/>
    <x v="0"/>
    <n v="7"/>
    <x v="36"/>
    <n v="1.19"/>
    <n v="15.3"/>
    <s v="33136888"/>
  </r>
  <r>
    <x v="168"/>
    <s v="2021-09-09"/>
    <x v="0"/>
    <x v="0"/>
    <n v="6"/>
    <x v="38"/>
    <n v="1.17"/>
    <n v="14.94"/>
    <s v="60814191"/>
  </r>
  <r>
    <x v="168"/>
    <s v="2021-09-09"/>
    <x v="0"/>
    <x v="0"/>
    <n v="5"/>
    <x v="44"/>
    <n v="1.1399999999999999"/>
    <n v="14.61"/>
    <s v="58017179"/>
  </r>
  <r>
    <x v="168"/>
    <s v="2021-09-09"/>
    <x v="0"/>
    <x v="0"/>
    <n v="4"/>
    <x v="47"/>
    <n v="1.1399999999999999"/>
    <n v="14.52"/>
    <s v="28517628"/>
  </r>
  <r>
    <x v="168"/>
    <s v="2021-09-09"/>
    <x v="0"/>
    <x v="0"/>
    <n v="3"/>
    <x v="35"/>
    <n v="1.1100000000000001"/>
    <n v="14.21"/>
    <s v="59109165"/>
  </r>
  <r>
    <x v="168"/>
    <s v="2021-09-09"/>
    <x v="0"/>
    <x v="0"/>
    <n v="2"/>
    <x v="22"/>
    <n v="1.0900000000000001"/>
    <n v="13.95"/>
    <s v="11417016"/>
  </r>
  <r>
    <x v="168"/>
    <s v="2021-09-09"/>
    <x v="0"/>
    <x v="0"/>
    <n v="1"/>
    <x v="40"/>
    <n v="1.04"/>
    <n v="13.19"/>
    <s v="02992446"/>
  </r>
  <r>
    <x v="169"/>
    <s v="2021-09-10"/>
    <x v="0"/>
    <x v="0"/>
    <n v="44"/>
    <x v="3"/>
    <n v="3.38"/>
    <n v="49.01"/>
    <s v="05503849"/>
  </r>
  <r>
    <x v="169"/>
    <s v="2021-09-10"/>
    <x v="0"/>
    <x v="0"/>
    <n v="43"/>
    <x v="0"/>
    <n v="3.22"/>
    <n v="46.24"/>
    <s v="60850229"/>
  </r>
  <r>
    <x v="169"/>
    <s v="2021-09-10"/>
    <x v="0"/>
    <x v="0"/>
    <n v="42"/>
    <x v="1"/>
    <n v="3.18"/>
    <n v="45.51"/>
    <s v="01800019"/>
  </r>
  <r>
    <x v="169"/>
    <s v="2021-09-10"/>
    <x v="0"/>
    <x v="0"/>
    <n v="41"/>
    <x v="2"/>
    <n v="3.09"/>
    <n v="44"/>
    <s v="92228410"/>
  </r>
  <r>
    <x v="169"/>
    <s v="2021-09-10"/>
    <x v="0"/>
    <x v="0"/>
    <n v="40"/>
    <x v="7"/>
    <n v="3.07"/>
    <n v="43.66"/>
    <s v="92874270"/>
  </r>
  <r>
    <x v="169"/>
    <s v="2021-09-10"/>
    <x v="0"/>
    <x v="0"/>
    <n v="39"/>
    <x v="5"/>
    <n v="2.68"/>
    <n v="37.33"/>
    <s v="80271455"/>
  </r>
  <r>
    <x v="169"/>
    <s v="2021-09-10"/>
    <x v="0"/>
    <x v="0"/>
    <n v="38"/>
    <x v="4"/>
    <n v="2.54"/>
    <n v="35.08"/>
    <s v="62232889"/>
  </r>
  <r>
    <x v="169"/>
    <s v="2021-09-10"/>
    <x v="0"/>
    <x v="0"/>
    <n v="37"/>
    <x v="42"/>
    <n v="2.5099999999999998"/>
    <n v="34.58"/>
    <s v="34991938"/>
  </r>
  <r>
    <x v="169"/>
    <s v="2021-09-10"/>
    <x v="0"/>
    <x v="0"/>
    <n v="36"/>
    <x v="8"/>
    <n v="2.44"/>
    <n v="33.520000000000003"/>
    <s v="59285411"/>
  </r>
  <r>
    <x v="169"/>
    <s v="2021-09-10"/>
    <x v="0"/>
    <x v="0"/>
    <n v="35"/>
    <x v="6"/>
    <n v="2.41"/>
    <n v="33.130000000000003"/>
    <s v="05676026"/>
  </r>
  <r>
    <x v="169"/>
    <s v="2021-09-10"/>
    <x v="0"/>
    <x v="0"/>
    <n v="34"/>
    <x v="9"/>
    <n v="2.36"/>
    <n v="32.340000000000003"/>
    <s v="00411939"/>
  </r>
  <r>
    <x v="169"/>
    <s v="2021-09-10"/>
    <x v="0"/>
    <x v="0"/>
    <n v="33"/>
    <x v="10"/>
    <n v="2.16"/>
    <n v="29.29"/>
    <s v="10371492"/>
  </r>
  <r>
    <x v="169"/>
    <s v="2021-09-10"/>
    <x v="0"/>
    <x v="0"/>
    <n v="32"/>
    <x v="13"/>
    <n v="1.95"/>
    <n v="26.11"/>
    <s v="07707650"/>
  </r>
  <r>
    <x v="169"/>
    <s v="2021-09-10"/>
    <x v="0"/>
    <x v="0"/>
    <n v="31"/>
    <x v="15"/>
    <n v="1.89"/>
    <n v="25.23"/>
    <s v="59588111"/>
  </r>
  <r>
    <x v="169"/>
    <s v="2021-09-10"/>
    <x v="0"/>
    <x v="0"/>
    <n v="30"/>
    <x v="20"/>
    <n v="1.77"/>
    <n v="23.37"/>
    <s v="17192451"/>
  </r>
  <r>
    <x v="169"/>
    <s v="2021-09-10"/>
    <x v="0"/>
    <x v="0"/>
    <n v="29"/>
    <x v="16"/>
    <n v="1.75"/>
    <n v="23.1"/>
    <s v="07207996"/>
  </r>
  <r>
    <x v="169"/>
    <s v="2021-09-10"/>
    <x v="0"/>
    <x v="0"/>
    <n v="28"/>
    <x v="14"/>
    <n v="1.73"/>
    <n v="22.89"/>
    <s v="00360305"/>
  </r>
  <r>
    <x v="169"/>
    <s v="2021-09-10"/>
    <x v="0"/>
    <x v="0"/>
    <n v="27"/>
    <x v="19"/>
    <n v="1.7"/>
    <n v="22.49"/>
    <s v="92702067"/>
  </r>
  <r>
    <x v="169"/>
    <s v="2021-09-10"/>
    <x v="0"/>
    <x v="0"/>
    <n v="26"/>
    <x v="24"/>
    <n v="1.7"/>
    <n v="22.41"/>
    <s v="22639377"/>
  </r>
  <r>
    <x v="169"/>
    <s v="2021-09-10"/>
    <x v="0"/>
    <x v="0"/>
    <n v="25"/>
    <x v="11"/>
    <n v="1.68"/>
    <n v="22.13"/>
    <s v="03634220"/>
  </r>
  <r>
    <x v="169"/>
    <s v="2021-09-10"/>
    <x v="0"/>
    <x v="0"/>
    <n v="24"/>
    <x v="28"/>
    <n v="1.66"/>
    <n v="21.9"/>
    <s v="90400888"/>
  </r>
  <r>
    <x v="169"/>
    <s v="2021-09-10"/>
    <x v="0"/>
    <x v="0"/>
    <n v="23"/>
    <x v="12"/>
    <n v="1.63"/>
    <n v="21.48"/>
    <s v="04862600"/>
  </r>
  <r>
    <x v="169"/>
    <s v="2021-09-10"/>
    <x v="0"/>
    <x v="0"/>
    <n v="22"/>
    <x v="18"/>
    <n v="1.6"/>
    <n v="20.95"/>
    <s v="28127603"/>
  </r>
  <r>
    <x v="169"/>
    <s v="2021-09-10"/>
    <x v="0"/>
    <x v="0"/>
    <n v="21"/>
    <x v="21"/>
    <n v="1.6"/>
    <n v="20.91"/>
    <s v="03017677"/>
  </r>
  <r>
    <x v="169"/>
    <s v="2021-09-10"/>
    <x v="0"/>
    <x v="0"/>
    <n v="20"/>
    <x v="32"/>
    <n v="1.53"/>
    <n v="20.05"/>
    <s v="60701190"/>
  </r>
  <r>
    <x v="169"/>
    <s v="2021-09-10"/>
    <x v="0"/>
    <x v="0"/>
    <n v="19"/>
    <x v="30"/>
    <n v="1.52"/>
    <n v="19.88"/>
    <s v="03502961"/>
  </r>
  <r>
    <x v="169"/>
    <s v="2021-09-10"/>
    <x v="0"/>
    <x v="0"/>
    <n v="18"/>
    <x v="25"/>
    <n v="1.49"/>
    <n v="19.46"/>
    <s v="59274605"/>
  </r>
  <r>
    <x v="169"/>
    <s v="2021-09-10"/>
    <x v="0"/>
    <x v="0"/>
    <n v="17"/>
    <x v="29"/>
    <n v="1.47"/>
    <n v="19.100000000000001"/>
    <s v="60746948"/>
  </r>
  <r>
    <x v="169"/>
    <s v="2021-09-10"/>
    <x v="0"/>
    <x v="0"/>
    <n v="16"/>
    <x v="26"/>
    <n v="1.45"/>
    <n v="18.8"/>
    <s v="30172491"/>
  </r>
  <r>
    <x v="169"/>
    <s v="2021-09-10"/>
    <x v="0"/>
    <x v="0"/>
    <n v="15"/>
    <x v="33"/>
    <n v="1.39"/>
    <n v="18.010000000000002"/>
    <s v="62307848"/>
  </r>
  <r>
    <x v="169"/>
    <s v="2021-09-10"/>
    <x v="0"/>
    <x v="0"/>
    <n v="14"/>
    <x v="23"/>
    <n v="1.38"/>
    <n v="17.88"/>
    <s v="03215790"/>
  </r>
  <r>
    <x v="169"/>
    <s v="2021-09-10"/>
    <x v="0"/>
    <x v="0"/>
    <n v="13"/>
    <x v="27"/>
    <n v="1.32"/>
    <n v="16.989999999999998"/>
    <s v="00000000"/>
  </r>
  <r>
    <x v="169"/>
    <s v="2021-09-10"/>
    <x v="0"/>
    <x v="0"/>
    <n v="12"/>
    <x v="31"/>
    <n v="1.3"/>
    <n v="16.71"/>
    <s v="17167412"/>
  </r>
  <r>
    <x v="169"/>
    <s v="2021-09-10"/>
    <x v="0"/>
    <x v="0"/>
    <n v="11"/>
    <x v="36"/>
    <n v="1.29"/>
    <n v="16.690000000000001"/>
    <s v="33136888"/>
  </r>
  <r>
    <x v="169"/>
    <s v="2021-09-10"/>
    <x v="0"/>
    <x v="0"/>
    <n v="10"/>
    <x v="34"/>
    <n v="1.28"/>
    <n v="16.55"/>
    <s v="33603457"/>
  </r>
  <r>
    <x v="169"/>
    <s v="2021-09-10"/>
    <x v="0"/>
    <x v="0"/>
    <n v="9"/>
    <x v="43"/>
    <n v="1.28"/>
    <n v="16.510000000000002"/>
    <s v="07441209"/>
  </r>
  <r>
    <x v="169"/>
    <s v="2021-09-10"/>
    <x v="0"/>
    <x v="0"/>
    <n v="8"/>
    <x v="37"/>
    <n v="1.23"/>
    <n v="15.84"/>
    <s v="04452473"/>
  </r>
  <r>
    <x v="169"/>
    <s v="2021-09-10"/>
    <x v="0"/>
    <x v="0"/>
    <n v="7"/>
    <x v="38"/>
    <n v="1.2"/>
    <n v="15.34"/>
    <s v="60814191"/>
  </r>
  <r>
    <x v="169"/>
    <s v="2021-09-10"/>
    <x v="0"/>
    <x v="0"/>
    <n v="6"/>
    <x v="44"/>
    <n v="1.1499999999999999"/>
    <n v="14.72"/>
    <s v="58017179"/>
  </r>
  <r>
    <x v="169"/>
    <s v="2021-09-10"/>
    <x v="0"/>
    <x v="0"/>
    <n v="5"/>
    <x v="47"/>
    <n v="1.1399999999999999"/>
    <n v="14.52"/>
    <s v="28517628"/>
  </r>
  <r>
    <x v="169"/>
    <s v="2021-09-10"/>
    <x v="0"/>
    <x v="0"/>
    <n v="4"/>
    <x v="35"/>
    <n v="1.1200000000000001"/>
    <n v="14.28"/>
    <s v="59109165"/>
  </r>
  <r>
    <x v="169"/>
    <s v="2021-09-10"/>
    <x v="0"/>
    <x v="0"/>
    <n v="3"/>
    <x v="39"/>
    <n v="1.08"/>
    <n v="13.74"/>
    <s v="04902979"/>
  </r>
  <r>
    <x v="169"/>
    <s v="2021-09-10"/>
    <x v="0"/>
    <x v="0"/>
    <n v="2"/>
    <x v="40"/>
    <n v="1.03"/>
    <n v="13.14"/>
    <s v="02992446"/>
  </r>
  <r>
    <x v="169"/>
    <s v="2021-09-10"/>
    <x v="0"/>
    <x v="0"/>
    <n v="1"/>
    <x v="22"/>
    <n v="1.01"/>
    <n v="12.78"/>
    <s v="11417016"/>
  </r>
  <r>
    <x v="170"/>
    <s v="2021-09-13"/>
    <x v="0"/>
    <x v="0"/>
    <n v="43"/>
    <x v="3"/>
    <n v="3.41"/>
    <n v="49.47"/>
    <s v="05503849"/>
  </r>
  <r>
    <x v="170"/>
    <s v="2021-09-13"/>
    <x v="0"/>
    <x v="0"/>
    <n v="42"/>
    <x v="1"/>
    <n v="3.3"/>
    <n v="47.67"/>
    <s v="01800019"/>
  </r>
  <r>
    <x v="170"/>
    <s v="2021-09-13"/>
    <x v="0"/>
    <x v="0"/>
    <n v="41"/>
    <x v="0"/>
    <n v="3.26"/>
    <n v="47.02"/>
    <s v="60850229"/>
  </r>
  <r>
    <x v="170"/>
    <s v="2021-09-13"/>
    <x v="0"/>
    <x v="0"/>
    <n v="40"/>
    <x v="7"/>
    <n v="3.06"/>
    <n v="43.55"/>
    <s v="92874270"/>
  </r>
  <r>
    <x v="170"/>
    <s v="2021-09-13"/>
    <x v="0"/>
    <x v="0"/>
    <n v="39"/>
    <x v="2"/>
    <n v="3.06"/>
    <n v="43.51"/>
    <s v="92228410"/>
  </r>
  <r>
    <x v="170"/>
    <s v="2021-09-13"/>
    <x v="0"/>
    <x v="0"/>
    <n v="38"/>
    <x v="5"/>
    <n v="2.66"/>
    <n v="37.090000000000003"/>
    <s v="80271455"/>
  </r>
  <r>
    <x v="170"/>
    <s v="2021-09-13"/>
    <x v="0"/>
    <x v="0"/>
    <n v="37"/>
    <x v="4"/>
    <n v="2.54"/>
    <n v="35.04"/>
    <s v="62232889"/>
  </r>
  <r>
    <x v="170"/>
    <s v="2021-09-13"/>
    <x v="0"/>
    <x v="0"/>
    <n v="36"/>
    <x v="42"/>
    <n v="2.4900000000000002"/>
    <n v="34.340000000000003"/>
    <s v="34991938"/>
  </r>
  <r>
    <x v="170"/>
    <s v="2021-09-13"/>
    <x v="0"/>
    <x v="0"/>
    <n v="35"/>
    <x v="8"/>
    <n v="2.4300000000000002"/>
    <n v="33.369999999999997"/>
    <s v="59285411"/>
  </r>
  <r>
    <x v="170"/>
    <s v="2021-09-13"/>
    <x v="0"/>
    <x v="0"/>
    <n v="34"/>
    <x v="6"/>
    <n v="2.41"/>
    <n v="33.130000000000003"/>
    <s v="05676026"/>
  </r>
  <r>
    <x v="170"/>
    <s v="2021-09-13"/>
    <x v="0"/>
    <x v="0"/>
    <n v="33"/>
    <x v="9"/>
    <n v="2.34"/>
    <n v="32"/>
    <s v="00411939"/>
  </r>
  <r>
    <x v="170"/>
    <s v="2021-09-13"/>
    <x v="0"/>
    <x v="0"/>
    <n v="32"/>
    <x v="10"/>
    <n v="2.16"/>
    <n v="29.18"/>
    <s v="10371492"/>
  </r>
  <r>
    <x v="170"/>
    <s v="2021-09-13"/>
    <x v="0"/>
    <x v="0"/>
    <n v="31"/>
    <x v="13"/>
    <n v="1.95"/>
    <n v="26.13"/>
    <s v="07707650"/>
  </r>
  <r>
    <x v="170"/>
    <s v="2021-09-13"/>
    <x v="0"/>
    <x v="0"/>
    <n v="30"/>
    <x v="15"/>
    <n v="1.89"/>
    <n v="25.24"/>
    <s v="59588111"/>
  </r>
  <r>
    <x v="170"/>
    <s v="2021-09-13"/>
    <x v="0"/>
    <x v="0"/>
    <n v="29"/>
    <x v="20"/>
    <n v="1.77"/>
    <n v="23.38"/>
    <s v="17192451"/>
  </r>
  <r>
    <x v="170"/>
    <s v="2021-09-13"/>
    <x v="0"/>
    <x v="0"/>
    <n v="28"/>
    <x v="16"/>
    <n v="1.76"/>
    <n v="23.29"/>
    <s v="07207996"/>
  </r>
  <r>
    <x v="170"/>
    <s v="2021-09-13"/>
    <x v="0"/>
    <x v="0"/>
    <n v="27"/>
    <x v="14"/>
    <n v="1.74"/>
    <n v="22.98"/>
    <s v="00360305"/>
  </r>
  <r>
    <x v="170"/>
    <s v="2021-09-13"/>
    <x v="0"/>
    <x v="0"/>
    <n v="26"/>
    <x v="24"/>
    <n v="1.74"/>
    <n v="22.96"/>
    <s v="22639377"/>
  </r>
  <r>
    <x v="170"/>
    <s v="2021-09-13"/>
    <x v="0"/>
    <x v="0"/>
    <n v="25"/>
    <x v="19"/>
    <n v="1.7"/>
    <n v="22.49"/>
    <s v="92702067"/>
  </r>
  <r>
    <x v="170"/>
    <s v="2021-09-13"/>
    <x v="0"/>
    <x v="0"/>
    <n v="24"/>
    <x v="28"/>
    <n v="1.66"/>
    <n v="21.87"/>
    <s v="90400888"/>
  </r>
  <r>
    <x v="170"/>
    <s v="2021-09-13"/>
    <x v="0"/>
    <x v="0"/>
    <n v="23"/>
    <x v="11"/>
    <n v="1.66"/>
    <n v="21.82"/>
    <s v="03634220"/>
  </r>
  <r>
    <x v="170"/>
    <s v="2021-09-13"/>
    <x v="0"/>
    <x v="0"/>
    <n v="22"/>
    <x v="12"/>
    <n v="1.64"/>
    <n v="21.61"/>
    <s v="04862600"/>
  </r>
  <r>
    <x v="170"/>
    <s v="2021-09-13"/>
    <x v="0"/>
    <x v="0"/>
    <n v="21"/>
    <x v="18"/>
    <n v="1.61"/>
    <n v="21.13"/>
    <s v="28127603"/>
  </r>
  <r>
    <x v="170"/>
    <s v="2021-09-13"/>
    <x v="0"/>
    <x v="0"/>
    <n v="20"/>
    <x v="21"/>
    <n v="1.6"/>
    <n v="21.02"/>
    <s v="03017677"/>
  </r>
  <r>
    <x v="170"/>
    <s v="2021-09-13"/>
    <x v="0"/>
    <x v="0"/>
    <n v="19"/>
    <x v="32"/>
    <n v="1.55"/>
    <n v="20.239999999999998"/>
    <s v="60701190"/>
  </r>
  <r>
    <x v="170"/>
    <s v="2021-09-13"/>
    <x v="0"/>
    <x v="0"/>
    <n v="18"/>
    <x v="30"/>
    <n v="1.54"/>
    <n v="20.09"/>
    <s v="03502961"/>
  </r>
  <r>
    <x v="170"/>
    <s v="2021-09-13"/>
    <x v="0"/>
    <x v="0"/>
    <n v="17"/>
    <x v="25"/>
    <n v="1.53"/>
    <n v="19.920000000000002"/>
    <s v="59274605"/>
  </r>
  <r>
    <x v="170"/>
    <s v="2021-09-13"/>
    <x v="0"/>
    <x v="0"/>
    <n v="16"/>
    <x v="29"/>
    <n v="1.48"/>
    <n v="19.32"/>
    <s v="60746948"/>
  </r>
  <r>
    <x v="170"/>
    <s v="2021-09-13"/>
    <x v="0"/>
    <x v="0"/>
    <n v="15"/>
    <x v="26"/>
    <n v="1.45"/>
    <n v="18.89"/>
    <s v="30172491"/>
  </r>
  <r>
    <x v="170"/>
    <s v="2021-09-13"/>
    <x v="0"/>
    <x v="0"/>
    <n v="14"/>
    <x v="23"/>
    <n v="1.38"/>
    <n v="17.93"/>
    <s v="03215790"/>
  </r>
  <r>
    <x v="170"/>
    <s v="2021-09-13"/>
    <x v="0"/>
    <x v="0"/>
    <n v="13"/>
    <x v="33"/>
    <n v="1.38"/>
    <n v="17.920000000000002"/>
    <s v="62307848"/>
  </r>
  <r>
    <x v="170"/>
    <s v="2021-09-13"/>
    <x v="0"/>
    <x v="0"/>
    <n v="12"/>
    <x v="36"/>
    <n v="1.32"/>
    <n v="17.03"/>
    <s v="33136888"/>
  </r>
  <r>
    <x v="170"/>
    <s v="2021-09-13"/>
    <x v="0"/>
    <x v="0"/>
    <n v="11"/>
    <x v="27"/>
    <n v="1.31"/>
    <n v="16.95"/>
    <s v="00000000"/>
  </r>
  <r>
    <x v="170"/>
    <s v="2021-09-13"/>
    <x v="0"/>
    <x v="0"/>
    <n v="10"/>
    <x v="31"/>
    <n v="1.31"/>
    <n v="16.920000000000002"/>
    <s v="17167412"/>
  </r>
  <r>
    <x v="170"/>
    <s v="2021-09-13"/>
    <x v="0"/>
    <x v="0"/>
    <n v="9"/>
    <x v="34"/>
    <n v="1.28"/>
    <n v="16.489999999999998"/>
    <s v="33603457"/>
  </r>
  <r>
    <x v="170"/>
    <s v="2021-09-13"/>
    <x v="0"/>
    <x v="0"/>
    <n v="8"/>
    <x v="37"/>
    <n v="1.24"/>
    <n v="15.87"/>
    <s v="04452473"/>
  </r>
  <r>
    <x v="170"/>
    <s v="2021-09-13"/>
    <x v="0"/>
    <x v="0"/>
    <n v="7"/>
    <x v="38"/>
    <n v="1.22"/>
    <n v="15.69"/>
    <s v="60814191"/>
  </r>
  <r>
    <x v="170"/>
    <s v="2021-09-13"/>
    <x v="0"/>
    <x v="0"/>
    <n v="6"/>
    <x v="44"/>
    <n v="1.1399999999999999"/>
    <n v="14.52"/>
    <s v="58017179"/>
  </r>
  <r>
    <x v="170"/>
    <s v="2021-09-13"/>
    <x v="0"/>
    <x v="0"/>
    <n v="5"/>
    <x v="35"/>
    <n v="1.1299999999999999"/>
    <n v="14.38"/>
    <s v="59109165"/>
  </r>
  <r>
    <x v="170"/>
    <s v="2021-09-13"/>
    <x v="0"/>
    <x v="0"/>
    <n v="4"/>
    <x v="39"/>
    <n v="1.08"/>
    <n v="13.74"/>
    <s v="04902979"/>
  </r>
  <r>
    <x v="170"/>
    <s v="2021-09-13"/>
    <x v="0"/>
    <x v="0"/>
    <n v="3"/>
    <x v="53"/>
    <n v="1.07"/>
    <n v="13.59"/>
    <s v="31872495"/>
  </r>
  <r>
    <x v="170"/>
    <s v="2021-09-13"/>
    <x v="0"/>
    <x v="0"/>
    <n v="2"/>
    <x v="40"/>
    <n v="1.06"/>
    <n v="13.42"/>
    <s v="02992446"/>
  </r>
  <r>
    <x v="170"/>
    <s v="2021-09-13"/>
    <x v="0"/>
    <x v="0"/>
    <n v="1"/>
    <x v="22"/>
    <n v="1.01"/>
    <n v="12.82"/>
    <s v="11417016"/>
  </r>
  <r>
    <x v="171"/>
    <s v="2021-09-14"/>
    <x v="0"/>
    <x v="0"/>
    <n v="43"/>
    <x v="3"/>
    <n v="3.41"/>
    <n v="49.59"/>
    <s v="05503849"/>
  </r>
  <r>
    <x v="171"/>
    <s v="2021-09-14"/>
    <x v="0"/>
    <x v="0"/>
    <n v="42"/>
    <x v="1"/>
    <n v="3.29"/>
    <n v="47.49"/>
    <s v="01800019"/>
  </r>
  <r>
    <x v="171"/>
    <s v="2021-09-14"/>
    <x v="0"/>
    <x v="0"/>
    <n v="41"/>
    <x v="0"/>
    <n v="3.25"/>
    <n v="46.84"/>
    <s v="60850229"/>
  </r>
  <r>
    <x v="171"/>
    <s v="2021-09-14"/>
    <x v="0"/>
    <x v="0"/>
    <n v="40"/>
    <x v="7"/>
    <n v="3.05"/>
    <n v="43.37"/>
    <s v="92874270"/>
  </r>
  <r>
    <x v="171"/>
    <s v="2021-09-14"/>
    <x v="0"/>
    <x v="0"/>
    <n v="39"/>
    <x v="2"/>
    <n v="3.05"/>
    <n v="43.32"/>
    <s v="92228410"/>
  </r>
  <r>
    <x v="171"/>
    <s v="2021-09-14"/>
    <x v="0"/>
    <x v="0"/>
    <n v="38"/>
    <x v="5"/>
    <n v="2.65"/>
    <n v="36.79"/>
    <s v="80271455"/>
  </r>
  <r>
    <x v="171"/>
    <s v="2021-09-14"/>
    <x v="0"/>
    <x v="0"/>
    <n v="37"/>
    <x v="4"/>
    <n v="2.5299999999999998"/>
    <n v="34.97"/>
    <s v="62232889"/>
  </r>
  <r>
    <x v="171"/>
    <s v="2021-09-14"/>
    <x v="0"/>
    <x v="0"/>
    <n v="36"/>
    <x v="42"/>
    <n v="2.5099999999999998"/>
    <n v="34.6"/>
    <s v="34991938"/>
  </r>
  <r>
    <x v="171"/>
    <s v="2021-09-14"/>
    <x v="0"/>
    <x v="0"/>
    <n v="35"/>
    <x v="8"/>
    <n v="2.44"/>
    <n v="33.49"/>
    <s v="59285411"/>
  </r>
  <r>
    <x v="171"/>
    <s v="2021-09-14"/>
    <x v="0"/>
    <x v="0"/>
    <n v="34"/>
    <x v="6"/>
    <n v="2.41"/>
    <n v="33.11"/>
    <s v="05676026"/>
  </r>
  <r>
    <x v="171"/>
    <s v="2021-09-14"/>
    <x v="0"/>
    <x v="0"/>
    <n v="33"/>
    <x v="9"/>
    <n v="2.36"/>
    <n v="32.340000000000003"/>
    <s v="00411939"/>
  </r>
  <r>
    <x v="171"/>
    <s v="2021-09-14"/>
    <x v="0"/>
    <x v="0"/>
    <n v="32"/>
    <x v="10"/>
    <n v="2.15"/>
    <n v="29.09"/>
    <s v="10371492"/>
  </r>
  <r>
    <x v="171"/>
    <s v="2021-09-14"/>
    <x v="0"/>
    <x v="0"/>
    <n v="31"/>
    <x v="13"/>
    <n v="1.95"/>
    <n v="26.12"/>
    <s v="07707650"/>
  </r>
  <r>
    <x v="171"/>
    <s v="2021-09-14"/>
    <x v="0"/>
    <x v="0"/>
    <n v="30"/>
    <x v="15"/>
    <n v="1.89"/>
    <n v="25.24"/>
    <s v="59588111"/>
  </r>
  <r>
    <x v="171"/>
    <s v="2021-09-14"/>
    <x v="0"/>
    <x v="0"/>
    <n v="29"/>
    <x v="16"/>
    <n v="1.77"/>
    <n v="23.43"/>
    <s v="07207996"/>
  </r>
  <r>
    <x v="171"/>
    <s v="2021-09-14"/>
    <x v="0"/>
    <x v="0"/>
    <n v="28"/>
    <x v="20"/>
    <n v="1.76"/>
    <n v="23.29"/>
    <s v="17192451"/>
  </r>
  <r>
    <x v="171"/>
    <s v="2021-09-14"/>
    <x v="0"/>
    <x v="0"/>
    <n v="27"/>
    <x v="24"/>
    <n v="1.74"/>
    <n v="22.95"/>
    <s v="22639377"/>
  </r>
  <r>
    <x v="171"/>
    <s v="2021-09-14"/>
    <x v="0"/>
    <x v="0"/>
    <n v="26"/>
    <x v="19"/>
    <n v="1.7"/>
    <n v="22.49"/>
    <s v="92702067"/>
  </r>
  <r>
    <x v="171"/>
    <s v="2021-09-14"/>
    <x v="0"/>
    <x v="0"/>
    <n v="25"/>
    <x v="28"/>
    <n v="1.68"/>
    <n v="22.09"/>
    <s v="90400888"/>
  </r>
  <r>
    <x v="171"/>
    <s v="2021-09-14"/>
    <x v="0"/>
    <x v="0"/>
    <n v="24"/>
    <x v="18"/>
    <n v="1.68"/>
    <n v="22.09"/>
    <s v="28127603"/>
  </r>
  <r>
    <x v="171"/>
    <s v="2021-09-14"/>
    <x v="0"/>
    <x v="0"/>
    <n v="23"/>
    <x v="12"/>
    <n v="1.65"/>
    <n v="21.74"/>
    <s v="04862600"/>
  </r>
  <r>
    <x v="171"/>
    <s v="2021-09-14"/>
    <x v="0"/>
    <x v="0"/>
    <n v="22"/>
    <x v="11"/>
    <n v="1.6"/>
    <n v="21.02"/>
    <s v="03634220"/>
  </r>
  <r>
    <x v="171"/>
    <s v="2021-09-14"/>
    <x v="0"/>
    <x v="0"/>
    <n v="21"/>
    <x v="14"/>
    <n v="1.6"/>
    <n v="20.96"/>
    <s v="00360305"/>
  </r>
  <r>
    <x v="171"/>
    <s v="2021-09-14"/>
    <x v="0"/>
    <x v="0"/>
    <n v="20"/>
    <x v="21"/>
    <n v="1.6"/>
    <n v="20.95"/>
    <s v="03017677"/>
  </r>
  <r>
    <x v="171"/>
    <s v="2021-09-14"/>
    <x v="0"/>
    <x v="0"/>
    <n v="19"/>
    <x v="30"/>
    <n v="1.56"/>
    <n v="20.36"/>
    <s v="03502961"/>
  </r>
  <r>
    <x v="171"/>
    <s v="2021-09-14"/>
    <x v="0"/>
    <x v="0"/>
    <n v="18"/>
    <x v="25"/>
    <n v="1.56"/>
    <n v="20.36"/>
    <s v="59274605"/>
  </r>
  <r>
    <x v="171"/>
    <s v="2021-09-14"/>
    <x v="0"/>
    <x v="0"/>
    <n v="17"/>
    <x v="32"/>
    <n v="1.54"/>
    <n v="20.100000000000001"/>
    <s v="60701190"/>
  </r>
  <r>
    <x v="171"/>
    <s v="2021-09-14"/>
    <x v="0"/>
    <x v="0"/>
    <n v="16"/>
    <x v="29"/>
    <n v="1.5"/>
    <n v="19.600000000000001"/>
    <s v="60746948"/>
  </r>
  <r>
    <x v="171"/>
    <s v="2021-09-14"/>
    <x v="0"/>
    <x v="0"/>
    <n v="15"/>
    <x v="26"/>
    <n v="1.49"/>
    <n v="19.37"/>
    <s v="30172491"/>
  </r>
  <r>
    <x v="171"/>
    <s v="2021-09-14"/>
    <x v="0"/>
    <x v="0"/>
    <n v="14"/>
    <x v="23"/>
    <n v="1.38"/>
    <n v="17.829999999999998"/>
    <s v="03215790"/>
  </r>
  <r>
    <x v="171"/>
    <s v="2021-09-14"/>
    <x v="0"/>
    <x v="0"/>
    <n v="13"/>
    <x v="33"/>
    <n v="1.37"/>
    <n v="17.8"/>
    <s v="62307848"/>
  </r>
  <r>
    <x v="171"/>
    <s v="2021-09-14"/>
    <x v="0"/>
    <x v="0"/>
    <n v="12"/>
    <x v="31"/>
    <n v="1.32"/>
    <n v="17.010000000000002"/>
    <s v="17167412"/>
  </r>
  <r>
    <x v="171"/>
    <s v="2021-09-14"/>
    <x v="0"/>
    <x v="0"/>
    <n v="11"/>
    <x v="27"/>
    <n v="1.29"/>
    <n v="16.66"/>
    <s v="00000000"/>
  </r>
  <r>
    <x v="171"/>
    <s v="2021-09-14"/>
    <x v="0"/>
    <x v="0"/>
    <n v="10"/>
    <x v="34"/>
    <n v="1.28"/>
    <n v="16.440000000000001"/>
    <s v="33603457"/>
  </r>
  <r>
    <x v="171"/>
    <s v="2021-09-14"/>
    <x v="0"/>
    <x v="0"/>
    <n v="9"/>
    <x v="37"/>
    <n v="1.24"/>
    <n v="15.87"/>
    <s v="04452473"/>
  </r>
  <r>
    <x v="171"/>
    <s v="2021-09-14"/>
    <x v="0"/>
    <x v="0"/>
    <n v="8"/>
    <x v="35"/>
    <n v="1.1200000000000001"/>
    <n v="14.35"/>
    <s v="59109165"/>
  </r>
  <r>
    <x v="171"/>
    <s v="2021-09-14"/>
    <x v="0"/>
    <x v="0"/>
    <n v="7"/>
    <x v="38"/>
    <n v="1.1200000000000001"/>
    <n v="14.32"/>
    <s v="60814191"/>
  </r>
  <r>
    <x v="171"/>
    <s v="2021-09-14"/>
    <x v="0"/>
    <x v="0"/>
    <n v="6"/>
    <x v="39"/>
    <n v="1.08"/>
    <n v="13.74"/>
    <s v="04902979"/>
  </r>
  <r>
    <x v="171"/>
    <s v="2021-09-14"/>
    <x v="0"/>
    <x v="0"/>
    <n v="5"/>
    <x v="36"/>
    <n v="1.08"/>
    <n v="13.7"/>
    <s v="33136888"/>
  </r>
  <r>
    <x v="171"/>
    <s v="2021-09-14"/>
    <x v="0"/>
    <x v="0"/>
    <n v="4"/>
    <x v="53"/>
    <n v="1.07"/>
    <n v="13.59"/>
    <s v="31872495"/>
  </r>
  <r>
    <x v="171"/>
    <s v="2021-09-14"/>
    <x v="0"/>
    <x v="0"/>
    <n v="3"/>
    <x v="40"/>
    <n v="1.05"/>
    <n v="13.41"/>
    <s v="02992446"/>
  </r>
  <r>
    <x v="171"/>
    <s v="2021-09-14"/>
    <x v="0"/>
    <x v="0"/>
    <n v="2"/>
    <x v="44"/>
    <n v="1.04"/>
    <n v="13.28"/>
    <s v="58017179"/>
  </r>
  <r>
    <x v="171"/>
    <s v="2021-09-14"/>
    <x v="0"/>
    <x v="0"/>
    <n v="1"/>
    <x v="22"/>
    <n v="1"/>
    <n v="12.66"/>
    <s v="11417016"/>
  </r>
  <r>
    <x v="172"/>
    <s v="2021-09-15"/>
    <x v="0"/>
    <x v="0"/>
    <n v="43"/>
    <x v="3"/>
    <n v="3.39"/>
    <n v="49.2"/>
    <s v="05503849"/>
  </r>
  <r>
    <x v="172"/>
    <s v="2021-09-15"/>
    <x v="0"/>
    <x v="0"/>
    <n v="42"/>
    <x v="0"/>
    <n v="3.28"/>
    <n v="47.28"/>
    <s v="60850229"/>
  </r>
  <r>
    <x v="172"/>
    <s v="2021-09-15"/>
    <x v="0"/>
    <x v="0"/>
    <n v="41"/>
    <x v="1"/>
    <n v="3.2"/>
    <n v="45.95"/>
    <s v="01800019"/>
  </r>
  <r>
    <x v="172"/>
    <s v="2021-09-15"/>
    <x v="0"/>
    <x v="0"/>
    <n v="40"/>
    <x v="7"/>
    <n v="3.06"/>
    <n v="43.55"/>
    <s v="92874270"/>
  </r>
  <r>
    <x v="172"/>
    <s v="2021-09-15"/>
    <x v="0"/>
    <x v="0"/>
    <n v="39"/>
    <x v="2"/>
    <n v="3.04"/>
    <n v="43.21"/>
    <s v="92228410"/>
  </r>
  <r>
    <x v="172"/>
    <s v="2021-09-15"/>
    <x v="0"/>
    <x v="0"/>
    <n v="38"/>
    <x v="5"/>
    <n v="2.59"/>
    <n v="35.869999999999997"/>
    <s v="80271455"/>
  </r>
  <r>
    <x v="172"/>
    <s v="2021-09-15"/>
    <x v="0"/>
    <x v="0"/>
    <n v="37"/>
    <x v="4"/>
    <n v="2.5299999999999998"/>
    <n v="34.99"/>
    <s v="62232889"/>
  </r>
  <r>
    <x v="172"/>
    <s v="2021-09-15"/>
    <x v="0"/>
    <x v="0"/>
    <n v="36"/>
    <x v="42"/>
    <n v="2.46"/>
    <n v="33.82"/>
    <s v="34991938"/>
  </r>
  <r>
    <x v="172"/>
    <s v="2021-09-15"/>
    <x v="0"/>
    <x v="0"/>
    <n v="35"/>
    <x v="8"/>
    <n v="2.4300000000000002"/>
    <n v="33.42"/>
    <s v="59285411"/>
  </r>
  <r>
    <x v="172"/>
    <s v="2021-09-15"/>
    <x v="0"/>
    <x v="0"/>
    <n v="34"/>
    <x v="6"/>
    <n v="2.41"/>
    <n v="33.130000000000003"/>
    <s v="05676026"/>
  </r>
  <r>
    <x v="172"/>
    <s v="2021-09-15"/>
    <x v="0"/>
    <x v="0"/>
    <n v="33"/>
    <x v="9"/>
    <n v="2.37"/>
    <n v="32.49"/>
    <s v="00411939"/>
  </r>
  <r>
    <x v="172"/>
    <s v="2021-09-15"/>
    <x v="0"/>
    <x v="0"/>
    <n v="32"/>
    <x v="10"/>
    <n v="2.16"/>
    <n v="29.18"/>
    <s v="10371492"/>
  </r>
  <r>
    <x v="172"/>
    <s v="2021-09-15"/>
    <x v="0"/>
    <x v="0"/>
    <n v="31"/>
    <x v="13"/>
    <n v="1.96"/>
    <n v="26.24"/>
    <s v="07707650"/>
  </r>
  <r>
    <x v="172"/>
    <s v="2021-09-15"/>
    <x v="0"/>
    <x v="0"/>
    <n v="30"/>
    <x v="15"/>
    <n v="1.89"/>
    <n v="25.26"/>
    <s v="59588111"/>
  </r>
  <r>
    <x v="172"/>
    <s v="2021-09-15"/>
    <x v="0"/>
    <x v="0"/>
    <n v="29"/>
    <x v="16"/>
    <n v="1.77"/>
    <n v="23.48"/>
    <s v="07207996"/>
  </r>
  <r>
    <x v="172"/>
    <s v="2021-09-15"/>
    <x v="0"/>
    <x v="0"/>
    <n v="28"/>
    <x v="20"/>
    <n v="1.76"/>
    <n v="23.24"/>
    <s v="17192451"/>
  </r>
  <r>
    <x v="172"/>
    <s v="2021-09-15"/>
    <x v="0"/>
    <x v="0"/>
    <n v="27"/>
    <x v="24"/>
    <n v="1.75"/>
    <n v="23.13"/>
    <s v="22639377"/>
  </r>
  <r>
    <x v="172"/>
    <s v="2021-09-15"/>
    <x v="0"/>
    <x v="0"/>
    <n v="26"/>
    <x v="28"/>
    <n v="1.68"/>
    <n v="22.17"/>
    <s v="90400888"/>
  </r>
  <r>
    <x v="172"/>
    <s v="2021-09-15"/>
    <x v="0"/>
    <x v="0"/>
    <n v="25"/>
    <x v="18"/>
    <n v="1.67"/>
    <n v="21.97"/>
    <s v="28127603"/>
  </r>
  <r>
    <x v="172"/>
    <s v="2021-09-15"/>
    <x v="0"/>
    <x v="0"/>
    <n v="24"/>
    <x v="12"/>
    <n v="1.66"/>
    <n v="21.8"/>
    <s v="04862600"/>
  </r>
  <r>
    <x v="172"/>
    <s v="2021-09-15"/>
    <x v="0"/>
    <x v="0"/>
    <n v="23"/>
    <x v="19"/>
    <n v="1.64"/>
    <n v="21.57"/>
    <s v="92702067"/>
  </r>
  <r>
    <x v="172"/>
    <s v="2021-09-15"/>
    <x v="0"/>
    <x v="0"/>
    <n v="22"/>
    <x v="21"/>
    <n v="1.6"/>
    <n v="20.91"/>
    <s v="03017677"/>
  </r>
  <r>
    <x v="172"/>
    <s v="2021-09-15"/>
    <x v="0"/>
    <x v="0"/>
    <n v="21"/>
    <x v="11"/>
    <n v="1.59"/>
    <n v="20.9"/>
    <s v="03634220"/>
  </r>
  <r>
    <x v="172"/>
    <s v="2021-09-15"/>
    <x v="0"/>
    <x v="0"/>
    <n v="20"/>
    <x v="30"/>
    <n v="1.57"/>
    <n v="20.61"/>
    <s v="03502961"/>
  </r>
  <r>
    <x v="172"/>
    <s v="2021-09-15"/>
    <x v="0"/>
    <x v="0"/>
    <n v="19"/>
    <x v="14"/>
    <n v="1.57"/>
    <n v="20.6"/>
    <s v="00360305"/>
  </r>
  <r>
    <x v="172"/>
    <s v="2021-09-15"/>
    <x v="0"/>
    <x v="0"/>
    <n v="18"/>
    <x v="25"/>
    <n v="1.56"/>
    <n v="20.36"/>
    <s v="59274605"/>
  </r>
  <r>
    <x v="172"/>
    <s v="2021-09-15"/>
    <x v="0"/>
    <x v="0"/>
    <n v="17"/>
    <x v="32"/>
    <n v="1.54"/>
    <n v="20.11"/>
    <s v="60701190"/>
  </r>
  <r>
    <x v="172"/>
    <s v="2021-09-15"/>
    <x v="0"/>
    <x v="0"/>
    <n v="16"/>
    <x v="29"/>
    <n v="1.51"/>
    <n v="19.71"/>
    <s v="60746948"/>
  </r>
  <r>
    <x v="172"/>
    <s v="2021-09-15"/>
    <x v="0"/>
    <x v="0"/>
    <n v="15"/>
    <x v="26"/>
    <n v="1.5"/>
    <n v="19.559999999999999"/>
    <s v="30172491"/>
  </r>
  <r>
    <x v="172"/>
    <s v="2021-09-15"/>
    <x v="0"/>
    <x v="0"/>
    <n v="14"/>
    <x v="23"/>
    <n v="1.37"/>
    <n v="17.77"/>
    <s v="03215790"/>
  </r>
  <r>
    <x v="172"/>
    <s v="2021-09-15"/>
    <x v="0"/>
    <x v="0"/>
    <n v="13"/>
    <x v="33"/>
    <n v="1.37"/>
    <n v="17.760000000000002"/>
    <s v="62307848"/>
  </r>
  <r>
    <x v="172"/>
    <s v="2021-09-15"/>
    <x v="0"/>
    <x v="0"/>
    <n v="12"/>
    <x v="31"/>
    <n v="1.33"/>
    <n v="17.11"/>
    <s v="17167412"/>
  </r>
  <r>
    <x v="172"/>
    <s v="2021-09-15"/>
    <x v="0"/>
    <x v="0"/>
    <n v="11"/>
    <x v="27"/>
    <n v="1.3"/>
    <n v="16.73"/>
    <s v="00000000"/>
  </r>
  <r>
    <x v="172"/>
    <s v="2021-09-15"/>
    <x v="0"/>
    <x v="0"/>
    <n v="10"/>
    <x v="34"/>
    <n v="1.27"/>
    <n v="16.350000000000001"/>
    <s v="33603457"/>
  </r>
  <r>
    <x v="172"/>
    <s v="2021-09-15"/>
    <x v="0"/>
    <x v="0"/>
    <n v="9"/>
    <x v="37"/>
    <n v="1.24"/>
    <n v="15.88"/>
    <s v="04452473"/>
  </r>
  <r>
    <x v="172"/>
    <s v="2021-09-15"/>
    <x v="0"/>
    <x v="0"/>
    <n v="8"/>
    <x v="35"/>
    <n v="1.1299999999999999"/>
    <n v="14.46"/>
    <s v="59109165"/>
  </r>
  <r>
    <x v="172"/>
    <s v="2021-09-15"/>
    <x v="0"/>
    <x v="0"/>
    <n v="7"/>
    <x v="38"/>
    <n v="1.08"/>
    <n v="13.77"/>
    <s v="60814191"/>
  </r>
  <r>
    <x v="172"/>
    <s v="2021-09-15"/>
    <x v="0"/>
    <x v="0"/>
    <n v="6"/>
    <x v="39"/>
    <n v="1.08"/>
    <n v="13.74"/>
    <s v="04902979"/>
  </r>
  <r>
    <x v="172"/>
    <s v="2021-09-15"/>
    <x v="0"/>
    <x v="0"/>
    <n v="5"/>
    <x v="36"/>
    <n v="1.08"/>
    <n v="13.7"/>
    <s v="33136888"/>
  </r>
  <r>
    <x v="172"/>
    <s v="2021-09-15"/>
    <x v="0"/>
    <x v="0"/>
    <n v="4"/>
    <x v="53"/>
    <n v="1.07"/>
    <n v="13.59"/>
    <s v="31872495"/>
  </r>
  <r>
    <x v="172"/>
    <s v="2021-09-15"/>
    <x v="0"/>
    <x v="0"/>
    <n v="3"/>
    <x v="40"/>
    <n v="1.05"/>
    <n v="13.41"/>
    <s v="02992446"/>
  </r>
  <r>
    <x v="172"/>
    <s v="2021-09-15"/>
    <x v="0"/>
    <x v="0"/>
    <n v="2"/>
    <x v="44"/>
    <n v="1.05"/>
    <n v="13.3"/>
    <s v="58017179"/>
  </r>
  <r>
    <x v="172"/>
    <s v="2021-09-15"/>
    <x v="0"/>
    <x v="0"/>
    <n v="1"/>
    <x v="22"/>
    <n v="1"/>
    <n v="12.62"/>
    <s v="11417016"/>
  </r>
  <r>
    <x v="173"/>
    <s v="2021-09-16"/>
    <x v="0"/>
    <x v="0"/>
    <n v="43"/>
    <x v="3"/>
    <n v="3.4"/>
    <n v="49.29"/>
    <s v="05503849"/>
  </r>
  <r>
    <x v="173"/>
    <s v="2021-09-16"/>
    <x v="0"/>
    <x v="0"/>
    <n v="42"/>
    <x v="0"/>
    <n v="3.24"/>
    <n v="46.54"/>
    <s v="60850229"/>
  </r>
  <r>
    <x v="173"/>
    <s v="2021-09-16"/>
    <x v="0"/>
    <x v="0"/>
    <n v="41"/>
    <x v="1"/>
    <n v="3.18"/>
    <n v="45.65"/>
    <s v="01800019"/>
  </r>
  <r>
    <x v="173"/>
    <s v="2021-09-16"/>
    <x v="0"/>
    <x v="0"/>
    <n v="40"/>
    <x v="7"/>
    <n v="3.07"/>
    <n v="43.68"/>
    <s v="92874270"/>
  </r>
  <r>
    <x v="173"/>
    <s v="2021-09-16"/>
    <x v="0"/>
    <x v="0"/>
    <n v="39"/>
    <x v="2"/>
    <n v="3.05"/>
    <n v="43.33"/>
    <s v="92228410"/>
  </r>
  <r>
    <x v="173"/>
    <s v="2021-09-16"/>
    <x v="0"/>
    <x v="0"/>
    <n v="38"/>
    <x v="5"/>
    <n v="2.5499999999999998"/>
    <n v="35.299999999999997"/>
    <s v="80271455"/>
  </r>
  <r>
    <x v="173"/>
    <s v="2021-09-16"/>
    <x v="0"/>
    <x v="0"/>
    <n v="37"/>
    <x v="4"/>
    <n v="2.54"/>
    <n v="35.1"/>
    <s v="62232889"/>
  </r>
  <r>
    <x v="173"/>
    <s v="2021-09-16"/>
    <x v="0"/>
    <x v="0"/>
    <n v="36"/>
    <x v="42"/>
    <n v="2.46"/>
    <n v="33.81"/>
    <s v="34991938"/>
  </r>
  <r>
    <x v="173"/>
    <s v="2021-09-16"/>
    <x v="0"/>
    <x v="0"/>
    <n v="35"/>
    <x v="8"/>
    <n v="2.4300000000000002"/>
    <n v="33.35"/>
    <s v="59285411"/>
  </r>
  <r>
    <x v="173"/>
    <s v="2021-09-16"/>
    <x v="0"/>
    <x v="0"/>
    <n v="34"/>
    <x v="6"/>
    <n v="2.42"/>
    <n v="33.15"/>
    <s v="05676026"/>
  </r>
  <r>
    <x v="173"/>
    <s v="2021-09-16"/>
    <x v="0"/>
    <x v="0"/>
    <n v="33"/>
    <x v="9"/>
    <n v="2.36"/>
    <n v="32.33"/>
    <s v="00411939"/>
  </r>
  <r>
    <x v="173"/>
    <s v="2021-09-16"/>
    <x v="0"/>
    <x v="0"/>
    <n v="32"/>
    <x v="10"/>
    <n v="2.16"/>
    <n v="29.3"/>
    <s v="10371492"/>
  </r>
  <r>
    <x v="173"/>
    <s v="2021-09-16"/>
    <x v="0"/>
    <x v="0"/>
    <n v="31"/>
    <x v="13"/>
    <n v="1.96"/>
    <n v="26.26"/>
    <s v="07707650"/>
  </r>
  <r>
    <x v="173"/>
    <s v="2021-09-16"/>
    <x v="0"/>
    <x v="0"/>
    <n v="30"/>
    <x v="15"/>
    <n v="1.89"/>
    <n v="25.24"/>
    <s v="59588111"/>
  </r>
  <r>
    <x v="173"/>
    <s v="2021-09-16"/>
    <x v="0"/>
    <x v="0"/>
    <n v="29"/>
    <x v="18"/>
    <n v="1.85"/>
    <n v="24.54"/>
    <s v="28127603"/>
  </r>
  <r>
    <x v="173"/>
    <s v="2021-09-16"/>
    <x v="0"/>
    <x v="0"/>
    <n v="28"/>
    <x v="16"/>
    <n v="1.78"/>
    <n v="23.51"/>
    <s v="07207996"/>
  </r>
  <r>
    <x v="173"/>
    <s v="2021-09-16"/>
    <x v="0"/>
    <x v="0"/>
    <n v="27"/>
    <x v="24"/>
    <n v="1.78"/>
    <n v="23.5"/>
    <s v="22639377"/>
  </r>
  <r>
    <x v="173"/>
    <s v="2021-09-16"/>
    <x v="0"/>
    <x v="0"/>
    <n v="26"/>
    <x v="20"/>
    <n v="1.76"/>
    <n v="23.27"/>
    <s v="17192451"/>
  </r>
  <r>
    <x v="173"/>
    <s v="2021-09-16"/>
    <x v="0"/>
    <x v="0"/>
    <n v="25"/>
    <x v="28"/>
    <n v="1.71"/>
    <n v="22.63"/>
    <s v="90400888"/>
  </r>
  <r>
    <x v="173"/>
    <s v="2021-09-16"/>
    <x v="0"/>
    <x v="0"/>
    <n v="24"/>
    <x v="12"/>
    <n v="1.67"/>
    <n v="21.97"/>
    <s v="04862600"/>
  </r>
  <r>
    <x v="173"/>
    <s v="2021-09-16"/>
    <x v="0"/>
    <x v="0"/>
    <n v="23"/>
    <x v="11"/>
    <n v="1.63"/>
    <n v="21.36"/>
    <s v="03634220"/>
  </r>
  <r>
    <x v="173"/>
    <s v="2021-09-16"/>
    <x v="0"/>
    <x v="0"/>
    <n v="22"/>
    <x v="21"/>
    <n v="1.59"/>
    <n v="20.88"/>
    <s v="03017677"/>
  </r>
  <r>
    <x v="173"/>
    <s v="2021-09-16"/>
    <x v="0"/>
    <x v="0"/>
    <n v="21"/>
    <x v="30"/>
    <n v="1.59"/>
    <n v="20.81"/>
    <s v="03502961"/>
  </r>
  <r>
    <x v="173"/>
    <s v="2021-09-16"/>
    <x v="0"/>
    <x v="0"/>
    <n v="20"/>
    <x v="25"/>
    <n v="1.57"/>
    <n v="20.54"/>
    <s v="59274605"/>
  </r>
  <r>
    <x v="173"/>
    <s v="2021-09-16"/>
    <x v="0"/>
    <x v="0"/>
    <n v="19"/>
    <x v="32"/>
    <n v="1.54"/>
    <n v="20.14"/>
    <s v="60701190"/>
  </r>
  <r>
    <x v="173"/>
    <s v="2021-09-16"/>
    <x v="0"/>
    <x v="0"/>
    <n v="18"/>
    <x v="29"/>
    <n v="1.52"/>
    <n v="19.89"/>
    <s v="60746948"/>
  </r>
  <r>
    <x v="173"/>
    <s v="2021-09-16"/>
    <x v="0"/>
    <x v="0"/>
    <n v="17"/>
    <x v="26"/>
    <n v="1.51"/>
    <n v="19.64"/>
    <s v="30172491"/>
  </r>
  <r>
    <x v="173"/>
    <s v="2021-09-16"/>
    <x v="0"/>
    <x v="0"/>
    <n v="16"/>
    <x v="14"/>
    <n v="1.44"/>
    <n v="18.66"/>
    <s v="00360305"/>
  </r>
  <r>
    <x v="173"/>
    <s v="2021-09-16"/>
    <x v="0"/>
    <x v="0"/>
    <n v="15"/>
    <x v="23"/>
    <n v="1.37"/>
    <n v="17.78"/>
    <s v="03215790"/>
  </r>
  <r>
    <x v="173"/>
    <s v="2021-09-16"/>
    <x v="0"/>
    <x v="0"/>
    <n v="14"/>
    <x v="33"/>
    <n v="1.37"/>
    <n v="17.72"/>
    <s v="62307848"/>
  </r>
  <r>
    <x v="173"/>
    <s v="2021-09-16"/>
    <x v="0"/>
    <x v="0"/>
    <n v="13"/>
    <x v="31"/>
    <n v="1.32"/>
    <n v="17.09"/>
    <s v="17167412"/>
  </r>
  <r>
    <x v="173"/>
    <s v="2021-09-16"/>
    <x v="0"/>
    <x v="0"/>
    <n v="12"/>
    <x v="27"/>
    <n v="1.29"/>
    <n v="16.66"/>
    <s v="00000000"/>
  </r>
  <r>
    <x v="173"/>
    <s v="2021-09-16"/>
    <x v="0"/>
    <x v="0"/>
    <n v="11"/>
    <x v="34"/>
    <n v="1.28"/>
    <n v="16.510000000000002"/>
    <s v="33603457"/>
  </r>
  <r>
    <x v="173"/>
    <s v="2021-09-16"/>
    <x v="0"/>
    <x v="0"/>
    <n v="10"/>
    <x v="37"/>
    <n v="1.24"/>
    <n v="15.91"/>
    <s v="04452473"/>
  </r>
  <r>
    <x v="173"/>
    <s v="2021-09-16"/>
    <x v="0"/>
    <x v="0"/>
    <n v="9"/>
    <x v="35"/>
    <n v="1.1299999999999999"/>
    <n v="14.47"/>
    <s v="59109165"/>
  </r>
  <r>
    <x v="173"/>
    <s v="2021-09-16"/>
    <x v="0"/>
    <x v="0"/>
    <n v="8"/>
    <x v="43"/>
    <n v="1.1299999999999999"/>
    <n v="14.44"/>
    <s v="07441209"/>
  </r>
  <r>
    <x v="173"/>
    <s v="2021-09-16"/>
    <x v="0"/>
    <x v="0"/>
    <n v="7"/>
    <x v="38"/>
    <n v="1.0900000000000001"/>
    <n v="13.83"/>
    <s v="60814191"/>
  </r>
  <r>
    <x v="173"/>
    <s v="2021-09-16"/>
    <x v="0"/>
    <x v="0"/>
    <n v="6"/>
    <x v="40"/>
    <n v="1.08"/>
    <n v="13.79"/>
    <s v="02992446"/>
  </r>
  <r>
    <x v="173"/>
    <s v="2021-09-16"/>
    <x v="0"/>
    <x v="0"/>
    <n v="5"/>
    <x v="39"/>
    <n v="1.08"/>
    <n v="13.74"/>
    <s v="04902979"/>
  </r>
  <r>
    <x v="173"/>
    <s v="2021-09-16"/>
    <x v="0"/>
    <x v="0"/>
    <n v="4"/>
    <x v="36"/>
    <n v="1.08"/>
    <n v="13.7"/>
    <s v="33136888"/>
  </r>
  <r>
    <x v="173"/>
    <s v="2021-09-16"/>
    <x v="0"/>
    <x v="0"/>
    <n v="3"/>
    <x v="53"/>
    <n v="1.07"/>
    <n v="13.59"/>
    <s v="31872495"/>
  </r>
  <r>
    <x v="173"/>
    <s v="2021-09-16"/>
    <x v="0"/>
    <x v="0"/>
    <n v="2"/>
    <x v="44"/>
    <n v="1.05"/>
    <n v="13.33"/>
    <s v="58017179"/>
  </r>
  <r>
    <x v="173"/>
    <s v="2021-09-16"/>
    <x v="0"/>
    <x v="0"/>
    <n v="1"/>
    <x v="22"/>
    <n v="1"/>
    <n v="12.62"/>
    <s v="11417016"/>
  </r>
  <r>
    <x v="174"/>
    <s v="2021-09-17"/>
    <x v="0"/>
    <x v="0"/>
    <n v="42"/>
    <x v="3"/>
    <n v="3.32"/>
    <n v="48.05"/>
    <s v="05503849"/>
  </r>
  <r>
    <x v="174"/>
    <s v="2021-09-17"/>
    <x v="0"/>
    <x v="0"/>
    <n v="41"/>
    <x v="0"/>
    <n v="3.28"/>
    <n v="47.32"/>
    <s v="60850229"/>
  </r>
  <r>
    <x v="174"/>
    <s v="2021-09-17"/>
    <x v="0"/>
    <x v="0"/>
    <n v="40"/>
    <x v="2"/>
    <n v="3.08"/>
    <n v="43.83"/>
    <s v="92228410"/>
  </r>
  <r>
    <x v="174"/>
    <s v="2021-09-17"/>
    <x v="0"/>
    <x v="0"/>
    <n v="39"/>
    <x v="7"/>
    <n v="3.07"/>
    <n v="43.78"/>
    <s v="92874270"/>
  </r>
  <r>
    <x v="174"/>
    <s v="2021-09-17"/>
    <x v="0"/>
    <x v="0"/>
    <n v="38"/>
    <x v="1"/>
    <n v="2.99"/>
    <n v="42.38"/>
    <s v="01800019"/>
  </r>
  <r>
    <x v="174"/>
    <s v="2021-09-17"/>
    <x v="0"/>
    <x v="0"/>
    <n v="37"/>
    <x v="5"/>
    <n v="2.5499999999999998"/>
    <n v="35.229999999999997"/>
    <s v="80271455"/>
  </r>
  <r>
    <x v="174"/>
    <s v="2021-09-17"/>
    <x v="0"/>
    <x v="0"/>
    <n v="36"/>
    <x v="4"/>
    <n v="2.54"/>
    <n v="35.049999999999997"/>
    <s v="62232889"/>
  </r>
  <r>
    <x v="174"/>
    <s v="2021-09-17"/>
    <x v="0"/>
    <x v="0"/>
    <n v="35"/>
    <x v="42"/>
    <n v="2.46"/>
    <n v="33.93"/>
    <s v="34991938"/>
  </r>
  <r>
    <x v="174"/>
    <s v="2021-09-17"/>
    <x v="0"/>
    <x v="0"/>
    <n v="34"/>
    <x v="6"/>
    <n v="2.41"/>
    <n v="33.15"/>
    <s v="05676026"/>
  </r>
  <r>
    <x v="174"/>
    <s v="2021-09-17"/>
    <x v="0"/>
    <x v="0"/>
    <n v="33"/>
    <x v="8"/>
    <n v="2.41"/>
    <n v="33.11"/>
    <s v="59285411"/>
  </r>
  <r>
    <x v="174"/>
    <s v="2021-09-17"/>
    <x v="0"/>
    <x v="0"/>
    <n v="32"/>
    <x v="9"/>
    <n v="2.4"/>
    <n v="32.950000000000003"/>
    <s v="00411939"/>
  </r>
  <r>
    <x v="174"/>
    <s v="2021-09-17"/>
    <x v="0"/>
    <x v="0"/>
    <n v="31"/>
    <x v="10"/>
    <n v="2.17"/>
    <n v="29.4"/>
    <s v="10371492"/>
  </r>
  <r>
    <x v="174"/>
    <s v="2021-09-17"/>
    <x v="0"/>
    <x v="0"/>
    <n v="30"/>
    <x v="13"/>
    <n v="1.96"/>
    <n v="26.2"/>
    <s v="07707650"/>
  </r>
  <r>
    <x v="174"/>
    <s v="2021-09-17"/>
    <x v="0"/>
    <x v="0"/>
    <n v="29"/>
    <x v="15"/>
    <n v="1.9"/>
    <n v="25.3"/>
    <s v="59588111"/>
  </r>
  <r>
    <x v="174"/>
    <s v="2021-09-17"/>
    <x v="0"/>
    <x v="0"/>
    <n v="28"/>
    <x v="18"/>
    <n v="1.8"/>
    <n v="23.9"/>
    <s v="28127603"/>
  </r>
  <r>
    <x v="174"/>
    <s v="2021-09-17"/>
    <x v="0"/>
    <x v="0"/>
    <n v="27"/>
    <x v="16"/>
    <n v="1.77"/>
    <n v="23.41"/>
    <s v="07207996"/>
  </r>
  <r>
    <x v="174"/>
    <s v="2021-09-17"/>
    <x v="0"/>
    <x v="0"/>
    <n v="26"/>
    <x v="20"/>
    <n v="1.74"/>
    <n v="23.05"/>
    <s v="17192451"/>
  </r>
  <r>
    <x v="174"/>
    <s v="2021-09-17"/>
    <x v="0"/>
    <x v="0"/>
    <n v="25"/>
    <x v="28"/>
    <n v="1.72"/>
    <n v="22.64"/>
    <s v="90400888"/>
  </r>
  <r>
    <x v="174"/>
    <s v="2021-09-17"/>
    <x v="0"/>
    <x v="0"/>
    <n v="24"/>
    <x v="24"/>
    <n v="1.69"/>
    <n v="22.32"/>
    <s v="22639377"/>
  </r>
  <r>
    <x v="174"/>
    <s v="2021-09-17"/>
    <x v="0"/>
    <x v="0"/>
    <n v="23"/>
    <x v="12"/>
    <n v="1.68"/>
    <n v="22.15"/>
    <s v="04862600"/>
  </r>
  <r>
    <x v="174"/>
    <s v="2021-09-17"/>
    <x v="0"/>
    <x v="0"/>
    <n v="22"/>
    <x v="30"/>
    <n v="1.6"/>
    <n v="21.03"/>
    <s v="03502961"/>
  </r>
  <r>
    <x v="174"/>
    <s v="2021-09-17"/>
    <x v="0"/>
    <x v="0"/>
    <n v="21"/>
    <x v="21"/>
    <n v="1.59"/>
    <n v="20.77"/>
    <s v="03017677"/>
  </r>
  <r>
    <x v="174"/>
    <s v="2021-09-17"/>
    <x v="0"/>
    <x v="0"/>
    <n v="20"/>
    <x v="11"/>
    <n v="1.58"/>
    <n v="20.66"/>
    <s v="03634220"/>
  </r>
  <r>
    <x v="174"/>
    <s v="2021-09-17"/>
    <x v="0"/>
    <x v="0"/>
    <n v="19"/>
    <x v="25"/>
    <n v="1.57"/>
    <n v="20.49"/>
    <s v="59274605"/>
  </r>
  <r>
    <x v="174"/>
    <s v="2021-09-17"/>
    <x v="0"/>
    <x v="0"/>
    <n v="18"/>
    <x v="32"/>
    <n v="1.54"/>
    <n v="20.100000000000001"/>
    <s v="60701190"/>
  </r>
  <r>
    <x v="174"/>
    <s v="2021-09-17"/>
    <x v="0"/>
    <x v="0"/>
    <n v="17"/>
    <x v="26"/>
    <n v="1.52"/>
    <n v="19.829999999999998"/>
    <s v="30172491"/>
  </r>
  <r>
    <x v="174"/>
    <s v="2021-09-17"/>
    <x v="0"/>
    <x v="0"/>
    <n v="16"/>
    <x v="29"/>
    <n v="1.52"/>
    <n v="19.8"/>
    <s v="60746948"/>
  </r>
  <r>
    <x v="174"/>
    <s v="2021-09-17"/>
    <x v="0"/>
    <x v="0"/>
    <n v="15"/>
    <x v="14"/>
    <n v="1.4"/>
    <n v="18.14"/>
    <s v="00360305"/>
  </r>
  <r>
    <x v="174"/>
    <s v="2021-09-17"/>
    <x v="0"/>
    <x v="0"/>
    <n v="14"/>
    <x v="23"/>
    <n v="1.37"/>
    <n v="17.8"/>
    <s v="03215790"/>
  </r>
  <r>
    <x v="174"/>
    <s v="2021-09-17"/>
    <x v="0"/>
    <x v="0"/>
    <n v="13"/>
    <x v="33"/>
    <n v="1.36"/>
    <n v="17.649999999999999"/>
    <s v="62307848"/>
  </r>
  <r>
    <x v="174"/>
    <s v="2021-09-17"/>
    <x v="0"/>
    <x v="0"/>
    <n v="12"/>
    <x v="31"/>
    <n v="1.32"/>
    <n v="17.059999999999999"/>
    <s v="17167412"/>
  </r>
  <r>
    <x v="174"/>
    <s v="2021-09-17"/>
    <x v="0"/>
    <x v="0"/>
    <n v="11"/>
    <x v="27"/>
    <n v="1.28"/>
    <n v="16.48"/>
    <s v="00000000"/>
  </r>
  <r>
    <x v="174"/>
    <s v="2021-09-17"/>
    <x v="0"/>
    <x v="0"/>
    <n v="10"/>
    <x v="34"/>
    <n v="1.26"/>
    <n v="16.190000000000001"/>
    <s v="33603457"/>
  </r>
  <r>
    <x v="174"/>
    <s v="2021-09-17"/>
    <x v="0"/>
    <x v="0"/>
    <n v="9"/>
    <x v="37"/>
    <n v="1.24"/>
    <n v="15.88"/>
    <s v="04452473"/>
  </r>
  <r>
    <x v="174"/>
    <s v="2021-09-17"/>
    <x v="0"/>
    <x v="0"/>
    <n v="8"/>
    <x v="43"/>
    <n v="1.23"/>
    <n v="15.82"/>
    <s v="07441209"/>
  </r>
  <r>
    <x v="174"/>
    <s v="2021-09-17"/>
    <x v="0"/>
    <x v="0"/>
    <n v="7"/>
    <x v="44"/>
    <n v="1.19"/>
    <n v="15.19"/>
    <s v="58017179"/>
  </r>
  <r>
    <x v="174"/>
    <s v="2021-09-17"/>
    <x v="0"/>
    <x v="0"/>
    <n v="6"/>
    <x v="35"/>
    <n v="1.1299999999999999"/>
    <n v="14.41"/>
    <s v="59109165"/>
  </r>
  <r>
    <x v="174"/>
    <s v="2021-09-17"/>
    <x v="0"/>
    <x v="0"/>
    <n v="5"/>
    <x v="38"/>
    <n v="1.1000000000000001"/>
    <n v="14.08"/>
    <s v="60814191"/>
  </r>
  <r>
    <x v="174"/>
    <s v="2021-09-17"/>
    <x v="0"/>
    <x v="0"/>
    <n v="4"/>
    <x v="40"/>
    <n v="1.08"/>
    <n v="13.81"/>
    <s v="02992446"/>
  </r>
  <r>
    <x v="174"/>
    <s v="2021-09-17"/>
    <x v="0"/>
    <x v="0"/>
    <n v="3"/>
    <x v="53"/>
    <n v="1.07"/>
    <n v="13.59"/>
    <s v="31872495"/>
  </r>
  <r>
    <x v="174"/>
    <s v="2021-09-17"/>
    <x v="0"/>
    <x v="0"/>
    <n v="2"/>
    <x v="36"/>
    <n v="1.07"/>
    <n v="13.59"/>
    <s v="33136888"/>
  </r>
  <r>
    <x v="174"/>
    <s v="2021-09-17"/>
    <x v="0"/>
    <x v="0"/>
    <n v="1"/>
    <x v="22"/>
    <n v="1.03"/>
    <n v="13.02"/>
    <s v="11417016"/>
  </r>
  <r>
    <x v="175"/>
    <s v="2021-09-20"/>
    <x v="0"/>
    <x v="0"/>
    <n v="42"/>
    <x v="3"/>
    <n v="3.33"/>
    <n v="48.12"/>
    <s v="05503849"/>
  </r>
  <r>
    <x v="175"/>
    <s v="2021-09-20"/>
    <x v="0"/>
    <x v="0"/>
    <n v="41"/>
    <x v="0"/>
    <n v="3.15"/>
    <n v="45"/>
    <s v="60850229"/>
  </r>
  <r>
    <x v="175"/>
    <s v="2021-09-20"/>
    <x v="0"/>
    <x v="0"/>
    <n v="40"/>
    <x v="2"/>
    <n v="3.1"/>
    <n v="44.2"/>
    <s v="92228410"/>
  </r>
  <r>
    <x v="175"/>
    <s v="2021-09-20"/>
    <x v="0"/>
    <x v="0"/>
    <n v="39"/>
    <x v="7"/>
    <n v="3.08"/>
    <n v="43.93"/>
    <s v="92874270"/>
  </r>
  <r>
    <x v="175"/>
    <s v="2021-09-20"/>
    <x v="0"/>
    <x v="0"/>
    <n v="38"/>
    <x v="1"/>
    <n v="2.97"/>
    <n v="42.04"/>
    <s v="01800019"/>
  </r>
  <r>
    <x v="175"/>
    <s v="2021-09-20"/>
    <x v="0"/>
    <x v="0"/>
    <n v="37"/>
    <x v="4"/>
    <n v="2.5299999999999998"/>
    <n v="35.01"/>
    <s v="62232889"/>
  </r>
  <r>
    <x v="175"/>
    <s v="2021-09-20"/>
    <x v="0"/>
    <x v="0"/>
    <n v="36"/>
    <x v="5"/>
    <n v="2.5"/>
    <n v="34.5"/>
    <s v="80271455"/>
  </r>
  <r>
    <x v="175"/>
    <s v="2021-09-20"/>
    <x v="0"/>
    <x v="0"/>
    <n v="35"/>
    <x v="42"/>
    <n v="2.4700000000000002"/>
    <n v="34"/>
    <s v="34991938"/>
  </r>
  <r>
    <x v="175"/>
    <s v="2021-09-20"/>
    <x v="0"/>
    <x v="0"/>
    <n v="34"/>
    <x v="6"/>
    <n v="2.42"/>
    <n v="33.17"/>
    <s v="05676026"/>
  </r>
  <r>
    <x v="175"/>
    <s v="2021-09-20"/>
    <x v="0"/>
    <x v="0"/>
    <n v="33"/>
    <x v="9"/>
    <n v="2.41"/>
    <n v="33.049999999999997"/>
    <s v="00411939"/>
  </r>
  <r>
    <x v="175"/>
    <s v="2021-09-20"/>
    <x v="0"/>
    <x v="0"/>
    <n v="32"/>
    <x v="8"/>
    <n v="2.41"/>
    <n v="33.04"/>
    <s v="59285411"/>
  </r>
  <r>
    <x v="175"/>
    <s v="2021-09-20"/>
    <x v="0"/>
    <x v="0"/>
    <n v="31"/>
    <x v="10"/>
    <n v="2.1800000000000002"/>
    <n v="29.53"/>
    <s v="10371492"/>
  </r>
  <r>
    <x v="175"/>
    <s v="2021-09-20"/>
    <x v="0"/>
    <x v="0"/>
    <n v="30"/>
    <x v="13"/>
    <n v="1.95"/>
    <n v="26.13"/>
    <s v="07707650"/>
  </r>
  <r>
    <x v="175"/>
    <s v="2021-09-20"/>
    <x v="0"/>
    <x v="0"/>
    <n v="29"/>
    <x v="15"/>
    <n v="1.9"/>
    <n v="25.34"/>
    <s v="59588111"/>
  </r>
  <r>
    <x v="175"/>
    <s v="2021-09-20"/>
    <x v="0"/>
    <x v="0"/>
    <n v="28"/>
    <x v="16"/>
    <n v="1.75"/>
    <n v="23.17"/>
    <s v="07207996"/>
  </r>
  <r>
    <x v="175"/>
    <s v="2021-09-20"/>
    <x v="0"/>
    <x v="0"/>
    <n v="27"/>
    <x v="28"/>
    <n v="1.74"/>
    <n v="23.06"/>
    <s v="90400888"/>
  </r>
  <r>
    <x v="175"/>
    <s v="2021-09-20"/>
    <x v="0"/>
    <x v="0"/>
    <n v="26"/>
    <x v="20"/>
    <n v="1.74"/>
    <n v="22.97"/>
    <s v="17192451"/>
  </r>
  <r>
    <x v="175"/>
    <s v="2021-09-20"/>
    <x v="0"/>
    <x v="0"/>
    <n v="25"/>
    <x v="12"/>
    <n v="1.68"/>
    <n v="22.19"/>
    <s v="04862600"/>
  </r>
  <r>
    <x v="175"/>
    <s v="2021-09-20"/>
    <x v="0"/>
    <x v="0"/>
    <n v="24"/>
    <x v="18"/>
    <n v="1.67"/>
    <n v="21.92"/>
    <s v="28127603"/>
  </r>
  <r>
    <x v="175"/>
    <s v="2021-09-20"/>
    <x v="0"/>
    <x v="0"/>
    <n v="23"/>
    <x v="24"/>
    <n v="1.63"/>
    <n v="21.46"/>
    <s v="22639377"/>
  </r>
  <r>
    <x v="175"/>
    <s v="2021-09-20"/>
    <x v="0"/>
    <x v="0"/>
    <n v="22"/>
    <x v="11"/>
    <n v="1.61"/>
    <n v="21.06"/>
    <s v="03634220"/>
  </r>
  <r>
    <x v="175"/>
    <s v="2021-09-20"/>
    <x v="0"/>
    <x v="0"/>
    <n v="21"/>
    <x v="30"/>
    <n v="1.6"/>
    <n v="20.92"/>
    <s v="03502961"/>
  </r>
  <r>
    <x v="175"/>
    <s v="2021-09-20"/>
    <x v="0"/>
    <x v="0"/>
    <n v="20"/>
    <x v="21"/>
    <n v="1.59"/>
    <n v="20.86"/>
    <s v="03017677"/>
  </r>
  <r>
    <x v="175"/>
    <s v="2021-09-20"/>
    <x v="0"/>
    <x v="0"/>
    <n v="19"/>
    <x v="25"/>
    <n v="1.57"/>
    <n v="20.51"/>
    <s v="59274605"/>
  </r>
  <r>
    <x v="175"/>
    <s v="2021-09-20"/>
    <x v="0"/>
    <x v="0"/>
    <n v="18"/>
    <x v="32"/>
    <n v="1.54"/>
    <n v="20.14"/>
    <s v="60701190"/>
  </r>
  <r>
    <x v="175"/>
    <s v="2021-09-20"/>
    <x v="0"/>
    <x v="0"/>
    <n v="17"/>
    <x v="29"/>
    <n v="1.53"/>
    <n v="19.95"/>
    <s v="60746948"/>
  </r>
  <r>
    <x v="175"/>
    <s v="2021-09-20"/>
    <x v="0"/>
    <x v="0"/>
    <n v="16"/>
    <x v="26"/>
    <n v="1.51"/>
    <n v="19.71"/>
    <s v="30172491"/>
  </r>
  <r>
    <x v="175"/>
    <s v="2021-09-20"/>
    <x v="0"/>
    <x v="0"/>
    <n v="15"/>
    <x v="14"/>
    <n v="1.39"/>
    <n v="18.07"/>
    <s v="00360305"/>
  </r>
  <r>
    <x v="175"/>
    <s v="2021-09-20"/>
    <x v="0"/>
    <x v="0"/>
    <n v="14"/>
    <x v="23"/>
    <n v="1.37"/>
    <n v="17.739999999999998"/>
    <s v="03215790"/>
  </r>
  <r>
    <x v="175"/>
    <s v="2021-09-20"/>
    <x v="0"/>
    <x v="0"/>
    <n v="13"/>
    <x v="33"/>
    <n v="1.37"/>
    <n v="17.68"/>
    <s v="62307848"/>
  </r>
  <r>
    <x v="175"/>
    <s v="2021-09-20"/>
    <x v="0"/>
    <x v="0"/>
    <n v="12"/>
    <x v="31"/>
    <n v="1.33"/>
    <n v="17.13"/>
    <s v="17167412"/>
  </r>
  <r>
    <x v="175"/>
    <s v="2021-09-20"/>
    <x v="0"/>
    <x v="0"/>
    <n v="11"/>
    <x v="27"/>
    <n v="1.28"/>
    <n v="16.46"/>
    <s v="00000000"/>
  </r>
  <r>
    <x v="175"/>
    <s v="2021-09-20"/>
    <x v="0"/>
    <x v="0"/>
    <n v="10"/>
    <x v="34"/>
    <n v="1.27"/>
    <n v="16.38"/>
    <s v="33603457"/>
  </r>
  <r>
    <x v="175"/>
    <s v="2021-09-20"/>
    <x v="0"/>
    <x v="0"/>
    <n v="9"/>
    <x v="37"/>
    <n v="1.24"/>
    <n v="15.88"/>
    <s v="04452473"/>
  </r>
  <r>
    <x v="175"/>
    <s v="2021-09-20"/>
    <x v="0"/>
    <x v="0"/>
    <n v="8"/>
    <x v="43"/>
    <n v="1.23"/>
    <n v="15.82"/>
    <s v="07441209"/>
  </r>
  <r>
    <x v="175"/>
    <s v="2021-09-20"/>
    <x v="0"/>
    <x v="0"/>
    <n v="7"/>
    <x v="44"/>
    <n v="1.19"/>
    <n v="15.19"/>
    <s v="58017179"/>
  </r>
  <r>
    <x v="175"/>
    <s v="2021-09-20"/>
    <x v="0"/>
    <x v="0"/>
    <n v="6"/>
    <x v="35"/>
    <n v="1.1200000000000001"/>
    <n v="14.27"/>
    <s v="59109165"/>
  </r>
  <r>
    <x v="175"/>
    <s v="2021-09-20"/>
    <x v="0"/>
    <x v="0"/>
    <n v="5"/>
    <x v="38"/>
    <n v="1.08"/>
    <n v="13.79"/>
    <s v="60814191"/>
  </r>
  <r>
    <x v="175"/>
    <s v="2021-09-20"/>
    <x v="0"/>
    <x v="0"/>
    <n v="4"/>
    <x v="53"/>
    <n v="1.07"/>
    <n v="13.59"/>
    <s v="31872495"/>
  </r>
  <r>
    <x v="175"/>
    <s v="2021-09-20"/>
    <x v="0"/>
    <x v="0"/>
    <n v="3"/>
    <x v="40"/>
    <n v="1.07"/>
    <n v="13.58"/>
    <s v="02992446"/>
  </r>
  <r>
    <x v="175"/>
    <s v="2021-09-20"/>
    <x v="0"/>
    <x v="0"/>
    <n v="2"/>
    <x v="36"/>
    <n v="1.06"/>
    <n v="13.46"/>
    <s v="33136888"/>
  </r>
  <r>
    <x v="175"/>
    <s v="2021-09-20"/>
    <x v="0"/>
    <x v="0"/>
    <n v="1"/>
    <x v="22"/>
    <n v="1.02"/>
    <n v="13"/>
    <s v="11417016"/>
  </r>
  <r>
    <x v="176"/>
    <s v="2021-09-21"/>
    <x v="0"/>
    <x v="0"/>
    <n v="42"/>
    <x v="3"/>
    <n v="3.34"/>
    <n v="48.39"/>
    <s v="05503849"/>
  </r>
  <r>
    <x v="176"/>
    <s v="2021-09-21"/>
    <x v="0"/>
    <x v="0"/>
    <n v="41"/>
    <x v="0"/>
    <n v="3.16"/>
    <n v="45.31"/>
    <s v="60850229"/>
  </r>
  <r>
    <x v="176"/>
    <s v="2021-09-21"/>
    <x v="0"/>
    <x v="0"/>
    <n v="40"/>
    <x v="2"/>
    <n v="3.1"/>
    <n v="44.16"/>
    <s v="92228410"/>
  </r>
  <r>
    <x v="176"/>
    <s v="2021-09-21"/>
    <x v="0"/>
    <x v="0"/>
    <n v="39"/>
    <x v="7"/>
    <n v="2.97"/>
    <n v="42.14"/>
    <s v="92874270"/>
  </r>
  <r>
    <x v="176"/>
    <s v="2021-09-21"/>
    <x v="0"/>
    <x v="0"/>
    <n v="38"/>
    <x v="1"/>
    <n v="2.97"/>
    <n v="42"/>
    <s v="01800019"/>
  </r>
  <r>
    <x v="176"/>
    <s v="2021-09-21"/>
    <x v="0"/>
    <x v="0"/>
    <n v="37"/>
    <x v="4"/>
    <n v="2.54"/>
    <n v="35.1"/>
    <s v="62232889"/>
  </r>
  <r>
    <x v="176"/>
    <s v="2021-09-21"/>
    <x v="0"/>
    <x v="0"/>
    <n v="36"/>
    <x v="5"/>
    <n v="2.54"/>
    <n v="35.04"/>
    <s v="80271455"/>
  </r>
  <r>
    <x v="176"/>
    <s v="2021-09-21"/>
    <x v="0"/>
    <x v="0"/>
    <n v="35"/>
    <x v="9"/>
    <n v="2.42"/>
    <n v="33.299999999999997"/>
    <s v="00411939"/>
  </r>
  <r>
    <x v="176"/>
    <s v="2021-09-21"/>
    <x v="0"/>
    <x v="0"/>
    <n v="34"/>
    <x v="6"/>
    <n v="2.42"/>
    <n v="33.29"/>
    <s v="05676026"/>
  </r>
  <r>
    <x v="176"/>
    <s v="2021-09-21"/>
    <x v="0"/>
    <x v="0"/>
    <n v="33"/>
    <x v="42"/>
    <n v="2.41"/>
    <n v="33.11"/>
    <s v="34991938"/>
  </r>
  <r>
    <x v="176"/>
    <s v="2021-09-21"/>
    <x v="0"/>
    <x v="0"/>
    <n v="32"/>
    <x v="8"/>
    <n v="2.37"/>
    <n v="32.380000000000003"/>
    <s v="59285411"/>
  </r>
  <r>
    <x v="176"/>
    <s v="2021-09-21"/>
    <x v="0"/>
    <x v="0"/>
    <n v="31"/>
    <x v="10"/>
    <n v="2.19"/>
    <n v="29.61"/>
    <s v="10371492"/>
  </r>
  <r>
    <x v="176"/>
    <s v="2021-09-21"/>
    <x v="0"/>
    <x v="0"/>
    <n v="30"/>
    <x v="13"/>
    <n v="1.96"/>
    <n v="26.19"/>
    <s v="07707650"/>
  </r>
  <r>
    <x v="176"/>
    <s v="2021-09-21"/>
    <x v="0"/>
    <x v="0"/>
    <n v="29"/>
    <x v="15"/>
    <n v="1.91"/>
    <n v="25.42"/>
    <s v="59588111"/>
  </r>
  <r>
    <x v="176"/>
    <s v="2021-09-21"/>
    <x v="0"/>
    <x v="0"/>
    <n v="28"/>
    <x v="28"/>
    <n v="1.77"/>
    <n v="23.39"/>
    <s v="90400888"/>
  </r>
  <r>
    <x v="176"/>
    <s v="2021-09-21"/>
    <x v="0"/>
    <x v="0"/>
    <n v="27"/>
    <x v="16"/>
    <n v="1.76"/>
    <n v="23.27"/>
    <s v="07207996"/>
  </r>
  <r>
    <x v="176"/>
    <s v="2021-09-21"/>
    <x v="0"/>
    <x v="0"/>
    <n v="26"/>
    <x v="20"/>
    <n v="1.75"/>
    <n v="23.14"/>
    <s v="17192451"/>
  </r>
  <r>
    <x v="176"/>
    <s v="2021-09-21"/>
    <x v="0"/>
    <x v="0"/>
    <n v="25"/>
    <x v="24"/>
    <n v="1.69"/>
    <n v="22.28"/>
    <s v="22639377"/>
  </r>
  <r>
    <x v="176"/>
    <s v="2021-09-21"/>
    <x v="0"/>
    <x v="0"/>
    <n v="24"/>
    <x v="12"/>
    <n v="1.65"/>
    <n v="21.74"/>
    <s v="04862600"/>
  </r>
  <r>
    <x v="176"/>
    <s v="2021-09-21"/>
    <x v="0"/>
    <x v="0"/>
    <n v="23"/>
    <x v="11"/>
    <n v="1.63"/>
    <n v="21.47"/>
    <s v="03634220"/>
  </r>
  <r>
    <x v="176"/>
    <s v="2021-09-21"/>
    <x v="0"/>
    <x v="0"/>
    <n v="22"/>
    <x v="21"/>
    <n v="1.6"/>
    <n v="20.95"/>
    <s v="03017677"/>
  </r>
  <r>
    <x v="176"/>
    <s v="2021-09-21"/>
    <x v="0"/>
    <x v="0"/>
    <n v="21"/>
    <x v="30"/>
    <n v="1.59"/>
    <n v="20.81"/>
    <s v="03502961"/>
  </r>
  <r>
    <x v="176"/>
    <s v="2021-09-21"/>
    <x v="0"/>
    <x v="0"/>
    <n v="20"/>
    <x v="25"/>
    <n v="1.57"/>
    <n v="20.55"/>
    <s v="59274605"/>
  </r>
  <r>
    <x v="176"/>
    <s v="2021-09-21"/>
    <x v="0"/>
    <x v="0"/>
    <n v="19"/>
    <x v="32"/>
    <n v="1.56"/>
    <n v="20.34"/>
    <s v="60701190"/>
  </r>
  <r>
    <x v="176"/>
    <s v="2021-09-21"/>
    <x v="0"/>
    <x v="0"/>
    <n v="18"/>
    <x v="29"/>
    <n v="1.52"/>
    <n v="19.88"/>
    <s v="60746948"/>
  </r>
  <r>
    <x v="176"/>
    <s v="2021-09-21"/>
    <x v="0"/>
    <x v="0"/>
    <n v="17"/>
    <x v="14"/>
    <n v="1.52"/>
    <n v="19.77"/>
    <s v="00360305"/>
  </r>
  <r>
    <x v="176"/>
    <s v="2021-09-21"/>
    <x v="0"/>
    <x v="0"/>
    <n v="16"/>
    <x v="26"/>
    <n v="1.5"/>
    <n v="19.600000000000001"/>
    <s v="30172491"/>
  </r>
  <r>
    <x v="176"/>
    <s v="2021-09-21"/>
    <x v="0"/>
    <x v="0"/>
    <n v="15"/>
    <x v="23"/>
    <n v="1.39"/>
    <n v="17.97"/>
    <s v="03215790"/>
  </r>
  <r>
    <x v="176"/>
    <s v="2021-09-21"/>
    <x v="0"/>
    <x v="0"/>
    <n v="14"/>
    <x v="33"/>
    <n v="1.37"/>
    <n v="17.8"/>
    <s v="62307848"/>
  </r>
  <r>
    <x v="176"/>
    <s v="2021-09-21"/>
    <x v="0"/>
    <x v="0"/>
    <n v="13"/>
    <x v="18"/>
    <n v="1.36"/>
    <n v="17.53"/>
    <s v="28127603"/>
  </r>
  <r>
    <x v="176"/>
    <s v="2021-09-21"/>
    <x v="0"/>
    <x v="0"/>
    <n v="12"/>
    <x v="31"/>
    <n v="1.34"/>
    <n v="17.29"/>
    <s v="17167412"/>
  </r>
  <r>
    <x v="176"/>
    <s v="2021-09-21"/>
    <x v="0"/>
    <x v="0"/>
    <n v="11"/>
    <x v="27"/>
    <n v="1.28"/>
    <n v="16.54"/>
    <s v="00000000"/>
  </r>
  <r>
    <x v="176"/>
    <s v="2021-09-21"/>
    <x v="0"/>
    <x v="0"/>
    <n v="10"/>
    <x v="34"/>
    <n v="1.28"/>
    <n v="16.48"/>
    <s v="33603457"/>
  </r>
  <r>
    <x v="176"/>
    <s v="2021-09-21"/>
    <x v="0"/>
    <x v="0"/>
    <n v="9"/>
    <x v="37"/>
    <n v="1.24"/>
    <n v="15.88"/>
    <s v="04452473"/>
  </r>
  <r>
    <x v="176"/>
    <s v="2021-09-21"/>
    <x v="0"/>
    <x v="0"/>
    <n v="8"/>
    <x v="43"/>
    <n v="1.23"/>
    <n v="15.82"/>
    <s v="07441209"/>
  </r>
  <r>
    <x v="176"/>
    <s v="2021-09-21"/>
    <x v="0"/>
    <x v="0"/>
    <n v="7"/>
    <x v="44"/>
    <n v="1.19"/>
    <n v="15.19"/>
    <s v="58017179"/>
  </r>
  <r>
    <x v="176"/>
    <s v="2021-09-21"/>
    <x v="0"/>
    <x v="0"/>
    <n v="6"/>
    <x v="38"/>
    <n v="1.1200000000000001"/>
    <n v="14.34"/>
    <s v="60814191"/>
  </r>
  <r>
    <x v="176"/>
    <s v="2021-09-21"/>
    <x v="0"/>
    <x v="0"/>
    <n v="5"/>
    <x v="35"/>
    <n v="1.1200000000000001"/>
    <n v="14.28"/>
    <s v="59109165"/>
  </r>
  <r>
    <x v="176"/>
    <s v="2021-09-21"/>
    <x v="0"/>
    <x v="0"/>
    <n v="4"/>
    <x v="36"/>
    <n v="1.1000000000000001"/>
    <n v="14.02"/>
    <s v="33136888"/>
  </r>
  <r>
    <x v="176"/>
    <s v="2021-09-21"/>
    <x v="0"/>
    <x v="0"/>
    <n v="3"/>
    <x v="40"/>
    <n v="1.08"/>
    <n v="13.81"/>
    <s v="02992446"/>
  </r>
  <r>
    <x v="176"/>
    <s v="2021-09-21"/>
    <x v="0"/>
    <x v="0"/>
    <n v="2"/>
    <x v="53"/>
    <n v="1.07"/>
    <n v="13.59"/>
    <s v="31872495"/>
  </r>
  <r>
    <x v="176"/>
    <s v="2021-09-21"/>
    <x v="0"/>
    <x v="0"/>
    <n v="1"/>
    <x v="22"/>
    <n v="1.04"/>
    <n v="13.22"/>
    <s v="11417016"/>
  </r>
  <r>
    <x v="177"/>
    <s v="2021-09-22"/>
    <x v="0"/>
    <x v="0"/>
    <n v="43"/>
    <x v="19"/>
    <n v="3.75"/>
    <n v="55.61"/>
    <s v="92702067"/>
  </r>
  <r>
    <x v="177"/>
    <s v="2021-09-22"/>
    <x v="0"/>
    <x v="0"/>
    <n v="42"/>
    <x v="3"/>
    <n v="3.29"/>
    <n v="47.47"/>
    <s v="05503849"/>
  </r>
  <r>
    <x v="177"/>
    <s v="2021-09-22"/>
    <x v="0"/>
    <x v="0"/>
    <n v="41"/>
    <x v="0"/>
    <n v="3.13"/>
    <n v="44.71"/>
    <s v="60850229"/>
  </r>
  <r>
    <x v="177"/>
    <s v="2021-09-22"/>
    <x v="0"/>
    <x v="0"/>
    <n v="40"/>
    <x v="2"/>
    <n v="3.09"/>
    <n v="44.11"/>
    <s v="92228410"/>
  </r>
  <r>
    <x v="177"/>
    <s v="2021-09-22"/>
    <x v="0"/>
    <x v="0"/>
    <n v="39"/>
    <x v="7"/>
    <n v="2.98"/>
    <n v="42.29"/>
    <s v="92874270"/>
  </r>
  <r>
    <x v="177"/>
    <s v="2021-09-22"/>
    <x v="0"/>
    <x v="0"/>
    <n v="38"/>
    <x v="1"/>
    <n v="2.93"/>
    <n v="41.44"/>
    <s v="01800019"/>
  </r>
  <r>
    <x v="177"/>
    <s v="2021-09-22"/>
    <x v="0"/>
    <x v="0"/>
    <n v="37"/>
    <x v="5"/>
    <n v="2.5499999999999998"/>
    <n v="35.21"/>
    <s v="80271455"/>
  </r>
  <r>
    <x v="177"/>
    <s v="2021-09-22"/>
    <x v="0"/>
    <x v="0"/>
    <n v="36"/>
    <x v="4"/>
    <n v="2.54"/>
    <n v="35.18"/>
    <s v="62232889"/>
  </r>
  <r>
    <x v="177"/>
    <s v="2021-09-22"/>
    <x v="0"/>
    <x v="0"/>
    <n v="35"/>
    <x v="9"/>
    <n v="2.4300000000000002"/>
    <n v="33.35"/>
    <s v="00411939"/>
  </r>
  <r>
    <x v="177"/>
    <s v="2021-09-22"/>
    <x v="0"/>
    <x v="0"/>
    <n v="34"/>
    <x v="6"/>
    <n v="2.42"/>
    <n v="33.24"/>
    <s v="05676026"/>
  </r>
  <r>
    <x v="177"/>
    <s v="2021-09-22"/>
    <x v="0"/>
    <x v="0"/>
    <n v="33"/>
    <x v="42"/>
    <n v="2.41"/>
    <n v="33.15"/>
    <s v="34991938"/>
  </r>
  <r>
    <x v="177"/>
    <s v="2021-09-22"/>
    <x v="0"/>
    <x v="0"/>
    <n v="32"/>
    <x v="8"/>
    <n v="2.36"/>
    <n v="32.32"/>
    <s v="59285411"/>
  </r>
  <r>
    <x v="177"/>
    <s v="2021-09-22"/>
    <x v="0"/>
    <x v="0"/>
    <n v="31"/>
    <x v="10"/>
    <n v="2.19"/>
    <n v="29.69"/>
    <s v="10371492"/>
  </r>
  <r>
    <x v="177"/>
    <s v="2021-09-22"/>
    <x v="0"/>
    <x v="0"/>
    <n v="30"/>
    <x v="13"/>
    <n v="1.96"/>
    <n v="26.24"/>
    <s v="07707650"/>
  </r>
  <r>
    <x v="177"/>
    <s v="2021-09-22"/>
    <x v="0"/>
    <x v="0"/>
    <n v="29"/>
    <x v="15"/>
    <n v="1.91"/>
    <n v="25.52"/>
    <s v="59588111"/>
  </r>
  <r>
    <x v="177"/>
    <s v="2021-09-22"/>
    <x v="0"/>
    <x v="0"/>
    <n v="28"/>
    <x v="28"/>
    <n v="1.81"/>
    <n v="23.95"/>
    <s v="90400888"/>
  </r>
  <r>
    <x v="177"/>
    <s v="2021-09-22"/>
    <x v="0"/>
    <x v="0"/>
    <n v="27"/>
    <x v="16"/>
    <n v="1.77"/>
    <n v="23.45"/>
    <s v="07207996"/>
  </r>
  <r>
    <x v="177"/>
    <s v="2021-09-22"/>
    <x v="0"/>
    <x v="0"/>
    <n v="26"/>
    <x v="20"/>
    <n v="1.76"/>
    <n v="23.26"/>
    <s v="17192451"/>
  </r>
  <r>
    <x v="177"/>
    <s v="2021-09-22"/>
    <x v="0"/>
    <x v="0"/>
    <n v="25"/>
    <x v="24"/>
    <n v="1.71"/>
    <n v="22.6"/>
    <s v="22639377"/>
  </r>
  <r>
    <x v="177"/>
    <s v="2021-09-22"/>
    <x v="0"/>
    <x v="0"/>
    <n v="24"/>
    <x v="11"/>
    <n v="1.62"/>
    <n v="21.26"/>
    <s v="03634220"/>
  </r>
  <r>
    <x v="177"/>
    <s v="2021-09-22"/>
    <x v="0"/>
    <x v="0"/>
    <n v="23"/>
    <x v="12"/>
    <n v="1.62"/>
    <n v="21.23"/>
    <s v="04862600"/>
  </r>
  <r>
    <x v="177"/>
    <s v="2021-09-22"/>
    <x v="0"/>
    <x v="0"/>
    <n v="22"/>
    <x v="21"/>
    <n v="1.61"/>
    <n v="21.08"/>
    <s v="03017677"/>
  </r>
  <r>
    <x v="177"/>
    <s v="2021-09-22"/>
    <x v="0"/>
    <x v="0"/>
    <n v="21"/>
    <x v="30"/>
    <n v="1.58"/>
    <n v="20.63"/>
    <s v="03502961"/>
  </r>
  <r>
    <x v="177"/>
    <s v="2021-09-22"/>
    <x v="0"/>
    <x v="0"/>
    <n v="20"/>
    <x v="25"/>
    <n v="1.57"/>
    <n v="20.59"/>
    <s v="59274605"/>
  </r>
  <r>
    <x v="177"/>
    <s v="2021-09-22"/>
    <x v="0"/>
    <x v="0"/>
    <n v="19"/>
    <x v="32"/>
    <n v="1.56"/>
    <n v="20.399999999999999"/>
    <s v="60701190"/>
  </r>
  <r>
    <x v="177"/>
    <s v="2021-09-22"/>
    <x v="0"/>
    <x v="0"/>
    <n v="18"/>
    <x v="29"/>
    <n v="1.53"/>
    <n v="19.95"/>
    <s v="60746948"/>
  </r>
  <r>
    <x v="177"/>
    <s v="2021-09-22"/>
    <x v="0"/>
    <x v="0"/>
    <n v="17"/>
    <x v="14"/>
    <n v="1.52"/>
    <n v="19.77"/>
    <s v="00360305"/>
  </r>
  <r>
    <x v="177"/>
    <s v="2021-09-22"/>
    <x v="0"/>
    <x v="0"/>
    <n v="16"/>
    <x v="26"/>
    <n v="1.5"/>
    <n v="19.59"/>
    <s v="30172491"/>
  </r>
  <r>
    <x v="177"/>
    <s v="2021-09-22"/>
    <x v="0"/>
    <x v="0"/>
    <n v="15"/>
    <x v="23"/>
    <n v="1.4"/>
    <n v="18.190000000000001"/>
    <s v="03215790"/>
  </r>
  <r>
    <x v="177"/>
    <s v="2021-09-22"/>
    <x v="0"/>
    <x v="0"/>
    <n v="14"/>
    <x v="33"/>
    <n v="1.4"/>
    <n v="18.100000000000001"/>
    <s v="62307848"/>
  </r>
  <r>
    <x v="177"/>
    <s v="2021-09-22"/>
    <x v="0"/>
    <x v="0"/>
    <n v="13"/>
    <x v="31"/>
    <n v="1.35"/>
    <n v="17.45"/>
    <s v="17167412"/>
  </r>
  <r>
    <x v="177"/>
    <s v="2021-09-22"/>
    <x v="0"/>
    <x v="0"/>
    <n v="12"/>
    <x v="18"/>
    <n v="1.33"/>
    <n v="17.170000000000002"/>
    <s v="28127603"/>
  </r>
  <r>
    <x v="177"/>
    <s v="2021-09-22"/>
    <x v="0"/>
    <x v="0"/>
    <n v="11"/>
    <x v="34"/>
    <n v="1.29"/>
    <n v="16.559999999999999"/>
    <s v="33603457"/>
  </r>
  <r>
    <x v="177"/>
    <s v="2021-09-22"/>
    <x v="0"/>
    <x v="0"/>
    <n v="10"/>
    <x v="27"/>
    <n v="1.28"/>
    <n v="16.54"/>
    <s v="00000000"/>
  </r>
  <r>
    <x v="177"/>
    <s v="2021-09-22"/>
    <x v="0"/>
    <x v="0"/>
    <n v="9"/>
    <x v="37"/>
    <n v="1.24"/>
    <n v="15.93"/>
    <s v="04452473"/>
  </r>
  <r>
    <x v="177"/>
    <s v="2021-09-22"/>
    <x v="0"/>
    <x v="0"/>
    <n v="8"/>
    <x v="43"/>
    <n v="1.23"/>
    <n v="15.82"/>
    <s v="07441209"/>
  </r>
  <r>
    <x v="177"/>
    <s v="2021-09-22"/>
    <x v="0"/>
    <x v="0"/>
    <n v="7"/>
    <x v="44"/>
    <n v="1.2"/>
    <n v="15.43"/>
    <s v="58017179"/>
  </r>
  <r>
    <x v="177"/>
    <s v="2021-09-22"/>
    <x v="0"/>
    <x v="0"/>
    <n v="6"/>
    <x v="38"/>
    <n v="1.1599999999999999"/>
    <n v="14.84"/>
    <s v="60814191"/>
  </r>
  <r>
    <x v="177"/>
    <s v="2021-09-22"/>
    <x v="0"/>
    <x v="0"/>
    <n v="5"/>
    <x v="35"/>
    <n v="1.1200000000000001"/>
    <n v="14.23"/>
    <s v="59109165"/>
  </r>
  <r>
    <x v="177"/>
    <s v="2021-09-22"/>
    <x v="0"/>
    <x v="0"/>
    <n v="4"/>
    <x v="36"/>
    <n v="1.1000000000000001"/>
    <n v="14.02"/>
    <s v="33136888"/>
  </r>
  <r>
    <x v="177"/>
    <s v="2021-09-22"/>
    <x v="0"/>
    <x v="0"/>
    <n v="3"/>
    <x v="40"/>
    <n v="1.07"/>
    <n v="13.68"/>
    <s v="02992446"/>
  </r>
  <r>
    <x v="177"/>
    <s v="2021-09-22"/>
    <x v="0"/>
    <x v="0"/>
    <n v="2"/>
    <x v="53"/>
    <n v="1.07"/>
    <n v="13.59"/>
    <s v="31872495"/>
  </r>
  <r>
    <x v="177"/>
    <s v="2021-09-22"/>
    <x v="0"/>
    <x v="0"/>
    <n v="1"/>
    <x v="22"/>
    <n v="1.05"/>
    <n v="13.35"/>
    <s v="11417016"/>
  </r>
  <r>
    <x v="178"/>
    <s v="2021-09-23"/>
    <x v="0"/>
    <x v="0"/>
    <n v="43"/>
    <x v="19"/>
    <n v="3.75"/>
    <n v="55.61"/>
    <s v="92702067"/>
  </r>
  <r>
    <x v="178"/>
    <s v="2021-09-23"/>
    <x v="0"/>
    <x v="0"/>
    <n v="42"/>
    <x v="3"/>
    <n v="3.27"/>
    <n v="47.16"/>
    <s v="05503849"/>
  </r>
  <r>
    <x v="178"/>
    <s v="2021-09-23"/>
    <x v="0"/>
    <x v="0"/>
    <n v="41"/>
    <x v="0"/>
    <n v="3.15"/>
    <n v="45.08"/>
    <s v="60850229"/>
  </r>
  <r>
    <x v="178"/>
    <s v="2021-09-23"/>
    <x v="0"/>
    <x v="0"/>
    <n v="40"/>
    <x v="2"/>
    <n v="3.1"/>
    <n v="44.26"/>
    <s v="92228410"/>
  </r>
  <r>
    <x v="178"/>
    <s v="2021-09-23"/>
    <x v="0"/>
    <x v="0"/>
    <n v="39"/>
    <x v="7"/>
    <n v="2.99"/>
    <n v="42.46"/>
    <s v="92874270"/>
  </r>
  <r>
    <x v="178"/>
    <s v="2021-09-23"/>
    <x v="0"/>
    <x v="0"/>
    <n v="38"/>
    <x v="1"/>
    <n v="2.92"/>
    <n v="41.24"/>
    <s v="01800019"/>
  </r>
  <r>
    <x v="178"/>
    <s v="2021-09-23"/>
    <x v="0"/>
    <x v="0"/>
    <n v="37"/>
    <x v="5"/>
    <n v="2.57"/>
    <n v="35.549999999999997"/>
    <s v="80271455"/>
  </r>
  <r>
    <x v="178"/>
    <s v="2021-09-23"/>
    <x v="0"/>
    <x v="0"/>
    <n v="36"/>
    <x v="4"/>
    <n v="2.54"/>
    <n v="35.1"/>
    <s v="62232889"/>
  </r>
  <r>
    <x v="178"/>
    <s v="2021-09-23"/>
    <x v="0"/>
    <x v="0"/>
    <n v="35"/>
    <x v="9"/>
    <n v="2.46"/>
    <n v="33.840000000000003"/>
    <s v="00411939"/>
  </r>
  <r>
    <x v="178"/>
    <s v="2021-09-23"/>
    <x v="0"/>
    <x v="0"/>
    <n v="34"/>
    <x v="6"/>
    <n v="2.41"/>
    <n v="33.14"/>
    <s v="05676026"/>
  </r>
  <r>
    <x v="178"/>
    <s v="2021-09-23"/>
    <x v="0"/>
    <x v="0"/>
    <n v="33"/>
    <x v="42"/>
    <n v="2.4"/>
    <n v="32.94"/>
    <s v="34991938"/>
  </r>
  <r>
    <x v="178"/>
    <s v="2021-09-23"/>
    <x v="0"/>
    <x v="0"/>
    <n v="32"/>
    <x v="8"/>
    <n v="2.36"/>
    <n v="32.299999999999997"/>
    <s v="59285411"/>
  </r>
  <r>
    <x v="178"/>
    <s v="2021-09-23"/>
    <x v="0"/>
    <x v="0"/>
    <n v="31"/>
    <x v="10"/>
    <n v="2.19"/>
    <n v="29.71"/>
    <s v="10371492"/>
  </r>
  <r>
    <x v="178"/>
    <s v="2021-09-23"/>
    <x v="0"/>
    <x v="0"/>
    <n v="30"/>
    <x v="13"/>
    <n v="1.97"/>
    <n v="26.36"/>
    <s v="07707650"/>
  </r>
  <r>
    <x v="178"/>
    <s v="2021-09-23"/>
    <x v="0"/>
    <x v="0"/>
    <n v="29"/>
    <x v="15"/>
    <n v="1.92"/>
    <n v="25.61"/>
    <s v="59588111"/>
  </r>
  <r>
    <x v="178"/>
    <s v="2021-09-23"/>
    <x v="0"/>
    <x v="0"/>
    <n v="28"/>
    <x v="28"/>
    <n v="1.8"/>
    <n v="23.92"/>
    <s v="90400888"/>
  </r>
  <r>
    <x v="178"/>
    <s v="2021-09-23"/>
    <x v="0"/>
    <x v="0"/>
    <n v="27"/>
    <x v="16"/>
    <n v="1.78"/>
    <n v="23.58"/>
    <s v="07207996"/>
  </r>
  <r>
    <x v="178"/>
    <s v="2021-09-23"/>
    <x v="0"/>
    <x v="0"/>
    <n v="26"/>
    <x v="24"/>
    <n v="1.77"/>
    <n v="23.45"/>
    <s v="22639377"/>
  </r>
  <r>
    <x v="178"/>
    <s v="2021-09-23"/>
    <x v="0"/>
    <x v="0"/>
    <n v="25"/>
    <x v="20"/>
    <n v="1.76"/>
    <n v="23.25"/>
    <s v="17192451"/>
  </r>
  <r>
    <x v="178"/>
    <s v="2021-09-23"/>
    <x v="0"/>
    <x v="0"/>
    <n v="24"/>
    <x v="11"/>
    <n v="1.63"/>
    <n v="21.41"/>
    <s v="03634220"/>
  </r>
  <r>
    <x v="178"/>
    <s v="2021-09-23"/>
    <x v="0"/>
    <x v="0"/>
    <n v="23"/>
    <x v="21"/>
    <n v="1.62"/>
    <n v="21.21"/>
    <s v="03017677"/>
  </r>
  <r>
    <x v="178"/>
    <s v="2021-09-23"/>
    <x v="0"/>
    <x v="0"/>
    <n v="22"/>
    <x v="14"/>
    <n v="1.61"/>
    <n v="21.16"/>
    <s v="00360305"/>
  </r>
  <r>
    <x v="178"/>
    <s v="2021-09-23"/>
    <x v="0"/>
    <x v="0"/>
    <n v="21"/>
    <x v="12"/>
    <n v="1.6"/>
    <n v="21.02"/>
    <s v="04862600"/>
  </r>
  <r>
    <x v="178"/>
    <s v="2021-09-23"/>
    <x v="0"/>
    <x v="0"/>
    <n v="20"/>
    <x v="30"/>
    <n v="1.58"/>
    <n v="20.73"/>
    <s v="03502961"/>
  </r>
  <r>
    <x v="178"/>
    <s v="2021-09-23"/>
    <x v="0"/>
    <x v="0"/>
    <n v="19"/>
    <x v="25"/>
    <n v="1.57"/>
    <n v="20.53"/>
    <s v="59274605"/>
  </r>
  <r>
    <x v="178"/>
    <s v="2021-09-23"/>
    <x v="0"/>
    <x v="0"/>
    <n v="18"/>
    <x v="32"/>
    <n v="1.56"/>
    <n v="20.350000000000001"/>
    <s v="60701190"/>
  </r>
  <r>
    <x v="178"/>
    <s v="2021-09-23"/>
    <x v="0"/>
    <x v="0"/>
    <n v="17"/>
    <x v="29"/>
    <n v="1.53"/>
    <n v="20"/>
    <s v="60746948"/>
  </r>
  <r>
    <x v="178"/>
    <s v="2021-09-23"/>
    <x v="0"/>
    <x v="0"/>
    <n v="16"/>
    <x v="26"/>
    <n v="1.5"/>
    <n v="19.579999999999998"/>
    <s v="30172491"/>
  </r>
  <r>
    <x v="178"/>
    <s v="2021-09-23"/>
    <x v="0"/>
    <x v="0"/>
    <n v="15"/>
    <x v="23"/>
    <n v="1.41"/>
    <n v="18.350000000000001"/>
    <s v="03215790"/>
  </r>
  <r>
    <x v="178"/>
    <s v="2021-09-23"/>
    <x v="0"/>
    <x v="0"/>
    <n v="14"/>
    <x v="33"/>
    <n v="1.4"/>
    <n v="18.190000000000001"/>
    <s v="62307848"/>
  </r>
  <r>
    <x v="178"/>
    <s v="2021-09-23"/>
    <x v="0"/>
    <x v="0"/>
    <n v="13"/>
    <x v="31"/>
    <n v="1.36"/>
    <n v="17.559999999999999"/>
    <s v="17167412"/>
  </r>
  <r>
    <x v="178"/>
    <s v="2021-09-23"/>
    <x v="0"/>
    <x v="0"/>
    <n v="12"/>
    <x v="18"/>
    <n v="1.32"/>
    <n v="16.98"/>
    <s v="28127603"/>
  </r>
  <r>
    <x v="178"/>
    <s v="2021-09-23"/>
    <x v="0"/>
    <x v="0"/>
    <n v="11"/>
    <x v="34"/>
    <n v="1.3"/>
    <n v="16.77"/>
    <s v="33603457"/>
  </r>
  <r>
    <x v="178"/>
    <s v="2021-09-23"/>
    <x v="0"/>
    <x v="0"/>
    <n v="10"/>
    <x v="27"/>
    <n v="1.29"/>
    <n v="16.63"/>
    <s v="00000000"/>
  </r>
  <r>
    <x v="178"/>
    <s v="2021-09-23"/>
    <x v="0"/>
    <x v="0"/>
    <n v="9"/>
    <x v="43"/>
    <n v="1.27"/>
    <n v="16.329999999999998"/>
    <s v="07441209"/>
  </r>
  <r>
    <x v="178"/>
    <s v="2021-09-23"/>
    <x v="0"/>
    <x v="0"/>
    <n v="8"/>
    <x v="37"/>
    <n v="1.24"/>
    <n v="15.94"/>
    <s v="04452473"/>
  </r>
  <r>
    <x v="178"/>
    <s v="2021-09-23"/>
    <x v="0"/>
    <x v="0"/>
    <n v="7"/>
    <x v="44"/>
    <n v="1.2"/>
    <n v="15.43"/>
    <s v="58017179"/>
  </r>
  <r>
    <x v="178"/>
    <s v="2021-09-23"/>
    <x v="0"/>
    <x v="0"/>
    <n v="6"/>
    <x v="38"/>
    <n v="1.17"/>
    <n v="15.04"/>
    <s v="60814191"/>
  </r>
  <r>
    <x v="178"/>
    <s v="2021-09-23"/>
    <x v="0"/>
    <x v="0"/>
    <n v="5"/>
    <x v="35"/>
    <n v="1.1100000000000001"/>
    <n v="14.2"/>
    <s v="59109165"/>
  </r>
  <r>
    <x v="178"/>
    <s v="2021-09-23"/>
    <x v="0"/>
    <x v="0"/>
    <n v="4"/>
    <x v="36"/>
    <n v="1.1000000000000001"/>
    <n v="14.02"/>
    <s v="33136888"/>
  </r>
  <r>
    <x v="178"/>
    <s v="2021-09-23"/>
    <x v="0"/>
    <x v="0"/>
    <n v="3"/>
    <x v="53"/>
    <n v="1.07"/>
    <n v="13.59"/>
    <s v="31872495"/>
  </r>
  <r>
    <x v="178"/>
    <s v="2021-09-23"/>
    <x v="0"/>
    <x v="0"/>
    <n v="2"/>
    <x v="22"/>
    <n v="1.06"/>
    <n v="13.55"/>
    <s v="11417016"/>
  </r>
  <r>
    <x v="178"/>
    <s v="2021-09-23"/>
    <x v="0"/>
    <x v="0"/>
    <n v="1"/>
    <x v="40"/>
    <n v="1.04"/>
    <n v="13.15"/>
    <s v="02992446"/>
  </r>
  <r>
    <x v="179"/>
    <s v="2021-09-24"/>
    <x v="0"/>
    <x v="0"/>
    <n v="43"/>
    <x v="3"/>
    <n v="3.28"/>
    <n v="47.31"/>
    <s v="05503849"/>
  </r>
  <r>
    <x v="179"/>
    <s v="2021-09-24"/>
    <x v="0"/>
    <x v="0"/>
    <n v="42"/>
    <x v="0"/>
    <n v="3.13"/>
    <n v="44.83"/>
    <s v="60850229"/>
  </r>
  <r>
    <x v="179"/>
    <s v="2021-09-24"/>
    <x v="0"/>
    <x v="0"/>
    <n v="41"/>
    <x v="2"/>
    <n v="3.08"/>
    <n v="43.97"/>
    <s v="92228410"/>
  </r>
  <r>
    <x v="179"/>
    <s v="2021-09-24"/>
    <x v="0"/>
    <x v="0"/>
    <n v="40"/>
    <x v="1"/>
    <n v="3.05"/>
    <n v="43.43"/>
    <s v="01800019"/>
  </r>
  <r>
    <x v="179"/>
    <s v="2021-09-24"/>
    <x v="0"/>
    <x v="0"/>
    <n v="39"/>
    <x v="7"/>
    <n v="2.99"/>
    <n v="42.39"/>
    <s v="92874270"/>
  </r>
  <r>
    <x v="179"/>
    <s v="2021-09-24"/>
    <x v="0"/>
    <x v="0"/>
    <n v="38"/>
    <x v="4"/>
    <n v="2.56"/>
    <n v="35.4"/>
    <s v="62232889"/>
  </r>
  <r>
    <x v="179"/>
    <s v="2021-09-24"/>
    <x v="0"/>
    <x v="0"/>
    <n v="37"/>
    <x v="5"/>
    <n v="2.5299999999999998"/>
    <n v="35.03"/>
    <s v="80271455"/>
  </r>
  <r>
    <x v="179"/>
    <s v="2021-09-24"/>
    <x v="0"/>
    <x v="0"/>
    <n v="36"/>
    <x v="6"/>
    <n v="2.41"/>
    <n v="33.049999999999997"/>
    <s v="05676026"/>
  </r>
  <r>
    <x v="179"/>
    <s v="2021-09-24"/>
    <x v="0"/>
    <x v="0"/>
    <n v="35"/>
    <x v="42"/>
    <n v="2.39"/>
    <n v="32.770000000000003"/>
    <s v="34991938"/>
  </r>
  <r>
    <x v="179"/>
    <s v="2021-09-24"/>
    <x v="0"/>
    <x v="0"/>
    <n v="34"/>
    <x v="9"/>
    <n v="2.39"/>
    <n v="32.729999999999997"/>
    <s v="00411939"/>
  </r>
  <r>
    <x v="179"/>
    <s v="2021-09-24"/>
    <x v="0"/>
    <x v="0"/>
    <n v="33"/>
    <x v="8"/>
    <n v="2.35"/>
    <n v="32.21"/>
    <s v="59285411"/>
  </r>
  <r>
    <x v="179"/>
    <s v="2021-09-24"/>
    <x v="0"/>
    <x v="0"/>
    <n v="32"/>
    <x v="10"/>
    <n v="2.1800000000000002"/>
    <n v="29.59"/>
    <s v="10371492"/>
  </r>
  <r>
    <x v="179"/>
    <s v="2021-09-24"/>
    <x v="0"/>
    <x v="0"/>
    <n v="31"/>
    <x v="19"/>
    <n v="2.17"/>
    <n v="29.43"/>
    <s v="92702067"/>
  </r>
  <r>
    <x v="179"/>
    <s v="2021-09-24"/>
    <x v="0"/>
    <x v="0"/>
    <n v="30"/>
    <x v="24"/>
    <n v="2.0699999999999998"/>
    <n v="27.9"/>
    <s v="22639377"/>
  </r>
  <r>
    <x v="179"/>
    <s v="2021-09-24"/>
    <x v="0"/>
    <x v="0"/>
    <n v="29"/>
    <x v="13"/>
    <n v="1.98"/>
    <n v="26.52"/>
    <s v="07707650"/>
  </r>
  <r>
    <x v="179"/>
    <s v="2021-09-24"/>
    <x v="0"/>
    <x v="0"/>
    <n v="28"/>
    <x v="15"/>
    <n v="1.93"/>
    <n v="25.71"/>
    <s v="59588111"/>
  </r>
  <r>
    <x v="179"/>
    <s v="2021-09-24"/>
    <x v="0"/>
    <x v="0"/>
    <n v="27"/>
    <x v="28"/>
    <n v="1.85"/>
    <n v="24.54"/>
    <s v="90400888"/>
  </r>
  <r>
    <x v="179"/>
    <s v="2021-09-24"/>
    <x v="0"/>
    <x v="0"/>
    <n v="26"/>
    <x v="16"/>
    <n v="1.8"/>
    <n v="23.85"/>
    <s v="07207996"/>
  </r>
  <r>
    <x v="179"/>
    <s v="2021-09-24"/>
    <x v="0"/>
    <x v="0"/>
    <n v="25"/>
    <x v="20"/>
    <n v="1.77"/>
    <n v="23.46"/>
    <s v="17192451"/>
  </r>
  <r>
    <x v="179"/>
    <s v="2021-09-24"/>
    <x v="0"/>
    <x v="0"/>
    <n v="24"/>
    <x v="11"/>
    <n v="1.7"/>
    <n v="22.37"/>
    <s v="03634220"/>
  </r>
  <r>
    <x v="179"/>
    <s v="2021-09-24"/>
    <x v="0"/>
    <x v="0"/>
    <n v="23"/>
    <x v="14"/>
    <n v="1.66"/>
    <n v="21.83"/>
    <s v="00360305"/>
  </r>
  <r>
    <x v="179"/>
    <s v="2021-09-24"/>
    <x v="0"/>
    <x v="0"/>
    <n v="22"/>
    <x v="21"/>
    <n v="1.65"/>
    <n v="21.67"/>
    <s v="03017677"/>
  </r>
  <r>
    <x v="179"/>
    <s v="2021-09-24"/>
    <x v="0"/>
    <x v="0"/>
    <n v="21"/>
    <x v="12"/>
    <n v="1.58"/>
    <n v="20.66"/>
    <s v="04862600"/>
  </r>
  <r>
    <x v="179"/>
    <s v="2021-09-24"/>
    <x v="0"/>
    <x v="0"/>
    <n v="20"/>
    <x v="30"/>
    <n v="1.58"/>
    <n v="20.63"/>
    <s v="03502961"/>
  </r>
  <r>
    <x v="179"/>
    <s v="2021-09-24"/>
    <x v="0"/>
    <x v="0"/>
    <n v="19"/>
    <x v="32"/>
    <n v="1.57"/>
    <n v="20.56"/>
    <s v="60701190"/>
  </r>
  <r>
    <x v="179"/>
    <s v="2021-09-24"/>
    <x v="0"/>
    <x v="0"/>
    <n v="18"/>
    <x v="25"/>
    <n v="1.56"/>
    <n v="20.399999999999999"/>
    <s v="59274605"/>
  </r>
  <r>
    <x v="179"/>
    <s v="2021-09-24"/>
    <x v="0"/>
    <x v="0"/>
    <n v="17"/>
    <x v="29"/>
    <n v="1.55"/>
    <n v="20.29"/>
    <s v="60746948"/>
  </r>
  <r>
    <x v="179"/>
    <s v="2021-09-24"/>
    <x v="0"/>
    <x v="0"/>
    <n v="16"/>
    <x v="26"/>
    <n v="1.5"/>
    <n v="19.489999999999998"/>
    <s v="30172491"/>
  </r>
  <r>
    <x v="179"/>
    <s v="2021-09-24"/>
    <x v="0"/>
    <x v="0"/>
    <n v="15"/>
    <x v="23"/>
    <n v="1.46"/>
    <n v="18.920000000000002"/>
    <s v="03215790"/>
  </r>
  <r>
    <x v="179"/>
    <s v="2021-09-24"/>
    <x v="0"/>
    <x v="0"/>
    <n v="14"/>
    <x v="33"/>
    <n v="1.42"/>
    <n v="18.41"/>
    <s v="62307848"/>
  </r>
  <r>
    <x v="179"/>
    <s v="2021-09-24"/>
    <x v="0"/>
    <x v="0"/>
    <n v="13"/>
    <x v="18"/>
    <n v="1.41"/>
    <n v="18.29"/>
    <s v="28127603"/>
  </r>
  <r>
    <x v="179"/>
    <s v="2021-09-24"/>
    <x v="0"/>
    <x v="0"/>
    <n v="12"/>
    <x v="31"/>
    <n v="1.38"/>
    <n v="17.850000000000001"/>
    <s v="17167412"/>
  </r>
  <r>
    <x v="179"/>
    <s v="2021-09-24"/>
    <x v="0"/>
    <x v="0"/>
    <n v="11"/>
    <x v="44"/>
    <n v="1.36"/>
    <n v="17.579999999999998"/>
    <s v="58017179"/>
  </r>
  <r>
    <x v="179"/>
    <s v="2021-09-24"/>
    <x v="0"/>
    <x v="0"/>
    <n v="10"/>
    <x v="27"/>
    <n v="1.3"/>
    <n v="16.79"/>
    <s v="00000000"/>
  </r>
  <r>
    <x v="179"/>
    <s v="2021-09-24"/>
    <x v="0"/>
    <x v="0"/>
    <n v="9"/>
    <x v="34"/>
    <n v="1.29"/>
    <n v="16.68"/>
    <s v="33603457"/>
  </r>
  <r>
    <x v="179"/>
    <s v="2021-09-24"/>
    <x v="0"/>
    <x v="0"/>
    <n v="8"/>
    <x v="38"/>
    <n v="1.25"/>
    <n v="16.11"/>
    <s v="60814191"/>
  </r>
  <r>
    <x v="179"/>
    <s v="2021-09-24"/>
    <x v="0"/>
    <x v="0"/>
    <n v="7"/>
    <x v="37"/>
    <n v="1.25"/>
    <n v="16.05"/>
    <s v="04452473"/>
  </r>
  <r>
    <x v="179"/>
    <s v="2021-09-24"/>
    <x v="0"/>
    <x v="0"/>
    <n v="6"/>
    <x v="47"/>
    <n v="1.1599999999999999"/>
    <n v="14.88"/>
    <s v="28517628"/>
  </r>
  <r>
    <x v="179"/>
    <s v="2021-09-24"/>
    <x v="0"/>
    <x v="0"/>
    <n v="5"/>
    <x v="35"/>
    <n v="1.1100000000000001"/>
    <n v="14.11"/>
    <s v="59109165"/>
  </r>
  <r>
    <x v="179"/>
    <s v="2021-09-24"/>
    <x v="0"/>
    <x v="0"/>
    <n v="4"/>
    <x v="22"/>
    <n v="1.1000000000000001"/>
    <n v="14.01"/>
    <s v="11417016"/>
  </r>
  <r>
    <x v="179"/>
    <s v="2021-09-24"/>
    <x v="0"/>
    <x v="0"/>
    <n v="3"/>
    <x v="36"/>
    <n v="1.0900000000000001"/>
    <n v="13.93"/>
    <s v="33136888"/>
  </r>
  <r>
    <x v="179"/>
    <s v="2021-09-24"/>
    <x v="0"/>
    <x v="0"/>
    <n v="2"/>
    <x v="53"/>
    <n v="1.07"/>
    <n v="13.59"/>
    <s v="31872495"/>
  </r>
  <r>
    <x v="179"/>
    <s v="2021-09-24"/>
    <x v="0"/>
    <x v="0"/>
    <n v="1"/>
    <x v="40"/>
    <n v="1.05"/>
    <n v="13.37"/>
    <s v="02992446"/>
  </r>
  <r>
    <x v="180"/>
    <s v="2021-09-27"/>
    <x v="0"/>
    <x v="0"/>
    <n v="43"/>
    <x v="3"/>
    <n v="3.31"/>
    <n v="47.87"/>
    <s v="05503849"/>
  </r>
  <r>
    <x v="180"/>
    <s v="2021-09-27"/>
    <x v="0"/>
    <x v="0"/>
    <n v="42"/>
    <x v="0"/>
    <n v="3.18"/>
    <n v="45.58"/>
    <s v="60850229"/>
  </r>
  <r>
    <x v="180"/>
    <s v="2021-09-27"/>
    <x v="0"/>
    <x v="0"/>
    <n v="41"/>
    <x v="2"/>
    <n v="3.1"/>
    <n v="44.23"/>
    <s v="92228410"/>
  </r>
  <r>
    <x v="180"/>
    <s v="2021-09-27"/>
    <x v="0"/>
    <x v="0"/>
    <n v="40"/>
    <x v="1"/>
    <n v="2.99"/>
    <n v="42.45"/>
    <s v="01800019"/>
  </r>
  <r>
    <x v="180"/>
    <s v="2021-09-27"/>
    <x v="0"/>
    <x v="0"/>
    <n v="39"/>
    <x v="7"/>
    <n v="2.99"/>
    <n v="42.33"/>
    <s v="92874270"/>
  </r>
  <r>
    <x v="180"/>
    <s v="2021-09-27"/>
    <x v="0"/>
    <x v="0"/>
    <n v="38"/>
    <x v="4"/>
    <n v="2.56"/>
    <n v="35.49"/>
    <s v="62232889"/>
  </r>
  <r>
    <x v="180"/>
    <s v="2021-09-27"/>
    <x v="0"/>
    <x v="0"/>
    <n v="37"/>
    <x v="5"/>
    <n v="2.4700000000000002"/>
    <n v="34.08"/>
    <s v="80271455"/>
  </r>
  <r>
    <x v="180"/>
    <s v="2021-09-27"/>
    <x v="0"/>
    <x v="0"/>
    <n v="36"/>
    <x v="42"/>
    <n v="2.41"/>
    <n v="33.119999999999997"/>
    <s v="34991938"/>
  </r>
  <r>
    <x v="180"/>
    <s v="2021-09-27"/>
    <x v="0"/>
    <x v="0"/>
    <n v="35"/>
    <x v="9"/>
    <n v="2.41"/>
    <n v="33.04"/>
    <s v="00411939"/>
  </r>
  <r>
    <x v="180"/>
    <s v="2021-09-27"/>
    <x v="0"/>
    <x v="0"/>
    <n v="34"/>
    <x v="6"/>
    <n v="2.4"/>
    <n v="32.979999999999997"/>
    <s v="05676026"/>
  </r>
  <r>
    <x v="180"/>
    <s v="2021-09-27"/>
    <x v="0"/>
    <x v="0"/>
    <n v="33"/>
    <x v="8"/>
    <n v="2.37"/>
    <n v="32.479999999999997"/>
    <s v="59285411"/>
  </r>
  <r>
    <x v="180"/>
    <s v="2021-09-27"/>
    <x v="0"/>
    <x v="0"/>
    <n v="32"/>
    <x v="19"/>
    <n v="2.17"/>
    <n v="29.43"/>
    <s v="92702067"/>
  </r>
  <r>
    <x v="180"/>
    <s v="2021-09-27"/>
    <x v="0"/>
    <x v="0"/>
    <n v="31"/>
    <x v="10"/>
    <n v="2.17"/>
    <n v="29.35"/>
    <s v="10371492"/>
  </r>
  <r>
    <x v="180"/>
    <s v="2021-09-27"/>
    <x v="0"/>
    <x v="0"/>
    <n v="30"/>
    <x v="24"/>
    <n v="2.0299999999999998"/>
    <n v="27.21"/>
    <s v="22639377"/>
  </r>
  <r>
    <x v="180"/>
    <s v="2021-09-27"/>
    <x v="0"/>
    <x v="0"/>
    <n v="29"/>
    <x v="13"/>
    <n v="1.99"/>
    <n v="26.74"/>
    <s v="07707650"/>
  </r>
  <r>
    <x v="180"/>
    <s v="2021-09-27"/>
    <x v="0"/>
    <x v="0"/>
    <n v="28"/>
    <x v="15"/>
    <n v="1.93"/>
    <n v="25.75"/>
    <s v="59588111"/>
  </r>
  <r>
    <x v="180"/>
    <s v="2021-09-27"/>
    <x v="0"/>
    <x v="0"/>
    <n v="27"/>
    <x v="28"/>
    <n v="1.85"/>
    <n v="24.56"/>
    <s v="90400888"/>
  </r>
  <r>
    <x v="180"/>
    <s v="2021-09-27"/>
    <x v="0"/>
    <x v="0"/>
    <n v="26"/>
    <x v="16"/>
    <n v="1.84"/>
    <n v="24.43"/>
    <s v="07207996"/>
  </r>
  <r>
    <x v="180"/>
    <s v="2021-09-27"/>
    <x v="0"/>
    <x v="0"/>
    <n v="25"/>
    <x v="20"/>
    <n v="1.78"/>
    <n v="23.5"/>
    <s v="17192451"/>
  </r>
  <r>
    <x v="180"/>
    <s v="2021-09-27"/>
    <x v="0"/>
    <x v="0"/>
    <n v="24"/>
    <x v="11"/>
    <n v="1.68"/>
    <n v="22.1"/>
    <s v="03634220"/>
  </r>
  <r>
    <x v="180"/>
    <s v="2021-09-27"/>
    <x v="0"/>
    <x v="0"/>
    <n v="23"/>
    <x v="21"/>
    <n v="1.65"/>
    <n v="21.74"/>
    <s v="03017677"/>
  </r>
  <r>
    <x v="180"/>
    <s v="2021-09-27"/>
    <x v="0"/>
    <x v="0"/>
    <n v="22"/>
    <x v="14"/>
    <n v="1.63"/>
    <n v="21.41"/>
    <s v="00360305"/>
  </r>
  <r>
    <x v="180"/>
    <s v="2021-09-27"/>
    <x v="0"/>
    <x v="0"/>
    <n v="21"/>
    <x v="30"/>
    <n v="1.6"/>
    <n v="20.96"/>
    <s v="03502961"/>
  </r>
  <r>
    <x v="180"/>
    <s v="2021-09-27"/>
    <x v="0"/>
    <x v="0"/>
    <n v="20"/>
    <x v="12"/>
    <n v="1.58"/>
    <n v="20.64"/>
    <s v="04862600"/>
  </r>
  <r>
    <x v="180"/>
    <s v="2021-09-27"/>
    <x v="0"/>
    <x v="0"/>
    <n v="19"/>
    <x v="32"/>
    <n v="1.56"/>
    <n v="20.440000000000001"/>
    <s v="60701190"/>
  </r>
  <r>
    <x v="180"/>
    <s v="2021-09-27"/>
    <x v="0"/>
    <x v="0"/>
    <n v="18"/>
    <x v="25"/>
    <n v="1.56"/>
    <n v="20.36"/>
    <s v="59274605"/>
  </r>
  <r>
    <x v="180"/>
    <s v="2021-09-27"/>
    <x v="0"/>
    <x v="0"/>
    <n v="17"/>
    <x v="29"/>
    <n v="1.55"/>
    <n v="20.28"/>
    <s v="60746948"/>
  </r>
  <r>
    <x v="180"/>
    <s v="2021-09-27"/>
    <x v="0"/>
    <x v="0"/>
    <n v="16"/>
    <x v="26"/>
    <n v="1.5"/>
    <n v="19.579999999999998"/>
    <s v="30172491"/>
  </r>
  <r>
    <x v="180"/>
    <s v="2021-09-27"/>
    <x v="0"/>
    <x v="0"/>
    <n v="15"/>
    <x v="23"/>
    <n v="1.47"/>
    <n v="19.059999999999999"/>
    <s v="03215790"/>
  </r>
  <r>
    <x v="180"/>
    <s v="2021-09-27"/>
    <x v="0"/>
    <x v="0"/>
    <n v="14"/>
    <x v="33"/>
    <n v="1.41"/>
    <n v="18.309999999999999"/>
    <s v="62307848"/>
  </r>
  <r>
    <x v="180"/>
    <s v="2021-09-27"/>
    <x v="0"/>
    <x v="0"/>
    <n v="13"/>
    <x v="18"/>
    <n v="1.4"/>
    <n v="18.11"/>
    <s v="28127603"/>
  </r>
  <r>
    <x v="180"/>
    <s v="2021-09-27"/>
    <x v="0"/>
    <x v="0"/>
    <n v="12"/>
    <x v="31"/>
    <n v="1.38"/>
    <n v="17.829999999999998"/>
    <s v="17167412"/>
  </r>
  <r>
    <x v="180"/>
    <s v="2021-09-27"/>
    <x v="0"/>
    <x v="0"/>
    <n v="11"/>
    <x v="27"/>
    <n v="1.32"/>
    <n v="17.010000000000002"/>
    <s v="00000000"/>
  </r>
  <r>
    <x v="180"/>
    <s v="2021-09-27"/>
    <x v="0"/>
    <x v="0"/>
    <n v="10"/>
    <x v="34"/>
    <n v="1.29"/>
    <n v="16.62"/>
    <s v="33603457"/>
  </r>
  <r>
    <x v="180"/>
    <s v="2021-09-27"/>
    <x v="0"/>
    <x v="0"/>
    <n v="9"/>
    <x v="44"/>
    <n v="1.27"/>
    <n v="16.41"/>
    <s v="58017179"/>
  </r>
  <r>
    <x v="180"/>
    <s v="2021-09-27"/>
    <x v="0"/>
    <x v="0"/>
    <n v="8"/>
    <x v="37"/>
    <n v="1.25"/>
    <n v="16.05"/>
    <s v="04452473"/>
  </r>
  <r>
    <x v="180"/>
    <s v="2021-09-27"/>
    <x v="0"/>
    <x v="0"/>
    <n v="7"/>
    <x v="36"/>
    <n v="1.19"/>
    <n v="15.28"/>
    <s v="33136888"/>
  </r>
  <r>
    <x v="180"/>
    <s v="2021-09-27"/>
    <x v="0"/>
    <x v="0"/>
    <n v="6"/>
    <x v="47"/>
    <n v="1.1599999999999999"/>
    <n v="14.88"/>
    <s v="28517628"/>
  </r>
  <r>
    <x v="180"/>
    <s v="2021-09-27"/>
    <x v="0"/>
    <x v="0"/>
    <n v="5"/>
    <x v="38"/>
    <n v="1.1399999999999999"/>
    <n v="14.51"/>
    <s v="60814191"/>
  </r>
  <r>
    <x v="180"/>
    <s v="2021-09-27"/>
    <x v="0"/>
    <x v="0"/>
    <n v="4"/>
    <x v="35"/>
    <n v="1.1000000000000001"/>
    <n v="13.96"/>
    <s v="59109165"/>
  </r>
  <r>
    <x v="180"/>
    <s v="2021-09-27"/>
    <x v="0"/>
    <x v="0"/>
    <n v="3"/>
    <x v="22"/>
    <n v="1.0900000000000001"/>
    <n v="13.93"/>
    <s v="11417016"/>
  </r>
  <r>
    <x v="180"/>
    <s v="2021-09-27"/>
    <x v="0"/>
    <x v="0"/>
    <n v="2"/>
    <x v="53"/>
    <n v="1.07"/>
    <n v="13.59"/>
    <s v="31872495"/>
  </r>
  <r>
    <x v="180"/>
    <s v="2021-09-27"/>
    <x v="0"/>
    <x v="0"/>
    <n v="1"/>
    <x v="40"/>
    <n v="1.06"/>
    <n v="13.47"/>
    <s v="02992446"/>
  </r>
  <r>
    <x v="181"/>
    <s v="2021-09-28"/>
    <x v="0"/>
    <x v="0"/>
    <n v="43"/>
    <x v="3"/>
    <n v="3.28"/>
    <n v="47.38"/>
    <s v="05503849"/>
  </r>
  <r>
    <x v="181"/>
    <s v="2021-09-28"/>
    <x v="0"/>
    <x v="0"/>
    <n v="42"/>
    <x v="0"/>
    <n v="3.14"/>
    <n v="44.95"/>
    <s v="60850229"/>
  </r>
  <r>
    <x v="181"/>
    <s v="2021-09-28"/>
    <x v="0"/>
    <x v="0"/>
    <n v="41"/>
    <x v="7"/>
    <n v="3.09"/>
    <n v="44.14"/>
    <s v="92874270"/>
  </r>
  <r>
    <x v="181"/>
    <s v="2021-09-28"/>
    <x v="0"/>
    <x v="0"/>
    <n v="40"/>
    <x v="2"/>
    <n v="3.09"/>
    <n v="44.1"/>
    <s v="92228410"/>
  </r>
  <r>
    <x v="181"/>
    <s v="2021-09-28"/>
    <x v="0"/>
    <x v="0"/>
    <n v="39"/>
    <x v="1"/>
    <n v="2.93"/>
    <n v="41.37"/>
    <s v="01800019"/>
  </r>
  <r>
    <x v="181"/>
    <s v="2021-09-28"/>
    <x v="0"/>
    <x v="0"/>
    <n v="38"/>
    <x v="4"/>
    <n v="2.56"/>
    <n v="35.36"/>
    <s v="62232889"/>
  </r>
  <r>
    <x v="181"/>
    <s v="2021-09-28"/>
    <x v="0"/>
    <x v="0"/>
    <n v="37"/>
    <x v="42"/>
    <n v="2.4700000000000002"/>
    <n v="34"/>
    <s v="34991938"/>
  </r>
  <r>
    <x v="181"/>
    <s v="2021-09-28"/>
    <x v="0"/>
    <x v="0"/>
    <n v="36"/>
    <x v="5"/>
    <n v="2.4300000000000002"/>
    <n v="33.39"/>
    <s v="80271455"/>
  </r>
  <r>
    <x v="181"/>
    <s v="2021-09-28"/>
    <x v="0"/>
    <x v="0"/>
    <n v="35"/>
    <x v="6"/>
    <n v="2.39"/>
    <n v="32.770000000000003"/>
    <s v="05676026"/>
  </r>
  <r>
    <x v="181"/>
    <s v="2021-09-28"/>
    <x v="0"/>
    <x v="0"/>
    <n v="34"/>
    <x v="9"/>
    <n v="2.38"/>
    <n v="32.659999999999997"/>
    <s v="00411939"/>
  </r>
  <r>
    <x v="181"/>
    <s v="2021-09-28"/>
    <x v="0"/>
    <x v="0"/>
    <n v="33"/>
    <x v="8"/>
    <n v="2.38"/>
    <n v="32.6"/>
    <s v="59285411"/>
  </r>
  <r>
    <x v="181"/>
    <s v="2021-09-28"/>
    <x v="0"/>
    <x v="0"/>
    <n v="32"/>
    <x v="10"/>
    <n v="2.15"/>
    <n v="29.09"/>
    <s v="10371492"/>
  </r>
  <r>
    <x v="181"/>
    <s v="2021-09-28"/>
    <x v="0"/>
    <x v="0"/>
    <n v="31"/>
    <x v="19"/>
    <n v="2.0099999999999998"/>
    <n v="27.02"/>
    <s v="92702067"/>
  </r>
  <r>
    <x v="181"/>
    <s v="2021-09-28"/>
    <x v="0"/>
    <x v="0"/>
    <n v="30"/>
    <x v="13"/>
    <n v="2"/>
    <n v="26.79"/>
    <s v="07707650"/>
  </r>
  <r>
    <x v="181"/>
    <s v="2021-09-28"/>
    <x v="0"/>
    <x v="0"/>
    <n v="29"/>
    <x v="24"/>
    <n v="1.96"/>
    <n v="26.18"/>
    <s v="22639377"/>
  </r>
  <r>
    <x v="181"/>
    <s v="2021-09-28"/>
    <x v="0"/>
    <x v="0"/>
    <n v="28"/>
    <x v="15"/>
    <n v="1.93"/>
    <n v="25.75"/>
    <s v="59588111"/>
  </r>
  <r>
    <x v="181"/>
    <s v="2021-09-28"/>
    <x v="0"/>
    <x v="0"/>
    <n v="27"/>
    <x v="16"/>
    <n v="1.83"/>
    <n v="24.32"/>
    <s v="07207996"/>
  </r>
  <r>
    <x v="181"/>
    <s v="2021-09-28"/>
    <x v="0"/>
    <x v="0"/>
    <n v="26"/>
    <x v="28"/>
    <n v="1.83"/>
    <n v="24.3"/>
    <s v="90400888"/>
  </r>
  <r>
    <x v="181"/>
    <s v="2021-09-28"/>
    <x v="0"/>
    <x v="0"/>
    <n v="25"/>
    <x v="20"/>
    <n v="1.76"/>
    <n v="23.34"/>
    <s v="17192451"/>
  </r>
  <r>
    <x v="181"/>
    <s v="2021-09-28"/>
    <x v="0"/>
    <x v="0"/>
    <n v="24"/>
    <x v="11"/>
    <n v="1.67"/>
    <n v="21.93"/>
    <s v="03634220"/>
  </r>
  <r>
    <x v="181"/>
    <s v="2021-09-28"/>
    <x v="0"/>
    <x v="0"/>
    <n v="23"/>
    <x v="21"/>
    <n v="1.65"/>
    <n v="21.69"/>
    <s v="03017677"/>
  </r>
  <r>
    <x v="181"/>
    <s v="2021-09-28"/>
    <x v="0"/>
    <x v="0"/>
    <n v="22"/>
    <x v="30"/>
    <n v="1.61"/>
    <n v="21.09"/>
    <s v="03502961"/>
  </r>
  <r>
    <x v="181"/>
    <s v="2021-09-28"/>
    <x v="0"/>
    <x v="0"/>
    <n v="21"/>
    <x v="12"/>
    <n v="1.6"/>
    <n v="21.01"/>
    <s v="04862600"/>
  </r>
  <r>
    <x v="181"/>
    <s v="2021-09-28"/>
    <x v="0"/>
    <x v="0"/>
    <n v="20"/>
    <x v="29"/>
    <n v="1.58"/>
    <n v="20.66"/>
    <s v="60746948"/>
  </r>
  <r>
    <x v="181"/>
    <s v="2021-09-28"/>
    <x v="0"/>
    <x v="0"/>
    <n v="19"/>
    <x v="25"/>
    <n v="1.56"/>
    <n v="20.47"/>
    <s v="59274605"/>
  </r>
  <r>
    <x v="181"/>
    <s v="2021-09-28"/>
    <x v="0"/>
    <x v="0"/>
    <n v="18"/>
    <x v="32"/>
    <n v="1.55"/>
    <n v="20.309999999999999"/>
    <s v="60701190"/>
  </r>
  <r>
    <x v="181"/>
    <s v="2021-09-28"/>
    <x v="0"/>
    <x v="0"/>
    <n v="17"/>
    <x v="14"/>
    <n v="1.52"/>
    <n v="19.89"/>
    <s v="00360305"/>
  </r>
  <r>
    <x v="181"/>
    <s v="2021-09-28"/>
    <x v="0"/>
    <x v="0"/>
    <n v="16"/>
    <x v="26"/>
    <n v="1.5"/>
    <n v="19.52"/>
    <s v="30172491"/>
  </r>
  <r>
    <x v="181"/>
    <s v="2021-09-28"/>
    <x v="0"/>
    <x v="0"/>
    <n v="15"/>
    <x v="18"/>
    <n v="1.49"/>
    <n v="19.47"/>
    <s v="28127603"/>
  </r>
  <r>
    <x v="181"/>
    <s v="2021-09-28"/>
    <x v="0"/>
    <x v="0"/>
    <n v="14"/>
    <x v="23"/>
    <n v="1.45"/>
    <n v="18.899999999999999"/>
    <s v="03215790"/>
  </r>
  <r>
    <x v="181"/>
    <s v="2021-09-28"/>
    <x v="0"/>
    <x v="0"/>
    <n v="13"/>
    <x v="33"/>
    <n v="1.41"/>
    <n v="18.34"/>
    <s v="62307848"/>
  </r>
  <r>
    <x v="181"/>
    <s v="2021-09-28"/>
    <x v="0"/>
    <x v="0"/>
    <n v="12"/>
    <x v="31"/>
    <n v="1.37"/>
    <n v="17.78"/>
    <s v="17167412"/>
  </r>
  <r>
    <x v="181"/>
    <s v="2021-09-28"/>
    <x v="0"/>
    <x v="0"/>
    <n v="11"/>
    <x v="27"/>
    <n v="1.33"/>
    <n v="17.149999999999999"/>
    <s v="00000000"/>
  </r>
  <r>
    <x v="181"/>
    <s v="2021-09-28"/>
    <x v="0"/>
    <x v="0"/>
    <n v="10"/>
    <x v="34"/>
    <n v="1.31"/>
    <n v="16.84"/>
    <s v="33603457"/>
  </r>
  <r>
    <x v="181"/>
    <s v="2021-09-28"/>
    <x v="0"/>
    <x v="0"/>
    <n v="9"/>
    <x v="44"/>
    <n v="1.27"/>
    <n v="16.41"/>
    <s v="58017179"/>
  </r>
  <r>
    <x v="181"/>
    <s v="2021-09-28"/>
    <x v="0"/>
    <x v="0"/>
    <n v="8"/>
    <x v="37"/>
    <n v="1.25"/>
    <n v="16.11"/>
    <s v="04452473"/>
  </r>
  <r>
    <x v="181"/>
    <s v="2021-09-28"/>
    <x v="0"/>
    <x v="0"/>
    <n v="7"/>
    <x v="47"/>
    <n v="1.1599999999999999"/>
    <n v="14.88"/>
    <s v="28517628"/>
  </r>
  <r>
    <x v="181"/>
    <s v="2021-09-28"/>
    <x v="0"/>
    <x v="0"/>
    <n v="6"/>
    <x v="38"/>
    <n v="1.1499999999999999"/>
    <n v="14.66"/>
    <s v="60814191"/>
  </r>
  <r>
    <x v="181"/>
    <s v="2021-09-28"/>
    <x v="0"/>
    <x v="0"/>
    <n v="5"/>
    <x v="22"/>
    <n v="1.1000000000000001"/>
    <n v="14.09"/>
    <s v="11417016"/>
  </r>
  <r>
    <x v="181"/>
    <s v="2021-09-28"/>
    <x v="0"/>
    <x v="0"/>
    <n v="4"/>
    <x v="35"/>
    <n v="1.07"/>
    <n v="13.64"/>
    <s v="59109165"/>
  </r>
  <r>
    <x v="181"/>
    <s v="2021-09-28"/>
    <x v="0"/>
    <x v="0"/>
    <n v="3"/>
    <x v="53"/>
    <n v="1.07"/>
    <n v="13.59"/>
    <s v="31872495"/>
  </r>
  <r>
    <x v="181"/>
    <s v="2021-09-28"/>
    <x v="0"/>
    <x v="0"/>
    <n v="2"/>
    <x v="40"/>
    <n v="1.06"/>
    <n v="13.46"/>
    <s v="02992446"/>
  </r>
  <r>
    <x v="181"/>
    <s v="2021-09-28"/>
    <x v="0"/>
    <x v="0"/>
    <n v="1"/>
    <x v="36"/>
    <n v="1.05"/>
    <n v="13.37"/>
    <s v="33136888"/>
  </r>
  <r>
    <x v="182"/>
    <s v="2021-09-29"/>
    <x v="0"/>
    <x v="0"/>
    <n v="45"/>
    <x v="3"/>
    <n v="3.27"/>
    <n v="47.2"/>
    <s v="05503849"/>
  </r>
  <r>
    <x v="182"/>
    <s v="2021-09-29"/>
    <x v="0"/>
    <x v="0"/>
    <n v="44"/>
    <x v="2"/>
    <n v="3.1"/>
    <n v="44.29"/>
    <s v="92228410"/>
  </r>
  <r>
    <x v="182"/>
    <s v="2021-09-29"/>
    <x v="0"/>
    <x v="0"/>
    <n v="43"/>
    <x v="7"/>
    <n v="3.09"/>
    <n v="44.04"/>
    <s v="92874270"/>
  </r>
  <r>
    <x v="182"/>
    <s v="2021-09-29"/>
    <x v="0"/>
    <x v="0"/>
    <n v="42"/>
    <x v="0"/>
    <n v="3.08"/>
    <n v="43.99"/>
    <s v="60850229"/>
  </r>
  <r>
    <x v="182"/>
    <s v="2021-09-29"/>
    <x v="0"/>
    <x v="0"/>
    <n v="41"/>
    <x v="1"/>
    <n v="2.86"/>
    <n v="40.229999999999997"/>
    <s v="01800019"/>
  </r>
  <r>
    <x v="182"/>
    <s v="2021-09-29"/>
    <x v="0"/>
    <x v="0"/>
    <n v="40"/>
    <x v="4"/>
    <n v="2.5499999999999998"/>
    <n v="35.200000000000003"/>
    <s v="62232889"/>
  </r>
  <r>
    <x v="182"/>
    <s v="2021-09-29"/>
    <x v="0"/>
    <x v="0"/>
    <n v="39"/>
    <x v="5"/>
    <n v="2.48"/>
    <n v="34.119999999999997"/>
    <s v="80271455"/>
  </r>
  <r>
    <x v="182"/>
    <s v="2021-09-29"/>
    <x v="0"/>
    <x v="0"/>
    <n v="38"/>
    <x v="42"/>
    <n v="2.4500000000000002"/>
    <n v="33.630000000000003"/>
    <s v="34991938"/>
  </r>
  <r>
    <x v="182"/>
    <s v="2021-09-29"/>
    <x v="0"/>
    <x v="0"/>
    <n v="37"/>
    <x v="6"/>
    <n v="2.37"/>
    <n v="32.520000000000003"/>
    <s v="05676026"/>
  </r>
  <r>
    <x v="182"/>
    <s v="2021-09-29"/>
    <x v="0"/>
    <x v="0"/>
    <n v="36"/>
    <x v="9"/>
    <n v="2.37"/>
    <n v="32.49"/>
    <s v="00411939"/>
  </r>
  <r>
    <x v="182"/>
    <s v="2021-09-29"/>
    <x v="0"/>
    <x v="0"/>
    <n v="35"/>
    <x v="8"/>
    <n v="2.36"/>
    <n v="32.28"/>
    <s v="59285411"/>
  </r>
  <r>
    <x v="182"/>
    <s v="2021-09-29"/>
    <x v="0"/>
    <x v="0"/>
    <n v="34"/>
    <x v="10"/>
    <n v="2.13"/>
    <n v="28.83"/>
    <s v="10371492"/>
  </r>
  <r>
    <x v="182"/>
    <s v="2021-09-29"/>
    <x v="0"/>
    <x v="0"/>
    <n v="33"/>
    <x v="19"/>
    <n v="2.0099999999999998"/>
    <n v="26.98"/>
    <s v="92702067"/>
  </r>
  <r>
    <x v="182"/>
    <s v="2021-09-29"/>
    <x v="0"/>
    <x v="0"/>
    <n v="32"/>
    <x v="13"/>
    <n v="2"/>
    <n v="26.75"/>
    <s v="07707650"/>
  </r>
  <r>
    <x v="182"/>
    <s v="2021-09-29"/>
    <x v="0"/>
    <x v="0"/>
    <n v="31"/>
    <x v="15"/>
    <n v="1.93"/>
    <n v="25.72"/>
    <s v="59588111"/>
  </r>
  <r>
    <x v="182"/>
    <s v="2021-09-29"/>
    <x v="0"/>
    <x v="0"/>
    <n v="30"/>
    <x v="24"/>
    <n v="1.84"/>
    <n v="24.44"/>
    <s v="22639377"/>
  </r>
  <r>
    <x v="182"/>
    <s v="2021-09-29"/>
    <x v="0"/>
    <x v="0"/>
    <n v="29"/>
    <x v="28"/>
    <n v="1.83"/>
    <n v="24.3"/>
    <s v="90400888"/>
  </r>
  <r>
    <x v="182"/>
    <s v="2021-09-29"/>
    <x v="0"/>
    <x v="0"/>
    <n v="28"/>
    <x v="16"/>
    <n v="1.82"/>
    <n v="24.11"/>
    <s v="07207996"/>
  </r>
  <r>
    <x v="182"/>
    <s v="2021-09-29"/>
    <x v="0"/>
    <x v="0"/>
    <n v="27"/>
    <x v="20"/>
    <n v="1.75"/>
    <n v="23.21"/>
    <s v="17192451"/>
  </r>
  <r>
    <x v="182"/>
    <s v="2021-09-29"/>
    <x v="0"/>
    <x v="0"/>
    <n v="26"/>
    <x v="11"/>
    <n v="1.71"/>
    <n v="22.62"/>
    <s v="03634220"/>
  </r>
  <r>
    <x v="182"/>
    <s v="2021-09-29"/>
    <x v="0"/>
    <x v="0"/>
    <n v="25"/>
    <x v="21"/>
    <n v="1.65"/>
    <n v="21.69"/>
    <s v="03017677"/>
  </r>
  <r>
    <x v="182"/>
    <s v="2021-09-29"/>
    <x v="0"/>
    <x v="0"/>
    <n v="24"/>
    <x v="12"/>
    <n v="1.62"/>
    <n v="21.29"/>
    <s v="04862600"/>
  </r>
  <r>
    <x v="182"/>
    <s v="2021-09-29"/>
    <x v="0"/>
    <x v="0"/>
    <n v="23"/>
    <x v="30"/>
    <n v="1.62"/>
    <n v="21.23"/>
    <s v="03502961"/>
  </r>
  <r>
    <x v="182"/>
    <s v="2021-09-29"/>
    <x v="0"/>
    <x v="0"/>
    <n v="22"/>
    <x v="29"/>
    <n v="1.58"/>
    <n v="20.7"/>
    <s v="60746948"/>
  </r>
  <r>
    <x v="182"/>
    <s v="2021-09-29"/>
    <x v="0"/>
    <x v="0"/>
    <n v="21"/>
    <x v="25"/>
    <n v="1.56"/>
    <n v="20.39"/>
    <s v="59274605"/>
  </r>
  <r>
    <x v="182"/>
    <s v="2021-09-29"/>
    <x v="0"/>
    <x v="0"/>
    <n v="20"/>
    <x v="32"/>
    <n v="1.55"/>
    <n v="20.28"/>
    <s v="60701190"/>
  </r>
  <r>
    <x v="182"/>
    <s v="2021-09-29"/>
    <x v="0"/>
    <x v="0"/>
    <n v="19"/>
    <x v="14"/>
    <n v="1.52"/>
    <n v="19.89"/>
    <s v="00360305"/>
  </r>
  <r>
    <x v="182"/>
    <s v="2021-09-29"/>
    <x v="0"/>
    <x v="0"/>
    <n v="18"/>
    <x v="26"/>
    <n v="1.49"/>
    <n v="19.440000000000001"/>
    <s v="30172491"/>
  </r>
  <r>
    <x v="182"/>
    <s v="2021-09-29"/>
    <x v="0"/>
    <x v="0"/>
    <n v="17"/>
    <x v="18"/>
    <n v="1.48"/>
    <n v="19.25"/>
    <s v="28127603"/>
  </r>
  <r>
    <x v="182"/>
    <s v="2021-09-29"/>
    <x v="0"/>
    <x v="0"/>
    <n v="16"/>
    <x v="23"/>
    <n v="1.45"/>
    <n v="18.86"/>
    <s v="03215790"/>
  </r>
  <r>
    <x v="182"/>
    <s v="2021-09-29"/>
    <x v="0"/>
    <x v="0"/>
    <n v="15"/>
    <x v="33"/>
    <n v="1.41"/>
    <n v="18.239999999999998"/>
    <s v="62307848"/>
  </r>
  <r>
    <x v="182"/>
    <s v="2021-09-29"/>
    <x v="0"/>
    <x v="0"/>
    <n v="14"/>
    <x v="31"/>
    <n v="1.35"/>
    <n v="17.510000000000002"/>
    <s v="17167412"/>
  </r>
  <r>
    <x v="182"/>
    <s v="2021-09-29"/>
    <x v="0"/>
    <x v="0"/>
    <n v="13"/>
    <x v="27"/>
    <n v="1.33"/>
    <n v="17.239999999999998"/>
    <s v="00000000"/>
  </r>
  <r>
    <x v="182"/>
    <s v="2021-09-29"/>
    <x v="0"/>
    <x v="0"/>
    <n v="12"/>
    <x v="44"/>
    <n v="1.32"/>
    <n v="16.98"/>
    <s v="58017179"/>
  </r>
  <r>
    <x v="182"/>
    <s v="2021-09-29"/>
    <x v="0"/>
    <x v="0"/>
    <n v="11"/>
    <x v="34"/>
    <n v="1.31"/>
    <n v="16.850000000000001"/>
    <s v="33603457"/>
  </r>
  <r>
    <x v="182"/>
    <s v="2021-09-29"/>
    <x v="0"/>
    <x v="0"/>
    <n v="10"/>
    <x v="43"/>
    <n v="1.27"/>
    <n v="16.309999999999999"/>
    <s v="07441209"/>
  </r>
  <r>
    <x v="182"/>
    <s v="2021-09-29"/>
    <x v="0"/>
    <x v="0"/>
    <n v="9"/>
    <x v="37"/>
    <n v="1.26"/>
    <n v="16.14"/>
    <s v="04452473"/>
  </r>
  <r>
    <x v="182"/>
    <s v="2021-09-29"/>
    <x v="0"/>
    <x v="0"/>
    <n v="8"/>
    <x v="38"/>
    <n v="1.18"/>
    <n v="15.18"/>
    <s v="60814191"/>
  </r>
  <r>
    <x v="182"/>
    <s v="2021-09-29"/>
    <x v="0"/>
    <x v="0"/>
    <n v="7"/>
    <x v="39"/>
    <n v="1.18"/>
    <n v="15.05"/>
    <s v="04902979"/>
  </r>
  <r>
    <x v="182"/>
    <s v="2021-09-29"/>
    <x v="0"/>
    <x v="0"/>
    <n v="6"/>
    <x v="47"/>
    <n v="1.1599999999999999"/>
    <n v="14.88"/>
    <s v="28517628"/>
  </r>
  <r>
    <x v="182"/>
    <s v="2021-09-29"/>
    <x v="0"/>
    <x v="0"/>
    <n v="5"/>
    <x v="22"/>
    <n v="1.1000000000000001"/>
    <n v="14.04"/>
    <s v="11417016"/>
  </r>
  <r>
    <x v="182"/>
    <s v="2021-09-29"/>
    <x v="0"/>
    <x v="0"/>
    <n v="4"/>
    <x v="53"/>
    <n v="1.07"/>
    <n v="13.59"/>
    <s v="31872495"/>
  </r>
  <r>
    <x v="182"/>
    <s v="2021-09-29"/>
    <x v="0"/>
    <x v="0"/>
    <n v="3"/>
    <x v="35"/>
    <n v="1.06"/>
    <n v="13.55"/>
    <s v="59109165"/>
  </r>
  <r>
    <x v="182"/>
    <s v="2021-09-29"/>
    <x v="0"/>
    <x v="0"/>
    <n v="2"/>
    <x v="36"/>
    <n v="1.05"/>
    <n v="13.37"/>
    <s v="33136888"/>
  </r>
  <r>
    <x v="182"/>
    <s v="2021-09-29"/>
    <x v="0"/>
    <x v="0"/>
    <n v="1"/>
    <x v="40"/>
    <n v="1.05"/>
    <n v="13.33"/>
    <s v="02992446"/>
  </r>
  <r>
    <x v="183"/>
    <s v="2021-09-30"/>
    <x v="0"/>
    <x v="0"/>
    <n v="47"/>
    <x v="3"/>
    <n v="3.21"/>
    <n v="46.15"/>
    <s v="05503849"/>
  </r>
  <r>
    <x v="183"/>
    <s v="2021-09-30"/>
    <x v="0"/>
    <x v="0"/>
    <n v="46"/>
    <x v="0"/>
    <n v="3.09"/>
    <n v="44.14"/>
    <s v="60850229"/>
  </r>
  <r>
    <x v="183"/>
    <s v="2021-09-30"/>
    <x v="0"/>
    <x v="0"/>
    <n v="45"/>
    <x v="7"/>
    <n v="3.09"/>
    <n v="44.07"/>
    <s v="92874270"/>
  </r>
  <r>
    <x v="183"/>
    <s v="2021-09-30"/>
    <x v="0"/>
    <x v="0"/>
    <n v="44"/>
    <x v="2"/>
    <n v="3.07"/>
    <n v="43.8"/>
    <s v="92228410"/>
  </r>
  <r>
    <x v="183"/>
    <s v="2021-09-30"/>
    <x v="0"/>
    <x v="0"/>
    <n v="43"/>
    <x v="1"/>
    <n v="2.85"/>
    <n v="40.15"/>
    <s v="01800019"/>
  </r>
  <r>
    <x v="183"/>
    <s v="2021-09-30"/>
    <x v="0"/>
    <x v="0"/>
    <n v="42"/>
    <x v="4"/>
    <n v="2.5499999999999998"/>
    <n v="35.29"/>
    <s v="62232889"/>
  </r>
  <r>
    <x v="183"/>
    <s v="2021-09-30"/>
    <x v="0"/>
    <x v="0"/>
    <n v="41"/>
    <x v="5"/>
    <n v="2.48"/>
    <n v="34.18"/>
    <s v="80271455"/>
  </r>
  <r>
    <x v="183"/>
    <s v="2021-09-30"/>
    <x v="0"/>
    <x v="0"/>
    <n v="40"/>
    <x v="42"/>
    <n v="2.46"/>
    <n v="33.79"/>
    <s v="34991938"/>
  </r>
  <r>
    <x v="183"/>
    <s v="2021-09-30"/>
    <x v="0"/>
    <x v="0"/>
    <n v="39"/>
    <x v="6"/>
    <n v="2.37"/>
    <n v="32.380000000000003"/>
    <s v="05676026"/>
  </r>
  <r>
    <x v="183"/>
    <s v="2021-09-30"/>
    <x v="0"/>
    <x v="0"/>
    <n v="38"/>
    <x v="8"/>
    <n v="2.36"/>
    <n v="32.28"/>
    <s v="59285411"/>
  </r>
  <r>
    <x v="183"/>
    <s v="2021-09-30"/>
    <x v="0"/>
    <x v="0"/>
    <n v="37"/>
    <x v="9"/>
    <n v="2.3199999999999998"/>
    <n v="31.68"/>
    <s v="00411939"/>
  </r>
  <r>
    <x v="183"/>
    <s v="2021-09-30"/>
    <x v="0"/>
    <x v="0"/>
    <n v="36"/>
    <x v="10"/>
    <n v="2.1"/>
    <n v="28.36"/>
    <s v="10371492"/>
  </r>
  <r>
    <x v="183"/>
    <s v="2021-09-30"/>
    <x v="0"/>
    <x v="0"/>
    <n v="35"/>
    <x v="13"/>
    <n v="1.99"/>
    <n v="26.6"/>
    <s v="07707650"/>
  </r>
  <r>
    <x v="183"/>
    <s v="2021-09-30"/>
    <x v="0"/>
    <x v="0"/>
    <n v="34"/>
    <x v="15"/>
    <n v="1.93"/>
    <n v="25.74"/>
    <s v="59588111"/>
  </r>
  <r>
    <x v="183"/>
    <s v="2021-09-30"/>
    <x v="0"/>
    <x v="0"/>
    <n v="33"/>
    <x v="41"/>
    <n v="1.86"/>
    <n v="24.8"/>
    <s v="20443996"/>
  </r>
  <r>
    <x v="183"/>
    <s v="2021-09-30"/>
    <x v="0"/>
    <x v="0"/>
    <n v="32"/>
    <x v="28"/>
    <n v="1.85"/>
    <n v="24.66"/>
    <s v="90400888"/>
  </r>
  <r>
    <x v="183"/>
    <s v="2021-09-30"/>
    <x v="0"/>
    <x v="0"/>
    <n v="31"/>
    <x v="19"/>
    <n v="1.84"/>
    <n v="24.44"/>
    <s v="92702067"/>
  </r>
  <r>
    <x v="183"/>
    <s v="2021-09-30"/>
    <x v="0"/>
    <x v="0"/>
    <n v="30"/>
    <x v="24"/>
    <n v="1.82"/>
    <n v="24.2"/>
    <s v="22639377"/>
  </r>
  <r>
    <x v="183"/>
    <s v="2021-09-30"/>
    <x v="0"/>
    <x v="0"/>
    <n v="29"/>
    <x v="16"/>
    <n v="1.81"/>
    <n v="24.06"/>
    <s v="07207996"/>
  </r>
  <r>
    <x v="183"/>
    <s v="2021-09-30"/>
    <x v="0"/>
    <x v="0"/>
    <n v="28"/>
    <x v="20"/>
    <n v="1.75"/>
    <n v="23.14"/>
    <s v="17192451"/>
  </r>
  <r>
    <x v="183"/>
    <s v="2021-09-30"/>
    <x v="0"/>
    <x v="0"/>
    <n v="27"/>
    <x v="11"/>
    <n v="1.72"/>
    <n v="22.69"/>
    <s v="03634220"/>
  </r>
  <r>
    <x v="183"/>
    <s v="2021-09-30"/>
    <x v="0"/>
    <x v="0"/>
    <n v="26"/>
    <x v="51"/>
    <n v="1.67"/>
    <n v="21.98"/>
    <s v="62237425"/>
  </r>
  <r>
    <x v="183"/>
    <s v="2021-09-30"/>
    <x v="0"/>
    <x v="0"/>
    <n v="25"/>
    <x v="21"/>
    <n v="1.65"/>
    <n v="21.64"/>
    <s v="03017677"/>
  </r>
  <r>
    <x v="183"/>
    <s v="2021-09-30"/>
    <x v="0"/>
    <x v="0"/>
    <n v="24"/>
    <x v="12"/>
    <n v="1.62"/>
    <n v="21.31"/>
    <s v="04862600"/>
  </r>
  <r>
    <x v="183"/>
    <s v="2021-09-30"/>
    <x v="0"/>
    <x v="0"/>
    <n v="23"/>
    <x v="30"/>
    <n v="1.61"/>
    <n v="21.11"/>
    <s v="03502961"/>
  </r>
  <r>
    <x v="183"/>
    <s v="2021-09-30"/>
    <x v="0"/>
    <x v="0"/>
    <n v="22"/>
    <x v="18"/>
    <n v="1.61"/>
    <n v="21.06"/>
    <s v="28127603"/>
  </r>
  <r>
    <x v="183"/>
    <s v="2021-09-30"/>
    <x v="0"/>
    <x v="0"/>
    <n v="21"/>
    <x v="29"/>
    <n v="1.59"/>
    <n v="20.88"/>
    <s v="60746948"/>
  </r>
  <r>
    <x v="183"/>
    <s v="2021-09-30"/>
    <x v="0"/>
    <x v="0"/>
    <n v="20"/>
    <x v="25"/>
    <n v="1.55"/>
    <n v="20.3"/>
    <s v="59274605"/>
  </r>
  <r>
    <x v="183"/>
    <s v="2021-09-30"/>
    <x v="0"/>
    <x v="0"/>
    <n v="19"/>
    <x v="32"/>
    <n v="1.54"/>
    <n v="20.190000000000001"/>
    <s v="60701190"/>
  </r>
  <r>
    <x v="183"/>
    <s v="2021-09-30"/>
    <x v="0"/>
    <x v="0"/>
    <n v="18"/>
    <x v="14"/>
    <n v="1.54"/>
    <n v="20.11"/>
    <s v="00360305"/>
  </r>
  <r>
    <x v="183"/>
    <s v="2021-09-30"/>
    <x v="0"/>
    <x v="0"/>
    <n v="17"/>
    <x v="26"/>
    <n v="1.49"/>
    <n v="19.45"/>
    <s v="30172491"/>
  </r>
  <r>
    <x v="183"/>
    <s v="2021-09-30"/>
    <x v="0"/>
    <x v="0"/>
    <n v="16"/>
    <x v="23"/>
    <n v="1.45"/>
    <n v="18.88"/>
    <s v="03215790"/>
  </r>
  <r>
    <x v="183"/>
    <s v="2021-09-30"/>
    <x v="0"/>
    <x v="0"/>
    <n v="15"/>
    <x v="33"/>
    <n v="1.42"/>
    <n v="18.39"/>
    <s v="62307848"/>
  </r>
  <r>
    <x v="183"/>
    <s v="2021-09-30"/>
    <x v="0"/>
    <x v="0"/>
    <n v="14"/>
    <x v="31"/>
    <n v="1.35"/>
    <n v="17.43"/>
    <s v="17167412"/>
  </r>
  <r>
    <x v="183"/>
    <s v="2021-09-30"/>
    <x v="0"/>
    <x v="0"/>
    <n v="13"/>
    <x v="27"/>
    <n v="1.33"/>
    <n v="17.21"/>
    <s v="00000000"/>
  </r>
  <r>
    <x v="183"/>
    <s v="2021-09-30"/>
    <x v="0"/>
    <x v="0"/>
    <n v="12"/>
    <x v="34"/>
    <n v="1.32"/>
    <n v="17.03"/>
    <s v="33603457"/>
  </r>
  <r>
    <x v="183"/>
    <s v="2021-09-30"/>
    <x v="0"/>
    <x v="0"/>
    <n v="11"/>
    <x v="44"/>
    <n v="1.32"/>
    <n v="16.98"/>
    <s v="58017179"/>
  </r>
  <r>
    <x v="183"/>
    <s v="2021-09-30"/>
    <x v="0"/>
    <x v="0"/>
    <n v="10"/>
    <x v="43"/>
    <n v="1.27"/>
    <n v="16.309999999999999"/>
    <s v="07441209"/>
  </r>
  <r>
    <x v="183"/>
    <s v="2021-09-30"/>
    <x v="0"/>
    <x v="0"/>
    <n v="9"/>
    <x v="37"/>
    <n v="1.26"/>
    <n v="16.18"/>
    <s v="04452473"/>
  </r>
  <r>
    <x v="183"/>
    <s v="2021-09-30"/>
    <x v="0"/>
    <x v="0"/>
    <n v="8"/>
    <x v="36"/>
    <n v="1.22"/>
    <n v="15.63"/>
    <s v="33136888"/>
  </r>
  <r>
    <x v="183"/>
    <s v="2021-09-30"/>
    <x v="0"/>
    <x v="0"/>
    <n v="7"/>
    <x v="38"/>
    <n v="1.19"/>
    <n v="15.25"/>
    <s v="60814191"/>
  </r>
  <r>
    <x v="183"/>
    <s v="2021-09-30"/>
    <x v="0"/>
    <x v="0"/>
    <n v="6"/>
    <x v="39"/>
    <n v="1.18"/>
    <n v="15.05"/>
    <s v="04902979"/>
  </r>
  <r>
    <x v="183"/>
    <s v="2021-09-30"/>
    <x v="0"/>
    <x v="0"/>
    <n v="5"/>
    <x v="47"/>
    <n v="1.1599999999999999"/>
    <n v="14.88"/>
    <s v="28517628"/>
  </r>
  <r>
    <x v="183"/>
    <s v="2021-09-30"/>
    <x v="0"/>
    <x v="0"/>
    <n v="4"/>
    <x v="22"/>
    <n v="1.1000000000000001"/>
    <n v="13.97"/>
    <s v="11417016"/>
  </r>
  <r>
    <x v="183"/>
    <s v="2021-09-30"/>
    <x v="0"/>
    <x v="0"/>
    <n v="3"/>
    <x v="53"/>
    <n v="1.07"/>
    <n v="13.59"/>
    <s v="31872495"/>
  </r>
  <r>
    <x v="183"/>
    <s v="2021-09-30"/>
    <x v="0"/>
    <x v="0"/>
    <n v="2"/>
    <x v="35"/>
    <n v="1.06"/>
    <n v="13.54"/>
    <s v="59109165"/>
  </r>
  <r>
    <x v="183"/>
    <s v="2021-09-30"/>
    <x v="0"/>
    <x v="0"/>
    <n v="1"/>
    <x v="40"/>
    <n v="1.05"/>
    <n v="13.32"/>
    <s v="02992446"/>
  </r>
  <r>
    <x v="184"/>
    <s v="2021-10-01"/>
    <x v="0"/>
    <x v="0"/>
    <n v="47"/>
    <x v="3"/>
    <n v="3.27"/>
    <n v="47.1"/>
    <s v="05503849"/>
  </r>
  <r>
    <x v="184"/>
    <s v="2021-10-01"/>
    <x v="0"/>
    <x v="0"/>
    <n v="46"/>
    <x v="7"/>
    <n v="3.09"/>
    <n v="44.08"/>
    <s v="92874270"/>
  </r>
  <r>
    <x v="184"/>
    <s v="2021-10-01"/>
    <x v="0"/>
    <x v="0"/>
    <n v="45"/>
    <x v="2"/>
    <n v="3.08"/>
    <n v="43.87"/>
    <s v="92228410"/>
  </r>
  <r>
    <x v="184"/>
    <s v="2021-10-01"/>
    <x v="0"/>
    <x v="0"/>
    <n v="44"/>
    <x v="0"/>
    <n v="3.05"/>
    <n v="43.41"/>
    <s v="60850229"/>
  </r>
  <r>
    <x v="184"/>
    <s v="2021-10-01"/>
    <x v="0"/>
    <x v="0"/>
    <n v="43"/>
    <x v="1"/>
    <n v="2.92"/>
    <n v="41.25"/>
    <s v="01800019"/>
  </r>
  <r>
    <x v="184"/>
    <s v="2021-10-01"/>
    <x v="0"/>
    <x v="0"/>
    <n v="42"/>
    <x v="4"/>
    <n v="2.54"/>
    <n v="35.04"/>
    <s v="62232889"/>
  </r>
  <r>
    <x v="184"/>
    <s v="2021-10-01"/>
    <x v="0"/>
    <x v="0"/>
    <n v="41"/>
    <x v="5"/>
    <n v="2.4900000000000002"/>
    <n v="34.299999999999997"/>
    <s v="80271455"/>
  </r>
  <r>
    <x v="184"/>
    <s v="2021-10-01"/>
    <x v="0"/>
    <x v="0"/>
    <n v="40"/>
    <x v="42"/>
    <n v="2.46"/>
    <n v="33.880000000000003"/>
    <s v="34991938"/>
  </r>
  <r>
    <x v="184"/>
    <s v="2021-10-01"/>
    <x v="0"/>
    <x v="0"/>
    <n v="39"/>
    <x v="9"/>
    <n v="2.37"/>
    <n v="32.450000000000003"/>
    <s v="00411939"/>
  </r>
  <r>
    <x v="184"/>
    <s v="2021-10-01"/>
    <x v="0"/>
    <x v="0"/>
    <n v="38"/>
    <x v="8"/>
    <n v="2.37"/>
    <n v="32.409999999999997"/>
    <s v="59285411"/>
  </r>
  <r>
    <x v="184"/>
    <s v="2021-10-01"/>
    <x v="0"/>
    <x v="0"/>
    <n v="37"/>
    <x v="6"/>
    <n v="2.36"/>
    <n v="32.36"/>
    <s v="05676026"/>
  </r>
  <r>
    <x v="184"/>
    <s v="2021-10-01"/>
    <x v="0"/>
    <x v="0"/>
    <n v="36"/>
    <x v="10"/>
    <n v="2.1"/>
    <n v="28.38"/>
    <s v="10371492"/>
  </r>
  <r>
    <x v="184"/>
    <s v="2021-10-01"/>
    <x v="0"/>
    <x v="0"/>
    <n v="35"/>
    <x v="13"/>
    <n v="1.98"/>
    <n v="26.59"/>
    <s v="07707650"/>
  </r>
  <r>
    <x v="184"/>
    <s v="2021-10-01"/>
    <x v="0"/>
    <x v="0"/>
    <n v="34"/>
    <x v="15"/>
    <n v="1.93"/>
    <n v="25.71"/>
    <s v="59588111"/>
  </r>
  <r>
    <x v="184"/>
    <s v="2021-10-01"/>
    <x v="0"/>
    <x v="0"/>
    <n v="33"/>
    <x v="28"/>
    <n v="1.87"/>
    <n v="24.94"/>
    <s v="90400888"/>
  </r>
  <r>
    <x v="184"/>
    <s v="2021-10-01"/>
    <x v="0"/>
    <x v="0"/>
    <n v="32"/>
    <x v="41"/>
    <n v="1.86"/>
    <n v="24.8"/>
    <s v="20443996"/>
  </r>
  <r>
    <x v="184"/>
    <s v="2021-10-01"/>
    <x v="0"/>
    <x v="0"/>
    <n v="31"/>
    <x v="19"/>
    <n v="1.83"/>
    <n v="24.35"/>
    <s v="92702067"/>
  </r>
  <r>
    <x v="184"/>
    <s v="2021-10-01"/>
    <x v="0"/>
    <x v="0"/>
    <n v="30"/>
    <x v="16"/>
    <n v="1.81"/>
    <n v="23.97"/>
    <s v="07207996"/>
  </r>
  <r>
    <x v="184"/>
    <s v="2021-10-01"/>
    <x v="0"/>
    <x v="0"/>
    <n v="29"/>
    <x v="20"/>
    <n v="1.75"/>
    <n v="23.08"/>
    <s v="17192451"/>
  </r>
  <r>
    <x v="184"/>
    <s v="2021-10-01"/>
    <x v="0"/>
    <x v="0"/>
    <n v="28"/>
    <x v="24"/>
    <n v="1.73"/>
    <n v="22.88"/>
    <s v="22639377"/>
  </r>
  <r>
    <x v="184"/>
    <s v="2021-10-01"/>
    <x v="0"/>
    <x v="0"/>
    <n v="27"/>
    <x v="11"/>
    <n v="1.73"/>
    <n v="22.81"/>
    <s v="03634220"/>
  </r>
  <r>
    <x v="184"/>
    <s v="2021-10-01"/>
    <x v="0"/>
    <x v="0"/>
    <n v="26"/>
    <x v="51"/>
    <n v="1.67"/>
    <n v="21.98"/>
    <s v="62237425"/>
  </r>
  <r>
    <x v="184"/>
    <s v="2021-10-01"/>
    <x v="0"/>
    <x v="0"/>
    <n v="25"/>
    <x v="18"/>
    <n v="1.67"/>
    <n v="21.97"/>
    <s v="28127603"/>
  </r>
  <r>
    <x v="184"/>
    <s v="2021-10-01"/>
    <x v="0"/>
    <x v="0"/>
    <n v="24"/>
    <x v="21"/>
    <n v="1.64"/>
    <n v="21.57"/>
    <s v="03017677"/>
  </r>
  <r>
    <x v="184"/>
    <s v="2021-10-01"/>
    <x v="0"/>
    <x v="0"/>
    <n v="23"/>
    <x v="12"/>
    <n v="1.62"/>
    <n v="21.25"/>
    <s v="04862600"/>
  </r>
  <r>
    <x v="184"/>
    <s v="2021-10-01"/>
    <x v="0"/>
    <x v="0"/>
    <n v="22"/>
    <x v="30"/>
    <n v="1.61"/>
    <n v="21.13"/>
    <s v="03502961"/>
  </r>
  <r>
    <x v="184"/>
    <s v="2021-10-01"/>
    <x v="0"/>
    <x v="0"/>
    <n v="21"/>
    <x v="29"/>
    <n v="1.6"/>
    <n v="21.01"/>
    <s v="60746948"/>
  </r>
  <r>
    <x v="184"/>
    <s v="2021-10-01"/>
    <x v="0"/>
    <x v="0"/>
    <n v="20"/>
    <x v="25"/>
    <n v="1.55"/>
    <n v="20.260000000000002"/>
    <s v="59274605"/>
  </r>
  <r>
    <x v="184"/>
    <s v="2021-10-01"/>
    <x v="0"/>
    <x v="0"/>
    <n v="19"/>
    <x v="32"/>
    <n v="1.55"/>
    <n v="20.239999999999998"/>
    <s v="60701190"/>
  </r>
  <r>
    <x v="184"/>
    <s v="2021-10-01"/>
    <x v="0"/>
    <x v="0"/>
    <n v="18"/>
    <x v="14"/>
    <n v="1.53"/>
    <n v="19.920000000000002"/>
    <s v="00360305"/>
  </r>
  <r>
    <x v="184"/>
    <s v="2021-10-01"/>
    <x v="0"/>
    <x v="0"/>
    <n v="17"/>
    <x v="26"/>
    <n v="1.5"/>
    <n v="19.53"/>
    <s v="30172491"/>
  </r>
  <r>
    <x v="184"/>
    <s v="2021-10-01"/>
    <x v="0"/>
    <x v="0"/>
    <n v="16"/>
    <x v="23"/>
    <n v="1.45"/>
    <n v="18.850000000000001"/>
    <s v="03215790"/>
  </r>
  <r>
    <x v="184"/>
    <s v="2021-10-01"/>
    <x v="0"/>
    <x v="0"/>
    <n v="15"/>
    <x v="33"/>
    <n v="1.42"/>
    <n v="18.5"/>
    <s v="62307848"/>
  </r>
  <r>
    <x v="184"/>
    <s v="2021-10-01"/>
    <x v="0"/>
    <x v="0"/>
    <n v="14"/>
    <x v="31"/>
    <n v="1.35"/>
    <n v="17.420000000000002"/>
    <s v="17167412"/>
  </r>
  <r>
    <x v="184"/>
    <s v="2021-10-01"/>
    <x v="0"/>
    <x v="0"/>
    <n v="13"/>
    <x v="27"/>
    <n v="1.34"/>
    <n v="17.329999999999998"/>
    <s v="00000000"/>
  </r>
  <r>
    <x v="184"/>
    <s v="2021-10-01"/>
    <x v="0"/>
    <x v="0"/>
    <n v="12"/>
    <x v="34"/>
    <n v="1.33"/>
    <n v="17.22"/>
    <s v="33603457"/>
  </r>
  <r>
    <x v="184"/>
    <s v="2021-10-01"/>
    <x v="0"/>
    <x v="0"/>
    <n v="11"/>
    <x v="44"/>
    <n v="1.28"/>
    <n v="16.53"/>
    <s v="58017179"/>
  </r>
  <r>
    <x v="184"/>
    <s v="2021-10-01"/>
    <x v="0"/>
    <x v="0"/>
    <n v="10"/>
    <x v="43"/>
    <n v="1.27"/>
    <n v="16.309999999999999"/>
    <s v="07441209"/>
  </r>
  <r>
    <x v="184"/>
    <s v="2021-10-01"/>
    <x v="0"/>
    <x v="0"/>
    <n v="9"/>
    <x v="37"/>
    <n v="1.25"/>
    <n v="16.100000000000001"/>
    <s v="04452473"/>
  </r>
  <r>
    <x v="184"/>
    <s v="2021-10-01"/>
    <x v="0"/>
    <x v="0"/>
    <n v="8"/>
    <x v="38"/>
    <n v="1.18"/>
    <n v="15.07"/>
    <s v="60814191"/>
  </r>
  <r>
    <x v="184"/>
    <s v="2021-10-01"/>
    <x v="0"/>
    <x v="0"/>
    <n v="7"/>
    <x v="39"/>
    <n v="1.18"/>
    <n v="15.05"/>
    <s v="04902979"/>
  </r>
  <r>
    <x v="184"/>
    <s v="2021-10-01"/>
    <x v="0"/>
    <x v="0"/>
    <n v="6"/>
    <x v="47"/>
    <n v="1.1599999999999999"/>
    <n v="14.88"/>
    <s v="28517628"/>
  </r>
  <r>
    <x v="184"/>
    <s v="2021-10-01"/>
    <x v="0"/>
    <x v="0"/>
    <n v="5"/>
    <x v="36"/>
    <n v="1.1299999999999999"/>
    <n v="14.46"/>
    <s v="33136888"/>
  </r>
  <r>
    <x v="184"/>
    <s v="2021-10-01"/>
    <x v="0"/>
    <x v="0"/>
    <n v="4"/>
    <x v="22"/>
    <n v="1.1000000000000001"/>
    <n v="13.97"/>
    <s v="11417016"/>
  </r>
  <r>
    <x v="184"/>
    <s v="2021-10-01"/>
    <x v="0"/>
    <x v="0"/>
    <n v="3"/>
    <x v="53"/>
    <n v="1.07"/>
    <n v="13.59"/>
    <s v="31872495"/>
  </r>
  <r>
    <x v="184"/>
    <s v="2021-10-01"/>
    <x v="0"/>
    <x v="0"/>
    <n v="2"/>
    <x v="35"/>
    <n v="1.06"/>
    <n v="13.51"/>
    <s v="59109165"/>
  </r>
  <r>
    <x v="184"/>
    <s v="2021-10-01"/>
    <x v="0"/>
    <x v="0"/>
    <n v="1"/>
    <x v="40"/>
    <n v="1.04"/>
    <n v="13.27"/>
    <s v="02992446"/>
  </r>
  <r>
    <x v="185"/>
    <s v="2021-10-04"/>
    <x v="0"/>
    <x v="0"/>
    <n v="47"/>
    <x v="3"/>
    <n v="3.22"/>
    <n v="46.24"/>
    <s v="05503849"/>
  </r>
  <r>
    <x v="185"/>
    <s v="2021-10-04"/>
    <x v="0"/>
    <x v="0"/>
    <n v="46"/>
    <x v="7"/>
    <n v="3.11"/>
    <n v="44.37"/>
    <s v="92874270"/>
  </r>
  <r>
    <x v="185"/>
    <s v="2021-10-04"/>
    <x v="0"/>
    <x v="0"/>
    <n v="45"/>
    <x v="2"/>
    <n v="3.08"/>
    <n v="43.88"/>
    <s v="92228410"/>
  </r>
  <r>
    <x v="185"/>
    <s v="2021-10-04"/>
    <x v="0"/>
    <x v="0"/>
    <n v="44"/>
    <x v="0"/>
    <n v="3.04"/>
    <n v="43.17"/>
    <s v="60850229"/>
  </r>
  <r>
    <x v="185"/>
    <s v="2021-10-04"/>
    <x v="0"/>
    <x v="0"/>
    <n v="43"/>
    <x v="1"/>
    <n v="2.97"/>
    <n v="42.07"/>
    <s v="01800019"/>
  </r>
  <r>
    <x v="185"/>
    <s v="2021-10-04"/>
    <x v="0"/>
    <x v="0"/>
    <n v="42"/>
    <x v="5"/>
    <n v="2.56"/>
    <n v="35.46"/>
    <s v="80271455"/>
  </r>
  <r>
    <x v="185"/>
    <s v="2021-10-04"/>
    <x v="0"/>
    <x v="0"/>
    <n v="41"/>
    <x v="4"/>
    <n v="2.5299999999999998"/>
    <n v="34.979999999999997"/>
    <s v="62232889"/>
  </r>
  <r>
    <x v="185"/>
    <s v="2021-10-04"/>
    <x v="0"/>
    <x v="0"/>
    <n v="40"/>
    <x v="42"/>
    <n v="2.4700000000000002"/>
    <n v="33.97"/>
    <s v="34991938"/>
  </r>
  <r>
    <x v="185"/>
    <s v="2021-10-04"/>
    <x v="0"/>
    <x v="0"/>
    <n v="39"/>
    <x v="8"/>
    <n v="2.38"/>
    <n v="32.64"/>
    <s v="59285411"/>
  </r>
  <r>
    <x v="185"/>
    <s v="2021-10-04"/>
    <x v="0"/>
    <x v="0"/>
    <n v="38"/>
    <x v="9"/>
    <n v="2.36"/>
    <n v="32.369999999999997"/>
    <s v="00411939"/>
  </r>
  <r>
    <x v="185"/>
    <s v="2021-10-04"/>
    <x v="0"/>
    <x v="0"/>
    <n v="37"/>
    <x v="6"/>
    <n v="2.36"/>
    <n v="32.369999999999997"/>
    <s v="05676026"/>
  </r>
  <r>
    <x v="185"/>
    <s v="2021-10-04"/>
    <x v="0"/>
    <x v="0"/>
    <n v="36"/>
    <x v="10"/>
    <n v="2.11"/>
    <n v="28.45"/>
    <s v="10371492"/>
  </r>
  <r>
    <x v="185"/>
    <s v="2021-10-04"/>
    <x v="0"/>
    <x v="0"/>
    <n v="35"/>
    <x v="13"/>
    <n v="1.98"/>
    <n v="26.54"/>
    <s v="07707650"/>
  </r>
  <r>
    <x v="185"/>
    <s v="2021-10-04"/>
    <x v="0"/>
    <x v="0"/>
    <n v="34"/>
    <x v="15"/>
    <n v="1.93"/>
    <n v="25.71"/>
    <s v="59588111"/>
  </r>
  <r>
    <x v="185"/>
    <s v="2021-10-04"/>
    <x v="0"/>
    <x v="0"/>
    <n v="33"/>
    <x v="28"/>
    <n v="1.88"/>
    <n v="25.1"/>
    <s v="90400888"/>
  </r>
  <r>
    <x v="185"/>
    <s v="2021-10-04"/>
    <x v="0"/>
    <x v="0"/>
    <n v="32"/>
    <x v="41"/>
    <n v="1.86"/>
    <n v="24.8"/>
    <s v="20443996"/>
  </r>
  <r>
    <x v="185"/>
    <s v="2021-10-04"/>
    <x v="0"/>
    <x v="0"/>
    <n v="31"/>
    <x v="19"/>
    <n v="1.83"/>
    <n v="24.35"/>
    <s v="92702067"/>
  </r>
  <r>
    <x v="185"/>
    <s v="2021-10-04"/>
    <x v="0"/>
    <x v="0"/>
    <n v="30"/>
    <x v="16"/>
    <n v="1.81"/>
    <n v="23.96"/>
    <s v="07207996"/>
  </r>
  <r>
    <x v="185"/>
    <s v="2021-10-04"/>
    <x v="0"/>
    <x v="0"/>
    <n v="29"/>
    <x v="20"/>
    <n v="1.75"/>
    <n v="23.12"/>
    <s v="17192451"/>
  </r>
  <r>
    <x v="185"/>
    <s v="2021-10-04"/>
    <x v="0"/>
    <x v="0"/>
    <n v="28"/>
    <x v="24"/>
    <n v="1.74"/>
    <n v="22.95"/>
    <s v="22639377"/>
  </r>
  <r>
    <x v="185"/>
    <s v="2021-10-04"/>
    <x v="0"/>
    <x v="0"/>
    <n v="27"/>
    <x v="11"/>
    <n v="1.73"/>
    <n v="22.84"/>
    <s v="03634220"/>
  </r>
  <r>
    <x v="185"/>
    <s v="2021-10-04"/>
    <x v="0"/>
    <x v="0"/>
    <n v="26"/>
    <x v="51"/>
    <n v="1.67"/>
    <n v="21.98"/>
    <s v="62237425"/>
  </r>
  <r>
    <x v="185"/>
    <s v="2021-10-04"/>
    <x v="0"/>
    <x v="0"/>
    <n v="25"/>
    <x v="18"/>
    <n v="1.67"/>
    <n v="21.97"/>
    <s v="28127603"/>
  </r>
  <r>
    <x v="185"/>
    <s v="2021-10-04"/>
    <x v="0"/>
    <x v="0"/>
    <n v="24"/>
    <x v="21"/>
    <n v="1.64"/>
    <n v="21.52"/>
    <s v="03017677"/>
  </r>
  <r>
    <x v="185"/>
    <s v="2021-10-04"/>
    <x v="0"/>
    <x v="0"/>
    <n v="23"/>
    <x v="12"/>
    <n v="1.63"/>
    <n v="21.34"/>
    <s v="04862600"/>
  </r>
  <r>
    <x v="185"/>
    <s v="2021-10-04"/>
    <x v="0"/>
    <x v="0"/>
    <n v="22"/>
    <x v="29"/>
    <n v="1.61"/>
    <n v="21.1"/>
    <s v="60746948"/>
  </r>
  <r>
    <x v="185"/>
    <s v="2021-10-04"/>
    <x v="0"/>
    <x v="0"/>
    <n v="21"/>
    <x v="30"/>
    <n v="1.6"/>
    <n v="20.91"/>
    <s v="03502961"/>
  </r>
  <r>
    <x v="185"/>
    <s v="2021-10-04"/>
    <x v="0"/>
    <x v="0"/>
    <n v="20"/>
    <x v="32"/>
    <n v="1.55"/>
    <n v="20.21"/>
    <s v="60701190"/>
  </r>
  <r>
    <x v="185"/>
    <s v="2021-10-04"/>
    <x v="0"/>
    <x v="0"/>
    <n v="19"/>
    <x v="25"/>
    <n v="1.55"/>
    <n v="20.21"/>
    <s v="59274605"/>
  </r>
  <r>
    <x v="185"/>
    <s v="2021-10-04"/>
    <x v="0"/>
    <x v="0"/>
    <n v="18"/>
    <x v="26"/>
    <n v="1.49"/>
    <n v="19.47"/>
    <s v="30172491"/>
  </r>
  <r>
    <x v="185"/>
    <s v="2021-10-04"/>
    <x v="0"/>
    <x v="0"/>
    <n v="17"/>
    <x v="14"/>
    <n v="1.47"/>
    <n v="19.16"/>
    <s v="00360305"/>
  </r>
  <r>
    <x v="185"/>
    <s v="2021-10-04"/>
    <x v="0"/>
    <x v="0"/>
    <n v="16"/>
    <x v="23"/>
    <n v="1.45"/>
    <n v="18.79"/>
    <s v="03215790"/>
  </r>
  <r>
    <x v="185"/>
    <s v="2021-10-04"/>
    <x v="0"/>
    <x v="0"/>
    <n v="15"/>
    <x v="33"/>
    <n v="1.44"/>
    <n v="18.66"/>
    <s v="62307848"/>
  </r>
  <r>
    <x v="185"/>
    <s v="2021-10-04"/>
    <x v="0"/>
    <x v="0"/>
    <n v="14"/>
    <x v="44"/>
    <n v="1.43"/>
    <n v="18.64"/>
    <s v="58017179"/>
  </r>
  <r>
    <x v="185"/>
    <s v="2021-10-04"/>
    <x v="0"/>
    <x v="0"/>
    <n v="13"/>
    <x v="31"/>
    <n v="1.35"/>
    <n v="17.43"/>
    <s v="17167412"/>
  </r>
  <r>
    <x v="185"/>
    <s v="2021-10-04"/>
    <x v="0"/>
    <x v="0"/>
    <n v="12"/>
    <x v="27"/>
    <n v="1.35"/>
    <n v="17.420000000000002"/>
    <s v="00000000"/>
  </r>
  <r>
    <x v="185"/>
    <s v="2021-10-04"/>
    <x v="0"/>
    <x v="0"/>
    <n v="11"/>
    <x v="34"/>
    <n v="1.34"/>
    <n v="17.260000000000002"/>
    <s v="33603457"/>
  </r>
  <r>
    <x v="185"/>
    <s v="2021-10-04"/>
    <x v="0"/>
    <x v="0"/>
    <n v="10"/>
    <x v="43"/>
    <n v="1.27"/>
    <n v="16.309999999999999"/>
    <s v="07441209"/>
  </r>
  <r>
    <x v="185"/>
    <s v="2021-10-04"/>
    <x v="0"/>
    <x v="0"/>
    <n v="9"/>
    <x v="37"/>
    <n v="1.24"/>
    <n v="16"/>
    <s v="04452473"/>
  </r>
  <r>
    <x v="185"/>
    <s v="2021-10-04"/>
    <x v="0"/>
    <x v="0"/>
    <n v="8"/>
    <x v="38"/>
    <n v="1.22"/>
    <n v="15.69"/>
    <s v="60814191"/>
  </r>
  <r>
    <x v="185"/>
    <s v="2021-10-04"/>
    <x v="0"/>
    <x v="0"/>
    <n v="7"/>
    <x v="47"/>
    <n v="1.1599999999999999"/>
    <n v="14.88"/>
    <s v="28517628"/>
  </r>
  <r>
    <x v="185"/>
    <s v="2021-10-04"/>
    <x v="0"/>
    <x v="0"/>
    <n v="6"/>
    <x v="36"/>
    <n v="1.1299999999999999"/>
    <n v="14.46"/>
    <s v="33136888"/>
  </r>
  <r>
    <x v="185"/>
    <s v="2021-10-04"/>
    <x v="0"/>
    <x v="0"/>
    <n v="5"/>
    <x v="39"/>
    <n v="1.1200000000000001"/>
    <n v="14.28"/>
    <s v="04902979"/>
  </r>
  <r>
    <x v="185"/>
    <s v="2021-10-04"/>
    <x v="0"/>
    <x v="0"/>
    <n v="4"/>
    <x v="22"/>
    <n v="1.1000000000000001"/>
    <n v="14.02"/>
    <s v="11417016"/>
  </r>
  <r>
    <x v="185"/>
    <s v="2021-10-04"/>
    <x v="0"/>
    <x v="0"/>
    <n v="3"/>
    <x v="53"/>
    <n v="1.07"/>
    <n v="13.59"/>
    <s v="31872495"/>
  </r>
  <r>
    <x v="185"/>
    <s v="2021-10-04"/>
    <x v="0"/>
    <x v="0"/>
    <n v="2"/>
    <x v="35"/>
    <n v="1.06"/>
    <n v="13.52"/>
    <s v="59109165"/>
  </r>
  <r>
    <x v="185"/>
    <s v="2021-10-04"/>
    <x v="0"/>
    <x v="0"/>
    <n v="1"/>
    <x v="40"/>
    <n v="1.04"/>
    <n v="13.22"/>
    <s v="02992446"/>
  </r>
  <r>
    <x v="186"/>
    <s v="2021-10-05"/>
    <x v="0"/>
    <x v="0"/>
    <n v="47"/>
    <x v="3"/>
    <n v="3.21"/>
    <n v="46.04"/>
    <s v="05503849"/>
  </r>
  <r>
    <x v="186"/>
    <s v="2021-10-05"/>
    <x v="0"/>
    <x v="0"/>
    <n v="46"/>
    <x v="7"/>
    <n v="3.11"/>
    <n v="44.33"/>
    <s v="92874270"/>
  </r>
  <r>
    <x v="186"/>
    <s v="2021-10-05"/>
    <x v="0"/>
    <x v="0"/>
    <n v="45"/>
    <x v="2"/>
    <n v="3.1"/>
    <n v="44.17"/>
    <s v="92228410"/>
  </r>
  <r>
    <x v="186"/>
    <s v="2021-10-05"/>
    <x v="0"/>
    <x v="0"/>
    <n v="44"/>
    <x v="0"/>
    <n v="3.06"/>
    <n v="43.52"/>
    <s v="60850229"/>
  </r>
  <r>
    <x v="186"/>
    <s v="2021-10-05"/>
    <x v="0"/>
    <x v="0"/>
    <n v="43"/>
    <x v="1"/>
    <n v="3.05"/>
    <n v="43.42"/>
    <s v="01800019"/>
  </r>
  <r>
    <x v="186"/>
    <s v="2021-10-05"/>
    <x v="0"/>
    <x v="0"/>
    <n v="42"/>
    <x v="4"/>
    <n v="2.54"/>
    <n v="35.14"/>
    <s v="62232889"/>
  </r>
  <r>
    <x v="186"/>
    <s v="2021-10-05"/>
    <x v="0"/>
    <x v="0"/>
    <n v="41"/>
    <x v="5"/>
    <n v="2.5299999999999998"/>
    <n v="35"/>
    <s v="80271455"/>
  </r>
  <r>
    <x v="186"/>
    <s v="2021-10-05"/>
    <x v="0"/>
    <x v="0"/>
    <n v="40"/>
    <x v="42"/>
    <n v="2.4700000000000002"/>
    <n v="33.96"/>
    <s v="34991938"/>
  </r>
  <r>
    <x v="186"/>
    <s v="2021-10-05"/>
    <x v="0"/>
    <x v="0"/>
    <n v="39"/>
    <x v="8"/>
    <n v="2.38"/>
    <n v="32.659999999999997"/>
    <s v="59285411"/>
  </r>
  <r>
    <x v="186"/>
    <s v="2021-10-05"/>
    <x v="0"/>
    <x v="0"/>
    <n v="38"/>
    <x v="6"/>
    <n v="2.37"/>
    <n v="32.39"/>
    <s v="05676026"/>
  </r>
  <r>
    <x v="186"/>
    <s v="2021-10-05"/>
    <x v="0"/>
    <x v="0"/>
    <n v="37"/>
    <x v="9"/>
    <n v="2.34"/>
    <n v="31.96"/>
    <s v="00411939"/>
  </r>
  <r>
    <x v="186"/>
    <s v="2021-10-05"/>
    <x v="0"/>
    <x v="0"/>
    <n v="36"/>
    <x v="10"/>
    <n v="2.14"/>
    <n v="28.91"/>
    <s v="10371492"/>
  </r>
  <r>
    <x v="186"/>
    <s v="2021-10-05"/>
    <x v="0"/>
    <x v="0"/>
    <n v="35"/>
    <x v="13"/>
    <n v="1.98"/>
    <n v="26.54"/>
    <s v="07707650"/>
  </r>
  <r>
    <x v="186"/>
    <s v="2021-10-05"/>
    <x v="0"/>
    <x v="0"/>
    <n v="34"/>
    <x v="15"/>
    <n v="1.92"/>
    <n v="25.68"/>
    <s v="59588111"/>
  </r>
  <r>
    <x v="186"/>
    <s v="2021-10-05"/>
    <x v="0"/>
    <x v="0"/>
    <n v="33"/>
    <x v="41"/>
    <n v="1.86"/>
    <n v="24.8"/>
    <s v="20443996"/>
  </r>
  <r>
    <x v="186"/>
    <s v="2021-10-05"/>
    <x v="0"/>
    <x v="0"/>
    <n v="32"/>
    <x v="28"/>
    <n v="1.86"/>
    <n v="24.71"/>
    <s v="90400888"/>
  </r>
  <r>
    <x v="186"/>
    <s v="2021-10-05"/>
    <x v="0"/>
    <x v="0"/>
    <n v="31"/>
    <x v="19"/>
    <n v="1.86"/>
    <n v="24.68"/>
    <s v="92702067"/>
  </r>
  <r>
    <x v="186"/>
    <s v="2021-10-05"/>
    <x v="0"/>
    <x v="0"/>
    <n v="30"/>
    <x v="16"/>
    <n v="1.81"/>
    <n v="24.01"/>
    <s v="07207996"/>
  </r>
  <r>
    <x v="186"/>
    <s v="2021-10-05"/>
    <x v="0"/>
    <x v="0"/>
    <n v="29"/>
    <x v="11"/>
    <n v="1.77"/>
    <n v="23.4"/>
    <s v="03634220"/>
  </r>
  <r>
    <x v="186"/>
    <s v="2021-10-05"/>
    <x v="0"/>
    <x v="0"/>
    <n v="28"/>
    <x v="20"/>
    <n v="1.76"/>
    <n v="23.23"/>
    <s v="17192451"/>
  </r>
  <r>
    <x v="186"/>
    <s v="2021-10-05"/>
    <x v="0"/>
    <x v="0"/>
    <n v="27"/>
    <x v="24"/>
    <n v="1.75"/>
    <n v="23.07"/>
    <s v="22639377"/>
  </r>
  <r>
    <x v="186"/>
    <s v="2021-10-05"/>
    <x v="0"/>
    <x v="0"/>
    <n v="26"/>
    <x v="51"/>
    <n v="1.67"/>
    <n v="21.98"/>
    <s v="62237425"/>
  </r>
  <r>
    <x v="186"/>
    <s v="2021-10-05"/>
    <x v="0"/>
    <x v="0"/>
    <n v="25"/>
    <x v="21"/>
    <n v="1.64"/>
    <n v="21.52"/>
    <s v="03017677"/>
  </r>
  <r>
    <x v="186"/>
    <s v="2021-10-05"/>
    <x v="0"/>
    <x v="0"/>
    <n v="24"/>
    <x v="29"/>
    <n v="1.61"/>
    <n v="21.18"/>
    <s v="60746948"/>
  </r>
  <r>
    <x v="186"/>
    <s v="2021-10-05"/>
    <x v="0"/>
    <x v="0"/>
    <n v="23"/>
    <x v="12"/>
    <n v="1.6"/>
    <n v="20.99"/>
    <s v="04862600"/>
  </r>
  <r>
    <x v="186"/>
    <s v="2021-10-05"/>
    <x v="0"/>
    <x v="0"/>
    <n v="22"/>
    <x v="30"/>
    <n v="1.6"/>
    <n v="20.98"/>
    <s v="03502961"/>
  </r>
  <r>
    <x v="186"/>
    <s v="2021-10-05"/>
    <x v="0"/>
    <x v="0"/>
    <n v="21"/>
    <x v="18"/>
    <n v="1.6"/>
    <n v="20.91"/>
    <s v="28127603"/>
  </r>
  <r>
    <x v="186"/>
    <s v="2021-10-05"/>
    <x v="0"/>
    <x v="0"/>
    <n v="20"/>
    <x v="32"/>
    <n v="1.55"/>
    <n v="20.309999999999999"/>
    <s v="60701190"/>
  </r>
  <r>
    <x v="186"/>
    <s v="2021-10-05"/>
    <x v="0"/>
    <x v="0"/>
    <n v="19"/>
    <x v="25"/>
    <n v="1.53"/>
    <n v="19.96"/>
    <s v="59274605"/>
  </r>
  <r>
    <x v="186"/>
    <s v="2021-10-05"/>
    <x v="0"/>
    <x v="0"/>
    <n v="18"/>
    <x v="26"/>
    <n v="1.5"/>
    <n v="19.600000000000001"/>
    <s v="30172491"/>
  </r>
  <r>
    <x v="186"/>
    <s v="2021-10-05"/>
    <x v="0"/>
    <x v="0"/>
    <n v="17"/>
    <x v="14"/>
    <n v="1.48"/>
    <n v="19.21"/>
    <s v="00360305"/>
  </r>
  <r>
    <x v="186"/>
    <s v="2021-10-05"/>
    <x v="0"/>
    <x v="0"/>
    <n v="16"/>
    <x v="23"/>
    <n v="1.45"/>
    <n v="18.88"/>
    <s v="03215790"/>
  </r>
  <r>
    <x v="186"/>
    <s v="2021-10-05"/>
    <x v="0"/>
    <x v="0"/>
    <n v="15"/>
    <x v="33"/>
    <n v="1.44"/>
    <n v="18.72"/>
    <s v="62307848"/>
  </r>
  <r>
    <x v="186"/>
    <s v="2021-10-05"/>
    <x v="0"/>
    <x v="0"/>
    <n v="14"/>
    <x v="44"/>
    <n v="1.43"/>
    <n v="18.64"/>
    <s v="58017179"/>
  </r>
  <r>
    <x v="186"/>
    <s v="2021-10-05"/>
    <x v="0"/>
    <x v="0"/>
    <n v="13"/>
    <x v="27"/>
    <n v="1.36"/>
    <n v="17.53"/>
    <s v="00000000"/>
  </r>
  <r>
    <x v="186"/>
    <s v="2021-10-05"/>
    <x v="0"/>
    <x v="0"/>
    <n v="12"/>
    <x v="31"/>
    <n v="1.34"/>
    <n v="17.37"/>
    <s v="17167412"/>
  </r>
  <r>
    <x v="186"/>
    <s v="2021-10-05"/>
    <x v="0"/>
    <x v="0"/>
    <n v="11"/>
    <x v="34"/>
    <n v="1.32"/>
    <n v="17.03"/>
    <s v="33603457"/>
  </r>
  <r>
    <x v="186"/>
    <s v="2021-10-05"/>
    <x v="0"/>
    <x v="0"/>
    <n v="10"/>
    <x v="43"/>
    <n v="1.27"/>
    <n v="16.309999999999999"/>
    <s v="07441209"/>
  </r>
  <r>
    <x v="186"/>
    <s v="2021-10-05"/>
    <x v="0"/>
    <x v="0"/>
    <n v="9"/>
    <x v="37"/>
    <n v="1.24"/>
    <n v="15.86"/>
    <s v="04452473"/>
  </r>
  <r>
    <x v="186"/>
    <s v="2021-10-05"/>
    <x v="0"/>
    <x v="0"/>
    <n v="8"/>
    <x v="38"/>
    <n v="1.18"/>
    <n v="15.16"/>
    <s v="60814191"/>
  </r>
  <r>
    <x v="186"/>
    <s v="2021-10-05"/>
    <x v="0"/>
    <x v="0"/>
    <n v="7"/>
    <x v="47"/>
    <n v="1.1599999999999999"/>
    <n v="14.88"/>
    <s v="28517628"/>
  </r>
  <r>
    <x v="186"/>
    <s v="2021-10-05"/>
    <x v="0"/>
    <x v="0"/>
    <n v="6"/>
    <x v="36"/>
    <n v="1.1299999999999999"/>
    <n v="14.46"/>
    <s v="33136888"/>
  </r>
  <r>
    <x v="186"/>
    <s v="2021-10-05"/>
    <x v="0"/>
    <x v="0"/>
    <n v="5"/>
    <x v="39"/>
    <n v="1.1200000000000001"/>
    <n v="14.28"/>
    <s v="04902979"/>
  </r>
  <r>
    <x v="186"/>
    <s v="2021-10-05"/>
    <x v="0"/>
    <x v="0"/>
    <n v="4"/>
    <x v="22"/>
    <n v="1.0900000000000001"/>
    <n v="13.85"/>
    <s v="11417016"/>
  </r>
  <r>
    <x v="186"/>
    <s v="2021-10-05"/>
    <x v="0"/>
    <x v="0"/>
    <n v="3"/>
    <x v="53"/>
    <n v="1.07"/>
    <n v="13.59"/>
    <s v="31872495"/>
  </r>
  <r>
    <x v="186"/>
    <s v="2021-10-05"/>
    <x v="0"/>
    <x v="0"/>
    <n v="2"/>
    <x v="35"/>
    <n v="1.06"/>
    <n v="13.49"/>
    <s v="59109165"/>
  </r>
  <r>
    <x v="186"/>
    <s v="2021-10-05"/>
    <x v="0"/>
    <x v="0"/>
    <n v="1"/>
    <x v="40"/>
    <n v="1.04"/>
    <n v="13.26"/>
    <s v="02992446"/>
  </r>
  <r>
    <x v="187"/>
    <s v="2021-10-06"/>
    <x v="0"/>
    <x v="0"/>
    <n v="46"/>
    <x v="3"/>
    <n v="3.3"/>
    <n v="47.63"/>
    <s v="05503849"/>
  </r>
  <r>
    <x v="187"/>
    <s v="2021-10-06"/>
    <x v="0"/>
    <x v="0"/>
    <n v="45"/>
    <x v="1"/>
    <n v="3.17"/>
    <n v="45.45"/>
    <s v="01800019"/>
  </r>
  <r>
    <x v="187"/>
    <s v="2021-10-06"/>
    <x v="0"/>
    <x v="0"/>
    <n v="44"/>
    <x v="0"/>
    <n v="3.15"/>
    <n v="45.02"/>
    <s v="60850229"/>
  </r>
  <r>
    <x v="187"/>
    <s v="2021-10-06"/>
    <x v="0"/>
    <x v="0"/>
    <n v="43"/>
    <x v="7"/>
    <n v="3.09"/>
    <n v="44.13"/>
    <s v="92874270"/>
  </r>
  <r>
    <x v="187"/>
    <s v="2021-10-06"/>
    <x v="0"/>
    <x v="0"/>
    <n v="42"/>
    <x v="2"/>
    <n v="3.09"/>
    <n v="44.04"/>
    <s v="92228410"/>
  </r>
  <r>
    <x v="187"/>
    <s v="2021-10-06"/>
    <x v="0"/>
    <x v="0"/>
    <n v="41"/>
    <x v="4"/>
    <n v="2.54"/>
    <n v="35.090000000000003"/>
    <s v="62232889"/>
  </r>
  <r>
    <x v="187"/>
    <s v="2021-10-06"/>
    <x v="0"/>
    <x v="0"/>
    <n v="40"/>
    <x v="5"/>
    <n v="2.5099999999999998"/>
    <n v="34.630000000000003"/>
    <s v="80271455"/>
  </r>
  <r>
    <x v="187"/>
    <s v="2021-10-06"/>
    <x v="0"/>
    <x v="0"/>
    <n v="39"/>
    <x v="42"/>
    <n v="2.48"/>
    <n v="34.11"/>
    <s v="34991938"/>
  </r>
  <r>
    <x v="187"/>
    <s v="2021-10-06"/>
    <x v="0"/>
    <x v="0"/>
    <n v="38"/>
    <x v="6"/>
    <n v="2.39"/>
    <n v="32.78"/>
    <s v="05676026"/>
  </r>
  <r>
    <x v="187"/>
    <s v="2021-10-06"/>
    <x v="0"/>
    <x v="0"/>
    <n v="37"/>
    <x v="8"/>
    <n v="2.38"/>
    <n v="32.65"/>
    <s v="59285411"/>
  </r>
  <r>
    <x v="187"/>
    <s v="2021-10-06"/>
    <x v="0"/>
    <x v="0"/>
    <n v="36"/>
    <x v="9"/>
    <n v="2.36"/>
    <n v="32.31"/>
    <s v="00411939"/>
  </r>
  <r>
    <x v="187"/>
    <s v="2021-10-06"/>
    <x v="0"/>
    <x v="0"/>
    <n v="35"/>
    <x v="10"/>
    <n v="2.17"/>
    <n v="29.31"/>
    <s v="10371492"/>
  </r>
  <r>
    <x v="187"/>
    <s v="2021-10-06"/>
    <x v="0"/>
    <x v="0"/>
    <n v="34"/>
    <x v="13"/>
    <n v="1.98"/>
    <n v="26.55"/>
    <s v="07707650"/>
  </r>
  <r>
    <x v="187"/>
    <s v="2021-10-06"/>
    <x v="0"/>
    <x v="0"/>
    <n v="33"/>
    <x v="15"/>
    <n v="1.92"/>
    <n v="25.69"/>
    <s v="59588111"/>
  </r>
  <r>
    <x v="187"/>
    <s v="2021-10-06"/>
    <x v="0"/>
    <x v="0"/>
    <n v="32"/>
    <x v="41"/>
    <n v="1.86"/>
    <n v="24.8"/>
    <s v="20443996"/>
  </r>
  <r>
    <x v="187"/>
    <s v="2021-10-06"/>
    <x v="0"/>
    <x v="0"/>
    <n v="31"/>
    <x v="28"/>
    <n v="1.84"/>
    <n v="24.5"/>
    <s v="90400888"/>
  </r>
  <r>
    <x v="187"/>
    <s v="2021-10-06"/>
    <x v="0"/>
    <x v="0"/>
    <n v="30"/>
    <x v="16"/>
    <n v="1.82"/>
    <n v="24.19"/>
    <s v="07207996"/>
  </r>
  <r>
    <x v="187"/>
    <s v="2021-10-06"/>
    <x v="0"/>
    <x v="0"/>
    <n v="29"/>
    <x v="20"/>
    <n v="1.77"/>
    <n v="23.36"/>
    <s v="17192451"/>
  </r>
  <r>
    <x v="187"/>
    <s v="2021-10-06"/>
    <x v="0"/>
    <x v="0"/>
    <n v="28"/>
    <x v="11"/>
    <n v="1.76"/>
    <n v="23.29"/>
    <s v="03634220"/>
  </r>
  <r>
    <x v="187"/>
    <s v="2021-10-06"/>
    <x v="0"/>
    <x v="0"/>
    <n v="27"/>
    <x v="24"/>
    <n v="1.75"/>
    <n v="23.19"/>
    <s v="22639377"/>
  </r>
  <r>
    <x v="187"/>
    <s v="2021-10-06"/>
    <x v="0"/>
    <x v="0"/>
    <n v="26"/>
    <x v="51"/>
    <n v="1.67"/>
    <n v="21.98"/>
    <s v="62237425"/>
  </r>
  <r>
    <x v="187"/>
    <s v="2021-10-06"/>
    <x v="0"/>
    <x v="0"/>
    <n v="25"/>
    <x v="19"/>
    <n v="1.66"/>
    <n v="21.83"/>
    <s v="92702067"/>
  </r>
  <r>
    <x v="187"/>
    <s v="2021-10-06"/>
    <x v="0"/>
    <x v="0"/>
    <n v="24"/>
    <x v="21"/>
    <n v="1.64"/>
    <n v="21.59"/>
    <s v="03017677"/>
  </r>
  <r>
    <x v="187"/>
    <s v="2021-10-06"/>
    <x v="0"/>
    <x v="0"/>
    <n v="23"/>
    <x v="29"/>
    <n v="1.63"/>
    <n v="21.46"/>
    <s v="60746948"/>
  </r>
  <r>
    <x v="187"/>
    <s v="2021-10-06"/>
    <x v="0"/>
    <x v="0"/>
    <n v="22"/>
    <x v="12"/>
    <n v="1.62"/>
    <n v="21.29"/>
    <s v="04862600"/>
  </r>
  <r>
    <x v="187"/>
    <s v="2021-10-06"/>
    <x v="0"/>
    <x v="0"/>
    <n v="21"/>
    <x v="30"/>
    <n v="1.6"/>
    <n v="20.93"/>
    <s v="03502961"/>
  </r>
  <r>
    <x v="187"/>
    <s v="2021-10-06"/>
    <x v="0"/>
    <x v="0"/>
    <n v="20"/>
    <x v="18"/>
    <n v="1.58"/>
    <n v="20.69"/>
    <s v="28127603"/>
  </r>
  <r>
    <x v="187"/>
    <s v="2021-10-06"/>
    <x v="0"/>
    <x v="0"/>
    <n v="19"/>
    <x v="32"/>
    <n v="1.57"/>
    <n v="20.55"/>
    <s v="60701190"/>
  </r>
  <r>
    <x v="187"/>
    <s v="2021-10-06"/>
    <x v="0"/>
    <x v="0"/>
    <n v="18"/>
    <x v="25"/>
    <n v="1.54"/>
    <n v="20.100000000000001"/>
    <s v="59274605"/>
  </r>
  <r>
    <x v="187"/>
    <s v="2021-10-06"/>
    <x v="0"/>
    <x v="0"/>
    <n v="17"/>
    <x v="26"/>
    <n v="1.51"/>
    <n v="19.64"/>
    <s v="30172491"/>
  </r>
  <r>
    <x v="187"/>
    <s v="2021-10-06"/>
    <x v="0"/>
    <x v="0"/>
    <n v="16"/>
    <x v="14"/>
    <n v="1.48"/>
    <n v="19.21"/>
    <s v="00360305"/>
  </r>
  <r>
    <x v="187"/>
    <s v="2021-10-06"/>
    <x v="0"/>
    <x v="0"/>
    <n v="15"/>
    <x v="23"/>
    <n v="1.46"/>
    <n v="19.03"/>
    <s v="03215790"/>
  </r>
  <r>
    <x v="187"/>
    <s v="2021-10-06"/>
    <x v="0"/>
    <x v="0"/>
    <n v="14"/>
    <x v="33"/>
    <n v="1.46"/>
    <n v="18.940000000000001"/>
    <s v="62307848"/>
  </r>
  <r>
    <x v="187"/>
    <s v="2021-10-06"/>
    <x v="0"/>
    <x v="0"/>
    <n v="13"/>
    <x v="27"/>
    <n v="1.37"/>
    <n v="17.68"/>
    <s v="00000000"/>
  </r>
  <r>
    <x v="187"/>
    <s v="2021-10-06"/>
    <x v="0"/>
    <x v="0"/>
    <n v="12"/>
    <x v="31"/>
    <n v="1.36"/>
    <n v="17.53"/>
    <s v="17167412"/>
  </r>
  <r>
    <x v="187"/>
    <s v="2021-10-06"/>
    <x v="0"/>
    <x v="0"/>
    <n v="11"/>
    <x v="44"/>
    <n v="1.35"/>
    <n v="17.43"/>
    <s v="58017179"/>
  </r>
  <r>
    <x v="187"/>
    <s v="2021-10-06"/>
    <x v="0"/>
    <x v="0"/>
    <n v="10"/>
    <x v="34"/>
    <n v="1.32"/>
    <n v="17.100000000000001"/>
    <s v="33603457"/>
  </r>
  <r>
    <x v="187"/>
    <s v="2021-10-06"/>
    <x v="0"/>
    <x v="0"/>
    <n v="9"/>
    <x v="37"/>
    <n v="1.23"/>
    <n v="15.86"/>
    <s v="04452473"/>
  </r>
  <r>
    <x v="187"/>
    <s v="2021-10-06"/>
    <x v="0"/>
    <x v="0"/>
    <n v="8"/>
    <x v="38"/>
    <n v="1.1599999999999999"/>
    <n v="14.88"/>
    <s v="60814191"/>
  </r>
  <r>
    <x v="187"/>
    <s v="2021-10-06"/>
    <x v="0"/>
    <x v="0"/>
    <n v="7"/>
    <x v="47"/>
    <n v="1.1599999999999999"/>
    <n v="14.88"/>
    <s v="28517628"/>
  </r>
  <r>
    <x v="187"/>
    <s v="2021-10-06"/>
    <x v="0"/>
    <x v="0"/>
    <n v="6"/>
    <x v="36"/>
    <n v="1.1299999999999999"/>
    <n v="14.46"/>
    <s v="33136888"/>
  </r>
  <r>
    <x v="187"/>
    <s v="2021-10-06"/>
    <x v="0"/>
    <x v="0"/>
    <n v="5"/>
    <x v="39"/>
    <n v="1.1000000000000001"/>
    <n v="13.97"/>
    <s v="04902979"/>
  </r>
  <r>
    <x v="187"/>
    <s v="2021-10-06"/>
    <x v="0"/>
    <x v="0"/>
    <n v="4"/>
    <x v="22"/>
    <n v="1.0900000000000001"/>
    <n v="13.94"/>
    <s v="11417016"/>
  </r>
  <r>
    <x v="187"/>
    <s v="2021-10-06"/>
    <x v="0"/>
    <x v="0"/>
    <n v="3"/>
    <x v="35"/>
    <n v="1.07"/>
    <n v="13.59"/>
    <s v="59109165"/>
  </r>
  <r>
    <x v="187"/>
    <s v="2021-10-06"/>
    <x v="0"/>
    <x v="0"/>
    <n v="2"/>
    <x v="53"/>
    <n v="1.07"/>
    <n v="13.59"/>
    <s v="31872495"/>
  </r>
  <r>
    <x v="187"/>
    <s v="2021-10-06"/>
    <x v="0"/>
    <x v="0"/>
    <n v="1"/>
    <x v="40"/>
    <n v="1.05"/>
    <n v="13.35"/>
    <s v="02992446"/>
  </r>
  <r>
    <x v="188"/>
    <s v="2021-10-07"/>
    <x v="0"/>
    <x v="0"/>
    <n v="43"/>
    <x v="3"/>
    <n v="3.5"/>
    <n v="51.19"/>
    <s v="05503849"/>
  </r>
  <r>
    <x v="188"/>
    <s v="2021-10-07"/>
    <x v="0"/>
    <x v="0"/>
    <n v="42"/>
    <x v="1"/>
    <n v="3.26"/>
    <n v="47.04"/>
    <s v="01800019"/>
  </r>
  <r>
    <x v="188"/>
    <s v="2021-10-07"/>
    <x v="0"/>
    <x v="0"/>
    <n v="41"/>
    <x v="0"/>
    <n v="3.2"/>
    <n v="45.99"/>
    <s v="60850229"/>
  </r>
  <r>
    <x v="188"/>
    <s v="2021-10-07"/>
    <x v="0"/>
    <x v="0"/>
    <n v="40"/>
    <x v="2"/>
    <n v="3.11"/>
    <n v="44.43"/>
    <s v="92228410"/>
  </r>
  <r>
    <x v="188"/>
    <s v="2021-10-07"/>
    <x v="0"/>
    <x v="0"/>
    <n v="39"/>
    <x v="7"/>
    <n v="3.08"/>
    <n v="43.95"/>
    <s v="92874270"/>
  </r>
  <r>
    <x v="188"/>
    <s v="2021-10-07"/>
    <x v="0"/>
    <x v="0"/>
    <n v="38"/>
    <x v="4"/>
    <n v="2.54"/>
    <n v="35.049999999999997"/>
    <s v="62232889"/>
  </r>
  <r>
    <x v="188"/>
    <s v="2021-10-07"/>
    <x v="0"/>
    <x v="0"/>
    <n v="37"/>
    <x v="42"/>
    <n v="2.4700000000000002"/>
    <n v="34.04"/>
    <s v="34991938"/>
  </r>
  <r>
    <x v="188"/>
    <s v="2021-10-07"/>
    <x v="0"/>
    <x v="0"/>
    <n v="36"/>
    <x v="5"/>
    <n v="2.4500000000000002"/>
    <n v="33.72"/>
    <s v="80271455"/>
  </r>
  <r>
    <x v="188"/>
    <s v="2021-10-07"/>
    <x v="0"/>
    <x v="0"/>
    <n v="35"/>
    <x v="6"/>
    <n v="2.41"/>
    <n v="33.06"/>
    <s v="05676026"/>
  </r>
  <r>
    <x v="188"/>
    <s v="2021-10-07"/>
    <x v="0"/>
    <x v="0"/>
    <n v="34"/>
    <x v="9"/>
    <n v="2.4"/>
    <n v="32.96"/>
    <s v="00411939"/>
  </r>
  <r>
    <x v="188"/>
    <s v="2021-10-07"/>
    <x v="0"/>
    <x v="0"/>
    <n v="33"/>
    <x v="8"/>
    <n v="2.38"/>
    <n v="32.68"/>
    <s v="59285411"/>
  </r>
  <r>
    <x v="188"/>
    <s v="2021-10-07"/>
    <x v="0"/>
    <x v="0"/>
    <n v="32"/>
    <x v="10"/>
    <n v="2.17"/>
    <n v="29.43"/>
    <s v="10371492"/>
  </r>
  <r>
    <x v="188"/>
    <s v="2021-10-07"/>
    <x v="0"/>
    <x v="0"/>
    <n v="31"/>
    <x v="13"/>
    <n v="1.99"/>
    <n v="26.6"/>
    <s v="07707650"/>
  </r>
  <r>
    <x v="188"/>
    <s v="2021-10-07"/>
    <x v="0"/>
    <x v="0"/>
    <n v="30"/>
    <x v="15"/>
    <n v="1.92"/>
    <n v="25.62"/>
    <s v="59588111"/>
  </r>
  <r>
    <x v="188"/>
    <s v="2021-10-07"/>
    <x v="0"/>
    <x v="0"/>
    <n v="29"/>
    <x v="28"/>
    <n v="1.84"/>
    <n v="24.51"/>
    <s v="90400888"/>
  </r>
  <r>
    <x v="188"/>
    <s v="2021-10-07"/>
    <x v="0"/>
    <x v="0"/>
    <n v="28"/>
    <x v="16"/>
    <n v="1.83"/>
    <n v="24.24"/>
    <s v="07207996"/>
  </r>
  <r>
    <x v="188"/>
    <s v="2021-10-07"/>
    <x v="0"/>
    <x v="0"/>
    <n v="27"/>
    <x v="24"/>
    <n v="1.79"/>
    <n v="23.69"/>
    <s v="22639377"/>
  </r>
  <r>
    <x v="188"/>
    <s v="2021-10-07"/>
    <x v="0"/>
    <x v="0"/>
    <n v="26"/>
    <x v="20"/>
    <n v="1.78"/>
    <n v="23.59"/>
    <s v="17192451"/>
  </r>
  <r>
    <x v="188"/>
    <s v="2021-10-07"/>
    <x v="0"/>
    <x v="0"/>
    <n v="25"/>
    <x v="11"/>
    <n v="1.75"/>
    <n v="23.2"/>
    <s v="03634220"/>
  </r>
  <r>
    <x v="188"/>
    <s v="2021-10-07"/>
    <x v="0"/>
    <x v="0"/>
    <n v="24"/>
    <x v="21"/>
    <n v="1.65"/>
    <n v="21.71"/>
    <s v="03017677"/>
  </r>
  <r>
    <x v="188"/>
    <s v="2021-10-07"/>
    <x v="0"/>
    <x v="0"/>
    <n v="23"/>
    <x v="29"/>
    <n v="1.65"/>
    <n v="21.64"/>
    <s v="60746948"/>
  </r>
  <r>
    <x v="188"/>
    <s v="2021-10-07"/>
    <x v="0"/>
    <x v="0"/>
    <n v="22"/>
    <x v="12"/>
    <n v="1.62"/>
    <n v="21.32"/>
    <s v="04862600"/>
  </r>
  <r>
    <x v="188"/>
    <s v="2021-10-07"/>
    <x v="0"/>
    <x v="0"/>
    <n v="21"/>
    <x v="30"/>
    <n v="1.61"/>
    <n v="21.18"/>
    <s v="03502961"/>
  </r>
  <r>
    <x v="188"/>
    <s v="2021-10-07"/>
    <x v="0"/>
    <x v="0"/>
    <n v="20"/>
    <x v="19"/>
    <n v="1.6"/>
    <n v="21.02"/>
    <s v="92702067"/>
  </r>
  <r>
    <x v="188"/>
    <s v="2021-10-07"/>
    <x v="0"/>
    <x v="0"/>
    <n v="19"/>
    <x v="32"/>
    <n v="1.6"/>
    <n v="20.95"/>
    <s v="60701190"/>
  </r>
  <r>
    <x v="188"/>
    <s v="2021-10-07"/>
    <x v="0"/>
    <x v="0"/>
    <n v="18"/>
    <x v="25"/>
    <n v="1.55"/>
    <n v="20.22"/>
    <s v="59274605"/>
  </r>
  <r>
    <x v="188"/>
    <s v="2021-10-07"/>
    <x v="0"/>
    <x v="0"/>
    <n v="17"/>
    <x v="18"/>
    <n v="1.54"/>
    <n v="20.100000000000001"/>
    <s v="28127603"/>
  </r>
  <r>
    <x v="188"/>
    <s v="2021-10-07"/>
    <x v="0"/>
    <x v="0"/>
    <n v="16"/>
    <x v="26"/>
    <n v="1.51"/>
    <n v="19.64"/>
    <s v="30172491"/>
  </r>
  <r>
    <x v="188"/>
    <s v="2021-10-07"/>
    <x v="0"/>
    <x v="0"/>
    <n v="15"/>
    <x v="33"/>
    <n v="1.47"/>
    <n v="19.16"/>
    <s v="62307848"/>
  </r>
  <r>
    <x v="188"/>
    <s v="2021-10-07"/>
    <x v="0"/>
    <x v="0"/>
    <n v="14"/>
    <x v="23"/>
    <n v="1.47"/>
    <n v="19.100000000000001"/>
    <s v="03215790"/>
  </r>
  <r>
    <x v="188"/>
    <s v="2021-10-07"/>
    <x v="0"/>
    <x v="0"/>
    <n v="13"/>
    <x v="14"/>
    <n v="1.39"/>
    <n v="18.03"/>
    <s v="00360305"/>
  </r>
  <r>
    <x v="188"/>
    <s v="2021-10-07"/>
    <x v="0"/>
    <x v="0"/>
    <n v="12"/>
    <x v="27"/>
    <n v="1.38"/>
    <n v="17.940000000000001"/>
    <s v="00000000"/>
  </r>
  <r>
    <x v="188"/>
    <s v="2021-10-07"/>
    <x v="0"/>
    <x v="0"/>
    <n v="11"/>
    <x v="31"/>
    <n v="1.37"/>
    <n v="17.690000000000001"/>
    <s v="17167412"/>
  </r>
  <r>
    <x v="188"/>
    <s v="2021-10-07"/>
    <x v="0"/>
    <x v="0"/>
    <n v="10"/>
    <x v="34"/>
    <n v="1.3"/>
    <n v="16.8"/>
    <s v="33603457"/>
  </r>
  <r>
    <x v="188"/>
    <s v="2021-10-07"/>
    <x v="0"/>
    <x v="0"/>
    <n v="9"/>
    <x v="44"/>
    <n v="1.3"/>
    <n v="16.72"/>
    <s v="58017179"/>
  </r>
  <r>
    <x v="188"/>
    <s v="2021-10-07"/>
    <x v="0"/>
    <x v="0"/>
    <n v="8"/>
    <x v="37"/>
    <n v="1.23"/>
    <n v="15.75"/>
    <s v="04452473"/>
  </r>
  <r>
    <x v="188"/>
    <s v="2021-10-07"/>
    <x v="0"/>
    <x v="0"/>
    <n v="7"/>
    <x v="38"/>
    <n v="1.1499999999999999"/>
    <n v="14.69"/>
    <s v="60814191"/>
  </r>
  <r>
    <x v="188"/>
    <s v="2021-10-07"/>
    <x v="0"/>
    <x v="0"/>
    <n v="6"/>
    <x v="22"/>
    <n v="1.1100000000000001"/>
    <n v="14.15"/>
    <s v="11417016"/>
  </r>
  <r>
    <x v="188"/>
    <s v="2021-10-07"/>
    <x v="0"/>
    <x v="0"/>
    <n v="5"/>
    <x v="47"/>
    <n v="1.1000000000000001"/>
    <n v="14.09"/>
    <s v="28517628"/>
  </r>
  <r>
    <x v="188"/>
    <s v="2021-10-07"/>
    <x v="0"/>
    <x v="0"/>
    <n v="4"/>
    <x v="36"/>
    <n v="1.1000000000000001"/>
    <n v="14.04"/>
    <s v="33136888"/>
  </r>
  <r>
    <x v="188"/>
    <s v="2021-10-07"/>
    <x v="0"/>
    <x v="0"/>
    <n v="3"/>
    <x v="39"/>
    <n v="1.1000000000000001"/>
    <n v="13.97"/>
    <s v="04902979"/>
  </r>
  <r>
    <x v="188"/>
    <s v="2021-10-07"/>
    <x v="0"/>
    <x v="0"/>
    <n v="2"/>
    <x v="35"/>
    <n v="1.08"/>
    <n v="13.78"/>
    <s v="59109165"/>
  </r>
  <r>
    <x v="188"/>
    <s v="2021-10-07"/>
    <x v="0"/>
    <x v="0"/>
    <n v="1"/>
    <x v="40"/>
    <n v="1.06"/>
    <n v="13.44"/>
    <s v="02992446"/>
  </r>
  <r>
    <x v="189"/>
    <s v="2021-10-08"/>
    <x v="0"/>
    <x v="0"/>
    <n v="43"/>
    <x v="3"/>
    <n v="3.44"/>
    <n v="50.03"/>
    <s v="05503849"/>
  </r>
  <r>
    <x v="189"/>
    <s v="2021-10-08"/>
    <x v="0"/>
    <x v="0"/>
    <n v="42"/>
    <x v="0"/>
    <n v="3.28"/>
    <n v="47.33"/>
    <s v="60850229"/>
  </r>
  <r>
    <x v="189"/>
    <s v="2021-10-08"/>
    <x v="0"/>
    <x v="0"/>
    <n v="41"/>
    <x v="1"/>
    <n v="3.17"/>
    <n v="45.43"/>
    <s v="01800019"/>
  </r>
  <r>
    <x v="189"/>
    <s v="2021-10-08"/>
    <x v="0"/>
    <x v="0"/>
    <n v="40"/>
    <x v="2"/>
    <n v="3.1"/>
    <n v="44.16"/>
    <s v="92228410"/>
  </r>
  <r>
    <x v="189"/>
    <s v="2021-10-08"/>
    <x v="0"/>
    <x v="0"/>
    <n v="39"/>
    <x v="7"/>
    <n v="3.09"/>
    <n v="44.08"/>
    <s v="92874270"/>
  </r>
  <r>
    <x v="189"/>
    <s v="2021-10-08"/>
    <x v="0"/>
    <x v="0"/>
    <n v="38"/>
    <x v="4"/>
    <n v="2.56"/>
    <n v="35.380000000000003"/>
    <s v="62232889"/>
  </r>
  <r>
    <x v="189"/>
    <s v="2021-10-08"/>
    <x v="0"/>
    <x v="0"/>
    <n v="37"/>
    <x v="6"/>
    <n v="2.52"/>
    <n v="34.74"/>
    <s v="05676026"/>
  </r>
  <r>
    <x v="189"/>
    <s v="2021-10-08"/>
    <x v="0"/>
    <x v="0"/>
    <n v="36"/>
    <x v="42"/>
    <n v="2.48"/>
    <n v="34.18"/>
    <s v="34991938"/>
  </r>
  <r>
    <x v="189"/>
    <s v="2021-10-08"/>
    <x v="0"/>
    <x v="0"/>
    <n v="35"/>
    <x v="5"/>
    <n v="2.44"/>
    <n v="33.47"/>
    <s v="80271455"/>
  </r>
  <r>
    <x v="189"/>
    <s v="2021-10-08"/>
    <x v="0"/>
    <x v="0"/>
    <n v="34"/>
    <x v="8"/>
    <n v="2.38"/>
    <n v="32.57"/>
    <s v="59285411"/>
  </r>
  <r>
    <x v="189"/>
    <s v="2021-10-08"/>
    <x v="0"/>
    <x v="0"/>
    <n v="33"/>
    <x v="9"/>
    <n v="2.35"/>
    <n v="32.18"/>
    <s v="00411939"/>
  </r>
  <r>
    <x v="189"/>
    <s v="2021-10-08"/>
    <x v="0"/>
    <x v="0"/>
    <n v="32"/>
    <x v="10"/>
    <n v="2.17"/>
    <n v="29.37"/>
    <s v="10371492"/>
  </r>
  <r>
    <x v="189"/>
    <s v="2021-10-08"/>
    <x v="0"/>
    <x v="0"/>
    <n v="31"/>
    <x v="13"/>
    <n v="1.98"/>
    <n v="26.5"/>
    <s v="07707650"/>
  </r>
  <r>
    <x v="189"/>
    <s v="2021-10-08"/>
    <x v="0"/>
    <x v="0"/>
    <n v="30"/>
    <x v="15"/>
    <n v="1.92"/>
    <n v="25.67"/>
    <s v="59588111"/>
  </r>
  <r>
    <x v="189"/>
    <s v="2021-10-08"/>
    <x v="0"/>
    <x v="0"/>
    <n v="29"/>
    <x v="24"/>
    <n v="1.89"/>
    <n v="25.17"/>
    <s v="22639377"/>
  </r>
  <r>
    <x v="189"/>
    <s v="2021-10-08"/>
    <x v="0"/>
    <x v="0"/>
    <n v="28"/>
    <x v="16"/>
    <n v="1.84"/>
    <n v="24.46"/>
    <s v="07207996"/>
  </r>
  <r>
    <x v="189"/>
    <s v="2021-10-08"/>
    <x v="0"/>
    <x v="0"/>
    <n v="27"/>
    <x v="28"/>
    <n v="1.81"/>
    <n v="24.02"/>
    <s v="90400888"/>
  </r>
  <r>
    <x v="189"/>
    <s v="2021-10-08"/>
    <x v="0"/>
    <x v="0"/>
    <n v="26"/>
    <x v="20"/>
    <n v="1.79"/>
    <n v="23.77"/>
    <s v="17192451"/>
  </r>
  <r>
    <x v="189"/>
    <s v="2021-10-08"/>
    <x v="0"/>
    <x v="0"/>
    <n v="25"/>
    <x v="11"/>
    <n v="1.73"/>
    <n v="22.89"/>
    <s v="03634220"/>
  </r>
  <r>
    <x v="189"/>
    <s v="2021-10-08"/>
    <x v="0"/>
    <x v="0"/>
    <n v="24"/>
    <x v="21"/>
    <n v="1.66"/>
    <n v="21.86"/>
    <s v="03017677"/>
  </r>
  <r>
    <x v="189"/>
    <s v="2021-10-08"/>
    <x v="0"/>
    <x v="0"/>
    <n v="23"/>
    <x v="29"/>
    <n v="1.65"/>
    <n v="21.73"/>
    <s v="60746948"/>
  </r>
  <r>
    <x v="189"/>
    <s v="2021-10-08"/>
    <x v="0"/>
    <x v="0"/>
    <n v="22"/>
    <x v="30"/>
    <n v="1.63"/>
    <n v="21.45"/>
    <s v="03502961"/>
  </r>
  <r>
    <x v="189"/>
    <s v="2021-10-08"/>
    <x v="0"/>
    <x v="0"/>
    <n v="21"/>
    <x v="12"/>
    <n v="1.63"/>
    <n v="21.4"/>
    <s v="04862600"/>
  </r>
  <r>
    <x v="189"/>
    <s v="2021-10-08"/>
    <x v="0"/>
    <x v="0"/>
    <n v="20"/>
    <x v="32"/>
    <n v="1.61"/>
    <n v="21.13"/>
    <s v="60701190"/>
  </r>
  <r>
    <x v="189"/>
    <s v="2021-10-08"/>
    <x v="0"/>
    <x v="0"/>
    <n v="19"/>
    <x v="19"/>
    <n v="1.6"/>
    <n v="21.02"/>
    <s v="92702067"/>
  </r>
  <r>
    <x v="189"/>
    <s v="2021-10-08"/>
    <x v="0"/>
    <x v="0"/>
    <n v="18"/>
    <x v="25"/>
    <n v="1.58"/>
    <n v="20.74"/>
    <s v="59274605"/>
  </r>
  <r>
    <x v="189"/>
    <s v="2021-10-08"/>
    <x v="0"/>
    <x v="0"/>
    <n v="17"/>
    <x v="18"/>
    <n v="1.51"/>
    <n v="19.71"/>
    <s v="28127603"/>
  </r>
  <r>
    <x v="189"/>
    <s v="2021-10-08"/>
    <x v="0"/>
    <x v="0"/>
    <n v="16"/>
    <x v="26"/>
    <n v="1.5"/>
    <n v="19.61"/>
    <s v="30172491"/>
  </r>
  <r>
    <x v="189"/>
    <s v="2021-10-08"/>
    <x v="0"/>
    <x v="0"/>
    <n v="15"/>
    <x v="33"/>
    <n v="1.48"/>
    <n v="19.29"/>
    <s v="62307848"/>
  </r>
  <r>
    <x v="189"/>
    <s v="2021-10-08"/>
    <x v="0"/>
    <x v="0"/>
    <n v="14"/>
    <x v="23"/>
    <n v="1.47"/>
    <n v="19.18"/>
    <s v="03215790"/>
  </r>
  <r>
    <x v="189"/>
    <s v="2021-10-08"/>
    <x v="0"/>
    <x v="0"/>
    <n v="13"/>
    <x v="14"/>
    <n v="1.4"/>
    <n v="18.190000000000001"/>
    <s v="00360305"/>
  </r>
  <r>
    <x v="189"/>
    <s v="2021-10-08"/>
    <x v="0"/>
    <x v="0"/>
    <n v="12"/>
    <x v="27"/>
    <n v="1.4"/>
    <n v="18.13"/>
    <s v="00000000"/>
  </r>
  <r>
    <x v="189"/>
    <s v="2021-10-08"/>
    <x v="0"/>
    <x v="0"/>
    <n v="11"/>
    <x v="31"/>
    <n v="1.37"/>
    <n v="17.8"/>
    <s v="17167412"/>
  </r>
  <r>
    <x v="189"/>
    <s v="2021-10-08"/>
    <x v="0"/>
    <x v="0"/>
    <n v="10"/>
    <x v="44"/>
    <n v="1.31"/>
    <n v="16.95"/>
    <s v="58017179"/>
  </r>
  <r>
    <x v="189"/>
    <s v="2021-10-08"/>
    <x v="0"/>
    <x v="0"/>
    <n v="9"/>
    <x v="34"/>
    <n v="1.3"/>
    <n v="16.77"/>
    <s v="33603457"/>
  </r>
  <r>
    <x v="189"/>
    <s v="2021-10-08"/>
    <x v="0"/>
    <x v="0"/>
    <n v="8"/>
    <x v="37"/>
    <n v="1.23"/>
    <n v="15.78"/>
    <s v="04452473"/>
  </r>
  <r>
    <x v="189"/>
    <s v="2021-10-08"/>
    <x v="0"/>
    <x v="0"/>
    <n v="7"/>
    <x v="38"/>
    <n v="1.1499999999999999"/>
    <n v="14.67"/>
    <s v="60814191"/>
  </r>
  <r>
    <x v="189"/>
    <s v="2021-10-08"/>
    <x v="0"/>
    <x v="0"/>
    <n v="6"/>
    <x v="36"/>
    <n v="1.1399999999999999"/>
    <n v="14.55"/>
    <s v="33136888"/>
  </r>
  <r>
    <x v="189"/>
    <s v="2021-10-08"/>
    <x v="0"/>
    <x v="0"/>
    <n v="5"/>
    <x v="22"/>
    <n v="1.1200000000000001"/>
    <n v="14.32"/>
    <s v="11417016"/>
  </r>
  <r>
    <x v="189"/>
    <s v="2021-10-08"/>
    <x v="0"/>
    <x v="0"/>
    <n v="4"/>
    <x v="35"/>
    <n v="1.1100000000000001"/>
    <n v="14.18"/>
    <s v="59109165"/>
  </r>
  <r>
    <x v="189"/>
    <s v="2021-10-08"/>
    <x v="0"/>
    <x v="0"/>
    <n v="3"/>
    <x v="47"/>
    <n v="1.1000000000000001"/>
    <n v="14.09"/>
    <s v="28517628"/>
  </r>
  <r>
    <x v="189"/>
    <s v="2021-10-08"/>
    <x v="0"/>
    <x v="0"/>
    <n v="2"/>
    <x v="39"/>
    <n v="1.1000000000000001"/>
    <n v="13.97"/>
    <s v="04902979"/>
  </r>
  <r>
    <x v="189"/>
    <s v="2021-10-08"/>
    <x v="0"/>
    <x v="0"/>
    <n v="1"/>
    <x v="40"/>
    <n v="1.06"/>
    <n v="13.46"/>
    <s v="02992446"/>
  </r>
  <r>
    <x v="190"/>
    <s v="2021-10-11"/>
    <x v="0"/>
    <x v="0"/>
    <n v="42"/>
    <x v="3"/>
    <n v="3.43"/>
    <n v="49.96"/>
    <s v="05503849"/>
  </r>
  <r>
    <x v="190"/>
    <s v="2021-10-11"/>
    <x v="0"/>
    <x v="0"/>
    <n v="41"/>
    <x v="0"/>
    <n v="3.31"/>
    <n v="47.89"/>
    <s v="60850229"/>
  </r>
  <r>
    <x v="190"/>
    <s v="2021-10-11"/>
    <x v="0"/>
    <x v="0"/>
    <n v="40"/>
    <x v="1"/>
    <n v="3.14"/>
    <n v="44.91"/>
    <s v="01800019"/>
  </r>
  <r>
    <x v="190"/>
    <s v="2021-10-11"/>
    <x v="0"/>
    <x v="0"/>
    <n v="39"/>
    <x v="2"/>
    <n v="3.08"/>
    <n v="43.87"/>
    <s v="92228410"/>
  </r>
  <r>
    <x v="190"/>
    <s v="2021-10-11"/>
    <x v="0"/>
    <x v="0"/>
    <n v="38"/>
    <x v="7"/>
    <n v="3.07"/>
    <n v="43.82"/>
    <s v="92874270"/>
  </r>
  <r>
    <x v="190"/>
    <s v="2021-10-11"/>
    <x v="0"/>
    <x v="0"/>
    <n v="37"/>
    <x v="4"/>
    <n v="2.56"/>
    <n v="35.47"/>
    <s v="62232889"/>
  </r>
  <r>
    <x v="190"/>
    <s v="2021-10-11"/>
    <x v="0"/>
    <x v="0"/>
    <n v="36"/>
    <x v="6"/>
    <n v="2.54"/>
    <n v="35.130000000000003"/>
    <s v="05676026"/>
  </r>
  <r>
    <x v="190"/>
    <s v="2021-10-11"/>
    <x v="0"/>
    <x v="0"/>
    <n v="35"/>
    <x v="42"/>
    <n v="2.48"/>
    <n v="34.130000000000003"/>
    <s v="34991938"/>
  </r>
  <r>
    <x v="190"/>
    <s v="2021-10-11"/>
    <x v="0"/>
    <x v="0"/>
    <n v="34"/>
    <x v="9"/>
    <n v="2.39"/>
    <n v="32.78"/>
    <s v="00411939"/>
  </r>
  <r>
    <x v="190"/>
    <s v="2021-10-11"/>
    <x v="0"/>
    <x v="0"/>
    <n v="33"/>
    <x v="5"/>
    <n v="2.37"/>
    <n v="32.450000000000003"/>
    <s v="80271455"/>
  </r>
  <r>
    <x v="190"/>
    <s v="2021-10-11"/>
    <x v="0"/>
    <x v="0"/>
    <n v="32"/>
    <x v="8"/>
    <n v="2.36"/>
    <n v="32.32"/>
    <s v="59285411"/>
  </r>
  <r>
    <x v="190"/>
    <s v="2021-10-11"/>
    <x v="0"/>
    <x v="0"/>
    <n v="31"/>
    <x v="10"/>
    <n v="2.19"/>
    <n v="29.69"/>
    <s v="10371492"/>
  </r>
  <r>
    <x v="190"/>
    <s v="2021-10-11"/>
    <x v="0"/>
    <x v="0"/>
    <n v="30"/>
    <x v="13"/>
    <n v="1.98"/>
    <n v="26.56"/>
    <s v="07707650"/>
  </r>
  <r>
    <x v="190"/>
    <s v="2021-10-11"/>
    <x v="0"/>
    <x v="0"/>
    <n v="29"/>
    <x v="15"/>
    <n v="1.92"/>
    <n v="25.69"/>
    <s v="59588111"/>
  </r>
  <r>
    <x v="190"/>
    <s v="2021-10-11"/>
    <x v="0"/>
    <x v="0"/>
    <n v="28"/>
    <x v="16"/>
    <n v="1.84"/>
    <n v="24.51"/>
    <s v="07207996"/>
  </r>
  <r>
    <x v="190"/>
    <s v="2021-10-11"/>
    <x v="0"/>
    <x v="0"/>
    <n v="27"/>
    <x v="24"/>
    <n v="1.84"/>
    <n v="24.45"/>
    <s v="22639377"/>
  </r>
  <r>
    <x v="190"/>
    <s v="2021-10-11"/>
    <x v="0"/>
    <x v="0"/>
    <n v="26"/>
    <x v="28"/>
    <n v="1.81"/>
    <n v="24.07"/>
    <s v="90400888"/>
  </r>
  <r>
    <x v="190"/>
    <s v="2021-10-11"/>
    <x v="0"/>
    <x v="0"/>
    <n v="25"/>
    <x v="20"/>
    <n v="1.8"/>
    <n v="23.86"/>
    <s v="17192451"/>
  </r>
  <r>
    <x v="190"/>
    <s v="2021-10-11"/>
    <x v="0"/>
    <x v="0"/>
    <n v="24"/>
    <x v="11"/>
    <n v="1.68"/>
    <n v="22.08"/>
    <s v="03634220"/>
  </r>
  <r>
    <x v="190"/>
    <s v="2021-10-11"/>
    <x v="0"/>
    <x v="0"/>
    <n v="23"/>
    <x v="21"/>
    <n v="1.66"/>
    <n v="21.89"/>
    <s v="03017677"/>
  </r>
  <r>
    <x v="190"/>
    <s v="2021-10-11"/>
    <x v="0"/>
    <x v="0"/>
    <n v="22"/>
    <x v="29"/>
    <n v="1.66"/>
    <n v="21.84"/>
    <s v="60746948"/>
  </r>
  <r>
    <x v="190"/>
    <s v="2021-10-11"/>
    <x v="0"/>
    <x v="0"/>
    <n v="21"/>
    <x v="30"/>
    <n v="1.64"/>
    <n v="21.59"/>
    <s v="03502961"/>
  </r>
  <r>
    <x v="190"/>
    <s v="2021-10-11"/>
    <x v="0"/>
    <x v="0"/>
    <n v="20"/>
    <x v="12"/>
    <n v="1.64"/>
    <n v="21.57"/>
    <s v="04862600"/>
  </r>
  <r>
    <x v="190"/>
    <s v="2021-10-11"/>
    <x v="0"/>
    <x v="0"/>
    <n v="19"/>
    <x v="14"/>
    <n v="1.63"/>
    <n v="21.41"/>
    <s v="00360305"/>
  </r>
  <r>
    <x v="190"/>
    <s v="2021-10-11"/>
    <x v="0"/>
    <x v="0"/>
    <n v="18"/>
    <x v="32"/>
    <n v="1.62"/>
    <n v="21.33"/>
    <s v="60701190"/>
  </r>
  <r>
    <x v="190"/>
    <s v="2021-10-11"/>
    <x v="0"/>
    <x v="0"/>
    <n v="17"/>
    <x v="25"/>
    <n v="1.61"/>
    <n v="21.17"/>
    <s v="59274605"/>
  </r>
  <r>
    <x v="190"/>
    <s v="2021-10-11"/>
    <x v="0"/>
    <x v="0"/>
    <n v="16"/>
    <x v="19"/>
    <n v="1.6"/>
    <n v="21.02"/>
    <s v="92702067"/>
  </r>
  <r>
    <x v="190"/>
    <s v="2021-10-11"/>
    <x v="0"/>
    <x v="0"/>
    <n v="15"/>
    <x v="18"/>
    <n v="1.51"/>
    <n v="19.72"/>
    <s v="28127603"/>
  </r>
  <r>
    <x v="190"/>
    <s v="2021-10-11"/>
    <x v="0"/>
    <x v="0"/>
    <n v="14"/>
    <x v="26"/>
    <n v="1.51"/>
    <n v="19.7"/>
    <s v="30172491"/>
  </r>
  <r>
    <x v="190"/>
    <s v="2021-10-11"/>
    <x v="0"/>
    <x v="0"/>
    <n v="13"/>
    <x v="33"/>
    <n v="1.49"/>
    <n v="19.399999999999999"/>
    <s v="62307848"/>
  </r>
  <r>
    <x v="190"/>
    <s v="2021-10-11"/>
    <x v="0"/>
    <x v="0"/>
    <n v="12"/>
    <x v="23"/>
    <n v="1.48"/>
    <n v="19.29"/>
    <s v="03215790"/>
  </r>
  <r>
    <x v="190"/>
    <s v="2021-10-11"/>
    <x v="0"/>
    <x v="0"/>
    <n v="11"/>
    <x v="27"/>
    <n v="1.42"/>
    <n v="18.37"/>
    <s v="00000000"/>
  </r>
  <r>
    <x v="190"/>
    <s v="2021-10-11"/>
    <x v="0"/>
    <x v="0"/>
    <n v="10"/>
    <x v="31"/>
    <n v="1.37"/>
    <n v="17.78"/>
    <s v="17167412"/>
  </r>
  <r>
    <x v="190"/>
    <s v="2021-10-11"/>
    <x v="0"/>
    <x v="0"/>
    <n v="9"/>
    <x v="44"/>
    <n v="1.31"/>
    <n v="16.95"/>
    <s v="58017179"/>
  </r>
  <r>
    <x v="190"/>
    <s v="2021-10-11"/>
    <x v="0"/>
    <x v="0"/>
    <n v="8"/>
    <x v="34"/>
    <n v="1.29"/>
    <n v="16.64"/>
    <s v="33603457"/>
  </r>
  <r>
    <x v="190"/>
    <s v="2021-10-11"/>
    <x v="0"/>
    <x v="0"/>
    <n v="7"/>
    <x v="36"/>
    <n v="1.24"/>
    <n v="15.93"/>
    <s v="33136888"/>
  </r>
  <r>
    <x v="190"/>
    <s v="2021-10-11"/>
    <x v="0"/>
    <x v="0"/>
    <n v="6"/>
    <x v="37"/>
    <n v="1.24"/>
    <n v="15.88"/>
    <s v="04452473"/>
  </r>
  <r>
    <x v="190"/>
    <s v="2021-10-11"/>
    <x v="0"/>
    <x v="0"/>
    <n v="5"/>
    <x v="38"/>
    <n v="1.1499999999999999"/>
    <n v="14.65"/>
    <s v="60814191"/>
  </r>
  <r>
    <x v="190"/>
    <s v="2021-10-11"/>
    <x v="0"/>
    <x v="0"/>
    <n v="4"/>
    <x v="35"/>
    <n v="1.1399999999999999"/>
    <n v="14.58"/>
    <s v="59109165"/>
  </r>
  <r>
    <x v="190"/>
    <s v="2021-10-11"/>
    <x v="0"/>
    <x v="0"/>
    <n v="3"/>
    <x v="22"/>
    <n v="1.1200000000000001"/>
    <n v="14.3"/>
    <s v="11417016"/>
  </r>
  <r>
    <x v="190"/>
    <s v="2021-10-11"/>
    <x v="0"/>
    <x v="0"/>
    <n v="2"/>
    <x v="47"/>
    <n v="1.1000000000000001"/>
    <n v="14.09"/>
    <s v="28517628"/>
  </r>
  <r>
    <x v="190"/>
    <s v="2021-10-11"/>
    <x v="0"/>
    <x v="0"/>
    <n v="1"/>
    <x v="40"/>
    <n v="1.06"/>
    <n v="13.49"/>
    <s v="02992446"/>
  </r>
  <r>
    <x v="191"/>
    <s v="2021-10-13"/>
    <x v="0"/>
    <x v="0"/>
    <n v="42"/>
    <x v="3"/>
    <n v="3.43"/>
    <n v="49.93"/>
    <s v="05503849"/>
  </r>
  <r>
    <x v="191"/>
    <s v="2021-10-13"/>
    <x v="0"/>
    <x v="0"/>
    <n v="41"/>
    <x v="0"/>
    <n v="3.3"/>
    <n v="47.71"/>
    <s v="60850229"/>
  </r>
  <r>
    <x v="191"/>
    <s v="2021-10-13"/>
    <x v="0"/>
    <x v="0"/>
    <n v="40"/>
    <x v="1"/>
    <n v="3.16"/>
    <n v="45.18"/>
    <s v="01800019"/>
  </r>
  <r>
    <x v="191"/>
    <s v="2021-10-13"/>
    <x v="0"/>
    <x v="0"/>
    <n v="39"/>
    <x v="7"/>
    <n v="3.07"/>
    <n v="43.82"/>
    <s v="92874270"/>
  </r>
  <r>
    <x v="191"/>
    <s v="2021-10-13"/>
    <x v="0"/>
    <x v="0"/>
    <n v="38"/>
    <x v="2"/>
    <n v="3.06"/>
    <n v="43.61"/>
    <s v="92228410"/>
  </r>
  <r>
    <x v="191"/>
    <s v="2021-10-13"/>
    <x v="0"/>
    <x v="0"/>
    <n v="37"/>
    <x v="6"/>
    <n v="2.6"/>
    <n v="36.020000000000003"/>
    <s v="05676026"/>
  </r>
  <r>
    <x v="191"/>
    <s v="2021-10-13"/>
    <x v="0"/>
    <x v="0"/>
    <n v="36"/>
    <x v="4"/>
    <n v="2.57"/>
    <n v="35.53"/>
    <s v="62232889"/>
  </r>
  <r>
    <x v="191"/>
    <s v="2021-10-13"/>
    <x v="0"/>
    <x v="0"/>
    <n v="35"/>
    <x v="42"/>
    <n v="2.5"/>
    <n v="34.49"/>
    <s v="34991938"/>
  </r>
  <r>
    <x v="191"/>
    <s v="2021-10-13"/>
    <x v="0"/>
    <x v="0"/>
    <n v="34"/>
    <x v="5"/>
    <n v="2.42"/>
    <n v="33.229999999999997"/>
    <s v="80271455"/>
  </r>
  <r>
    <x v="191"/>
    <s v="2021-10-13"/>
    <x v="0"/>
    <x v="0"/>
    <n v="33"/>
    <x v="9"/>
    <n v="2.42"/>
    <n v="33.159999999999997"/>
    <s v="00411939"/>
  </r>
  <r>
    <x v="191"/>
    <s v="2021-10-13"/>
    <x v="0"/>
    <x v="0"/>
    <n v="32"/>
    <x v="8"/>
    <n v="2.35"/>
    <n v="32.090000000000003"/>
    <s v="59285411"/>
  </r>
  <r>
    <x v="191"/>
    <s v="2021-10-13"/>
    <x v="0"/>
    <x v="0"/>
    <n v="31"/>
    <x v="10"/>
    <n v="2.19"/>
    <n v="29.64"/>
    <s v="10371492"/>
  </r>
  <r>
    <x v="191"/>
    <s v="2021-10-13"/>
    <x v="0"/>
    <x v="0"/>
    <n v="30"/>
    <x v="13"/>
    <n v="1.98"/>
    <n v="26.5"/>
    <s v="07707650"/>
  </r>
  <r>
    <x v="191"/>
    <s v="2021-10-13"/>
    <x v="0"/>
    <x v="0"/>
    <n v="29"/>
    <x v="15"/>
    <n v="1.93"/>
    <n v="25.71"/>
    <s v="59588111"/>
  </r>
  <r>
    <x v="191"/>
    <s v="2021-10-13"/>
    <x v="0"/>
    <x v="0"/>
    <n v="28"/>
    <x v="28"/>
    <n v="1.86"/>
    <n v="24.76"/>
    <s v="90400888"/>
  </r>
  <r>
    <x v="191"/>
    <s v="2021-10-13"/>
    <x v="0"/>
    <x v="0"/>
    <n v="27"/>
    <x v="16"/>
    <n v="1.84"/>
    <n v="24.47"/>
    <s v="07207996"/>
  </r>
  <r>
    <x v="191"/>
    <s v="2021-10-13"/>
    <x v="0"/>
    <x v="0"/>
    <n v="26"/>
    <x v="24"/>
    <n v="1.82"/>
    <n v="24.13"/>
    <s v="22639377"/>
  </r>
  <r>
    <x v="191"/>
    <s v="2021-10-13"/>
    <x v="0"/>
    <x v="0"/>
    <n v="25"/>
    <x v="20"/>
    <n v="1.8"/>
    <n v="23.9"/>
    <s v="17192451"/>
  </r>
  <r>
    <x v="191"/>
    <s v="2021-10-13"/>
    <x v="0"/>
    <x v="0"/>
    <n v="24"/>
    <x v="21"/>
    <n v="1.66"/>
    <n v="21.88"/>
    <s v="03017677"/>
  </r>
  <r>
    <x v="191"/>
    <s v="2021-10-13"/>
    <x v="0"/>
    <x v="0"/>
    <n v="23"/>
    <x v="12"/>
    <n v="1.66"/>
    <n v="21.78"/>
    <s v="04862600"/>
  </r>
  <r>
    <x v="191"/>
    <s v="2021-10-13"/>
    <x v="0"/>
    <x v="0"/>
    <n v="22"/>
    <x v="14"/>
    <n v="1.65"/>
    <n v="21.7"/>
    <s v="00360305"/>
  </r>
  <r>
    <x v="191"/>
    <s v="2021-10-13"/>
    <x v="0"/>
    <x v="0"/>
    <n v="21"/>
    <x v="25"/>
    <n v="1.65"/>
    <n v="21.68"/>
    <s v="59274605"/>
  </r>
  <r>
    <x v="191"/>
    <s v="2021-10-13"/>
    <x v="0"/>
    <x v="0"/>
    <n v="20"/>
    <x v="29"/>
    <n v="1.64"/>
    <n v="21.5"/>
    <s v="60746948"/>
  </r>
  <r>
    <x v="191"/>
    <s v="2021-10-13"/>
    <x v="0"/>
    <x v="0"/>
    <n v="19"/>
    <x v="30"/>
    <n v="1.63"/>
    <n v="21.43"/>
    <s v="03502961"/>
  </r>
  <r>
    <x v="191"/>
    <s v="2021-10-13"/>
    <x v="0"/>
    <x v="0"/>
    <n v="18"/>
    <x v="32"/>
    <n v="1.62"/>
    <n v="21.26"/>
    <s v="60701190"/>
  </r>
  <r>
    <x v="191"/>
    <s v="2021-10-13"/>
    <x v="0"/>
    <x v="0"/>
    <n v="17"/>
    <x v="11"/>
    <n v="1.62"/>
    <n v="21.21"/>
    <s v="03634220"/>
  </r>
  <r>
    <x v="191"/>
    <s v="2021-10-13"/>
    <x v="0"/>
    <x v="0"/>
    <n v="16"/>
    <x v="18"/>
    <n v="1.52"/>
    <n v="19.899999999999999"/>
    <s v="28127603"/>
  </r>
  <r>
    <x v="191"/>
    <s v="2021-10-13"/>
    <x v="0"/>
    <x v="0"/>
    <n v="15"/>
    <x v="26"/>
    <n v="1.52"/>
    <n v="19.850000000000001"/>
    <s v="30172491"/>
  </r>
  <r>
    <x v="191"/>
    <s v="2021-10-13"/>
    <x v="0"/>
    <x v="0"/>
    <n v="14"/>
    <x v="33"/>
    <n v="1.49"/>
    <n v="19.440000000000001"/>
    <s v="62307848"/>
  </r>
  <r>
    <x v="191"/>
    <s v="2021-10-13"/>
    <x v="0"/>
    <x v="0"/>
    <n v="13"/>
    <x v="23"/>
    <n v="1.48"/>
    <n v="19.22"/>
    <s v="03215790"/>
  </r>
  <r>
    <x v="191"/>
    <s v="2021-10-13"/>
    <x v="0"/>
    <x v="0"/>
    <n v="12"/>
    <x v="27"/>
    <n v="1.42"/>
    <n v="18.5"/>
    <s v="00000000"/>
  </r>
  <r>
    <x v="191"/>
    <s v="2021-10-13"/>
    <x v="0"/>
    <x v="0"/>
    <n v="11"/>
    <x v="31"/>
    <n v="1.39"/>
    <n v="17.940000000000001"/>
    <s v="17167412"/>
  </r>
  <r>
    <x v="191"/>
    <s v="2021-10-13"/>
    <x v="0"/>
    <x v="0"/>
    <n v="10"/>
    <x v="44"/>
    <n v="1.33"/>
    <n v="17.12"/>
    <s v="58017179"/>
  </r>
  <r>
    <x v="191"/>
    <s v="2021-10-13"/>
    <x v="0"/>
    <x v="0"/>
    <n v="9"/>
    <x v="34"/>
    <n v="1.31"/>
    <n v="16.850000000000001"/>
    <s v="33603457"/>
  </r>
  <r>
    <x v="191"/>
    <s v="2021-10-13"/>
    <x v="0"/>
    <x v="0"/>
    <n v="8"/>
    <x v="37"/>
    <n v="1.24"/>
    <n v="15.98"/>
    <s v="04452473"/>
  </r>
  <r>
    <x v="191"/>
    <s v="2021-10-13"/>
    <x v="0"/>
    <x v="0"/>
    <n v="7"/>
    <x v="36"/>
    <n v="1.24"/>
    <n v="15.93"/>
    <s v="33136888"/>
  </r>
  <r>
    <x v="191"/>
    <s v="2021-10-13"/>
    <x v="0"/>
    <x v="0"/>
    <n v="6"/>
    <x v="38"/>
    <n v="1.24"/>
    <n v="15.92"/>
    <s v="60814191"/>
  </r>
  <r>
    <x v="191"/>
    <s v="2021-10-13"/>
    <x v="0"/>
    <x v="0"/>
    <n v="5"/>
    <x v="35"/>
    <n v="1.2"/>
    <n v="15.45"/>
    <s v="59109165"/>
  </r>
  <r>
    <x v="191"/>
    <s v="2021-10-13"/>
    <x v="0"/>
    <x v="0"/>
    <n v="4"/>
    <x v="22"/>
    <n v="1.1299999999999999"/>
    <n v="14.42"/>
    <s v="11417016"/>
  </r>
  <r>
    <x v="191"/>
    <s v="2021-10-13"/>
    <x v="0"/>
    <x v="0"/>
    <n v="3"/>
    <x v="19"/>
    <n v="1.1100000000000001"/>
    <n v="14.19"/>
    <s v="92702067"/>
  </r>
  <r>
    <x v="191"/>
    <s v="2021-10-13"/>
    <x v="0"/>
    <x v="0"/>
    <n v="2"/>
    <x v="47"/>
    <n v="1.1000000000000001"/>
    <n v="14.09"/>
    <s v="28517628"/>
  </r>
  <r>
    <x v="191"/>
    <s v="2021-10-13"/>
    <x v="0"/>
    <x v="0"/>
    <n v="1"/>
    <x v="40"/>
    <n v="1.05"/>
    <n v="13.33"/>
    <s v="02992446"/>
  </r>
  <r>
    <x v="192"/>
    <s v="2021-10-14"/>
    <x v="0"/>
    <x v="0"/>
    <n v="42"/>
    <x v="3"/>
    <n v="3.46"/>
    <n v="50.44"/>
    <s v="05503849"/>
  </r>
  <r>
    <x v="192"/>
    <s v="2021-10-14"/>
    <x v="0"/>
    <x v="0"/>
    <n v="41"/>
    <x v="0"/>
    <n v="3.2"/>
    <n v="45.89"/>
    <s v="60850229"/>
  </r>
  <r>
    <x v="192"/>
    <s v="2021-10-14"/>
    <x v="0"/>
    <x v="0"/>
    <n v="40"/>
    <x v="1"/>
    <n v="3.19"/>
    <n v="45.68"/>
    <s v="01800019"/>
  </r>
  <r>
    <x v="192"/>
    <s v="2021-10-14"/>
    <x v="0"/>
    <x v="0"/>
    <n v="39"/>
    <x v="7"/>
    <n v="3.09"/>
    <n v="44.02"/>
    <s v="92874270"/>
  </r>
  <r>
    <x v="192"/>
    <s v="2021-10-14"/>
    <x v="0"/>
    <x v="0"/>
    <n v="38"/>
    <x v="2"/>
    <n v="3.08"/>
    <n v="43.86"/>
    <s v="92228410"/>
  </r>
  <r>
    <x v="192"/>
    <s v="2021-10-14"/>
    <x v="0"/>
    <x v="0"/>
    <n v="37"/>
    <x v="6"/>
    <n v="2.6"/>
    <n v="36.14"/>
    <s v="05676026"/>
  </r>
  <r>
    <x v="192"/>
    <s v="2021-10-14"/>
    <x v="0"/>
    <x v="0"/>
    <n v="36"/>
    <x v="4"/>
    <n v="2.57"/>
    <n v="35.61"/>
    <s v="62232889"/>
  </r>
  <r>
    <x v="192"/>
    <s v="2021-10-14"/>
    <x v="0"/>
    <x v="0"/>
    <n v="35"/>
    <x v="42"/>
    <n v="2.4900000000000002"/>
    <n v="34.380000000000003"/>
    <s v="34991938"/>
  </r>
  <r>
    <x v="192"/>
    <s v="2021-10-14"/>
    <x v="0"/>
    <x v="0"/>
    <n v="34"/>
    <x v="5"/>
    <n v="2.4700000000000002"/>
    <n v="33.97"/>
    <s v="80271455"/>
  </r>
  <r>
    <x v="192"/>
    <s v="2021-10-14"/>
    <x v="0"/>
    <x v="0"/>
    <n v="33"/>
    <x v="9"/>
    <n v="2.4"/>
    <n v="32.93"/>
    <s v="00411939"/>
  </r>
  <r>
    <x v="192"/>
    <s v="2021-10-14"/>
    <x v="0"/>
    <x v="0"/>
    <n v="32"/>
    <x v="8"/>
    <n v="2.34"/>
    <n v="32"/>
    <s v="59285411"/>
  </r>
  <r>
    <x v="192"/>
    <s v="2021-10-14"/>
    <x v="0"/>
    <x v="0"/>
    <n v="31"/>
    <x v="10"/>
    <n v="2.17"/>
    <n v="29.39"/>
    <s v="10371492"/>
  </r>
  <r>
    <x v="192"/>
    <s v="2021-10-14"/>
    <x v="0"/>
    <x v="0"/>
    <n v="30"/>
    <x v="13"/>
    <n v="1.98"/>
    <n v="26.54"/>
    <s v="07707650"/>
  </r>
  <r>
    <x v="192"/>
    <s v="2021-10-14"/>
    <x v="0"/>
    <x v="0"/>
    <n v="29"/>
    <x v="15"/>
    <n v="1.93"/>
    <n v="25.73"/>
    <s v="59588111"/>
  </r>
  <r>
    <x v="192"/>
    <s v="2021-10-14"/>
    <x v="0"/>
    <x v="0"/>
    <n v="28"/>
    <x v="24"/>
    <n v="1.88"/>
    <n v="25.04"/>
    <s v="22639377"/>
  </r>
  <r>
    <x v="192"/>
    <s v="2021-10-14"/>
    <x v="0"/>
    <x v="0"/>
    <n v="27"/>
    <x v="16"/>
    <n v="1.84"/>
    <n v="24.5"/>
    <s v="07207996"/>
  </r>
  <r>
    <x v="192"/>
    <s v="2021-10-14"/>
    <x v="0"/>
    <x v="0"/>
    <n v="26"/>
    <x v="28"/>
    <n v="1.84"/>
    <n v="24.4"/>
    <s v="90400888"/>
  </r>
  <r>
    <x v="192"/>
    <s v="2021-10-14"/>
    <x v="0"/>
    <x v="0"/>
    <n v="25"/>
    <x v="20"/>
    <n v="1.8"/>
    <n v="23.87"/>
    <s v="17192451"/>
  </r>
  <r>
    <x v="192"/>
    <s v="2021-10-14"/>
    <x v="0"/>
    <x v="0"/>
    <n v="24"/>
    <x v="21"/>
    <n v="1.66"/>
    <n v="21.83"/>
    <s v="03017677"/>
  </r>
  <r>
    <x v="192"/>
    <s v="2021-10-14"/>
    <x v="0"/>
    <x v="0"/>
    <n v="23"/>
    <x v="14"/>
    <n v="1.65"/>
    <n v="21.7"/>
    <s v="00360305"/>
  </r>
  <r>
    <x v="192"/>
    <s v="2021-10-14"/>
    <x v="0"/>
    <x v="0"/>
    <n v="22"/>
    <x v="30"/>
    <n v="1.65"/>
    <n v="21.68"/>
    <s v="03502961"/>
  </r>
  <r>
    <x v="192"/>
    <s v="2021-10-14"/>
    <x v="0"/>
    <x v="0"/>
    <n v="21"/>
    <x v="25"/>
    <n v="1.64"/>
    <n v="21.55"/>
    <s v="59274605"/>
  </r>
  <r>
    <x v="192"/>
    <s v="2021-10-14"/>
    <x v="0"/>
    <x v="0"/>
    <n v="20"/>
    <x v="29"/>
    <n v="1.62"/>
    <n v="21.3"/>
    <s v="60746948"/>
  </r>
  <r>
    <x v="192"/>
    <s v="2021-10-14"/>
    <x v="0"/>
    <x v="0"/>
    <n v="19"/>
    <x v="11"/>
    <n v="1.61"/>
    <n v="21.07"/>
    <s v="03634220"/>
  </r>
  <r>
    <x v="192"/>
    <s v="2021-10-14"/>
    <x v="0"/>
    <x v="0"/>
    <n v="18"/>
    <x v="12"/>
    <n v="1.61"/>
    <n v="21.06"/>
    <s v="04862600"/>
  </r>
  <r>
    <x v="192"/>
    <s v="2021-10-14"/>
    <x v="0"/>
    <x v="0"/>
    <n v="17"/>
    <x v="32"/>
    <n v="1.6"/>
    <n v="21"/>
    <s v="60701190"/>
  </r>
  <r>
    <x v="192"/>
    <s v="2021-10-14"/>
    <x v="0"/>
    <x v="0"/>
    <n v="16"/>
    <x v="18"/>
    <n v="1.58"/>
    <n v="20.76"/>
    <s v="28127603"/>
  </r>
  <r>
    <x v="192"/>
    <s v="2021-10-14"/>
    <x v="0"/>
    <x v="0"/>
    <n v="15"/>
    <x v="26"/>
    <n v="1.53"/>
    <n v="20.02"/>
    <s v="30172491"/>
  </r>
  <r>
    <x v="192"/>
    <s v="2021-10-14"/>
    <x v="0"/>
    <x v="0"/>
    <n v="14"/>
    <x v="33"/>
    <n v="1.5"/>
    <n v="19.61"/>
    <s v="62307848"/>
  </r>
  <r>
    <x v="192"/>
    <s v="2021-10-14"/>
    <x v="0"/>
    <x v="0"/>
    <n v="13"/>
    <x v="23"/>
    <n v="1.47"/>
    <n v="19.16"/>
    <s v="03215790"/>
  </r>
  <r>
    <x v="192"/>
    <s v="2021-10-14"/>
    <x v="0"/>
    <x v="0"/>
    <n v="12"/>
    <x v="27"/>
    <n v="1.43"/>
    <n v="18.579999999999998"/>
    <s v="00000000"/>
  </r>
  <r>
    <x v="192"/>
    <s v="2021-10-14"/>
    <x v="0"/>
    <x v="0"/>
    <n v="11"/>
    <x v="31"/>
    <n v="1.39"/>
    <n v="17.96"/>
    <s v="17167412"/>
  </r>
  <r>
    <x v="192"/>
    <s v="2021-10-14"/>
    <x v="0"/>
    <x v="0"/>
    <n v="10"/>
    <x v="44"/>
    <n v="1.31"/>
    <n v="16.95"/>
    <s v="58017179"/>
  </r>
  <r>
    <x v="192"/>
    <s v="2021-10-14"/>
    <x v="0"/>
    <x v="0"/>
    <n v="9"/>
    <x v="34"/>
    <n v="1.3"/>
    <n v="16.71"/>
    <s v="33603457"/>
  </r>
  <r>
    <x v="192"/>
    <s v="2021-10-14"/>
    <x v="0"/>
    <x v="0"/>
    <n v="8"/>
    <x v="37"/>
    <n v="1.26"/>
    <n v="16.149999999999999"/>
    <s v="04452473"/>
  </r>
  <r>
    <x v="192"/>
    <s v="2021-10-14"/>
    <x v="0"/>
    <x v="0"/>
    <n v="7"/>
    <x v="35"/>
    <n v="1.24"/>
    <n v="15.98"/>
    <s v="59109165"/>
  </r>
  <r>
    <x v="192"/>
    <s v="2021-10-14"/>
    <x v="0"/>
    <x v="0"/>
    <n v="6"/>
    <x v="36"/>
    <n v="1.24"/>
    <n v="15.93"/>
    <s v="33136888"/>
  </r>
  <r>
    <x v="192"/>
    <s v="2021-10-14"/>
    <x v="0"/>
    <x v="0"/>
    <n v="5"/>
    <x v="38"/>
    <n v="1.2"/>
    <n v="15.37"/>
    <s v="60814191"/>
  </r>
  <r>
    <x v="192"/>
    <s v="2021-10-14"/>
    <x v="0"/>
    <x v="0"/>
    <n v="4"/>
    <x v="22"/>
    <n v="1.1299999999999999"/>
    <n v="14.42"/>
    <s v="11417016"/>
  </r>
  <r>
    <x v="192"/>
    <s v="2021-10-14"/>
    <x v="0"/>
    <x v="0"/>
    <n v="3"/>
    <x v="19"/>
    <n v="1.1100000000000001"/>
    <n v="14.19"/>
    <s v="92702067"/>
  </r>
  <r>
    <x v="192"/>
    <s v="2021-10-14"/>
    <x v="0"/>
    <x v="0"/>
    <n v="2"/>
    <x v="47"/>
    <n v="1.1000000000000001"/>
    <n v="14.09"/>
    <s v="28517628"/>
  </r>
  <r>
    <x v="192"/>
    <s v="2021-10-14"/>
    <x v="0"/>
    <x v="0"/>
    <n v="1"/>
    <x v="40"/>
    <n v="1.08"/>
    <n v="13.72"/>
    <s v="02992446"/>
  </r>
  <r>
    <x v="193"/>
    <s v="2021-10-15"/>
    <x v="0"/>
    <x v="0"/>
    <n v="40"/>
    <x v="3"/>
    <n v="3.37"/>
    <n v="48.82"/>
    <s v="05503849"/>
  </r>
  <r>
    <x v="193"/>
    <s v="2021-10-15"/>
    <x v="0"/>
    <x v="0"/>
    <n v="39"/>
    <x v="0"/>
    <n v="3.16"/>
    <n v="45.19"/>
    <s v="60850229"/>
  </r>
  <r>
    <x v="193"/>
    <s v="2021-10-15"/>
    <x v="0"/>
    <x v="0"/>
    <n v="38"/>
    <x v="1"/>
    <n v="3.13"/>
    <n v="44.77"/>
    <s v="01800019"/>
  </r>
  <r>
    <x v="193"/>
    <s v="2021-10-15"/>
    <x v="0"/>
    <x v="0"/>
    <n v="37"/>
    <x v="7"/>
    <n v="3.08"/>
    <n v="43.97"/>
    <s v="92874270"/>
  </r>
  <r>
    <x v="193"/>
    <s v="2021-10-15"/>
    <x v="0"/>
    <x v="0"/>
    <n v="36"/>
    <x v="2"/>
    <n v="3.07"/>
    <n v="43.77"/>
    <s v="92228410"/>
  </r>
  <r>
    <x v="193"/>
    <s v="2021-10-15"/>
    <x v="0"/>
    <x v="0"/>
    <n v="35"/>
    <x v="6"/>
    <n v="2.73"/>
    <n v="38.11"/>
    <s v="05676026"/>
  </r>
  <r>
    <x v="193"/>
    <s v="2021-10-15"/>
    <x v="0"/>
    <x v="0"/>
    <n v="34"/>
    <x v="4"/>
    <n v="2.57"/>
    <n v="35.520000000000003"/>
    <s v="62232889"/>
  </r>
  <r>
    <x v="193"/>
    <s v="2021-10-15"/>
    <x v="0"/>
    <x v="0"/>
    <n v="33"/>
    <x v="42"/>
    <n v="2.4700000000000002"/>
    <n v="34.03"/>
    <s v="34991938"/>
  </r>
  <r>
    <x v="193"/>
    <s v="2021-10-15"/>
    <x v="0"/>
    <x v="0"/>
    <n v="32"/>
    <x v="5"/>
    <n v="2.46"/>
    <n v="33.9"/>
    <s v="80271455"/>
  </r>
  <r>
    <x v="193"/>
    <s v="2021-10-15"/>
    <x v="0"/>
    <x v="0"/>
    <n v="31"/>
    <x v="9"/>
    <n v="2.42"/>
    <n v="33.229999999999997"/>
    <s v="00411939"/>
  </r>
  <r>
    <x v="193"/>
    <s v="2021-10-15"/>
    <x v="0"/>
    <x v="0"/>
    <n v="30"/>
    <x v="8"/>
    <n v="2.3199999999999998"/>
    <n v="31.73"/>
    <s v="59285411"/>
  </r>
  <r>
    <x v="193"/>
    <s v="2021-10-15"/>
    <x v="0"/>
    <x v="0"/>
    <n v="29"/>
    <x v="10"/>
    <n v="2.2000000000000002"/>
    <n v="29.82"/>
    <s v="10371492"/>
  </r>
  <r>
    <x v="193"/>
    <s v="2021-10-15"/>
    <x v="0"/>
    <x v="0"/>
    <n v="28"/>
    <x v="13"/>
    <n v="1.99"/>
    <n v="26.61"/>
    <s v="07707650"/>
  </r>
  <r>
    <x v="193"/>
    <s v="2021-10-15"/>
    <x v="0"/>
    <x v="0"/>
    <n v="27"/>
    <x v="24"/>
    <n v="1.93"/>
    <n v="25.79"/>
    <s v="22639377"/>
  </r>
  <r>
    <x v="193"/>
    <s v="2021-10-15"/>
    <x v="0"/>
    <x v="0"/>
    <n v="26"/>
    <x v="15"/>
    <n v="1.92"/>
    <n v="25.7"/>
    <s v="59588111"/>
  </r>
  <r>
    <x v="193"/>
    <s v="2021-10-15"/>
    <x v="0"/>
    <x v="0"/>
    <n v="25"/>
    <x v="16"/>
    <n v="1.85"/>
    <n v="24.57"/>
    <s v="07207996"/>
  </r>
  <r>
    <x v="193"/>
    <s v="2021-10-15"/>
    <x v="0"/>
    <x v="0"/>
    <n v="24"/>
    <x v="28"/>
    <n v="1.81"/>
    <n v="23.98"/>
    <s v="90400888"/>
  </r>
  <r>
    <x v="193"/>
    <s v="2021-10-15"/>
    <x v="0"/>
    <x v="0"/>
    <n v="23"/>
    <x v="20"/>
    <n v="1.8"/>
    <n v="23.8"/>
    <s v="17192451"/>
  </r>
  <r>
    <x v="193"/>
    <s v="2021-10-15"/>
    <x v="0"/>
    <x v="0"/>
    <n v="22"/>
    <x v="21"/>
    <n v="1.66"/>
    <n v="21.82"/>
    <s v="03017677"/>
  </r>
  <r>
    <x v="193"/>
    <s v="2021-10-15"/>
    <x v="0"/>
    <x v="0"/>
    <n v="21"/>
    <x v="25"/>
    <n v="1.65"/>
    <n v="21.75"/>
    <s v="59274605"/>
  </r>
  <r>
    <x v="193"/>
    <s v="2021-10-15"/>
    <x v="0"/>
    <x v="0"/>
    <n v="20"/>
    <x v="18"/>
    <n v="1.65"/>
    <n v="21.69"/>
    <s v="28127603"/>
  </r>
  <r>
    <x v="193"/>
    <s v="2021-10-15"/>
    <x v="0"/>
    <x v="0"/>
    <n v="19"/>
    <x v="30"/>
    <n v="1.64"/>
    <n v="21.5"/>
    <s v="03502961"/>
  </r>
  <r>
    <x v="193"/>
    <s v="2021-10-15"/>
    <x v="0"/>
    <x v="0"/>
    <n v="18"/>
    <x v="12"/>
    <n v="1.62"/>
    <n v="21.33"/>
    <s v="04862600"/>
  </r>
  <r>
    <x v="193"/>
    <s v="2021-10-15"/>
    <x v="0"/>
    <x v="0"/>
    <n v="17"/>
    <x v="29"/>
    <n v="1.62"/>
    <n v="21.3"/>
    <s v="60746948"/>
  </r>
  <r>
    <x v="193"/>
    <s v="2021-10-15"/>
    <x v="0"/>
    <x v="0"/>
    <n v="16"/>
    <x v="32"/>
    <n v="1.61"/>
    <n v="21.12"/>
    <s v="60701190"/>
  </r>
  <r>
    <x v="193"/>
    <s v="2021-10-15"/>
    <x v="0"/>
    <x v="0"/>
    <n v="15"/>
    <x v="11"/>
    <n v="1.58"/>
    <n v="20.64"/>
    <s v="03634220"/>
  </r>
  <r>
    <x v="193"/>
    <s v="2021-10-15"/>
    <x v="0"/>
    <x v="0"/>
    <n v="14"/>
    <x v="14"/>
    <n v="1.56"/>
    <n v="20.350000000000001"/>
    <s v="00360305"/>
  </r>
  <r>
    <x v="193"/>
    <s v="2021-10-15"/>
    <x v="0"/>
    <x v="0"/>
    <n v="13"/>
    <x v="26"/>
    <n v="1.54"/>
    <n v="20.170000000000002"/>
    <s v="30172491"/>
  </r>
  <r>
    <x v="193"/>
    <s v="2021-10-15"/>
    <x v="0"/>
    <x v="0"/>
    <n v="12"/>
    <x v="33"/>
    <n v="1.48"/>
    <n v="19.3"/>
    <s v="62307848"/>
  </r>
  <r>
    <x v="193"/>
    <s v="2021-10-15"/>
    <x v="0"/>
    <x v="0"/>
    <n v="11"/>
    <x v="23"/>
    <n v="1.48"/>
    <n v="19.25"/>
    <s v="03215790"/>
  </r>
  <r>
    <x v="193"/>
    <s v="2021-10-15"/>
    <x v="0"/>
    <x v="0"/>
    <n v="10"/>
    <x v="27"/>
    <n v="1.45"/>
    <n v="18.829999999999998"/>
    <s v="00000000"/>
  </r>
  <r>
    <x v="193"/>
    <s v="2021-10-15"/>
    <x v="0"/>
    <x v="0"/>
    <n v="9"/>
    <x v="36"/>
    <n v="1.41"/>
    <n v="18.27"/>
    <s v="33136888"/>
  </r>
  <r>
    <x v="193"/>
    <s v="2021-10-15"/>
    <x v="0"/>
    <x v="0"/>
    <n v="8"/>
    <x v="31"/>
    <n v="1.4"/>
    <n v="18.170000000000002"/>
    <s v="17167412"/>
  </r>
  <r>
    <x v="193"/>
    <s v="2021-10-15"/>
    <x v="0"/>
    <x v="0"/>
    <n v="7"/>
    <x v="44"/>
    <n v="1.39"/>
    <n v="18.07"/>
    <s v="58017179"/>
  </r>
  <r>
    <x v="193"/>
    <s v="2021-10-15"/>
    <x v="0"/>
    <x v="0"/>
    <n v="6"/>
    <x v="34"/>
    <n v="1.32"/>
    <n v="17.05"/>
    <s v="33603457"/>
  </r>
  <r>
    <x v="193"/>
    <s v="2021-10-15"/>
    <x v="0"/>
    <x v="0"/>
    <n v="5"/>
    <x v="35"/>
    <n v="1.27"/>
    <n v="16.36"/>
    <s v="59109165"/>
  </r>
  <r>
    <x v="193"/>
    <s v="2021-10-15"/>
    <x v="0"/>
    <x v="0"/>
    <n v="4"/>
    <x v="37"/>
    <n v="1.26"/>
    <n v="16.2"/>
    <s v="04452473"/>
  </r>
  <r>
    <x v="193"/>
    <s v="2021-10-15"/>
    <x v="0"/>
    <x v="0"/>
    <n v="3"/>
    <x v="38"/>
    <n v="1.23"/>
    <n v="15.81"/>
    <s v="60814191"/>
  </r>
  <r>
    <x v="193"/>
    <s v="2021-10-15"/>
    <x v="0"/>
    <x v="0"/>
    <n v="2"/>
    <x v="22"/>
    <n v="1.1299999999999999"/>
    <n v="14.38"/>
    <s v="11417016"/>
  </r>
  <r>
    <x v="193"/>
    <s v="2021-10-15"/>
    <x v="0"/>
    <x v="0"/>
    <n v="1"/>
    <x v="40"/>
    <n v="1.08"/>
    <n v="13.75"/>
    <s v="02992446"/>
  </r>
  <r>
    <x v="194"/>
    <s v="2021-10-18"/>
    <x v="0"/>
    <x v="0"/>
    <n v="41"/>
    <x v="3"/>
    <n v="3.33"/>
    <n v="48.21"/>
    <s v="05503849"/>
  </r>
  <r>
    <x v="194"/>
    <s v="2021-10-18"/>
    <x v="0"/>
    <x v="0"/>
    <n v="40"/>
    <x v="1"/>
    <n v="3.19"/>
    <n v="45.84"/>
    <s v="01800019"/>
  </r>
  <r>
    <x v="194"/>
    <s v="2021-10-18"/>
    <x v="0"/>
    <x v="0"/>
    <n v="39"/>
    <x v="2"/>
    <n v="3.07"/>
    <n v="43.8"/>
    <s v="92228410"/>
  </r>
  <r>
    <x v="194"/>
    <s v="2021-10-18"/>
    <x v="0"/>
    <x v="0"/>
    <n v="38"/>
    <x v="7"/>
    <n v="3.06"/>
    <n v="43.6"/>
    <s v="92874270"/>
  </r>
  <r>
    <x v="194"/>
    <s v="2021-10-18"/>
    <x v="0"/>
    <x v="0"/>
    <n v="37"/>
    <x v="0"/>
    <n v="3.06"/>
    <n v="43.53"/>
    <s v="60850229"/>
  </r>
  <r>
    <x v="194"/>
    <s v="2021-10-18"/>
    <x v="0"/>
    <x v="0"/>
    <n v="36"/>
    <x v="6"/>
    <n v="2.78"/>
    <n v="38.9"/>
    <s v="05676026"/>
  </r>
  <r>
    <x v="194"/>
    <s v="2021-10-18"/>
    <x v="0"/>
    <x v="0"/>
    <n v="35"/>
    <x v="4"/>
    <n v="2.56"/>
    <n v="35.380000000000003"/>
    <s v="62232889"/>
  </r>
  <r>
    <x v="194"/>
    <s v="2021-10-18"/>
    <x v="0"/>
    <x v="0"/>
    <n v="34"/>
    <x v="5"/>
    <n v="2.4700000000000002"/>
    <n v="34.049999999999997"/>
    <s v="80271455"/>
  </r>
  <r>
    <x v="194"/>
    <s v="2021-10-18"/>
    <x v="0"/>
    <x v="0"/>
    <n v="33"/>
    <x v="9"/>
    <n v="2.46"/>
    <n v="33.85"/>
    <s v="00411939"/>
  </r>
  <r>
    <x v="194"/>
    <s v="2021-10-18"/>
    <x v="0"/>
    <x v="0"/>
    <n v="32"/>
    <x v="42"/>
    <n v="2.44"/>
    <n v="33.61"/>
    <s v="34991938"/>
  </r>
  <r>
    <x v="194"/>
    <s v="2021-10-18"/>
    <x v="0"/>
    <x v="0"/>
    <n v="31"/>
    <x v="8"/>
    <n v="2.29"/>
    <n v="31.29"/>
    <s v="59285411"/>
  </r>
  <r>
    <x v="194"/>
    <s v="2021-10-18"/>
    <x v="0"/>
    <x v="0"/>
    <n v="30"/>
    <x v="10"/>
    <n v="2.2000000000000002"/>
    <n v="29.84"/>
    <s v="10371492"/>
  </r>
  <r>
    <x v="194"/>
    <s v="2021-10-18"/>
    <x v="0"/>
    <x v="0"/>
    <n v="29"/>
    <x v="13"/>
    <n v="1.99"/>
    <n v="26.7"/>
    <s v="07707650"/>
  </r>
  <r>
    <x v="194"/>
    <s v="2021-10-18"/>
    <x v="0"/>
    <x v="0"/>
    <n v="28"/>
    <x v="15"/>
    <n v="1.92"/>
    <n v="25.59"/>
    <s v="59588111"/>
  </r>
  <r>
    <x v="194"/>
    <s v="2021-10-18"/>
    <x v="0"/>
    <x v="0"/>
    <n v="27"/>
    <x v="16"/>
    <n v="1.85"/>
    <n v="24.59"/>
    <s v="07207996"/>
  </r>
  <r>
    <x v="194"/>
    <s v="2021-10-18"/>
    <x v="0"/>
    <x v="0"/>
    <n v="26"/>
    <x v="24"/>
    <n v="1.85"/>
    <n v="24.57"/>
    <s v="22639377"/>
  </r>
  <r>
    <x v="194"/>
    <s v="2021-10-18"/>
    <x v="0"/>
    <x v="0"/>
    <n v="25"/>
    <x v="20"/>
    <n v="1.8"/>
    <n v="23.87"/>
    <s v="17192451"/>
  </r>
  <r>
    <x v="194"/>
    <s v="2021-10-18"/>
    <x v="0"/>
    <x v="0"/>
    <n v="24"/>
    <x v="28"/>
    <n v="1.8"/>
    <n v="23.85"/>
    <s v="90400888"/>
  </r>
  <r>
    <x v="194"/>
    <s v="2021-10-18"/>
    <x v="0"/>
    <x v="0"/>
    <n v="23"/>
    <x v="18"/>
    <n v="1.71"/>
    <n v="22.51"/>
    <s v="28127603"/>
  </r>
  <r>
    <x v="194"/>
    <s v="2021-10-18"/>
    <x v="0"/>
    <x v="0"/>
    <n v="22"/>
    <x v="21"/>
    <n v="1.66"/>
    <n v="21.85"/>
    <s v="03017677"/>
  </r>
  <r>
    <x v="194"/>
    <s v="2021-10-18"/>
    <x v="0"/>
    <x v="0"/>
    <n v="21"/>
    <x v="12"/>
    <n v="1.65"/>
    <n v="21.66"/>
    <s v="04862600"/>
  </r>
  <r>
    <x v="194"/>
    <s v="2021-10-18"/>
    <x v="0"/>
    <x v="0"/>
    <n v="20"/>
    <x v="25"/>
    <n v="1.62"/>
    <n v="21.31"/>
    <s v="59274605"/>
  </r>
  <r>
    <x v="194"/>
    <s v="2021-10-18"/>
    <x v="0"/>
    <x v="0"/>
    <n v="19"/>
    <x v="29"/>
    <n v="1.62"/>
    <n v="21.29"/>
    <s v="60746948"/>
  </r>
  <r>
    <x v="194"/>
    <s v="2021-10-18"/>
    <x v="0"/>
    <x v="0"/>
    <n v="18"/>
    <x v="30"/>
    <n v="1.61"/>
    <n v="21.13"/>
    <s v="03502961"/>
  </r>
  <r>
    <x v="194"/>
    <s v="2021-10-18"/>
    <x v="0"/>
    <x v="0"/>
    <n v="17"/>
    <x v="32"/>
    <n v="1.6"/>
    <n v="20.91"/>
    <s v="60701190"/>
  </r>
  <r>
    <x v="194"/>
    <s v="2021-10-18"/>
    <x v="0"/>
    <x v="0"/>
    <n v="16"/>
    <x v="11"/>
    <n v="1.59"/>
    <n v="20.87"/>
    <s v="03634220"/>
  </r>
  <r>
    <x v="194"/>
    <s v="2021-10-18"/>
    <x v="0"/>
    <x v="0"/>
    <n v="15"/>
    <x v="14"/>
    <n v="1.56"/>
    <n v="20.399999999999999"/>
    <s v="00360305"/>
  </r>
  <r>
    <x v="194"/>
    <s v="2021-10-18"/>
    <x v="0"/>
    <x v="0"/>
    <n v="14"/>
    <x v="26"/>
    <n v="1.55"/>
    <n v="20.28"/>
    <s v="30172491"/>
  </r>
  <r>
    <x v="194"/>
    <s v="2021-10-18"/>
    <x v="0"/>
    <x v="0"/>
    <n v="13"/>
    <x v="23"/>
    <n v="1.47"/>
    <n v="19.16"/>
    <s v="03215790"/>
  </r>
  <r>
    <x v="194"/>
    <s v="2021-10-18"/>
    <x v="0"/>
    <x v="0"/>
    <n v="12"/>
    <x v="33"/>
    <n v="1.47"/>
    <n v="19.149999999999999"/>
    <s v="62307848"/>
  </r>
  <r>
    <x v="194"/>
    <s v="2021-10-18"/>
    <x v="0"/>
    <x v="0"/>
    <n v="11"/>
    <x v="27"/>
    <n v="1.47"/>
    <n v="19.079999999999998"/>
    <s v="00000000"/>
  </r>
  <r>
    <x v="194"/>
    <s v="2021-10-18"/>
    <x v="0"/>
    <x v="0"/>
    <n v="10"/>
    <x v="36"/>
    <n v="1.39"/>
    <n v="18.079999999999998"/>
    <s v="33136888"/>
  </r>
  <r>
    <x v="194"/>
    <s v="2021-10-18"/>
    <x v="0"/>
    <x v="0"/>
    <n v="9"/>
    <x v="31"/>
    <n v="1.39"/>
    <n v="18.05"/>
    <s v="17167412"/>
  </r>
  <r>
    <x v="194"/>
    <s v="2021-10-18"/>
    <x v="0"/>
    <x v="0"/>
    <n v="8"/>
    <x v="44"/>
    <n v="1.39"/>
    <n v="18.010000000000002"/>
    <s v="58017179"/>
  </r>
  <r>
    <x v="194"/>
    <s v="2021-10-18"/>
    <x v="0"/>
    <x v="0"/>
    <n v="7"/>
    <x v="34"/>
    <n v="1.32"/>
    <n v="16.989999999999998"/>
    <s v="33603457"/>
  </r>
  <r>
    <x v="194"/>
    <s v="2021-10-18"/>
    <x v="0"/>
    <x v="0"/>
    <n v="6"/>
    <x v="53"/>
    <n v="1.29"/>
    <n v="16.559999999999999"/>
    <s v="31872495"/>
  </r>
  <r>
    <x v="194"/>
    <s v="2021-10-18"/>
    <x v="0"/>
    <x v="0"/>
    <n v="5"/>
    <x v="35"/>
    <n v="1.28"/>
    <n v="16.53"/>
    <s v="59109165"/>
  </r>
  <r>
    <x v="194"/>
    <s v="2021-10-18"/>
    <x v="0"/>
    <x v="0"/>
    <n v="4"/>
    <x v="37"/>
    <n v="1.26"/>
    <n v="16.25"/>
    <s v="04452473"/>
  </r>
  <r>
    <x v="194"/>
    <s v="2021-10-18"/>
    <x v="0"/>
    <x v="0"/>
    <n v="3"/>
    <x v="38"/>
    <n v="1.25"/>
    <n v="16.059999999999999"/>
    <s v="60814191"/>
  </r>
  <r>
    <x v="194"/>
    <s v="2021-10-18"/>
    <x v="0"/>
    <x v="0"/>
    <n v="2"/>
    <x v="22"/>
    <n v="1.1100000000000001"/>
    <n v="14.22"/>
    <s v="11417016"/>
  </r>
  <r>
    <x v="194"/>
    <s v="2021-10-18"/>
    <x v="0"/>
    <x v="0"/>
    <n v="1"/>
    <x v="40"/>
    <n v="1.08"/>
    <n v="13.79"/>
    <s v="02992446"/>
  </r>
  <r>
    <x v="195"/>
    <s v="2021-10-19"/>
    <x v="0"/>
    <x v="0"/>
    <n v="41"/>
    <x v="3"/>
    <n v="3.33"/>
    <n v="48.22"/>
    <s v="05503849"/>
  </r>
  <r>
    <x v="195"/>
    <s v="2021-10-19"/>
    <x v="0"/>
    <x v="0"/>
    <n v="40"/>
    <x v="1"/>
    <n v="3.21"/>
    <n v="46.05"/>
    <s v="01800019"/>
  </r>
  <r>
    <x v="195"/>
    <s v="2021-10-19"/>
    <x v="0"/>
    <x v="0"/>
    <n v="39"/>
    <x v="0"/>
    <n v="3.07"/>
    <n v="43.73"/>
    <s v="60850229"/>
  </r>
  <r>
    <x v="195"/>
    <s v="2021-10-19"/>
    <x v="0"/>
    <x v="0"/>
    <n v="38"/>
    <x v="2"/>
    <n v="3.07"/>
    <n v="43.71"/>
    <s v="92228410"/>
  </r>
  <r>
    <x v="195"/>
    <s v="2021-10-19"/>
    <x v="0"/>
    <x v="0"/>
    <n v="37"/>
    <x v="7"/>
    <n v="3.06"/>
    <n v="43.63"/>
    <s v="92874270"/>
  </r>
  <r>
    <x v="195"/>
    <s v="2021-10-19"/>
    <x v="0"/>
    <x v="0"/>
    <n v="36"/>
    <x v="6"/>
    <n v="2.76"/>
    <n v="38.590000000000003"/>
    <s v="05676026"/>
  </r>
  <r>
    <x v="195"/>
    <s v="2021-10-19"/>
    <x v="0"/>
    <x v="0"/>
    <n v="35"/>
    <x v="4"/>
    <n v="2.5499999999999998"/>
    <n v="35.32"/>
    <s v="62232889"/>
  </r>
  <r>
    <x v="195"/>
    <s v="2021-10-19"/>
    <x v="0"/>
    <x v="0"/>
    <n v="34"/>
    <x v="9"/>
    <n v="2.4700000000000002"/>
    <n v="34.049999999999997"/>
    <s v="00411939"/>
  </r>
  <r>
    <x v="195"/>
    <s v="2021-10-19"/>
    <x v="0"/>
    <x v="0"/>
    <n v="33"/>
    <x v="5"/>
    <n v="2.44"/>
    <n v="33.6"/>
    <s v="80271455"/>
  </r>
  <r>
    <x v="195"/>
    <s v="2021-10-19"/>
    <x v="0"/>
    <x v="0"/>
    <n v="32"/>
    <x v="42"/>
    <n v="2.41"/>
    <n v="33.020000000000003"/>
    <s v="34991938"/>
  </r>
  <r>
    <x v="195"/>
    <s v="2021-10-19"/>
    <x v="0"/>
    <x v="0"/>
    <n v="31"/>
    <x v="8"/>
    <n v="2.29"/>
    <n v="31.23"/>
    <s v="59285411"/>
  </r>
  <r>
    <x v="195"/>
    <s v="2021-10-19"/>
    <x v="0"/>
    <x v="0"/>
    <n v="30"/>
    <x v="10"/>
    <n v="2.1800000000000002"/>
    <n v="29.58"/>
    <s v="10371492"/>
  </r>
  <r>
    <x v="195"/>
    <s v="2021-10-19"/>
    <x v="0"/>
    <x v="0"/>
    <n v="29"/>
    <x v="13"/>
    <n v="1.99"/>
    <n v="26.63"/>
    <s v="07707650"/>
  </r>
  <r>
    <x v="195"/>
    <s v="2021-10-19"/>
    <x v="0"/>
    <x v="0"/>
    <n v="28"/>
    <x v="15"/>
    <n v="1.91"/>
    <n v="25.47"/>
    <s v="59588111"/>
  </r>
  <r>
    <x v="195"/>
    <s v="2021-10-19"/>
    <x v="0"/>
    <x v="0"/>
    <n v="27"/>
    <x v="24"/>
    <n v="1.87"/>
    <n v="24.88"/>
    <s v="22639377"/>
  </r>
  <r>
    <x v="195"/>
    <s v="2021-10-19"/>
    <x v="0"/>
    <x v="0"/>
    <n v="26"/>
    <x v="28"/>
    <n v="1.85"/>
    <n v="24.59"/>
    <s v="90400888"/>
  </r>
  <r>
    <x v="195"/>
    <s v="2021-10-19"/>
    <x v="0"/>
    <x v="0"/>
    <n v="25"/>
    <x v="16"/>
    <n v="1.84"/>
    <n v="24.51"/>
    <s v="07207996"/>
  </r>
  <r>
    <x v="195"/>
    <s v="2021-10-19"/>
    <x v="0"/>
    <x v="0"/>
    <n v="24"/>
    <x v="20"/>
    <n v="1.79"/>
    <n v="23.72"/>
    <s v="17192451"/>
  </r>
  <r>
    <x v="195"/>
    <s v="2021-10-19"/>
    <x v="0"/>
    <x v="0"/>
    <n v="23"/>
    <x v="18"/>
    <n v="1.75"/>
    <n v="23.09"/>
    <s v="28127603"/>
  </r>
  <r>
    <x v="195"/>
    <s v="2021-10-19"/>
    <x v="0"/>
    <x v="0"/>
    <n v="22"/>
    <x v="12"/>
    <n v="1.66"/>
    <n v="21.9"/>
    <s v="04862600"/>
  </r>
  <r>
    <x v="195"/>
    <s v="2021-10-19"/>
    <x v="0"/>
    <x v="0"/>
    <n v="21"/>
    <x v="21"/>
    <n v="1.66"/>
    <n v="21.79"/>
    <s v="03017677"/>
  </r>
  <r>
    <x v="195"/>
    <s v="2021-10-19"/>
    <x v="0"/>
    <x v="0"/>
    <n v="20"/>
    <x v="29"/>
    <n v="1.62"/>
    <n v="21.23"/>
    <s v="60746948"/>
  </r>
  <r>
    <x v="195"/>
    <s v="2021-10-19"/>
    <x v="0"/>
    <x v="0"/>
    <n v="19"/>
    <x v="30"/>
    <n v="1.61"/>
    <n v="21.16"/>
    <s v="03502961"/>
  </r>
  <r>
    <x v="195"/>
    <s v="2021-10-19"/>
    <x v="0"/>
    <x v="0"/>
    <n v="18"/>
    <x v="25"/>
    <n v="1.61"/>
    <n v="21.12"/>
    <s v="59274605"/>
  </r>
  <r>
    <x v="195"/>
    <s v="2021-10-19"/>
    <x v="0"/>
    <x v="0"/>
    <n v="17"/>
    <x v="11"/>
    <n v="1.6"/>
    <n v="20.96"/>
    <s v="03634220"/>
  </r>
  <r>
    <x v="195"/>
    <s v="2021-10-19"/>
    <x v="0"/>
    <x v="0"/>
    <n v="16"/>
    <x v="32"/>
    <n v="1.59"/>
    <n v="20.87"/>
    <s v="60701190"/>
  </r>
  <r>
    <x v="195"/>
    <s v="2021-10-19"/>
    <x v="0"/>
    <x v="0"/>
    <n v="15"/>
    <x v="26"/>
    <n v="1.55"/>
    <n v="20.260000000000002"/>
    <s v="30172491"/>
  </r>
  <r>
    <x v="195"/>
    <s v="2021-10-19"/>
    <x v="0"/>
    <x v="0"/>
    <n v="14"/>
    <x v="23"/>
    <n v="1.49"/>
    <n v="19.36"/>
    <s v="03215790"/>
  </r>
  <r>
    <x v="195"/>
    <s v="2021-10-19"/>
    <x v="0"/>
    <x v="0"/>
    <n v="13"/>
    <x v="33"/>
    <n v="1.47"/>
    <n v="19.18"/>
    <s v="62307848"/>
  </r>
  <r>
    <x v="195"/>
    <s v="2021-10-19"/>
    <x v="0"/>
    <x v="0"/>
    <n v="12"/>
    <x v="27"/>
    <n v="1.45"/>
    <n v="18.899999999999999"/>
    <s v="00000000"/>
  </r>
  <r>
    <x v="195"/>
    <s v="2021-10-19"/>
    <x v="0"/>
    <x v="0"/>
    <n v="11"/>
    <x v="14"/>
    <n v="1.43"/>
    <n v="18.579999999999998"/>
    <s v="00360305"/>
  </r>
  <r>
    <x v="195"/>
    <s v="2021-10-19"/>
    <x v="0"/>
    <x v="0"/>
    <n v="10"/>
    <x v="44"/>
    <n v="1.39"/>
    <n v="18.010000000000002"/>
    <s v="58017179"/>
  </r>
  <r>
    <x v="195"/>
    <s v="2021-10-19"/>
    <x v="0"/>
    <x v="0"/>
    <n v="9"/>
    <x v="31"/>
    <n v="1.39"/>
    <n v="17.98"/>
    <s v="17167412"/>
  </r>
  <r>
    <x v="195"/>
    <s v="2021-10-19"/>
    <x v="0"/>
    <x v="0"/>
    <n v="8"/>
    <x v="36"/>
    <n v="1.34"/>
    <n v="17.350000000000001"/>
    <s v="33136888"/>
  </r>
  <r>
    <x v="195"/>
    <s v="2021-10-19"/>
    <x v="0"/>
    <x v="0"/>
    <n v="7"/>
    <x v="34"/>
    <n v="1.31"/>
    <n v="16.920000000000002"/>
    <s v="33603457"/>
  </r>
  <r>
    <x v="195"/>
    <s v="2021-10-19"/>
    <x v="0"/>
    <x v="0"/>
    <n v="6"/>
    <x v="35"/>
    <n v="1.3"/>
    <n v="16.829999999999998"/>
    <s v="59109165"/>
  </r>
  <r>
    <x v="195"/>
    <s v="2021-10-19"/>
    <x v="0"/>
    <x v="0"/>
    <n v="5"/>
    <x v="53"/>
    <n v="1.29"/>
    <n v="16.559999999999999"/>
    <s v="31872495"/>
  </r>
  <r>
    <x v="195"/>
    <s v="2021-10-19"/>
    <x v="0"/>
    <x v="0"/>
    <n v="4"/>
    <x v="37"/>
    <n v="1.27"/>
    <n v="16.3"/>
    <s v="04452473"/>
  </r>
  <r>
    <x v="195"/>
    <s v="2021-10-19"/>
    <x v="0"/>
    <x v="0"/>
    <n v="3"/>
    <x v="38"/>
    <n v="1.25"/>
    <n v="16.13"/>
    <s v="60814191"/>
  </r>
  <r>
    <x v="195"/>
    <s v="2021-10-19"/>
    <x v="0"/>
    <x v="0"/>
    <n v="2"/>
    <x v="22"/>
    <n v="1.1200000000000001"/>
    <n v="14.24"/>
    <s v="11417016"/>
  </r>
  <r>
    <x v="195"/>
    <s v="2021-10-19"/>
    <x v="0"/>
    <x v="0"/>
    <n v="1"/>
    <x v="40"/>
    <n v="1.1100000000000001"/>
    <n v="14.2"/>
    <s v="02992446"/>
  </r>
  <r>
    <x v="196"/>
    <s v="2021-10-20"/>
    <x v="0"/>
    <x v="0"/>
    <n v="44"/>
    <x v="3"/>
    <n v="3.3"/>
    <n v="47.6"/>
    <s v="05503849"/>
  </r>
  <r>
    <x v="196"/>
    <s v="2021-10-20"/>
    <x v="0"/>
    <x v="0"/>
    <n v="43"/>
    <x v="1"/>
    <n v="3.2"/>
    <n v="45.96"/>
    <s v="01800019"/>
  </r>
  <r>
    <x v="196"/>
    <s v="2021-10-20"/>
    <x v="0"/>
    <x v="0"/>
    <n v="42"/>
    <x v="2"/>
    <n v="3.1"/>
    <n v="44.26"/>
    <s v="92228410"/>
  </r>
  <r>
    <x v="196"/>
    <s v="2021-10-20"/>
    <x v="0"/>
    <x v="0"/>
    <n v="41"/>
    <x v="0"/>
    <n v="3.07"/>
    <n v="43.7"/>
    <s v="60850229"/>
  </r>
  <r>
    <x v="196"/>
    <s v="2021-10-20"/>
    <x v="0"/>
    <x v="0"/>
    <n v="40"/>
    <x v="7"/>
    <n v="3.07"/>
    <n v="43.67"/>
    <s v="92874270"/>
  </r>
  <r>
    <x v="196"/>
    <s v="2021-10-20"/>
    <x v="0"/>
    <x v="0"/>
    <n v="39"/>
    <x v="6"/>
    <n v="2.76"/>
    <n v="38.69"/>
    <s v="05676026"/>
  </r>
  <r>
    <x v="196"/>
    <s v="2021-10-20"/>
    <x v="0"/>
    <x v="0"/>
    <n v="38"/>
    <x v="4"/>
    <n v="2.56"/>
    <n v="35.35"/>
    <s v="62232889"/>
  </r>
  <r>
    <x v="196"/>
    <s v="2021-10-20"/>
    <x v="0"/>
    <x v="0"/>
    <n v="37"/>
    <x v="9"/>
    <n v="2.4500000000000002"/>
    <n v="33.770000000000003"/>
    <s v="00411939"/>
  </r>
  <r>
    <x v="196"/>
    <s v="2021-10-20"/>
    <x v="0"/>
    <x v="0"/>
    <n v="36"/>
    <x v="42"/>
    <n v="2.38"/>
    <n v="32.65"/>
    <s v="34991938"/>
  </r>
  <r>
    <x v="196"/>
    <s v="2021-10-20"/>
    <x v="0"/>
    <x v="0"/>
    <n v="35"/>
    <x v="5"/>
    <n v="2.33"/>
    <n v="31.84"/>
    <s v="80271455"/>
  </r>
  <r>
    <x v="196"/>
    <s v="2021-10-20"/>
    <x v="0"/>
    <x v="0"/>
    <n v="34"/>
    <x v="8"/>
    <n v="2.29"/>
    <n v="31.26"/>
    <s v="59285411"/>
  </r>
  <r>
    <x v="196"/>
    <s v="2021-10-20"/>
    <x v="0"/>
    <x v="0"/>
    <n v="33"/>
    <x v="10"/>
    <n v="2.19"/>
    <n v="29.74"/>
    <s v="10371492"/>
  </r>
  <r>
    <x v="196"/>
    <s v="2021-10-20"/>
    <x v="0"/>
    <x v="0"/>
    <n v="32"/>
    <x v="13"/>
    <n v="1.99"/>
    <n v="26.72"/>
    <s v="07707650"/>
  </r>
  <r>
    <x v="196"/>
    <s v="2021-10-20"/>
    <x v="0"/>
    <x v="0"/>
    <n v="31"/>
    <x v="24"/>
    <n v="1.91"/>
    <n v="25.53"/>
    <s v="22639377"/>
  </r>
  <r>
    <x v="196"/>
    <s v="2021-10-20"/>
    <x v="0"/>
    <x v="0"/>
    <n v="30"/>
    <x v="15"/>
    <n v="1.91"/>
    <n v="25.42"/>
    <s v="59588111"/>
  </r>
  <r>
    <x v="196"/>
    <s v="2021-10-20"/>
    <x v="0"/>
    <x v="0"/>
    <n v="29"/>
    <x v="19"/>
    <n v="1.86"/>
    <n v="24.79"/>
    <s v="92702067"/>
  </r>
  <r>
    <x v="196"/>
    <s v="2021-10-20"/>
    <x v="0"/>
    <x v="0"/>
    <n v="28"/>
    <x v="16"/>
    <n v="1.85"/>
    <n v="24.59"/>
    <s v="07207996"/>
  </r>
  <r>
    <x v="196"/>
    <s v="2021-10-20"/>
    <x v="0"/>
    <x v="0"/>
    <n v="27"/>
    <x v="28"/>
    <n v="1.79"/>
    <n v="23.78"/>
    <s v="90400888"/>
  </r>
  <r>
    <x v="196"/>
    <s v="2021-10-20"/>
    <x v="0"/>
    <x v="0"/>
    <n v="26"/>
    <x v="20"/>
    <n v="1.79"/>
    <n v="23.7"/>
    <s v="17192451"/>
  </r>
  <r>
    <x v="196"/>
    <s v="2021-10-20"/>
    <x v="0"/>
    <x v="0"/>
    <n v="25"/>
    <x v="51"/>
    <n v="1.76"/>
    <n v="23.24"/>
    <s v="62237425"/>
  </r>
  <r>
    <x v="196"/>
    <s v="2021-10-20"/>
    <x v="0"/>
    <x v="0"/>
    <n v="24"/>
    <x v="12"/>
    <n v="1.7"/>
    <n v="22.39"/>
    <s v="04862600"/>
  </r>
  <r>
    <x v="196"/>
    <s v="2021-10-20"/>
    <x v="0"/>
    <x v="0"/>
    <n v="23"/>
    <x v="21"/>
    <n v="1.66"/>
    <n v="21.83"/>
    <s v="03017677"/>
  </r>
  <r>
    <x v="196"/>
    <s v="2021-10-20"/>
    <x v="0"/>
    <x v="0"/>
    <n v="22"/>
    <x v="29"/>
    <n v="1.64"/>
    <n v="21.49"/>
    <s v="60746948"/>
  </r>
  <r>
    <x v="196"/>
    <s v="2021-10-20"/>
    <x v="0"/>
    <x v="0"/>
    <n v="21"/>
    <x v="30"/>
    <n v="1.63"/>
    <n v="21.45"/>
    <s v="03502961"/>
  </r>
  <r>
    <x v="196"/>
    <s v="2021-10-20"/>
    <x v="0"/>
    <x v="0"/>
    <n v="20"/>
    <x v="18"/>
    <n v="1.63"/>
    <n v="21.38"/>
    <s v="28127603"/>
  </r>
  <r>
    <x v="196"/>
    <s v="2021-10-20"/>
    <x v="0"/>
    <x v="0"/>
    <n v="19"/>
    <x v="25"/>
    <n v="1.59"/>
    <n v="20.89"/>
    <s v="59274605"/>
  </r>
  <r>
    <x v="196"/>
    <s v="2021-10-20"/>
    <x v="0"/>
    <x v="0"/>
    <n v="18"/>
    <x v="11"/>
    <n v="1.59"/>
    <n v="20.86"/>
    <s v="03634220"/>
  </r>
  <r>
    <x v="196"/>
    <s v="2021-10-20"/>
    <x v="0"/>
    <x v="0"/>
    <n v="17"/>
    <x v="32"/>
    <n v="1.58"/>
    <n v="20.74"/>
    <s v="60701190"/>
  </r>
  <r>
    <x v="196"/>
    <s v="2021-10-20"/>
    <x v="0"/>
    <x v="0"/>
    <n v="16"/>
    <x v="14"/>
    <n v="1.56"/>
    <n v="20.37"/>
    <s v="00360305"/>
  </r>
  <r>
    <x v="196"/>
    <s v="2021-10-20"/>
    <x v="0"/>
    <x v="0"/>
    <n v="15"/>
    <x v="26"/>
    <n v="1.55"/>
    <n v="20.239999999999998"/>
    <s v="30172491"/>
  </r>
  <r>
    <x v="196"/>
    <s v="2021-10-20"/>
    <x v="0"/>
    <x v="0"/>
    <n v="14"/>
    <x v="23"/>
    <n v="1.5"/>
    <n v="19.53"/>
    <s v="03215790"/>
  </r>
  <r>
    <x v="196"/>
    <s v="2021-10-20"/>
    <x v="0"/>
    <x v="0"/>
    <n v="13"/>
    <x v="27"/>
    <n v="1.46"/>
    <n v="18.989999999999998"/>
    <s v="00000000"/>
  </r>
  <r>
    <x v="196"/>
    <s v="2021-10-20"/>
    <x v="0"/>
    <x v="0"/>
    <n v="12"/>
    <x v="33"/>
    <n v="1.46"/>
    <n v="18.940000000000001"/>
    <s v="62307848"/>
  </r>
  <r>
    <x v="196"/>
    <s v="2021-10-20"/>
    <x v="0"/>
    <x v="0"/>
    <n v="11"/>
    <x v="31"/>
    <n v="1.39"/>
    <n v="18.04"/>
    <s v="17167412"/>
  </r>
  <r>
    <x v="196"/>
    <s v="2021-10-20"/>
    <x v="0"/>
    <x v="0"/>
    <n v="10"/>
    <x v="36"/>
    <n v="1.34"/>
    <n v="17.350000000000001"/>
    <s v="33136888"/>
  </r>
  <r>
    <x v="196"/>
    <s v="2021-10-20"/>
    <x v="0"/>
    <x v="0"/>
    <n v="9"/>
    <x v="34"/>
    <n v="1.32"/>
    <n v="17"/>
    <s v="33603457"/>
  </r>
  <r>
    <x v="196"/>
    <s v="2021-10-20"/>
    <x v="0"/>
    <x v="0"/>
    <n v="8"/>
    <x v="35"/>
    <n v="1.3"/>
    <n v="16.739999999999998"/>
    <s v="59109165"/>
  </r>
  <r>
    <x v="196"/>
    <s v="2021-10-20"/>
    <x v="0"/>
    <x v="0"/>
    <n v="7"/>
    <x v="43"/>
    <n v="1.29"/>
    <n v="16.600000000000001"/>
    <s v="07441209"/>
  </r>
  <r>
    <x v="196"/>
    <s v="2021-10-20"/>
    <x v="0"/>
    <x v="0"/>
    <n v="6"/>
    <x v="53"/>
    <n v="1.29"/>
    <n v="16.559999999999999"/>
    <s v="31872495"/>
  </r>
  <r>
    <x v="196"/>
    <s v="2021-10-20"/>
    <x v="0"/>
    <x v="0"/>
    <n v="5"/>
    <x v="37"/>
    <n v="1.27"/>
    <n v="16.39"/>
    <s v="04452473"/>
  </r>
  <r>
    <x v="196"/>
    <s v="2021-10-20"/>
    <x v="0"/>
    <x v="0"/>
    <n v="4"/>
    <x v="38"/>
    <n v="1.25"/>
    <n v="16.02"/>
    <s v="60814191"/>
  </r>
  <r>
    <x v="196"/>
    <s v="2021-10-20"/>
    <x v="0"/>
    <x v="0"/>
    <n v="3"/>
    <x v="44"/>
    <n v="1.1499999999999999"/>
    <n v="14.68"/>
    <s v="58017179"/>
  </r>
  <r>
    <x v="196"/>
    <s v="2021-10-20"/>
    <x v="0"/>
    <x v="0"/>
    <n v="2"/>
    <x v="40"/>
    <n v="1.1399999999999999"/>
    <n v="14.63"/>
    <s v="02992446"/>
  </r>
  <r>
    <x v="196"/>
    <s v="2021-10-20"/>
    <x v="0"/>
    <x v="0"/>
    <n v="1"/>
    <x v="22"/>
    <n v="1.1100000000000001"/>
    <n v="14.2"/>
    <s v="11417016"/>
  </r>
  <r>
    <x v="197"/>
    <s v="2021-10-21"/>
    <x v="0"/>
    <x v="0"/>
    <n v="44"/>
    <x v="3"/>
    <n v="3.18"/>
    <n v="45.66"/>
    <s v="05503849"/>
  </r>
  <r>
    <x v="197"/>
    <s v="2021-10-21"/>
    <x v="0"/>
    <x v="0"/>
    <n v="43"/>
    <x v="1"/>
    <n v="3.15"/>
    <n v="45.01"/>
    <s v="01800019"/>
  </r>
  <r>
    <x v="197"/>
    <s v="2021-10-21"/>
    <x v="0"/>
    <x v="0"/>
    <n v="42"/>
    <x v="2"/>
    <n v="3.1"/>
    <n v="44.28"/>
    <s v="92228410"/>
  </r>
  <r>
    <x v="197"/>
    <s v="2021-10-21"/>
    <x v="0"/>
    <x v="0"/>
    <n v="41"/>
    <x v="0"/>
    <n v="3.08"/>
    <n v="43.99"/>
    <s v="60850229"/>
  </r>
  <r>
    <x v="197"/>
    <s v="2021-10-21"/>
    <x v="0"/>
    <x v="0"/>
    <n v="40"/>
    <x v="7"/>
    <n v="3.06"/>
    <n v="43.56"/>
    <s v="92874270"/>
  </r>
  <r>
    <x v="197"/>
    <s v="2021-10-21"/>
    <x v="0"/>
    <x v="0"/>
    <n v="39"/>
    <x v="6"/>
    <n v="2.77"/>
    <n v="38.78"/>
    <s v="05676026"/>
  </r>
  <r>
    <x v="197"/>
    <s v="2021-10-21"/>
    <x v="0"/>
    <x v="0"/>
    <n v="38"/>
    <x v="4"/>
    <n v="2.5499999999999998"/>
    <n v="35.22"/>
    <s v="62232889"/>
  </r>
  <r>
    <x v="197"/>
    <s v="2021-10-21"/>
    <x v="0"/>
    <x v="0"/>
    <n v="37"/>
    <x v="5"/>
    <n v="2.46"/>
    <n v="33.869999999999997"/>
    <s v="80271455"/>
  </r>
  <r>
    <x v="197"/>
    <s v="2021-10-21"/>
    <x v="0"/>
    <x v="0"/>
    <n v="36"/>
    <x v="9"/>
    <n v="2.4500000000000002"/>
    <n v="33.64"/>
    <s v="00411939"/>
  </r>
  <r>
    <x v="197"/>
    <s v="2021-10-21"/>
    <x v="0"/>
    <x v="0"/>
    <n v="35"/>
    <x v="42"/>
    <n v="2.38"/>
    <n v="32.53"/>
    <s v="34991938"/>
  </r>
  <r>
    <x v="197"/>
    <s v="2021-10-21"/>
    <x v="0"/>
    <x v="0"/>
    <n v="34"/>
    <x v="8"/>
    <n v="2.29"/>
    <n v="31.22"/>
    <s v="59285411"/>
  </r>
  <r>
    <x v="197"/>
    <s v="2021-10-21"/>
    <x v="0"/>
    <x v="0"/>
    <n v="33"/>
    <x v="10"/>
    <n v="2.21"/>
    <n v="29.93"/>
    <s v="10371492"/>
  </r>
  <r>
    <x v="197"/>
    <s v="2021-10-21"/>
    <x v="0"/>
    <x v="0"/>
    <n v="32"/>
    <x v="13"/>
    <n v="2"/>
    <n v="26.8"/>
    <s v="07707650"/>
  </r>
  <r>
    <x v="197"/>
    <s v="2021-10-21"/>
    <x v="0"/>
    <x v="0"/>
    <n v="31"/>
    <x v="24"/>
    <n v="1.94"/>
    <n v="25.99"/>
    <s v="22639377"/>
  </r>
  <r>
    <x v="197"/>
    <s v="2021-10-21"/>
    <x v="0"/>
    <x v="0"/>
    <n v="30"/>
    <x v="15"/>
    <n v="1.9"/>
    <n v="25.3"/>
    <s v="59588111"/>
  </r>
  <r>
    <x v="197"/>
    <s v="2021-10-21"/>
    <x v="0"/>
    <x v="0"/>
    <n v="29"/>
    <x v="28"/>
    <n v="1.88"/>
    <n v="24.97"/>
    <s v="90400888"/>
  </r>
  <r>
    <x v="197"/>
    <s v="2021-10-21"/>
    <x v="0"/>
    <x v="0"/>
    <n v="28"/>
    <x v="19"/>
    <n v="1.86"/>
    <n v="24.79"/>
    <s v="92702067"/>
  </r>
  <r>
    <x v="197"/>
    <s v="2021-10-21"/>
    <x v="0"/>
    <x v="0"/>
    <n v="27"/>
    <x v="16"/>
    <n v="1.85"/>
    <n v="24.55"/>
    <s v="07207996"/>
  </r>
  <r>
    <x v="197"/>
    <s v="2021-10-21"/>
    <x v="0"/>
    <x v="0"/>
    <n v="26"/>
    <x v="20"/>
    <n v="1.79"/>
    <n v="23.77"/>
    <s v="17192451"/>
  </r>
  <r>
    <x v="197"/>
    <s v="2021-10-21"/>
    <x v="0"/>
    <x v="0"/>
    <n v="25"/>
    <x v="51"/>
    <n v="1.76"/>
    <n v="23.24"/>
    <s v="62237425"/>
  </r>
  <r>
    <x v="197"/>
    <s v="2021-10-21"/>
    <x v="0"/>
    <x v="0"/>
    <n v="24"/>
    <x v="12"/>
    <n v="1.71"/>
    <n v="22.59"/>
    <s v="04862600"/>
  </r>
  <r>
    <x v="197"/>
    <s v="2021-10-21"/>
    <x v="0"/>
    <x v="0"/>
    <n v="23"/>
    <x v="21"/>
    <n v="1.66"/>
    <n v="21.79"/>
    <s v="03017677"/>
  </r>
  <r>
    <x v="197"/>
    <s v="2021-10-21"/>
    <x v="0"/>
    <x v="0"/>
    <n v="22"/>
    <x v="29"/>
    <n v="1.64"/>
    <n v="21.5"/>
    <s v="60746948"/>
  </r>
  <r>
    <x v="197"/>
    <s v="2021-10-21"/>
    <x v="0"/>
    <x v="0"/>
    <n v="21"/>
    <x v="30"/>
    <n v="1.62"/>
    <n v="21.31"/>
    <s v="03502961"/>
  </r>
  <r>
    <x v="197"/>
    <s v="2021-10-21"/>
    <x v="0"/>
    <x v="0"/>
    <n v="20"/>
    <x v="32"/>
    <n v="1.61"/>
    <n v="21.06"/>
    <s v="60701190"/>
  </r>
  <r>
    <x v="197"/>
    <s v="2021-10-21"/>
    <x v="0"/>
    <x v="0"/>
    <n v="19"/>
    <x v="11"/>
    <n v="1.6"/>
    <n v="21.04"/>
    <s v="03634220"/>
  </r>
  <r>
    <x v="197"/>
    <s v="2021-10-21"/>
    <x v="0"/>
    <x v="0"/>
    <n v="18"/>
    <x v="25"/>
    <n v="1.59"/>
    <n v="20.77"/>
    <s v="59274605"/>
  </r>
  <r>
    <x v="197"/>
    <s v="2021-10-21"/>
    <x v="0"/>
    <x v="0"/>
    <n v="17"/>
    <x v="14"/>
    <n v="1.58"/>
    <n v="20.68"/>
    <s v="00360305"/>
  </r>
  <r>
    <x v="197"/>
    <s v="2021-10-21"/>
    <x v="0"/>
    <x v="0"/>
    <n v="16"/>
    <x v="18"/>
    <n v="1.55"/>
    <n v="20.260000000000002"/>
    <s v="28127603"/>
  </r>
  <r>
    <x v="197"/>
    <s v="2021-10-21"/>
    <x v="0"/>
    <x v="0"/>
    <n v="15"/>
    <x v="26"/>
    <n v="1.55"/>
    <n v="20.25"/>
    <s v="30172491"/>
  </r>
  <r>
    <x v="197"/>
    <s v="2021-10-21"/>
    <x v="0"/>
    <x v="0"/>
    <n v="14"/>
    <x v="23"/>
    <n v="1.51"/>
    <n v="19.63"/>
    <s v="03215790"/>
  </r>
  <r>
    <x v="197"/>
    <s v="2021-10-21"/>
    <x v="0"/>
    <x v="0"/>
    <n v="13"/>
    <x v="27"/>
    <n v="1.47"/>
    <n v="19.149999999999999"/>
    <s v="00000000"/>
  </r>
  <r>
    <x v="197"/>
    <s v="2021-10-21"/>
    <x v="0"/>
    <x v="0"/>
    <n v="12"/>
    <x v="33"/>
    <n v="1.43"/>
    <n v="18.61"/>
    <s v="62307848"/>
  </r>
  <r>
    <x v="197"/>
    <s v="2021-10-21"/>
    <x v="0"/>
    <x v="0"/>
    <n v="11"/>
    <x v="31"/>
    <n v="1.39"/>
    <n v="18.04"/>
    <s v="17167412"/>
  </r>
  <r>
    <x v="197"/>
    <s v="2021-10-21"/>
    <x v="0"/>
    <x v="0"/>
    <n v="10"/>
    <x v="36"/>
    <n v="1.34"/>
    <n v="17.350000000000001"/>
    <s v="33136888"/>
  </r>
  <r>
    <x v="197"/>
    <s v="2021-10-21"/>
    <x v="0"/>
    <x v="0"/>
    <n v="9"/>
    <x v="34"/>
    <n v="1.31"/>
    <n v="16.93"/>
    <s v="33603457"/>
  </r>
  <r>
    <x v="197"/>
    <s v="2021-10-21"/>
    <x v="0"/>
    <x v="0"/>
    <n v="8"/>
    <x v="35"/>
    <n v="1.3"/>
    <n v="16.8"/>
    <s v="59109165"/>
  </r>
  <r>
    <x v="197"/>
    <s v="2021-10-21"/>
    <x v="0"/>
    <x v="0"/>
    <n v="7"/>
    <x v="43"/>
    <n v="1.29"/>
    <n v="16.600000000000001"/>
    <s v="07441209"/>
  </r>
  <r>
    <x v="197"/>
    <s v="2021-10-21"/>
    <x v="0"/>
    <x v="0"/>
    <n v="6"/>
    <x v="53"/>
    <n v="1.29"/>
    <n v="16.559999999999999"/>
    <s v="31872495"/>
  </r>
  <r>
    <x v="197"/>
    <s v="2021-10-21"/>
    <x v="0"/>
    <x v="0"/>
    <n v="5"/>
    <x v="37"/>
    <n v="1.28"/>
    <n v="16.47"/>
    <s v="04452473"/>
  </r>
  <r>
    <x v="197"/>
    <s v="2021-10-21"/>
    <x v="0"/>
    <x v="0"/>
    <n v="4"/>
    <x v="38"/>
    <n v="1.27"/>
    <n v="16.41"/>
    <s v="60814191"/>
  </r>
  <r>
    <x v="197"/>
    <s v="2021-10-21"/>
    <x v="0"/>
    <x v="0"/>
    <n v="3"/>
    <x v="22"/>
    <n v="1.1200000000000001"/>
    <n v="14.26"/>
    <s v="11417016"/>
  </r>
  <r>
    <x v="197"/>
    <s v="2021-10-21"/>
    <x v="0"/>
    <x v="0"/>
    <n v="2"/>
    <x v="44"/>
    <n v="1.08"/>
    <n v="13.79"/>
    <s v="58017179"/>
  </r>
  <r>
    <x v="197"/>
    <s v="2021-10-21"/>
    <x v="0"/>
    <x v="0"/>
    <n v="1"/>
    <x v="40"/>
    <n v="1.07"/>
    <n v="13.61"/>
    <s v="02992446"/>
  </r>
  <r>
    <x v="198"/>
    <s v="2021-10-22"/>
    <x v="0"/>
    <x v="0"/>
    <n v="45"/>
    <x v="3"/>
    <n v="3.21"/>
    <n v="46.13"/>
    <s v="05503849"/>
  </r>
  <r>
    <x v="198"/>
    <s v="2021-10-22"/>
    <x v="0"/>
    <x v="0"/>
    <n v="44"/>
    <x v="1"/>
    <n v="3.17"/>
    <n v="45.46"/>
    <s v="01800019"/>
  </r>
  <r>
    <x v="198"/>
    <s v="2021-10-22"/>
    <x v="0"/>
    <x v="0"/>
    <n v="43"/>
    <x v="0"/>
    <n v="3.16"/>
    <n v="45.25"/>
    <s v="60850229"/>
  </r>
  <r>
    <x v="198"/>
    <s v="2021-10-22"/>
    <x v="0"/>
    <x v="0"/>
    <n v="42"/>
    <x v="2"/>
    <n v="3.09"/>
    <n v="44.14"/>
    <s v="92228410"/>
  </r>
  <r>
    <x v="198"/>
    <s v="2021-10-22"/>
    <x v="0"/>
    <x v="0"/>
    <n v="41"/>
    <x v="7"/>
    <n v="3.06"/>
    <n v="43.6"/>
    <s v="92874270"/>
  </r>
  <r>
    <x v="198"/>
    <s v="2021-10-22"/>
    <x v="0"/>
    <x v="0"/>
    <n v="40"/>
    <x v="6"/>
    <n v="2.77"/>
    <n v="38.72"/>
    <s v="05676026"/>
  </r>
  <r>
    <x v="198"/>
    <s v="2021-10-22"/>
    <x v="0"/>
    <x v="0"/>
    <n v="39"/>
    <x v="5"/>
    <n v="2.6"/>
    <n v="36.01"/>
    <s v="80271455"/>
  </r>
  <r>
    <x v="198"/>
    <s v="2021-10-22"/>
    <x v="0"/>
    <x v="0"/>
    <n v="38"/>
    <x v="4"/>
    <n v="2.5499999999999998"/>
    <n v="35.29"/>
    <s v="62232889"/>
  </r>
  <r>
    <x v="198"/>
    <s v="2021-10-22"/>
    <x v="0"/>
    <x v="0"/>
    <n v="37"/>
    <x v="42"/>
    <n v="2.4"/>
    <n v="32.99"/>
    <s v="34991938"/>
  </r>
  <r>
    <x v="198"/>
    <s v="2021-10-22"/>
    <x v="0"/>
    <x v="0"/>
    <n v="36"/>
    <x v="9"/>
    <n v="2.4"/>
    <n v="32.93"/>
    <s v="00411939"/>
  </r>
  <r>
    <x v="198"/>
    <s v="2021-10-22"/>
    <x v="0"/>
    <x v="0"/>
    <n v="35"/>
    <x v="45"/>
    <n v="2.34"/>
    <n v="32.03"/>
    <s v="33040601"/>
  </r>
  <r>
    <x v="198"/>
    <s v="2021-10-22"/>
    <x v="0"/>
    <x v="0"/>
    <n v="34"/>
    <x v="8"/>
    <n v="2.29"/>
    <n v="31.23"/>
    <s v="59285411"/>
  </r>
  <r>
    <x v="198"/>
    <s v="2021-10-22"/>
    <x v="0"/>
    <x v="0"/>
    <n v="33"/>
    <x v="10"/>
    <n v="2.2200000000000002"/>
    <n v="30.07"/>
    <s v="10371492"/>
  </r>
  <r>
    <x v="198"/>
    <s v="2021-10-22"/>
    <x v="0"/>
    <x v="0"/>
    <n v="32"/>
    <x v="13"/>
    <n v="2.0099999999999998"/>
    <n v="26.91"/>
    <s v="07707650"/>
  </r>
  <r>
    <x v="198"/>
    <s v="2021-10-22"/>
    <x v="0"/>
    <x v="0"/>
    <n v="31"/>
    <x v="24"/>
    <n v="1.94"/>
    <n v="25.9"/>
    <s v="22639377"/>
  </r>
  <r>
    <x v="198"/>
    <s v="2021-10-22"/>
    <x v="0"/>
    <x v="0"/>
    <n v="30"/>
    <x v="28"/>
    <n v="1.91"/>
    <n v="25.43"/>
    <s v="90400888"/>
  </r>
  <r>
    <x v="198"/>
    <s v="2021-10-22"/>
    <x v="0"/>
    <x v="0"/>
    <n v="29"/>
    <x v="15"/>
    <n v="1.9"/>
    <n v="25.34"/>
    <s v="59588111"/>
  </r>
  <r>
    <x v="198"/>
    <s v="2021-10-22"/>
    <x v="0"/>
    <x v="0"/>
    <n v="28"/>
    <x v="19"/>
    <n v="1.86"/>
    <n v="24.79"/>
    <s v="92702067"/>
  </r>
  <r>
    <x v="198"/>
    <s v="2021-10-22"/>
    <x v="0"/>
    <x v="0"/>
    <n v="27"/>
    <x v="16"/>
    <n v="1.84"/>
    <n v="24.51"/>
    <s v="07207996"/>
  </r>
  <r>
    <x v="198"/>
    <s v="2021-10-22"/>
    <x v="0"/>
    <x v="0"/>
    <n v="26"/>
    <x v="20"/>
    <n v="1.8"/>
    <n v="23.8"/>
    <s v="17192451"/>
  </r>
  <r>
    <x v="198"/>
    <s v="2021-10-22"/>
    <x v="0"/>
    <x v="0"/>
    <n v="25"/>
    <x v="51"/>
    <n v="1.76"/>
    <n v="23.24"/>
    <s v="62237425"/>
  </r>
  <r>
    <x v="198"/>
    <s v="2021-10-22"/>
    <x v="0"/>
    <x v="0"/>
    <n v="24"/>
    <x v="12"/>
    <n v="1.68"/>
    <n v="22.17"/>
    <s v="04862600"/>
  </r>
  <r>
    <x v="198"/>
    <s v="2021-10-22"/>
    <x v="0"/>
    <x v="0"/>
    <n v="23"/>
    <x v="21"/>
    <n v="1.66"/>
    <n v="21.83"/>
    <s v="03017677"/>
  </r>
  <r>
    <x v="198"/>
    <s v="2021-10-22"/>
    <x v="0"/>
    <x v="0"/>
    <n v="22"/>
    <x v="29"/>
    <n v="1.66"/>
    <n v="21.79"/>
    <s v="60746948"/>
  </r>
  <r>
    <x v="198"/>
    <s v="2021-10-22"/>
    <x v="0"/>
    <x v="0"/>
    <n v="21"/>
    <x v="30"/>
    <n v="1.63"/>
    <n v="21.41"/>
    <s v="03502961"/>
  </r>
  <r>
    <x v="198"/>
    <s v="2021-10-22"/>
    <x v="0"/>
    <x v="0"/>
    <n v="20"/>
    <x v="11"/>
    <n v="1.62"/>
    <n v="21.21"/>
    <s v="03634220"/>
  </r>
  <r>
    <x v="198"/>
    <s v="2021-10-22"/>
    <x v="0"/>
    <x v="0"/>
    <n v="19"/>
    <x v="32"/>
    <n v="1.61"/>
    <n v="21.05"/>
    <s v="60701190"/>
  </r>
  <r>
    <x v="198"/>
    <s v="2021-10-22"/>
    <x v="0"/>
    <x v="0"/>
    <n v="18"/>
    <x v="14"/>
    <n v="1.6"/>
    <n v="21.01"/>
    <s v="00360305"/>
  </r>
  <r>
    <x v="198"/>
    <s v="2021-10-22"/>
    <x v="0"/>
    <x v="0"/>
    <n v="17"/>
    <x v="25"/>
    <n v="1.57"/>
    <n v="20.48"/>
    <s v="59274605"/>
  </r>
  <r>
    <x v="198"/>
    <s v="2021-10-22"/>
    <x v="0"/>
    <x v="0"/>
    <n v="16"/>
    <x v="26"/>
    <n v="1.55"/>
    <n v="20.22"/>
    <s v="30172491"/>
  </r>
  <r>
    <x v="198"/>
    <s v="2021-10-22"/>
    <x v="0"/>
    <x v="0"/>
    <n v="15"/>
    <x v="23"/>
    <n v="1.51"/>
    <n v="19.760000000000002"/>
    <s v="03215790"/>
  </r>
  <r>
    <x v="198"/>
    <s v="2021-10-22"/>
    <x v="0"/>
    <x v="0"/>
    <n v="14"/>
    <x v="27"/>
    <n v="1.46"/>
    <n v="19.03"/>
    <s v="00000000"/>
  </r>
  <r>
    <x v="198"/>
    <s v="2021-10-22"/>
    <x v="0"/>
    <x v="0"/>
    <n v="13"/>
    <x v="33"/>
    <n v="1.44"/>
    <n v="18.739999999999998"/>
    <s v="62307848"/>
  </r>
  <r>
    <x v="198"/>
    <s v="2021-10-22"/>
    <x v="0"/>
    <x v="0"/>
    <n v="12"/>
    <x v="31"/>
    <n v="1.39"/>
    <n v="18.010000000000002"/>
    <s v="17167412"/>
  </r>
  <r>
    <x v="198"/>
    <s v="2021-10-22"/>
    <x v="0"/>
    <x v="0"/>
    <n v="11"/>
    <x v="18"/>
    <n v="1.38"/>
    <n v="17.88"/>
    <s v="28127603"/>
  </r>
  <r>
    <x v="198"/>
    <s v="2021-10-22"/>
    <x v="0"/>
    <x v="0"/>
    <n v="10"/>
    <x v="36"/>
    <n v="1.34"/>
    <n v="17.350000000000001"/>
    <s v="33136888"/>
  </r>
  <r>
    <x v="198"/>
    <s v="2021-10-22"/>
    <x v="0"/>
    <x v="0"/>
    <n v="9"/>
    <x v="35"/>
    <n v="1.3"/>
    <n v="16.82"/>
    <s v="59109165"/>
  </r>
  <r>
    <x v="198"/>
    <s v="2021-10-22"/>
    <x v="0"/>
    <x v="0"/>
    <n v="8"/>
    <x v="34"/>
    <n v="1.3"/>
    <n v="16.760000000000002"/>
    <s v="33603457"/>
  </r>
  <r>
    <x v="198"/>
    <s v="2021-10-22"/>
    <x v="0"/>
    <x v="0"/>
    <n v="7"/>
    <x v="43"/>
    <n v="1.29"/>
    <n v="16.600000000000001"/>
    <s v="07441209"/>
  </r>
  <r>
    <x v="198"/>
    <s v="2021-10-22"/>
    <x v="0"/>
    <x v="0"/>
    <n v="6"/>
    <x v="53"/>
    <n v="1.29"/>
    <n v="16.559999999999999"/>
    <s v="31872495"/>
  </r>
  <r>
    <x v="198"/>
    <s v="2021-10-22"/>
    <x v="0"/>
    <x v="0"/>
    <n v="5"/>
    <x v="37"/>
    <n v="1.28"/>
    <n v="16.52"/>
    <s v="04452473"/>
  </r>
  <r>
    <x v="198"/>
    <s v="2021-10-22"/>
    <x v="0"/>
    <x v="0"/>
    <n v="4"/>
    <x v="38"/>
    <n v="1.25"/>
    <n v="16.079999999999998"/>
    <s v="60814191"/>
  </r>
  <r>
    <x v="198"/>
    <s v="2021-10-22"/>
    <x v="0"/>
    <x v="0"/>
    <n v="3"/>
    <x v="22"/>
    <n v="1.1200000000000001"/>
    <n v="14.28"/>
    <s v="11417016"/>
  </r>
  <r>
    <x v="198"/>
    <s v="2021-10-22"/>
    <x v="0"/>
    <x v="0"/>
    <n v="2"/>
    <x v="44"/>
    <n v="1.1200000000000001"/>
    <n v="14.26"/>
    <s v="58017179"/>
  </r>
  <r>
    <x v="198"/>
    <s v="2021-10-22"/>
    <x v="0"/>
    <x v="0"/>
    <n v="1"/>
    <x v="40"/>
    <n v="1.07"/>
    <n v="13.61"/>
    <s v="02992446"/>
  </r>
  <r>
    <x v="199"/>
    <s v="2021-10-25"/>
    <x v="0"/>
    <x v="0"/>
    <n v="46"/>
    <x v="3"/>
    <n v="3.3"/>
    <n v="47.57"/>
    <s v="05503849"/>
  </r>
  <r>
    <x v="199"/>
    <s v="2021-10-25"/>
    <x v="0"/>
    <x v="0"/>
    <n v="45"/>
    <x v="0"/>
    <n v="3.18"/>
    <n v="45.63"/>
    <s v="60850229"/>
  </r>
  <r>
    <x v="199"/>
    <s v="2021-10-25"/>
    <x v="0"/>
    <x v="0"/>
    <n v="44"/>
    <x v="2"/>
    <n v="3.08"/>
    <n v="43.93"/>
    <s v="92228410"/>
  </r>
  <r>
    <x v="199"/>
    <s v="2021-10-25"/>
    <x v="0"/>
    <x v="0"/>
    <n v="43"/>
    <x v="7"/>
    <n v="3.08"/>
    <n v="43.86"/>
    <s v="92874270"/>
  </r>
  <r>
    <x v="199"/>
    <s v="2021-10-25"/>
    <x v="0"/>
    <x v="0"/>
    <n v="42"/>
    <x v="1"/>
    <n v="3.07"/>
    <n v="43.72"/>
    <s v="01800019"/>
  </r>
  <r>
    <x v="199"/>
    <s v="2021-10-25"/>
    <x v="0"/>
    <x v="0"/>
    <n v="41"/>
    <x v="6"/>
    <n v="2.82"/>
    <n v="39.590000000000003"/>
    <s v="05676026"/>
  </r>
  <r>
    <x v="199"/>
    <s v="2021-10-25"/>
    <x v="0"/>
    <x v="0"/>
    <n v="40"/>
    <x v="4"/>
    <n v="2.5499999999999998"/>
    <n v="35.340000000000003"/>
    <s v="62232889"/>
  </r>
  <r>
    <x v="199"/>
    <s v="2021-10-25"/>
    <x v="0"/>
    <x v="0"/>
    <n v="39"/>
    <x v="5"/>
    <n v="2.4900000000000002"/>
    <n v="34.33"/>
    <s v="80271455"/>
  </r>
  <r>
    <x v="199"/>
    <s v="2021-10-25"/>
    <x v="0"/>
    <x v="0"/>
    <n v="38"/>
    <x v="42"/>
    <n v="2.4"/>
    <n v="32.99"/>
    <s v="34991938"/>
  </r>
  <r>
    <x v="199"/>
    <s v="2021-10-25"/>
    <x v="0"/>
    <x v="0"/>
    <n v="37"/>
    <x v="9"/>
    <n v="2.4"/>
    <n v="32.880000000000003"/>
    <s v="00411939"/>
  </r>
  <r>
    <x v="199"/>
    <s v="2021-10-25"/>
    <x v="0"/>
    <x v="0"/>
    <n v="36"/>
    <x v="45"/>
    <n v="2.34"/>
    <n v="32.03"/>
    <s v="33040601"/>
  </r>
  <r>
    <x v="199"/>
    <s v="2021-10-25"/>
    <x v="0"/>
    <x v="0"/>
    <n v="35"/>
    <x v="8"/>
    <n v="2.2999999999999998"/>
    <n v="31.44"/>
    <s v="59285411"/>
  </r>
  <r>
    <x v="199"/>
    <s v="2021-10-25"/>
    <x v="0"/>
    <x v="0"/>
    <n v="34"/>
    <x v="10"/>
    <n v="2.23"/>
    <n v="30.28"/>
    <s v="10371492"/>
  </r>
  <r>
    <x v="199"/>
    <s v="2021-10-25"/>
    <x v="0"/>
    <x v="0"/>
    <n v="33"/>
    <x v="24"/>
    <n v="2.04"/>
    <n v="27.35"/>
    <s v="22639377"/>
  </r>
  <r>
    <x v="199"/>
    <s v="2021-10-25"/>
    <x v="0"/>
    <x v="0"/>
    <n v="32"/>
    <x v="13"/>
    <n v="2.0099999999999998"/>
    <n v="26.95"/>
    <s v="07707650"/>
  </r>
  <r>
    <x v="199"/>
    <s v="2021-10-25"/>
    <x v="0"/>
    <x v="0"/>
    <n v="31"/>
    <x v="28"/>
    <n v="1.96"/>
    <n v="26.25"/>
    <s v="90400888"/>
  </r>
  <r>
    <x v="199"/>
    <s v="2021-10-25"/>
    <x v="0"/>
    <x v="0"/>
    <n v="30"/>
    <x v="15"/>
    <n v="1.9"/>
    <n v="25.36"/>
    <s v="59588111"/>
  </r>
  <r>
    <x v="199"/>
    <s v="2021-10-25"/>
    <x v="0"/>
    <x v="0"/>
    <n v="29"/>
    <x v="19"/>
    <n v="1.86"/>
    <n v="24.79"/>
    <s v="92702067"/>
  </r>
  <r>
    <x v="199"/>
    <s v="2021-10-25"/>
    <x v="0"/>
    <x v="0"/>
    <n v="28"/>
    <x v="16"/>
    <n v="1.84"/>
    <n v="24.47"/>
    <s v="07207996"/>
  </r>
  <r>
    <x v="199"/>
    <s v="2021-10-25"/>
    <x v="0"/>
    <x v="0"/>
    <n v="27"/>
    <x v="20"/>
    <n v="1.8"/>
    <n v="23.86"/>
    <s v="17192451"/>
  </r>
  <r>
    <x v="199"/>
    <s v="2021-10-25"/>
    <x v="0"/>
    <x v="0"/>
    <n v="26"/>
    <x v="51"/>
    <n v="1.76"/>
    <n v="23.24"/>
    <s v="62237425"/>
  </r>
  <r>
    <x v="199"/>
    <s v="2021-10-25"/>
    <x v="0"/>
    <x v="0"/>
    <n v="25"/>
    <x v="21"/>
    <n v="1.66"/>
    <n v="21.78"/>
    <s v="03017677"/>
  </r>
  <r>
    <x v="199"/>
    <s v="2021-10-25"/>
    <x v="0"/>
    <x v="0"/>
    <n v="24"/>
    <x v="12"/>
    <n v="1.65"/>
    <n v="21.76"/>
    <s v="04862600"/>
  </r>
  <r>
    <x v="199"/>
    <s v="2021-10-25"/>
    <x v="0"/>
    <x v="0"/>
    <n v="23"/>
    <x v="29"/>
    <n v="1.65"/>
    <n v="21.75"/>
    <s v="60746948"/>
  </r>
  <r>
    <x v="199"/>
    <s v="2021-10-25"/>
    <x v="0"/>
    <x v="0"/>
    <n v="22"/>
    <x v="30"/>
    <n v="1.65"/>
    <n v="21.7"/>
    <s v="03502961"/>
  </r>
  <r>
    <x v="199"/>
    <s v="2021-10-25"/>
    <x v="0"/>
    <x v="0"/>
    <n v="21"/>
    <x v="11"/>
    <n v="1.62"/>
    <n v="21.21"/>
    <s v="03634220"/>
  </r>
  <r>
    <x v="199"/>
    <s v="2021-10-25"/>
    <x v="0"/>
    <x v="0"/>
    <n v="20"/>
    <x v="32"/>
    <n v="1.61"/>
    <n v="21.11"/>
    <s v="60701190"/>
  </r>
  <r>
    <x v="199"/>
    <s v="2021-10-25"/>
    <x v="0"/>
    <x v="0"/>
    <n v="19"/>
    <x v="14"/>
    <n v="1.6"/>
    <n v="21.02"/>
    <s v="00360305"/>
  </r>
  <r>
    <x v="199"/>
    <s v="2021-10-25"/>
    <x v="0"/>
    <x v="0"/>
    <n v="18"/>
    <x v="25"/>
    <n v="1.57"/>
    <n v="20.59"/>
    <s v="59274605"/>
  </r>
  <r>
    <x v="199"/>
    <s v="2021-10-25"/>
    <x v="0"/>
    <x v="0"/>
    <n v="17"/>
    <x v="26"/>
    <n v="1.54"/>
    <n v="20.190000000000001"/>
    <s v="30172491"/>
  </r>
  <r>
    <x v="199"/>
    <s v="2021-10-25"/>
    <x v="0"/>
    <x v="0"/>
    <n v="16"/>
    <x v="23"/>
    <n v="1.54"/>
    <n v="20.07"/>
    <s v="03215790"/>
  </r>
  <r>
    <x v="199"/>
    <s v="2021-10-25"/>
    <x v="0"/>
    <x v="0"/>
    <n v="15"/>
    <x v="27"/>
    <n v="1.45"/>
    <n v="18.850000000000001"/>
    <s v="00000000"/>
  </r>
  <r>
    <x v="199"/>
    <s v="2021-10-25"/>
    <x v="0"/>
    <x v="0"/>
    <n v="14"/>
    <x v="33"/>
    <n v="1.44"/>
    <n v="18.72"/>
    <s v="62307848"/>
  </r>
  <r>
    <x v="199"/>
    <s v="2021-10-25"/>
    <x v="0"/>
    <x v="0"/>
    <n v="13"/>
    <x v="31"/>
    <n v="1.4"/>
    <n v="18.100000000000001"/>
    <s v="17167412"/>
  </r>
  <r>
    <x v="199"/>
    <s v="2021-10-25"/>
    <x v="0"/>
    <x v="0"/>
    <n v="12"/>
    <x v="18"/>
    <n v="1.32"/>
    <n v="17.09"/>
    <s v="28127603"/>
  </r>
  <r>
    <x v="199"/>
    <s v="2021-10-25"/>
    <x v="0"/>
    <x v="0"/>
    <n v="11"/>
    <x v="35"/>
    <n v="1.31"/>
    <n v="16.920000000000002"/>
    <s v="59109165"/>
  </r>
  <r>
    <x v="199"/>
    <s v="2021-10-25"/>
    <x v="0"/>
    <x v="0"/>
    <n v="10"/>
    <x v="34"/>
    <n v="1.3"/>
    <n v="16.8"/>
    <s v="33603457"/>
  </r>
  <r>
    <x v="199"/>
    <s v="2021-10-25"/>
    <x v="0"/>
    <x v="0"/>
    <n v="9"/>
    <x v="43"/>
    <n v="1.29"/>
    <n v="16.600000000000001"/>
    <s v="07441209"/>
  </r>
  <r>
    <x v="199"/>
    <s v="2021-10-25"/>
    <x v="0"/>
    <x v="0"/>
    <n v="8"/>
    <x v="53"/>
    <n v="1.29"/>
    <n v="16.559999999999999"/>
    <s v="31872495"/>
  </r>
  <r>
    <x v="199"/>
    <s v="2021-10-25"/>
    <x v="0"/>
    <x v="0"/>
    <n v="7"/>
    <x v="37"/>
    <n v="1.28"/>
    <n v="16.54"/>
    <s v="04452473"/>
  </r>
  <r>
    <x v="199"/>
    <s v="2021-10-25"/>
    <x v="0"/>
    <x v="0"/>
    <n v="6"/>
    <x v="38"/>
    <n v="1.24"/>
    <n v="15.93"/>
    <s v="60814191"/>
  </r>
  <r>
    <x v="199"/>
    <s v="2021-10-25"/>
    <x v="0"/>
    <x v="0"/>
    <n v="5"/>
    <x v="36"/>
    <n v="1.22"/>
    <n v="15.64"/>
    <s v="33136888"/>
  </r>
  <r>
    <x v="199"/>
    <s v="2021-10-25"/>
    <x v="0"/>
    <x v="0"/>
    <n v="4"/>
    <x v="22"/>
    <n v="1.1200000000000001"/>
    <n v="14.36"/>
    <s v="11417016"/>
  </r>
  <r>
    <x v="199"/>
    <s v="2021-10-25"/>
    <x v="0"/>
    <x v="0"/>
    <n v="3"/>
    <x v="44"/>
    <n v="1.1200000000000001"/>
    <n v="14.26"/>
    <s v="58017179"/>
  </r>
  <r>
    <x v="199"/>
    <s v="2021-10-25"/>
    <x v="0"/>
    <x v="0"/>
    <n v="2"/>
    <x v="39"/>
    <n v="1.1100000000000001"/>
    <n v="14.14"/>
    <s v="04902979"/>
  </r>
  <r>
    <x v="199"/>
    <s v="2021-10-25"/>
    <x v="0"/>
    <x v="0"/>
    <n v="1"/>
    <x v="40"/>
    <n v="1.07"/>
    <n v="13.62"/>
    <s v="02992446"/>
  </r>
  <r>
    <x v="200"/>
    <s v="2021-10-26"/>
    <x v="0"/>
    <x v="0"/>
    <n v="47"/>
    <x v="3"/>
    <n v="3.36"/>
    <n v="48.72"/>
    <s v="05503849"/>
  </r>
  <r>
    <x v="200"/>
    <s v="2021-10-26"/>
    <x v="0"/>
    <x v="0"/>
    <n v="46"/>
    <x v="0"/>
    <n v="3.16"/>
    <n v="45.21"/>
    <s v="60850229"/>
  </r>
  <r>
    <x v="200"/>
    <s v="2021-10-26"/>
    <x v="0"/>
    <x v="0"/>
    <n v="45"/>
    <x v="7"/>
    <n v="3.08"/>
    <n v="43.86"/>
    <s v="92874270"/>
  </r>
  <r>
    <x v="200"/>
    <s v="2021-10-26"/>
    <x v="0"/>
    <x v="0"/>
    <n v="44"/>
    <x v="2"/>
    <n v="3.07"/>
    <n v="43.81"/>
    <s v="92228410"/>
  </r>
  <r>
    <x v="200"/>
    <s v="2021-10-26"/>
    <x v="0"/>
    <x v="0"/>
    <n v="43"/>
    <x v="1"/>
    <n v="3.07"/>
    <n v="43.79"/>
    <s v="01800019"/>
  </r>
  <r>
    <x v="200"/>
    <s v="2021-10-26"/>
    <x v="0"/>
    <x v="0"/>
    <n v="42"/>
    <x v="6"/>
    <n v="2.88"/>
    <n v="40.56"/>
    <s v="05676026"/>
  </r>
  <r>
    <x v="200"/>
    <s v="2021-10-26"/>
    <x v="0"/>
    <x v="0"/>
    <n v="41"/>
    <x v="19"/>
    <n v="2.63"/>
    <n v="36.61"/>
    <s v="92702067"/>
  </r>
  <r>
    <x v="200"/>
    <s v="2021-10-26"/>
    <x v="0"/>
    <x v="0"/>
    <n v="40"/>
    <x v="4"/>
    <n v="2.54"/>
    <n v="35.17"/>
    <s v="62232889"/>
  </r>
  <r>
    <x v="200"/>
    <s v="2021-10-26"/>
    <x v="0"/>
    <x v="0"/>
    <n v="39"/>
    <x v="5"/>
    <n v="2.52"/>
    <n v="34.81"/>
    <s v="80271455"/>
  </r>
  <r>
    <x v="200"/>
    <s v="2021-10-26"/>
    <x v="0"/>
    <x v="0"/>
    <n v="38"/>
    <x v="42"/>
    <n v="2.42"/>
    <n v="33.21"/>
    <s v="34991938"/>
  </r>
  <r>
    <x v="200"/>
    <s v="2021-10-26"/>
    <x v="0"/>
    <x v="0"/>
    <n v="37"/>
    <x v="45"/>
    <n v="2.34"/>
    <n v="32.03"/>
    <s v="33040601"/>
  </r>
  <r>
    <x v="200"/>
    <s v="2021-10-26"/>
    <x v="0"/>
    <x v="0"/>
    <n v="36"/>
    <x v="9"/>
    <n v="2.34"/>
    <n v="31.96"/>
    <s v="00411939"/>
  </r>
  <r>
    <x v="200"/>
    <s v="2021-10-26"/>
    <x v="0"/>
    <x v="0"/>
    <n v="35"/>
    <x v="8"/>
    <n v="2.3199999999999998"/>
    <n v="31.62"/>
    <s v="59285411"/>
  </r>
  <r>
    <x v="200"/>
    <s v="2021-10-26"/>
    <x v="0"/>
    <x v="0"/>
    <n v="34"/>
    <x v="10"/>
    <n v="2.2400000000000002"/>
    <n v="30.47"/>
    <s v="10371492"/>
  </r>
  <r>
    <x v="200"/>
    <s v="2021-10-26"/>
    <x v="0"/>
    <x v="0"/>
    <n v="33"/>
    <x v="13"/>
    <n v="2.0299999999999998"/>
    <n v="27.27"/>
    <s v="07707650"/>
  </r>
  <r>
    <x v="200"/>
    <s v="2021-10-26"/>
    <x v="0"/>
    <x v="0"/>
    <n v="32"/>
    <x v="24"/>
    <n v="2.0299999999999998"/>
    <n v="27.23"/>
    <s v="22639377"/>
  </r>
  <r>
    <x v="200"/>
    <s v="2021-10-26"/>
    <x v="0"/>
    <x v="0"/>
    <n v="31"/>
    <x v="15"/>
    <n v="1.94"/>
    <n v="25.95"/>
    <s v="59588111"/>
  </r>
  <r>
    <x v="200"/>
    <s v="2021-10-26"/>
    <x v="0"/>
    <x v="0"/>
    <n v="30"/>
    <x v="28"/>
    <n v="1.94"/>
    <n v="25.93"/>
    <s v="90400888"/>
  </r>
  <r>
    <x v="200"/>
    <s v="2021-10-26"/>
    <x v="0"/>
    <x v="0"/>
    <n v="29"/>
    <x v="16"/>
    <n v="1.84"/>
    <n v="24.5"/>
    <s v="07207996"/>
  </r>
  <r>
    <x v="200"/>
    <s v="2021-10-26"/>
    <x v="0"/>
    <x v="0"/>
    <n v="28"/>
    <x v="20"/>
    <n v="1.81"/>
    <n v="23.97"/>
    <s v="17192451"/>
  </r>
  <r>
    <x v="200"/>
    <s v="2021-10-26"/>
    <x v="0"/>
    <x v="0"/>
    <n v="27"/>
    <x v="51"/>
    <n v="1.76"/>
    <n v="23.24"/>
    <s v="62237425"/>
  </r>
  <r>
    <x v="200"/>
    <s v="2021-10-26"/>
    <x v="0"/>
    <x v="0"/>
    <n v="26"/>
    <x v="29"/>
    <n v="1.67"/>
    <n v="22.04"/>
    <s v="60746948"/>
  </r>
  <r>
    <x v="200"/>
    <s v="2021-10-26"/>
    <x v="0"/>
    <x v="0"/>
    <n v="25"/>
    <x v="21"/>
    <n v="1.67"/>
    <n v="21.99"/>
    <s v="03017677"/>
  </r>
  <r>
    <x v="200"/>
    <s v="2021-10-26"/>
    <x v="0"/>
    <x v="0"/>
    <n v="24"/>
    <x v="30"/>
    <n v="1.64"/>
    <n v="21.54"/>
    <s v="03502961"/>
  </r>
  <r>
    <x v="200"/>
    <s v="2021-10-26"/>
    <x v="0"/>
    <x v="0"/>
    <n v="23"/>
    <x v="11"/>
    <n v="1.64"/>
    <n v="21.54"/>
    <s v="03634220"/>
  </r>
  <r>
    <x v="200"/>
    <s v="2021-10-26"/>
    <x v="0"/>
    <x v="0"/>
    <n v="22"/>
    <x v="12"/>
    <n v="1.63"/>
    <n v="21.46"/>
    <s v="04862600"/>
  </r>
  <r>
    <x v="200"/>
    <s v="2021-10-26"/>
    <x v="0"/>
    <x v="0"/>
    <n v="21"/>
    <x v="32"/>
    <n v="1.62"/>
    <n v="21.22"/>
    <s v="60701190"/>
  </r>
  <r>
    <x v="200"/>
    <s v="2021-10-26"/>
    <x v="0"/>
    <x v="0"/>
    <n v="20"/>
    <x v="14"/>
    <n v="1.6"/>
    <n v="20.96"/>
    <s v="00360305"/>
  </r>
  <r>
    <x v="200"/>
    <s v="2021-10-26"/>
    <x v="0"/>
    <x v="0"/>
    <n v="19"/>
    <x v="25"/>
    <n v="1.57"/>
    <n v="20.6"/>
    <s v="59274605"/>
  </r>
  <r>
    <x v="200"/>
    <s v="2021-10-26"/>
    <x v="0"/>
    <x v="0"/>
    <n v="18"/>
    <x v="49"/>
    <n v="1.56"/>
    <n v="20.34"/>
    <s v="58160789"/>
  </r>
  <r>
    <x v="200"/>
    <s v="2021-10-26"/>
    <x v="0"/>
    <x v="0"/>
    <n v="17"/>
    <x v="26"/>
    <n v="1.55"/>
    <n v="20.309999999999999"/>
    <s v="30172491"/>
  </r>
  <r>
    <x v="200"/>
    <s v="2021-10-26"/>
    <x v="0"/>
    <x v="0"/>
    <n v="16"/>
    <x v="23"/>
    <n v="1.54"/>
    <n v="20.12"/>
    <s v="03215790"/>
  </r>
  <r>
    <x v="200"/>
    <s v="2021-10-26"/>
    <x v="0"/>
    <x v="0"/>
    <n v="15"/>
    <x v="27"/>
    <n v="1.45"/>
    <n v="18.89"/>
    <s v="00000000"/>
  </r>
  <r>
    <x v="200"/>
    <s v="2021-10-26"/>
    <x v="0"/>
    <x v="0"/>
    <n v="14"/>
    <x v="31"/>
    <n v="1.4"/>
    <n v="18.149999999999999"/>
    <s v="17167412"/>
  </r>
  <r>
    <x v="200"/>
    <s v="2021-10-26"/>
    <x v="0"/>
    <x v="0"/>
    <n v="13"/>
    <x v="33"/>
    <n v="1.39"/>
    <n v="18"/>
    <s v="62307848"/>
  </r>
  <r>
    <x v="200"/>
    <s v="2021-10-26"/>
    <x v="0"/>
    <x v="0"/>
    <n v="12"/>
    <x v="18"/>
    <n v="1.33"/>
    <n v="17.190000000000001"/>
    <s v="28127603"/>
  </r>
  <r>
    <x v="200"/>
    <s v="2021-10-26"/>
    <x v="0"/>
    <x v="0"/>
    <n v="11"/>
    <x v="34"/>
    <n v="1.32"/>
    <n v="17.059999999999999"/>
    <s v="33603457"/>
  </r>
  <r>
    <x v="200"/>
    <s v="2021-10-26"/>
    <x v="0"/>
    <x v="0"/>
    <n v="10"/>
    <x v="35"/>
    <n v="1.31"/>
    <n v="16.86"/>
    <s v="59109165"/>
  </r>
  <r>
    <x v="200"/>
    <s v="2021-10-26"/>
    <x v="0"/>
    <x v="0"/>
    <n v="9"/>
    <x v="43"/>
    <n v="1.29"/>
    <n v="16.600000000000001"/>
    <s v="07441209"/>
  </r>
  <r>
    <x v="200"/>
    <s v="2021-10-26"/>
    <x v="0"/>
    <x v="0"/>
    <n v="8"/>
    <x v="53"/>
    <n v="1.29"/>
    <n v="16.559999999999999"/>
    <s v="31872495"/>
  </r>
  <r>
    <x v="200"/>
    <s v="2021-10-26"/>
    <x v="0"/>
    <x v="0"/>
    <n v="7"/>
    <x v="37"/>
    <n v="1.28"/>
    <n v="16.55"/>
    <s v="04452473"/>
  </r>
  <r>
    <x v="200"/>
    <s v="2021-10-26"/>
    <x v="0"/>
    <x v="0"/>
    <n v="6"/>
    <x v="38"/>
    <n v="1.2"/>
    <n v="15.34"/>
    <s v="60814191"/>
  </r>
  <r>
    <x v="200"/>
    <s v="2021-10-26"/>
    <x v="0"/>
    <x v="0"/>
    <n v="5"/>
    <x v="36"/>
    <n v="1.18"/>
    <n v="15.07"/>
    <s v="33136888"/>
  </r>
  <r>
    <x v="200"/>
    <s v="2021-10-26"/>
    <x v="0"/>
    <x v="0"/>
    <n v="4"/>
    <x v="44"/>
    <n v="1.1299999999999999"/>
    <n v="14.48"/>
    <s v="58017179"/>
  </r>
  <r>
    <x v="200"/>
    <s v="2021-10-26"/>
    <x v="0"/>
    <x v="0"/>
    <n v="3"/>
    <x v="22"/>
    <n v="1.1299999999999999"/>
    <n v="14.46"/>
    <s v="11417016"/>
  </r>
  <r>
    <x v="200"/>
    <s v="2021-10-26"/>
    <x v="0"/>
    <x v="0"/>
    <n v="2"/>
    <x v="39"/>
    <n v="1.1100000000000001"/>
    <n v="14.14"/>
    <s v="04902979"/>
  </r>
  <r>
    <x v="200"/>
    <s v="2021-10-26"/>
    <x v="0"/>
    <x v="0"/>
    <n v="1"/>
    <x v="40"/>
    <n v="1.05"/>
    <n v="13.41"/>
    <s v="02992446"/>
  </r>
  <r>
    <x v="201"/>
    <s v="2021-10-27"/>
    <x v="0"/>
    <x v="0"/>
    <n v="45"/>
    <x v="3"/>
    <n v="3.37"/>
    <n v="48.85"/>
    <s v="05503849"/>
  </r>
  <r>
    <x v="201"/>
    <s v="2021-10-27"/>
    <x v="0"/>
    <x v="0"/>
    <n v="44"/>
    <x v="0"/>
    <n v="3.18"/>
    <n v="45.64"/>
    <s v="60850229"/>
  </r>
  <r>
    <x v="201"/>
    <s v="2021-10-27"/>
    <x v="0"/>
    <x v="0"/>
    <n v="43"/>
    <x v="7"/>
    <n v="3.07"/>
    <n v="43.77"/>
    <s v="92874270"/>
  </r>
  <r>
    <x v="201"/>
    <s v="2021-10-27"/>
    <x v="0"/>
    <x v="0"/>
    <n v="42"/>
    <x v="2"/>
    <n v="3.07"/>
    <n v="43.68"/>
    <s v="92228410"/>
  </r>
  <r>
    <x v="201"/>
    <s v="2021-10-27"/>
    <x v="0"/>
    <x v="0"/>
    <n v="41"/>
    <x v="1"/>
    <n v="3"/>
    <n v="42.56"/>
    <s v="01800019"/>
  </r>
  <r>
    <x v="201"/>
    <s v="2021-10-27"/>
    <x v="0"/>
    <x v="0"/>
    <n v="40"/>
    <x v="6"/>
    <n v="2.88"/>
    <n v="40.64"/>
    <s v="05676026"/>
  </r>
  <r>
    <x v="201"/>
    <s v="2021-10-27"/>
    <x v="0"/>
    <x v="0"/>
    <n v="39"/>
    <x v="5"/>
    <n v="2.5499999999999998"/>
    <n v="35.31"/>
    <s v="80271455"/>
  </r>
  <r>
    <x v="201"/>
    <s v="2021-10-27"/>
    <x v="0"/>
    <x v="0"/>
    <n v="38"/>
    <x v="4"/>
    <n v="2.5299999999999998"/>
    <n v="34.979999999999997"/>
    <s v="62232889"/>
  </r>
  <r>
    <x v="201"/>
    <s v="2021-10-27"/>
    <x v="0"/>
    <x v="0"/>
    <n v="37"/>
    <x v="19"/>
    <n v="2.4300000000000002"/>
    <n v="33.340000000000003"/>
    <s v="92702067"/>
  </r>
  <r>
    <x v="201"/>
    <s v="2021-10-27"/>
    <x v="0"/>
    <x v="0"/>
    <n v="36"/>
    <x v="42"/>
    <n v="2.4"/>
    <n v="32.93"/>
    <s v="34991938"/>
  </r>
  <r>
    <x v="201"/>
    <s v="2021-10-27"/>
    <x v="0"/>
    <x v="0"/>
    <n v="35"/>
    <x v="45"/>
    <n v="2.34"/>
    <n v="32.03"/>
    <s v="33040601"/>
  </r>
  <r>
    <x v="201"/>
    <s v="2021-10-27"/>
    <x v="0"/>
    <x v="0"/>
    <n v="34"/>
    <x v="9"/>
    <n v="2.34"/>
    <n v="32"/>
    <s v="00411939"/>
  </r>
  <r>
    <x v="201"/>
    <s v="2021-10-27"/>
    <x v="0"/>
    <x v="0"/>
    <n v="33"/>
    <x v="8"/>
    <n v="2.33"/>
    <n v="31.88"/>
    <s v="59285411"/>
  </r>
  <r>
    <x v="201"/>
    <s v="2021-10-27"/>
    <x v="0"/>
    <x v="0"/>
    <n v="32"/>
    <x v="10"/>
    <n v="2.25"/>
    <n v="30.56"/>
    <s v="10371492"/>
  </r>
  <r>
    <x v="201"/>
    <s v="2021-10-27"/>
    <x v="0"/>
    <x v="0"/>
    <n v="31"/>
    <x v="13"/>
    <n v="2.04"/>
    <n v="27.46"/>
    <s v="07707650"/>
  </r>
  <r>
    <x v="201"/>
    <s v="2021-10-27"/>
    <x v="0"/>
    <x v="0"/>
    <n v="30"/>
    <x v="24"/>
    <n v="2"/>
    <n v="26.89"/>
    <s v="22639377"/>
  </r>
  <r>
    <x v="201"/>
    <s v="2021-10-27"/>
    <x v="0"/>
    <x v="0"/>
    <n v="29"/>
    <x v="15"/>
    <n v="1.96"/>
    <n v="26.23"/>
    <s v="59588111"/>
  </r>
  <r>
    <x v="201"/>
    <s v="2021-10-27"/>
    <x v="0"/>
    <x v="0"/>
    <n v="28"/>
    <x v="28"/>
    <n v="1.88"/>
    <n v="25.05"/>
    <s v="90400888"/>
  </r>
  <r>
    <x v="201"/>
    <s v="2021-10-27"/>
    <x v="0"/>
    <x v="0"/>
    <n v="27"/>
    <x v="16"/>
    <n v="1.84"/>
    <n v="24.51"/>
    <s v="07207996"/>
  </r>
  <r>
    <x v="201"/>
    <s v="2021-10-27"/>
    <x v="0"/>
    <x v="0"/>
    <n v="26"/>
    <x v="20"/>
    <n v="1.82"/>
    <n v="24.17"/>
    <s v="17192451"/>
  </r>
  <r>
    <x v="201"/>
    <s v="2021-10-27"/>
    <x v="0"/>
    <x v="0"/>
    <n v="25"/>
    <x v="11"/>
    <n v="1.69"/>
    <n v="22.24"/>
    <s v="03634220"/>
  </r>
  <r>
    <x v="201"/>
    <s v="2021-10-27"/>
    <x v="0"/>
    <x v="0"/>
    <n v="24"/>
    <x v="21"/>
    <n v="1.68"/>
    <n v="22.11"/>
    <s v="03017677"/>
  </r>
  <r>
    <x v="201"/>
    <s v="2021-10-27"/>
    <x v="0"/>
    <x v="0"/>
    <n v="23"/>
    <x v="29"/>
    <n v="1.67"/>
    <n v="21.99"/>
    <s v="60746948"/>
  </r>
  <r>
    <x v="201"/>
    <s v="2021-10-27"/>
    <x v="0"/>
    <x v="0"/>
    <n v="22"/>
    <x v="32"/>
    <n v="1.66"/>
    <n v="21.91"/>
    <s v="60701190"/>
  </r>
  <r>
    <x v="201"/>
    <s v="2021-10-27"/>
    <x v="0"/>
    <x v="0"/>
    <n v="21"/>
    <x v="30"/>
    <n v="1.63"/>
    <n v="21.39"/>
    <s v="03502961"/>
  </r>
  <r>
    <x v="201"/>
    <s v="2021-10-27"/>
    <x v="0"/>
    <x v="0"/>
    <n v="20"/>
    <x v="12"/>
    <n v="1.61"/>
    <n v="21.07"/>
    <s v="04862600"/>
  </r>
  <r>
    <x v="201"/>
    <s v="2021-10-27"/>
    <x v="0"/>
    <x v="0"/>
    <n v="19"/>
    <x v="25"/>
    <n v="1.58"/>
    <n v="20.67"/>
    <s v="59274605"/>
  </r>
  <r>
    <x v="201"/>
    <s v="2021-10-27"/>
    <x v="0"/>
    <x v="0"/>
    <n v="18"/>
    <x v="49"/>
    <n v="1.56"/>
    <n v="20.34"/>
    <s v="58160789"/>
  </r>
  <r>
    <x v="201"/>
    <s v="2021-10-27"/>
    <x v="0"/>
    <x v="0"/>
    <n v="17"/>
    <x v="26"/>
    <n v="1.55"/>
    <n v="20.309999999999999"/>
    <s v="30172491"/>
  </r>
  <r>
    <x v="201"/>
    <s v="2021-10-27"/>
    <x v="0"/>
    <x v="0"/>
    <n v="16"/>
    <x v="23"/>
    <n v="1.54"/>
    <n v="20.14"/>
    <s v="03215790"/>
  </r>
  <r>
    <x v="201"/>
    <s v="2021-10-27"/>
    <x v="0"/>
    <x v="0"/>
    <n v="15"/>
    <x v="14"/>
    <n v="1.52"/>
    <n v="19.78"/>
    <s v="00360305"/>
  </r>
  <r>
    <x v="201"/>
    <s v="2021-10-27"/>
    <x v="0"/>
    <x v="0"/>
    <n v="14"/>
    <x v="27"/>
    <n v="1.45"/>
    <n v="18.82"/>
    <s v="00000000"/>
  </r>
  <r>
    <x v="201"/>
    <s v="2021-10-27"/>
    <x v="0"/>
    <x v="0"/>
    <n v="13"/>
    <x v="18"/>
    <n v="1.41"/>
    <n v="18.28"/>
    <s v="28127603"/>
  </r>
  <r>
    <x v="201"/>
    <s v="2021-10-27"/>
    <x v="0"/>
    <x v="0"/>
    <n v="12"/>
    <x v="31"/>
    <n v="1.41"/>
    <n v="18.260000000000002"/>
    <s v="17167412"/>
  </r>
  <r>
    <x v="201"/>
    <s v="2021-10-27"/>
    <x v="0"/>
    <x v="0"/>
    <n v="11"/>
    <x v="33"/>
    <n v="1.39"/>
    <n v="17.98"/>
    <s v="62307848"/>
  </r>
  <r>
    <x v="201"/>
    <s v="2021-10-27"/>
    <x v="0"/>
    <x v="0"/>
    <n v="10"/>
    <x v="38"/>
    <n v="1.35"/>
    <n v="17.39"/>
    <s v="60814191"/>
  </r>
  <r>
    <x v="201"/>
    <s v="2021-10-27"/>
    <x v="0"/>
    <x v="0"/>
    <n v="9"/>
    <x v="35"/>
    <n v="1.32"/>
    <n v="16.97"/>
    <s v="59109165"/>
  </r>
  <r>
    <x v="201"/>
    <s v="2021-10-27"/>
    <x v="0"/>
    <x v="0"/>
    <n v="8"/>
    <x v="34"/>
    <n v="1.31"/>
    <n v="16.95"/>
    <s v="33603457"/>
  </r>
  <r>
    <x v="201"/>
    <s v="2021-10-27"/>
    <x v="0"/>
    <x v="0"/>
    <n v="7"/>
    <x v="53"/>
    <n v="1.29"/>
    <n v="16.559999999999999"/>
    <s v="31872495"/>
  </r>
  <r>
    <x v="201"/>
    <s v="2021-10-27"/>
    <x v="0"/>
    <x v="0"/>
    <n v="6"/>
    <x v="37"/>
    <n v="1.28"/>
    <n v="16.54"/>
    <s v="04452473"/>
  </r>
  <r>
    <x v="201"/>
    <s v="2021-10-27"/>
    <x v="0"/>
    <x v="0"/>
    <n v="5"/>
    <x v="36"/>
    <n v="1.18"/>
    <n v="15.07"/>
    <s v="33136888"/>
  </r>
  <r>
    <x v="201"/>
    <s v="2021-10-27"/>
    <x v="0"/>
    <x v="0"/>
    <n v="4"/>
    <x v="22"/>
    <n v="1.1299999999999999"/>
    <n v="14.5"/>
    <s v="11417016"/>
  </r>
  <r>
    <x v="201"/>
    <s v="2021-10-27"/>
    <x v="0"/>
    <x v="0"/>
    <n v="3"/>
    <x v="39"/>
    <n v="1.1100000000000001"/>
    <n v="14.14"/>
    <s v="04902979"/>
  </r>
  <r>
    <x v="201"/>
    <s v="2021-10-27"/>
    <x v="0"/>
    <x v="0"/>
    <n v="2"/>
    <x v="44"/>
    <n v="1.1100000000000001"/>
    <n v="14.12"/>
    <s v="58017179"/>
  </r>
  <r>
    <x v="201"/>
    <s v="2021-10-27"/>
    <x v="0"/>
    <x v="0"/>
    <n v="1"/>
    <x v="40"/>
    <n v="1.04"/>
    <n v="13.24"/>
    <s v="02992446"/>
  </r>
  <r>
    <x v="202"/>
    <s v="2021-10-28"/>
    <x v="0"/>
    <x v="0"/>
    <n v="46"/>
    <x v="3"/>
    <n v="3.42"/>
    <n v="49.66"/>
    <s v="05503849"/>
  </r>
  <r>
    <x v="202"/>
    <s v="2021-10-28"/>
    <x v="0"/>
    <x v="0"/>
    <n v="45"/>
    <x v="0"/>
    <n v="3.25"/>
    <n v="46.79"/>
    <s v="60850229"/>
  </r>
  <r>
    <x v="202"/>
    <s v="2021-10-28"/>
    <x v="0"/>
    <x v="0"/>
    <n v="44"/>
    <x v="7"/>
    <n v="3.08"/>
    <n v="43.84"/>
    <s v="92874270"/>
  </r>
  <r>
    <x v="202"/>
    <s v="2021-10-28"/>
    <x v="0"/>
    <x v="0"/>
    <n v="43"/>
    <x v="2"/>
    <n v="3.04"/>
    <n v="43.25"/>
    <s v="92228410"/>
  </r>
  <r>
    <x v="202"/>
    <s v="2021-10-28"/>
    <x v="0"/>
    <x v="0"/>
    <n v="42"/>
    <x v="1"/>
    <n v="3"/>
    <n v="42.62"/>
    <s v="01800019"/>
  </r>
  <r>
    <x v="202"/>
    <s v="2021-10-28"/>
    <x v="0"/>
    <x v="0"/>
    <n v="41"/>
    <x v="6"/>
    <n v="2.91"/>
    <n v="41.16"/>
    <s v="05676026"/>
  </r>
  <r>
    <x v="202"/>
    <s v="2021-10-28"/>
    <x v="0"/>
    <x v="0"/>
    <n v="40"/>
    <x v="4"/>
    <n v="2.5299999999999998"/>
    <n v="35"/>
    <s v="62232889"/>
  </r>
  <r>
    <x v="202"/>
    <s v="2021-10-28"/>
    <x v="0"/>
    <x v="0"/>
    <n v="39"/>
    <x v="5"/>
    <n v="2.5299999999999998"/>
    <n v="34.950000000000003"/>
    <s v="80271455"/>
  </r>
  <r>
    <x v="202"/>
    <s v="2021-10-28"/>
    <x v="0"/>
    <x v="0"/>
    <n v="38"/>
    <x v="19"/>
    <n v="2.4300000000000002"/>
    <n v="33.340000000000003"/>
    <s v="92702067"/>
  </r>
  <r>
    <x v="202"/>
    <s v="2021-10-28"/>
    <x v="0"/>
    <x v="0"/>
    <n v="37"/>
    <x v="42"/>
    <n v="2.42"/>
    <n v="33.25"/>
    <s v="34991938"/>
  </r>
  <r>
    <x v="202"/>
    <s v="2021-10-28"/>
    <x v="0"/>
    <x v="0"/>
    <n v="36"/>
    <x v="8"/>
    <n v="2.35"/>
    <n v="32.130000000000003"/>
    <s v="59285411"/>
  </r>
  <r>
    <x v="202"/>
    <s v="2021-10-28"/>
    <x v="0"/>
    <x v="0"/>
    <n v="35"/>
    <x v="45"/>
    <n v="2.34"/>
    <n v="32.03"/>
    <s v="33040601"/>
  </r>
  <r>
    <x v="202"/>
    <s v="2021-10-28"/>
    <x v="0"/>
    <x v="0"/>
    <n v="34"/>
    <x v="9"/>
    <n v="2.29"/>
    <n v="31.28"/>
    <s v="00411939"/>
  </r>
  <r>
    <x v="202"/>
    <s v="2021-10-28"/>
    <x v="0"/>
    <x v="0"/>
    <n v="33"/>
    <x v="10"/>
    <n v="2.25"/>
    <n v="30.66"/>
    <s v="10371492"/>
  </r>
  <r>
    <x v="202"/>
    <s v="2021-10-28"/>
    <x v="0"/>
    <x v="0"/>
    <n v="32"/>
    <x v="13"/>
    <n v="2.04"/>
    <n v="27.48"/>
    <s v="07707650"/>
  </r>
  <r>
    <x v="202"/>
    <s v="2021-10-28"/>
    <x v="0"/>
    <x v="0"/>
    <n v="31"/>
    <x v="24"/>
    <n v="2.04"/>
    <n v="27.39"/>
    <s v="22639377"/>
  </r>
  <r>
    <x v="202"/>
    <s v="2021-10-28"/>
    <x v="0"/>
    <x v="0"/>
    <n v="30"/>
    <x v="15"/>
    <n v="2"/>
    <n v="26.82"/>
    <s v="59588111"/>
  </r>
  <r>
    <x v="202"/>
    <s v="2021-10-28"/>
    <x v="0"/>
    <x v="0"/>
    <n v="29"/>
    <x v="16"/>
    <n v="1.84"/>
    <n v="24.48"/>
    <s v="07207996"/>
  </r>
  <r>
    <x v="202"/>
    <s v="2021-10-28"/>
    <x v="0"/>
    <x v="0"/>
    <n v="28"/>
    <x v="20"/>
    <n v="1.84"/>
    <n v="24.41"/>
    <s v="17192451"/>
  </r>
  <r>
    <x v="202"/>
    <s v="2021-10-28"/>
    <x v="0"/>
    <x v="0"/>
    <n v="27"/>
    <x v="28"/>
    <n v="1.81"/>
    <n v="23.99"/>
    <s v="90400888"/>
  </r>
  <r>
    <x v="202"/>
    <s v="2021-10-28"/>
    <x v="0"/>
    <x v="0"/>
    <n v="26"/>
    <x v="29"/>
    <n v="1.71"/>
    <n v="22.53"/>
    <s v="60746948"/>
  </r>
  <r>
    <x v="202"/>
    <s v="2021-10-28"/>
    <x v="0"/>
    <x v="0"/>
    <n v="25"/>
    <x v="21"/>
    <n v="1.69"/>
    <n v="22.32"/>
    <s v="03017677"/>
  </r>
  <r>
    <x v="202"/>
    <s v="2021-10-28"/>
    <x v="0"/>
    <x v="0"/>
    <n v="24"/>
    <x v="11"/>
    <n v="1.69"/>
    <n v="22.32"/>
    <s v="03634220"/>
  </r>
  <r>
    <x v="202"/>
    <s v="2021-10-28"/>
    <x v="0"/>
    <x v="0"/>
    <n v="23"/>
    <x v="32"/>
    <n v="1.67"/>
    <n v="21.97"/>
    <s v="60701190"/>
  </r>
  <r>
    <x v="202"/>
    <s v="2021-10-28"/>
    <x v="0"/>
    <x v="0"/>
    <n v="22"/>
    <x v="49"/>
    <n v="1.63"/>
    <n v="21.45"/>
    <s v="58160789"/>
  </r>
  <r>
    <x v="202"/>
    <s v="2021-10-28"/>
    <x v="0"/>
    <x v="0"/>
    <n v="21"/>
    <x v="30"/>
    <n v="1.63"/>
    <n v="21.37"/>
    <s v="03502961"/>
  </r>
  <r>
    <x v="202"/>
    <s v="2021-10-28"/>
    <x v="0"/>
    <x v="0"/>
    <n v="20"/>
    <x v="25"/>
    <n v="1.58"/>
    <n v="20.7"/>
    <s v="59274605"/>
  </r>
  <r>
    <x v="202"/>
    <s v="2021-10-28"/>
    <x v="0"/>
    <x v="0"/>
    <n v="19"/>
    <x v="12"/>
    <n v="1.58"/>
    <n v="20.67"/>
    <s v="04862600"/>
  </r>
  <r>
    <x v="202"/>
    <s v="2021-10-28"/>
    <x v="0"/>
    <x v="0"/>
    <n v="18"/>
    <x v="26"/>
    <n v="1.56"/>
    <n v="20.34"/>
    <s v="30172491"/>
  </r>
  <r>
    <x v="202"/>
    <s v="2021-10-28"/>
    <x v="0"/>
    <x v="0"/>
    <n v="17"/>
    <x v="23"/>
    <n v="1.55"/>
    <n v="20.27"/>
    <s v="03215790"/>
  </r>
  <r>
    <x v="202"/>
    <s v="2021-10-28"/>
    <x v="0"/>
    <x v="0"/>
    <n v="16"/>
    <x v="14"/>
    <n v="1.5"/>
    <n v="19.53"/>
    <s v="00360305"/>
  </r>
  <r>
    <x v="202"/>
    <s v="2021-10-28"/>
    <x v="0"/>
    <x v="0"/>
    <n v="15"/>
    <x v="18"/>
    <n v="1.45"/>
    <n v="18.899999999999999"/>
    <s v="28127603"/>
  </r>
  <r>
    <x v="202"/>
    <s v="2021-10-28"/>
    <x v="0"/>
    <x v="0"/>
    <n v="14"/>
    <x v="27"/>
    <n v="1.44"/>
    <n v="18.78"/>
    <s v="00000000"/>
  </r>
  <r>
    <x v="202"/>
    <s v="2021-10-28"/>
    <x v="0"/>
    <x v="0"/>
    <n v="13"/>
    <x v="31"/>
    <n v="1.42"/>
    <n v="18.37"/>
    <s v="17167412"/>
  </r>
  <r>
    <x v="202"/>
    <s v="2021-10-28"/>
    <x v="0"/>
    <x v="0"/>
    <n v="12"/>
    <x v="33"/>
    <n v="1.4"/>
    <n v="18.09"/>
    <s v="62307848"/>
  </r>
  <r>
    <x v="202"/>
    <s v="2021-10-28"/>
    <x v="0"/>
    <x v="0"/>
    <n v="11"/>
    <x v="34"/>
    <n v="1.34"/>
    <n v="17.38"/>
    <s v="33603457"/>
  </r>
  <r>
    <x v="202"/>
    <s v="2021-10-28"/>
    <x v="0"/>
    <x v="0"/>
    <n v="10"/>
    <x v="38"/>
    <n v="1.34"/>
    <n v="17.329999999999998"/>
    <s v="60814191"/>
  </r>
  <r>
    <x v="202"/>
    <s v="2021-10-28"/>
    <x v="0"/>
    <x v="0"/>
    <n v="9"/>
    <x v="35"/>
    <n v="1.32"/>
    <n v="16.98"/>
    <s v="59109165"/>
  </r>
  <r>
    <x v="202"/>
    <s v="2021-10-28"/>
    <x v="0"/>
    <x v="0"/>
    <n v="8"/>
    <x v="53"/>
    <n v="1.29"/>
    <n v="16.59"/>
    <s v="31872495"/>
  </r>
  <r>
    <x v="202"/>
    <s v="2021-10-28"/>
    <x v="0"/>
    <x v="0"/>
    <n v="7"/>
    <x v="37"/>
    <n v="1.28"/>
    <n v="16.52"/>
    <s v="04452473"/>
  </r>
  <r>
    <x v="202"/>
    <s v="2021-10-28"/>
    <x v="0"/>
    <x v="0"/>
    <n v="6"/>
    <x v="36"/>
    <n v="1.19"/>
    <n v="15.28"/>
    <s v="33136888"/>
  </r>
  <r>
    <x v="202"/>
    <s v="2021-10-28"/>
    <x v="0"/>
    <x v="0"/>
    <n v="5"/>
    <x v="47"/>
    <n v="1.19"/>
    <n v="15.19"/>
    <s v="28517628"/>
  </r>
  <r>
    <x v="202"/>
    <s v="2021-10-28"/>
    <x v="0"/>
    <x v="0"/>
    <n v="4"/>
    <x v="40"/>
    <n v="1.1499999999999999"/>
    <n v="14.77"/>
    <s v="02992446"/>
  </r>
  <r>
    <x v="202"/>
    <s v="2021-10-28"/>
    <x v="0"/>
    <x v="0"/>
    <n v="3"/>
    <x v="22"/>
    <n v="1.1399999999999999"/>
    <n v="14.55"/>
    <s v="11417016"/>
  </r>
  <r>
    <x v="202"/>
    <s v="2021-10-28"/>
    <x v="0"/>
    <x v="0"/>
    <n v="2"/>
    <x v="44"/>
    <n v="1.1299999999999999"/>
    <n v="14.49"/>
    <s v="58017179"/>
  </r>
  <r>
    <x v="202"/>
    <s v="2021-10-28"/>
    <x v="0"/>
    <x v="0"/>
    <n v="1"/>
    <x v="39"/>
    <n v="1.1100000000000001"/>
    <n v="14.14"/>
    <s v="04902979"/>
  </r>
  <r>
    <x v="203"/>
    <s v="2021-10-29"/>
    <x v="0"/>
    <x v="0"/>
    <n v="46"/>
    <x v="3"/>
    <n v="3.41"/>
    <n v="49.53"/>
    <s v="05503849"/>
  </r>
  <r>
    <x v="203"/>
    <s v="2021-10-29"/>
    <x v="0"/>
    <x v="0"/>
    <n v="45"/>
    <x v="0"/>
    <n v="3.18"/>
    <n v="45.51"/>
    <s v="60850229"/>
  </r>
  <r>
    <x v="203"/>
    <s v="2021-10-29"/>
    <x v="0"/>
    <x v="0"/>
    <n v="44"/>
    <x v="7"/>
    <n v="3.08"/>
    <n v="43.85"/>
    <s v="92874270"/>
  </r>
  <r>
    <x v="203"/>
    <s v="2021-10-29"/>
    <x v="0"/>
    <x v="0"/>
    <n v="43"/>
    <x v="2"/>
    <n v="3.03"/>
    <n v="42.99"/>
    <s v="92228410"/>
  </r>
  <r>
    <x v="203"/>
    <s v="2021-10-29"/>
    <x v="0"/>
    <x v="0"/>
    <n v="42"/>
    <x v="1"/>
    <n v="2.96"/>
    <n v="41.84"/>
    <s v="01800019"/>
  </r>
  <r>
    <x v="203"/>
    <s v="2021-10-29"/>
    <x v="0"/>
    <x v="0"/>
    <n v="41"/>
    <x v="6"/>
    <n v="2.91"/>
    <n v="41.16"/>
    <s v="05676026"/>
  </r>
  <r>
    <x v="203"/>
    <s v="2021-10-29"/>
    <x v="0"/>
    <x v="0"/>
    <n v="40"/>
    <x v="4"/>
    <n v="2.54"/>
    <n v="35.04"/>
    <s v="62232889"/>
  </r>
  <r>
    <x v="203"/>
    <s v="2021-10-29"/>
    <x v="0"/>
    <x v="0"/>
    <n v="39"/>
    <x v="5"/>
    <n v="2.4300000000000002"/>
    <n v="33.409999999999997"/>
    <s v="80271455"/>
  </r>
  <r>
    <x v="203"/>
    <s v="2021-10-29"/>
    <x v="0"/>
    <x v="0"/>
    <n v="38"/>
    <x v="19"/>
    <n v="2.4300000000000002"/>
    <n v="33.340000000000003"/>
    <s v="92702067"/>
  </r>
  <r>
    <x v="203"/>
    <s v="2021-10-29"/>
    <x v="0"/>
    <x v="0"/>
    <n v="37"/>
    <x v="42"/>
    <n v="2.39"/>
    <n v="32.770000000000003"/>
    <s v="34991938"/>
  </r>
  <r>
    <x v="203"/>
    <s v="2021-10-29"/>
    <x v="0"/>
    <x v="0"/>
    <n v="36"/>
    <x v="8"/>
    <n v="2.37"/>
    <n v="32.380000000000003"/>
    <s v="59285411"/>
  </r>
  <r>
    <x v="203"/>
    <s v="2021-10-29"/>
    <x v="0"/>
    <x v="0"/>
    <n v="35"/>
    <x v="9"/>
    <n v="2.31"/>
    <n v="31.45"/>
    <s v="00411939"/>
  </r>
  <r>
    <x v="203"/>
    <s v="2021-10-29"/>
    <x v="0"/>
    <x v="0"/>
    <n v="34"/>
    <x v="10"/>
    <n v="2.25"/>
    <n v="30.67"/>
    <s v="10371492"/>
  </r>
  <r>
    <x v="203"/>
    <s v="2021-10-29"/>
    <x v="0"/>
    <x v="0"/>
    <n v="33"/>
    <x v="46"/>
    <n v="2.2000000000000002"/>
    <n v="29.86"/>
    <s v="11760553"/>
  </r>
  <r>
    <x v="203"/>
    <s v="2021-10-29"/>
    <x v="0"/>
    <x v="0"/>
    <n v="32"/>
    <x v="13"/>
    <n v="2.04"/>
    <n v="27.48"/>
    <s v="07707650"/>
  </r>
  <r>
    <x v="203"/>
    <s v="2021-10-29"/>
    <x v="0"/>
    <x v="0"/>
    <n v="31"/>
    <x v="15"/>
    <n v="2.04"/>
    <n v="27.41"/>
    <s v="59588111"/>
  </r>
  <r>
    <x v="203"/>
    <s v="2021-10-29"/>
    <x v="0"/>
    <x v="0"/>
    <n v="30"/>
    <x v="24"/>
    <n v="2.02"/>
    <n v="27.18"/>
    <s v="22639377"/>
  </r>
  <r>
    <x v="203"/>
    <s v="2021-10-29"/>
    <x v="0"/>
    <x v="0"/>
    <n v="29"/>
    <x v="28"/>
    <n v="1.86"/>
    <n v="24.74"/>
    <s v="90400888"/>
  </r>
  <r>
    <x v="203"/>
    <s v="2021-10-29"/>
    <x v="0"/>
    <x v="0"/>
    <n v="28"/>
    <x v="20"/>
    <n v="1.85"/>
    <n v="24.65"/>
    <s v="17192451"/>
  </r>
  <r>
    <x v="203"/>
    <s v="2021-10-29"/>
    <x v="0"/>
    <x v="0"/>
    <n v="27"/>
    <x v="16"/>
    <n v="1.84"/>
    <n v="24.41"/>
    <s v="07207996"/>
  </r>
  <r>
    <x v="203"/>
    <s v="2021-10-29"/>
    <x v="0"/>
    <x v="0"/>
    <n v="26"/>
    <x v="11"/>
    <n v="1.75"/>
    <n v="23.12"/>
    <s v="03634220"/>
  </r>
  <r>
    <x v="203"/>
    <s v="2021-10-29"/>
    <x v="0"/>
    <x v="0"/>
    <n v="25"/>
    <x v="29"/>
    <n v="1.7"/>
    <n v="22.42"/>
    <s v="60746948"/>
  </r>
  <r>
    <x v="203"/>
    <s v="2021-10-29"/>
    <x v="0"/>
    <x v="0"/>
    <n v="24"/>
    <x v="21"/>
    <n v="1.69"/>
    <n v="22.26"/>
    <s v="03017677"/>
  </r>
  <r>
    <x v="203"/>
    <s v="2021-10-29"/>
    <x v="0"/>
    <x v="0"/>
    <n v="23"/>
    <x v="32"/>
    <n v="1.69"/>
    <n v="22.26"/>
    <s v="60701190"/>
  </r>
  <r>
    <x v="203"/>
    <s v="2021-10-29"/>
    <x v="0"/>
    <x v="0"/>
    <n v="22"/>
    <x v="30"/>
    <n v="1.64"/>
    <n v="21.57"/>
    <s v="03502961"/>
  </r>
  <r>
    <x v="203"/>
    <s v="2021-10-29"/>
    <x v="0"/>
    <x v="0"/>
    <n v="21"/>
    <x v="49"/>
    <n v="1.63"/>
    <n v="21.45"/>
    <s v="58160789"/>
  </r>
  <r>
    <x v="203"/>
    <s v="2021-10-29"/>
    <x v="0"/>
    <x v="0"/>
    <n v="20"/>
    <x v="25"/>
    <n v="1.59"/>
    <n v="20.77"/>
    <s v="59274605"/>
  </r>
  <r>
    <x v="203"/>
    <s v="2021-10-29"/>
    <x v="0"/>
    <x v="0"/>
    <n v="19"/>
    <x v="12"/>
    <n v="1.57"/>
    <n v="20.52"/>
    <s v="04862600"/>
  </r>
  <r>
    <x v="203"/>
    <s v="2021-10-29"/>
    <x v="0"/>
    <x v="0"/>
    <n v="18"/>
    <x v="26"/>
    <n v="1.56"/>
    <n v="20.399999999999999"/>
    <s v="30172491"/>
  </r>
  <r>
    <x v="203"/>
    <s v="2021-10-29"/>
    <x v="0"/>
    <x v="0"/>
    <n v="17"/>
    <x v="23"/>
    <n v="1.55"/>
    <n v="20.309999999999999"/>
    <s v="03215790"/>
  </r>
  <r>
    <x v="203"/>
    <s v="2021-10-29"/>
    <x v="0"/>
    <x v="0"/>
    <n v="16"/>
    <x v="14"/>
    <n v="1.51"/>
    <n v="19.63"/>
    <s v="00360305"/>
  </r>
  <r>
    <x v="203"/>
    <s v="2021-10-29"/>
    <x v="0"/>
    <x v="0"/>
    <n v="15"/>
    <x v="18"/>
    <n v="1.5"/>
    <n v="19.510000000000002"/>
    <s v="28127603"/>
  </r>
  <r>
    <x v="203"/>
    <s v="2021-10-29"/>
    <x v="0"/>
    <x v="0"/>
    <n v="14"/>
    <x v="27"/>
    <n v="1.45"/>
    <n v="18.899999999999999"/>
    <s v="00000000"/>
  </r>
  <r>
    <x v="203"/>
    <s v="2021-10-29"/>
    <x v="0"/>
    <x v="0"/>
    <n v="13"/>
    <x v="31"/>
    <n v="1.42"/>
    <n v="18.41"/>
    <s v="17167412"/>
  </r>
  <r>
    <x v="203"/>
    <s v="2021-10-29"/>
    <x v="0"/>
    <x v="0"/>
    <n v="12"/>
    <x v="33"/>
    <n v="1.4"/>
    <n v="18.170000000000002"/>
    <s v="62307848"/>
  </r>
  <r>
    <x v="203"/>
    <s v="2021-10-29"/>
    <x v="0"/>
    <x v="0"/>
    <n v="11"/>
    <x v="38"/>
    <n v="1.38"/>
    <n v="17.940000000000001"/>
    <s v="60814191"/>
  </r>
  <r>
    <x v="203"/>
    <s v="2021-10-29"/>
    <x v="0"/>
    <x v="0"/>
    <n v="10"/>
    <x v="34"/>
    <n v="1.36"/>
    <n v="17.62"/>
    <s v="33603457"/>
  </r>
  <r>
    <x v="203"/>
    <s v="2021-10-29"/>
    <x v="0"/>
    <x v="0"/>
    <n v="9"/>
    <x v="35"/>
    <n v="1.32"/>
    <n v="17.09"/>
    <s v="59109165"/>
  </r>
  <r>
    <x v="203"/>
    <s v="2021-10-29"/>
    <x v="0"/>
    <x v="0"/>
    <n v="8"/>
    <x v="53"/>
    <n v="1.29"/>
    <n v="16.62"/>
    <s v="31872495"/>
  </r>
  <r>
    <x v="203"/>
    <s v="2021-10-29"/>
    <x v="0"/>
    <x v="0"/>
    <n v="7"/>
    <x v="37"/>
    <n v="1.28"/>
    <n v="16.510000000000002"/>
    <s v="04452473"/>
  </r>
  <r>
    <x v="203"/>
    <s v="2021-10-29"/>
    <x v="0"/>
    <x v="0"/>
    <n v="6"/>
    <x v="36"/>
    <n v="1.19"/>
    <n v="15.28"/>
    <s v="33136888"/>
  </r>
  <r>
    <x v="203"/>
    <s v="2021-10-29"/>
    <x v="0"/>
    <x v="0"/>
    <n v="5"/>
    <x v="47"/>
    <n v="1.18"/>
    <n v="15.06"/>
    <s v="28517628"/>
  </r>
  <r>
    <x v="203"/>
    <s v="2021-10-29"/>
    <x v="0"/>
    <x v="0"/>
    <n v="4"/>
    <x v="40"/>
    <n v="1.1499999999999999"/>
    <n v="14.69"/>
    <s v="02992446"/>
  </r>
  <r>
    <x v="203"/>
    <s v="2021-10-29"/>
    <x v="0"/>
    <x v="0"/>
    <n v="3"/>
    <x v="22"/>
    <n v="1.1399999999999999"/>
    <n v="14.55"/>
    <s v="11417016"/>
  </r>
  <r>
    <x v="203"/>
    <s v="2021-10-29"/>
    <x v="0"/>
    <x v="0"/>
    <n v="2"/>
    <x v="44"/>
    <n v="1.1100000000000001"/>
    <n v="14.18"/>
    <s v="58017179"/>
  </r>
  <r>
    <x v="203"/>
    <s v="2021-10-29"/>
    <x v="0"/>
    <x v="0"/>
    <n v="1"/>
    <x v="39"/>
    <n v="1.1100000000000001"/>
    <n v="14.14"/>
    <s v="04902979"/>
  </r>
  <r>
    <x v="204"/>
    <s v="2021-11-01"/>
    <x v="0"/>
    <x v="0"/>
    <n v="45"/>
    <x v="3"/>
    <n v="3.37"/>
    <n v="48.83"/>
    <s v="05503849"/>
  </r>
  <r>
    <x v="204"/>
    <s v="2021-11-01"/>
    <x v="0"/>
    <x v="0"/>
    <n v="44"/>
    <x v="0"/>
    <n v="3.18"/>
    <n v="45.55"/>
    <s v="60850229"/>
  </r>
  <r>
    <x v="204"/>
    <s v="2021-11-01"/>
    <x v="0"/>
    <x v="0"/>
    <n v="43"/>
    <x v="7"/>
    <n v="3.07"/>
    <n v="43.68"/>
    <s v="92874270"/>
  </r>
  <r>
    <x v="204"/>
    <s v="2021-11-01"/>
    <x v="0"/>
    <x v="0"/>
    <n v="42"/>
    <x v="2"/>
    <n v="3.03"/>
    <n v="43.04"/>
    <s v="92228410"/>
  </r>
  <r>
    <x v="204"/>
    <s v="2021-11-01"/>
    <x v="0"/>
    <x v="0"/>
    <n v="41"/>
    <x v="1"/>
    <n v="3"/>
    <n v="42.62"/>
    <s v="01800019"/>
  </r>
  <r>
    <x v="204"/>
    <s v="2021-11-01"/>
    <x v="0"/>
    <x v="0"/>
    <n v="40"/>
    <x v="6"/>
    <n v="2.92"/>
    <n v="41.23"/>
    <s v="05676026"/>
  </r>
  <r>
    <x v="204"/>
    <s v="2021-11-01"/>
    <x v="0"/>
    <x v="0"/>
    <n v="39"/>
    <x v="4"/>
    <n v="2.54"/>
    <n v="35.14"/>
    <s v="62232889"/>
  </r>
  <r>
    <x v="204"/>
    <s v="2021-11-01"/>
    <x v="0"/>
    <x v="0"/>
    <n v="38"/>
    <x v="5"/>
    <n v="2.52"/>
    <n v="34.82"/>
    <s v="80271455"/>
  </r>
  <r>
    <x v="204"/>
    <s v="2021-11-01"/>
    <x v="0"/>
    <x v="0"/>
    <n v="37"/>
    <x v="8"/>
    <n v="2.4300000000000002"/>
    <n v="33.33"/>
    <s v="59285411"/>
  </r>
  <r>
    <x v="204"/>
    <s v="2021-11-01"/>
    <x v="0"/>
    <x v="0"/>
    <n v="36"/>
    <x v="42"/>
    <n v="2.39"/>
    <n v="32.83"/>
    <s v="34991938"/>
  </r>
  <r>
    <x v="204"/>
    <s v="2021-11-01"/>
    <x v="0"/>
    <x v="0"/>
    <n v="35"/>
    <x v="9"/>
    <n v="2.2999999999999998"/>
    <n v="31.35"/>
    <s v="00411939"/>
  </r>
  <r>
    <x v="204"/>
    <s v="2021-11-01"/>
    <x v="0"/>
    <x v="0"/>
    <n v="34"/>
    <x v="10"/>
    <n v="2.2599999999999998"/>
    <n v="30.68"/>
    <s v="10371492"/>
  </r>
  <r>
    <x v="204"/>
    <s v="2021-11-01"/>
    <x v="0"/>
    <x v="0"/>
    <n v="33"/>
    <x v="46"/>
    <n v="2.2000000000000002"/>
    <n v="29.86"/>
    <s v="11760553"/>
  </r>
  <r>
    <x v="204"/>
    <s v="2021-11-01"/>
    <x v="0"/>
    <x v="0"/>
    <n v="32"/>
    <x v="19"/>
    <n v="2.16"/>
    <n v="29.22"/>
    <s v="92702067"/>
  </r>
  <r>
    <x v="204"/>
    <s v="2021-11-01"/>
    <x v="0"/>
    <x v="0"/>
    <n v="31"/>
    <x v="13"/>
    <n v="2.06"/>
    <n v="27.69"/>
    <s v="07707650"/>
  </r>
  <r>
    <x v="204"/>
    <s v="2021-11-01"/>
    <x v="0"/>
    <x v="0"/>
    <n v="30"/>
    <x v="15"/>
    <n v="2.02"/>
    <n v="27.15"/>
    <s v="59588111"/>
  </r>
  <r>
    <x v="204"/>
    <s v="2021-11-01"/>
    <x v="0"/>
    <x v="0"/>
    <n v="29"/>
    <x v="24"/>
    <n v="2"/>
    <n v="26.88"/>
    <s v="22639377"/>
  </r>
  <r>
    <x v="204"/>
    <s v="2021-11-01"/>
    <x v="0"/>
    <x v="0"/>
    <n v="28"/>
    <x v="28"/>
    <n v="1.9"/>
    <n v="25.28"/>
    <s v="90400888"/>
  </r>
  <r>
    <x v="204"/>
    <s v="2021-11-01"/>
    <x v="0"/>
    <x v="0"/>
    <n v="27"/>
    <x v="20"/>
    <n v="1.89"/>
    <n v="25.15"/>
    <s v="17192451"/>
  </r>
  <r>
    <x v="204"/>
    <s v="2021-11-01"/>
    <x v="0"/>
    <x v="0"/>
    <n v="26"/>
    <x v="16"/>
    <n v="1.83"/>
    <n v="24.38"/>
    <s v="07207996"/>
  </r>
  <r>
    <x v="204"/>
    <s v="2021-11-01"/>
    <x v="0"/>
    <x v="0"/>
    <n v="25"/>
    <x v="11"/>
    <n v="1.74"/>
    <n v="22.99"/>
    <s v="03634220"/>
  </r>
  <r>
    <x v="204"/>
    <s v="2021-11-01"/>
    <x v="0"/>
    <x v="0"/>
    <n v="24"/>
    <x v="29"/>
    <n v="1.72"/>
    <n v="22.76"/>
    <s v="60746948"/>
  </r>
  <r>
    <x v="204"/>
    <s v="2021-11-01"/>
    <x v="0"/>
    <x v="0"/>
    <n v="23"/>
    <x v="32"/>
    <n v="1.72"/>
    <n v="22.74"/>
    <s v="60701190"/>
  </r>
  <r>
    <x v="204"/>
    <s v="2021-11-01"/>
    <x v="0"/>
    <x v="0"/>
    <n v="22"/>
    <x v="21"/>
    <n v="1.7"/>
    <n v="22.42"/>
    <s v="03017677"/>
  </r>
  <r>
    <x v="204"/>
    <s v="2021-11-01"/>
    <x v="0"/>
    <x v="0"/>
    <n v="21"/>
    <x v="49"/>
    <n v="1.66"/>
    <n v="21.89"/>
    <s v="58160789"/>
  </r>
  <r>
    <x v="204"/>
    <s v="2021-11-01"/>
    <x v="0"/>
    <x v="0"/>
    <n v="20"/>
    <x v="30"/>
    <n v="1.64"/>
    <n v="21.57"/>
    <s v="03502961"/>
  </r>
  <r>
    <x v="204"/>
    <s v="2021-11-01"/>
    <x v="0"/>
    <x v="0"/>
    <n v="19"/>
    <x v="18"/>
    <n v="1.61"/>
    <n v="21.08"/>
    <s v="28127603"/>
  </r>
  <r>
    <x v="204"/>
    <s v="2021-11-01"/>
    <x v="0"/>
    <x v="0"/>
    <n v="18"/>
    <x v="26"/>
    <n v="1.58"/>
    <n v="20.62"/>
    <s v="30172491"/>
  </r>
  <r>
    <x v="204"/>
    <s v="2021-11-01"/>
    <x v="0"/>
    <x v="0"/>
    <n v="17"/>
    <x v="25"/>
    <n v="1.58"/>
    <n v="20.62"/>
    <s v="59274605"/>
  </r>
  <r>
    <x v="204"/>
    <s v="2021-11-01"/>
    <x v="0"/>
    <x v="0"/>
    <n v="16"/>
    <x v="12"/>
    <n v="1.57"/>
    <n v="20.54"/>
    <s v="04862600"/>
  </r>
  <r>
    <x v="204"/>
    <s v="2021-11-01"/>
    <x v="0"/>
    <x v="0"/>
    <n v="15"/>
    <x v="23"/>
    <n v="1.55"/>
    <n v="20.239999999999998"/>
    <s v="03215790"/>
  </r>
  <r>
    <x v="204"/>
    <s v="2021-11-01"/>
    <x v="0"/>
    <x v="0"/>
    <n v="14"/>
    <x v="14"/>
    <n v="1.47"/>
    <n v="19.18"/>
    <s v="00360305"/>
  </r>
  <r>
    <x v="204"/>
    <s v="2021-11-01"/>
    <x v="0"/>
    <x v="0"/>
    <n v="13"/>
    <x v="27"/>
    <n v="1.45"/>
    <n v="18.920000000000002"/>
    <s v="00000000"/>
  </r>
  <r>
    <x v="204"/>
    <s v="2021-11-01"/>
    <x v="0"/>
    <x v="0"/>
    <n v="12"/>
    <x v="31"/>
    <n v="1.42"/>
    <n v="18.46"/>
    <s v="17167412"/>
  </r>
  <r>
    <x v="204"/>
    <s v="2021-11-01"/>
    <x v="0"/>
    <x v="0"/>
    <n v="11"/>
    <x v="33"/>
    <n v="1.41"/>
    <n v="18.29"/>
    <s v="62307848"/>
  </r>
  <r>
    <x v="204"/>
    <s v="2021-11-01"/>
    <x v="0"/>
    <x v="0"/>
    <n v="10"/>
    <x v="34"/>
    <n v="1.36"/>
    <n v="17.59"/>
    <s v="33603457"/>
  </r>
  <r>
    <x v="204"/>
    <s v="2021-11-01"/>
    <x v="0"/>
    <x v="0"/>
    <n v="9"/>
    <x v="38"/>
    <n v="1.34"/>
    <n v="17.28"/>
    <s v="60814191"/>
  </r>
  <r>
    <x v="204"/>
    <s v="2021-11-01"/>
    <x v="0"/>
    <x v="0"/>
    <n v="8"/>
    <x v="36"/>
    <n v="1.32"/>
    <n v="17.11"/>
    <s v="33136888"/>
  </r>
  <r>
    <x v="204"/>
    <s v="2021-11-01"/>
    <x v="0"/>
    <x v="0"/>
    <n v="7"/>
    <x v="35"/>
    <n v="1.32"/>
    <n v="16.989999999999998"/>
    <s v="59109165"/>
  </r>
  <r>
    <x v="204"/>
    <s v="2021-11-01"/>
    <x v="0"/>
    <x v="0"/>
    <n v="6"/>
    <x v="53"/>
    <n v="1.31"/>
    <n v="16.84"/>
    <s v="31872495"/>
  </r>
  <r>
    <x v="204"/>
    <s v="2021-11-01"/>
    <x v="0"/>
    <x v="0"/>
    <n v="5"/>
    <x v="37"/>
    <n v="1.28"/>
    <n v="16.55"/>
    <s v="04452473"/>
  </r>
  <r>
    <x v="204"/>
    <s v="2021-11-01"/>
    <x v="0"/>
    <x v="0"/>
    <n v="4"/>
    <x v="22"/>
    <n v="1.21"/>
    <n v="15.47"/>
    <s v="11417016"/>
  </r>
  <r>
    <x v="204"/>
    <s v="2021-11-01"/>
    <x v="0"/>
    <x v="0"/>
    <n v="3"/>
    <x v="47"/>
    <n v="1.18"/>
    <n v="15.06"/>
    <s v="28517628"/>
  </r>
  <r>
    <x v="204"/>
    <s v="2021-11-01"/>
    <x v="0"/>
    <x v="0"/>
    <n v="2"/>
    <x v="40"/>
    <n v="1.1499999999999999"/>
    <n v="14.69"/>
    <s v="02992446"/>
  </r>
  <r>
    <x v="204"/>
    <s v="2021-11-01"/>
    <x v="0"/>
    <x v="0"/>
    <n v="1"/>
    <x v="44"/>
    <n v="1.1100000000000001"/>
    <n v="14.18"/>
    <s v="58017179"/>
  </r>
  <r>
    <x v="205"/>
    <s v="2021-11-03"/>
    <x v="0"/>
    <x v="0"/>
    <n v="46"/>
    <x v="3"/>
    <n v="3.36"/>
    <n v="48.68"/>
    <s v="05503849"/>
  </r>
  <r>
    <x v="205"/>
    <s v="2021-11-03"/>
    <x v="0"/>
    <x v="0"/>
    <n v="45"/>
    <x v="0"/>
    <n v="3.19"/>
    <n v="45.69"/>
    <s v="60850229"/>
  </r>
  <r>
    <x v="205"/>
    <s v="2021-11-03"/>
    <x v="0"/>
    <x v="0"/>
    <n v="44"/>
    <x v="7"/>
    <n v="3.07"/>
    <n v="43.71"/>
    <s v="92874270"/>
  </r>
  <r>
    <x v="205"/>
    <s v="2021-11-03"/>
    <x v="0"/>
    <x v="0"/>
    <n v="43"/>
    <x v="2"/>
    <n v="3.02"/>
    <n v="42.92"/>
    <s v="92228410"/>
  </r>
  <r>
    <x v="205"/>
    <s v="2021-11-03"/>
    <x v="0"/>
    <x v="0"/>
    <n v="42"/>
    <x v="1"/>
    <n v="3"/>
    <n v="42.51"/>
    <s v="01800019"/>
  </r>
  <r>
    <x v="205"/>
    <s v="2021-11-03"/>
    <x v="0"/>
    <x v="0"/>
    <n v="41"/>
    <x v="6"/>
    <n v="2.92"/>
    <n v="41.2"/>
    <s v="05676026"/>
  </r>
  <r>
    <x v="205"/>
    <s v="2021-11-03"/>
    <x v="0"/>
    <x v="0"/>
    <n v="40"/>
    <x v="4"/>
    <n v="2.5499999999999998"/>
    <n v="35.29"/>
    <s v="62232889"/>
  </r>
  <r>
    <x v="205"/>
    <s v="2021-11-03"/>
    <x v="0"/>
    <x v="0"/>
    <n v="39"/>
    <x v="8"/>
    <n v="2.4700000000000002"/>
    <n v="33.950000000000003"/>
    <s v="59285411"/>
  </r>
  <r>
    <x v="205"/>
    <s v="2021-11-03"/>
    <x v="0"/>
    <x v="0"/>
    <n v="38"/>
    <x v="5"/>
    <n v="2.44"/>
    <n v="33.51"/>
    <s v="80271455"/>
  </r>
  <r>
    <x v="205"/>
    <s v="2021-11-03"/>
    <x v="0"/>
    <x v="0"/>
    <n v="37"/>
    <x v="42"/>
    <n v="2.35"/>
    <n v="32.07"/>
    <s v="34991938"/>
  </r>
  <r>
    <x v="205"/>
    <s v="2021-11-03"/>
    <x v="0"/>
    <x v="0"/>
    <n v="36"/>
    <x v="9"/>
    <n v="2.34"/>
    <n v="32"/>
    <s v="00411939"/>
  </r>
  <r>
    <x v="205"/>
    <s v="2021-11-03"/>
    <x v="0"/>
    <x v="0"/>
    <n v="35"/>
    <x v="10"/>
    <n v="2.2599999999999998"/>
    <n v="30.77"/>
    <s v="10371492"/>
  </r>
  <r>
    <x v="205"/>
    <s v="2021-11-03"/>
    <x v="0"/>
    <x v="0"/>
    <n v="34"/>
    <x v="46"/>
    <n v="2.2000000000000002"/>
    <n v="29.86"/>
    <s v="11760553"/>
  </r>
  <r>
    <x v="205"/>
    <s v="2021-11-03"/>
    <x v="0"/>
    <x v="0"/>
    <n v="33"/>
    <x v="15"/>
    <n v="2.1"/>
    <n v="28.37"/>
    <s v="59588111"/>
  </r>
  <r>
    <x v="205"/>
    <s v="2021-11-03"/>
    <x v="0"/>
    <x v="0"/>
    <n v="32"/>
    <x v="13"/>
    <n v="2.08"/>
    <n v="27.94"/>
    <s v="07707650"/>
  </r>
  <r>
    <x v="205"/>
    <s v="2021-11-03"/>
    <x v="0"/>
    <x v="0"/>
    <n v="31"/>
    <x v="24"/>
    <n v="2.04"/>
    <n v="27.4"/>
    <s v="22639377"/>
  </r>
  <r>
    <x v="205"/>
    <s v="2021-11-03"/>
    <x v="0"/>
    <x v="0"/>
    <n v="30"/>
    <x v="49"/>
    <n v="1.92"/>
    <n v="25.7"/>
    <s v="58160789"/>
  </r>
  <r>
    <x v="205"/>
    <s v="2021-11-03"/>
    <x v="0"/>
    <x v="0"/>
    <n v="29"/>
    <x v="20"/>
    <n v="1.92"/>
    <n v="25.57"/>
    <s v="17192451"/>
  </r>
  <r>
    <x v="205"/>
    <s v="2021-11-03"/>
    <x v="0"/>
    <x v="0"/>
    <n v="28"/>
    <x v="28"/>
    <n v="1.88"/>
    <n v="25.04"/>
    <s v="90400888"/>
  </r>
  <r>
    <x v="205"/>
    <s v="2021-11-03"/>
    <x v="0"/>
    <x v="0"/>
    <n v="27"/>
    <x v="16"/>
    <n v="1.85"/>
    <n v="24.6"/>
    <s v="07207996"/>
  </r>
  <r>
    <x v="205"/>
    <s v="2021-11-03"/>
    <x v="0"/>
    <x v="0"/>
    <n v="26"/>
    <x v="19"/>
    <n v="1.76"/>
    <n v="23.34"/>
    <s v="92702067"/>
  </r>
  <r>
    <x v="205"/>
    <s v="2021-11-03"/>
    <x v="0"/>
    <x v="0"/>
    <n v="25"/>
    <x v="32"/>
    <n v="1.76"/>
    <n v="23.31"/>
    <s v="60701190"/>
  </r>
  <r>
    <x v="205"/>
    <s v="2021-11-03"/>
    <x v="0"/>
    <x v="0"/>
    <n v="24"/>
    <x v="11"/>
    <n v="1.75"/>
    <n v="23.09"/>
    <s v="03634220"/>
  </r>
  <r>
    <x v="205"/>
    <s v="2021-11-03"/>
    <x v="0"/>
    <x v="0"/>
    <n v="23"/>
    <x v="29"/>
    <n v="1.73"/>
    <n v="22.78"/>
    <s v="60746948"/>
  </r>
  <r>
    <x v="205"/>
    <s v="2021-11-03"/>
    <x v="0"/>
    <x v="0"/>
    <n v="22"/>
    <x v="21"/>
    <n v="1.71"/>
    <n v="22.62"/>
    <s v="03017677"/>
  </r>
  <r>
    <x v="205"/>
    <s v="2021-11-03"/>
    <x v="0"/>
    <x v="0"/>
    <n v="21"/>
    <x v="30"/>
    <n v="1.66"/>
    <n v="21.82"/>
    <s v="03502961"/>
  </r>
  <r>
    <x v="205"/>
    <s v="2021-11-03"/>
    <x v="0"/>
    <x v="0"/>
    <n v="20"/>
    <x v="26"/>
    <n v="1.59"/>
    <n v="20.9"/>
    <s v="30172491"/>
  </r>
  <r>
    <x v="205"/>
    <s v="2021-11-03"/>
    <x v="0"/>
    <x v="0"/>
    <n v="19"/>
    <x v="25"/>
    <n v="1.58"/>
    <n v="20.62"/>
    <s v="59274605"/>
  </r>
  <r>
    <x v="205"/>
    <s v="2021-11-03"/>
    <x v="0"/>
    <x v="0"/>
    <n v="18"/>
    <x v="12"/>
    <n v="1.57"/>
    <n v="20.59"/>
    <s v="04862600"/>
  </r>
  <r>
    <x v="205"/>
    <s v="2021-11-03"/>
    <x v="0"/>
    <x v="0"/>
    <n v="17"/>
    <x v="18"/>
    <n v="1.57"/>
    <n v="20.59"/>
    <s v="28127603"/>
  </r>
  <r>
    <x v="205"/>
    <s v="2021-11-03"/>
    <x v="0"/>
    <x v="0"/>
    <n v="16"/>
    <x v="23"/>
    <n v="1.55"/>
    <n v="20.260000000000002"/>
    <s v="03215790"/>
  </r>
  <r>
    <x v="205"/>
    <s v="2021-11-03"/>
    <x v="0"/>
    <x v="0"/>
    <n v="15"/>
    <x v="43"/>
    <n v="1.49"/>
    <n v="19.48"/>
    <s v="07441209"/>
  </r>
  <r>
    <x v="205"/>
    <s v="2021-11-03"/>
    <x v="0"/>
    <x v="0"/>
    <n v="14"/>
    <x v="27"/>
    <n v="1.46"/>
    <n v="19.04"/>
    <s v="00000000"/>
  </r>
  <r>
    <x v="205"/>
    <s v="2021-11-03"/>
    <x v="0"/>
    <x v="0"/>
    <n v="13"/>
    <x v="31"/>
    <n v="1.44"/>
    <n v="18.72"/>
    <s v="17167412"/>
  </r>
  <r>
    <x v="205"/>
    <s v="2021-11-03"/>
    <x v="0"/>
    <x v="0"/>
    <n v="12"/>
    <x v="33"/>
    <n v="1.43"/>
    <n v="18.55"/>
    <s v="62307848"/>
  </r>
  <r>
    <x v="205"/>
    <s v="2021-11-03"/>
    <x v="0"/>
    <x v="0"/>
    <n v="11"/>
    <x v="14"/>
    <n v="1.43"/>
    <n v="18.52"/>
    <s v="00360305"/>
  </r>
  <r>
    <x v="205"/>
    <s v="2021-11-03"/>
    <x v="0"/>
    <x v="0"/>
    <n v="10"/>
    <x v="34"/>
    <n v="1.37"/>
    <n v="17.73"/>
    <s v="33603457"/>
  </r>
  <r>
    <x v="205"/>
    <s v="2021-11-03"/>
    <x v="0"/>
    <x v="0"/>
    <n v="9"/>
    <x v="38"/>
    <n v="1.33"/>
    <n v="17.21"/>
    <s v="60814191"/>
  </r>
  <r>
    <x v="205"/>
    <s v="2021-11-03"/>
    <x v="0"/>
    <x v="0"/>
    <n v="8"/>
    <x v="53"/>
    <n v="1.33"/>
    <n v="17.18"/>
    <s v="31872495"/>
  </r>
  <r>
    <x v="205"/>
    <s v="2021-11-03"/>
    <x v="0"/>
    <x v="0"/>
    <n v="7"/>
    <x v="35"/>
    <n v="1.32"/>
    <n v="17.07"/>
    <s v="59109165"/>
  </r>
  <r>
    <x v="205"/>
    <s v="2021-11-03"/>
    <x v="0"/>
    <x v="0"/>
    <n v="6"/>
    <x v="37"/>
    <n v="1.29"/>
    <n v="16.62"/>
    <s v="04452473"/>
  </r>
  <r>
    <x v="205"/>
    <s v="2021-11-03"/>
    <x v="0"/>
    <x v="0"/>
    <n v="5"/>
    <x v="22"/>
    <n v="1.26"/>
    <n v="16.190000000000001"/>
    <s v="11417016"/>
  </r>
  <r>
    <x v="205"/>
    <s v="2021-11-03"/>
    <x v="0"/>
    <x v="0"/>
    <n v="4"/>
    <x v="36"/>
    <n v="1.23"/>
    <n v="15.86"/>
    <s v="33136888"/>
  </r>
  <r>
    <x v="205"/>
    <s v="2021-11-03"/>
    <x v="0"/>
    <x v="0"/>
    <n v="3"/>
    <x v="40"/>
    <n v="1.21"/>
    <n v="15.59"/>
    <s v="02992446"/>
  </r>
  <r>
    <x v="205"/>
    <s v="2021-11-03"/>
    <x v="0"/>
    <x v="0"/>
    <n v="2"/>
    <x v="47"/>
    <n v="1.18"/>
    <n v="15.06"/>
    <s v="28517628"/>
  </r>
  <r>
    <x v="205"/>
    <s v="2021-11-03"/>
    <x v="0"/>
    <x v="0"/>
    <n v="1"/>
    <x v="44"/>
    <n v="1.0900000000000001"/>
    <n v="13.83"/>
    <s v="58017179"/>
  </r>
  <r>
    <x v="206"/>
    <s v="2021-11-04"/>
    <x v="0"/>
    <x v="0"/>
    <n v="46"/>
    <x v="3"/>
    <n v="3.41"/>
    <n v="49.59"/>
    <s v="05503849"/>
  </r>
  <r>
    <x v="206"/>
    <s v="2021-11-04"/>
    <x v="0"/>
    <x v="0"/>
    <n v="45"/>
    <x v="0"/>
    <n v="3.15"/>
    <n v="45.08"/>
    <s v="60850229"/>
  </r>
  <r>
    <x v="206"/>
    <s v="2021-11-04"/>
    <x v="0"/>
    <x v="0"/>
    <n v="44"/>
    <x v="7"/>
    <n v="3.07"/>
    <n v="43.79"/>
    <s v="92874270"/>
  </r>
  <r>
    <x v="206"/>
    <s v="2021-11-04"/>
    <x v="0"/>
    <x v="0"/>
    <n v="43"/>
    <x v="1"/>
    <n v="3.03"/>
    <n v="43.09"/>
    <s v="01800019"/>
  </r>
  <r>
    <x v="206"/>
    <s v="2021-11-04"/>
    <x v="0"/>
    <x v="0"/>
    <n v="42"/>
    <x v="2"/>
    <n v="3.03"/>
    <n v="43.04"/>
    <s v="92228410"/>
  </r>
  <r>
    <x v="206"/>
    <s v="2021-11-04"/>
    <x v="0"/>
    <x v="0"/>
    <n v="41"/>
    <x v="6"/>
    <n v="2.91"/>
    <n v="41.06"/>
    <s v="05676026"/>
  </r>
  <r>
    <x v="206"/>
    <s v="2021-11-04"/>
    <x v="0"/>
    <x v="0"/>
    <n v="40"/>
    <x v="4"/>
    <n v="2.56"/>
    <n v="35.44"/>
    <s v="62232889"/>
  </r>
  <r>
    <x v="206"/>
    <s v="2021-11-04"/>
    <x v="0"/>
    <x v="0"/>
    <n v="39"/>
    <x v="8"/>
    <n v="2.4900000000000002"/>
    <n v="34.380000000000003"/>
    <s v="59285411"/>
  </r>
  <r>
    <x v="206"/>
    <s v="2021-11-04"/>
    <x v="0"/>
    <x v="0"/>
    <n v="38"/>
    <x v="5"/>
    <n v="2.44"/>
    <n v="33.5"/>
    <s v="80271455"/>
  </r>
  <r>
    <x v="206"/>
    <s v="2021-11-04"/>
    <x v="0"/>
    <x v="0"/>
    <n v="37"/>
    <x v="42"/>
    <n v="2.39"/>
    <n v="32.76"/>
    <s v="34991938"/>
  </r>
  <r>
    <x v="206"/>
    <s v="2021-11-04"/>
    <x v="0"/>
    <x v="0"/>
    <n v="36"/>
    <x v="9"/>
    <n v="2.31"/>
    <n v="31.45"/>
    <s v="00411939"/>
  </r>
  <r>
    <x v="206"/>
    <s v="2021-11-04"/>
    <x v="0"/>
    <x v="0"/>
    <n v="35"/>
    <x v="10"/>
    <n v="2.2599999999999998"/>
    <n v="30.7"/>
    <s v="10371492"/>
  </r>
  <r>
    <x v="206"/>
    <s v="2021-11-04"/>
    <x v="0"/>
    <x v="0"/>
    <n v="34"/>
    <x v="46"/>
    <n v="2.2000000000000002"/>
    <n v="29.86"/>
    <s v="11760553"/>
  </r>
  <r>
    <x v="206"/>
    <s v="2021-11-04"/>
    <x v="0"/>
    <x v="0"/>
    <n v="33"/>
    <x v="15"/>
    <n v="2.14"/>
    <n v="28.89"/>
    <s v="59588111"/>
  </r>
  <r>
    <x v="206"/>
    <s v="2021-11-04"/>
    <x v="0"/>
    <x v="0"/>
    <n v="32"/>
    <x v="13"/>
    <n v="2.09"/>
    <n v="28.22"/>
    <s v="07707650"/>
  </r>
  <r>
    <x v="206"/>
    <s v="2021-11-04"/>
    <x v="0"/>
    <x v="0"/>
    <n v="31"/>
    <x v="24"/>
    <n v="2.08"/>
    <n v="27.95"/>
    <s v="22639377"/>
  </r>
  <r>
    <x v="206"/>
    <s v="2021-11-04"/>
    <x v="0"/>
    <x v="0"/>
    <n v="30"/>
    <x v="20"/>
    <n v="1.95"/>
    <n v="26.03"/>
    <s v="17192451"/>
  </r>
  <r>
    <x v="206"/>
    <s v="2021-11-04"/>
    <x v="0"/>
    <x v="0"/>
    <n v="29"/>
    <x v="49"/>
    <n v="1.92"/>
    <n v="25.7"/>
    <s v="58160789"/>
  </r>
  <r>
    <x v="206"/>
    <s v="2021-11-04"/>
    <x v="0"/>
    <x v="0"/>
    <n v="28"/>
    <x v="19"/>
    <n v="1.87"/>
    <n v="24.86"/>
    <s v="92702067"/>
  </r>
  <r>
    <x v="206"/>
    <s v="2021-11-04"/>
    <x v="0"/>
    <x v="0"/>
    <n v="27"/>
    <x v="16"/>
    <n v="1.87"/>
    <n v="24.85"/>
    <s v="07207996"/>
  </r>
  <r>
    <x v="206"/>
    <s v="2021-11-04"/>
    <x v="0"/>
    <x v="0"/>
    <n v="26"/>
    <x v="28"/>
    <n v="1.85"/>
    <n v="24.57"/>
    <s v="90400888"/>
  </r>
  <r>
    <x v="206"/>
    <s v="2021-11-04"/>
    <x v="0"/>
    <x v="0"/>
    <n v="25"/>
    <x v="32"/>
    <n v="1.78"/>
    <n v="23.63"/>
    <s v="60701190"/>
  </r>
  <r>
    <x v="206"/>
    <s v="2021-11-04"/>
    <x v="0"/>
    <x v="0"/>
    <n v="24"/>
    <x v="11"/>
    <n v="1.76"/>
    <n v="23.31"/>
    <s v="03634220"/>
  </r>
  <r>
    <x v="206"/>
    <s v="2021-11-04"/>
    <x v="0"/>
    <x v="0"/>
    <n v="23"/>
    <x v="29"/>
    <n v="1.76"/>
    <n v="23.25"/>
    <s v="60746948"/>
  </r>
  <r>
    <x v="206"/>
    <s v="2021-11-04"/>
    <x v="0"/>
    <x v="0"/>
    <n v="22"/>
    <x v="21"/>
    <n v="1.74"/>
    <n v="22.94"/>
    <s v="03017677"/>
  </r>
  <r>
    <x v="206"/>
    <s v="2021-11-04"/>
    <x v="0"/>
    <x v="0"/>
    <n v="21"/>
    <x v="30"/>
    <n v="1.67"/>
    <n v="22.02"/>
    <s v="03502961"/>
  </r>
  <r>
    <x v="206"/>
    <s v="2021-11-04"/>
    <x v="0"/>
    <x v="0"/>
    <n v="20"/>
    <x v="26"/>
    <n v="1.61"/>
    <n v="21.05"/>
    <s v="30172491"/>
  </r>
  <r>
    <x v="206"/>
    <s v="2021-11-04"/>
    <x v="0"/>
    <x v="0"/>
    <n v="19"/>
    <x v="18"/>
    <n v="1.58"/>
    <n v="20.72"/>
    <s v="28127603"/>
  </r>
  <r>
    <x v="206"/>
    <s v="2021-11-04"/>
    <x v="0"/>
    <x v="0"/>
    <n v="18"/>
    <x v="25"/>
    <n v="1.57"/>
    <n v="20.55"/>
    <s v="59274605"/>
  </r>
  <r>
    <x v="206"/>
    <s v="2021-11-04"/>
    <x v="0"/>
    <x v="0"/>
    <n v="17"/>
    <x v="12"/>
    <n v="1.57"/>
    <n v="20.5"/>
    <s v="04862600"/>
  </r>
  <r>
    <x v="206"/>
    <s v="2021-11-04"/>
    <x v="0"/>
    <x v="0"/>
    <n v="16"/>
    <x v="23"/>
    <n v="1.56"/>
    <n v="20.41"/>
    <s v="03215790"/>
  </r>
  <r>
    <x v="206"/>
    <s v="2021-11-04"/>
    <x v="0"/>
    <x v="0"/>
    <n v="15"/>
    <x v="43"/>
    <n v="1.49"/>
    <n v="19.48"/>
    <s v="07441209"/>
  </r>
  <r>
    <x v="206"/>
    <s v="2021-11-04"/>
    <x v="0"/>
    <x v="0"/>
    <n v="14"/>
    <x v="27"/>
    <n v="1.47"/>
    <n v="19.09"/>
    <s v="00000000"/>
  </r>
  <r>
    <x v="206"/>
    <s v="2021-11-04"/>
    <x v="0"/>
    <x v="0"/>
    <n v="13"/>
    <x v="31"/>
    <n v="1.44"/>
    <n v="18.739999999999998"/>
    <s v="17167412"/>
  </r>
  <r>
    <x v="206"/>
    <s v="2021-11-04"/>
    <x v="0"/>
    <x v="0"/>
    <n v="12"/>
    <x v="14"/>
    <n v="1.44"/>
    <n v="18.71"/>
    <s v="00360305"/>
  </r>
  <r>
    <x v="206"/>
    <s v="2021-11-04"/>
    <x v="0"/>
    <x v="0"/>
    <n v="11"/>
    <x v="33"/>
    <n v="1.44"/>
    <n v="18.66"/>
    <s v="62307848"/>
  </r>
  <r>
    <x v="206"/>
    <s v="2021-11-04"/>
    <x v="0"/>
    <x v="0"/>
    <n v="10"/>
    <x v="34"/>
    <n v="1.42"/>
    <n v="18.47"/>
    <s v="33603457"/>
  </r>
  <r>
    <x v="206"/>
    <s v="2021-11-04"/>
    <x v="0"/>
    <x v="0"/>
    <n v="9"/>
    <x v="53"/>
    <n v="1.39"/>
    <n v="18"/>
    <s v="31872495"/>
  </r>
  <r>
    <x v="206"/>
    <s v="2021-11-04"/>
    <x v="0"/>
    <x v="0"/>
    <n v="8"/>
    <x v="35"/>
    <n v="1.33"/>
    <n v="17.14"/>
    <s v="59109165"/>
  </r>
  <r>
    <x v="206"/>
    <s v="2021-11-04"/>
    <x v="0"/>
    <x v="0"/>
    <n v="7"/>
    <x v="37"/>
    <n v="1.29"/>
    <n v="16.649999999999999"/>
    <s v="04452473"/>
  </r>
  <r>
    <x v="206"/>
    <s v="2021-11-04"/>
    <x v="0"/>
    <x v="0"/>
    <n v="6"/>
    <x v="44"/>
    <n v="1.27"/>
    <n v="16.350000000000001"/>
    <s v="58017179"/>
  </r>
  <r>
    <x v="206"/>
    <s v="2021-11-04"/>
    <x v="0"/>
    <x v="0"/>
    <n v="5"/>
    <x v="22"/>
    <n v="1.26"/>
    <n v="16.2"/>
    <s v="11417016"/>
  </r>
  <r>
    <x v="206"/>
    <s v="2021-11-04"/>
    <x v="0"/>
    <x v="0"/>
    <n v="4"/>
    <x v="38"/>
    <n v="1.24"/>
    <n v="15.91"/>
    <s v="60814191"/>
  </r>
  <r>
    <x v="206"/>
    <s v="2021-11-04"/>
    <x v="0"/>
    <x v="0"/>
    <n v="3"/>
    <x v="36"/>
    <n v="1.23"/>
    <n v="15.86"/>
    <s v="33136888"/>
  </r>
  <r>
    <x v="206"/>
    <s v="2021-11-04"/>
    <x v="0"/>
    <x v="0"/>
    <n v="2"/>
    <x v="40"/>
    <n v="1.19"/>
    <n v="15.3"/>
    <s v="02992446"/>
  </r>
  <r>
    <x v="206"/>
    <s v="2021-11-04"/>
    <x v="0"/>
    <x v="0"/>
    <n v="1"/>
    <x v="47"/>
    <n v="1.18"/>
    <n v="15.06"/>
    <s v="28517628"/>
  </r>
  <r>
    <x v="207"/>
    <s v="2021-11-05"/>
    <x v="0"/>
    <x v="0"/>
    <n v="46"/>
    <x v="3"/>
    <n v="3.36"/>
    <n v="48.62"/>
    <s v="05503849"/>
  </r>
  <r>
    <x v="207"/>
    <s v="2021-11-05"/>
    <x v="0"/>
    <x v="0"/>
    <n v="45"/>
    <x v="0"/>
    <n v="3.13"/>
    <n v="44.73"/>
    <s v="60850229"/>
  </r>
  <r>
    <x v="207"/>
    <s v="2021-11-05"/>
    <x v="0"/>
    <x v="0"/>
    <n v="44"/>
    <x v="7"/>
    <n v="3.07"/>
    <n v="43.66"/>
    <s v="92874270"/>
  </r>
  <r>
    <x v="207"/>
    <s v="2021-11-05"/>
    <x v="0"/>
    <x v="0"/>
    <n v="43"/>
    <x v="2"/>
    <n v="3.05"/>
    <n v="43.44"/>
    <s v="92228410"/>
  </r>
  <r>
    <x v="207"/>
    <s v="2021-11-05"/>
    <x v="0"/>
    <x v="0"/>
    <n v="42"/>
    <x v="1"/>
    <n v="2.97"/>
    <n v="42.06"/>
    <s v="01800019"/>
  </r>
  <r>
    <x v="207"/>
    <s v="2021-11-05"/>
    <x v="0"/>
    <x v="0"/>
    <n v="41"/>
    <x v="6"/>
    <n v="2.91"/>
    <n v="41.12"/>
    <s v="05676026"/>
  </r>
  <r>
    <x v="207"/>
    <s v="2021-11-05"/>
    <x v="0"/>
    <x v="0"/>
    <n v="40"/>
    <x v="4"/>
    <n v="2.57"/>
    <n v="35.53"/>
    <s v="62232889"/>
  </r>
  <r>
    <x v="207"/>
    <s v="2021-11-05"/>
    <x v="0"/>
    <x v="0"/>
    <n v="39"/>
    <x v="8"/>
    <n v="2.5299999999999998"/>
    <n v="34.94"/>
    <s v="59285411"/>
  </r>
  <r>
    <x v="207"/>
    <s v="2021-11-05"/>
    <x v="0"/>
    <x v="0"/>
    <n v="38"/>
    <x v="42"/>
    <n v="2.39"/>
    <n v="32.770000000000003"/>
    <s v="34991938"/>
  </r>
  <r>
    <x v="207"/>
    <s v="2021-11-05"/>
    <x v="0"/>
    <x v="0"/>
    <n v="37"/>
    <x v="5"/>
    <n v="2.35"/>
    <n v="32.090000000000003"/>
    <s v="80271455"/>
  </r>
  <r>
    <x v="207"/>
    <s v="2021-11-05"/>
    <x v="0"/>
    <x v="0"/>
    <n v="36"/>
    <x v="9"/>
    <n v="2.35"/>
    <n v="32.08"/>
    <s v="00411939"/>
  </r>
  <r>
    <x v="207"/>
    <s v="2021-11-05"/>
    <x v="0"/>
    <x v="0"/>
    <n v="35"/>
    <x v="10"/>
    <n v="2.2599999999999998"/>
    <n v="30.75"/>
    <s v="10371492"/>
  </r>
  <r>
    <x v="207"/>
    <s v="2021-11-05"/>
    <x v="0"/>
    <x v="0"/>
    <n v="34"/>
    <x v="46"/>
    <n v="2.2000000000000002"/>
    <n v="29.86"/>
    <s v="11760553"/>
  </r>
  <r>
    <x v="207"/>
    <s v="2021-11-05"/>
    <x v="0"/>
    <x v="0"/>
    <n v="33"/>
    <x v="15"/>
    <n v="2.16"/>
    <n v="29.19"/>
    <s v="59588111"/>
  </r>
  <r>
    <x v="207"/>
    <s v="2021-11-05"/>
    <x v="0"/>
    <x v="0"/>
    <n v="32"/>
    <x v="13"/>
    <n v="2.13"/>
    <n v="28.71"/>
    <s v="07707650"/>
  </r>
  <r>
    <x v="207"/>
    <s v="2021-11-05"/>
    <x v="0"/>
    <x v="0"/>
    <n v="31"/>
    <x v="24"/>
    <n v="2.0499999999999998"/>
    <n v="27.61"/>
    <s v="22639377"/>
  </r>
  <r>
    <x v="207"/>
    <s v="2021-11-05"/>
    <x v="0"/>
    <x v="0"/>
    <n v="30"/>
    <x v="20"/>
    <n v="1.98"/>
    <n v="26.45"/>
    <s v="17192451"/>
  </r>
  <r>
    <x v="207"/>
    <s v="2021-11-05"/>
    <x v="0"/>
    <x v="0"/>
    <n v="29"/>
    <x v="16"/>
    <n v="1.89"/>
    <n v="25.26"/>
    <s v="07207996"/>
  </r>
  <r>
    <x v="207"/>
    <s v="2021-11-05"/>
    <x v="0"/>
    <x v="0"/>
    <n v="28"/>
    <x v="19"/>
    <n v="1.87"/>
    <n v="24.86"/>
    <s v="92702067"/>
  </r>
  <r>
    <x v="207"/>
    <s v="2021-11-05"/>
    <x v="0"/>
    <x v="0"/>
    <n v="27"/>
    <x v="28"/>
    <n v="1.83"/>
    <n v="24.27"/>
    <s v="90400888"/>
  </r>
  <r>
    <x v="207"/>
    <s v="2021-11-05"/>
    <x v="0"/>
    <x v="0"/>
    <n v="26"/>
    <x v="32"/>
    <n v="1.82"/>
    <n v="24.1"/>
    <s v="60701190"/>
  </r>
  <r>
    <x v="207"/>
    <s v="2021-11-05"/>
    <x v="0"/>
    <x v="0"/>
    <n v="25"/>
    <x v="11"/>
    <n v="1.77"/>
    <n v="23.46"/>
    <s v="03634220"/>
  </r>
  <r>
    <x v="207"/>
    <s v="2021-11-05"/>
    <x v="0"/>
    <x v="0"/>
    <n v="24"/>
    <x v="21"/>
    <n v="1.76"/>
    <n v="23.3"/>
    <s v="03017677"/>
  </r>
  <r>
    <x v="207"/>
    <s v="2021-11-05"/>
    <x v="0"/>
    <x v="0"/>
    <n v="23"/>
    <x v="29"/>
    <n v="1.76"/>
    <n v="23.23"/>
    <s v="60746948"/>
  </r>
  <r>
    <x v="207"/>
    <s v="2021-11-05"/>
    <x v="0"/>
    <x v="0"/>
    <n v="22"/>
    <x v="30"/>
    <n v="1.69"/>
    <n v="22.3"/>
    <s v="03502961"/>
  </r>
  <r>
    <x v="207"/>
    <s v="2021-11-05"/>
    <x v="0"/>
    <x v="0"/>
    <n v="21"/>
    <x v="26"/>
    <n v="1.63"/>
    <n v="21.34"/>
    <s v="30172491"/>
  </r>
  <r>
    <x v="207"/>
    <s v="2021-11-05"/>
    <x v="0"/>
    <x v="0"/>
    <n v="20"/>
    <x v="12"/>
    <n v="1.59"/>
    <n v="20.87"/>
    <s v="04862600"/>
  </r>
  <r>
    <x v="207"/>
    <s v="2021-11-05"/>
    <x v="0"/>
    <x v="0"/>
    <n v="19"/>
    <x v="25"/>
    <n v="1.57"/>
    <n v="20.58"/>
    <s v="59274605"/>
  </r>
  <r>
    <x v="207"/>
    <s v="2021-11-05"/>
    <x v="0"/>
    <x v="0"/>
    <n v="18"/>
    <x v="23"/>
    <n v="1.56"/>
    <n v="20.440000000000001"/>
    <s v="03215790"/>
  </r>
  <r>
    <x v="207"/>
    <s v="2021-11-05"/>
    <x v="0"/>
    <x v="0"/>
    <n v="17"/>
    <x v="53"/>
    <n v="1.52"/>
    <n v="19.79"/>
    <s v="31872495"/>
  </r>
  <r>
    <x v="207"/>
    <s v="2021-11-05"/>
    <x v="0"/>
    <x v="0"/>
    <n v="16"/>
    <x v="27"/>
    <n v="1.5"/>
    <n v="19.489999999999998"/>
    <s v="00000000"/>
  </r>
  <r>
    <x v="207"/>
    <s v="2021-11-05"/>
    <x v="0"/>
    <x v="0"/>
    <n v="15"/>
    <x v="43"/>
    <n v="1.49"/>
    <n v="19.48"/>
    <s v="07441209"/>
  </r>
  <r>
    <x v="207"/>
    <s v="2021-11-05"/>
    <x v="0"/>
    <x v="0"/>
    <n v="14"/>
    <x v="18"/>
    <n v="1.49"/>
    <n v="19.38"/>
    <s v="28127603"/>
  </r>
  <r>
    <x v="207"/>
    <s v="2021-11-05"/>
    <x v="0"/>
    <x v="0"/>
    <n v="13"/>
    <x v="31"/>
    <n v="1.45"/>
    <n v="18.829999999999998"/>
    <s v="17167412"/>
  </r>
  <r>
    <x v="207"/>
    <s v="2021-11-05"/>
    <x v="0"/>
    <x v="0"/>
    <n v="12"/>
    <x v="49"/>
    <n v="1.44"/>
    <n v="18.71"/>
    <s v="58160789"/>
  </r>
  <r>
    <x v="207"/>
    <s v="2021-11-05"/>
    <x v="0"/>
    <x v="0"/>
    <n v="11"/>
    <x v="33"/>
    <n v="1.43"/>
    <n v="18.64"/>
    <s v="62307848"/>
  </r>
  <r>
    <x v="207"/>
    <s v="2021-11-05"/>
    <x v="0"/>
    <x v="0"/>
    <n v="10"/>
    <x v="34"/>
    <n v="1.43"/>
    <n v="18.61"/>
    <s v="33603457"/>
  </r>
  <r>
    <x v="207"/>
    <s v="2021-11-05"/>
    <x v="0"/>
    <x v="0"/>
    <n v="9"/>
    <x v="14"/>
    <n v="1.38"/>
    <n v="17.899999999999999"/>
    <s v="00360305"/>
  </r>
  <r>
    <x v="207"/>
    <s v="2021-11-05"/>
    <x v="0"/>
    <x v="0"/>
    <n v="8"/>
    <x v="35"/>
    <n v="1.33"/>
    <n v="17.18"/>
    <s v="59109165"/>
  </r>
  <r>
    <x v="207"/>
    <s v="2021-11-05"/>
    <x v="0"/>
    <x v="0"/>
    <n v="7"/>
    <x v="37"/>
    <n v="1.3"/>
    <n v="16.73"/>
    <s v="04452473"/>
  </r>
  <r>
    <x v="207"/>
    <s v="2021-11-05"/>
    <x v="0"/>
    <x v="0"/>
    <n v="6"/>
    <x v="22"/>
    <n v="1.26"/>
    <n v="16.2"/>
    <s v="11417016"/>
  </r>
  <r>
    <x v="207"/>
    <s v="2021-11-05"/>
    <x v="0"/>
    <x v="0"/>
    <n v="5"/>
    <x v="44"/>
    <n v="1.26"/>
    <n v="16.18"/>
    <s v="58017179"/>
  </r>
  <r>
    <x v="207"/>
    <s v="2021-11-05"/>
    <x v="0"/>
    <x v="0"/>
    <n v="4"/>
    <x v="47"/>
    <n v="1.25"/>
    <n v="16.010000000000002"/>
    <s v="28517628"/>
  </r>
  <r>
    <x v="207"/>
    <s v="2021-11-05"/>
    <x v="0"/>
    <x v="0"/>
    <n v="3"/>
    <x v="36"/>
    <n v="1.23"/>
    <n v="15.86"/>
    <s v="33136888"/>
  </r>
  <r>
    <x v="207"/>
    <s v="2021-11-05"/>
    <x v="0"/>
    <x v="0"/>
    <n v="2"/>
    <x v="38"/>
    <n v="1.23"/>
    <n v="15.85"/>
    <s v="60814191"/>
  </r>
  <r>
    <x v="207"/>
    <s v="2021-11-05"/>
    <x v="0"/>
    <x v="0"/>
    <n v="1"/>
    <x v="40"/>
    <n v="1.1599999999999999"/>
    <n v="14.9"/>
    <s v="02992446"/>
  </r>
  <r>
    <x v="208"/>
    <s v="2021-11-08"/>
    <x v="0"/>
    <x v="0"/>
    <n v="44"/>
    <x v="3"/>
    <n v="3.39"/>
    <n v="49.11"/>
    <s v="05503849"/>
  </r>
  <r>
    <x v="208"/>
    <s v="2021-11-08"/>
    <x v="0"/>
    <x v="0"/>
    <n v="43"/>
    <x v="0"/>
    <n v="3.11"/>
    <n v="44.49"/>
    <s v="60850229"/>
  </r>
  <r>
    <x v="208"/>
    <s v="2021-11-08"/>
    <x v="0"/>
    <x v="0"/>
    <n v="42"/>
    <x v="2"/>
    <n v="3.08"/>
    <n v="43.94"/>
    <s v="92228410"/>
  </r>
  <r>
    <x v="208"/>
    <s v="2021-11-08"/>
    <x v="0"/>
    <x v="0"/>
    <n v="41"/>
    <x v="1"/>
    <n v="3.07"/>
    <n v="43.77"/>
    <s v="01800019"/>
  </r>
  <r>
    <x v="208"/>
    <s v="2021-11-08"/>
    <x v="0"/>
    <x v="0"/>
    <n v="40"/>
    <x v="7"/>
    <n v="3.06"/>
    <n v="43.56"/>
    <s v="92874270"/>
  </r>
  <r>
    <x v="208"/>
    <s v="2021-11-08"/>
    <x v="0"/>
    <x v="0"/>
    <n v="39"/>
    <x v="6"/>
    <n v="2.91"/>
    <n v="41.14"/>
    <s v="05676026"/>
  </r>
  <r>
    <x v="208"/>
    <s v="2021-11-08"/>
    <x v="0"/>
    <x v="0"/>
    <n v="38"/>
    <x v="4"/>
    <n v="2.57"/>
    <n v="35.61"/>
    <s v="62232889"/>
  </r>
  <r>
    <x v="208"/>
    <s v="2021-11-08"/>
    <x v="0"/>
    <x v="0"/>
    <n v="37"/>
    <x v="8"/>
    <n v="2.56"/>
    <n v="35.5"/>
    <s v="59285411"/>
  </r>
  <r>
    <x v="208"/>
    <s v="2021-11-08"/>
    <x v="0"/>
    <x v="0"/>
    <n v="36"/>
    <x v="42"/>
    <n v="2.4"/>
    <n v="32.99"/>
    <s v="34991938"/>
  </r>
  <r>
    <x v="208"/>
    <s v="2021-11-08"/>
    <x v="0"/>
    <x v="0"/>
    <n v="35"/>
    <x v="5"/>
    <n v="2.36"/>
    <n v="32.26"/>
    <s v="80271455"/>
  </r>
  <r>
    <x v="208"/>
    <s v="2021-11-08"/>
    <x v="0"/>
    <x v="0"/>
    <n v="34"/>
    <x v="9"/>
    <n v="2.35"/>
    <n v="32.119999999999997"/>
    <s v="00411939"/>
  </r>
  <r>
    <x v="208"/>
    <s v="2021-11-08"/>
    <x v="0"/>
    <x v="0"/>
    <n v="33"/>
    <x v="10"/>
    <n v="2.2599999999999998"/>
    <n v="30.73"/>
    <s v="10371492"/>
  </r>
  <r>
    <x v="208"/>
    <s v="2021-11-08"/>
    <x v="0"/>
    <x v="0"/>
    <n v="32"/>
    <x v="15"/>
    <n v="2.17"/>
    <n v="29.44"/>
    <s v="59588111"/>
  </r>
  <r>
    <x v="208"/>
    <s v="2021-11-08"/>
    <x v="0"/>
    <x v="0"/>
    <n v="31"/>
    <x v="13"/>
    <n v="2.15"/>
    <n v="29.06"/>
    <s v="07707650"/>
  </r>
  <r>
    <x v="208"/>
    <s v="2021-11-08"/>
    <x v="0"/>
    <x v="0"/>
    <n v="30"/>
    <x v="53"/>
    <n v="2.04"/>
    <n v="27.35"/>
    <s v="31872495"/>
  </r>
  <r>
    <x v="208"/>
    <s v="2021-11-08"/>
    <x v="0"/>
    <x v="0"/>
    <n v="29"/>
    <x v="20"/>
    <n v="2"/>
    <n v="26.81"/>
    <s v="17192451"/>
  </r>
  <r>
    <x v="208"/>
    <s v="2021-11-08"/>
    <x v="0"/>
    <x v="0"/>
    <n v="28"/>
    <x v="16"/>
    <n v="1.92"/>
    <n v="25.61"/>
    <s v="07207996"/>
  </r>
  <r>
    <x v="208"/>
    <s v="2021-11-08"/>
    <x v="0"/>
    <x v="0"/>
    <n v="27"/>
    <x v="19"/>
    <n v="1.87"/>
    <n v="24.86"/>
    <s v="92702067"/>
  </r>
  <r>
    <x v="208"/>
    <s v="2021-11-08"/>
    <x v="0"/>
    <x v="0"/>
    <n v="26"/>
    <x v="32"/>
    <n v="1.85"/>
    <n v="24.54"/>
    <s v="60701190"/>
  </r>
  <r>
    <x v="208"/>
    <s v="2021-11-08"/>
    <x v="0"/>
    <x v="0"/>
    <n v="25"/>
    <x v="21"/>
    <n v="1.83"/>
    <n v="24.36"/>
    <s v="03017677"/>
  </r>
  <r>
    <x v="208"/>
    <s v="2021-11-08"/>
    <x v="0"/>
    <x v="0"/>
    <n v="24"/>
    <x v="28"/>
    <n v="1.78"/>
    <n v="23.59"/>
    <s v="90400888"/>
  </r>
  <r>
    <x v="208"/>
    <s v="2021-11-08"/>
    <x v="0"/>
    <x v="0"/>
    <n v="23"/>
    <x v="29"/>
    <n v="1.77"/>
    <n v="23.48"/>
    <s v="60746948"/>
  </r>
  <r>
    <x v="208"/>
    <s v="2021-11-08"/>
    <x v="0"/>
    <x v="0"/>
    <n v="22"/>
    <x v="11"/>
    <n v="1.74"/>
    <n v="22.96"/>
    <s v="03634220"/>
  </r>
  <r>
    <x v="208"/>
    <s v="2021-11-08"/>
    <x v="0"/>
    <x v="0"/>
    <n v="21"/>
    <x v="30"/>
    <n v="1.71"/>
    <n v="22.56"/>
    <s v="03502961"/>
  </r>
  <r>
    <x v="208"/>
    <s v="2021-11-08"/>
    <x v="0"/>
    <x v="0"/>
    <n v="20"/>
    <x v="26"/>
    <n v="1.64"/>
    <n v="21.59"/>
    <s v="30172491"/>
  </r>
  <r>
    <x v="208"/>
    <s v="2021-11-08"/>
    <x v="0"/>
    <x v="0"/>
    <n v="19"/>
    <x v="12"/>
    <n v="1.6"/>
    <n v="21.02"/>
    <s v="04862600"/>
  </r>
  <r>
    <x v="208"/>
    <s v="2021-11-08"/>
    <x v="0"/>
    <x v="0"/>
    <n v="18"/>
    <x v="23"/>
    <n v="1.57"/>
    <n v="20.62"/>
    <s v="03215790"/>
  </r>
  <r>
    <x v="208"/>
    <s v="2021-11-08"/>
    <x v="0"/>
    <x v="0"/>
    <n v="17"/>
    <x v="25"/>
    <n v="1.56"/>
    <n v="20.47"/>
    <s v="59274605"/>
  </r>
  <r>
    <x v="208"/>
    <s v="2021-11-08"/>
    <x v="0"/>
    <x v="0"/>
    <n v="16"/>
    <x v="27"/>
    <n v="1.51"/>
    <n v="19.670000000000002"/>
    <s v="00000000"/>
  </r>
  <r>
    <x v="208"/>
    <s v="2021-11-08"/>
    <x v="0"/>
    <x v="0"/>
    <n v="15"/>
    <x v="43"/>
    <n v="1.49"/>
    <n v="19.48"/>
    <s v="07441209"/>
  </r>
  <r>
    <x v="208"/>
    <s v="2021-11-08"/>
    <x v="0"/>
    <x v="0"/>
    <n v="14"/>
    <x v="18"/>
    <n v="1.49"/>
    <n v="19.45"/>
    <s v="28127603"/>
  </r>
  <r>
    <x v="208"/>
    <s v="2021-11-08"/>
    <x v="0"/>
    <x v="0"/>
    <n v="13"/>
    <x v="34"/>
    <n v="1.46"/>
    <n v="19.04"/>
    <s v="33603457"/>
  </r>
  <r>
    <x v="208"/>
    <s v="2021-11-08"/>
    <x v="0"/>
    <x v="0"/>
    <n v="12"/>
    <x v="31"/>
    <n v="1.46"/>
    <n v="18.940000000000001"/>
    <s v="17167412"/>
  </r>
  <r>
    <x v="208"/>
    <s v="2021-11-08"/>
    <x v="0"/>
    <x v="0"/>
    <n v="11"/>
    <x v="49"/>
    <n v="1.44"/>
    <n v="18.71"/>
    <s v="58160789"/>
  </r>
  <r>
    <x v="208"/>
    <s v="2021-11-08"/>
    <x v="0"/>
    <x v="0"/>
    <n v="10"/>
    <x v="33"/>
    <n v="1.43"/>
    <n v="18.55"/>
    <s v="62307848"/>
  </r>
  <r>
    <x v="208"/>
    <s v="2021-11-08"/>
    <x v="0"/>
    <x v="0"/>
    <n v="9"/>
    <x v="14"/>
    <n v="1.37"/>
    <n v="17.79"/>
    <s v="00360305"/>
  </r>
  <r>
    <x v="208"/>
    <s v="2021-11-08"/>
    <x v="0"/>
    <x v="0"/>
    <n v="8"/>
    <x v="47"/>
    <n v="1.33"/>
    <n v="17.239999999999998"/>
    <s v="28517628"/>
  </r>
  <r>
    <x v="208"/>
    <s v="2021-11-08"/>
    <x v="0"/>
    <x v="0"/>
    <n v="7"/>
    <x v="35"/>
    <n v="1.32"/>
    <n v="17.059999999999999"/>
    <s v="59109165"/>
  </r>
  <r>
    <x v="208"/>
    <s v="2021-11-08"/>
    <x v="0"/>
    <x v="0"/>
    <n v="6"/>
    <x v="37"/>
    <n v="1.3"/>
    <n v="16.809999999999999"/>
    <s v="04452473"/>
  </r>
  <r>
    <x v="208"/>
    <s v="2021-11-08"/>
    <x v="0"/>
    <x v="0"/>
    <n v="5"/>
    <x v="22"/>
    <n v="1.26"/>
    <n v="16.2"/>
    <s v="11417016"/>
  </r>
  <r>
    <x v="208"/>
    <s v="2021-11-08"/>
    <x v="0"/>
    <x v="0"/>
    <n v="4"/>
    <x v="44"/>
    <n v="1.26"/>
    <n v="16.18"/>
    <s v="58017179"/>
  </r>
  <r>
    <x v="208"/>
    <s v="2021-11-08"/>
    <x v="0"/>
    <x v="0"/>
    <n v="3"/>
    <x v="38"/>
    <n v="1.24"/>
    <n v="15.88"/>
    <s v="60814191"/>
  </r>
  <r>
    <x v="208"/>
    <s v="2021-11-08"/>
    <x v="0"/>
    <x v="0"/>
    <n v="2"/>
    <x v="36"/>
    <n v="1.23"/>
    <n v="15.86"/>
    <s v="33136888"/>
  </r>
  <r>
    <x v="208"/>
    <s v="2021-11-08"/>
    <x v="0"/>
    <x v="0"/>
    <n v="1"/>
    <x v="40"/>
    <n v="1.1599999999999999"/>
    <n v="14.8"/>
    <s v="02992446"/>
  </r>
  <r>
    <x v="209"/>
    <s v="2021-11-09"/>
    <x v="0"/>
    <x v="0"/>
    <n v="44"/>
    <x v="3"/>
    <n v="3.36"/>
    <n v="48.64"/>
    <s v="05503849"/>
  </r>
  <r>
    <x v="209"/>
    <s v="2021-11-09"/>
    <x v="0"/>
    <x v="0"/>
    <n v="43"/>
    <x v="0"/>
    <n v="3.14"/>
    <n v="44.95"/>
    <s v="60850229"/>
  </r>
  <r>
    <x v="209"/>
    <s v="2021-11-09"/>
    <x v="0"/>
    <x v="0"/>
    <n v="42"/>
    <x v="1"/>
    <n v="3.13"/>
    <n v="44.78"/>
    <s v="01800019"/>
  </r>
  <r>
    <x v="209"/>
    <s v="2021-11-09"/>
    <x v="0"/>
    <x v="0"/>
    <n v="41"/>
    <x v="2"/>
    <n v="3.08"/>
    <n v="43.89"/>
    <s v="92228410"/>
  </r>
  <r>
    <x v="209"/>
    <s v="2021-11-09"/>
    <x v="0"/>
    <x v="0"/>
    <n v="40"/>
    <x v="7"/>
    <n v="3.07"/>
    <n v="43.72"/>
    <s v="92874270"/>
  </r>
  <r>
    <x v="209"/>
    <s v="2021-11-09"/>
    <x v="0"/>
    <x v="0"/>
    <n v="39"/>
    <x v="6"/>
    <n v="2.9"/>
    <n v="40.98"/>
    <s v="05676026"/>
  </r>
  <r>
    <x v="209"/>
    <s v="2021-11-09"/>
    <x v="0"/>
    <x v="0"/>
    <n v="38"/>
    <x v="8"/>
    <n v="2.59"/>
    <n v="35.840000000000003"/>
    <s v="59285411"/>
  </r>
  <r>
    <x v="209"/>
    <s v="2021-11-09"/>
    <x v="0"/>
    <x v="0"/>
    <n v="37"/>
    <x v="4"/>
    <n v="2.57"/>
    <n v="35.6"/>
    <s v="62232889"/>
  </r>
  <r>
    <x v="209"/>
    <s v="2021-11-09"/>
    <x v="0"/>
    <x v="0"/>
    <n v="36"/>
    <x v="42"/>
    <n v="2.4"/>
    <n v="32.9"/>
    <s v="34991938"/>
  </r>
  <r>
    <x v="209"/>
    <s v="2021-11-09"/>
    <x v="0"/>
    <x v="0"/>
    <n v="35"/>
    <x v="5"/>
    <n v="2.39"/>
    <n v="32.74"/>
    <s v="80271455"/>
  </r>
  <r>
    <x v="209"/>
    <s v="2021-11-09"/>
    <x v="0"/>
    <x v="0"/>
    <n v="34"/>
    <x v="9"/>
    <n v="2.35"/>
    <n v="32.08"/>
    <s v="00411939"/>
  </r>
  <r>
    <x v="209"/>
    <s v="2021-11-09"/>
    <x v="0"/>
    <x v="0"/>
    <n v="33"/>
    <x v="10"/>
    <n v="2.27"/>
    <n v="30.91"/>
    <s v="10371492"/>
  </r>
  <r>
    <x v="209"/>
    <s v="2021-11-09"/>
    <x v="0"/>
    <x v="0"/>
    <n v="32"/>
    <x v="15"/>
    <n v="2.1800000000000002"/>
    <n v="29.58"/>
    <s v="59588111"/>
  </r>
  <r>
    <x v="209"/>
    <s v="2021-11-09"/>
    <x v="0"/>
    <x v="0"/>
    <n v="31"/>
    <x v="13"/>
    <n v="2.1800000000000002"/>
    <n v="29.46"/>
    <s v="07707650"/>
  </r>
  <r>
    <x v="209"/>
    <s v="2021-11-09"/>
    <x v="0"/>
    <x v="0"/>
    <n v="30"/>
    <x v="20"/>
    <n v="2.02"/>
    <n v="27.05"/>
    <s v="17192451"/>
  </r>
  <r>
    <x v="209"/>
    <s v="2021-11-09"/>
    <x v="0"/>
    <x v="0"/>
    <n v="29"/>
    <x v="53"/>
    <n v="2"/>
    <n v="26.89"/>
    <s v="31872495"/>
  </r>
  <r>
    <x v="209"/>
    <s v="2021-11-09"/>
    <x v="0"/>
    <x v="0"/>
    <n v="28"/>
    <x v="16"/>
    <n v="1.96"/>
    <n v="26.25"/>
    <s v="07207996"/>
  </r>
  <r>
    <x v="209"/>
    <s v="2021-11-09"/>
    <x v="0"/>
    <x v="0"/>
    <n v="27"/>
    <x v="19"/>
    <n v="1.87"/>
    <n v="24.86"/>
    <s v="92702067"/>
  </r>
  <r>
    <x v="209"/>
    <s v="2021-11-09"/>
    <x v="0"/>
    <x v="0"/>
    <n v="26"/>
    <x v="32"/>
    <n v="1.86"/>
    <n v="24.7"/>
    <s v="60701190"/>
  </r>
  <r>
    <x v="209"/>
    <s v="2021-11-09"/>
    <x v="0"/>
    <x v="0"/>
    <n v="25"/>
    <x v="21"/>
    <n v="1.85"/>
    <n v="24.67"/>
    <s v="03017677"/>
  </r>
  <r>
    <x v="209"/>
    <s v="2021-11-09"/>
    <x v="0"/>
    <x v="0"/>
    <n v="24"/>
    <x v="29"/>
    <n v="1.78"/>
    <n v="23.64"/>
    <s v="60746948"/>
  </r>
  <r>
    <x v="209"/>
    <s v="2021-11-09"/>
    <x v="0"/>
    <x v="0"/>
    <n v="23"/>
    <x v="28"/>
    <n v="1.76"/>
    <n v="23.32"/>
    <s v="90400888"/>
  </r>
  <r>
    <x v="209"/>
    <s v="2021-11-09"/>
    <x v="0"/>
    <x v="0"/>
    <n v="22"/>
    <x v="30"/>
    <n v="1.74"/>
    <n v="22.99"/>
    <s v="03502961"/>
  </r>
  <r>
    <x v="209"/>
    <s v="2021-11-09"/>
    <x v="0"/>
    <x v="0"/>
    <n v="21"/>
    <x v="11"/>
    <n v="1.71"/>
    <n v="22.61"/>
    <s v="03634220"/>
  </r>
  <r>
    <x v="209"/>
    <s v="2021-11-09"/>
    <x v="0"/>
    <x v="0"/>
    <n v="20"/>
    <x v="26"/>
    <n v="1.67"/>
    <n v="21.93"/>
    <s v="30172491"/>
  </r>
  <r>
    <x v="209"/>
    <s v="2021-11-09"/>
    <x v="0"/>
    <x v="0"/>
    <n v="19"/>
    <x v="12"/>
    <n v="1.61"/>
    <n v="21.19"/>
    <s v="04862600"/>
  </r>
  <r>
    <x v="209"/>
    <s v="2021-11-09"/>
    <x v="0"/>
    <x v="0"/>
    <n v="18"/>
    <x v="23"/>
    <n v="1.6"/>
    <n v="20.98"/>
    <s v="03215790"/>
  </r>
  <r>
    <x v="209"/>
    <s v="2021-11-09"/>
    <x v="0"/>
    <x v="0"/>
    <n v="17"/>
    <x v="25"/>
    <n v="1.57"/>
    <n v="20.59"/>
    <s v="59274605"/>
  </r>
  <r>
    <x v="209"/>
    <s v="2021-11-09"/>
    <x v="0"/>
    <x v="0"/>
    <n v="16"/>
    <x v="27"/>
    <n v="1.53"/>
    <n v="19.940000000000001"/>
    <s v="00000000"/>
  </r>
  <r>
    <x v="209"/>
    <s v="2021-11-09"/>
    <x v="0"/>
    <x v="0"/>
    <n v="15"/>
    <x v="34"/>
    <n v="1.5"/>
    <n v="19.62"/>
    <s v="33603457"/>
  </r>
  <r>
    <x v="209"/>
    <s v="2021-11-09"/>
    <x v="0"/>
    <x v="0"/>
    <n v="14"/>
    <x v="18"/>
    <n v="1.5"/>
    <n v="19.5"/>
    <s v="28127603"/>
  </r>
  <r>
    <x v="209"/>
    <s v="2021-11-09"/>
    <x v="0"/>
    <x v="0"/>
    <n v="13"/>
    <x v="43"/>
    <n v="1.49"/>
    <n v="19.48"/>
    <s v="07441209"/>
  </r>
  <r>
    <x v="209"/>
    <s v="2021-11-09"/>
    <x v="0"/>
    <x v="0"/>
    <n v="12"/>
    <x v="31"/>
    <n v="1.46"/>
    <n v="18.940000000000001"/>
    <s v="17167412"/>
  </r>
  <r>
    <x v="209"/>
    <s v="2021-11-09"/>
    <x v="0"/>
    <x v="0"/>
    <n v="11"/>
    <x v="49"/>
    <n v="1.44"/>
    <n v="18.71"/>
    <s v="58160789"/>
  </r>
  <r>
    <x v="209"/>
    <s v="2021-11-09"/>
    <x v="0"/>
    <x v="0"/>
    <n v="10"/>
    <x v="33"/>
    <n v="1.43"/>
    <n v="18.64"/>
    <s v="62307848"/>
  </r>
  <r>
    <x v="209"/>
    <s v="2021-11-09"/>
    <x v="0"/>
    <x v="0"/>
    <n v="9"/>
    <x v="14"/>
    <n v="1.37"/>
    <n v="17.690000000000001"/>
    <s v="00360305"/>
  </r>
  <r>
    <x v="209"/>
    <s v="2021-11-09"/>
    <x v="0"/>
    <x v="0"/>
    <n v="8"/>
    <x v="35"/>
    <n v="1.35"/>
    <n v="17.420000000000002"/>
    <s v="59109165"/>
  </r>
  <r>
    <x v="209"/>
    <s v="2021-11-09"/>
    <x v="0"/>
    <x v="0"/>
    <n v="7"/>
    <x v="47"/>
    <n v="1.33"/>
    <n v="17.239999999999998"/>
    <s v="28517628"/>
  </r>
  <r>
    <x v="209"/>
    <s v="2021-11-09"/>
    <x v="0"/>
    <x v="0"/>
    <n v="6"/>
    <x v="37"/>
    <n v="1.31"/>
    <n v="16.84"/>
    <s v="04452473"/>
  </r>
  <r>
    <x v="209"/>
    <s v="2021-11-09"/>
    <x v="0"/>
    <x v="0"/>
    <n v="5"/>
    <x v="44"/>
    <n v="1.3"/>
    <n v="16.79"/>
    <s v="58017179"/>
  </r>
  <r>
    <x v="209"/>
    <s v="2021-11-09"/>
    <x v="0"/>
    <x v="0"/>
    <n v="4"/>
    <x v="22"/>
    <n v="1.26"/>
    <n v="16.23"/>
    <s v="11417016"/>
  </r>
  <r>
    <x v="209"/>
    <s v="2021-11-09"/>
    <x v="0"/>
    <x v="0"/>
    <n v="3"/>
    <x v="38"/>
    <n v="1.24"/>
    <n v="15.94"/>
    <s v="60814191"/>
  </r>
  <r>
    <x v="209"/>
    <s v="2021-11-09"/>
    <x v="0"/>
    <x v="0"/>
    <n v="2"/>
    <x v="36"/>
    <n v="1.2"/>
    <n v="15.36"/>
    <s v="33136888"/>
  </r>
  <r>
    <x v="209"/>
    <s v="2021-11-09"/>
    <x v="0"/>
    <x v="0"/>
    <n v="1"/>
    <x v="40"/>
    <n v="1.1499999999999999"/>
    <n v="14.77"/>
    <s v="02992446"/>
  </r>
  <r>
    <x v="210"/>
    <s v="2021-11-10"/>
    <x v="0"/>
    <x v="0"/>
    <n v="43"/>
    <x v="3"/>
    <n v="3.37"/>
    <n v="48.85"/>
    <s v="05503849"/>
  </r>
  <r>
    <x v="210"/>
    <s v="2021-11-10"/>
    <x v="0"/>
    <x v="0"/>
    <n v="42"/>
    <x v="0"/>
    <n v="3.21"/>
    <n v="46.13"/>
    <s v="60850229"/>
  </r>
  <r>
    <x v="210"/>
    <s v="2021-11-10"/>
    <x v="0"/>
    <x v="0"/>
    <n v="41"/>
    <x v="1"/>
    <n v="3.13"/>
    <n v="44.8"/>
    <s v="01800019"/>
  </r>
  <r>
    <x v="210"/>
    <s v="2021-11-10"/>
    <x v="0"/>
    <x v="0"/>
    <n v="40"/>
    <x v="2"/>
    <n v="3.09"/>
    <n v="44.08"/>
    <s v="92228410"/>
  </r>
  <r>
    <x v="210"/>
    <s v="2021-11-10"/>
    <x v="0"/>
    <x v="0"/>
    <n v="39"/>
    <x v="7"/>
    <n v="3.08"/>
    <n v="43.99"/>
    <s v="92874270"/>
  </r>
  <r>
    <x v="210"/>
    <s v="2021-11-10"/>
    <x v="0"/>
    <x v="0"/>
    <n v="38"/>
    <x v="6"/>
    <n v="2.92"/>
    <n v="41.17"/>
    <s v="05676026"/>
  </r>
  <r>
    <x v="210"/>
    <s v="2021-11-10"/>
    <x v="0"/>
    <x v="0"/>
    <n v="37"/>
    <x v="8"/>
    <n v="2.6"/>
    <n v="36.07"/>
    <s v="59285411"/>
  </r>
  <r>
    <x v="210"/>
    <s v="2021-11-10"/>
    <x v="0"/>
    <x v="0"/>
    <n v="36"/>
    <x v="4"/>
    <n v="2.5499999999999998"/>
    <n v="35.33"/>
    <s v="62232889"/>
  </r>
  <r>
    <x v="210"/>
    <s v="2021-11-10"/>
    <x v="0"/>
    <x v="0"/>
    <n v="35"/>
    <x v="42"/>
    <n v="2.54"/>
    <n v="35.090000000000003"/>
    <s v="34991938"/>
  </r>
  <r>
    <x v="210"/>
    <s v="2021-11-10"/>
    <x v="0"/>
    <x v="0"/>
    <n v="34"/>
    <x v="9"/>
    <n v="2.5"/>
    <n v="34.47"/>
    <s v="00411939"/>
  </r>
  <r>
    <x v="210"/>
    <s v="2021-11-10"/>
    <x v="0"/>
    <x v="0"/>
    <n v="33"/>
    <x v="5"/>
    <n v="2.4700000000000002"/>
    <n v="33.979999999999997"/>
    <s v="80271455"/>
  </r>
  <r>
    <x v="210"/>
    <s v="2021-11-10"/>
    <x v="0"/>
    <x v="0"/>
    <n v="32"/>
    <x v="10"/>
    <n v="2.31"/>
    <n v="31.45"/>
    <s v="10371492"/>
  </r>
  <r>
    <x v="210"/>
    <s v="2021-11-10"/>
    <x v="0"/>
    <x v="0"/>
    <n v="31"/>
    <x v="13"/>
    <n v="2.21"/>
    <n v="30.01"/>
    <s v="07707650"/>
  </r>
  <r>
    <x v="210"/>
    <s v="2021-11-10"/>
    <x v="0"/>
    <x v="0"/>
    <n v="30"/>
    <x v="24"/>
    <n v="2.21"/>
    <n v="29.95"/>
    <s v="22639377"/>
  </r>
  <r>
    <x v="210"/>
    <s v="2021-11-10"/>
    <x v="0"/>
    <x v="0"/>
    <n v="29"/>
    <x v="15"/>
    <n v="2.1800000000000002"/>
    <n v="29.47"/>
    <s v="59588111"/>
  </r>
  <r>
    <x v="210"/>
    <s v="2021-11-10"/>
    <x v="0"/>
    <x v="0"/>
    <n v="28"/>
    <x v="20"/>
    <n v="2.0499999999999998"/>
    <n v="27.55"/>
    <s v="17192451"/>
  </r>
  <r>
    <x v="210"/>
    <s v="2021-11-10"/>
    <x v="0"/>
    <x v="0"/>
    <n v="27"/>
    <x v="16"/>
    <n v="2.0099999999999998"/>
    <n v="26.99"/>
    <s v="07207996"/>
  </r>
  <r>
    <x v="210"/>
    <s v="2021-11-10"/>
    <x v="0"/>
    <x v="0"/>
    <n v="26"/>
    <x v="28"/>
    <n v="1.96"/>
    <n v="26.24"/>
    <s v="90400888"/>
  </r>
  <r>
    <x v="210"/>
    <s v="2021-11-10"/>
    <x v="0"/>
    <x v="0"/>
    <n v="25"/>
    <x v="53"/>
    <n v="1.96"/>
    <n v="26.24"/>
    <s v="31872495"/>
  </r>
  <r>
    <x v="210"/>
    <s v="2021-11-10"/>
    <x v="0"/>
    <x v="0"/>
    <n v="24"/>
    <x v="32"/>
    <n v="1.89"/>
    <n v="25.14"/>
    <s v="60701190"/>
  </r>
  <r>
    <x v="210"/>
    <s v="2021-11-10"/>
    <x v="0"/>
    <x v="0"/>
    <n v="23"/>
    <x v="21"/>
    <n v="1.86"/>
    <n v="24.8"/>
    <s v="03017677"/>
  </r>
  <r>
    <x v="210"/>
    <s v="2021-11-10"/>
    <x v="0"/>
    <x v="0"/>
    <n v="22"/>
    <x v="29"/>
    <n v="1.78"/>
    <n v="23.64"/>
    <s v="60746948"/>
  </r>
  <r>
    <x v="210"/>
    <s v="2021-11-10"/>
    <x v="0"/>
    <x v="0"/>
    <n v="21"/>
    <x v="30"/>
    <n v="1.74"/>
    <n v="23.05"/>
    <s v="03502961"/>
  </r>
  <r>
    <x v="210"/>
    <s v="2021-11-10"/>
    <x v="0"/>
    <x v="0"/>
    <n v="20"/>
    <x v="26"/>
    <n v="1.69"/>
    <n v="22.33"/>
    <s v="30172491"/>
  </r>
  <r>
    <x v="210"/>
    <s v="2021-11-10"/>
    <x v="0"/>
    <x v="0"/>
    <n v="19"/>
    <x v="11"/>
    <n v="1.68"/>
    <n v="22.19"/>
    <s v="03634220"/>
  </r>
  <r>
    <x v="210"/>
    <s v="2021-11-10"/>
    <x v="0"/>
    <x v="0"/>
    <n v="18"/>
    <x v="12"/>
    <n v="1.63"/>
    <n v="21.39"/>
    <s v="04862600"/>
  </r>
  <r>
    <x v="210"/>
    <s v="2021-11-10"/>
    <x v="0"/>
    <x v="0"/>
    <n v="17"/>
    <x v="23"/>
    <n v="1.62"/>
    <n v="21.3"/>
    <s v="03215790"/>
  </r>
  <r>
    <x v="210"/>
    <s v="2021-11-10"/>
    <x v="0"/>
    <x v="0"/>
    <n v="16"/>
    <x v="25"/>
    <n v="1.57"/>
    <n v="20.55"/>
    <s v="59274605"/>
  </r>
  <r>
    <x v="210"/>
    <s v="2021-11-10"/>
    <x v="0"/>
    <x v="0"/>
    <n v="15"/>
    <x v="27"/>
    <n v="1.57"/>
    <n v="20.51"/>
    <s v="00000000"/>
  </r>
  <r>
    <x v="210"/>
    <s v="2021-11-10"/>
    <x v="0"/>
    <x v="0"/>
    <n v="14"/>
    <x v="34"/>
    <n v="1.53"/>
    <n v="20.02"/>
    <s v="33603457"/>
  </r>
  <r>
    <x v="210"/>
    <s v="2021-11-10"/>
    <x v="0"/>
    <x v="0"/>
    <n v="13"/>
    <x v="31"/>
    <n v="1.5"/>
    <n v="19.61"/>
    <s v="17167412"/>
  </r>
  <r>
    <x v="210"/>
    <s v="2021-11-10"/>
    <x v="0"/>
    <x v="0"/>
    <n v="12"/>
    <x v="18"/>
    <n v="1.49"/>
    <n v="19.48"/>
    <s v="28127603"/>
  </r>
  <r>
    <x v="210"/>
    <s v="2021-11-10"/>
    <x v="0"/>
    <x v="0"/>
    <n v="11"/>
    <x v="33"/>
    <n v="1.46"/>
    <n v="18.97"/>
    <s v="62307848"/>
  </r>
  <r>
    <x v="210"/>
    <s v="2021-11-10"/>
    <x v="0"/>
    <x v="0"/>
    <n v="10"/>
    <x v="14"/>
    <n v="1.4"/>
    <n v="18.149999999999999"/>
    <s v="00360305"/>
  </r>
  <r>
    <x v="210"/>
    <s v="2021-11-10"/>
    <x v="0"/>
    <x v="0"/>
    <n v="9"/>
    <x v="35"/>
    <n v="1.35"/>
    <n v="17.510000000000002"/>
    <s v="59109165"/>
  </r>
  <r>
    <x v="210"/>
    <s v="2021-11-10"/>
    <x v="0"/>
    <x v="0"/>
    <n v="8"/>
    <x v="47"/>
    <n v="1.35"/>
    <n v="17.47"/>
    <s v="28517628"/>
  </r>
  <r>
    <x v="210"/>
    <s v="2021-11-10"/>
    <x v="0"/>
    <x v="0"/>
    <n v="7"/>
    <x v="37"/>
    <n v="1.31"/>
    <n v="16.88"/>
    <s v="04452473"/>
  </r>
  <r>
    <x v="210"/>
    <s v="2021-11-10"/>
    <x v="0"/>
    <x v="0"/>
    <n v="6"/>
    <x v="44"/>
    <n v="1.3"/>
    <n v="16.79"/>
    <s v="58017179"/>
  </r>
  <r>
    <x v="210"/>
    <s v="2021-11-10"/>
    <x v="0"/>
    <x v="0"/>
    <n v="5"/>
    <x v="22"/>
    <n v="1.26"/>
    <n v="16.23"/>
    <s v="11417016"/>
  </r>
  <r>
    <x v="210"/>
    <s v="2021-11-10"/>
    <x v="0"/>
    <x v="0"/>
    <n v="4"/>
    <x v="38"/>
    <n v="1.24"/>
    <n v="15.94"/>
    <s v="60814191"/>
  </r>
  <r>
    <x v="210"/>
    <s v="2021-11-10"/>
    <x v="0"/>
    <x v="0"/>
    <n v="3"/>
    <x v="36"/>
    <n v="1.22"/>
    <n v="15.72"/>
    <s v="33136888"/>
  </r>
  <r>
    <x v="210"/>
    <s v="2021-11-10"/>
    <x v="0"/>
    <x v="0"/>
    <n v="2"/>
    <x v="39"/>
    <n v="1.19"/>
    <n v="15.24"/>
    <s v="04902979"/>
  </r>
  <r>
    <x v="210"/>
    <s v="2021-11-10"/>
    <x v="0"/>
    <x v="0"/>
    <n v="1"/>
    <x v="40"/>
    <n v="1.08"/>
    <n v="13.69"/>
    <s v="02992446"/>
  </r>
  <r>
    <x v="211"/>
    <s v="2021-11-11"/>
    <x v="0"/>
    <x v="0"/>
    <n v="42"/>
    <x v="3"/>
    <n v="3.35"/>
    <n v="48.48"/>
    <s v="05503849"/>
  </r>
  <r>
    <x v="211"/>
    <s v="2021-11-11"/>
    <x v="0"/>
    <x v="0"/>
    <n v="41"/>
    <x v="0"/>
    <n v="3.23"/>
    <n v="46.4"/>
    <s v="60850229"/>
  </r>
  <r>
    <x v="211"/>
    <s v="2021-11-11"/>
    <x v="0"/>
    <x v="0"/>
    <n v="40"/>
    <x v="1"/>
    <n v="3.15"/>
    <n v="45.05"/>
    <s v="01800019"/>
  </r>
  <r>
    <x v="211"/>
    <s v="2021-11-11"/>
    <x v="0"/>
    <x v="0"/>
    <n v="39"/>
    <x v="2"/>
    <n v="3.1"/>
    <n v="44.2"/>
    <s v="92228410"/>
  </r>
  <r>
    <x v="211"/>
    <s v="2021-11-11"/>
    <x v="0"/>
    <x v="0"/>
    <n v="38"/>
    <x v="7"/>
    <n v="3.09"/>
    <n v="44.05"/>
    <s v="92874270"/>
  </r>
  <r>
    <x v="211"/>
    <s v="2021-11-11"/>
    <x v="0"/>
    <x v="0"/>
    <n v="37"/>
    <x v="6"/>
    <n v="2.94"/>
    <n v="41.6"/>
    <s v="05676026"/>
  </r>
  <r>
    <x v="211"/>
    <s v="2021-11-11"/>
    <x v="0"/>
    <x v="0"/>
    <n v="36"/>
    <x v="9"/>
    <n v="2.61"/>
    <n v="36.22"/>
    <s v="00411939"/>
  </r>
  <r>
    <x v="211"/>
    <s v="2021-11-11"/>
    <x v="0"/>
    <x v="0"/>
    <n v="35"/>
    <x v="8"/>
    <n v="2.61"/>
    <n v="36.21"/>
    <s v="59285411"/>
  </r>
  <r>
    <x v="211"/>
    <s v="2021-11-11"/>
    <x v="0"/>
    <x v="0"/>
    <n v="34"/>
    <x v="42"/>
    <n v="2.5499999999999998"/>
    <n v="35.340000000000003"/>
    <s v="34991938"/>
  </r>
  <r>
    <x v="211"/>
    <s v="2021-11-11"/>
    <x v="0"/>
    <x v="0"/>
    <n v="33"/>
    <x v="4"/>
    <n v="2.5499999999999998"/>
    <n v="35.25"/>
    <s v="62232889"/>
  </r>
  <r>
    <x v="211"/>
    <s v="2021-11-11"/>
    <x v="0"/>
    <x v="0"/>
    <n v="32"/>
    <x v="5"/>
    <n v="2.48"/>
    <n v="34.18"/>
    <s v="80271455"/>
  </r>
  <r>
    <x v="211"/>
    <s v="2021-11-11"/>
    <x v="0"/>
    <x v="0"/>
    <n v="31"/>
    <x v="10"/>
    <n v="2.3199999999999998"/>
    <n v="31.61"/>
    <s v="10371492"/>
  </r>
  <r>
    <x v="211"/>
    <s v="2021-11-11"/>
    <x v="0"/>
    <x v="0"/>
    <n v="30"/>
    <x v="24"/>
    <n v="2.2200000000000002"/>
    <n v="30.21"/>
    <s v="22639377"/>
  </r>
  <r>
    <x v="211"/>
    <s v="2021-11-11"/>
    <x v="0"/>
    <x v="0"/>
    <n v="29"/>
    <x v="13"/>
    <n v="2.2200000000000002"/>
    <n v="30.13"/>
    <s v="07707650"/>
  </r>
  <r>
    <x v="211"/>
    <s v="2021-11-11"/>
    <x v="0"/>
    <x v="0"/>
    <n v="28"/>
    <x v="15"/>
    <n v="2.17"/>
    <n v="29.43"/>
    <s v="59588111"/>
  </r>
  <r>
    <x v="211"/>
    <s v="2021-11-11"/>
    <x v="0"/>
    <x v="0"/>
    <n v="27"/>
    <x v="20"/>
    <n v="2.06"/>
    <n v="27.66"/>
    <s v="17192451"/>
  </r>
  <r>
    <x v="211"/>
    <s v="2021-11-11"/>
    <x v="0"/>
    <x v="0"/>
    <n v="26"/>
    <x v="16"/>
    <n v="2.0099999999999998"/>
    <n v="27.01"/>
    <s v="07207996"/>
  </r>
  <r>
    <x v="211"/>
    <s v="2021-11-11"/>
    <x v="0"/>
    <x v="0"/>
    <n v="25"/>
    <x v="53"/>
    <n v="1.96"/>
    <n v="26.23"/>
    <s v="31872495"/>
  </r>
  <r>
    <x v="211"/>
    <s v="2021-11-11"/>
    <x v="0"/>
    <x v="0"/>
    <n v="24"/>
    <x v="28"/>
    <n v="1.95"/>
    <n v="26.12"/>
    <s v="90400888"/>
  </r>
  <r>
    <x v="211"/>
    <s v="2021-11-11"/>
    <x v="0"/>
    <x v="0"/>
    <n v="23"/>
    <x v="32"/>
    <n v="1.9"/>
    <n v="25.35"/>
    <s v="60701190"/>
  </r>
  <r>
    <x v="211"/>
    <s v="2021-11-11"/>
    <x v="0"/>
    <x v="0"/>
    <n v="22"/>
    <x v="21"/>
    <n v="1.85"/>
    <n v="24.67"/>
    <s v="03017677"/>
  </r>
  <r>
    <x v="211"/>
    <s v="2021-11-11"/>
    <x v="0"/>
    <x v="0"/>
    <n v="21"/>
    <x v="29"/>
    <n v="1.78"/>
    <n v="23.52"/>
    <s v="60746948"/>
  </r>
  <r>
    <x v="211"/>
    <s v="2021-11-11"/>
    <x v="0"/>
    <x v="0"/>
    <n v="20"/>
    <x v="30"/>
    <n v="1.75"/>
    <n v="23.18"/>
    <s v="03502961"/>
  </r>
  <r>
    <x v="211"/>
    <s v="2021-11-11"/>
    <x v="0"/>
    <x v="0"/>
    <n v="19"/>
    <x v="26"/>
    <n v="1.73"/>
    <n v="22.78"/>
    <s v="30172491"/>
  </r>
  <r>
    <x v="211"/>
    <s v="2021-11-11"/>
    <x v="0"/>
    <x v="0"/>
    <n v="18"/>
    <x v="23"/>
    <n v="1.65"/>
    <n v="21.67"/>
    <s v="03215790"/>
  </r>
  <r>
    <x v="211"/>
    <s v="2021-11-11"/>
    <x v="0"/>
    <x v="0"/>
    <n v="17"/>
    <x v="11"/>
    <n v="1.65"/>
    <n v="21.65"/>
    <s v="03634220"/>
  </r>
  <r>
    <x v="211"/>
    <s v="2021-11-11"/>
    <x v="0"/>
    <x v="0"/>
    <n v="16"/>
    <x v="12"/>
    <n v="1.64"/>
    <n v="21.57"/>
    <s v="04862600"/>
  </r>
  <r>
    <x v="211"/>
    <s v="2021-11-11"/>
    <x v="0"/>
    <x v="0"/>
    <n v="15"/>
    <x v="27"/>
    <n v="1.58"/>
    <n v="20.73"/>
    <s v="00000000"/>
  </r>
  <r>
    <x v="211"/>
    <s v="2021-11-11"/>
    <x v="0"/>
    <x v="0"/>
    <n v="14"/>
    <x v="25"/>
    <n v="1.58"/>
    <n v="20.62"/>
    <s v="59274605"/>
  </r>
  <r>
    <x v="211"/>
    <s v="2021-11-11"/>
    <x v="0"/>
    <x v="0"/>
    <n v="13"/>
    <x v="31"/>
    <n v="1.56"/>
    <n v="20.34"/>
    <s v="17167412"/>
  </r>
  <r>
    <x v="211"/>
    <s v="2021-11-11"/>
    <x v="0"/>
    <x v="0"/>
    <n v="12"/>
    <x v="34"/>
    <n v="1.52"/>
    <n v="19.850000000000001"/>
    <s v="33603457"/>
  </r>
  <r>
    <x v="211"/>
    <s v="2021-11-11"/>
    <x v="0"/>
    <x v="0"/>
    <n v="11"/>
    <x v="18"/>
    <n v="1.5"/>
    <n v="19.61"/>
    <s v="28127603"/>
  </r>
  <r>
    <x v="211"/>
    <s v="2021-11-11"/>
    <x v="0"/>
    <x v="0"/>
    <n v="10"/>
    <x v="33"/>
    <n v="1.46"/>
    <n v="19.02"/>
    <s v="62307848"/>
  </r>
  <r>
    <x v="211"/>
    <s v="2021-11-11"/>
    <x v="0"/>
    <x v="0"/>
    <n v="9"/>
    <x v="14"/>
    <n v="1.43"/>
    <n v="18.61"/>
    <s v="00360305"/>
  </r>
  <r>
    <x v="211"/>
    <s v="2021-11-11"/>
    <x v="0"/>
    <x v="0"/>
    <n v="8"/>
    <x v="35"/>
    <n v="1.37"/>
    <n v="17.7"/>
    <s v="59109165"/>
  </r>
  <r>
    <x v="211"/>
    <s v="2021-11-11"/>
    <x v="0"/>
    <x v="0"/>
    <n v="7"/>
    <x v="47"/>
    <n v="1.35"/>
    <n v="17.47"/>
    <s v="28517628"/>
  </r>
  <r>
    <x v="211"/>
    <s v="2021-11-11"/>
    <x v="0"/>
    <x v="0"/>
    <n v="6"/>
    <x v="44"/>
    <n v="1.32"/>
    <n v="17.010000000000002"/>
    <s v="58017179"/>
  </r>
  <r>
    <x v="211"/>
    <s v="2021-11-11"/>
    <x v="0"/>
    <x v="0"/>
    <n v="5"/>
    <x v="37"/>
    <n v="1.31"/>
    <n v="16.86"/>
    <s v="04452473"/>
  </r>
  <r>
    <x v="211"/>
    <s v="2021-11-11"/>
    <x v="0"/>
    <x v="0"/>
    <n v="4"/>
    <x v="38"/>
    <n v="1.26"/>
    <n v="16.239999999999998"/>
    <s v="60814191"/>
  </r>
  <r>
    <x v="211"/>
    <s v="2021-11-11"/>
    <x v="0"/>
    <x v="0"/>
    <n v="3"/>
    <x v="36"/>
    <n v="1.21"/>
    <n v="15.54"/>
    <s v="33136888"/>
  </r>
  <r>
    <x v="211"/>
    <s v="2021-11-11"/>
    <x v="0"/>
    <x v="0"/>
    <n v="2"/>
    <x v="39"/>
    <n v="1.17"/>
    <n v="14.99"/>
    <s v="04902979"/>
  </r>
  <r>
    <x v="211"/>
    <s v="2021-11-11"/>
    <x v="0"/>
    <x v="0"/>
    <n v="1"/>
    <x v="40"/>
    <n v="1.07"/>
    <n v="13.58"/>
    <s v="02992446"/>
  </r>
  <r>
    <x v="212"/>
    <s v="2021-11-12"/>
    <x v="0"/>
    <x v="0"/>
    <n v="42"/>
    <x v="3"/>
    <n v="3.4"/>
    <n v="49.38"/>
    <s v="05503849"/>
  </r>
  <r>
    <x v="212"/>
    <s v="2021-11-12"/>
    <x v="0"/>
    <x v="0"/>
    <n v="41"/>
    <x v="0"/>
    <n v="3.27"/>
    <n v="47.15"/>
    <s v="60850229"/>
  </r>
  <r>
    <x v="212"/>
    <s v="2021-11-12"/>
    <x v="0"/>
    <x v="0"/>
    <n v="40"/>
    <x v="1"/>
    <n v="3.27"/>
    <n v="47.12"/>
    <s v="01800019"/>
  </r>
  <r>
    <x v="212"/>
    <s v="2021-11-12"/>
    <x v="0"/>
    <x v="0"/>
    <n v="39"/>
    <x v="7"/>
    <n v="3.1"/>
    <n v="44.26"/>
    <s v="92874270"/>
  </r>
  <r>
    <x v="212"/>
    <s v="2021-11-12"/>
    <x v="0"/>
    <x v="0"/>
    <n v="38"/>
    <x v="2"/>
    <n v="3.1"/>
    <n v="44.19"/>
    <s v="92228410"/>
  </r>
  <r>
    <x v="212"/>
    <s v="2021-11-12"/>
    <x v="0"/>
    <x v="0"/>
    <n v="37"/>
    <x v="6"/>
    <n v="2.93"/>
    <n v="41.38"/>
    <s v="05676026"/>
  </r>
  <r>
    <x v="212"/>
    <s v="2021-11-12"/>
    <x v="0"/>
    <x v="0"/>
    <n v="36"/>
    <x v="9"/>
    <n v="2.73"/>
    <n v="38.1"/>
    <s v="00411939"/>
  </r>
  <r>
    <x v="212"/>
    <s v="2021-11-12"/>
    <x v="0"/>
    <x v="0"/>
    <n v="35"/>
    <x v="8"/>
    <n v="2.62"/>
    <n v="36.31"/>
    <s v="59285411"/>
  </r>
  <r>
    <x v="212"/>
    <s v="2021-11-12"/>
    <x v="0"/>
    <x v="0"/>
    <n v="34"/>
    <x v="42"/>
    <n v="2.56"/>
    <n v="35.479999999999997"/>
    <s v="34991938"/>
  </r>
  <r>
    <x v="212"/>
    <s v="2021-11-12"/>
    <x v="0"/>
    <x v="0"/>
    <n v="33"/>
    <x v="4"/>
    <n v="2.54"/>
    <n v="35.17"/>
    <s v="62232889"/>
  </r>
  <r>
    <x v="212"/>
    <s v="2021-11-12"/>
    <x v="0"/>
    <x v="0"/>
    <n v="32"/>
    <x v="5"/>
    <n v="2.4700000000000002"/>
    <n v="33.96"/>
    <s v="80271455"/>
  </r>
  <r>
    <x v="212"/>
    <s v="2021-11-12"/>
    <x v="0"/>
    <x v="0"/>
    <n v="31"/>
    <x v="10"/>
    <n v="2.33"/>
    <n v="31.83"/>
    <s v="10371492"/>
  </r>
  <r>
    <x v="212"/>
    <s v="2021-11-12"/>
    <x v="0"/>
    <x v="0"/>
    <n v="30"/>
    <x v="24"/>
    <n v="2.31"/>
    <n v="31.45"/>
    <s v="22639377"/>
  </r>
  <r>
    <x v="212"/>
    <s v="2021-11-12"/>
    <x v="0"/>
    <x v="0"/>
    <n v="29"/>
    <x v="13"/>
    <n v="2.23"/>
    <n v="30.22"/>
    <s v="07707650"/>
  </r>
  <r>
    <x v="212"/>
    <s v="2021-11-12"/>
    <x v="0"/>
    <x v="0"/>
    <n v="28"/>
    <x v="15"/>
    <n v="2.16"/>
    <n v="29.29"/>
    <s v="59588111"/>
  </r>
  <r>
    <x v="212"/>
    <s v="2021-11-12"/>
    <x v="0"/>
    <x v="0"/>
    <n v="27"/>
    <x v="28"/>
    <n v="2.06"/>
    <n v="27.75"/>
    <s v="90400888"/>
  </r>
  <r>
    <x v="212"/>
    <s v="2021-11-12"/>
    <x v="0"/>
    <x v="0"/>
    <n v="26"/>
    <x v="20"/>
    <n v="2.0499999999999998"/>
    <n v="27.64"/>
    <s v="17192451"/>
  </r>
  <r>
    <x v="212"/>
    <s v="2021-11-12"/>
    <x v="0"/>
    <x v="0"/>
    <n v="25"/>
    <x v="16"/>
    <n v="2.02"/>
    <n v="27.08"/>
    <s v="07207996"/>
  </r>
  <r>
    <x v="212"/>
    <s v="2021-11-12"/>
    <x v="0"/>
    <x v="0"/>
    <n v="24"/>
    <x v="53"/>
    <n v="1.96"/>
    <n v="26.27"/>
    <s v="31872495"/>
  </r>
  <r>
    <x v="212"/>
    <s v="2021-11-12"/>
    <x v="0"/>
    <x v="0"/>
    <n v="23"/>
    <x v="32"/>
    <n v="1.91"/>
    <n v="25.44"/>
    <s v="60701190"/>
  </r>
  <r>
    <x v="212"/>
    <s v="2021-11-12"/>
    <x v="0"/>
    <x v="0"/>
    <n v="22"/>
    <x v="21"/>
    <n v="1.85"/>
    <n v="24.57"/>
    <s v="03017677"/>
  </r>
  <r>
    <x v="212"/>
    <s v="2021-11-12"/>
    <x v="0"/>
    <x v="0"/>
    <n v="21"/>
    <x v="44"/>
    <n v="1.78"/>
    <n v="23.64"/>
    <s v="58017179"/>
  </r>
  <r>
    <x v="212"/>
    <s v="2021-11-12"/>
    <x v="0"/>
    <x v="0"/>
    <n v="20"/>
    <x v="29"/>
    <n v="1.78"/>
    <n v="23.56"/>
    <s v="60746948"/>
  </r>
  <r>
    <x v="212"/>
    <s v="2021-11-12"/>
    <x v="0"/>
    <x v="0"/>
    <n v="19"/>
    <x v="30"/>
    <n v="1.78"/>
    <n v="23.54"/>
    <s v="03502961"/>
  </r>
  <r>
    <x v="212"/>
    <s v="2021-11-12"/>
    <x v="0"/>
    <x v="0"/>
    <n v="18"/>
    <x v="26"/>
    <n v="1.74"/>
    <n v="22.93"/>
    <s v="30172491"/>
  </r>
  <r>
    <x v="212"/>
    <s v="2021-11-12"/>
    <x v="0"/>
    <x v="0"/>
    <n v="17"/>
    <x v="23"/>
    <n v="1.67"/>
    <n v="22.05"/>
    <s v="03215790"/>
  </r>
  <r>
    <x v="212"/>
    <s v="2021-11-12"/>
    <x v="0"/>
    <x v="0"/>
    <n v="16"/>
    <x v="11"/>
    <n v="1.65"/>
    <n v="21.69"/>
    <s v="03634220"/>
  </r>
  <r>
    <x v="212"/>
    <s v="2021-11-12"/>
    <x v="0"/>
    <x v="0"/>
    <n v="15"/>
    <x v="12"/>
    <n v="1.64"/>
    <n v="21.48"/>
    <s v="04862600"/>
  </r>
  <r>
    <x v="212"/>
    <s v="2021-11-12"/>
    <x v="0"/>
    <x v="0"/>
    <n v="14"/>
    <x v="31"/>
    <n v="1.62"/>
    <n v="21.25"/>
    <s v="17167412"/>
  </r>
  <r>
    <x v="212"/>
    <s v="2021-11-12"/>
    <x v="0"/>
    <x v="0"/>
    <n v="13"/>
    <x v="27"/>
    <n v="1.58"/>
    <n v="20.73"/>
    <s v="00000000"/>
  </r>
  <r>
    <x v="212"/>
    <s v="2021-11-12"/>
    <x v="0"/>
    <x v="0"/>
    <n v="12"/>
    <x v="25"/>
    <n v="1.57"/>
    <n v="20.62"/>
    <s v="59274605"/>
  </r>
  <r>
    <x v="212"/>
    <s v="2021-11-12"/>
    <x v="0"/>
    <x v="0"/>
    <n v="11"/>
    <x v="34"/>
    <n v="1.52"/>
    <n v="19.829999999999998"/>
    <s v="33603457"/>
  </r>
  <r>
    <x v="212"/>
    <s v="2021-11-12"/>
    <x v="0"/>
    <x v="0"/>
    <n v="10"/>
    <x v="18"/>
    <n v="1.52"/>
    <n v="19.8"/>
    <s v="28127603"/>
  </r>
  <r>
    <x v="212"/>
    <s v="2021-11-12"/>
    <x v="0"/>
    <x v="0"/>
    <n v="9"/>
    <x v="33"/>
    <n v="1.48"/>
    <n v="19.21"/>
    <s v="62307848"/>
  </r>
  <r>
    <x v="212"/>
    <s v="2021-11-12"/>
    <x v="0"/>
    <x v="0"/>
    <n v="8"/>
    <x v="14"/>
    <n v="1.41"/>
    <n v="18.350000000000001"/>
    <s v="00360305"/>
  </r>
  <r>
    <x v="212"/>
    <s v="2021-11-12"/>
    <x v="0"/>
    <x v="0"/>
    <n v="7"/>
    <x v="47"/>
    <n v="1.39"/>
    <n v="18"/>
    <s v="28517628"/>
  </r>
  <r>
    <x v="212"/>
    <s v="2021-11-12"/>
    <x v="0"/>
    <x v="0"/>
    <n v="6"/>
    <x v="35"/>
    <n v="1.39"/>
    <n v="17.97"/>
    <s v="59109165"/>
  </r>
  <r>
    <x v="212"/>
    <s v="2021-11-12"/>
    <x v="0"/>
    <x v="0"/>
    <n v="5"/>
    <x v="37"/>
    <n v="1.31"/>
    <n v="16.850000000000001"/>
    <s v="04452473"/>
  </r>
  <r>
    <x v="212"/>
    <s v="2021-11-12"/>
    <x v="0"/>
    <x v="0"/>
    <n v="4"/>
    <x v="38"/>
    <n v="1.28"/>
    <n v="16.54"/>
    <s v="60814191"/>
  </r>
  <r>
    <x v="212"/>
    <s v="2021-11-12"/>
    <x v="0"/>
    <x v="0"/>
    <n v="3"/>
    <x v="36"/>
    <n v="1.21"/>
    <n v="15.54"/>
    <s v="33136888"/>
  </r>
  <r>
    <x v="212"/>
    <s v="2021-11-12"/>
    <x v="0"/>
    <x v="0"/>
    <n v="2"/>
    <x v="39"/>
    <n v="1.17"/>
    <n v="14.99"/>
    <s v="04902979"/>
  </r>
  <r>
    <x v="212"/>
    <s v="2021-11-12"/>
    <x v="0"/>
    <x v="0"/>
    <n v="1"/>
    <x v="40"/>
    <n v="1.07"/>
    <n v="13.58"/>
    <s v="02992446"/>
  </r>
  <r>
    <x v="213"/>
    <s v="2021-11-16"/>
    <x v="0"/>
    <x v="0"/>
    <n v="42"/>
    <x v="3"/>
    <n v="3.34"/>
    <n v="48.39"/>
    <s v="05503849"/>
  </r>
  <r>
    <x v="213"/>
    <s v="2021-11-16"/>
    <x v="0"/>
    <x v="0"/>
    <n v="41"/>
    <x v="0"/>
    <n v="3.32"/>
    <n v="47.97"/>
    <s v="60850229"/>
  </r>
  <r>
    <x v="213"/>
    <s v="2021-11-16"/>
    <x v="0"/>
    <x v="0"/>
    <n v="40"/>
    <x v="1"/>
    <n v="3.17"/>
    <n v="45.48"/>
    <s v="01800019"/>
  </r>
  <r>
    <x v="213"/>
    <s v="2021-11-16"/>
    <x v="0"/>
    <x v="0"/>
    <n v="39"/>
    <x v="7"/>
    <n v="3.12"/>
    <n v="44.5"/>
    <s v="92874270"/>
  </r>
  <r>
    <x v="213"/>
    <s v="2021-11-16"/>
    <x v="0"/>
    <x v="0"/>
    <n v="38"/>
    <x v="2"/>
    <n v="3.1"/>
    <n v="44.2"/>
    <s v="92228410"/>
  </r>
  <r>
    <x v="213"/>
    <s v="2021-11-16"/>
    <x v="0"/>
    <x v="0"/>
    <n v="37"/>
    <x v="6"/>
    <n v="2.93"/>
    <n v="41.41"/>
    <s v="05676026"/>
  </r>
  <r>
    <x v="213"/>
    <s v="2021-11-16"/>
    <x v="0"/>
    <x v="0"/>
    <n v="36"/>
    <x v="9"/>
    <n v="2.75"/>
    <n v="38.47"/>
    <s v="00411939"/>
  </r>
  <r>
    <x v="213"/>
    <s v="2021-11-16"/>
    <x v="0"/>
    <x v="0"/>
    <n v="35"/>
    <x v="8"/>
    <n v="2.63"/>
    <n v="36.520000000000003"/>
    <s v="59285411"/>
  </r>
  <r>
    <x v="213"/>
    <s v="2021-11-16"/>
    <x v="0"/>
    <x v="0"/>
    <n v="34"/>
    <x v="4"/>
    <n v="2.5299999999999998"/>
    <n v="34.96"/>
    <s v="62232889"/>
  </r>
  <r>
    <x v="213"/>
    <s v="2021-11-16"/>
    <x v="0"/>
    <x v="0"/>
    <n v="33"/>
    <x v="42"/>
    <n v="2.5099999999999998"/>
    <n v="34.67"/>
    <s v="34991938"/>
  </r>
  <r>
    <x v="213"/>
    <s v="2021-11-16"/>
    <x v="0"/>
    <x v="0"/>
    <n v="32"/>
    <x v="5"/>
    <n v="2.4500000000000002"/>
    <n v="33.75"/>
    <s v="80271455"/>
  </r>
  <r>
    <x v="213"/>
    <s v="2021-11-16"/>
    <x v="0"/>
    <x v="0"/>
    <n v="31"/>
    <x v="10"/>
    <n v="2.33"/>
    <n v="31.88"/>
    <s v="10371492"/>
  </r>
  <r>
    <x v="213"/>
    <s v="2021-11-16"/>
    <x v="0"/>
    <x v="0"/>
    <n v="30"/>
    <x v="24"/>
    <n v="2.33"/>
    <n v="31.85"/>
    <s v="22639377"/>
  </r>
  <r>
    <x v="213"/>
    <s v="2021-11-16"/>
    <x v="0"/>
    <x v="0"/>
    <n v="29"/>
    <x v="13"/>
    <n v="2.23"/>
    <n v="30.36"/>
    <s v="07707650"/>
  </r>
  <r>
    <x v="213"/>
    <s v="2021-11-16"/>
    <x v="0"/>
    <x v="0"/>
    <n v="28"/>
    <x v="15"/>
    <n v="2.16"/>
    <n v="29.29"/>
    <s v="59588111"/>
  </r>
  <r>
    <x v="213"/>
    <s v="2021-11-16"/>
    <x v="0"/>
    <x v="0"/>
    <n v="27"/>
    <x v="28"/>
    <n v="2.08"/>
    <n v="27.98"/>
    <s v="90400888"/>
  </r>
  <r>
    <x v="213"/>
    <s v="2021-11-16"/>
    <x v="0"/>
    <x v="0"/>
    <n v="26"/>
    <x v="53"/>
    <n v="2.0699999999999998"/>
    <n v="27.91"/>
    <s v="31872495"/>
  </r>
  <r>
    <x v="213"/>
    <s v="2021-11-16"/>
    <x v="0"/>
    <x v="0"/>
    <n v="25"/>
    <x v="20"/>
    <n v="2.0499999999999998"/>
    <n v="27.54"/>
    <s v="17192451"/>
  </r>
  <r>
    <x v="213"/>
    <s v="2021-11-16"/>
    <x v="0"/>
    <x v="0"/>
    <n v="24"/>
    <x v="16"/>
    <n v="2.0099999999999998"/>
    <n v="27"/>
    <s v="07207996"/>
  </r>
  <r>
    <x v="213"/>
    <s v="2021-11-16"/>
    <x v="0"/>
    <x v="0"/>
    <n v="23"/>
    <x v="32"/>
    <n v="1.9"/>
    <n v="25.39"/>
    <s v="60701190"/>
  </r>
  <r>
    <x v="213"/>
    <s v="2021-11-16"/>
    <x v="0"/>
    <x v="0"/>
    <n v="22"/>
    <x v="21"/>
    <n v="1.84"/>
    <n v="24.41"/>
    <s v="03017677"/>
  </r>
  <r>
    <x v="213"/>
    <s v="2021-11-16"/>
    <x v="0"/>
    <x v="0"/>
    <n v="21"/>
    <x v="44"/>
    <n v="1.78"/>
    <n v="23.64"/>
    <s v="58017179"/>
  </r>
  <r>
    <x v="213"/>
    <s v="2021-11-16"/>
    <x v="0"/>
    <x v="0"/>
    <n v="20"/>
    <x v="29"/>
    <n v="1.78"/>
    <n v="23.64"/>
    <s v="60746948"/>
  </r>
  <r>
    <x v="213"/>
    <s v="2021-11-16"/>
    <x v="0"/>
    <x v="0"/>
    <n v="19"/>
    <x v="30"/>
    <n v="1.77"/>
    <n v="23.38"/>
    <s v="03502961"/>
  </r>
  <r>
    <x v="213"/>
    <s v="2021-11-16"/>
    <x v="0"/>
    <x v="0"/>
    <n v="18"/>
    <x v="26"/>
    <n v="1.77"/>
    <n v="23.37"/>
    <s v="30172491"/>
  </r>
  <r>
    <x v="213"/>
    <s v="2021-11-16"/>
    <x v="0"/>
    <x v="0"/>
    <n v="17"/>
    <x v="23"/>
    <n v="1.69"/>
    <n v="22.34"/>
    <s v="03215790"/>
  </r>
  <r>
    <x v="213"/>
    <s v="2021-11-16"/>
    <x v="0"/>
    <x v="0"/>
    <n v="16"/>
    <x v="12"/>
    <n v="1.65"/>
    <n v="21.67"/>
    <s v="04862600"/>
  </r>
  <r>
    <x v="213"/>
    <s v="2021-11-16"/>
    <x v="0"/>
    <x v="0"/>
    <n v="15"/>
    <x v="11"/>
    <n v="1.65"/>
    <n v="21.65"/>
    <s v="03634220"/>
  </r>
  <r>
    <x v="213"/>
    <s v="2021-11-16"/>
    <x v="0"/>
    <x v="0"/>
    <n v="14"/>
    <x v="31"/>
    <n v="1.64"/>
    <n v="21.56"/>
    <s v="17167412"/>
  </r>
  <r>
    <x v="213"/>
    <s v="2021-11-16"/>
    <x v="0"/>
    <x v="0"/>
    <n v="13"/>
    <x v="25"/>
    <n v="1.59"/>
    <n v="20.84"/>
    <s v="59274605"/>
  </r>
  <r>
    <x v="213"/>
    <s v="2021-11-16"/>
    <x v="0"/>
    <x v="0"/>
    <n v="12"/>
    <x v="27"/>
    <n v="1.59"/>
    <n v="20.83"/>
    <s v="00000000"/>
  </r>
  <r>
    <x v="213"/>
    <s v="2021-11-16"/>
    <x v="0"/>
    <x v="0"/>
    <n v="11"/>
    <x v="34"/>
    <n v="1.53"/>
    <n v="19.93"/>
    <s v="33603457"/>
  </r>
  <r>
    <x v="213"/>
    <s v="2021-11-16"/>
    <x v="0"/>
    <x v="0"/>
    <n v="10"/>
    <x v="18"/>
    <n v="1.52"/>
    <n v="19.89"/>
    <s v="28127603"/>
  </r>
  <r>
    <x v="213"/>
    <s v="2021-11-16"/>
    <x v="0"/>
    <x v="0"/>
    <n v="9"/>
    <x v="33"/>
    <n v="1.48"/>
    <n v="19.29"/>
    <s v="62307848"/>
  </r>
  <r>
    <x v="213"/>
    <s v="2021-11-16"/>
    <x v="0"/>
    <x v="0"/>
    <n v="8"/>
    <x v="14"/>
    <n v="1.42"/>
    <n v="18.38"/>
    <s v="00360305"/>
  </r>
  <r>
    <x v="213"/>
    <s v="2021-11-16"/>
    <x v="0"/>
    <x v="0"/>
    <n v="7"/>
    <x v="47"/>
    <n v="1.41"/>
    <n v="18.329999999999998"/>
    <s v="28517628"/>
  </r>
  <r>
    <x v="213"/>
    <s v="2021-11-16"/>
    <x v="0"/>
    <x v="0"/>
    <n v="6"/>
    <x v="35"/>
    <n v="1.41"/>
    <n v="18.32"/>
    <s v="59109165"/>
  </r>
  <r>
    <x v="213"/>
    <s v="2021-11-16"/>
    <x v="0"/>
    <x v="0"/>
    <n v="5"/>
    <x v="37"/>
    <n v="1.31"/>
    <n v="16.86"/>
    <s v="04452473"/>
  </r>
  <r>
    <x v="213"/>
    <s v="2021-11-16"/>
    <x v="0"/>
    <x v="0"/>
    <n v="4"/>
    <x v="38"/>
    <n v="1.27"/>
    <n v="16.34"/>
    <s v="60814191"/>
  </r>
  <r>
    <x v="213"/>
    <s v="2021-11-16"/>
    <x v="0"/>
    <x v="0"/>
    <n v="3"/>
    <x v="36"/>
    <n v="1.22"/>
    <n v="15.66"/>
    <s v="33136888"/>
  </r>
  <r>
    <x v="213"/>
    <s v="2021-11-16"/>
    <x v="0"/>
    <x v="0"/>
    <n v="2"/>
    <x v="39"/>
    <n v="1.1000000000000001"/>
    <n v="14"/>
    <s v="04902979"/>
  </r>
  <r>
    <x v="213"/>
    <s v="2021-11-16"/>
    <x v="0"/>
    <x v="0"/>
    <n v="1"/>
    <x v="40"/>
    <n v="1.07"/>
    <n v="13.6"/>
    <s v="02992446"/>
  </r>
  <r>
    <x v="214"/>
    <s v="2021-11-17"/>
    <x v="0"/>
    <x v="0"/>
    <n v="41"/>
    <x v="0"/>
    <n v="3.43"/>
    <n v="49.95"/>
    <s v="60850229"/>
  </r>
  <r>
    <x v="214"/>
    <s v="2021-11-17"/>
    <x v="0"/>
    <x v="0"/>
    <n v="40"/>
    <x v="3"/>
    <n v="3.34"/>
    <n v="48.39"/>
    <s v="05503849"/>
  </r>
  <r>
    <x v="214"/>
    <s v="2021-11-17"/>
    <x v="0"/>
    <x v="0"/>
    <n v="39"/>
    <x v="7"/>
    <n v="3.11"/>
    <n v="44.47"/>
    <s v="92874270"/>
  </r>
  <r>
    <x v="214"/>
    <s v="2021-11-17"/>
    <x v="0"/>
    <x v="0"/>
    <n v="38"/>
    <x v="2"/>
    <n v="3.1"/>
    <n v="44.25"/>
    <s v="92228410"/>
  </r>
  <r>
    <x v="214"/>
    <s v="2021-11-17"/>
    <x v="0"/>
    <x v="0"/>
    <n v="37"/>
    <x v="1"/>
    <n v="3.06"/>
    <n v="43.62"/>
    <s v="01800019"/>
  </r>
  <r>
    <x v="214"/>
    <s v="2021-11-17"/>
    <x v="0"/>
    <x v="0"/>
    <n v="36"/>
    <x v="6"/>
    <n v="2.93"/>
    <n v="41.41"/>
    <s v="05676026"/>
  </r>
  <r>
    <x v="214"/>
    <s v="2021-11-17"/>
    <x v="0"/>
    <x v="0"/>
    <n v="35"/>
    <x v="9"/>
    <n v="2.77"/>
    <n v="38.799999999999997"/>
    <s v="00411939"/>
  </r>
  <r>
    <x v="214"/>
    <s v="2021-11-17"/>
    <x v="0"/>
    <x v="0"/>
    <n v="34"/>
    <x v="8"/>
    <n v="2.63"/>
    <n v="36.57"/>
    <s v="59285411"/>
  </r>
  <r>
    <x v="214"/>
    <s v="2021-11-17"/>
    <x v="0"/>
    <x v="0"/>
    <n v="33"/>
    <x v="4"/>
    <n v="2.52"/>
    <n v="34.799999999999997"/>
    <s v="62232889"/>
  </r>
  <r>
    <x v="214"/>
    <s v="2021-11-17"/>
    <x v="0"/>
    <x v="0"/>
    <n v="32"/>
    <x v="42"/>
    <n v="2.4900000000000002"/>
    <n v="34.28"/>
    <s v="34991938"/>
  </r>
  <r>
    <x v="214"/>
    <s v="2021-11-17"/>
    <x v="0"/>
    <x v="0"/>
    <n v="31"/>
    <x v="5"/>
    <n v="2.46"/>
    <n v="33.85"/>
    <s v="80271455"/>
  </r>
  <r>
    <x v="214"/>
    <s v="2021-11-17"/>
    <x v="0"/>
    <x v="0"/>
    <n v="30"/>
    <x v="24"/>
    <n v="2.34"/>
    <n v="32.03"/>
    <s v="22639377"/>
  </r>
  <r>
    <x v="214"/>
    <s v="2021-11-17"/>
    <x v="0"/>
    <x v="0"/>
    <n v="29"/>
    <x v="10"/>
    <n v="2.33"/>
    <n v="31.83"/>
    <s v="10371492"/>
  </r>
  <r>
    <x v="214"/>
    <s v="2021-11-17"/>
    <x v="0"/>
    <x v="0"/>
    <n v="28"/>
    <x v="13"/>
    <n v="2.25"/>
    <n v="30.53"/>
    <s v="07707650"/>
  </r>
  <r>
    <x v="214"/>
    <s v="2021-11-17"/>
    <x v="0"/>
    <x v="0"/>
    <n v="27"/>
    <x v="15"/>
    <n v="2.16"/>
    <n v="29.29"/>
    <s v="59588111"/>
  </r>
  <r>
    <x v="214"/>
    <s v="2021-11-17"/>
    <x v="0"/>
    <x v="0"/>
    <n v="26"/>
    <x v="53"/>
    <n v="2.15"/>
    <n v="29.04"/>
    <s v="31872495"/>
  </r>
  <r>
    <x v="214"/>
    <s v="2021-11-17"/>
    <x v="0"/>
    <x v="0"/>
    <n v="25"/>
    <x v="28"/>
    <n v="2.11"/>
    <n v="28.5"/>
    <s v="90400888"/>
  </r>
  <r>
    <x v="214"/>
    <s v="2021-11-17"/>
    <x v="0"/>
    <x v="0"/>
    <n v="24"/>
    <x v="20"/>
    <n v="2.04"/>
    <n v="27.39"/>
    <s v="17192451"/>
  </r>
  <r>
    <x v="214"/>
    <s v="2021-11-17"/>
    <x v="0"/>
    <x v="0"/>
    <n v="23"/>
    <x v="16"/>
    <n v="2.0099999999999998"/>
    <n v="26.92"/>
    <s v="07207996"/>
  </r>
  <r>
    <x v="214"/>
    <s v="2021-11-17"/>
    <x v="0"/>
    <x v="0"/>
    <n v="22"/>
    <x v="32"/>
    <n v="1.9"/>
    <n v="25.29"/>
    <s v="60701190"/>
  </r>
  <r>
    <x v="214"/>
    <s v="2021-11-17"/>
    <x v="0"/>
    <x v="0"/>
    <n v="21"/>
    <x v="21"/>
    <n v="1.83"/>
    <n v="24.23"/>
    <s v="03017677"/>
  </r>
  <r>
    <x v="214"/>
    <s v="2021-11-17"/>
    <x v="0"/>
    <x v="0"/>
    <n v="20"/>
    <x v="29"/>
    <n v="1.8"/>
    <n v="23.84"/>
    <s v="60746948"/>
  </r>
  <r>
    <x v="214"/>
    <s v="2021-11-17"/>
    <x v="0"/>
    <x v="0"/>
    <n v="19"/>
    <x v="26"/>
    <n v="1.78"/>
    <n v="23.6"/>
    <s v="30172491"/>
  </r>
  <r>
    <x v="214"/>
    <s v="2021-11-17"/>
    <x v="0"/>
    <x v="0"/>
    <n v="18"/>
    <x v="30"/>
    <n v="1.74"/>
    <n v="23.04"/>
    <s v="03502961"/>
  </r>
  <r>
    <x v="214"/>
    <s v="2021-11-17"/>
    <x v="0"/>
    <x v="0"/>
    <n v="17"/>
    <x v="12"/>
    <n v="1.7"/>
    <n v="22.42"/>
    <s v="04862600"/>
  </r>
  <r>
    <x v="214"/>
    <s v="2021-11-17"/>
    <x v="0"/>
    <x v="0"/>
    <n v="16"/>
    <x v="23"/>
    <n v="1.7"/>
    <n v="22.42"/>
    <s v="03215790"/>
  </r>
  <r>
    <x v="214"/>
    <s v="2021-11-17"/>
    <x v="0"/>
    <x v="0"/>
    <n v="15"/>
    <x v="11"/>
    <n v="1.65"/>
    <n v="21.73"/>
    <s v="03634220"/>
  </r>
  <r>
    <x v="214"/>
    <s v="2021-11-17"/>
    <x v="0"/>
    <x v="0"/>
    <n v="14"/>
    <x v="31"/>
    <n v="1.63"/>
    <n v="21.47"/>
    <s v="17167412"/>
  </r>
  <r>
    <x v="214"/>
    <s v="2021-11-17"/>
    <x v="0"/>
    <x v="0"/>
    <n v="13"/>
    <x v="25"/>
    <n v="1.59"/>
    <n v="20.84"/>
    <s v="59274605"/>
  </r>
  <r>
    <x v="214"/>
    <s v="2021-11-17"/>
    <x v="0"/>
    <x v="0"/>
    <n v="12"/>
    <x v="27"/>
    <n v="1.57"/>
    <n v="20.55"/>
    <s v="00000000"/>
  </r>
  <r>
    <x v="214"/>
    <s v="2021-11-17"/>
    <x v="0"/>
    <x v="0"/>
    <n v="11"/>
    <x v="34"/>
    <n v="1.55"/>
    <n v="20.329999999999998"/>
    <s v="33603457"/>
  </r>
  <r>
    <x v="214"/>
    <s v="2021-11-17"/>
    <x v="0"/>
    <x v="0"/>
    <n v="10"/>
    <x v="14"/>
    <n v="1.53"/>
    <n v="19.91"/>
    <s v="00360305"/>
  </r>
  <r>
    <x v="214"/>
    <s v="2021-11-17"/>
    <x v="0"/>
    <x v="0"/>
    <n v="9"/>
    <x v="18"/>
    <n v="1.5"/>
    <n v="19.579999999999998"/>
    <s v="28127603"/>
  </r>
  <r>
    <x v="214"/>
    <s v="2021-11-17"/>
    <x v="0"/>
    <x v="0"/>
    <n v="8"/>
    <x v="33"/>
    <n v="1.49"/>
    <n v="19.350000000000001"/>
    <s v="62307848"/>
  </r>
  <r>
    <x v="214"/>
    <s v="2021-11-17"/>
    <x v="0"/>
    <x v="0"/>
    <n v="7"/>
    <x v="35"/>
    <n v="1.42"/>
    <n v="18.48"/>
    <s v="59109165"/>
  </r>
  <r>
    <x v="214"/>
    <s v="2021-11-17"/>
    <x v="0"/>
    <x v="0"/>
    <n v="6"/>
    <x v="47"/>
    <n v="1.41"/>
    <n v="18.329999999999998"/>
    <s v="28517628"/>
  </r>
  <r>
    <x v="214"/>
    <s v="2021-11-17"/>
    <x v="0"/>
    <x v="0"/>
    <n v="5"/>
    <x v="37"/>
    <n v="1.31"/>
    <n v="16.920000000000002"/>
    <s v="04452473"/>
  </r>
  <r>
    <x v="214"/>
    <s v="2021-11-17"/>
    <x v="0"/>
    <x v="0"/>
    <n v="4"/>
    <x v="38"/>
    <n v="1.26"/>
    <n v="16.22"/>
    <s v="60814191"/>
  </r>
  <r>
    <x v="214"/>
    <s v="2021-11-17"/>
    <x v="0"/>
    <x v="0"/>
    <n v="3"/>
    <x v="36"/>
    <n v="1.21"/>
    <n v="15.56"/>
    <s v="33136888"/>
  </r>
  <r>
    <x v="214"/>
    <s v="2021-11-17"/>
    <x v="0"/>
    <x v="0"/>
    <n v="2"/>
    <x v="39"/>
    <n v="1.1000000000000001"/>
    <n v="14"/>
    <s v="04902979"/>
  </r>
  <r>
    <x v="214"/>
    <s v="2021-11-17"/>
    <x v="0"/>
    <x v="0"/>
    <n v="1"/>
    <x v="40"/>
    <n v="1.08"/>
    <n v="13.77"/>
    <s v="02992446"/>
  </r>
  <r>
    <x v="215"/>
    <s v="2021-11-18"/>
    <x v="0"/>
    <x v="0"/>
    <n v="42"/>
    <x v="3"/>
    <n v="3.37"/>
    <n v="48.92"/>
    <s v="05503849"/>
  </r>
  <r>
    <x v="215"/>
    <s v="2021-11-18"/>
    <x v="0"/>
    <x v="0"/>
    <n v="41"/>
    <x v="0"/>
    <n v="3.29"/>
    <n v="47.39"/>
    <s v="60850229"/>
  </r>
  <r>
    <x v="215"/>
    <s v="2021-11-18"/>
    <x v="0"/>
    <x v="0"/>
    <n v="40"/>
    <x v="7"/>
    <n v="3.11"/>
    <n v="44.41"/>
    <s v="92874270"/>
  </r>
  <r>
    <x v="215"/>
    <s v="2021-11-18"/>
    <x v="0"/>
    <x v="0"/>
    <n v="39"/>
    <x v="2"/>
    <n v="3.09"/>
    <n v="44.07"/>
    <s v="92228410"/>
  </r>
  <r>
    <x v="215"/>
    <s v="2021-11-18"/>
    <x v="0"/>
    <x v="0"/>
    <n v="38"/>
    <x v="1"/>
    <n v="3.07"/>
    <n v="43.82"/>
    <s v="01800019"/>
  </r>
  <r>
    <x v="215"/>
    <s v="2021-11-18"/>
    <x v="0"/>
    <x v="0"/>
    <n v="37"/>
    <x v="6"/>
    <n v="2.93"/>
    <n v="41.45"/>
    <s v="05676026"/>
  </r>
  <r>
    <x v="215"/>
    <s v="2021-11-18"/>
    <x v="0"/>
    <x v="0"/>
    <n v="36"/>
    <x v="9"/>
    <n v="2.85"/>
    <n v="40.020000000000003"/>
    <s v="00411939"/>
  </r>
  <r>
    <x v="215"/>
    <s v="2021-11-18"/>
    <x v="0"/>
    <x v="0"/>
    <n v="35"/>
    <x v="8"/>
    <n v="2.64"/>
    <n v="36.659999999999997"/>
    <s v="59285411"/>
  </r>
  <r>
    <x v="215"/>
    <s v="2021-11-18"/>
    <x v="0"/>
    <x v="0"/>
    <n v="34"/>
    <x v="4"/>
    <n v="2.52"/>
    <n v="34.770000000000003"/>
    <s v="62232889"/>
  </r>
  <r>
    <x v="215"/>
    <s v="2021-11-18"/>
    <x v="0"/>
    <x v="0"/>
    <n v="33"/>
    <x v="42"/>
    <n v="2.5"/>
    <n v="34.5"/>
    <s v="34991938"/>
  </r>
  <r>
    <x v="215"/>
    <s v="2021-11-18"/>
    <x v="0"/>
    <x v="0"/>
    <n v="32"/>
    <x v="5"/>
    <n v="2.4500000000000002"/>
    <n v="33.64"/>
    <s v="80271455"/>
  </r>
  <r>
    <x v="215"/>
    <s v="2021-11-18"/>
    <x v="0"/>
    <x v="0"/>
    <n v="31"/>
    <x v="24"/>
    <n v="2.39"/>
    <n v="32.76"/>
    <s v="22639377"/>
  </r>
  <r>
    <x v="215"/>
    <s v="2021-11-18"/>
    <x v="0"/>
    <x v="0"/>
    <n v="30"/>
    <x v="10"/>
    <n v="2.3199999999999998"/>
    <n v="31.73"/>
    <s v="10371492"/>
  </r>
  <r>
    <x v="215"/>
    <s v="2021-11-18"/>
    <x v="0"/>
    <x v="0"/>
    <n v="29"/>
    <x v="13"/>
    <n v="2.2599999999999998"/>
    <n v="30.68"/>
    <s v="07707650"/>
  </r>
  <r>
    <x v="215"/>
    <s v="2021-11-18"/>
    <x v="0"/>
    <x v="0"/>
    <n v="28"/>
    <x v="15"/>
    <n v="2.16"/>
    <n v="29.29"/>
    <s v="59588111"/>
  </r>
  <r>
    <x v="215"/>
    <s v="2021-11-18"/>
    <x v="0"/>
    <x v="0"/>
    <n v="27"/>
    <x v="53"/>
    <n v="2.13"/>
    <n v="28.8"/>
    <s v="31872495"/>
  </r>
  <r>
    <x v="215"/>
    <s v="2021-11-18"/>
    <x v="0"/>
    <x v="0"/>
    <n v="26"/>
    <x v="28"/>
    <n v="2.04"/>
    <n v="27.34"/>
    <s v="90400888"/>
  </r>
  <r>
    <x v="215"/>
    <s v="2021-11-18"/>
    <x v="0"/>
    <x v="0"/>
    <n v="25"/>
    <x v="20"/>
    <n v="2.0299999999999998"/>
    <n v="27.27"/>
    <s v="17192451"/>
  </r>
  <r>
    <x v="215"/>
    <s v="2021-11-18"/>
    <x v="0"/>
    <x v="0"/>
    <n v="24"/>
    <x v="16"/>
    <n v="2.0099999999999998"/>
    <n v="26.93"/>
    <s v="07207996"/>
  </r>
  <r>
    <x v="215"/>
    <s v="2021-11-18"/>
    <x v="0"/>
    <x v="0"/>
    <n v="23"/>
    <x v="32"/>
    <n v="1.88"/>
    <n v="25.04"/>
    <s v="60701190"/>
  </r>
  <r>
    <x v="215"/>
    <s v="2021-11-18"/>
    <x v="0"/>
    <x v="0"/>
    <n v="22"/>
    <x v="21"/>
    <n v="1.82"/>
    <n v="24.12"/>
    <s v="03017677"/>
  </r>
  <r>
    <x v="215"/>
    <s v="2021-11-18"/>
    <x v="0"/>
    <x v="0"/>
    <n v="21"/>
    <x v="29"/>
    <n v="1.8"/>
    <n v="23.82"/>
    <s v="60746948"/>
  </r>
  <r>
    <x v="215"/>
    <s v="2021-11-18"/>
    <x v="0"/>
    <x v="0"/>
    <n v="20"/>
    <x v="26"/>
    <n v="1.79"/>
    <n v="23.75"/>
    <s v="30172491"/>
  </r>
  <r>
    <x v="215"/>
    <s v="2021-11-18"/>
    <x v="0"/>
    <x v="0"/>
    <n v="19"/>
    <x v="30"/>
    <n v="1.76"/>
    <n v="23.33"/>
    <s v="03502961"/>
  </r>
  <r>
    <x v="215"/>
    <s v="2021-11-18"/>
    <x v="0"/>
    <x v="0"/>
    <n v="18"/>
    <x v="12"/>
    <n v="1.72"/>
    <n v="22.64"/>
    <s v="04862600"/>
  </r>
  <r>
    <x v="215"/>
    <s v="2021-11-18"/>
    <x v="0"/>
    <x v="0"/>
    <n v="17"/>
    <x v="23"/>
    <n v="1.71"/>
    <n v="22.52"/>
    <s v="03215790"/>
  </r>
  <r>
    <x v="215"/>
    <s v="2021-11-18"/>
    <x v="0"/>
    <x v="0"/>
    <n v="16"/>
    <x v="11"/>
    <n v="1.68"/>
    <n v="22.06"/>
    <s v="03634220"/>
  </r>
  <r>
    <x v="215"/>
    <s v="2021-11-18"/>
    <x v="0"/>
    <x v="0"/>
    <n v="15"/>
    <x v="31"/>
    <n v="1.65"/>
    <n v="21.76"/>
    <s v="17167412"/>
  </r>
  <r>
    <x v="215"/>
    <s v="2021-11-18"/>
    <x v="0"/>
    <x v="0"/>
    <n v="14"/>
    <x v="25"/>
    <n v="1.59"/>
    <n v="20.87"/>
    <s v="59274605"/>
  </r>
  <r>
    <x v="215"/>
    <s v="2021-11-18"/>
    <x v="0"/>
    <x v="0"/>
    <n v="13"/>
    <x v="27"/>
    <n v="1.56"/>
    <n v="20.350000000000001"/>
    <s v="00000000"/>
  </r>
  <r>
    <x v="215"/>
    <s v="2021-11-18"/>
    <x v="0"/>
    <x v="0"/>
    <n v="12"/>
    <x v="34"/>
    <n v="1.53"/>
    <n v="20.010000000000002"/>
    <s v="33603457"/>
  </r>
  <r>
    <x v="215"/>
    <s v="2021-11-18"/>
    <x v="0"/>
    <x v="0"/>
    <n v="11"/>
    <x v="14"/>
    <n v="1.51"/>
    <n v="19.7"/>
    <s v="00360305"/>
  </r>
  <r>
    <x v="215"/>
    <s v="2021-11-18"/>
    <x v="0"/>
    <x v="0"/>
    <n v="10"/>
    <x v="18"/>
    <n v="1.49"/>
    <n v="19.440000000000001"/>
    <s v="28127603"/>
  </r>
  <r>
    <x v="215"/>
    <s v="2021-11-18"/>
    <x v="0"/>
    <x v="0"/>
    <n v="9"/>
    <x v="33"/>
    <n v="1.48"/>
    <n v="19.329999999999998"/>
    <s v="62307848"/>
  </r>
  <r>
    <x v="215"/>
    <s v="2021-11-18"/>
    <x v="0"/>
    <x v="0"/>
    <n v="8"/>
    <x v="35"/>
    <n v="1.43"/>
    <n v="18.53"/>
    <s v="59109165"/>
  </r>
  <r>
    <x v="215"/>
    <s v="2021-11-18"/>
    <x v="0"/>
    <x v="0"/>
    <n v="7"/>
    <x v="19"/>
    <n v="1.37"/>
    <n v="17.79"/>
    <s v="92702067"/>
  </r>
  <r>
    <x v="215"/>
    <s v="2021-11-18"/>
    <x v="0"/>
    <x v="0"/>
    <n v="6"/>
    <x v="44"/>
    <n v="1.33"/>
    <n v="17.14"/>
    <s v="58017179"/>
  </r>
  <r>
    <x v="215"/>
    <s v="2021-11-18"/>
    <x v="0"/>
    <x v="0"/>
    <n v="5"/>
    <x v="37"/>
    <n v="1.32"/>
    <n v="16.98"/>
    <s v="04452473"/>
  </r>
  <r>
    <x v="215"/>
    <s v="2021-11-18"/>
    <x v="0"/>
    <x v="0"/>
    <n v="4"/>
    <x v="38"/>
    <n v="1.25"/>
    <n v="16.12"/>
    <s v="60814191"/>
  </r>
  <r>
    <x v="215"/>
    <s v="2021-11-18"/>
    <x v="0"/>
    <x v="0"/>
    <n v="3"/>
    <x v="36"/>
    <n v="1.22"/>
    <n v="15.68"/>
    <s v="33136888"/>
  </r>
  <r>
    <x v="215"/>
    <s v="2021-11-18"/>
    <x v="0"/>
    <x v="0"/>
    <n v="2"/>
    <x v="40"/>
    <n v="1.1299999999999999"/>
    <n v="14.49"/>
    <s v="02992446"/>
  </r>
  <r>
    <x v="215"/>
    <s v="2021-11-18"/>
    <x v="0"/>
    <x v="0"/>
    <n v="1"/>
    <x v="39"/>
    <n v="1.0900000000000001"/>
    <n v="13.94"/>
    <s v="04902979"/>
  </r>
  <r>
    <x v="216"/>
    <s v="2021-11-19"/>
    <x v="0"/>
    <x v="0"/>
    <n v="43"/>
    <x v="3"/>
    <n v="3.45"/>
    <n v="50.25"/>
    <s v="05503849"/>
  </r>
  <r>
    <x v="216"/>
    <s v="2021-11-19"/>
    <x v="0"/>
    <x v="0"/>
    <n v="42"/>
    <x v="0"/>
    <n v="3.29"/>
    <n v="47.4"/>
    <s v="60850229"/>
  </r>
  <r>
    <x v="216"/>
    <s v="2021-11-19"/>
    <x v="0"/>
    <x v="0"/>
    <n v="41"/>
    <x v="7"/>
    <n v="3.11"/>
    <n v="44.42"/>
    <s v="92874270"/>
  </r>
  <r>
    <x v="216"/>
    <s v="2021-11-19"/>
    <x v="0"/>
    <x v="0"/>
    <n v="40"/>
    <x v="2"/>
    <n v="3.08"/>
    <n v="43.86"/>
    <s v="92228410"/>
  </r>
  <r>
    <x v="216"/>
    <s v="2021-11-19"/>
    <x v="0"/>
    <x v="0"/>
    <n v="39"/>
    <x v="1"/>
    <n v="2.98"/>
    <n v="42.26"/>
    <s v="01800019"/>
  </r>
  <r>
    <x v="216"/>
    <s v="2021-11-19"/>
    <x v="0"/>
    <x v="0"/>
    <n v="38"/>
    <x v="6"/>
    <n v="2.93"/>
    <n v="41.42"/>
    <s v="05676026"/>
  </r>
  <r>
    <x v="216"/>
    <s v="2021-11-19"/>
    <x v="0"/>
    <x v="0"/>
    <n v="37"/>
    <x v="9"/>
    <n v="2.87"/>
    <n v="40.43"/>
    <s v="00411939"/>
  </r>
  <r>
    <x v="216"/>
    <s v="2021-11-19"/>
    <x v="0"/>
    <x v="0"/>
    <n v="36"/>
    <x v="8"/>
    <n v="2.64"/>
    <n v="36.71"/>
    <s v="59285411"/>
  </r>
  <r>
    <x v="216"/>
    <s v="2021-11-19"/>
    <x v="0"/>
    <x v="0"/>
    <n v="35"/>
    <x v="5"/>
    <n v="2.54"/>
    <n v="35.14"/>
    <s v="80271455"/>
  </r>
  <r>
    <x v="216"/>
    <s v="2021-11-19"/>
    <x v="0"/>
    <x v="0"/>
    <n v="34"/>
    <x v="4"/>
    <n v="2.52"/>
    <n v="34.79"/>
    <s v="62232889"/>
  </r>
  <r>
    <x v="216"/>
    <s v="2021-11-19"/>
    <x v="0"/>
    <x v="0"/>
    <n v="33"/>
    <x v="42"/>
    <n v="2.44"/>
    <n v="33.590000000000003"/>
    <s v="34991938"/>
  </r>
  <r>
    <x v="216"/>
    <s v="2021-11-19"/>
    <x v="0"/>
    <x v="0"/>
    <n v="32"/>
    <x v="24"/>
    <n v="2.44"/>
    <n v="33.57"/>
    <s v="22639377"/>
  </r>
  <r>
    <x v="216"/>
    <s v="2021-11-19"/>
    <x v="0"/>
    <x v="0"/>
    <n v="31"/>
    <x v="10"/>
    <n v="2.33"/>
    <n v="31.82"/>
    <s v="10371492"/>
  </r>
  <r>
    <x v="216"/>
    <s v="2021-11-19"/>
    <x v="0"/>
    <x v="0"/>
    <n v="30"/>
    <x v="13"/>
    <n v="2.2599999999999998"/>
    <n v="30.74"/>
    <s v="07707650"/>
  </r>
  <r>
    <x v="216"/>
    <s v="2021-11-19"/>
    <x v="0"/>
    <x v="0"/>
    <n v="29"/>
    <x v="15"/>
    <n v="2.16"/>
    <n v="29.29"/>
    <s v="59588111"/>
  </r>
  <r>
    <x v="216"/>
    <s v="2021-11-19"/>
    <x v="0"/>
    <x v="0"/>
    <n v="28"/>
    <x v="53"/>
    <n v="2.13"/>
    <n v="28.71"/>
    <s v="31872495"/>
  </r>
  <r>
    <x v="216"/>
    <s v="2021-11-19"/>
    <x v="0"/>
    <x v="0"/>
    <n v="27"/>
    <x v="28"/>
    <n v="2.1"/>
    <n v="28.38"/>
    <s v="90400888"/>
  </r>
  <r>
    <x v="216"/>
    <s v="2021-11-19"/>
    <x v="0"/>
    <x v="0"/>
    <n v="26"/>
    <x v="20"/>
    <n v="2.02"/>
    <n v="27.11"/>
    <s v="17192451"/>
  </r>
  <r>
    <x v="216"/>
    <s v="2021-11-19"/>
    <x v="0"/>
    <x v="0"/>
    <n v="25"/>
    <x v="16"/>
    <n v="2.0099999999999998"/>
    <n v="26.97"/>
    <s v="07207996"/>
  </r>
  <r>
    <x v="216"/>
    <s v="2021-11-19"/>
    <x v="0"/>
    <x v="0"/>
    <n v="24"/>
    <x v="32"/>
    <n v="1.87"/>
    <n v="24.91"/>
    <s v="60701190"/>
  </r>
  <r>
    <x v="216"/>
    <s v="2021-11-19"/>
    <x v="0"/>
    <x v="0"/>
    <n v="23"/>
    <x v="21"/>
    <n v="1.82"/>
    <n v="24.16"/>
    <s v="03017677"/>
  </r>
  <r>
    <x v="216"/>
    <s v="2021-11-19"/>
    <x v="0"/>
    <x v="0"/>
    <n v="22"/>
    <x v="29"/>
    <n v="1.8"/>
    <n v="23.86"/>
    <s v="60746948"/>
  </r>
  <r>
    <x v="216"/>
    <s v="2021-11-19"/>
    <x v="0"/>
    <x v="0"/>
    <n v="21"/>
    <x v="26"/>
    <n v="1.8"/>
    <n v="23.83"/>
    <s v="30172491"/>
  </r>
  <r>
    <x v="216"/>
    <s v="2021-11-19"/>
    <x v="0"/>
    <x v="0"/>
    <n v="20"/>
    <x v="30"/>
    <n v="1.79"/>
    <n v="23.69"/>
    <s v="03502961"/>
  </r>
  <r>
    <x v="216"/>
    <s v="2021-11-19"/>
    <x v="0"/>
    <x v="0"/>
    <n v="19"/>
    <x v="12"/>
    <n v="1.71"/>
    <n v="22.49"/>
    <s v="04862600"/>
  </r>
  <r>
    <x v="216"/>
    <s v="2021-11-19"/>
    <x v="0"/>
    <x v="0"/>
    <n v="18"/>
    <x v="23"/>
    <n v="1.7"/>
    <n v="22.47"/>
    <s v="03215790"/>
  </r>
  <r>
    <x v="216"/>
    <s v="2021-11-19"/>
    <x v="0"/>
    <x v="0"/>
    <n v="17"/>
    <x v="11"/>
    <n v="1.7"/>
    <n v="22.46"/>
    <s v="03634220"/>
  </r>
  <r>
    <x v="216"/>
    <s v="2021-11-19"/>
    <x v="0"/>
    <x v="0"/>
    <n v="16"/>
    <x v="31"/>
    <n v="1.67"/>
    <n v="21.94"/>
    <s v="17167412"/>
  </r>
  <r>
    <x v="216"/>
    <s v="2021-11-19"/>
    <x v="0"/>
    <x v="0"/>
    <n v="15"/>
    <x v="25"/>
    <n v="1.6"/>
    <n v="20.92"/>
    <s v="59274605"/>
  </r>
  <r>
    <x v="216"/>
    <s v="2021-11-19"/>
    <x v="0"/>
    <x v="0"/>
    <n v="14"/>
    <x v="27"/>
    <n v="1.55"/>
    <n v="20.32"/>
    <s v="00000000"/>
  </r>
  <r>
    <x v="216"/>
    <s v="2021-11-19"/>
    <x v="0"/>
    <x v="0"/>
    <n v="13"/>
    <x v="34"/>
    <n v="1.54"/>
    <n v="20.11"/>
    <s v="33603457"/>
  </r>
  <r>
    <x v="216"/>
    <s v="2021-11-19"/>
    <x v="0"/>
    <x v="0"/>
    <n v="12"/>
    <x v="33"/>
    <n v="1.5"/>
    <n v="19.489999999999998"/>
    <s v="62307848"/>
  </r>
  <r>
    <x v="216"/>
    <s v="2021-11-19"/>
    <x v="0"/>
    <x v="0"/>
    <n v="11"/>
    <x v="14"/>
    <n v="1.48"/>
    <n v="19.34"/>
    <s v="00360305"/>
  </r>
  <r>
    <x v="216"/>
    <s v="2021-11-19"/>
    <x v="0"/>
    <x v="0"/>
    <n v="10"/>
    <x v="18"/>
    <n v="1.44"/>
    <n v="18.77"/>
    <s v="28127603"/>
  </r>
  <r>
    <x v="216"/>
    <s v="2021-11-19"/>
    <x v="0"/>
    <x v="0"/>
    <n v="9"/>
    <x v="35"/>
    <n v="1.44"/>
    <n v="18.72"/>
    <s v="59109165"/>
  </r>
  <r>
    <x v="216"/>
    <s v="2021-11-19"/>
    <x v="0"/>
    <x v="0"/>
    <n v="8"/>
    <x v="19"/>
    <n v="1.37"/>
    <n v="17.79"/>
    <s v="92702067"/>
  </r>
  <r>
    <x v="216"/>
    <s v="2021-11-19"/>
    <x v="0"/>
    <x v="0"/>
    <n v="7"/>
    <x v="44"/>
    <n v="1.33"/>
    <n v="17.14"/>
    <s v="58017179"/>
  </r>
  <r>
    <x v="216"/>
    <s v="2021-11-19"/>
    <x v="0"/>
    <x v="0"/>
    <n v="6"/>
    <x v="47"/>
    <n v="1.33"/>
    <n v="17.14"/>
    <s v="28517628"/>
  </r>
  <r>
    <x v="216"/>
    <s v="2021-11-19"/>
    <x v="0"/>
    <x v="0"/>
    <n v="5"/>
    <x v="37"/>
    <n v="1.32"/>
    <n v="17.05"/>
    <s v="04452473"/>
  </r>
  <r>
    <x v="216"/>
    <s v="2021-11-19"/>
    <x v="0"/>
    <x v="0"/>
    <n v="4"/>
    <x v="36"/>
    <n v="1.25"/>
    <n v="16.059999999999999"/>
    <s v="33136888"/>
  </r>
  <r>
    <x v="216"/>
    <s v="2021-11-19"/>
    <x v="0"/>
    <x v="0"/>
    <n v="3"/>
    <x v="38"/>
    <n v="1.24"/>
    <n v="15.99"/>
    <s v="60814191"/>
  </r>
  <r>
    <x v="216"/>
    <s v="2021-11-19"/>
    <x v="0"/>
    <x v="0"/>
    <n v="2"/>
    <x v="40"/>
    <n v="1.1299999999999999"/>
    <n v="14.43"/>
    <s v="02992446"/>
  </r>
  <r>
    <x v="216"/>
    <s v="2021-11-19"/>
    <x v="0"/>
    <x v="0"/>
    <n v="1"/>
    <x v="39"/>
    <n v="1.1299999999999999"/>
    <n v="14.41"/>
    <s v="04902979"/>
  </r>
  <r>
    <x v="217"/>
    <s v="2021-11-22"/>
    <x v="0"/>
    <x v="0"/>
    <n v="43"/>
    <x v="3"/>
    <n v="3.48"/>
    <n v="50.67"/>
    <s v="05503849"/>
  </r>
  <r>
    <x v="217"/>
    <s v="2021-11-22"/>
    <x v="0"/>
    <x v="0"/>
    <n v="42"/>
    <x v="0"/>
    <n v="3.26"/>
    <n v="46.98"/>
    <s v="60850229"/>
  </r>
  <r>
    <x v="217"/>
    <s v="2021-11-22"/>
    <x v="0"/>
    <x v="0"/>
    <n v="41"/>
    <x v="7"/>
    <n v="3.1"/>
    <n v="44.29"/>
    <s v="92874270"/>
  </r>
  <r>
    <x v="217"/>
    <s v="2021-11-22"/>
    <x v="0"/>
    <x v="0"/>
    <n v="40"/>
    <x v="2"/>
    <n v="3.05"/>
    <n v="43.41"/>
    <s v="92228410"/>
  </r>
  <r>
    <x v="217"/>
    <s v="2021-11-22"/>
    <x v="0"/>
    <x v="0"/>
    <n v="39"/>
    <x v="9"/>
    <n v="2.95"/>
    <n v="41.8"/>
    <s v="00411939"/>
  </r>
  <r>
    <x v="217"/>
    <s v="2021-11-22"/>
    <x v="0"/>
    <x v="0"/>
    <n v="38"/>
    <x v="6"/>
    <n v="2.94"/>
    <n v="41.59"/>
    <s v="05676026"/>
  </r>
  <r>
    <x v="217"/>
    <s v="2021-11-22"/>
    <x v="0"/>
    <x v="0"/>
    <n v="37"/>
    <x v="1"/>
    <n v="2.87"/>
    <n v="40.47"/>
    <s v="01800019"/>
  </r>
  <r>
    <x v="217"/>
    <s v="2021-11-22"/>
    <x v="0"/>
    <x v="0"/>
    <n v="36"/>
    <x v="8"/>
    <n v="2.64"/>
    <n v="36.72"/>
    <s v="59285411"/>
  </r>
  <r>
    <x v="217"/>
    <s v="2021-11-22"/>
    <x v="0"/>
    <x v="0"/>
    <n v="35"/>
    <x v="5"/>
    <n v="2.5299999999999998"/>
    <n v="35.01"/>
    <s v="80271455"/>
  </r>
  <r>
    <x v="217"/>
    <s v="2021-11-22"/>
    <x v="0"/>
    <x v="0"/>
    <n v="34"/>
    <x v="4"/>
    <n v="2.52"/>
    <n v="34.81"/>
    <s v="62232889"/>
  </r>
  <r>
    <x v="217"/>
    <s v="2021-11-22"/>
    <x v="0"/>
    <x v="0"/>
    <n v="33"/>
    <x v="24"/>
    <n v="2.4900000000000002"/>
    <n v="34.31"/>
    <s v="22639377"/>
  </r>
  <r>
    <x v="217"/>
    <s v="2021-11-22"/>
    <x v="0"/>
    <x v="0"/>
    <n v="32"/>
    <x v="42"/>
    <n v="2.4700000000000002"/>
    <n v="33.950000000000003"/>
    <s v="34991938"/>
  </r>
  <r>
    <x v="217"/>
    <s v="2021-11-22"/>
    <x v="0"/>
    <x v="0"/>
    <n v="31"/>
    <x v="10"/>
    <n v="2.31"/>
    <n v="31.58"/>
    <s v="10371492"/>
  </r>
  <r>
    <x v="217"/>
    <s v="2021-11-22"/>
    <x v="0"/>
    <x v="0"/>
    <n v="30"/>
    <x v="13"/>
    <n v="2.25"/>
    <n v="30.62"/>
    <s v="07707650"/>
  </r>
  <r>
    <x v="217"/>
    <s v="2021-11-22"/>
    <x v="0"/>
    <x v="0"/>
    <n v="29"/>
    <x v="15"/>
    <n v="2.15"/>
    <n v="29.06"/>
    <s v="59588111"/>
  </r>
  <r>
    <x v="217"/>
    <s v="2021-11-22"/>
    <x v="0"/>
    <x v="0"/>
    <n v="28"/>
    <x v="53"/>
    <n v="2.12"/>
    <n v="28.64"/>
    <s v="31872495"/>
  </r>
  <r>
    <x v="217"/>
    <s v="2021-11-22"/>
    <x v="0"/>
    <x v="0"/>
    <n v="27"/>
    <x v="28"/>
    <n v="2.0699999999999998"/>
    <n v="27.93"/>
    <s v="90400888"/>
  </r>
  <r>
    <x v="217"/>
    <s v="2021-11-22"/>
    <x v="0"/>
    <x v="0"/>
    <n v="26"/>
    <x v="20"/>
    <n v="2.02"/>
    <n v="27.15"/>
    <s v="17192451"/>
  </r>
  <r>
    <x v="217"/>
    <s v="2021-11-22"/>
    <x v="0"/>
    <x v="0"/>
    <n v="25"/>
    <x v="16"/>
    <n v="2.02"/>
    <n v="27.05"/>
    <s v="07207996"/>
  </r>
  <r>
    <x v="217"/>
    <s v="2021-11-22"/>
    <x v="0"/>
    <x v="0"/>
    <n v="24"/>
    <x v="32"/>
    <n v="1.86"/>
    <n v="24.72"/>
    <s v="60701190"/>
  </r>
  <r>
    <x v="217"/>
    <s v="2021-11-22"/>
    <x v="0"/>
    <x v="0"/>
    <n v="23"/>
    <x v="21"/>
    <n v="1.83"/>
    <n v="24.31"/>
    <s v="03017677"/>
  </r>
  <r>
    <x v="217"/>
    <s v="2021-11-22"/>
    <x v="0"/>
    <x v="0"/>
    <n v="22"/>
    <x v="29"/>
    <n v="1.8"/>
    <n v="23.94"/>
    <s v="60746948"/>
  </r>
  <r>
    <x v="217"/>
    <s v="2021-11-22"/>
    <x v="0"/>
    <x v="0"/>
    <n v="21"/>
    <x v="26"/>
    <n v="1.8"/>
    <n v="23.83"/>
    <s v="30172491"/>
  </r>
  <r>
    <x v="217"/>
    <s v="2021-11-22"/>
    <x v="0"/>
    <x v="0"/>
    <n v="20"/>
    <x v="30"/>
    <n v="1.76"/>
    <n v="23.23"/>
    <s v="03502961"/>
  </r>
  <r>
    <x v="217"/>
    <s v="2021-11-22"/>
    <x v="0"/>
    <x v="0"/>
    <n v="19"/>
    <x v="12"/>
    <n v="1.74"/>
    <n v="22.97"/>
    <s v="04862600"/>
  </r>
  <r>
    <x v="217"/>
    <s v="2021-11-22"/>
    <x v="0"/>
    <x v="0"/>
    <n v="18"/>
    <x v="23"/>
    <n v="1.71"/>
    <n v="22.53"/>
    <s v="03215790"/>
  </r>
  <r>
    <x v="217"/>
    <s v="2021-11-22"/>
    <x v="0"/>
    <x v="0"/>
    <n v="17"/>
    <x v="11"/>
    <n v="1.7"/>
    <n v="22.47"/>
    <s v="03634220"/>
  </r>
  <r>
    <x v="217"/>
    <s v="2021-11-22"/>
    <x v="0"/>
    <x v="0"/>
    <n v="16"/>
    <x v="31"/>
    <n v="1.66"/>
    <n v="21.9"/>
    <s v="17167412"/>
  </r>
  <r>
    <x v="217"/>
    <s v="2021-11-22"/>
    <x v="0"/>
    <x v="0"/>
    <n v="15"/>
    <x v="14"/>
    <n v="1.63"/>
    <n v="21.42"/>
    <s v="00360305"/>
  </r>
  <r>
    <x v="217"/>
    <s v="2021-11-22"/>
    <x v="0"/>
    <x v="0"/>
    <n v="14"/>
    <x v="25"/>
    <n v="1.58"/>
    <n v="20.73"/>
    <s v="59274605"/>
  </r>
  <r>
    <x v="217"/>
    <s v="2021-11-22"/>
    <x v="0"/>
    <x v="0"/>
    <n v="13"/>
    <x v="34"/>
    <n v="1.55"/>
    <n v="20.22"/>
    <s v="33603457"/>
  </r>
  <r>
    <x v="217"/>
    <s v="2021-11-22"/>
    <x v="0"/>
    <x v="0"/>
    <n v="12"/>
    <x v="27"/>
    <n v="1.54"/>
    <n v="20.079999999999998"/>
    <s v="00000000"/>
  </r>
  <r>
    <x v="217"/>
    <s v="2021-11-22"/>
    <x v="0"/>
    <x v="0"/>
    <n v="11"/>
    <x v="33"/>
    <n v="1.49"/>
    <n v="19.46"/>
    <s v="62307848"/>
  </r>
  <r>
    <x v="217"/>
    <s v="2021-11-22"/>
    <x v="0"/>
    <x v="0"/>
    <n v="10"/>
    <x v="35"/>
    <n v="1.45"/>
    <n v="18.809999999999999"/>
    <s v="59109165"/>
  </r>
  <r>
    <x v="217"/>
    <s v="2021-11-22"/>
    <x v="0"/>
    <x v="0"/>
    <n v="9"/>
    <x v="18"/>
    <n v="1.4"/>
    <n v="18.22"/>
    <s v="28127603"/>
  </r>
  <r>
    <x v="217"/>
    <s v="2021-11-22"/>
    <x v="0"/>
    <x v="0"/>
    <n v="8"/>
    <x v="19"/>
    <n v="1.37"/>
    <n v="17.79"/>
    <s v="92702067"/>
  </r>
  <r>
    <x v="217"/>
    <s v="2021-11-22"/>
    <x v="0"/>
    <x v="0"/>
    <n v="7"/>
    <x v="47"/>
    <n v="1.33"/>
    <n v="17.14"/>
    <s v="28517628"/>
  </r>
  <r>
    <x v="217"/>
    <s v="2021-11-22"/>
    <x v="0"/>
    <x v="0"/>
    <n v="6"/>
    <x v="44"/>
    <n v="1.33"/>
    <n v="17.14"/>
    <s v="58017179"/>
  </r>
  <r>
    <x v="217"/>
    <s v="2021-11-22"/>
    <x v="0"/>
    <x v="0"/>
    <n v="5"/>
    <x v="37"/>
    <n v="1.32"/>
    <n v="17.100000000000001"/>
    <s v="04452473"/>
  </r>
  <r>
    <x v="217"/>
    <s v="2021-11-22"/>
    <x v="0"/>
    <x v="0"/>
    <n v="4"/>
    <x v="36"/>
    <n v="1.25"/>
    <n v="16.03"/>
    <s v="33136888"/>
  </r>
  <r>
    <x v="217"/>
    <s v="2021-11-22"/>
    <x v="0"/>
    <x v="0"/>
    <n v="3"/>
    <x v="38"/>
    <n v="1.24"/>
    <n v="15.94"/>
    <s v="60814191"/>
  </r>
  <r>
    <x v="217"/>
    <s v="2021-11-22"/>
    <x v="0"/>
    <x v="0"/>
    <n v="2"/>
    <x v="40"/>
    <n v="1.1499999999999999"/>
    <n v="14.67"/>
    <s v="02992446"/>
  </r>
  <r>
    <x v="217"/>
    <s v="2021-11-22"/>
    <x v="0"/>
    <x v="0"/>
    <n v="1"/>
    <x v="39"/>
    <n v="1.1299999999999999"/>
    <n v="14.41"/>
    <s v="04902979"/>
  </r>
  <r>
    <x v="218"/>
    <s v="2021-11-23"/>
    <x v="0"/>
    <x v="0"/>
    <n v="45"/>
    <x v="3"/>
    <n v="3.5"/>
    <n v="51.17"/>
    <s v="05503849"/>
  </r>
  <r>
    <x v="218"/>
    <s v="2021-11-23"/>
    <x v="0"/>
    <x v="0"/>
    <n v="44"/>
    <x v="0"/>
    <n v="3.2"/>
    <n v="45.95"/>
    <s v="60850229"/>
  </r>
  <r>
    <x v="218"/>
    <s v="2021-11-23"/>
    <x v="0"/>
    <x v="0"/>
    <n v="43"/>
    <x v="7"/>
    <n v="3.08"/>
    <n v="43.89"/>
    <s v="92874270"/>
  </r>
  <r>
    <x v="218"/>
    <s v="2021-11-23"/>
    <x v="0"/>
    <x v="0"/>
    <n v="42"/>
    <x v="2"/>
    <n v="3.04"/>
    <n v="43.26"/>
    <s v="92228410"/>
  </r>
  <r>
    <x v="218"/>
    <s v="2021-11-23"/>
    <x v="0"/>
    <x v="0"/>
    <n v="41"/>
    <x v="9"/>
    <n v="2.94"/>
    <n v="41.55"/>
    <s v="00411939"/>
  </r>
  <r>
    <x v="218"/>
    <s v="2021-11-23"/>
    <x v="0"/>
    <x v="0"/>
    <n v="40"/>
    <x v="1"/>
    <n v="2.93"/>
    <n v="41.48"/>
    <s v="01800019"/>
  </r>
  <r>
    <x v="218"/>
    <s v="2021-11-23"/>
    <x v="0"/>
    <x v="0"/>
    <n v="39"/>
    <x v="6"/>
    <n v="2.93"/>
    <n v="41.35"/>
    <s v="05676026"/>
  </r>
  <r>
    <x v="218"/>
    <s v="2021-11-23"/>
    <x v="0"/>
    <x v="0"/>
    <n v="38"/>
    <x v="5"/>
    <n v="2.66"/>
    <n v="36.979999999999997"/>
    <s v="80271455"/>
  </r>
  <r>
    <x v="218"/>
    <s v="2021-11-23"/>
    <x v="0"/>
    <x v="0"/>
    <n v="37"/>
    <x v="8"/>
    <n v="2.64"/>
    <n v="36.71"/>
    <s v="59285411"/>
  </r>
  <r>
    <x v="218"/>
    <s v="2021-11-23"/>
    <x v="0"/>
    <x v="0"/>
    <n v="36"/>
    <x v="4"/>
    <n v="2.5299999999999998"/>
    <n v="34.909999999999997"/>
    <s v="62232889"/>
  </r>
  <r>
    <x v="218"/>
    <s v="2021-11-23"/>
    <x v="0"/>
    <x v="0"/>
    <n v="35"/>
    <x v="42"/>
    <n v="2.52"/>
    <n v="34.78"/>
    <s v="34991938"/>
  </r>
  <r>
    <x v="218"/>
    <s v="2021-11-23"/>
    <x v="0"/>
    <x v="0"/>
    <n v="34"/>
    <x v="24"/>
    <n v="2.4900000000000002"/>
    <n v="34.28"/>
    <s v="22639377"/>
  </r>
  <r>
    <x v="218"/>
    <s v="2021-11-23"/>
    <x v="0"/>
    <x v="0"/>
    <n v="33"/>
    <x v="10"/>
    <n v="2.2999999999999998"/>
    <n v="31.3"/>
    <s v="10371492"/>
  </r>
  <r>
    <x v="218"/>
    <s v="2021-11-23"/>
    <x v="0"/>
    <x v="0"/>
    <n v="32"/>
    <x v="13"/>
    <n v="2.2400000000000002"/>
    <n v="30.47"/>
    <s v="07707650"/>
  </r>
  <r>
    <x v="218"/>
    <s v="2021-11-23"/>
    <x v="0"/>
    <x v="0"/>
    <n v="31"/>
    <x v="15"/>
    <n v="2.13"/>
    <n v="28.84"/>
    <s v="59588111"/>
  </r>
  <r>
    <x v="218"/>
    <s v="2021-11-23"/>
    <x v="0"/>
    <x v="0"/>
    <n v="30"/>
    <x v="53"/>
    <n v="2.11"/>
    <n v="28.42"/>
    <s v="31872495"/>
  </r>
  <r>
    <x v="218"/>
    <s v="2021-11-23"/>
    <x v="0"/>
    <x v="0"/>
    <n v="29"/>
    <x v="28"/>
    <n v="2.0699999999999998"/>
    <n v="27.83"/>
    <s v="90400888"/>
  </r>
  <r>
    <x v="218"/>
    <s v="2021-11-23"/>
    <x v="0"/>
    <x v="0"/>
    <n v="28"/>
    <x v="20"/>
    <n v="2.0099999999999998"/>
    <n v="27"/>
    <s v="17192451"/>
  </r>
  <r>
    <x v="218"/>
    <s v="2021-11-23"/>
    <x v="0"/>
    <x v="0"/>
    <n v="27"/>
    <x v="16"/>
    <n v="2.0099999999999998"/>
    <n v="26.96"/>
    <s v="07207996"/>
  </r>
  <r>
    <x v="218"/>
    <s v="2021-11-23"/>
    <x v="0"/>
    <x v="0"/>
    <n v="26"/>
    <x v="51"/>
    <n v="1.95"/>
    <n v="26.05"/>
    <s v="62237425"/>
  </r>
  <r>
    <x v="218"/>
    <s v="2021-11-23"/>
    <x v="0"/>
    <x v="0"/>
    <n v="25"/>
    <x v="32"/>
    <n v="1.85"/>
    <n v="24.6"/>
    <s v="60701190"/>
  </r>
  <r>
    <x v="218"/>
    <s v="2021-11-23"/>
    <x v="0"/>
    <x v="0"/>
    <n v="24"/>
    <x v="21"/>
    <n v="1.82"/>
    <n v="24.22"/>
    <s v="03017677"/>
  </r>
  <r>
    <x v="218"/>
    <s v="2021-11-23"/>
    <x v="0"/>
    <x v="0"/>
    <n v="23"/>
    <x v="29"/>
    <n v="1.81"/>
    <n v="24.02"/>
    <s v="60746948"/>
  </r>
  <r>
    <x v="218"/>
    <s v="2021-11-23"/>
    <x v="0"/>
    <x v="0"/>
    <n v="22"/>
    <x v="26"/>
    <n v="1.79"/>
    <n v="23.65"/>
    <s v="30172491"/>
  </r>
  <r>
    <x v="218"/>
    <s v="2021-11-23"/>
    <x v="0"/>
    <x v="0"/>
    <n v="21"/>
    <x v="30"/>
    <n v="1.76"/>
    <n v="23.36"/>
    <s v="03502961"/>
  </r>
  <r>
    <x v="218"/>
    <s v="2021-11-23"/>
    <x v="0"/>
    <x v="0"/>
    <n v="20"/>
    <x v="12"/>
    <n v="1.74"/>
    <n v="22.97"/>
    <s v="04862600"/>
  </r>
  <r>
    <x v="218"/>
    <s v="2021-11-23"/>
    <x v="0"/>
    <x v="0"/>
    <n v="19"/>
    <x v="11"/>
    <n v="1.72"/>
    <n v="22.68"/>
    <s v="03634220"/>
  </r>
  <r>
    <x v="218"/>
    <s v="2021-11-23"/>
    <x v="0"/>
    <x v="0"/>
    <n v="18"/>
    <x v="23"/>
    <n v="1.72"/>
    <n v="22.66"/>
    <s v="03215790"/>
  </r>
  <r>
    <x v="218"/>
    <s v="2021-11-23"/>
    <x v="0"/>
    <x v="0"/>
    <n v="17"/>
    <x v="31"/>
    <n v="1.67"/>
    <n v="21.97"/>
    <s v="17167412"/>
  </r>
  <r>
    <x v="218"/>
    <s v="2021-11-23"/>
    <x v="0"/>
    <x v="0"/>
    <n v="16"/>
    <x v="14"/>
    <n v="1.64"/>
    <n v="21.58"/>
    <s v="00360305"/>
  </r>
  <r>
    <x v="218"/>
    <s v="2021-11-23"/>
    <x v="0"/>
    <x v="0"/>
    <n v="15"/>
    <x v="25"/>
    <n v="1.56"/>
    <n v="20.38"/>
    <s v="59274605"/>
  </r>
  <r>
    <x v="218"/>
    <s v="2021-11-23"/>
    <x v="0"/>
    <x v="0"/>
    <n v="14"/>
    <x v="34"/>
    <n v="1.55"/>
    <n v="20.22"/>
    <s v="33603457"/>
  </r>
  <r>
    <x v="218"/>
    <s v="2021-11-23"/>
    <x v="0"/>
    <x v="0"/>
    <n v="13"/>
    <x v="27"/>
    <n v="1.52"/>
    <n v="19.809999999999999"/>
    <s v="00000000"/>
  </r>
  <r>
    <x v="218"/>
    <s v="2021-11-23"/>
    <x v="0"/>
    <x v="0"/>
    <n v="12"/>
    <x v="33"/>
    <n v="1.48"/>
    <n v="19.309999999999999"/>
    <s v="62307848"/>
  </r>
  <r>
    <x v="218"/>
    <s v="2021-11-23"/>
    <x v="0"/>
    <x v="0"/>
    <n v="11"/>
    <x v="18"/>
    <n v="1.45"/>
    <n v="18.88"/>
    <s v="28127603"/>
  </r>
  <r>
    <x v="218"/>
    <s v="2021-11-23"/>
    <x v="0"/>
    <x v="0"/>
    <n v="10"/>
    <x v="35"/>
    <n v="1.45"/>
    <n v="18.86"/>
    <s v="59109165"/>
  </r>
  <r>
    <x v="218"/>
    <s v="2021-11-23"/>
    <x v="0"/>
    <x v="0"/>
    <n v="9"/>
    <x v="19"/>
    <n v="1.37"/>
    <n v="17.79"/>
    <s v="92702067"/>
  </r>
  <r>
    <x v="218"/>
    <s v="2021-11-23"/>
    <x v="0"/>
    <x v="0"/>
    <n v="8"/>
    <x v="22"/>
    <n v="1.34"/>
    <n v="17.29"/>
    <s v="11417016"/>
  </r>
  <r>
    <x v="218"/>
    <s v="2021-11-23"/>
    <x v="0"/>
    <x v="0"/>
    <n v="7"/>
    <x v="37"/>
    <n v="1.33"/>
    <n v="17.149999999999999"/>
    <s v="04452473"/>
  </r>
  <r>
    <x v="218"/>
    <s v="2021-11-23"/>
    <x v="0"/>
    <x v="0"/>
    <n v="6"/>
    <x v="47"/>
    <n v="1.33"/>
    <n v="17.14"/>
    <s v="28517628"/>
  </r>
  <r>
    <x v="218"/>
    <s v="2021-11-23"/>
    <x v="0"/>
    <x v="0"/>
    <n v="5"/>
    <x v="44"/>
    <n v="1.33"/>
    <n v="17.14"/>
    <s v="58017179"/>
  </r>
  <r>
    <x v="218"/>
    <s v="2021-11-23"/>
    <x v="0"/>
    <x v="0"/>
    <n v="4"/>
    <x v="38"/>
    <n v="1.29"/>
    <n v="16.670000000000002"/>
    <s v="60814191"/>
  </r>
  <r>
    <x v="218"/>
    <s v="2021-11-23"/>
    <x v="0"/>
    <x v="0"/>
    <n v="3"/>
    <x v="36"/>
    <n v="1.24"/>
    <n v="15.97"/>
    <s v="33136888"/>
  </r>
  <r>
    <x v="218"/>
    <s v="2021-11-23"/>
    <x v="0"/>
    <x v="0"/>
    <n v="2"/>
    <x v="40"/>
    <n v="1.1399999999999999"/>
    <n v="14.63"/>
    <s v="02992446"/>
  </r>
  <r>
    <x v="218"/>
    <s v="2021-11-23"/>
    <x v="0"/>
    <x v="0"/>
    <n v="1"/>
    <x v="39"/>
    <n v="1.1299999999999999"/>
    <n v="14.41"/>
    <s v="04902979"/>
  </r>
  <r>
    <x v="219"/>
    <s v="2021-11-24"/>
    <x v="0"/>
    <x v="0"/>
    <n v="45"/>
    <x v="3"/>
    <n v="3.43"/>
    <n v="49.88"/>
    <s v="05503849"/>
  </r>
  <r>
    <x v="219"/>
    <s v="2021-11-24"/>
    <x v="0"/>
    <x v="0"/>
    <n v="44"/>
    <x v="0"/>
    <n v="3.13"/>
    <n v="44.79"/>
    <s v="60850229"/>
  </r>
  <r>
    <x v="219"/>
    <s v="2021-11-24"/>
    <x v="0"/>
    <x v="0"/>
    <n v="43"/>
    <x v="7"/>
    <n v="3.06"/>
    <n v="43.65"/>
    <s v="92874270"/>
  </r>
  <r>
    <x v="219"/>
    <s v="2021-11-24"/>
    <x v="0"/>
    <x v="0"/>
    <n v="42"/>
    <x v="2"/>
    <n v="3.03"/>
    <n v="43.07"/>
    <s v="92228410"/>
  </r>
  <r>
    <x v="219"/>
    <s v="2021-11-24"/>
    <x v="0"/>
    <x v="0"/>
    <n v="41"/>
    <x v="9"/>
    <n v="2.93"/>
    <n v="41.42"/>
    <s v="00411939"/>
  </r>
  <r>
    <x v="219"/>
    <s v="2021-11-24"/>
    <x v="0"/>
    <x v="0"/>
    <n v="40"/>
    <x v="6"/>
    <n v="2.93"/>
    <n v="41.36"/>
    <s v="05676026"/>
  </r>
  <r>
    <x v="219"/>
    <s v="2021-11-24"/>
    <x v="0"/>
    <x v="0"/>
    <n v="39"/>
    <x v="1"/>
    <n v="2.92"/>
    <n v="41.26"/>
    <s v="01800019"/>
  </r>
  <r>
    <x v="219"/>
    <s v="2021-11-24"/>
    <x v="0"/>
    <x v="0"/>
    <n v="38"/>
    <x v="5"/>
    <n v="2.66"/>
    <n v="36.979999999999997"/>
    <s v="80271455"/>
  </r>
  <r>
    <x v="219"/>
    <s v="2021-11-24"/>
    <x v="0"/>
    <x v="0"/>
    <n v="37"/>
    <x v="8"/>
    <n v="2.63"/>
    <n v="36.51"/>
    <s v="59285411"/>
  </r>
  <r>
    <x v="219"/>
    <s v="2021-11-24"/>
    <x v="0"/>
    <x v="0"/>
    <n v="36"/>
    <x v="24"/>
    <n v="2.58"/>
    <n v="35.79"/>
    <s v="22639377"/>
  </r>
  <r>
    <x v="219"/>
    <s v="2021-11-24"/>
    <x v="0"/>
    <x v="0"/>
    <n v="35"/>
    <x v="4"/>
    <n v="2.5299999999999998"/>
    <n v="35"/>
    <s v="62232889"/>
  </r>
  <r>
    <x v="219"/>
    <s v="2021-11-24"/>
    <x v="0"/>
    <x v="0"/>
    <n v="34"/>
    <x v="42"/>
    <n v="2.5299999999999998"/>
    <n v="34.89"/>
    <s v="34991938"/>
  </r>
  <r>
    <x v="219"/>
    <s v="2021-11-24"/>
    <x v="0"/>
    <x v="0"/>
    <n v="33"/>
    <x v="10"/>
    <n v="2.2999999999999998"/>
    <n v="31.4"/>
    <s v="10371492"/>
  </r>
  <r>
    <x v="219"/>
    <s v="2021-11-24"/>
    <x v="0"/>
    <x v="0"/>
    <n v="32"/>
    <x v="13"/>
    <n v="2.23"/>
    <n v="30.36"/>
    <s v="07707650"/>
  </r>
  <r>
    <x v="219"/>
    <s v="2021-11-24"/>
    <x v="0"/>
    <x v="0"/>
    <n v="31"/>
    <x v="15"/>
    <n v="2.11"/>
    <n v="28.53"/>
    <s v="59588111"/>
  </r>
  <r>
    <x v="219"/>
    <s v="2021-11-24"/>
    <x v="0"/>
    <x v="0"/>
    <n v="30"/>
    <x v="53"/>
    <n v="2.09"/>
    <n v="28.15"/>
    <s v="31872495"/>
  </r>
  <r>
    <x v="219"/>
    <s v="2021-11-24"/>
    <x v="0"/>
    <x v="0"/>
    <n v="29"/>
    <x v="20"/>
    <n v="2.0099999999999998"/>
    <n v="26.99"/>
    <s v="17192451"/>
  </r>
  <r>
    <x v="219"/>
    <s v="2021-11-24"/>
    <x v="0"/>
    <x v="0"/>
    <n v="28"/>
    <x v="16"/>
    <n v="2.0099999999999998"/>
    <n v="26.98"/>
    <s v="07207996"/>
  </r>
  <r>
    <x v="219"/>
    <s v="2021-11-24"/>
    <x v="0"/>
    <x v="0"/>
    <n v="27"/>
    <x v="28"/>
    <n v="1.98"/>
    <n v="26.46"/>
    <s v="90400888"/>
  </r>
  <r>
    <x v="219"/>
    <s v="2021-11-24"/>
    <x v="0"/>
    <x v="0"/>
    <n v="26"/>
    <x v="51"/>
    <n v="1.95"/>
    <n v="26.05"/>
    <s v="62237425"/>
  </r>
  <r>
    <x v="219"/>
    <s v="2021-11-24"/>
    <x v="0"/>
    <x v="0"/>
    <n v="25"/>
    <x v="32"/>
    <n v="1.84"/>
    <n v="24.52"/>
    <s v="60701190"/>
  </r>
  <r>
    <x v="219"/>
    <s v="2021-11-24"/>
    <x v="0"/>
    <x v="0"/>
    <n v="24"/>
    <x v="21"/>
    <n v="1.83"/>
    <n v="24.26"/>
    <s v="03017677"/>
  </r>
  <r>
    <x v="219"/>
    <s v="2021-11-24"/>
    <x v="0"/>
    <x v="0"/>
    <n v="23"/>
    <x v="29"/>
    <n v="1.81"/>
    <n v="23.96"/>
    <s v="60746948"/>
  </r>
  <r>
    <x v="219"/>
    <s v="2021-11-24"/>
    <x v="0"/>
    <x v="0"/>
    <n v="22"/>
    <x v="26"/>
    <n v="1.79"/>
    <n v="23.75"/>
    <s v="30172491"/>
  </r>
  <r>
    <x v="219"/>
    <s v="2021-11-24"/>
    <x v="0"/>
    <x v="0"/>
    <n v="21"/>
    <x v="11"/>
    <n v="1.77"/>
    <n v="23.44"/>
    <s v="03634220"/>
  </r>
  <r>
    <x v="219"/>
    <s v="2021-11-24"/>
    <x v="0"/>
    <x v="0"/>
    <n v="20"/>
    <x v="30"/>
    <n v="1.77"/>
    <n v="23.38"/>
    <s v="03502961"/>
  </r>
  <r>
    <x v="219"/>
    <s v="2021-11-24"/>
    <x v="0"/>
    <x v="0"/>
    <n v="19"/>
    <x v="12"/>
    <n v="1.73"/>
    <n v="22.8"/>
    <s v="04862600"/>
  </r>
  <r>
    <x v="219"/>
    <s v="2021-11-24"/>
    <x v="0"/>
    <x v="0"/>
    <n v="18"/>
    <x v="23"/>
    <n v="1.72"/>
    <n v="22.71"/>
    <s v="03215790"/>
  </r>
  <r>
    <x v="219"/>
    <s v="2021-11-24"/>
    <x v="0"/>
    <x v="0"/>
    <n v="17"/>
    <x v="31"/>
    <n v="1.68"/>
    <n v="22.07"/>
    <s v="17167412"/>
  </r>
  <r>
    <x v="219"/>
    <s v="2021-11-24"/>
    <x v="0"/>
    <x v="0"/>
    <n v="16"/>
    <x v="34"/>
    <n v="1.58"/>
    <n v="20.65"/>
    <s v="33603457"/>
  </r>
  <r>
    <x v="219"/>
    <s v="2021-11-24"/>
    <x v="0"/>
    <x v="0"/>
    <n v="15"/>
    <x v="25"/>
    <n v="1.56"/>
    <n v="20.34"/>
    <s v="59274605"/>
  </r>
  <r>
    <x v="219"/>
    <s v="2021-11-24"/>
    <x v="0"/>
    <x v="0"/>
    <n v="14"/>
    <x v="27"/>
    <n v="1.52"/>
    <n v="19.86"/>
    <s v="00000000"/>
  </r>
  <r>
    <x v="219"/>
    <s v="2021-11-24"/>
    <x v="0"/>
    <x v="0"/>
    <n v="13"/>
    <x v="14"/>
    <n v="1.47"/>
    <n v="19.170000000000002"/>
    <s v="00360305"/>
  </r>
  <r>
    <x v="219"/>
    <s v="2021-11-24"/>
    <x v="0"/>
    <x v="0"/>
    <n v="12"/>
    <x v="33"/>
    <n v="1.47"/>
    <n v="19.170000000000002"/>
    <s v="62307848"/>
  </r>
  <r>
    <x v="219"/>
    <s v="2021-11-24"/>
    <x v="0"/>
    <x v="0"/>
    <n v="11"/>
    <x v="35"/>
    <n v="1.46"/>
    <n v="18.96"/>
    <s v="59109165"/>
  </r>
  <r>
    <x v="219"/>
    <s v="2021-11-24"/>
    <x v="0"/>
    <x v="0"/>
    <n v="10"/>
    <x v="18"/>
    <n v="1.45"/>
    <n v="18.87"/>
    <s v="28127603"/>
  </r>
  <r>
    <x v="219"/>
    <s v="2021-11-24"/>
    <x v="0"/>
    <x v="0"/>
    <n v="9"/>
    <x v="19"/>
    <n v="1.37"/>
    <n v="17.79"/>
    <s v="92702067"/>
  </r>
  <r>
    <x v="219"/>
    <s v="2021-11-24"/>
    <x v="0"/>
    <x v="0"/>
    <n v="8"/>
    <x v="22"/>
    <n v="1.34"/>
    <n v="17.29"/>
    <s v="11417016"/>
  </r>
  <r>
    <x v="219"/>
    <s v="2021-11-24"/>
    <x v="0"/>
    <x v="0"/>
    <n v="7"/>
    <x v="37"/>
    <n v="1.33"/>
    <n v="17.18"/>
    <s v="04452473"/>
  </r>
  <r>
    <x v="219"/>
    <s v="2021-11-24"/>
    <x v="0"/>
    <x v="0"/>
    <n v="6"/>
    <x v="44"/>
    <n v="1.33"/>
    <n v="17.14"/>
    <s v="58017179"/>
  </r>
  <r>
    <x v="219"/>
    <s v="2021-11-24"/>
    <x v="0"/>
    <x v="0"/>
    <n v="5"/>
    <x v="47"/>
    <n v="1.33"/>
    <n v="17.14"/>
    <s v="28517628"/>
  </r>
  <r>
    <x v="219"/>
    <s v="2021-11-24"/>
    <x v="0"/>
    <x v="0"/>
    <n v="4"/>
    <x v="38"/>
    <n v="1.3"/>
    <n v="16.75"/>
    <s v="60814191"/>
  </r>
  <r>
    <x v="219"/>
    <s v="2021-11-24"/>
    <x v="0"/>
    <x v="0"/>
    <n v="3"/>
    <x v="36"/>
    <n v="1.28"/>
    <n v="16.53"/>
    <s v="33136888"/>
  </r>
  <r>
    <x v="219"/>
    <s v="2021-11-24"/>
    <x v="0"/>
    <x v="0"/>
    <n v="2"/>
    <x v="40"/>
    <n v="1.1299999999999999"/>
    <n v="14.46"/>
    <s v="02992446"/>
  </r>
  <r>
    <x v="219"/>
    <s v="2021-11-24"/>
    <x v="0"/>
    <x v="0"/>
    <n v="1"/>
    <x v="39"/>
    <n v="1.1299999999999999"/>
    <n v="14.41"/>
    <s v="04902979"/>
  </r>
  <r>
    <x v="220"/>
    <s v="2021-11-25"/>
    <x v="0"/>
    <x v="0"/>
    <n v="44"/>
    <x v="3"/>
    <n v="3.44"/>
    <n v="50.04"/>
    <s v="05503849"/>
  </r>
  <r>
    <x v="220"/>
    <s v="2021-11-25"/>
    <x v="0"/>
    <x v="0"/>
    <n v="43"/>
    <x v="0"/>
    <n v="3.15"/>
    <n v="45.06"/>
    <s v="60850229"/>
  </r>
  <r>
    <x v="220"/>
    <s v="2021-11-25"/>
    <x v="0"/>
    <x v="0"/>
    <n v="42"/>
    <x v="7"/>
    <n v="3.04"/>
    <n v="43.31"/>
    <s v="92874270"/>
  </r>
  <r>
    <x v="220"/>
    <s v="2021-11-25"/>
    <x v="0"/>
    <x v="0"/>
    <n v="41"/>
    <x v="2"/>
    <n v="3.03"/>
    <n v="43.1"/>
    <s v="92228410"/>
  </r>
  <r>
    <x v="220"/>
    <s v="2021-11-25"/>
    <x v="0"/>
    <x v="0"/>
    <n v="40"/>
    <x v="1"/>
    <n v="2.92"/>
    <n v="41.31"/>
    <s v="01800019"/>
  </r>
  <r>
    <x v="220"/>
    <s v="2021-11-25"/>
    <x v="0"/>
    <x v="0"/>
    <n v="39"/>
    <x v="9"/>
    <n v="2.92"/>
    <n v="41.28"/>
    <s v="00411939"/>
  </r>
  <r>
    <x v="220"/>
    <s v="2021-11-25"/>
    <x v="0"/>
    <x v="0"/>
    <n v="38"/>
    <x v="6"/>
    <n v="2.92"/>
    <n v="41.27"/>
    <s v="05676026"/>
  </r>
  <r>
    <x v="220"/>
    <s v="2021-11-25"/>
    <x v="0"/>
    <x v="0"/>
    <n v="37"/>
    <x v="5"/>
    <n v="2.68"/>
    <n v="37.39"/>
    <s v="80271455"/>
  </r>
  <r>
    <x v="220"/>
    <s v="2021-11-25"/>
    <x v="0"/>
    <x v="0"/>
    <n v="36"/>
    <x v="24"/>
    <n v="2.65"/>
    <n v="36.85"/>
    <s v="22639377"/>
  </r>
  <r>
    <x v="220"/>
    <s v="2021-11-25"/>
    <x v="0"/>
    <x v="0"/>
    <n v="35"/>
    <x v="8"/>
    <n v="2.63"/>
    <n v="36.5"/>
    <s v="59285411"/>
  </r>
  <r>
    <x v="220"/>
    <s v="2021-11-25"/>
    <x v="0"/>
    <x v="0"/>
    <n v="34"/>
    <x v="4"/>
    <n v="2.5299999999999998"/>
    <n v="34.909999999999997"/>
    <s v="62232889"/>
  </r>
  <r>
    <x v="220"/>
    <s v="2021-11-25"/>
    <x v="0"/>
    <x v="0"/>
    <n v="33"/>
    <x v="42"/>
    <n v="2.52"/>
    <n v="34.83"/>
    <s v="34991938"/>
  </r>
  <r>
    <x v="220"/>
    <s v="2021-11-25"/>
    <x v="0"/>
    <x v="0"/>
    <n v="32"/>
    <x v="10"/>
    <n v="2.2999999999999998"/>
    <n v="31.44"/>
    <s v="10371492"/>
  </r>
  <r>
    <x v="220"/>
    <s v="2021-11-25"/>
    <x v="0"/>
    <x v="0"/>
    <n v="31"/>
    <x v="13"/>
    <n v="2.23"/>
    <n v="30.24"/>
    <s v="07707650"/>
  </r>
  <r>
    <x v="220"/>
    <s v="2021-11-25"/>
    <x v="0"/>
    <x v="0"/>
    <n v="30"/>
    <x v="15"/>
    <n v="2.1"/>
    <n v="28.28"/>
    <s v="59588111"/>
  </r>
  <r>
    <x v="220"/>
    <s v="2021-11-25"/>
    <x v="0"/>
    <x v="0"/>
    <n v="29"/>
    <x v="53"/>
    <n v="2.08"/>
    <n v="28.01"/>
    <s v="31872495"/>
  </r>
  <r>
    <x v="220"/>
    <s v="2021-11-25"/>
    <x v="0"/>
    <x v="0"/>
    <n v="28"/>
    <x v="28"/>
    <n v="2.02"/>
    <n v="27.1"/>
    <s v="90400888"/>
  </r>
  <r>
    <x v="220"/>
    <s v="2021-11-25"/>
    <x v="0"/>
    <x v="0"/>
    <n v="27"/>
    <x v="20"/>
    <n v="2.0099999999999998"/>
    <n v="27"/>
    <s v="17192451"/>
  </r>
  <r>
    <x v="220"/>
    <s v="2021-11-25"/>
    <x v="0"/>
    <x v="0"/>
    <n v="26"/>
    <x v="16"/>
    <n v="2.0099999999999998"/>
    <n v="26.93"/>
    <s v="07207996"/>
  </r>
  <r>
    <x v="220"/>
    <s v="2021-11-25"/>
    <x v="0"/>
    <x v="0"/>
    <n v="25"/>
    <x v="51"/>
    <n v="1.95"/>
    <n v="26.05"/>
    <s v="62237425"/>
  </r>
  <r>
    <x v="220"/>
    <s v="2021-11-25"/>
    <x v="0"/>
    <x v="0"/>
    <n v="24"/>
    <x v="19"/>
    <n v="1.83"/>
    <n v="24.32"/>
    <s v="92702067"/>
  </r>
  <r>
    <x v="220"/>
    <s v="2021-11-25"/>
    <x v="0"/>
    <x v="0"/>
    <n v="23"/>
    <x v="32"/>
    <n v="1.83"/>
    <n v="24.3"/>
    <s v="60701190"/>
  </r>
  <r>
    <x v="220"/>
    <s v="2021-11-25"/>
    <x v="0"/>
    <x v="0"/>
    <n v="22"/>
    <x v="21"/>
    <n v="1.82"/>
    <n v="24.2"/>
    <s v="03017677"/>
  </r>
  <r>
    <x v="220"/>
    <s v="2021-11-25"/>
    <x v="0"/>
    <x v="0"/>
    <n v="21"/>
    <x v="29"/>
    <n v="1.8"/>
    <n v="23.92"/>
    <s v="60746948"/>
  </r>
  <r>
    <x v="220"/>
    <s v="2021-11-25"/>
    <x v="0"/>
    <x v="0"/>
    <n v="20"/>
    <x v="11"/>
    <n v="1.8"/>
    <n v="23.86"/>
    <s v="03634220"/>
  </r>
  <r>
    <x v="220"/>
    <s v="2021-11-25"/>
    <x v="0"/>
    <x v="0"/>
    <n v="19"/>
    <x v="26"/>
    <n v="1.79"/>
    <n v="23.66"/>
    <s v="30172491"/>
  </r>
  <r>
    <x v="220"/>
    <s v="2021-11-25"/>
    <x v="0"/>
    <x v="0"/>
    <n v="18"/>
    <x v="30"/>
    <n v="1.74"/>
    <n v="23"/>
    <s v="03502961"/>
  </r>
  <r>
    <x v="220"/>
    <s v="2021-11-25"/>
    <x v="0"/>
    <x v="0"/>
    <n v="17"/>
    <x v="12"/>
    <n v="1.74"/>
    <n v="22.96"/>
    <s v="04862600"/>
  </r>
  <r>
    <x v="220"/>
    <s v="2021-11-25"/>
    <x v="0"/>
    <x v="0"/>
    <n v="16"/>
    <x v="23"/>
    <n v="1.73"/>
    <n v="22.81"/>
    <s v="03215790"/>
  </r>
  <r>
    <x v="220"/>
    <s v="2021-11-25"/>
    <x v="0"/>
    <x v="0"/>
    <n v="15"/>
    <x v="31"/>
    <n v="1.68"/>
    <n v="22.12"/>
    <s v="17167412"/>
  </r>
  <r>
    <x v="220"/>
    <s v="2021-11-25"/>
    <x v="0"/>
    <x v="0"/>
    <n v="14"/>
    <x v="34"/>
    <n v="1.6"/>
    <n v="21.02"/>
    <s v="33603457"/>
  </r>
  <r>
    <x v="220"/>
    <s v="2021-11-25"/>
    <x v="0"/>
    <x v="0"/>
    <n v="13"/>
    <x v="25"/>
    <n v="1.55"/>
    <n v="20.28"/>
    <s v="59274605"/>
  </r>
  <r>
    <x v="220"/>
    <s v="2021-11-25"/>
    <x v="0"/>
    <x v="0"/>
    <n v="12"/>
    <x v="27"/>
    <n v="1.51"/>
    <n v="19.760000000000002"/>
    <s v="00000000"/>
  </r>
  <r>
    <x v="220"/>
    <s v="2021-11-25"/>
    <x v="0"/>
    <x v="0"/>
    <n v="11"/>
    <x v="14"/>
    <n v="1.48"/>
    <n v="19.309999999999999"/>
    <s v="00360305"/>
  </r>
  <r>
    <x v="220"/>
    <s v="2021-11-25"/>
    <x v="0"/>
    <x v="0"/>
    <n v="10"/>
    <x v="18"/>
    <n v="1.48"/>
    <n v="19.21"/>
    <s v="28127603"/>
  </r>
  <r>
    <x v="220"/>
    <s v="2021-11-25"/>
    <x v="0"/>
    <x v="0"/>
    <n v="9"/>
    <x v="33"/>
    <n v="1.47"/>
    <n v="19.100000000000001"/>
    <s v="62307848"/>
  </r>
  <r>
    <x v="220"/>
    <s v="2021-11-25"/>
    <x v="0"/>
    <x v="0"/>
    <n v="8"/>
    <x v="35"/>
    <n v="1.46"/>
    <n v="19"/>
    <s v="59109165"/>
  </r>
  <r>
    <x v="220"/>
    <s v="2021-11-25"/>
    <x v="0"/>
    <x v="0"/>
    <n v="7"/>
    <x v="22"/>
    <n v="1.34"/>
    <n v="17.29"/>
    <s v="11417016"/>
  </r>
  <r>
    <x v="220"/>
    <s v="2021-11-25"/>
    <x v="0"/>
    <x v="0"/>
    <n v="6"/>
    <x v="37"/>
    <n v="1.33"/>
    <n v="17.2"/>
    <s v="04452473"/>
  </r>
  <r>
    <x v="220"/>
    <s v="2021-11-25"/>
    <x v="0"/>
    <x v="0"/>
    <n v="5"/>
    <x v="47"/>
    <n v="1.33"/>
    <n v="17.14"/>
    <s v="28517628"/>
  </r>
  <r>
    <x v="220"/>
    <s v="2021-11-25"/>
    <x v="0"/>
    <x v="0"/>
    <n v="4"/>
    <x v="38"/>
    <n v="1.33"/>
    <n v="17.12"/>
    <s v="60814191"/>
  </r>
  <r>
    <x v="220"/>
    <s v="2021-11-25"/>
    <x v="0"/>
    <x v="0"/>
    <n v="3"/>
    <x v="36"/>
    <n v="1.29"/>
    <n v="16.559999999999999"/>
    <s v="33136888"/>
  </r>
  <r>
    <x v="220"/>
    <s v="2021-11-25"/>
    <x v="0"/>
    <x v="0"/>
    <n v="2"/>
    <x v="39"/>
    <n v="1.1299999999999999"/>
    <n v="14.41"/>
    <s v="04902979"/>
  </r>
  <r>
    <x v="220"/>
    <s v="2021-11-25"/>
    <x v="0"/>
    <x v="0"/>
    <n v="1"/>
    <x v="40"/>
    <n v="1.0900000000000001"/>
    <n v="13.87"/>
    <s v="02992446"/>
  </r>
  <r>
    <x v="221"/>
    <s v="2021-11-26"/>
    <x v="0"/>
    <x v="0"/>
    <n v="45"/>
    <x v="3"/>
    <n v="3.47"/>
    <n v="50.62"/>
    <s v="05503849"/>
  </r>
  <r>
    <x v="221"/>
    <s v="2021-11-26"/>
    <x v="0"/>
    <x v="0"/>
    <n v="44"/>
    <x v="0"/>
    <n v="3.14"/>
    <n v="44.96"/>
    <s v="60850229"/>
  </r>
  <r>
    <x v="221"/>
    <s v="2021-11-26"/>
    <x v="0"/>
    <x v="0"/>
    <n v="43"/>
    <x v="2"/>
    <n v="3.03"/>
    <n v="43.06"/>
    <s v="92228410"/>
  </r>
  <r>
    <x v="221"/>
    <s v="2021-11-26"/>
    <x v="0"/>
    <x v="0"/>
    <n v="42"/>
    <x v="7"/>
    <n v="3.03"/>
    <n v="42.99"/>
    <s v="92874270"/>
  </r>
  <r>
    <x v="221"/>
    <s v="2021-11-26"/>
    <x v="0"/>
    <x v="0"/>
    <n v="41"/>
    <x v="1"/>
    <n v="2.94"/>
    <n v="41.59"/>
    <s v="01800019"/>
  </r>
  <r>
    <x v="221"/>
    <s v="2021-11-26"/>
    <x v="0"/>
    <x v="0"/>
    <n v="40"/>
    <x v="6"/>
    <n v="2.92"/>
    <n v="41.3"/>
    <s v="05676026"/>
  </r>
  <r>
    <x v="221"/>
    <s v="2021-11-26"/>
    <x v="0"/>
    <x v="0"/>
    <n v="39"/>
    <x v="9"/>
    <n v="2.89"/>
    <n v="40.700000000000003"/>
    <s v="00411939"/>
  </r>
  <r>
    <x v="221"/>
    <s v="2021-11-26"/>
    <x v="0"/>
    <x v="0"/>
    <n v="38"/>
    <x v="24"/>
    <n v="2.65"/>
    <n v="36.93"/>
    <s v="22639377"/>
  </r>
  <r>
    <x v="221"/>
    <s v="2021-11-26"/>
    <x v="0"/>
    <x v="0"/>
    <n v="37"/>
    <x v="8"/>
    <n v="2.64"/>
    <n v="36.630000000000003"/>
    <s v="59285411"/>
  </r>
  <r>
    <x v="221"/>
    <s v="2021-11-26"/>
    <x v="0"/>
    <x v="0"/>
    <n v="36"/>
    <x v="5"/>
    <n v="2.5499999999999998"/>
    <n v="35.299999999999997"/>
    <s v="80271455"/>
  </r>
  <r>
    <x v="221"/>
    <s v="2021-11-26"/>
    <x v="0"/>
    <x v="0"/>
    <n v="35"/>
    <x v="42"/>
    <n v="2.5299999999999998"/>
    <n v="34.94"/>
    <s v="34991938"/>
  </r>
  <r>
    <x v="221"/>
    <s v="2021-11-26"/>
    <x v="0"/>
    <x v="0"/>
    <n v="34"/>
    <x v="4"/>
    <n v="2.52"/>
    <n v="34.799999999999997"/>
    <s v="62232889"/>
  </r>
  <r>
    <x v="221"/>
    <s v="2021-11-26"/>
    <x v="0"/>
    <x v="0"/>
    <n v="33"/>
    <x v="10"/>
    <n v="2.2999999999999998"/>
    <n v="31.38"/>
    <s v="10371492"/>
  </r>
  <r>
    <x v="221"/>
    <s v="2021-11-26"/>
    <x v="0"/>
    <x v="0"/>
    <n v="32"/>
    <x v="13"/>
    <n v="2.2200000000000002"/>
    <n v="30.22"/>
    <s v="07707650"/>
  </r>
  <r>
    <x v="221"/>
    <s v="2021-11-26"/>
    <x v="0"/>
    <x v="0"/>
    <n v="31"/>
    <x v="28"/>
    <n v="2.09"/>
    <n v="28.21"/>
    <s v="90400888"/>
  </r>
  <r>
    <x v="221"/>
    <s v="2021-11-26"/>
    <x v="0"/>
    <x v="0"/>
    <n v="30"/>
    <x v="15"/>
    <n v="2.08"/>
    <n v="28"/>
    <s v="59588111"/>
  </r>
  <r>
    <x v="221"/>
    <s v="2021-11-26"/>
    <x v="0"/>
    <x v="0"/>
    <n v="29"/>
    <x v="53"/>
    <n v="2.0499999999999998"/>
    <n v="27.62"/>
    <s v="31872495"/>
  </r>
  <r>
    <x v="221"/>
    <s v="2021-11-26"/>
    <x v="0"/>
    <x v="0"/>
    <n v="28"/>
    <x v="20"/>
    <n v="2.0099999999999998"/>
    <n v="27"/>
    <s v="17192451"/>
  </r>
  <r>
    <x v="221"/>
    <s v="2021-11-26"/>
    <x v="0"/>
    <x v="0"/>
    <n v="27"/>
    <x v="16"/>
    <n v="2.0099999999999998"/>
    <n v="26.91"/>
    <s v="07207996"/>
  </r>
  <r>
    <x v="221"/>
    <s v="2021-11-26"/>
    <x v="0"/>
    <x v="0"/>
    <n v="26"/>
    <x v="51"/>
    <n v="1.95"/>
    <n v="26.05"/>
    <s v="62237425"/>
  </r>
  <r>
    <x v="221"/>
    <s v="2021-11-26"/>
    <x v="0"/>
    <x v="0"/>
    <n v="25"/>
    <x v="41"/>
    <n v="1.87"/>
    <n v="24.95"/>
    <s v="20443996"/>
  </r>
  <r>
    <x v="221"/>
    <s v="2021-11-26"/>
    <x v="0"/>
    <x v="0"/>
    <n v="24"/>
    <x v="19"/>
    <n v="1.83"/>
    <n v="24.32"/>
    <s v="92702067"/>
  </r>
  <r>
    <x v="221"/>
    <s v="2021-11-26"/>
    <x v="0"/>
    <x v="0"/>
    <n v="23"/>
    <x v="11"/>
    <n v="1.83"/>
    <n v="24.25"/>
    <s v="03634220"/>
  </r>
  <r>
    <x v="221"/>
    <s v="2021-11-26"/>
    <x v="0"/>
    <x v="0"/>
    <n v="22"/>
    <x v="21"/>
    <n v="1.82"/>
    <n v="24.11"/>
    <s v="03017677"/>
  </r>
  <r>
    <x v="221"/>
    <s v="2021-11-26"/>
    <x v="0"/>
    <x v="0"/>
    <n v="21"/>
    <x v="32"/>
    <n v="1.81"/>
    <n v="24"/>
    <s v="60701190"/>
  </r>
  <r>
    <x v="221"/>
    <s v="2021-11-26"/>
    <x v="0"/>
    <x v="0"/>
    <n v="20"/>
    <x v="12"/>
    <n v="1.8"/>
    <n v="23.85"/>
    <s v="04862600"/>
  </r>
  <r>
    <x v="221"/>
    <s v="2021-11-26"/>
    <x v="0"/>
    <x v="0"/>
    <n v="19"/>
    <x v="29"/>
    <n v="1.8"/>
    <n v="23.84"/>
    <s v="60746948"/>
  </r>
  <r>
    <x v="221"/>
    <s v="2021-11-26"/>
    <x v="0"/>
    <x v="0"/>
    <n v="18"/>
    <x v="26"/>
    <n v="1.78"/>
    <n v="23.55"/>
    <s v="30172491"/>
  </r>
  <r>
    <x v="221"/>
    <s v="2021-11-26"/>
    <x v="0"/>
    <x v="0"/>
    <n v="17"/>
    <x v="30"/>
    <n v="1.74"/>
    <n v="23.04"/>
    <s v="03502961"/>
  </r>
  <r>
    <x v="221"/>
    <s v="2021-11-26"/>
    <x v="0"/>
    <x v="0"/>
    <n v="16"/>
    <x v="23"/>
    <n v="1.73"/>
    <n v="22.9"/>
    <s v="03215790"/>
  </r>
  <r>
    <x v="221"/>
    <s v="2021-11-26"/>
    <x v="0"/>
    <x v="0"/>
    <n v="15"/>
    <x v="31"/>
    <n v="1.68"/>
    <n v="22.15"/>
    <s v="17167412"/>
  </r>
  <r>
    <x v="221"/>
    <s v="2021-11-26"/>
    <x v="0"/>
    <x v="0"/>
    <n v="14"/>
    <x v="18"/>
    <n v="1.57"/>
    <n v="20.61"/>
    <s v="28127603"/>
  </r>
  <r>
    <x v="221"/>
    <s v="2021-11-26"/>
    <x v="0"/>
    <x v="0"/>
    <n v="13"/>
    <x v="34"/>
    <n v="1.57"/>
    <n v="20.53"/>
    <s v="33603457"/>
  </r>
  <r>
    <x v="221"/>
    <s v="2021-11-26"/>
    <x v="0"/>
    <x v="0"/>
    <n v="12"/>
    <x v="25"/>
    <n v="1.54"/>
    <n v="20.170000000000002"/>
    <s v="59274605"/>
  </r>
  <r>
    <x v="221"/>
    <s v="2021-11-26"/>
    <x v="0"/>
    <x v="0"/>
    <n v="11"/>
    <x v="14"/>
    <n v="1.54"/>
    <n v="20.13"/>
    <s v="00360305"/>
  </r>
  <r>
    <x v="221"/>
    <s v="2021-11-26"/>
    <x v="0"/>
    <x v="0"/>
    <n v="10"/>
    <x v="27"/>
    <n v="1.51"/>
    <n v="19.75"/>
    <s v="00000000"/>
  </r>
  <r>
    <x v="221"/>
    <s v="2021-11-26"/>
    <x v="0"/>
    <x v="0"/>
    <n v="9"/>
    <x v="33"/>
    <n v="1.46"/>
    <n v="18.97"/>
    <s v="62307848"/>
  </r>
  <r>
    <x v="221"/>
    <s v="2021-11-26"/>
    <x v="0"/>
    <x v="0"/>
    <n v="8"/>
    <x v="35"/>
    <n v="1.44"/>
    <n v="18.739999999999998"/>
    <s v="59109165"/>
  </r>
  <r>
    <x v="221"/>
    <s v="2021-11-26"/>
    <x v="0"/>
    <x v="0"/>
    <n v="7"/>
    <x v="22"/>
    <n v="1.34"/>
    <n v="17.3"/>
    <s v="11417016"/>
  </r>
  <r>
    <x v="221"/>
    <s v="2021-11-26"/>
    <x v="0"/>
    <x v="0"/>
    <n v="6"/>
    <x v="37"/>
    <n v="1.33"/>
    <n v="17.22"/>
    <s v="04452473"/>
  </r>
  <r>
    <x v="221"/>
    <s v="2021-11-26"/>
    <x v="0"/>
    <x v="0"/>
    <n v="5"/>
    <x v="47"/>
    <n v="1.33"/>
    <n v="17.14"/>
    <s v="28517628"/>
  </r>
  <r>
    <x v="221"/>
    <s v="2021-11-26"/>
    <x v="0"/>
    <x v="0"/>
    <n v="4"/>
    <x v="38"/>
    <n v="1.32"/>
    <n v="17.05"/>
    <s v="60814191"/>
  </r>
  <r>
    <x v="221"/>
    <s v="2021-11-26"/>
    <x v="0"/>
    <x v="0"/>
    <n v="3"/>
    <x v="36"/>
    <n v="1.28"/>
    <n v="16.43"/>
    <s v="33136888"/>
  </r>
  <r>
    <x v="221"/>
    <s v="2021-11-26"/>
    <x v="0"/>
    <x v="0"/>
    <n v="2"/>
    <x v="39"/>
    <n v="1.1299999999999999"/>
    <n v="14.46"/>
    <s v="04902979"/>
  </r>
  <r>
    <x v="221"/>
    <s v="2021-11-26"/>
    <x v="0"/>
    <x v="0"/>
    <n v="1"/>
    <x v="40"/>
    <n v="1.1200000000000001"/>
    <n v="14.34"/>
    <s v="02992446"/>
  </r>
  <r>
    <x v="222"/>
    <s v="2021-11-29"/>
    <x v="0"/>
    <x v="0"/>
    <n v="46"/>
    <x v="3"/>
    <n v="3.48"/>
    <n v="50.71"/>
    <s v="05503849"/>
  </r>
  <r>
    <x v="222"/>
    <s v="2021-11-29"/>
    <x v="0"/>
    <x v="0"/>
    <n v="45"/>
    <x v="1"/>
    <n v="3.1"/>
    <n v="44.23"/>
    <s v="01800019"/>
  </r>
  <r>
    <x v="222"/>
    <s v="2021-11-29"/>
    <x v="0"/>
    <x v="0"/>
    <n v="44"/>
    <x v="0"/>
    <n v="3.09"/>
    <n v="44.06"/>
    <s v="60850229"/>
  </r>
  <r>
    <x v="222"/>
    <s v="2021-11-29"/>
    <x v="0"/>
    <x v="0"/>
    <n v="43"/>
    <x v="2"/>
    <n v="3.03"/>
    <n v="43.15"/>
    <s v="92228410"/>
  </r>
  <r>
    <x v="222"/>
    <s v="2021-11-29"/>
    <x v="0"/>
    <x v="0"/>
    <n v="42"/>
    <x v="7"/>
    <n v="3.02"/>
    <n v="42.91"/>
    <s v="92874270"/>
  </r>
  <r>
    <x v="222"/>
    <s v="2021-11-29"/>
    <x v="0"/>
    <x v="0"/>
    <n v="41"/>
    <x v="6"/>
    <n v="2.92"/>
    <n v="41.21"/>
    <s v="05676026"/>
  </r>
  <r>
    <x v="222"/>
    <s v="2021-11-29"/>
    <x v="0"/>
    <x v="0"/>
    <n v="40"/>
    <x v="9"/>
    <n v="2.85"/>
    <n v="40.03"/>
    <s v="00411939"/>
  </r>
  <r>
    <x v="222"/>
    <s v="2021-11-29"/>
    <x v="0"/>
    <x v="0"/>
    <n v="39"/>
    <x v="8"/>
    <n v="2.67"/>
    <n v="37.19"/>
    <s v="59285411"/>
  </r>
  <r>
    <x v="222"/>
    <s v="2021-11-29"/>
    <x v="0"/>
    <x v="0"/>
    <n v="38"/>
    <x v="5"/>
    <n v="2.64"/>
    <n v="36.64"/>
    <s v="80271455"/>
  </r>
  <r>
    <x v="222"/>
    <s v="2021-11-29"/>
    <x v="0"/>
    <x v="0"/>
    <n v="37"/>
    <x v="24"/>
    <n v="2.61"/>
    <n v="36.25"/>
    <s v="22639377"/>
  </r>
  <r>
    <x v="222"/>
    <s v="2021-11-29"/>
    <x v="0"/>
    <x v="0"/>
    <n v="36"/>
    <x v="4"/>
    <n v="2.52"/>
    <n v="34.799999999999997"/>
    <s v="62232889"/>
  </r>
  <r>
    <x v="222"/>
    <s v="2021-11-29"/>
    <x v="0"/>
    <x v="0"/>
    <n v="35"/>
    <x v="42"/>
    <n v="2.5"/>
    <n v="34.54"/>
    <s v="34991938"/>
  </r>
  <r>
    <x v="222"/>
    <s v="2021-11-29"/>
    <x v="0"/>
    <x v="0"/>
    <n v="34"/>
    <x v="10"/>
    <n v="2.31"/>
    <n v="31.45"/>
    <s v="10371492"/>
  </r>
  <r>
    <x v="222"/>
    <s v="2021-11-29"/>
    <x v="0"/>
    <x v="0"/>
    <n v="33"/>
    <x v="13"/>
    <n v="2.23"/>
    <n v="30.24"/>
    <s v="07707650"/>
  </r>
  <r>
    <x v="222"/>
    <s v="2021-11-29"/>
    <x v="0"/>
    <x v="0"/>
    <n v="32"/>
    <x v="15"/>
    <n v="2.08"/>
    <n v="27.97"/>
    <s v="59588111"/>
  </r>
  <r>
    <x v="222"/>
    <s v="2021-11-29"/>
    <x v="0"/>
    <x v="0"/>
    <n v="31"/>
    <x v="53"/>
    <n v="2.02"/>
    <n v="27.15"/>
    <s v="31872495"/>
  </r>
  <r>
    <x v="222"/>
    <s v="2021-11-29"/>
    <x v="0"/>
    <x v="0"/>
    <n v="30"/>
    <x v="16"/>
    <n v="2"/>
    <n v="26.86"/>
    <s v="07207996"/>
  </r>
  <r>
    <x v="222"/>
    <s v="2021-11-29"/>
    <x v="0"/>
    <x v="0"/>
    <n v="29"/>
    <x v="20"/>
    <n v="2"/>
    <n v="26.75"/>
    <s v="17192451"/>
  </r>
  <r>
    <x v="222"/>
    <s v="2021-11-29"/>
    <x v="0"/>
    <x v="0"/>
    <n v="28"/>
    <x v="28"/>
    <n v="1.98"/>
    <n v="26.51"/>
    <s v="90400888"/>
  </r>
  <r>
    <x v="222"/>
    <s v="2021-11-29"/>
    <x v="0"/>
    <x v="0"/>
    <n v="27"/>
    <x v="51"/>
    <n v="1.95"/>
    <n v="26.05"/>
    <s v="62237425"/>
  </r>
  <r>
    <x v="222"/>
    <s v="2021-11-29"/>
    <x v="0"/>
    <x v="0"/>
    <n v="26"/>
    <x v="41"/>
    <n v="1.87"/>
    <n v="24.95"/>
    <s v="20443996"/>
  </r>
  <r>
    <x v="222"/>
    <s v="2021-11-29"/>
    <x v="0"/>
    <x v="0"/>
    <n v="25"/>
    <x v="11"/>
    <n v="1.84"/>
    <n v="24.38"/>
    <s v="03634220"/>
  </r>
  <r>
    <x v="222"/>
    <s v="2021-11-29"/>
    <x v="0"/>
    <x v="0"/>
    <n v="24"/>
    <x v="19"/>
    <n v="1.83"/>
    <n v="24.32"/>
    <s v="92702067"/>
  </r>
  <r>
    <x v="222"/>
    <s v="2021-11-29"/>
    <x v="0"/>
    <x v="0"/>
    <n v="23"/>
    <x v="12"/>
    <n v="1.81"/>
    <n v="24.02"/>
    <s v="04862600"/>
  </r>
  <r>
    <x v="222"/>
    <s v="2021-11-29"/>
    <x v="0"/>
    <x v="0"/>
    <n v="22"/>
    <x v="21"/>
    <n v="1.8"/>
    <n v="23.91"/>
    <s v="03017677"/>
  </r>
  <r>
    <x v="222"/>
    <s v="2021-11-29"/>
    <x v="0"/>
    <x v="0"/>
    <n v="21"/>
    <x v="32"/>
    <n v="1.8"/>
    <n v="23.83"/>
    <s v="60701190"/>
  </r>
  <r>
    <x v="222"/>
    <s v="2021-11-29"/>
    <x v="0"/>
    <x v="0"/>
    <n v="20"/>
    <x v="26"/>
    <n v="1.78"/>
    <n v="23.64"/>
    <s v="30172491"/>
  </r>
  <r>
    <x v="222"/>
    <s v="2021-11-29"/>
    <x v="0"/>
    <x v="0"/>
    <n v="19"/>
    <x v="29"/>
    <n v="1.78"/>
    <n v="23.63"/>
    <s v="60746948"/>
  </r>
  <r>
    <x v="222"/>
    <s v="2021-11-29"/>
    <x v="0"/>
    <x v="0"/>
    <n v="18"/>
    <x v="30"/>
    <n v="1.75"/>
    <n v="23.21"/>
    <s v="03502961"/>
  </r>
  <r>
    <x v="222"/>
    <s v="2021-11-29"/>
    <x v="0"/>
    <x v="0"/>
    <n v="17"/>
    <x v="23"/>
    <n v="1.73"/>
    <n v="22.84"/>
    <s v="03215790"/>
  </r>
  <r>
    <x v="222"/>
    <s v="2021-11-29"/>
    <x v="0"/>
    <x v="0"/>
    <n v="16"/>
    <x v="31"/>
    <n v="1.69"/>
    <n v="22.34"/>
    <s v="17167412"/>
  </r>
  <r>
    <x v="222"/>
    <s v="2021-11-29"/>
    <x v="0"/>
    <x v="0"/>
    <n v="15"/>
    <x v="14"/>
    <n v="1.58"/>
    <n v="20.72"/>
    <s v="00360305"/>
  </r>
  <r>
    <x v="222"/>
    <s v="2021-11-29"/>
    <x v="0"/>
    <x v="0"/>
    <n v="14"/>
    <x v="18"/>
    <n v="1.57"/>
    <n v="20.61"/>
    <s v="28127603"/>
  </r>
  <r>
    <x v="222"/>
    <s v="2021-11-29"/>
    <x v="0"/>
    <x v="0"/>
    <n v="13"/>
    <x v="34"/>
    <n v="1.56"/>
    <n v="20.43"/>
    <s v="33603457"/>
  </r>
  <r>
    <x v="222"/>
    <s v="2021-11-29"/>
    <x v="0"/>
    <x v="0"/>
    <n v="12"/>
    <x v="25"/>
    <n v="1.54"/>
    <n v="20.190000000000001"/>
    <s v="59274605"/>
  </r>
  <r>
    <x v="222"/>
    <s v="2021-11-29"/>
    <x v="0"/>
    <x v="0"/>
    <n v="11"/>
    <x v="27"/>
    <n v="1.52"/>
    <n v="19.829999999999998"/>
    <s v="00000000"/>
  </r>
  <r>
    <x v="222"/>
    <s v="2021-11-29"/>
    <x v="0"/>
    <x v="0"/>
    <n v="10"/>
    <x v="33"/>
    <n v="1.45"/>
    <n v="18.86"/>
    <s v="62307848"/>
  </r>
  <r>
    <x v="222"/>
    <s v="2021-11-29"/>
    <x v="0"/>
    <x v="0"/>
    <n v="9"/>
    <x v="35"/>
    <n v="1.43"/>
    <n v="18.510000000000002"/>
    <s v="59109165"/>
  </r>
  <r>
    <x v="222"/>
    <s v="2021-11-29"/>
    <x v="0"/>
    <x v="0"/>
    <n v="8"/>
    <x v="44"/>
    <n v="1.36"/>
    <n v="17.579999999999998"/>
    <s v="58017179"/>
  </r>
  <r>
    <x v="222"/>
    <s v="2021-11-29"/>
    <x v="0"/>
    <x v="0"/>
    <n v="7"/>
    <x v="22"/>
    <n v="1.34"/>
    <n v="17.3"/>
    <s v="11417016"/>
  </r>
  <r>
    <x v="222"/>
    <s v="2021-11-29"/>
    <x v="0"/>
    <x v="0"/>
    <n v="6"/>
    <x v="37"/>
    <n v="1.34"/>
    <n v="17.28"/>
    <s v="04452473"/>
  </r>
  <r>
    <x v="222"/>
    <s v="2021-11-29"/>
    <x v="0"/>
    <x v="0"/>
    <n v="5"/>
    <x v="47"/>
    <n v="1.31"/>
    <n v="16.96"/>
    <s v="28517628"/>
  </r>
  <r>
    <x v="222"/>
    <s v="2021-11-29"/>
    <x v="0"/>
    <x v="0"/>
    <n v="4"/>
    <x v="36"/>
    <n v="1.29"/>
    <n v="16.649999999999999"/>
    <s v="33136888"/>
  </r>
  <r>
    <x v="222"/>
    <s v="2021-11-29"/>
    <x v="0"/>
    <x v="0"/>
    <n v="3"/>
    <x v="38"/>
    <n v="1.28"/>
    <n v="16.47"/>
    <s v="60814191"/>
  </r>
  <r>
    <x v="222"/>
    <s v="2021-11-29"/>
    <x v="0"/>
    <x v="0"/>
    <n v="2"/>
    <x v="39"/>
    <n v="1.1299999999999999"/>
    <n v="14.46"/>
    <s v="04902979"/>
  </r>
  <r>
    <x v="222"/>
    <s v="2021-11-29"/>
    <x v="0"/>
    <x v="0"/>
    <n v="1"/>
    <x v="40"/>
    <n v="1.1100000000000001"/>
    <n v="14.18"/>
    <s v="02992446"/>
  </r>
  <r>
    <x v="223"/>
    <s v="2021-11-30"/>
    <x v="0"/>
    <x v="0"/>
    <n v="45"/>
    <x v="3"/>
    <n v="3.53"/>
    <n v="51.61"/>
    <s v="05503849"/>
  </r>
  <r>
    <x v="223"/>
    <s v="2021-11-30"/>
    <x v="0"/>
    <x v="0"/>
    <n v="44"/>
    <x v="1"/>
    <n v="3.18"/>
    <n v="45.56"/>
    <s v="01800019"/>
  </r>
  <r>
    <x v="223"/>
    <s v="2021-11-30"/>
    <x v="0"/>
    <x v="0"/>
    <n v="43"/>
    <x v="0"/>
    <n v="3.09"/>
    <n v="44"/>
    <s v="60850229"/>
  </r>
  <r>
    <x v="223"/>
    <s v="2021-11-30"/>
    <x v="0"/>
    <x v="0"/>
    <n v="42"/>
    <x v="2"/>
    <n v="3.02"/>
    <n v="42.87"/>
    <s v="92228410"/>
  </r>
  <r>
    <x v="223"/>
    <s v="2021-11-30"/>
    <x v="0"/>
    <x v="0"/>
    <n v="41"/>
    <x v="7"/>
    <n v="3.01"/>
    <n v="42.8"/>
    <s v="92874270"/>
  </r>
  <r>
    <x v="223"/>
    <s v="2021-11-30"/>
    <x v="0"/>
    <x v="0"/>
    <n v="40"/>
    <x v="6"/>
    <n v="2.93"/>
    <n v="41.41"/>
    <s v="05676026"/>
  </r>
  <r>
    <x v="223"/>
    <s v="2021-11-30"/>
    <x v="0"/>
    <x v="0"/>
    <n v="39"/>
    <x v="9"/>
    <n v="2.8"/>
    <n v="39.299999999999997"/>
    <s v="00411939"/>
  </r>
  <r>
    <x v="223"/>
    <s v="2021-11-30"/>
    <x v="0"/>
    <x v="0"/>
    <n v="38"/>
    <x v="8"/>
    <n v="2.68"/>
    <n v="37.4"/>
    <s v="59285411"/>
  </r>
  <r>
    <x v="223"/>
    <s v="2021-11-30"/>
    <x v="0"/>
    <x v="0"/>
    <n v="37"/>
    <x v="5"/>
    <n v="2.67"/>
    <n v="37.25"/>
    <s v="80271455"/>
  </r>
  <r>
    <x v="223"/>
    <s v="2021-11-30"/>
    <x v="0"/>
    <x v="0"/>
    <n v="36"/>
    <x v="24"/>
    <n v="2.67"/>
    <n v="37.130000000000003"/>
    <s v="22639377"/>
  </r>
  <r>
    <x v="223"/>
    <s v="2021-11-30"/>
    <x v="0"/>
    <x v="0"/>
    <n v="35"/>
    <x v="4"/>
    <n v="2.5299999999999998"/>
    <n v="34.9"/>
    <s v="62232889"/>
  </r>
  <r>
    <x v="223"/>
    <s v="2021-11-30"/>
    <x v="0"/>
    <x v="0"/>
    <n v="34"/>
    <x v="42"/>
    <n v="2.5"/>
    <n v="34.409999999999997"/>
    <s v="34991938"/>
  </r>
  <r>
    <x v="223"/>
    <s v="2021-11-30"/>
    <x v="0"/>
    <x v="0"/>
    <n v="33"/>
    <x v="10"/>
    <n v="2.33"/>
    <n v="31.87"/>
    <s v="10371492"/>
  </r>
  <r>
    <x v="223"/>
    <s v="2021-11-30"/>
    <x v="0"/>
    <x v="0"/>
    <n v="32"/>
    <x v="13"/>
    <n v="2.2200000000000002"/>
    <n v="30.15"/>
    <s v="07707650"/>
  </r>
  <r>
    <x v="223"/>
    <s v="2021-11-30"/>
    <x v="0"/>
    <x v="0"/>
    <n v="31"/>
    <x v="15"/>
    <n v="2.0699999999999998"/>
    <n v="27.9"/>
    <s v="59588111"/>
  </r>
  <r>
    <x v="223"/>
    <s v="2021-11-30"/>
    <x v="0"/>
    <x v="0"/>
    <n v="30"/>
    <x v="16"/>
    <n v="2"/>
    <n v="26.77"/>
    <s v="07207996"/>
  </r>
  <r>
    <x v="223"/>
    <s v="2021-11-30"/>
    <x v="0"/>
    <x v="0"/>
    <n v="29"/>
    <x v="53"/>
    <n v="1.99"/>
    <n v="26.65"/>
    <s v="31872495"/>
  </r>
  <r>
    <x v="223"/>
    <s v="2021-11-30"/>
    <x v="0"/>
    <x v="0"/>
    <n v="28"/>
    <x v="28"/>
    <n v="1.98"/>
    <n v="26.59"/>
    <s v="90400888"/>
  </r>
  <r>
    <x v="223"/>
    <s v="2021-11-30"/>
    <x v="0"/>
    <x v="0"/>
    <n v="27"/>
    <x v="20"/>
    <n v="1.98"/>
    <n v="26.54"/>
    <s v="17192451"/>
  </r>
  <r>
    <x v="223"/>
    <s v="2021-11-30"/>
    <x v="0"/>
    <x v="0"/>
    <n v="26"/>
    <x v="41"/>
    <n v="1.87"/>
    <n v="24.95"/>
    <s v="20443996"/>
  </r>
  <r>
    <x v="223"/>
    <s v="2021-11-30"/>
    <x v="0"/>
    <x v="0"/>
    <n v="25"/>
    <x v="11"/>
    <n v="1.85"/>
    <n v="24.59"/>
    <s v="03634220"/>
  </r>
  <r>
    <x v="223"/>
    <s v="2021-11-30"/>
    <x v="0"/>
    <x v="0"/>
    <n v="24"/>
    <x v="12"/>
    <n v="1.84"/>
    <n v="24.45"/>
    <s v="04862600"/>
  </r>
  <r>
    <x v="223"/>
    <s v="2021-11-30"/>
    <x v="0"/>
    <x v="0"/>
    <n v="23"/>
    <x v="21"/>
    <n v="1.8"/>
    <n v="23.83"/>
    <s v="03017677"/>
  </r>
  <r>
    <x v="223"/>
    <s v="2021-11-30"/>
    <x v="0"/>
    <x v="0"/>
    <n v="22"/>
    <x v="26"/>
    <n v="1.79"/>
    <n v="23.74"/>
    <s v="30172491"/>
  </r>
  <r>
    <x v="223"/>
    <s v="2021-11-30"/>
    <x v="0"/>
    <x v="0"/>
    <n v="21"/>
    <x v="32"/>
    <n v="1.78"/>
    <n v="23.64"/>
    <s v="60701190"/>
  </r>
  <r>
    <x v="223"/>
    <s v="2021-11-30"/>
    <x v="0"/>
    <x v="0"/>
    <n v="20"/>
    <x v="29"/>
    <n v="1.77"/>
    <n v="23.49"/>
    <s v="60746948"/>
  </r>
  <r>
    <x v="223"/>
    <s v="2021-11-30"/>
    <x v="0"/>
    <x v="0"/>
    <n v="19"/>
    <x v="30"/>
    <n v="1.73"/>
    <n v="22.91"/>
    <s v="03502961"/>
  </r>
  <r>
    <x v="223"/>
    <s v="2021-11-30"/>
    <x v="0"/>
    <x v="0"/>
    <n v="18"/>
    <x v="23"/>
    <n v="1.72"/>
    <n v="22.74"/>
    <s v="03215790"/>
  </r>
  <r>
    <x v="223"/>
    <s v="2021-11-30"/>
    <x v="0"/>
    <x v="0"/>
    <n v="17"/>
    <x v="31"/>
    <n v="1.67"/>
    <n v="22.02"/>
    <s v="17167412"/>
  </r>
  <r>
    <x v="223"/>
    <s v="2021-11-30"/>
    <x v="0"/>
    <x v="0"/>
    <n v="16"/>
    <x v="19"/>
    <n v="1.59"/>
    <n v="20.82"/>
    <s v="92702067"/>
  </r>
  <r>
    <x v="223"/>
    <s v="2021-11-30"/>
    <x v="0"/>
    <x v="0"/>
    <n v="15"/>
    <x v="18"/>
    <n v="1.58"/>
    <n v="20.67"/>
    <s v="28127603"/>
  </r>
  <r>
    <x v="223"/>
    <s v="2021-11-30"/>
    <x v="0"/>
    <x v="0"/>
    <n v="14"/>
    <x v="14"/>
    <n v="1.57"/>
    <n v="20.49"/>
    <s v="00360305"/>
  </r>
  <r>
    <x v="223"/>
    <s v="2021-11-30"/>
    <x v="0"/>
    <x v="0"/>
    <n v="13"/>
    <x v="34"/>
    <n v="1.56"/>
    <n v="20.41"/>
    <s v="33603457"/>
  </r>
  <r>
    <x v="223"/>
    <s v="2021-11-30"/>
    <x v="0"/>
    <x v="0"/>
    <n v="12"/>
    <x v="25"/>
    <n v="1.55"/>
    <n v="20.2"/>
    <s v="59274605"/>
  </r>
  <r>
    <x v="223"/>
    <s v="2021-11-30"/>
    <x v="0"/>
    <x v="0"/>
    <n v="11"/>
    <x v="27"/>
    <n v="1.52"/>
    <n v="19.89"/>
    <s v="00000000"/>
  </r>
  <r>
    <x v="223"/>
    <s v="2021-11-30"/>
    <x v="0"/>
    <x v="0"/>
    <n v="10"/>
    <x v="33"/>
    <n v="1.46"/>
    <n v="19"/>
    <s v="62307848"/>
  </r>
  <r>
    <x v="223"/>
    <s v="2021-11-30"/>
    <x v="0"/>
    <x v="0"/>
    <n v="9"/>
    <x v="35"/>
    <n v="1.4"/>
    <n v="18.18"/>
    <s v="59109165"/>
  </r>
  <r>
    <x v="223"/>
    <s v="2021-11-30"/>
    <x v="0"/>
    <x v="0"/>
    <n v="8"/>
    <x v="44"/>
    <n v="1.36"/>
    <n v="17.579999999999998"/>
    <s v="58017179"/>
  </r>
  <r>
    <x v="223"/>
    <s v="2021-11-30"/>
    <x v="0"/>
    <x v="0"/>
    <n v="7"/>
    <x v="37"/>
    <n v="1.35"/>
    <n v="17.39"/>
    <s v="04452473"/>
  </r>
  <r>
    <x v="223"/>
    <s v="2021-11-30"/>
    <x v="0"/>
    <x v="0"/>
    <n v="6"/>
    <x v="22"/>
    <n v="1.34"/>
    <n v="17.309999999999999"/>
    <s v="11417016"/>
  </r>
  <r>
    <x v="223"/>
    <s v="2021-11-30"/>
    <x v="0"/>
    <x v="0"/>
    <n v="5"/>
    <x v="36"/>
    <n v="1.32"/>
    <n v="17.03"/>
    <s v="33136888"/>
  </r>
  <r>
    <x v="223"/>
    <s v="2021-11-30"/>
    <x v="0"/>
    <x v="0"/>
    <n v="4"/>
    <x v="47"/>
    <n v="1.3"/>
    <n v="16.82"/>
    <s v="28517628"/>
  </r>
  <r>
    <x v="223"/>
    <s v="2021-11-30"/>
    <x v="0"/>
    <x v="0"/>
    <n v="3"/>
    <x v="38"/>
    <n v="1.22"/>
    <n v="15.62"/>
    <s v="60814191"/>
  </r>
  <r>
    <x v="223"/>
    <s v="2021-11-30"/>
    <x v="0"/>
    <x v="0"/>
    <n v="2"/>
    <x v="39"/>
    <n v="1.1299999999999999"/>
    <n v="14.46"/>
    <s v="04902979"/>
  </r>
  <r>
    <x v="223"/>
    <s v="2021-11-30"/>
    <x v="0"/>
    <x v="0"/>
    <n v="1"/>
    <x v="40"/>
    <n v="1.04"/>
    <n v="13.18"/>
    <s v="02992446"/>
  </r>
  <r>
    <x v="224"/>
    <s v="2021-12-01"/>
    <x v="0"/>
    <x v="0"/>
    <n v="45"/>
    <x v="3"/>
    <n v="3.61"/>
    <n v="52.99"/>
    <s v="05503849"/>
  </r>
  <r>
    <x v="224"/>
    <s v="2021-12-01"/>
    <x v="0"/>
    <x v="0"/>
    <n v="44"/>
    <x v="1"/>
    <n v="3.28"/>
    <n v="47.31"/>
    <s v="01800019"/>
  </r>
  <r>
    <x v="224"/>
    <s v="2021-12-01"/>
    <x v="0"/>
    <x v="0"/>
    <n v="43"/>
    <x v="0"/>
    <n v="3.06"/>
    <n v="43.55"/>
    <s v="60850229"/>
  </r>
  <r>
    <x v="224"/>
    <s v="2021-12-01"/>
    <x v="0"/>
    <x v="0"/>
    <n v="42"/>
    <x v="2"/>
    <n v="3.02"/>
    <n v="42.97"/>
    <s v="92228410"/>
  </r>
  <r>
    <x v="224"/>
    <s v="2021-12-01"/>
    <x v="0"/>
    <x v="0"/>
    <n v="41"/>
    <x v="7"/>
    <n v="3.01"/>
    <n v="42.73"/>
    <s v="92874270"/>
  </r>
  <r>
    <x v="224"/>
    <s v="2021-12-01"/>
    <x v="0"/>
    <x v="0"/>
    <n v="40"/>
    <x v="6"/>
    <n v="2.93"/>
    <n v="41.49"/>
    <s v="05676026"/>
  </r>
  <r>
    <x v="224"/>
    <s v="2021-12-01"/>
    <x v="0"/>
    <x v="0"/>
    <n v="39"/>
    <x v="9"/>
    <n v="2.9"/>
    <n v="40.86"/>
    <s v="00411939"/>
  </r>
  <r>
    <x v="224"/>
    <s v="2021-12-01"/>
    <x v="0"/>
    <x v="0"/>
    <n v="38"/>
    <x v="8"/>
    <n v="2.69"/>
    <n v="37.58"/>
    <s v="59285411"/>
  </r>
  <r>
    <x v="224"/>
    <s v="2021-12-01"/>
    <x v="0"/>
    <x v="0"/>
    <n v="37"/>
    <x v="5"/>
    <n v="2.68"/>
    <n v="37.380000000000003"/>
    <s v="80271455"/>
  </r>
  <r>
    <x v="224"/>
    <s v="2021-12-01"/>
    <x v="0"/>
    <x v="0"/>
    <n v="36"/>
    <x v="24"/>
    <n v="2.59"/>
    <n v="35.92"/>
    <s v="22639377"/>
  </r>
  <r>
    <x v="224"/>
    <s v="2021-12-01"/>
    <x v="0"/>
    <x v="0"/>
    <n v="35"/>
    <x v="4"/>
    <n v="2.5299999999999998"/>
    <n v="34.9"/>
    <s v="62232889"/>
  </r>
  <r>
    <x v="224"/>
    <s v="2021-12-01"/>
    <x v="0"/>
    <x v="0"/>
    <n v="34"/>
    <x v="42"/>
    <n v="2.5"/>
    <n v="34.54"/>
    <s v="34991938"/>
  </r>
  <r>
    <x v="224"/>
    <s v="2021-12-01"/>
    <x v="0"/>
    <x v="0"/>
    <n v="33"/>
    <x v="10"/>
    <n v="2.34"/>
    <n v="31.97"/>
    <s v="10371492"/>
  </r>
  <r>
    <x v="224"/>
    <s v="2021-12-01"/>
    <x v="0"/>
    <x v="0"/>
    <n v="32"/>
    <x v="13"/>
    <n v="2.2200000000000002"/>
    <n v="30.14"/>
    <s v="07707650"/>
  </r>
  <r>
    <x v="224"/>
    <s v="2021-12-01"/>
    <x v="0"/>
    <x v="0"/>
    <n v="31"/>
    <x v="15"/>
    <n v="2.0699999999999998"/>
    <n v="27.91"/>
    <s v="59588111"/>
  </r>
  <r>
    <x v="224"/>
    <s v="2021-12-01"/>
    <x v="0"/>
    <x v="0"/>
    <n v="30"/>
    <x v="28"/>
    <n v="2.0499999999999998"/>
    <n v="27.52"/>
    <s v="90400888"/>
  </r>
  <r>
    <x v="224"/>
    <s v="2021-12-01"/>
    <x v="0"/>
    <x v="0"/>
    <n v="29"/>
    <x v="16"/>
    <n v="2"/>
    <n v="26.75"/>
    <s v="07207996"/>
  </r>
  <r>
    <x v="224"/>
    <s v="2021-12-01"/>
    <x v="0"/>
    <x v="0"/>
    <n v="28"/>
    <x v="53"/>
    <n v="1.98"/>
    <n v="26.56"/>
    <s v="31872495"/>
  </r>
  <r>
    <x v="224"/>
    <s v="2021-12-01"/>
    <x v="0"/>
    <x v="0"/>
    <n v="27"/>
    <x v="20"/>
    <n v="1.98"/>
    <n v="26.51"/>
    <s v="17192451"/>
  </r>
  <r>
    <x v="224"/>
    <s v="2021-12-01"/>
    <x v="0"/>
    <x v="0"/>
    <n v="26"/>
    <x v="41"/>
    <n v="1.87"/>
    <n v="24.95"/>
    <s v="20443996"/>
  </r>
  <r>
    <x v="224"/>
    <s v="2021-12-01"/>
    <x v="0"/>
    <x v="0"/>
    <n v="25"/>
    <x v="12"/>
    <n v="1.85"/>
    <n v="24.63"/>
    <s v="04862600"/>
  </r>
  <r>
    <x v="224"/>
    <s v="2021-12-01"/>
    <x v="0"/>
    <x v="0"/>
    <n v="24"/>
    <x v="11"/>
    <n v="1.82"/>
    <n v="24.19"/>
    <s v="03634220"/>
  </r>
  <r>
    <x v="224"/>
    <s v="2021-12-01"/>
    <x v="0"/>
    <x v="0"/>
    <n v="23"/>
    <x v="21"/>
    <n v="1.79"/>
    <n v="23.72"/>
    <s v="03017677"/>
  </r>
  <r>
    <x v="224"/>
    <s v="2021-12-01"/>
    <x v="0"/>
    <x v="0"/>
    <n v="22"/>
    <x v="26"/>
    <n v="1.78"/>
    <n v="23.54"/>
    <s v="30172491"/>
  </r>
  <r>
    <x v="224"/>
    <s v="2021-12-01"/>
    <x v="0"/>
    <x v="0"/>
    <n v="21"/>
    <x v="32"/>
    <n v="1.77"/>
    <n v="23.42"/>
    <s v="60701190"/>
  </r>
  <r>
    <x v="224"/>
    <s v="2021-12-01"/>
    <x v="0"/>
    <x v="0"/>
    <n v="20"/>
    <x v="29"/>
    <n v="1.76"/>
    <n v="23.35"/>
    <s v="60746948"/>
  </r>
  <r>
    <x v="224"/>
    <s v="2021-12-01"/>
    <x v="0"/>
    <x v="0"/>
    <n v="19"/>
    <x v="30"/>
    <n v="1.74"/>
    <n v="22.96"/>
    <s v="03502961"/>
  </r>
  <r>
    <x v="224"/>
    <s v="2021-12-01"/>
    <x v="0"/>
    <x v="0"/>
    <n v="18"/>
    <x v="23"/>
    <n v="1.73"/>
    <n v="22.8"/>
    <s v="03215790"/>
  </r>
  <r>
    <x v="224"/>
    <s v="2021-12-01"/>
    <x v="0"/>
    <x v="0"/>
    <n v="17"/>
    <x v="31"/>
    <n v="1.68"/>
    <n v="22.07"/>
    <s v="17167412"/>
  </r>
  <r>
    <x v="224"/>
    <s v="2021-12-01"/>
    <x v="0"/>
    <x v="0"/>
    <n v="16"/>
    <x v="19"/>
    <n v="1.59"/>
    <n v="20.82"/>
    <s v="92702067"/>
  </r>
  <r>
    <x v="224"/>
    <s v="2021-12-01"/>
    <x v="0"/>
    <x v="0"/>
    <n v="15"/>
    <x v="18"/>
    <n v="1.55"/>
    <n v="20.2"/>
    <s v="28127603"/>
  </r>
  <r>
    <x v="224"/>
    <s v="2021-12-01"/>
    <x v="0"/>
    <x v="0"/>
    <n v="14"/>
    <x v="25"/>
    <n v="1.54"/>
    <n v="20.16"/>
    <s v="59274605"/>
  </r>
  <r>
    <x v="224"/>
    <s v="2021-12-01"/>
    <x v="0"/>
    <x v="0"/>
    <n v="13"/>
    <x v="14"/>
    <n v="1.54"/>
    <n v="20.09"/>
    <s v="00360305"/>
  </r>
  <r>
    <x v="224"/>
    <s v="2021-12-01"/>
    <x v="0"/>
    <x v="0"/>
    <n v="12"/>
    <x v="27"/>
    <n v="1.52"/>
    <n v="19.88"/>
    <s v="00000000"/>
  </r>
  <r>
    <x v="224"/>
    <s v="2021-12-01"/>
    <x v="0"/>
    <x v="0"/>
    <n v="11"/>
    <x v="34"/>
    <n v="1.5"/>
    <n v="19.57"/>
    <s v="33603457"/>
  </r>
  <r>
    <x v="224"/>
    <s v="2021-12-01"/>
    <x v="0"/>
    <x v="0"/>
    <n v="10"/>
    <x v="33"/>
    <n v="1.47"/>
    <n v="19.11"/>
    <s v="62307848"/>
  </r>
  <r>
    <x v="224"/>
    <s v="2021-12-01"/>
    <x v="0"/>
    <x v="0"/>
    <n v="9"/>
    <x v="35"/>
    <n v="1.4"/>
    <n v="18.16"/>
    <s v="59109165"/>
  </r>
  <r>
    <x v="224"/>
    <s v="2021-12-01"/>
    <x v="0"/>
    <x v="0"/>
    <n v="8"/>
    <x v="44"/>
    <n v="1.36"/>
    <n v="17.579999999999998"/>
    <s v="58017179"/>
  </r>
  <r>
    <x v="224"/>
    <s v="2021-12-01"/>
    <x v="0"/>
    <x v="0"/>
    <n v="7"/>
    <x v="37"/>
    <n v="1.36"/>
    <n v="17.55"/>
    <s v="04452473"/>
  </r>
  <r>
    <x v="224"/>
    <s v="2021-12-01"/>
    <x v="0"/>
    <x v="0"/>
    <n v="6"/>
    <x v="22"/>
    <n v="1.34"/>
    <n v="17.309999999999999"/>
    <s v="11417016"/>
  </r>
  <r>
    <x v="224"/>
    <s v="2021-12-01"/>
    <x v="0"/>
    <x v="0"/>
    <n v="5"/>
    <x v="36"/>
    <n v="1.32"/>
    <n v="17.03"/>
    <s v="33136888"/>
  </r>
  <r>
    <x v="224"/>
    <s v="2021-12-01"/>
    <x v="0"/>
    <x v="0"/>
    <n v="4"/>
    <x v="47"/>
    <n v="1.3"/>
    <n v="16.72"/>
    <s v="28517628"/>
  </r>
  <r>
    <x v="224"/>
    <s v="2021-12-01"/>
    <x v="0"/>
    <x v="0"/>
    <n v="3"/>
    <x v="38"/>
    <n v="1.2"/>
    <n v="15.45"/>
    <s v="60814191"/>
  </r>
  <r>
    <x v="224"/>
    <s v="2021-12-01"/>
    <x v="0"/>
    <x v="0"/>
    <n v="2"/>
    <x v="39"/>
    <n v="1.1299999999999999"/>
    <n v="14.46"/>
    <s v="04902979"/>
  </r>
  <r>
    <x v="224"/>
    <s v="2021-12-01"/>
    <x v="0"/>
    <x v="0"/>
    <n v="1"/>
    <x v="40"/>
    <n v="1.02"/>
    <n v="12.98"/>
    <s v="02992446"/>
  </r>
  <r>
    <x v="225"/>
    <s v="2021-12-02"/>
    <x v="0"/>
    <x v="0"/>
    <n v="46"/>
    <x v="3"/>
    <n v="3.59"/>
    <n v="52.64"/>
    <s v="05503849"/>
  </r>
  <r>
    <x v="225"/>
    <s v="2021-12-02"/>
    <x v="0"/>
    <x v="0"/>
    <n v="45"/>
    <x v="1"/>
    <n v="3.24"/>
    <n v="46.64"/>
    <s v="01800019"/>
  </r>
  <r>
    <x v="225"/>
    <s v="2021-12-02"/>
    <x v="0"/>
    <x v="0"/>
    <n v="44"/>
    <x v="0"/>
    <n v="3.05"/>
    <n v="43.4"/>
    <s v="60850229"/>
  </r>
  <r>
    <x v="225"/>
    <s v="2021-12-02"/>
    <x v="0"/>
    <x v="0"/>
    <n v="43"/>
    <x v="2"/>
    <n v="3.03"/>
    <n v="43.13"/>
    <s v="92228410"/>
  </r>
  <r>
    <x v="225"/>
    <s v="2021-12-02"/>
    <x v="0"/>
    <x v="0"/>
    <n v="42"/>
    <x v="7"/>
    <n v="3"/>
    <n v="42.64"/>
    <s v="92874270"/>
  </r>
  <r>
    <x v="225"/>
    <s v="2021-12-02"/>
    <x v="0"/>
    <x v="0"/>
    <n v="41"/>
    <x v="6"/>
    <n v="2.94"/>
    <n v="41.53"/>
    <s v="05676026"/>
  </r>
  <r>
    <x v="225"/>
    <s v="2021-12-02"/>
    <x v="0"/>
    <x v="0"/>
    <n v="40"/>
    <x v="9"/>
    <n v="2.91"/>
    <n v="41.01"/>
    <s v="00411939"/>
  </r>
  <r>
    <x v="225"/>
    <s v="2021-12-02"/>
    <x v="0"/>
    <x v="0"/>
    <n v="39"/>
    <x v="8"/>
    <n v="2.71"/>
    <n v="37.89"/>
    <s v="59285411"/>
  </r>
  <r>
    <x v="225"/>
    <s v="2021-12-02"/>
    <x v="0"/>
    <x v="0"/>
    <n v="38"/>
    <x v="5"/>
    <n v="2.63"/>
    <n v="36.56"/>
    <s v="80271455"/>
  </r>
  <r>
    <x v="225"/>
    <s v="2021-12-02"/>
    <x v="0"/>
    <x v="0"/>
    <n v="37"/>
    <x v="24"/>
    <n v="2.57"/>
    <n v="35.630000000000003"/>
    <s v="22639377"/>
  </r>
  <r>
    <x v="225"/>
    <s v="2021-12-02"/>
    <x v="0"/>
    <x v="0"/>
    <n v="36"/>
    <x v="4"/>
    <n v="2.5299999999999998"/>
    <n v="34.97"/>
    <s v="62232889"/>
  </r>
  <r>
    <x v="225"/>
    <s v="2021-12-02"/>
    <x v="0"/>
    <x v="0"/>
    <n v="35"/>
    <x v="42"/>
    <n v="2.5"/>
    <n v="34.54"/>
    <s v="34991938"/>
  </r>
  <r>
    <x v="225"/>
    <s v="2021-12-02"/>
    <x v="0"/>
    <x v="0"/>
    <n v="34"/>
    <x v="10"/>
    <n v="2.35"/>
    <n v="32.08"/>
    <s v="10371492"/>
  </r>
  <r>
    <x v="225"/>
    <s v="2021-12-02"/>
    <x v="0"/>
    <x v="0"/>
    <n v="33"/>
    <x v="13"/>
    <n v="2.21"/>
    <n v="30.05"/>
    <s v="07707650"/>
  </r>
  <r>
    <x v="225"/>
    <s v="2021-12-02"/>
    <x v="0"/>
    <x v="0"/>
    <n v="32"/>
    <x v="15"/>
    <n v="2.0699999999999998"/>
    <n v="27.9"/>
    <s v="59588111"/>
  </r>
  <r>
    <x v="225"/>
    <s v="2021-12-02"/>
    <x v="0"/>
    <x v="0"/>
    <n v="31"/>
    <x v="28"/>
    <n v="2.04"/>
    <n v="27.46"/>
    <s v="90400888"/>
  </r>
  <r>
    <x v="225"/>
    <s v="2021-12-02"/>
    <x v="0"/>
    <x v="0"/>
    <n v="30"/>
    <x v="16"/>
    <n v="2"/>
    <n v="26.78"/>
    <s v="07207996"/>
  </r>
  <r>
    <x v="225"/>
    <s v="2021-12-02"/>
    <x v="0"/>
    <x v="0"/>
    <n v="29"/>
    <x v="20"/>
    <n v="1.98"/>
    <n v="26.51"/>
    <s v="17192451"/>
  </r>
  <r>
    <x v="225"/>
    <s v="2021-12-02"/>
    <x v="0"/>
    <x v="0"/>
    <n v="28"/>
    <x v="53"/>
    <n v="1.97"/>
    <n v="26.34"/>
    <s v="31872495"/>
  </r>
  <r>
    <x v="225"/>
    <s v="2021-12-02"/>
    <x v="0"/>
    <x v="0"/>
    <n v="27"/>
    <x v="41"/>
    <n v="1.87"/>
    <n v="24.95"/>
    <s v="20443996"/>
  </r>
  <r>
    <x v="225"/>
    <s v="2021-12-02"/>
    <x v="0"/>
    <x v="0"/>
    <n v="26"/>
    <x v="12"/>
    <n v="1.85"/>
    <n v="24.58"/>
    <s v="04862600"/>
  </r>
  <r>
    <x v="225"/>
    <s v="2021-12-02"/>
    <x v="0"/>
    <x v="0"/>
    <n v="25"/>
    <x v="11"/>
    <n v="1.81"/>
    <n v="24.06"/>
    <s v="03634220"/>
  </r>
  <r>
    <x v="225"/>
    <s v="2021-12-02"/>
    <x v="0"/>
    <x v="0"/>
    <n v="24"/>
    <x v="21"/>
    <n v="1.79"/>
    <n v="23.77"/>
    <s v="03017677"/>
  </r>
  <r>
    <x v="225"/>
    <s v="2021-12-02"/>
    <x v="0"/>
    <x v="0"/>
    <n v="23"/>
    <x v="26"/>
    <n v="1.78"/>
    <n v="23.58"/>
    <s v="30172491"/>
  </r>
  <r>
    <x v="225"/>
    <s v="2021-12-02"/>
    <x v="0"/>
    <x v="0"/>
    <n v="22"/>
    <x v="32"/>
    <n v="1.77"/>
    <n v="23.47"/>
    <s v="60701190"/>
  </r>
  <r>
    <x v="225"/>
    <s v="2021-12-02"/>
    <x v="0"/>
    <x v="0"/>
    <n v="21"/>
    <x v="29"/>
    <n v="1.75"/>
    <n v="23.18"/>
    <s v="60746948"/>
  </r>
  <r>
    <x v="225"/>
    <s v="2021-12-02"/>
    <x v="0"/>
    <x v="0"/>
    <n v="20"/>
    <x v="30"/>
    <n v="1.75"/>
    <n v="23.1"/>
    <s v="03502961"/>
  </r>
  <r>
    <x v="225"/>
    <s v="2021-12-02"/>
    <x v="0"/>
    <x v="0"/>
    <n v="19"/>
    <x v="23"/>
    <n v="1.73"/>
    <n v="22.81"/>
    <s v="03215790"/>
  </r>
  <r>
    <x v="225"/>
    <s v="2021-12-02"/>
    <x v="0"/>
    <x v="0"/>
    <n v="18"/>
    <x v="18"/>
    <n v="1.7"/>
    <n v="22.41"/>
    <s v="28127603"/>
  </r>
  <r>
    <x v="225"/>
    <s v="2021-12-02"/>
    <x v="0"/>
    <x v="0"/>
    <n v="17"/>
    <x v="31"/>
    <n v="1.67"/>
    <n v="22.01"/>
    <s v="17167412"/>
  </r>
  <r>
    <x v="225"/>
    <s v="2021-12-02"/>
    <x v="0"/>
    <x v="0"/>
    <n v="16"/>
    <x v="25"/>
    <n v="1.54"/>
    <n v="20.149999999999999"/>
    <s v="59274605"/>
  </r>
  <r>
    <x v="225"/>
    <s v="2021-12-02"/>
    <x v="0"/>
    <x v="0"/>
    <n v="15"/>
    <x v="27"/>
    <n v="1.53"/>
    <n v="19.96"/>
    <s v="00000000"/>
  </r>
  <r>
    <x v="225"/>
    <s v="2021-12-02"/>
    <x v="0"/>
    <x v="0"/>
    <n v="14"/>
    <x v="34"/>
    <n v="1.53"/>
    <n v="19.93"/>
    <s v="33603457"/>
  </r>
  <r>
    <x v="225"/>
    <s v="2021-12-02"/>
    <x v="0"/>
    <x v="0"/>
    <n v="13"/>
    <x v="43"/>
    <n v="1.52"/>
    <n v="19.82"/>
    <s v="07441209"/>
  </r>
  <r>
    <x v="225"/>
    <s v="2021-12-02"/>
    <x v="0"/>
    <x v="0"/>
    <n v="12"/>
    <x v="19"/>
    <n v="1.51"/>
    <n v="19.7"/>
    <s v="92702067"/>
  </r>
  <r>
    <x v="225"/>
    <s v="2021-12-02"/>
    <x v="0"/>
    <x v="0"/>
    <n v="11"/>
    <x v="14"/>
    <n v="1.48"/>
    <n v="19.27"/>
    <s v="00360305"/>
  </r>
  <r>
    <x v="225"/>
    <s v="2021-12-02"/>
    <x v="0"/>
    <x v="0"/>
    <n v="10"/>
    <x v="33"/>
    <n v="1.48"/>
    <n v="19.25"/>
    <s v="62307848"/>
  </r>
  <r>
    <x v="225"/>
    <s v="2021-12-02"/>
    <x v="0"/>
    <x v="0"/>
    <n v="9"/>
    <x v="35"/>
    <n v="1.38"/>
    <n v="17.86"/>
    <s v="59109165"/>
  </r>
  <r>
    <x v="225"/>
    <s v="2021-12-02"/>
    <x v="0"/>
    <x v="0"/>
    <n v="8"/>
    <x v="37"/>
    <n v="1.36"/>
    <n v="17.649999999999999"/>
    <s v="04452473"/>
  </r>
  <r>
    <x v="225"/>
    <s v="2021-12-02"/>
    <x v="0"/>
    <x v="0"/>
    <n v="7"/>
    <x v="44"/>
    <n v="1.36"/>
    <n v="17.579999999999998"/>
    <s v="58017179"/>
  </r>
  <r>
    <x v="225"/>
    <s v="2021-12-02"/>
    <x v="0"/>
    <x v="0"/>
    <n v="6"/>
    <x v="22"/>
    <n v="1.34"/>
    <n v="17.329999999999998"/>
    <s v="11417016"/>
  </r>
  <r>
    <x v="225"/>
    <s v="2021-12-02"/>
    <x v="0"/>
    <x v="0"/>
    <n v="5"/>
    <x v="36"/>
    <n v="1.31"/>
    <n v="16.940000000000001"/>
    <s v="33136888"/>
  </r>
  <r>
    <x v="225"/>
    <s v="2021-12-02"/>
    <x v="0"/>
    <x v="0"/>
    <n v="4"/>
    <x v="47"/>
    <n v="1.3"/>
    <n v="16.72"/>
    <s v="28517628"/>
  </r>
  <r>
    <x v="225"/>
    <s v="2021-12-02"/>
    <x v="0"/>
    <x v="0"/>
    <n v="3"/>
    <x v="38"/>
    <n v="1.2"/>
    <n v="15.37"/>
    <s v="60814191"/>
  </r>
  <r>
    <x v="225"/>
    <s v="2021-12-02"/>
    <x v="0"/>
    <x v="0"/>
    <n v="2"/>
    <x v="39"/>
    <n v="1.1299999999999999"/>
    <n v="14.46"/>
    <s v="04902979"/>
  </r>
  <r>
    <x v="225"/>
    <s v="2021-12-02"/>
    <x v="0"/>
    <x v="0"/>
    <n v="1"/>
    <x v="40"/>
    <n v="1.04"/>
    <n v="13.22"/>
    <s v="02992446"/>
  </r>
  <r>
    <x v="226"/>
    <s v="2021-12-03"/>
    <x v="0"/>
    <x v="0"/>
    <n v="43"/>
    <x v="3"/>
    <n v="3.51"/>
    <n v="51.31"/>
    <s v="05503849"/>
  </r>
  <r>
    <x v="226"/>
    <s v="2021-12-03"/>
    <x v="0"/>
    <x v="0"/>
    <n v="42"/>
    <x v="1"/>
    <n v="3.31"/>
    <n v="47.73"/>
    <s v="01800019"/>
  </r>
  <r>
    <x v="226"/>
    <s v="2021-12-03"/>
    <x v="0"/>
    <x v="0"/>
    <n v="41"/>
    <x v="2"/>
    <n v="3.06"/>
    <n v="43.56"/>
    <s v="92228410"/>
  </r>
  <r>
    <x v="226"/>
    <s v="2021-12-03"/>
    <x v="0"/>
    <x v="0"/>
    <n v="40"/>
    <x v="0"/>
    <n v="3.02"/>
    <n v="42.86"/>
    <s v="60850229"/>
  </r>
  <r>
    <x v="226"/>
    <s v="2021-12-03"/>
    <x v="0"/>
    <x v="0"/>
    <n v="39"/>
    <x v="7"/>
    <n v="3"/>
    <n v="42.54"/>
    <s v="92874270"/>
  </r>
  <r>
    <x v="226"/>
    <s v="2021-12-03"/>
    <x v="0"/>
    <x v="0"/>
    <n v="38"/>
    <x v="6"/>
    <n v="2.94"/>
    <n v="41.58"/>
    <s v="05676026"/>
  </r>
  <r>
    <x v="226"/>
    <s v="2021-12-03"/>
    <x v="0"/>
    <x v="0"/>
    <n v="37"/>
    <x v="9"/>
    <n v="2.9"/>
    <n v="40.880000000000003"/>
    <s v="00411939"/>
  </r>
  <r>
    <x v="226"/>
    <s v="2021-12-03"/>
    <x v="0"/>
    <x v="0"/>
    <n v="36"/>
    <x v="5"/>
    <n v="2.75"/>
    <n v="38.42"/>
    <s v="80271455"/>
  </r>
  <r>
    <x v="226"/>
    <s v="2021-12-03"/>
    <x v="0"/>
    <x v="0"/>
    <n v="35"/>
    <x v="8"/>
    <n v="2.73"/>
    <n v="38.11"/>
    <s v="59285411"/>
  </r>
  <r>
    <x v="226"/>
    <s v="2021-12-03"/>
    <x v="0"/>
    <x v="0"/>
    <n v="34"/>
    <x v="24"/>
    <n v="2.66"/>
    <n v="37.1"/>
    <s v="22639377"/>
  </r>
  <r>
    <x v="226"/>
    <s v="2021-12-03"/>
    <x v="0"/>
    <x v="0"/>
    <n v="33"/>
    <x v="4"/>
    <n v="2.5299999999999998"/>
    <n v="34.979999999999997"/>
    <s v="62232889"/>
  </r>
  <r>
    <x v="226"/>
    <s v="2021-12-03"/>
    <x v="0"/>
    <x v="0"/>
    <n v="32"/>
    <x v="42"/>
    <n v="2.5099999999999998"/>
    <n v="34.630000000000003"/>
    <s v="34991938"/>
  </r>
  <r>
    <x v="226"/>
    <s v="2021-12-03"/>
    <x v="0"/>
    <x v="0"/>
    <n v="31"/>
    <x v="10"/>
    <n v="2.35"/>
    <n v="32.19"/>
    <s v="10371492"/>
  </r>
  <r>
    <x v="226"/>
    <s v="2021-12-03"/>
    <x v="0"/>
    <x v="0"/>
    <n v="30"/>
    <x v="13"/>
    <n v="2.21"/>
    <n v="30.01"/>
    <s v="07707650"/>
  </r>
  <r>
    <x v="226"/>
    <s v="2021-12-03"/>
    <x v="0"/>
    <x v="0"/>
    <n v="29"/>
    <x v="15"/>
    <n v="2.0699999999999998"/>
    <n v="27.92"/>
    <s v="59588111"/>
  </r>
  <r>
    <x v="226"/>
    <s v="2021-12-03"/>
    <x v="0"/>
    <x v="0"/>
    <n v="28"/>
    <x v="28"/>
    <n v="2.0299999999999998"/>
    <n v="27.32"/>
    <s v="90400888"/>
  </r>
  <r>
    <x v="226"/>
    <s v="2021-12-03"/>
    <x v="0"/>
    <x v="0"/>
    <n v="27"/>
    <x v="16"/>
    <n v="2"/>
    <n v="26.79"/>
    <s v="07207996"/>
  </r>
  <r>
    <x v="226"/>
    <s v="2021-12-03"/>
    <x v="0"/>
    <x v="0"/>
    <n v="26"/>
    <x v="20"/>
    <n v="1.98"/>
    <n v="26.56"/>
    <s v="17192451"/>
  </r>
  <r>
    <x v="226"/>
    <s v="2021-12-03"/>
    <x v="0"/>
    <x v="0"/>
    <n v="25"/>
    <x v="53"/>
    <n v="1.96"/>
    <n v="26.26"/>
    <s v="31872495"/>
  </r>
  <r>
    <x v="226"/>
    <s v="2021-12-03"/>
    <x v="0"/>
    <x v="0"/>
    <n v="24"/>
    <x v="12"/>
    <n v="1.84"/>
    <n v="24.45"/>
    <s v="04862600"/>
  </r>
  <r>
    <x v="226"/>
    <s v="2021-12-03"/>
    <x v="0"/>
    <x v="0"/>
    <n v="23"/>
    <x v="11"/>
    <n v="1.8"/>
    <n v="23.88"/>
    <s v="03634220"/>
  </r>
  <r>
    <x v="226"/>
    <s v="2021-12-03"/>
    <x v="0"/>
    <x v="0"/>
    <n v="22"/>
    <x v="32"/>
    <n v="1.8"/>
    <n v="23.81"/>
    <s v="60701190"/>
  </r>
  <r>
    <x v="226"/>
    <s v="2021-12-03"/>
    <x v="0"/>
    <x v="0"/>
    <n v="21"/>
    <x v="21"/>
    <n v="1.79"/>
    <n v="23.69"/>
    <s v="03017677"/>
  </r>
  <r>
    <x v="226"/>
    <s v="2021-12-03"/>
    <x v="0"/>
    <x v="0"/>
    <n v="20"/>
    <x v="26"/>
    <n v="1.78"/>
    <n v="23.63"/>
    <s v="30172491"/>
  </r>
  <r>
    <x v="226"/>
    <s v="2021-12-03"/>
    <x v="0"/>
    <x v="0"/>
    <n v="19"/>
    <x v="30"/>
    <n v="1.75"/>
    <n v="23.12"/>
    <s v="03502961"/>
  </r>
  <r>
    <x v="226"/>
    <s v="2021-12-03"/>
    <x v="0"/>
    <x v="0"/>
    <n v="18"/>
    <x v="29"/>
    <n v="1.74"/>
    <n v="23"/>
    <s v="60746948"/>
  </r>
  <r>
    <x v="226"/>
    <s v="2021-12-03"/>
    <x v="0"/>
    <x v="0"/>
    <n v="17"/>
    <x v="23"/>
    <n v="1.73"/>
    <n v="22.79"/>
    <s v="03215790"/>
  </r>
  <r>
    <x v="226"/>
    <s v="2021-12-03"/>
    <x v="0"/>
    <x v="0"/>
    <n v="16"/>
    <x v="31"/>
    <n v="1.67"/>
    <n v="22.04"/>
    <s v="17167412"/>
  </r>
  <r>
    <x v="226"/>
    <s v="2021-12-03"/>
    <x v="0"/>
    <x v="0"/>
    <n v="15"/>
    <x v="18"/>
    <n v="1.67"/>
    <n v="21.92"/>
    <s v="28127603"/>
  </r>
  <r>
    <x v="226"/>
    <s v="2021-12-03"/>
    <x v="0"/>
    <x v="0"/>
    <n v="14"/>
    <x v="19"/>
    <n v="1.61"/>
    <n v="21.09"/>
    <s v="92702067"/>
  </r>
  <r>
    <x v="226"/>
    <s v="2021-12-03"/>
    <x v="0"/>
    <x v="0"/>
    <n v="13"/>
    <x v="34"/>
    <n v="1.57"/>
    <n v="20.54"/>
    <s v="33603457"/>
  </r>
  <r>
    <x v="226"/>
    <s v="2021-12-03"/>
    <x v="0"/>
    <x v="0"/>
    <n v="12"/>
    <x v="25"/>
    <n v="1.55"/>
    <n v="20.23"/>
    <s v="59274605"/>
  </r>
  <r>
    <x v="226"/>
    <s v="2021-12-03"/>
    <x v="0"/>
    <x v="0"/>
    <n v="11"/>
    <x v="27"/>
    <n v="1.53"/>
    <n v="20"/>
    <s v="00000000"/>
  </r>
  <r>
    <x v="226"/>
    <s v="2021-12-03"/>
    <x v="0"/>
    <x v="0"/>
    <n v="10"/>
    <x v="43"/>
    <n v="1.52"/>
    <n v="19.82"/>
    <s v="07441209"/>
  </r>
  <r>
    <x v="226"/>
    <s v="2021-12-03"/>
    <x v="0"/>
    <x v="0"/>
    <n v="9"/>
    <x v="33"/>
    <n v="1.49"/>
    <n v="19.38"/>
    <s v="62307848"/>
  </r>
  <r>
    <x v="226"/>
    <s v="2021-12-03"/>
    <x v="0"/>
    <x v="0"/>
    <n v="8"/>
    <x v="14"/>
    <n v="1.46"/>
    <n v="18.95"/>
    <s v="00360305"/>
  </r>
  <r>
    <x v="226"/>
    <s v="2021-12-03"/>
    <x v="0"/>
    <x v="0"/>
    <n v="7"/>
    <x v="35"/>
    <n v="1.38"/>
    <n v="17.89"/>
    <s v="59109165"/>
  </r>
  <r>
    <x v="226"/>
    <s v="2021-12-03"/>
    <x v="0"/>
    <x v="0"/>
    <n v="6"/>
    <x v="44"/>
    <n v="1.37"/>
    <n v="17.77"/>
    <s v="58017179"/>
  </r>
  <r>
    <x v="226"/>
    <s v="2021-12-03"/>
    <x v="0"/>
    <x v="0"/>
    <n v="5"/>
    <x v="37"/>
    <n v="1.37"/>
    <n v="17.670000000000002"/>
    <s v="04452473"/>
  </r>
  <r>
    <x v="226"/>
    <s v="2021-12-03"/>
    <x v="0"/>
    <x v="0"/>
    <n v="4"/>
    <x v="22"/>
    <n v="1.34"/>
    <n v="17.25"/>
    <s v="11417016"/>
  </r>
  <r>
    <x v="226"/>
    <s v="2021-12-03"/>
    <x v="0"/>
    <x v="0"/>
    <n v="3"/>
    <x v="47"/>
    <n v="1.3"/>
    <n v="16.72"/>
    <s v="28517628"/>
  </r>
  <r>
    <x v="226"/>
    <s v="2021-12-03"/>
    <x v="0"/>
    <x v="0"/>
    <n v="2"/>
    <x v="38"/>
    <n v="1.23"/>
    <n v="15.85"/>
    <s v="60814191"/>
  </r>
  <r>
    <x v="226"/>
    <s v="2021-12-03"/>
    <x v="0"/>
    <x v="0"/>
    <n v="1"/>
    <x v="40"/>
    <n v="1.03"/>
    <n v="13.1"/>
    <s v="02992446"/>
  </r>
  <r>
    <x v="227"/>
    <s v="2021-12-06"/>
    <x v="0"/>
    <x v="0"/>
    <n v="45"/>
    <x v="3"/>
    <n v="3.47"/>
    <n v="50.6"/>
    <s v="05503849"/>
  </r>
  <r>
    <x v="227"/>
    <s v="2021-12-06"/>
    <x v="0"/>
    <x v="0"/>
    <n v="44"/>
    <x v="1"/>
    <n v="3.19"/>
    <n v="45.72"/>
    <s v="01800019"/>
  </r>
  <r>
    <x v="227"/>
    <s v="2021-12-06"/>
    <x v="0"/>
    <x v="0"/>
    <n v="43"/>
    <x v="2"/>
    <n v="3.1"/>
    <n v="44.23"/>
    <s v="92228410"/>
  </r>
  <r>
    <x v="227"/>
    <s v="2021-12-06"/>
    <x v="0"/>
    <x v="0"/>
    <n v="42"/>
    <x v="0"/>
    <n v="3.04"/>
    <n v="43.31"/>
    <s v="60850229"/>
  </r>
  <r>
    <x v="227"/>
    <s v="2021-12-06"/>
    <x v="0"/>
    <x v="0"/>
    <n v="41"/>
    <x v="7"/>
    <n v="2.99"/>
    <n v="42.35"/>
    <s v="92874270"/>
  </r>
  <r>
    <x v="227"/>
    <s v="2021-12-06"/>
    <x v="0"/>
    <x v="0"/>
    <n v="40"/>
    <x v="6"/>
    <n v="2.94"/>
    <n v="41.56"/>
    <s v="05676026"/>
  </r>
  <r>
    <x v="227"/>
    <s v="2021-12-06"/>
    <x v="0"/>
    <x v="0"/>
    <n v="39"/>
    <x v="9"/>
    <n v="2.87"/>
    <n v="40.369999999999997"/>
    <s v="00411939"/>
  </r>
  <r>
    <x v="227"/>
    <s v="2021-12-06"/>
    <x v="0"/>
    <x v="0"/>
    <n v="38"/>
    <x v="24"/>
    <n v="2.74"/>
    <n v="38.24"/>
    <s v="22639377"/>
  </r>
  <r>
    <x v="227"/>
    <s v="2021-12-06"/>
    <x v="0"/>
    <x v="0"/>
    <n v="37"/>
    <x v="8"/>
    <n v="2.73"/>
    <n v="38.15"/>
    <s v="59285411"/>
  </r>
  <r>
    <x v="227"/>
    <s v="2021-12-06"/>
    <x v="0"/>
    <x v="0"/>
    <n v="36"/>
    <x v="5"/>
    <n v="2.64"/>
    <n v="36.770000000000003"/>
    <s v="80271455"/>
  </r>
  <r>
    <x v="227"/>
    <s v="2021-12-06"/>
    <x v="0"/>
    <x v="0"/>
    <n v="35"/>
    <x v="42"/>
    <n v="2.54"/>
    <n v="35.119999999999997"/>
    <s v="34991938"/>
  </r>
  <r>
    <x v="227"/>
    <s v="2021-12-06"/>
    <x v="0"/>
    <x v="0"/>
    <n v="34"/>
    <x v="4"/>
    <n v="2.5299999999999998"/>
    <n v="34.99"/>
    <s v="62232889"/>
  </r>
  <r>
    <x v="227"/>
    <s v="2021-12-06"/>
    <x v="0"/>
    <x v="0"/>
    <n v="33"/>
    <x v="10"/>
    <n v="2.34"/>
    <n v="32.049999999999997"/>
    <s v="10371492"/>
  </r>
  <r>
    <x v="227"/>
    <s v="2021-12-06"/>
    <x v="0"/>
    <x v="0"/>
    <n v="32"/>
    <x v="13"/>
    <n v="2.2200000000000002"/>
    <n v="30.09"/>
    <s v="07707650"/>
  </r>
  <r>
    <x v="227"/>
    <s v="2021-12-06"/>
    <x v="0"/>
    <x v="0"/>
    <n v="31"/>
    <x v="28"/>
    <n v="2.19"/>
    <n v="29.73"/>
    <s v="90400888"/>
  </r>
  <r>
    <x v="227"/>
    <s v="2021-12-06"/>
    <x v="0"/>
    <x v="0"/>
    <n v="30"/>
    <x v="15"/>
    <n v="2.0699999999999998"/>
    <n v="27.92"/>
    <s v="59588111"/>
  </r>
  <r>
    <x v="227"/>
    <s v="2021-12-06"/>
    <x v="0"/>
    <x v="0"/>
    <n v="29"/>
    <x v="16"/>
    <n v="2"/>
    <n v="26.8"/>
    <s v="07207996"/>
  </r>
  <r>
    <x v="227"/>
    <s v="2021-12-06"/>
    <x v="0"/>
    <x v="0"/>
    <n v="28"/>
    <x v="20"/>
    <n v="2"/>
    <n v="26.77"/>
    <s v="17192451"/>
  </r>
  <r>
    <x v="227"/>
    <s v="2021-12-06"/>
    <x v="0"/>
    <x v="0"/>
    <n v="27"/>
    <x v="53"/>
    <n v="1.97"/>
    <n v="26.39"/>
    <s v="31872495"/>
  </r>
  <r>
    <x v="227"/>
    <s v="2021-12-06"/>
    <x v="0"/>
    <x v="0"/>
    <n v="26"/>
    <x v="12"/>
    <n v="1.85"/>
    <n v="24.6"/>
    <s v="04862600"/>
  </r>
  <r>
    <x v="227"/>
    <s v="2021-12-06"/>
    <x v="0"/>
    <x v="0"/>
    <n v="25"/>
    <x v="32"/>
    <n v="1.81"/>
    <n v="24.05"/>
    <s v="60701190"/>
  </r>
  <r>
    <x v="227"/>
    <s v="2021-12-06"/>
    <x v="0"/>
    <x v="0"/>
    <n v="24"/>
    <x v="11"/>
    <n v="1.81"/>
    <n v="24.02"/>
    <s v="03634220"/>
  </r>
  <r>
    <x v="227"/>
    <s v="2021-12-06"/>
    <x v="0"/>
    <x v="0"/>
    <n v="23"/>
    <x v="21"/>
    <n v="1.79"/>
    <n v="23.71"/>
    <s v="03017677"/>
  </r>
  <r>
    <x v="227"/>
    <s v="2021-12-06"/>
    <x v="0"/>
    <x v="0"/>
    <n v="22"/>
    <x v="26"/>
    <n v="1.78"/>
    <n v="23.57"/>
    <s v="30172491"/>
  </r>
  <r>
    <x v="227"/>
    <s v="2021-12-06"/>
    <x v="0"/>
    <x v="0"/>
    <n v="21"/>
    <x v="30"/>
    <n v="1.75"/>
    <n v="23.18"/>
    <s v="03502961"/>
  </r>
  <r>
    <x v="227"/>
    <s v="2021-12-06"/>
    <x v="0"/>
    <x v="0"/>
    <n v="20"/>
    <x v="29"/>
    <n v="1.74"/>
    <n v="22.93"/>
    <s v="60746948"/>
  </r>
  <r>
    <x v="227"/>
    <s v="2021-12-06"/>
    <x v="0"/>
    <x v="0"/>
    <n v="19"/>
    <x v="23"/>
    <n v="1.73"/>
    <n v="22.86"/>
    <s v="03215790"/>
  </r>
  <r>
    <x v="227"/>
    <s v="2021-12-06"/>
    <x v="0"/>
    <x v="0"/>
    <n v="18"/>
    <x v="31"/>
    <n v="1.67"/>
    <n v="21.97"/>
    <s v="17167412"/>
  </r>
  <r>
    <x v="227"/>
    <s v="2021-12-06"/>
    <x v="0"/>
    <x v="0"/>
    <n v="17"/>
    <x v="18"/>
    <n v="1.63"/>
    <n v="21.44"/>
    <s v="28127603"/>
  </r>
  <r>
    <x v="227"/>
    <s v="2021-12-06"/>
    <x v="0"/>
    <x v="0"/>
    <n v="16"/>
    <x v="19"/>
    <n v="1.61"/>
    <n v="21.09"/>
    <s v="92702067"/>
  </r>
  <r>
    <x v="227"/>
    <s v="2021-12-06"/>
    <x v="0"/>
    <x v="0"/>
    <n v="15"/>
    <x v="34"/>
    <n v="1.57"/>
    <n v="20.49"/>
    <s v="33603457"/>
  </r>
  <r>
    <x v="227"/>
    <s v="2021-12-06"/>
    <x v="0"/>
    <x v="0"/>
    <n v="14"/>
    <x v="25"/>
    <n v="1.56"/>
    <n v="20.350000000000001"/>
    <s v="59274605"/>
  </r>
  <r>
    <x v="227"/>
    <s v="2021-12-06"/>
    <x v="0"/>
    <x v="0"/>
    <n v="13"/>
    <x v="27"/>
    <n v="1.53"/>
    <n v="20.04"/>
    <s v="00000000"/>
  </r>
  <r>
    <x v="227"/>
    <s v="2021-12-06"/>
    <x v="0"/>
    <x v="0"/>
    <n v="12"/>
    <x v="43"/>
    <n v="1.52"/>
    <n v="19.82"/>
    <s v="07441209"/>
  </r>
  <r>
    <x v="227"/>
    <s v="2021-12-06"/>
    <x v="0"/>
    <x v="0"/>
    <n v="11"/>
    <x v="33"/>
    <n v="1.51"/>
    <n v="19.75"/>
    <s v="62307848"/>
  </r>
  <r>
    <x v="227"/>
    <s v="2021-12-06"/>
    <x v="0"/>
    <x v="0"/>
    <n v="10"/>
    <x v="14"/>
    <n v="1.46"/>
    <n v="18.96"/>
    <s v="00360305"/>
  </r>
  <r>
    <x v="227"/>
    <s v="2021-12-06"/>
    <x v="0"/>
    <x v="0"/>
    <n v="9"/>
    <x v="35"/>
    <n v="1.4"/>
    <n v="18.11"/>
    <s v="59109165"/>
  </r>
  <r>
    <x v="227"/>
    <s v="2021-12-06"/>
    <x v="0"/>
    <x v="0"/>
    <n v="8"/>
    <x v="44"/>
    <n v="1.38"/>
    <n v="17.91"/>
    <s v="58017179"/>
  </r>
  <r>
    <x v="227"/>
    <s v="2021-12-06"/>
    <x v="0"/>
    <x v="0"/>
    <n v="7"/>
    <x v="37"/>
    <n v="1.37"/>
    <n v="17.79"/>
    <s v="04452473"/>
  </r>
  <r>
    <x v="227"/>
    <s v="2021-12-06"/>
    <x v="0"/>
    <x v="0"/>
    <n v="6"/>
    <x v="22"/>
    <n v="1.33"/>
    <n v="17.23"/>
    <s v="11417016"/>
  </r>
  <r>
    <x v="227"/>
    <s v="2021-12-06"/>
    <x v="0"/>
    <x v="0"/>
    <n v="5"/>
    <x v="47"/>
    <n v="1.3"/>
    <n v="16.78"/>
    <s v="28517628"/>
  </r>
  <r>
    <x v="227"/>
    <s v="2021-12-06"/>
    <x v="0"/>
    <x v="0"/>
    <n v="4"/>
    <x v="38"/>
    <n v="1.3"/>
    <n v="16.739999999999998"/>
    <s v="60814191"/>
  </r>
  <r>
    <x v="227"/>
    <s v="2021-12-06"/>
    <x v="0"/>
    <x v="0"/>
    <n v="3"/>
    <x v="36"/>
    <n v="1.26"/>
    <n v="16.16"/>
    <s v="33136888"/>
  </r>
  <r>
    <x v="227"/>
    <s v="2021-12-06"/>
    <x v="0"/>
    <x v="0"/>
    <n v="2"/>
    <x v="40"/>
    <n v="1.0900000000000001"/>
    <n v="13.95"/>
    <s v="02992446"/>
  </r>
  <r>
    <x v="227"/>
    <s v="2021-12-06"/>
    <x v="0"/>
    <x v="0"/>
    <n v="1"/>
    <x v="49"/>
    <n v="0.97"/>
    <n v="12.33"/>
    <s v="58160789"/>
  </r>
  <r>
    <x v="228"/>
    <s v="2021-12-07"/>
    <x v="0"/>
    <x v="0"/>
    <n v="44"/>
    <x v="3"/>
    <n v="3.47"/>
    <n v="50.54"/>
    <s v="05503849"/>
  </r>
  <r>
    <x v="228"/>
    <s v="2021-12-07"/>
    <x v="0"/>
    <x v="0"/>
    <n v="43"/>
    <x v="1"/>
    <n v="3.2"/>
    <n v="45.95"/>
    <s v="01800019"/>
  </r>
  <r>
    <x v="228"/>
    <s v="2021-12-07"/>
    <x v="0"/>
    <x v="0"/>
    <n v="42"/>
    <x v="2"/>
    <n v="3.17"/>
    <n v="45.37"/>
    <s v="92228410"/>
  </r>
  <r>
    <x v="228"/>
    <s v="2021-12-07"/>
    <x v="0"/>
    <x v="0"/>
    <n v="41"/>
    <x v="0"/>
    <n v="3.1"/>
    <n v="44.17"/>
    <s v="60850229"/>
  </r>
  <r>
    <x v="228"/>
    <s v="2021-12-07"/>
    <x v="0"/>
    <x v="0"/>
    <n v="40"/>
    <x v="7"/>
    <n v="2.99"/>
    <n v="42.34"/>
    <s v="92874270"/>
  </r>
  <r>
    <x v="228"/>
    <s v="2021-12-07"/>
    <x v="0"/>
    <x v="0"/>
    <n v="39"/>
    <x v="6"/>
    <n v="2.94"/>
    <n v="41.56"/>
    <s v="05676026"/>
  </r>
  <r>
    <x v="228"/>
    <s v="2021-12-07"/>
    <x v="0"/>
    <x v="0"/>
    <n v="38"/>
    <x v="9"/>
    <n v="2.8"/>
    <n v="39.35"/>
    <s v="00411939"/>
  </r>
  <r>
    <x v="228"/>
    <s v="2021-12-07"/>
    <x v="0"/>
    <x v="0"/>
    <n v="37"/>
    <x v="8"/>
    <n v="2.74"/>
    <n v="38.26"/>
    <s v="59285411"/>
  </r>
  <r>
    <x v="228"/>
    <s v="2021-12-07"/>
    <x v="0"/>
    <x v="0"/>
    <n v="36"/>
    <x v="24"/>
    <n v="2.69"/>
    <n v="37.57"/>
    <s v="22639377"/>
  </r>
  <r>
    <x v="228"/>
    <s v="2021-12-07"/>
    <x v="0"/>
    <x v="0"/>
    <n v="35"/>
    <x v="5"/>
    <n v="2.66"/>
    <n v="37"/>
    <s v="80271455"/>
  </r>
  <r>
    <x v="228"/>
    <s v="2021-12-07"/>
    <x v="0"/>
    <x v="0"/>
    <n v="34"/>
    <x v="42"/>
    <n v="2.5499999999999998"/>
    <n v="35.229999999999997"/>
    <s v="34991938"/>
  </r>
  <r>
    <x v="228"/>
    <s v="2021-12-07"/>
    <x v="0"/>
    <x v="0"/>
    <n v="33"/>
    <x v="4"/>
    <n v="2.5299999999999998"/>
    <n v="35.020000000000003"/>
    <s v="62232889"/>
  </r>
  <r>
    <x v="228"/>
    <s v="2021-12-07"/>
    <x v="0"/>
    <x v="0"/>
    <n v="32"/>
    <x v="10"/>
    <n v="2.34"/>
    <n v="32.020000000000003"/>
    <s v="10371492"/>
  </r>
  <r>
    <x v="228"/>
    <s v="2021-12-07"/>
    <x v="0"/>
    <x v="0"/>
    <n v="31"/>
    <x v="13"/>
    <n v="2.23"/>
    <n v="30.32"/>
    <s v="07707650"/>
  </r>
  <r>
    <x v="228"/>
    <s v="2021-12-07"/>
    <x v="0"/>
    <x v="0"/>
    <n v="30"/>
    <x v="28"/>
    <n v="2.09"/>
    <n v="28.15"/>
    <s v="90400888"/>
  </r>
  <r>
    <x v="228"/>
    <s v="2021-12-07"/>
    <x v="0"/>
    <x v="0"/>
    <n v="29"/>
    <x v="15"/>
    <n v="2.0699999999999998"/>
    <n v="27.92"/>
    <s v="59588111"/>
  </r>
  <r>
    <x v="228"/>
    <s v="2021-12-07"/>
    <x v="0"/>
    <x v="0"/>
    <n v="28"/>
    <x v="20"/>
    <n v="2.0099999999999998"/>
    <n v="26.98"/>
    <s v="17192451"/>
  </r>
  <r>
    <x v="228"/>
    <s v="2021-12-07"/>
    <x v="0"/>
    <x v="0"/>
    <n v="27"/>
    <x v="16"/>
    <n v="2"/>
    <n v="26.89"/>
    <s v="07207996"/>
  </r>
  <r>
    <x v="228"/>
    <s v="2021-12-07"/>
    <x v="0"/>
    <x v="0"/>
    <n v="26"/>
    <x v="53"/>
    <n v="1.93"/>
    <n v="25.73"/>
    <s v="31872495"/>
  </r>
  <r>
    <x v="228"/>
    <s v="2021-12-07"/>
    <x v="0"/>
    <x v="0"/>
    <n v="25"/>
    <x v="12"/>
    <n v="1.87"/>
    <n v="24.96"/>
    <s v="04862600"/>
  </r>
  <r>
    <x v="228"/>
    <s v="2021-12-07"/>
    <x v="0"/>
    <x v="0"/>
    <n v="24"/>
    <x v="32"/>
    <n v="1.82"/>
    <n v="24.19"/>
    <s v="60701190"/>
  </r>
  <r>
    <x v="228"/>
    <s v="2021-12-07"/>
    <x v="0"/>
    <x v="0"/>
    <n v="23"/>
    <x v="19"/>
    <n v="1.81"/>
    <n v="23.99"/>
    <s v="92702067"/>
  </r>
  <r>
    <x v="228"/>
    <s v="2021-12-07"/>
    <x v="0"/>
    <x v="0"/>
    <n v="22"/>
    <x v="21"/>
    <n v="1.79"/>
    <n v="23.76"/>
    <s v="03017677"/>
  </r>
  <r>
    <x v="228"/>
    <s v="2021-12-07"/>
    <x v="0"/>
    <x v="0"/>
    <n v="21"/>
    <x v="11"/>
    <n v="1.78"/>
    <n v="23.62"/>
    <s v="03634220"/>
  </r>
  <r>
    <x v="228"/>
    <s v="2021-12-07"/>
    <x v="0"/>
    <x v="0"/>
    <n v="20"/>
    <x v="30"/>
    <n v="1.78"/>
    <n v="23.52"/>
    <s v="03502961"/>
  </r>
  <r>
    <x v="228"/>
    <s v="2021-12-07"/>
    <x v="0"/>
    <x v="0"/>
    <n v="19"/>
    <x v="26"/>
    <n v="1.77"/>
    <n v="23.48"/>
    <s v="30172491"/>
  </r>
  <r>
    <x v="228"/>
    <s v="2021-12-07"/>
    <x v="0"/>
    <x v="0"/>
    <n v="18"/>
    <x v="23"/>
    <n v="1.74"/>
    <n v="23.05"/>
    <s v="03215790"/>
  </r>
  <r>
    <x v="228"/>
    <s v="2021-12-07"/>
    <x v="0"/>
    <x v="0"/>
    <n v="17"/>
    <x v="29"/>
    <n v="1.73"/>
    <n v="22.91"/>
    <s v="60746948"/>
  </r>
  <r>
    <x v="228"/>
    <s v="2021-12-07"/>
    <x v="0"/>
    <x v="0"/>
    <n v="16"/>
    <x v="31"/>
    <n v="1.71"/>
    <n v="22.61"/>
    <s v="17167412"/>
  </r>
  <r>
    <x v="228"/>
    <s v="2021-12-07"/>
    <x v="0"/>
    <x v="0"/>
    <n v="15"/>
    <x v="18"/>
    <n v="1.63"/>
    <n v="21.44"/>
    <s v="28127603"/>
  </r>
  <r>
    <x v="228"/>
    <s v="2021-12-07"/>
    <x v="0"/>
    <x v="0"/>
    <n v="14"/>
    <x v="25"/>
    <n v="1.57"/>
    <n v="20.53"/>
    <s v="59274605"/>
  </r>
  <r>
    <x v="228"/>
    <s v="2021-12-07"/>
    <x v="0"/>
    <x v="0"/>
    <n v="13"/>
    <x v="34"/>
    <n v="1.55"/>
    <n v="20.329999999999998"/>
    <s v="33603457"/>
  </r>
  <r>
    <x v="228"/>
    <s v="2021-12-07"/>
    <x v="0"/>
    <x v="0"/>
    <n v="12"/>
    <x v="27"/>
    <n v="1.54"/>
    <n v="20.07"/>
    <s v="00000000"/>
  </r>
  <r>
    <x v="228"/>
    <s v="2021-12-07"/>
    <x v="0"/>
    <x v="0"/>
    <n v="11"/>
    <x v="33"/>
    <n v="1.53"/>
    <n v="19.940000000000001"/>
    <s v="62307848"/>
  </r>
  <r>
    <x v="228"/>
    <s v="2021-12-07"/>
    <x v="0"/>
    <x v="0"/>
    <n v="10"/>
    <x v="43"/>
    <n v="1.52"/>
    <n v="19.82"/>
    <s v="07441209"/>
  </r>
  <r>
    <x v="228"/>
    <s v="2021-12-07"/>
    <x v="0"/>
    <x v="0"/>
    <n v="9"/>
    <x v="14"/>
    <n v="1.45"/>
    <n v="18.829999999999998"/>
    <s v="00360305"/>
  </r>
  <r>
    <x v="228"/>
    <s v="2021-12-07"/>
    <x v="0"/>
    <x v="0"/>
    <n v="8"/>
    <x v="35"/>
    <n v="1.41"/>
    <n v="18.36"/>
    <s v="59109165"/>
  </r>
  <r>
    <x v="228"/>
    <s v="2021-12-07"/>
    <x v="0"/>
    <x v="0"/>
    <n v="7"/>
    <x v="37"/>
    <n v="1.39"/>
    <n v="18.03"/>
    <s v="04452473"/>
  </r>
  <r>
    <x v="228"/>
    <s v="2021-12-07"/>
    <x v="0"/>
    <x v="0"/>
    <n v="6"/>
    <x v="44"/>
    <n v="1.38"/>
    <n v="17.91"/>
    <s v="58017179"/>
  </r>
  <r>
    <x v="228"/>
    <s v="2021-12-07"/>
    <x v="0"/>
    <x v="0"/>
    <n v="5"/>
    <x v="22"/>
    <n v="1.33"/>
    <n v="17.23"/>
    <s v="11417016"/>
  </r>
  <r>
    <x v="228"/>
    <s v="2021-12-07"/>
    <x v="0"/>
    <x v="0"/>
    <n v="4"/>
    <x v="38"/>
    <n v="1.29"/>
    <n v="16.68"/>
    <s v="60814191"/>
  </r>
  <r>
    <x v="228"/>
    <s v="2021-12-07"/>
    <x v="0"/>
    <x v="0"/>
    <n v="3"/>
    <x v="36"/>
    <n v="1.26"/>
    <n v="16.260000000000002"/>
    <s v="33136888"/>
  </r>
  <r>
    <x v="228"/>
    <s v="2021-12-07"/>
    <x v="0"/>
    <x v="0"/>
    <n v="2"/>
    <x v="40"/>
    <n v="1.1299999999999999"/>
    <n v="14.42"/>
    <s v="02992446"/>
  </r>
  <r>
    <x v="228"/>
    <s v="2021-12-07"/>
    <x v="0"/>
    <x v="0"/>
    <n v="1"/>
    <x v="49"/>
    <n v="1.1200000000000001"/>
    <n v="14.33"/>
    <s v="58160789"/>
  </r>
  <r>
    <x v="229"/>
    <s v="2021-12-08"/>
    <x v="0"/>
    <x v="0"/>
    <n v="44"/>
    <x v="3"/>
    <n v="3.5"/>
    <n v="51.19"/>
    <s v="05503849"/>
  </r>
  <r>
    <x v="229"/>
    <s v="2021-12-08"/>
    <x v="0"/>
    <x v="0"/>
    <n v="43"/>
    <x v="2"/>
    <n v="3.2"/>
    <n v="45.94"/>
    <s v="92228410"/>
  </r>
  <r>
    <x v="229"/>
    <s v="2021-12-08"/>
    <x v="0"/>
    <x v="0"/>
    <n v="42"/>
    <x v="1"/>
    <n v="3.16"/>
    <n v="45.24"/>
    <s v="01800019"/>
  </r>
  <r>
    <x v="229"/>
    <s v="2021-12-08"/>
    <x v="0"/>
    <x v="0"/>
    <n v="41"/>
    <x v="0"/>
    <n v="3.16"/>
    <n v="45.23"/>
    <s v="60850229"/>
  </r>
  <r>
    <x v="229"/>
    <s v="2021-12-08"/>
    <x v="0"/>
    <x v="0"/>
    <n v="40"/>
    <x v="7"/>
    <n v="2.98"/>
    <n v="42.18"/>
    <s v="92874270"/>
  </r>
  <r>
    <x v="229"/>
    <s v="2021-12-08"/>
    <x v="0"/>
    <x v="0"/>
    <n v="39"/>
    <x v="6"/>
    <n v="2.94"/>
    <n v="41.65"/>
    <s v="05676026"/>
  </r>
  <r>
    <x v="229"/>
    <s v="2021-12-08"/>
    <x v="0"/>
    <x v="0"/>
    <n v="38"/>
    <x v="24"/>
    <n v="2.8"/>
    <n v="39.36"/>
    <s v="22639377"/>
  </r>
  <r>
    <x v="229"/>
    <s v="2021-12-08"/>
    <x v="0"/>
    <x v="0"/>
    <n v="37"/>
    <x v="9"/>
    <n v="2.79"/>
    <n v="39.090000000000003"/>
    <s v="00411939"/>
  </r>
  <r>
    <x v="229"/>
    <s v="2021-12-08"/>
    <x v="0"/>
    <x v="0"/>
    <n v="36"/>
    <x v="8"/>
    <n v="2.75"/>
    <n v="38.549999999999997"/>
    <s v="59285411"/>
  </r>
  <r>
    <x v="229"/>
    <s v="2021-12-08"/>
    <x v="0"/>
    <x v="0"/>
    <n v="35"/>
    <x v="5"/>
    <n v="2.62"/>
    <n v="36.46"/>
    <s v="80271455"/>
  </r>
  <r>
    <x v="229"/>
    <s v="2021-12-08"/>
    <x v="0"/>
    <x v="0"/>
    <n v="34"/>
    <x v="4"/>
    <n v="2.54"/>
    <n v="35.049999999999997"/>
    <s v="62232889"/>
  </r>
  <r>
    <x v="229"/>
    <s v="2021-12-08"/>
    <x v="0"/>
    <x v="0"/>
    <n v="33"/>
    <x v="42"/>
    <n v="2.54"/>
    <n v="35.049999999999997"/>
    <s v="34991938"/>
  </r>
  <r>
    <x v="229"/>
    <s v="2021-12-08"/>
    <x v="0"/>
    <x v="0"/>
    <n v="32"/>
    <x v="10"/>
    <n v="2.34"/>
    <n v="31.97"/>
    <s v="10371492"/>
  </r>
  <r>
    <x v="229"/>
    <s v="2021-12-08"/>
    <x v="0"/>
    <x v="0"/>
    <n v="31"/>
    <x v="13"/>
    <n v="2.2400000000000002"/>
    <n v="30.42"/>
    <s v="07707650"/>
  </r>
  <r>
    <x v="229"/>
    <s v="2021-12-08"/>
    <x v="0"/>
    <x v="0"/>
    <n v="30"/>
    <x v="28"/>
    <n v="2.1"/>
    <n v="28.35"/>
    <s v="90400888"/>
  </r>
  <r>
    <x v="229"/>
    <s v="2021-12-08"/>
    <x v="0"/>
    <x v="0"/>
    <n v="29"/>
    <x v="15"/>
    <n v="2.0699999999999998"/>
    <n v="27.92"/>
    <s v="59588111"/>
  </r>
  <r>
    <x v="229"/>
    <s v="2021-12-08"/>
    <x v="0"/>
    <x v="0"/>
    <n v="28"/>
    <x v="20"/>
    <n v="2.02"/>
    <n v="27.16"/>
    <s v="17192451"/>
  </r>
  <r>
    <x v="229"/>
    <s v="2021-12-08"/>
    <x v="0"/>
    <x v="0"/>
    <n v="27"/>
    <x v="16"/>
    <n v="2.0099999999999998"/>
    <n v="26.93"/>
    <s v="07207996"/>
  </r>
  <r>
    <x v="229"/>
    <s v="2021-12-08"/>
    <x v="0"/>
    <x v="0"/>
    <n v="26"/>
    <x v="53"/>
    <n v="1.89"/>
    <n v="25.19"/>
    <s v="31872495"/>
  </r>
  <r>
    <x v="229"/>
    <s v="2021-12-08"/>
    <x v="0"/>
    <x v="0"/>
    <n v="25"/>
    <x v="12"/>
    <n v="1.88"/>
    <n v="25.11"/>
    <s v="04862600"/>
  </r>
  <r>
    <x v="229"/>
    <s v="2021-12-08"/>
    <x v="0"/>
    <x v="0"/>
    <n v="24"/>
    <x v="32"/>
    <n v="1.83"/>
    <n v="24.24"/>
    <s v="60701190"/>
  </r>
  <r>
    <x v="229"/>
    <s v="2021-12-08"/>
    <x v="0"/>
    <x v="0"/>
    <n v="23"/>
    <x v="19"/>
    <n v="1.81"/>
    <n v="23.99"/>
    <s v="92702067"/>
  </r>
  <r>
    <x v="229"/>
    <s v="2021-12-08"/>
    <x v="0"/>
    <x v="0"/>
    <n v="22"/>
    <x v="21"/>
    <n v="1.8"/>
    <n v="23.93"/>
    <s v="03017677"/>
  </r>
  <r>
    <x v="229"/>
    <s v="2021-12-08"/>
    <x v="0"/>
    <x v="0"/>
    <n v="21"/>
    <x v="11"/>
    <n v="1.79"/>
    <n v="23.75"/>
    <s v="03634220"/>
  </r>
  <r>
    <x v="229"/>
    <s v="2021-12-08"/>
    <x v="0"/>
    <x v="0"/>
    <n v="20"/>
    <x v="30"/>
    <n v="1.78"/>
    <n v="23.64"/>
    <s v="03502961"/>
  </r>
  <r>
    <x v="229"/>
    <s v="2021-12-08"/>
    <x v="0"/>
    <x v="0"/>
    <n v="19"/>
    <x v="26"/>
    <n v="1.77"/>
    <n v="23.46"/>
    <s v="30172491"/>
  </r>
  <r>
    <x v="229"/>
    <s v="2021-12-08"/>
    <x v="0"/>
    <x v="0"/>
    <n v="18"/>
    <x v="23"/>
    <n v="1.74"/>
    <n v="23.07"/>
    <s v="03215790"/>
  </r>
  <r>
    <x v="229"/>
    <s v="2021-12-08"/>
    <x v="0"/>
    <x v="0"/>
    <n v="17"/>
    <x v="29"/>
    <n v="1.73"/>
    <n v="22.88"/>
    <s v="60746948"/>
  </r>
  <r>
    <x v="229"/>
    <s v="2021-12-08"/>
    <x v="0"/>
    <x v="0"/>
    <n v="16"/>
    <x v="31"/>
    <n v="1.71"/>
    <n v="22.51"/>
    <s v="17167412"/>
  </r>
  <r>
    <x v="229"/>
    <s v="2021-12-08"/>
    <x v="0"/>
    <x v="0"/>
    <n v="15"/>
    <x v="18"/>
    <n v="1.65"/>
    <n v="21.67"/>
    <s v="28127603"/>
  </r>
  <r>
    <x v="229"/>
    <s v="2021-12-08"/>
    <x v="0"/>
    <x v="0"/>
    <n v="14"/>
    <x v="25"/>
    <n v="1.59"/>
    <n v="20.78"/>
    <s v="59274605"/>
  </r>
  <r>
    <x v="229"/>
    <s v="2021-12-08"/>
    <x v="0"/>
    <x v="0"/>
    <n v="13"/>
    <x v="34"/>
    <n v="1.58"/>
    <n v="20.63"/>
    <s v="33603457"/>
  </r>
  <r>
    <x v="229"/>
    <s v="2021-12-08"/>
    <x v="0"/>
    <x v="0"/>
    <n v="12"/>
    <x v="33"/>
    <n v="1.54"/>
    <n v="20.170000000000002"/>
    <s v="62307848"/>
  </r>
  <r>
    <x v="229"/>
    <s v="2021-12-08"/>
    <x v="0"/>
    <x v="0"/>
    <n v="11"/>
    <x v="27"/>
    <n v="1.54"/>
    <n v="20.05"/>
    <s v="00000000"/>
  </r>
  <r>
    <x v="229"/>
    <s v="2021-12-08"/>
    <x v="0"/>
    <x v="0"/>
    <n v="10"/>
    <x v="43"/>
    <n v="1.52"/>
    <n v="19.82"/>
    <s v="07441209"/>
  </r>
  <r>
    <x v="229"/>
    <s v="2021-12-08"/>
    <x v="0"/>
    <x v="0"/>
    <n v="9"/>
    <x v="14"/>
    <n v="1.49"/>
    <n v="19.440000000000001"/>
    <s v="00360305"/>
  </r>
  <r>
    <x v="229"/>
    <s v="2021-12-08"/>
    <x v="0"/>
    <x v="0"/>
    <n v="8"/>
    <x v="35"/>
    <n v="1.42"/>
    <n v="18.46"/>
    <s v="59109165"/>
  </r>
  <r>
    <x v="229"/>
    <s v="2021-12-08"/>
    <x v="0"/>
    <x v="0"/>
    <n v="7"/>
    <x v="37"/>
    <n v="1.4"/>
    <n v="18.21"/>
    <s v="04452473"/>
  </r>
  <r>
    <x v="229"/>
    <s v="2021-12-08"/>
    <x v="0"/>
    <x v="0"/>
    <n v="6"/>
    <x v="44"/>
    <n v="1.38"/>
    <n v="17.91"/>
    <s v="58017179"/>
  </r>
  <r>
    <x v="229"/>
    <s v="2021-12-08"/>
    <x v="0"/>
    <x v="0"/>
    <n v="5"/>
    <x v="22"/>
    <n v="1.33"/>
    <n v="17.18"/>
    <s v="11417016"/>
  </r>
  <r>
    <x v="229"/>
    <s v="2021-12-08"/>
    <x v="0"/>
    <x v="0"/>
    <n v="4"/>
    <x v="38"/>
    <n v="1.3"/>
    <n v="16.73"/>
    <s v="60814191"/>
  </r>
  <r>
    <x v="229"/>
    <s v="2021-12-08"/>
    <x v="0"/>
    <x v="0"/>
    <n v="3"/>
    <x v="36"/>
    <n v="1.25"/>
    <n v="16.059999999999999"/>
    <s v="33136888"/>
  </r>
  <r>
    <x v="229"/>
    <s v="2021-12-08"/>
    <x v="0"/>
    <x v="0"/>
    <n v="2"/>
    <x v="40"/>
    <n v="1.1499999999999999"/>
    <n v="14.71"/>
    <s v="02992446"/>
  </r>
  <r>
    <x v="229"/>
    <s v="2021-12-08"/>
    <x v="0"/>
    <x v="0"/>
    <n v="1"/>
    <x v="49"/>
    <n v="1.1200000000000001"/>
    <n v="14.33"/>
    <s v="58160789"/>
  </r>
  <r>
    <x v="230"/>
    <s v="2021-12-09"/>
    <x v="0"/>
    <x v="0"/>
    <n v="44"/>
    <x v="3"/>
    <n v="3.4"/>
    <n v="49.41"/>
    <s v="05503849"/>
  </r>
  <r>
    <x v="230"/>
    <s v="2021-12-09"/>
    <x v="0"/>
    <x v="0"/>
    <n v="43"/>
    <x v="2"/>
    <n v="3.21"/>
    <n v="46.17"/>
    <s v="92228410"/>
  </r>
  <r>
    <x v="230"/>
    <s v="2021-12-09"/>
    <x v="0"/>
    <x v="0"/>
    <n v="42"/>
    <x v="1"/>
    <n v="3.18"/>
    <n v="45.56"/>
    <s v="01800019"/>
  </r>
  <r>
    <x v="230"/>
    <s v="2021-12-09"/>
    <x v="0"/>
    <x v="0"/>
    <n v="41"/>
    <x v="0"/>
    <n v="3.15"/>
    <n v="45.08"/>
    <s v="60850229"/>
  </r>
  <r>
    <x v="230"/>
    <s v="2021-12-09"/>
    <x v="0"/>
    <x v="0"/>
    <n v="40"/>
    <x v="7"/>
    <n v="2.99"/>
    <n v="42.34"/>
    <s v="92874270"/>
  </r>
  <r>
    <x v="230"/>
    <s v="2021-12-09"/>
    <x v="0"/>
    <x v="0"/>
    <n v="39"/>
    <x v="6"/>
    <n v="2.95"/>
    <n v="41.68"/>
    <s v="05676026"/>
  </r>
  <r>
    <x v="230"/>
    <s v="2021-12-09"/>
    <x v="0"/>
    <x v="0"/>
    <n v="38"/>
    <x v="24"/>
    <n v="2.82"/>
    <n v="39.549999999999997"/>
    <s v="22639377"/>
  </r>
  <r>
    <x v="230"/>
    <s v="2021-12-09"/>
    <x v="0"/>
    <x v="0"/>
    <n v="37"/>
    <x v="9"/>
    <n v="2.76"/>
    <n v="38.71"/>
    <s v="00411939"/>
  </r>
  <r>
    <x v="230"/>
    <s v="2021-12-09"/>
    <x v="0"/>
    <x v="0"/>
    <n v="36"/>
    <x v="8"/>
    <n v="2.75"/>
    <n v="38.54"/>
    <s v="59285411"/>
  </r>
  <r>
    <x v="230"/>
    <s v="2021-12-09"/>
    <x v="0"/>
    <x v="0"/>
    <n v="35"/>
    <x v="5"/>
    <n v="2.63"/>
    <n v="36.5"/>
    <s v="80271455"/>
  </r>
  <r>
    <x v="230"/>
    <s v="2021-12-09"/>
    <x v="0"/>
    <x v="0"/>
    <n v="34"/>
    <x v="42"/>
    <n v="2.5499999999999998"/>
    <n v="35.26"/>
    <s v="34991938"/>
  </r>
  <r>
    <x v="230"/>
    <s v="2021-12-09"/>
    <x v="0"/>
    <x v="0"/>
    <n v="33"/>
    <x v="4"/>
    <n v="2.5299999999999998"/>
    <n v="34.96"/>
    <s v="62232889"/>
  </r>
  <r>
    <x v="230"/>
    <s v="2021-12-09"/>
    <x v="0"/>
    <x v="0"/>
    <n v="32"/>
    <x v="10"/>
    <n v="2.33"/>
    <n v="31.82"/>
    <s v="10371492"/>
  </r>
  <r>
    <x v="230"/>
    <s v="2021-12-09"/>
    <x v="0"/>
    <x v="0"/>
    <n v="31"/>
    <x v="13"/>
    <n v="2.25"/>
    <n v="30.6"/>
    <s v="07707650"/>
  </r>
  <r>
    <x v="230"/>
    <s v="2021-12-09"/>
    <x v="0"/>
    <x v="0"/>
    <n v="30"/>
    <x v="15"/>
    <n v="2.0699999999999998"/>
    <n v="27.92"/>
    <s v="59588111"/>
  </r>
  <r>
    <x v="230"/>
    <s v="2021-12-09"/>
    <x v="0"/>
    <x v="0"/>
    <n v="29"/>
    <x v="28"/>
    <n v="2.0699999999999998"/>
    <n v="27.85"/>
    <s v="90400888"/>
  </r>
  <r>
    <x v="230"/>
    <s v="2021-12-09"/>
    <x v="0"/>
    <x v="0"/>
    <n v="28"/>
    <x v="20"/>
    <n v="2.0299999999999998"/>
    <n v="27.23"/>
    <s v="17192451"/>
  </r>
  <r>
    <x v="230"/>
    <s v="2021-12-09"/>
    <x v="0"/>
    <x v="0"/>
    <n v="27"/>
    <x v="16"/>
    <n v="2.0099999999999998"/>
    <n v="26.93"/>
    <s v="07207996"/>
  </r>
  <r>
    <x v="230"/>
    <s v="2021-12-09"/>
    <x v="0"/>
    <x v="0"/>
    <n v="26"/>
    <x v="41"/>
    <n v="1.99"/>
    <n v="26.71"/>
    <s v="20443996"/>
  </r>
  <r>
    <x v="230"/>
    <s v="2021-12-09"/>
    <x v="0"/>
    <x v="0"/>
    <n v="25"/>
    <x v="12"/>
    <n v="1.89"/>
    <n v="25.25"/>
    <s v="04862600"/>
  </r>
  <r>
    <x v="230"/>
    <s v="2021-12-09"/>
    <x v="0"/>
    <x v="0"/>
    <n v="24"/>
    <x v="53"/>
    <n v="1.88"/>
    <n v="24.98"/>
    <s v="31872495"/>
  </r>
  <r>
    <x v="230"/>
    <s v="2021-12-09"/>
    <x v="0"/>
    <x v="0"/>
    <n v="23"/>
    <x v="32"/>
    <n v="1.83"/>
    <n v="24.32"/>
    <s v="60701190"/>
  </r>
  <r>
    <x v="230"/>
    <s v="2021-12-09"/>
    <x v="0"/>
    <x v="0"/>
    <n v="22"/>
    <x v="19"/>
    <n v="1.81"/>
    <n v="23.99"/>
    <s v="92702067"/>
  </r>
  <r>
    <x v="230"/>
    <s v="2021-12-09"/>
    <x v="0"/>
    <x v="0"/>
    <n v="21"/>
    <x v="21"/>
    <n v="1.8"/>
    <n v="23.83"/>
    <s v="03017677"/>
  </r>
  <r>
    <x v="230"/>
    <s v="2021-12-09"/>
    <x v="0"/>
    <x v="0"/>
    <n v="20"/>
    <x v="30"/>
    <n v="1.79"/>
    <n v="23.67"/>
    <s v="03502961"/>
  </r>
  <r>
    <x v="230"/>
    <s v="2021-12-09"/>
    <x v="0"/>
    <x v="0"/>
    <n v="19"/>
    <x v="11"/>
    <n v="1.79"/>
    <n v="23.67"/>
    <s v="03634220"/>
  </r>
  <r>
    <x v="230"/>
    <s v="2021-12-09"/>
    <x v="0"/>
    <x v="0"/>
    <n v="18"/>
    <x v="26"/>
    <n v="1.77"/>
    <n v="23.37"/>
    <s v="30172491"/>
  </r>
  <r>
    <x v="230"/>
    <s v="2021-12-09"/>
    <x v="0"/>
    <x v="0"/>
    <n v="17"/>
    <x v="23"/>
    <n v="1.75"/>
    <n v="23.12"/>
    <s v="03215790"/>
  </r>
  <r>
    <x v="230"/>
    <s v="2021-12-09"/>
    <x v="0"/>
    <x v="0"/>
    <n v="16"/>
    <x v="29"/>
    <n v="1.73"/>
    <n v="22.92"/>
    <s v="60746948"/>
  </r>
  <r>
    <x v="230"/>
    <s v="2021-12-09"/>
    <x v="0"/>
    <x v="0"/>
    <n v="15"/>
    <x v="31"/>
    <n v="1.71"/>
    <n v="22.58"/>
    <s v="17167412"/>
  </r>
  <r>
    <x v="230"/>
    <s v="2021-12-09"/>
    <x v="0"/>
    <x v="0"/>
    <n v="14"/>
    <x v="25"/>
    <n v="1.6"/>
    <n v="20.92"/>
    <s v="59274605"/>
  </r>
  <r>
    <x v="230"/>
    <s v="2021-12-09"/>
    <x v="0"/>
    <x v="0"/>
    <n v="13"/>
    <x v="18"/>
    <n v="1.59"/>
    <n v="20.81"/>
    <s v="28127603"/>
  </r>
  <r>
    <x v="230"/>
    <s v="2021-12-09"/>
    <x v="0"/>
    <x v="0"/>
    <n v="12"/>
    <x v="34"/>
    <n v="1.58"/>
    <n v="20.69"/>
    <s v="33603457"/>
  </r>
  <r>
    <x v="230"/>
    <s v="2021-12-09"/>
    <x v="0"/>
    <x v="0"/>
    <n v="11"/>
    <x v="33"/>
    <n v="1.55"/>
    <n v="20.32"/>
    <s v="62307848"/>
  </r>
  <r>
    <x v="230"/>
    <s v="2021-12-09"/>
    <x v="0"/>
    <x v="0"/>
    <n v="10"/>
    <x v="14"/>
    <n v="1.55"/>
    <n v="20.21"/>
    <s v="00360305"/>
  </r>
  <r>
    <x v="230"/>
    <s v="2021-12-09"/>
    <x v="0"/>
    <x v="0"/>
    <n v="9"/>
    <x v="27"/>
    <n v="1.55"/>
    <n v="20.190000000000001"/>
    <s v="00000000"/>
  </r>
  <r>
    <x v="230"/>
    <s v="2021-12-09"/>
    <x v="0"/>
    <x v="0"/>
    <n v="8"/>
    <x v="35"/>
    <n v="1.45"/>
    <n v="18.91"/>
    <s v="59109165"/>
  </r>
  <r>
    <x v="230"/>
    <s v="2021-12-09"/>
    <x v="0"/>
    <x v="0"/>
    <n v="7"/>
    <x v="37"/>
    <n v="1.41"/>
    <n v="18.32"/>
    <s v="04452473"/>
  </r>
  <r>
    <x v="230"/>
    <s v="2021-12-09"/>
    <x v="0"/>
    <x v="0"/>
    <n v="6"/>
    <x v="44"/>
    <n v="1.38"/>
    <n v="17.91"/>
    <s v="58017179"/>
  </r>
  <r>
    <x v="230"/>
    <s v="2021-12-09"/>
    <x v="0"/>
    <x v="0"/>
    <n v="5"/>
    <x v="22"/>
    <n v="1.32"/>
    <n v="17.09"/>
    <s v="11417016"/>
  </r>
  <r>
    <x v="230"/>
    <s v="2021-12-09"/>
    <x v="0"/>
    <x v="0"/>
    <n v="4"/>
    <x v="38"/>
    <n v="1.3"/>
    <n v="16.739999999999998"/>
    <s v="60814191"/>
  </r>
  <r>
    <x v="230"/>
    <s v="2021-12-09"/>
    <x v="0"/>
    <x v="0"/>
    <n v="3"/>
    <x v="36"/>
    <n v="1.26"/>
    <n v="16.170000000000002"/>
    <s v="33136888"/>
  </r>
  <r>
    <x v="230"/>
    <s v="2021-12-09"/>
    <x v="0"/>
    <x v="0"/>
    <n v="2"/>
    <x v="40"/>
    <n v="1.17"/>
    <n v="15.01"/>
    <s v="02992446"/>
  </r>
  <r>
    <x v="230"/>
    <s v="2021-12-09"/>
    <x v="0"/>
    <x v="0"/>
    <n v="1"/>
    <x v="49"/>
    <n v="1.1200000000000001"/>
    <n v="14.33"/>
    <s v="58160789"/>
  </r>
  <r>
    <x v="231"/>
    <s v="2021-12-10"/>
    <x v="0"/>
    <x v="0"/>
    <n v="42"/>
    <x v="3"/>
    <n v="3.45"/>
    <n v="50.31"/>
    <s v="05503849"/>
  </r>
  <r>
    <x v="231"/>
    <s v="2021-12-10"/>
    <x v="0"/>
    <x v="0"/>
    <n v="41"/>
    <x v="2"/>
    <n v="3.23"/>
    <n v="46.44"/>
    <s v="92228410"/>
  </r>
  <r>
    <x v="231"/>
    <s v="2021-12-10"/>
    <x v="0"/>
    <x v="0"/>
    <n v="40"/>
    <x v="0"/>
    <n v="3.23"/>
    <n v="46.36"/>
    <s v="60850229"/>
  </r>
  <r>
    <x v="231"/>
    <s v="2021-12-10"/>
    <x v="0"/>
    <x v="0"/>
    <n v="39"/>
    <x v="1"/>
    <n v="3.11"/>
    <n v="44.43"/>
    <s v="01800019"/>
  </r>
  <r>
    <x v="231"/>
    <s v="2021-12-10"/>
    <x v="0"/>
    <x v="0"/>
    <n v="38"/>
    <x v="7"/>
    <n v="2.98"/>
    <n v="42.2"/>
    <s v="92874270"/>
  </r>
  <r>
    <x v="231"/>
    <s v="2021-12-10"/>
    <x v="0"/>
    <x v="0"/>
    <n v="37"/>
    <x v="6"/>
    <n v="2.94"/>
    <n v="41.57"/>
    <s v="05676026"/>
  </r>
  <r>
    <x v="231"/>
    <s v="2021-12-10"/>
    <x v="0"/>
    <x v="0"/>
    <n v="36"/>
    <x v="24"/>
    <n v="2.84"/>
    <n v="39.86"/>
    <s v="22639377"/>
  </r>
  <r>
    <x v="231"/>
    <s v="2021-12-10"/>
    <x v="0"/>
    <x v="0"/>
    <n v="35"/>
    <x v="9"/>
    <n v="2.8"/>
    <n v="39.299999999999997"/>
    <s v="00411939"/>
  </r>
  <r>
    <x v="231"/>
    <s v="2021-12-10"/>
    <x v="0"/>
    <x v="0"/>
    <n v="34"/>
    <x v="8"/>
    <n v="2.75"/>
    <n v="38.53"/>
    <s v="59285411"/>
  </r>
  <r>
    <x v="231"/>
    <s v="2021-12-10"/>
    <x v="0"/>
    <x v="0"/>
    <n v="33"/>
    <x v="5"/>
    <n v="2.59"/>
    <n v="35.869999999999997"/>
    <s v="80271455"/>
  </r>
  <r>
    <x v="231"/>
    <s v="2021-12-10"/>
    <x v="0"/>
    <x v="0"/>
    <n v="32"/>
    <x v="42"/>
    <n v="2.5499999999999998"/>
    <n v="35.31"/>
    <s v="34991938"/>
  </r>
  <r>
    <x v="231"/>
    <s v="2021-12-10"/>
    <x v="0"/>
    <x v="0"/>
    <n v="31"/>
    <x v="4"/>
    <n v="2.5499999999999998"/>
    <n v="35.229999999999997"/>
    <s v="62232889"/>
  </r>
  <r>
    <x v="231"/>
    <s v="2021-12-10"/>
    <x v="0"/>
    <x v="0"/>
    <n v="30"/>
    <x v="10"/>
    <n v="2.3199999999999998"/>
    <n v="31.68"/>
    <s v="10371492"/>
  </r>
  <r>
    <x v="231"/>
    <s v="2021-12-10"/>
    <x v="0"/>
    <x v="0"/>
    <n v="29"/>
    <x v="13"/>
    <n v="2.25"/>
    <n v="30.62"/>
    <s v="07707650"/>
  </r>
  <r>
    <x v="231"/>
    <s v="2021-12-10"/>
    <x v="0"/>
    <x v="0"/>
    <n v="28"/>
    <x v="15"/>
    <n v="2.0699999999999998"/>
    <n v="27.92"/>
    <s v="59588111"/>
  </r>
  <r>
    <x v="231"/>
    <s v="2021-12-10"/>
    <x v="0"/>
    <x v="0"/>
    <n v="27"/>
    <x v="28"/>
    <n v="2.06"/>
    <n v="27.67"/>
    <s v="90400888"/>
  </r>
  <r>
    <x v="231"/>
    <s v="2021-12-10"/>
    <x v="0"/>
    <x v="0"/>
    <n v="26"/>
    <x v="20"/>
    <n v="2.02"/>
    <n v="27.15"/>
    <s v="17192451"/>
  </r>
  <r>
    <x v="231"/>
    <s v="2021-12-10"/>
    <x v="0"/>
    <x v="0"/>
    <n v="25"/>
    <x v="16"/>
    <n v="2.0099999999999998"/>
    <n v="26.98"/>
    <s v="07207996"/>
  </r>
  <r>
    <x v="231"/>
    <s v="2021-12-10"/>
    <x v="0"/>
    <x v="0"/>
    <n v="24"/>
    <x v="41"/>
    <n v="1.99"/>
    <n v="26.71"/>
    <s v="20443996"/>
  </r>
  <r>
    <x v="231"/>
    <s v="2021-12-10"/>
    <x v="0"/>
    <x v="0"/>
    <n v="23"/>
    <x v="12"/>
    <n v="1.88"/>
    <n v="24.97"/>
    <s v="04862600"/>
  </r>
  <r>
    <x v="231"/>
    <s v="2021-12-10"/>
    <x v="0"/>
    <x v="0"/>
    <n v="22"/>
    <x v="53"/>
    <n v="1.87"/>
    <n v="24.88"/>
    <s v="31872495"/>
  </r>
  <r>
    <x v="231"/>
    <s v="2021-12-10"/>
    <x v="0"/>
    <x v="0"/>
    <n v="21"/>
    <x v="32"/>
    <n v="1.81"/>
    <n v="23.99"/>
    <s v="60701190"/>
  </r>
  <r>
    <x v="231"/>
    <s v="2021-12-10"/>
    <x v="0"/>
    <x v="0"/>
    <n v="20"/>
    <x v="21"/>
    <n v="1.8"/>
    <n v="23.93"/>
    <s v="03017677"/>
  </r>
  <r>
    <x v="231"/>
    <s v="2021-12-10"/>
    <x v="0"/>
    <x v="0"/>
    <n v="19"/>
    <x v="30"/>
    <n v="1.77"/>
    <n v="23.47"/>
    <s v="03502961"/>
  </r>
  <r>
    <x v="231"/>
    <s v="2021-12-10"/>
    <x v="0"/>
    <x v="0"/>
    <n v="18"/>
    <x v="11"/>
    <n v="1.77"/>
    <n v="23.46"/>
    <s v="03634220"/>
  </r>
  <r>
    <x v="231"/>
    <s v="2021-12-10"/>
    <x v="0"/>
    <x v="0"/>
    <n v="17"/>
    <x v="26"/>
    <n v="1.76"/>
    <n v="23.35"/>
    <s v="30172491"/>
  </r>
  <r>
    <x v="231"/>
    <s v="2021-12-10"/>
    <x v="0"/>
    <x v="0"/>
    <n v="16"/>
    <x v="23"/>
    <n v="1.74"/>
    <n v="23.05"/>
    <s v="03215790"/>
  </r>
  <r>
    <x v="231"/>
    <s v="2021-12-10"/>
    <x v="0"/>
    <x v="0"/>
    <n v="15"/>
    <x v="29"/>
    <n v="1.73"/>
    <n v="22.86"/>
    <s v="60746948"/>
  </r>
  <r>
    <x v="231"/>
    <s v="2021-12-10"/>
    <x v="0"/>
    <x v="0"/>
    <n v="14"/>
    <x v="31"/>
    <n v="1.71"/>
    <n v="22.57"/>
    <s v="17167412"/>
  </r>
  <r>
    <x v="231"/>
    <s v="2021-12-10"/>
    <x v="0"/>
    <x v="0"/>
    <n v="13"/>
    <x v="25"/>
    <n v="1.6"/>
    <n v="20.99"/>
    <s v="59274605"/>
  </r>
  <r>
    <x v="231"/>
    <s v="2021-12-10"/>
    <x v="0"/>
    <x v="0"/>
    <n v="12"/>
    <x v="18"/>
    <n v="1.58"/>
    <n v="20.74"/>
    <s v="28127603"/>
  </r>
  <r>
    <x v="231"/>
    <s v="2021-12-10"/>
    <x v="0"/>
    <x v="0"/>
    <n v="11"/>
    <x v="34"/>
    <n v="1.58"/>
    <n v="20.67"/>
    <s v="33603457"/>
  </r>
  <r>
    <x v="231"/>
    <s v="2021-12-10"/>
    <x v="0"/>
    <x v="0"/>
    <n v="10"/>
    <x v="14"/>
    <n v="1.54"/>
    <n v="20.16"/>
    <s v="00360305"/>
  </r>
  <r>
    <x v="231"/>
    <s v="2021-12-10"/>
    <x v="0"/>
    <x v="0"/>
    <n v="9"/>
    <x v="33"/>
    <n v="1.54"/>
    <n v="20.11"/>
    <s v="62307848"/>
  </r>
  <r>
    <x v="231"/>
    <s v="2021-12-10"/>
    <x v="0"/>
    <x v="0"/>
    <n v="8"/>
    <x v="27"/>
    <n v="1.54"/>
    <n v="20.07"/>
    <s v="00000000"/>
  </r>
  <r>
    <x v="231"/>
    <s v="2021-12-10"/>
    <x v="0"/>
    <x v="0"/>
    <n v="7"/>
    <x v="35"/>
    <n v="1.45"/>
    <n v="18.91"/>
    <s v="59109165"/>
  </r>
  <r>
    <x v="231"/>
    <s v="2021-12-10"/>
    <x v="0"/>
    <x v="0"/>
    <n v="6"/>
    <x v="37"/>
    <n v="1.42"/>
    <n v="18.489999999999998"/>
    <s v="04452473"/>
  </r>
  <r>
    <x v="231"/>
    <s v="2021-12-10"/>
    <x v="0"/>
    <x v="0"/>
    <n v="5"/>
    <x v="22"/>
    <n v="1.32"/>
    <n v="17.03"/>
    <s v="11417016"/>
  </r>
  <r>
    <x v="231"/>
    <s v="2021-12-10"/>
    <x v="0"/>
    <x v="0"/>
    <n v="4"/>
    <x v="49"/>
    <n v="1.3"/>
    <n v="16.739999999999998"/>
    <s v="58160789"/>
  </r>
  <r>
    <x v="231"/>
    <s v="2021-12-10"/>
    <x v="0"/>
    <x v="0"/>
    <n v="3"/>
    <x v="38"/>
    <n v="1.28"/>
    <n v="16.52"/>
    <s v="60814191"/>
  </r>
  <r>
    <x v="231"/>
    <s v="2021-12-10"/>
    <x v="0"/>
    <x v="0"/>
    <n v="2"/>
    <x v="36"/>
    <n v="1.27"/>
    <n v="16.37"/>
    <s v="33136888"/>
  </r>
  <r>
    <x v="231"/>
    <s v="2021-12-10"/>
    <x v="0"/>
    <x v="0"/>
    <n v="1"/>
    <x v="40"/>
    <n v="1.2"/>
    <n v="15.42"/>
    <s v="0299244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68">
  <r>
    <s v="Jan-2012"/>
    <x v="0"/>
    <n v="1399"/>
    <x v="0"/>
    <n v="1.18"/>
    <n v="15.08"/>
    <s v="00655522"/>
    <x v="0"/>
  </r>
  <r>
    <s v="Jan-2012"/>
    <x v="1"/>
    <n v="1202"/>
    <x v="1"/>
    <n v="1.83"/>
    <n v="24.34"/>
    <s v="02868100"/>
    <x v="0"/>
  </r>
  <r>
    <s v="Jan-2012"/>
    <x v="0"/>
    <n v="1381"/>
    <x v="2"/>
    <n v="0.91"/>
    <n v="11.52"/>
    <s v="60701190"/>
    <x v="0"/>
  </r>
  <r>
    <s v="Jan-2012"/>
    <x v="1"/>
    <n v="1174"/>
    <x v="3"/>
    <n v="1.61"/>
    <n v="21.14"/>
    <s v="01701201"/>
    <x v="0"/>
  </r>
  <r>
    <s v="Jan-2012"/>
    <x v="0"/>
    <n v="1332"/>
    <x v="3"/>
    <n v="0.85"/>
    <n v="10.72"/>
    <s v="01701201"/>
    <x v="0"/>
  </r>
  <r>
    <s v="Jan-2012"/>
    <x v="1"/>
    <n v="1171"/>
    <x v="4"/>
    <n v="1.59"/>
    <n v="20.78"/>
    <s v="00360305"/>
    <x v="0"/>
  </r>
  <r>
    <s v="Jan-2012"/>
    <x v="0"/>
    <n v="1212"/>
    <x v="5"/>
    <n v="0.8"/>
    <n v="10.029999999999999"/>
    <s v="17184037"/>
    <x v="0"/>
  </r>
  <r>
    <s v="Jan-2012"/>
    <x v="1"/>
    <n v="1117"/>
    <x v="6"/>
    <n v="1.37"/>
    <n v="17.77"/>
    <s v="14511781"/>
    <x v="0"/>
  </r>
  <r>
    <s v="Jan-2012"/>
    <x v="0"/>
    <n v="1121"/>
    <x v="7"/>
    <n v="0.77"/>
    <n v="9.65"/>
    <s v="60746948"/>
    <x v="0"/>
  </r>
  <r>
    <s v="Jan-2012"/>
    <x v="1"/>
    <n v="1108"/>
    <x v="8"/>
    <n v="1.34"/>
    <n v="17.28"/>
    <s v="10694628"/>
    <x v="0"/>
  </r>
  <r>
    <s v="Jan-2012"/>
    <x v="0"/>
    <n v="1006"/>
    <x v="9"/>
    <n v="0.74"/>
    <n v="9.3000000000000007"/>
    <s v="90400888"/>
    <x v="0"/>
  </r>
  <r>
    <s v="Jan-2012"/>
    <x v="1"/>
    <n v="1063"/>
    <x v="10"/>
    <n v="1.19"/>
    <n v="15.32"/>
    <s v="00000000"/>
    <x v="0"/>
  </r>
  <r>
    <s v="Jan-2012"/>
    <x v="0"/>
    <n v="842"/>
    <x v="11"/>
    <n v="0.71"/>
    <n v="8.83"/>
    <s v="28127603"/>
    <x v="0"/>
  </r>
  <r>
    <s v="Jan-2012"/>
    <x v="1"/>
    <n v="988"/>
    <x v="12"/>
    <n v="1.05"/>
    <n v="13.31"/>
    <s v="00517645"/>
    <x v="0"/>
  </r>
  <r>
    <s v="Jan-2012"/>
    <x v="0"/>
    <n v="802"/>
    <x v="13"/>
    <n v="0.7"/>
    <n v="8.73"/>
    <s v="00000208"/>
    <x v="0"/>
  </r>
  <r>
    <s v="Jan-2012"/>
    <x v="1"/>
    <n v="866"/>
    <x v="14"/>
    <n v="0.93"/>
    <n v="11.7"/>
    <s v="62237367"/>
    <x v="0"/>
  </r>
  <r>
    <s v="Jan-2012"/>
    <x v="0"/>
    <n v="718"/>
    <x v="10"/>
    <n v="0.69"/>
    <n v="8.5500000000000007"/>
    <s v="00000000"/>
    <x v="0"/>
  </r>
  <r>
    <s v="Jan-2012"/>
    <x v="1"/>
    <n v="663"/>
    <x v="7"/>
    <n v="0.83"/>
    <n v="10.38"/>
    <s v="60746948"/>
    <x v="0"/>
  </r>
  <r>
    <s v="Jan-2012"/>
    <x v="0"/>
    <n v="521"/>
    <x v="15"/>
    <n v="0.63"/>
    <n v="7.89"/>
    <s v="13009717"/>
    <x v="0"/>
  </r>
  <r>
    <s v="Jan-2012"/>
    <x v="1"/>
    <n v="578"/>
    <x v="16"/>
    <n v="0.8"/>
    <n v="9.9700000000000006"/>
    <s v="17441197"/>
    <x v="0"/>
  </r>
  <r>
    <s v="Jan-2012"/>
    <x v="2"/>
    <n v="452"/>
    <x v="17"/>
    <n v="2.2799999999999998"/>
    <n v="31.13"/>
    <s v="00416968"/>
    <x v="0"/>
  </r>
  <r>
    <s v="Jan-2012"/>
    <x v="0"/>
    <n v="68"/>
    <x v="18"/>
    <n v="0.5"/>
    <n v="6.13"/>
    <s v="92702067"/>
    <x v="0"/>
  </r>
  <r>
    <s v="Jan-2012"/>
    <x v="2"/>
    <n v="348"/>
    <x v="14"/>
    <n v="1.42"/>
    <n v="18.5"/>
    <s v="62237367"/>
    <x v="0"/>
  </r>
  <r>
    <s v="Jan-2012"/>
    <x v="1"/>
    <n v="553"/>
    <x v="9"/>
    <n v="0.78"/>
    <n v="9.7899999999999991"/>
    <s v="90400888"/>
    <x v="0"/>
  </r>
  <r>
    <s v="Jan-2012"/>
    <x v="2"/>
    <n v="278"/>
    <x v="10"/>
    <n v="1.27"/>
    <n v="16.399999999999999"/>
    <s v="00000000"/>
    <x v="0"/>
  </r>
  <r>
    <s v="Jan-2012"/>
    <x v="0"/>
    <n v="25"/>
    <x v="4"/>
    <n v="0.46"/>
    <n v="5.69"/>
    <s v="00360305"/>
    <x v="0"/>
  </r>
  <r>
    <s v="Jan-2012"/>
    <x v="3"/>
    <n v="230"/>
    <x v="9"/>
    <n v="1.01"/>
    <n v="12.84"/>
    <s v="90400888"/>
    <x v="0"/>
  </r>
  <r>
    <s v="Jan-2012"/>
    <x v="2"/>
    <n v="83"/>
    <x v="19"/>
    <n v="0.92"/>
    <n v="11.66"/>
    <s v="33479023"/>
    <x v="0"/>
  </r>
  <r>
    <s v="Jan-2012"/>
    <x v="3"/>
    <n v="222"/>
    <x v="4"/>
    <n v="0.99"/>
    <n v="12.52"/>
    <s v="00360305"/>
    <x v="0"/>
  </r>
  <r>
    <s v="Jan-2012"/>
    <x v="1"/>
    <n v="215"/>
    <x v="15"/>
    <n v="0.64"/>
    <n v="7.9"/>
    <s v="13009717"/>
    <x v="0"/>
  </r>
  <r>
    <s v="Jan-2012"/>
    <x v="3"/>
    <n v="165"/>
    <x v="7"/>
    <n v="0.95"/>
    <n v="12.06"/>
    <s v="60746948"/>
    <x v="0"/>
  </r>
  <r>
    <s v="Jan-2012"/>
    <x v="2"/>
    <n v="58"/>
    <x v="20"/>
    <n v="0.84"/>
    <n v="10.54"/>
    <s v="87091716"/>
    <x v="0"/>
  </r>
  <r>
    <s v="Jan-2012"/>
    <x v="3"/>
    <n v="143"/>
    <x v="10"/>
    <n v="0.94"/>
    <n v="11.94"/>
    <s v="00000000"/>
    <x v="0"/>
  </r>
  <r>
    <s v="Fev-2012"/>
    <x v="0"/>
    <n v="1401"/>
    <x v="0"/>
    <n v="1.23"/>
    <n v="15.75"/>
    <s v="00655522"/>
    <x v="1"/>
  </r>
  <r>
    <s v="Fev-2012"/>
    <x v="1"/>
    <n v="1191"/>
    <x v="1"/>
    <n v="1.77"/>
    <n v="23.46"/>
    <s v="02868100"/>
    <x v="1"/>
  </r>
  <r>
    <s v="Fev-2012"/>
    <x v="0"/>
    <n v="1379"/>
    <x v="5"/>
    <n v="0.9"/>
    <n v="11.41"/>
    <s v="17184037"/>
    <x v="1"/>
  </r>
  <r>
    <s v="Fev-2012"/>
    <x v="1"/>
    <n v="1175"/>
    <x v="3"/>
    <n v="1.61"/>
    <n v="21.17"/>
    <s v="01701201"/>
    <x v="1"/>
  </r>
  <r>
    <s v="Fev-2012"/>
    <x v="0"/>
    <n v="1376"/>
    <x v="2"/>
    <n v="0.9"/>
    <n v="11.35"/>
    <s v="60701190"/>
    <x v="1"/>
  </r>
  <r>
    <s v="Fev-2012"/>
    <x v="1"/>
    <n v="1173"/>
    <x v="4"/>
    <n v="1.61"/>
    <n v="21.1"/>
    <s v="00360305"/>
    <x v="1"/>
  </r>
  <r>
    <s v="Fev-2012"/>
    <x v="0"/>
    <n v="1335"/>
    <x v="3"/>
    <n v="0.85"/>
    <n v="10.73"/>
    <s v="01701201"/>
    <x v="1"/>
  </r>
  <r>
    <s v="Fev-2012"/>
    <x v="1"/>
    <n v="1129"/>
    <x v="6"/>
    <n v="1.41"/>
    <n v="18.329999999999998"/>
    <s v="14511781"/>
    <x v="1"/>
  </r>
  <r>
    <s v="Fev-2012"/>
    <x v="0"/>
    <n v="1133"/>
    <x v="7"/>
    <n v="0.77"/>
    <n v="9.69"/>
    <s v="60746948"/>
    <x v="1"/>
  </r>
  <r>
    <s v="Fev-2012"/>
    <x v="1"/>
    <n v="1074"/>
    <x v="10"/>
    <n v="1.22"/>
    <n v="15.68"/>
    <s v="00000000"/>
    <x v="1"/>
  </r>
  <r>
    <s v="Fev-2012"/>
    <x v="0"/>
    <n v="1015"/>
    <x v="9"/>
    <n v="0.75"/>
    <n v="9.32"/>
    <s v="90400888"/>
    <x v="1"/>
  </r>
  <r>
    <s v="Fev-2012"/>
    <x v="1"/>
    <n v="1016"/>
    <x v="12"/>
    <n v="1.1000000000000001"/>
    <n v="14.08"/>
    <s v="00517645"/>
    <x v="1"/>
  </r>
  <r>
    <s v="Fev-2012"/>
    <x v="0"/>
    <n v="866"/>
    <x v="13"/>
    <n v="0.71"/>
    <n v="8.92"/>
    <s v="00000208"/>
    <x v="1"/>
  </r>
  <r>
    <s v="Fev-2012"/>
    <x v="1"/>
    <n v="857"/>
    <x v="14"/>
    <n v="0.92"/>
    <n v="11.65"/>
    <s v="62237367"/>
    <x v="1"/>
  </r>
  <r>
    <s v="Fev-2012"/>
    <x v="0"/>
    <n v="865"/>
    <x v="11"/>
    <n v="0.71"/>
    <n v="8.92"/>
    <s v="28127603"/>
    <x v="1"/>
  </r>
  <r>
    <s v="Fev-2012"/>
    <x v="1"/>
    <n v="641"/>
    <x v="16"/>
    <n v="0.81"/>
    <n v="10.220000000000001"/>
    <s v="17441197"/>
    <x v="1"/>
  </r>
  <r>
    <s v="Fev-2012"/>
    <x v="0"/>
    <n v="729"/>
    <x v="10"/>
    <n v="0.69"/>
    <n v="8.58"/>
    <s v="00000000"/>
    <x v="1"/>
  </r>
  <r>
    <s v="Fev-2012"/>
    <x v="1"/>
    <n v="618"/>
    <x v="7"/>
    <n v="0.81"/>
    <n v="10.16"/>
    <s v="60746948"/>
    <x v="1"/>
  </r>
  <r>
    <s v="Fev-2012"/>
    <x v="0"/>
    <n v="515"/>
    <x v="15"/>
    <n v="0.63"/>
    <n v="7.88"/>
    <s v="13009717"/>
    <x v="1"/>
  </r>
  <r>
    <s v="Fev-2012"/>
    <x v="2"/>
    <n v="451"/>
    <x v="17"/>
    <n v="2.2400000000000002"/>
    <n v="30.45"/>
    <s v="00416968"/>
    <x v="1"/>
  </r>
  <r>
    <s v="Fev-2012"/>
    <x v="1"/>
    <n v="575"/>
    <x v="15"/>
    <n v="0.79"/>
    <n v="9.92"/>
    <s v="13009717"/>
    <x v="1"/>
  </r>
  <r>
    <s v="Fev-2012"/>
    <x v="2"/>
    <n v="340"/>
    <x v="14"/>
    <n v="1.42"/>
    <n v="18.5"/>
    <s v="62237367"/>
    <x v="1"/>
  </r>
  <r>
    <s v="Fev-2012"/>
    <x v="0"/>
    <n v="126"/>
    <x v="18"/>
    <n v="0.52"/>
    <n v="6.48"/>
    <s v="92702067"/>
    <x v="1"/>
  </r>
  <r>
    <s v="Fev-2012"/>
    <x v="2"/>
    <n v="263"/>
    <x v="9"/>
    <n v="1.26"/>
    <n v="16.23"/>
    <s v="90400888"/>
    <x v="1"/>
  </r>
  <r>
    <s v="Fev-2012"/>
    <x v="1"/>
    <n v="537"/>
    <x v="9"/>
    <n v="0.78"/>
    <n v="9.7100000000000009"/>
    <s v="90400888"/>
    <x v="1"/>
  </r>
  <r>
    <s v="Fev-2012"/>
    <x v="3"/>
    <n v="223"/>
    <x v="4"/>
    <n v="0.99"/>
    <n v="12.53"/>
    <s v="00360305"/>
    <x v="1"/>
  </r>
  <r>
    <s v="Fev-2012"/>
    <x v="2"/>
    <n v="48"/>
    <x v="19"/>
    <n v="0.82"/>
    <n v="10.25"/>
    <s v="33479023"/>
    <x v="1"/>
  </r>
  <r>
    <s v="Fev-2012"/>
    <x v="3"/>
    <n v="215"/>
    <x v="7"/>
    <n v="0.98"/>
    <n v="12.42"/>
    <s v="60746948"/>
    <x v="1"/>
  </r>
  <r>
    <s v="Fev-2012"/>
    <x v="0"/>
    <n v="30"/>
    <x v="4"/>
    <n v="0.46"/>
    <n v="5.72"/>
    <s v="00360305"/>
    <x v="1"/>
  </r>
  <r>
    <s v="Fev-2012"/>
    <x v="3"/>
    <n v="200"/>
    <x v="9"/>
    <n v="0.97"/>
    <n v="12.31"/>
    <s v="90400888"/>
    <x v="1"/>
  </r>
  <r>
    <s v="Fev-2012"/>
    <x v="2"/>
    <n v="40"/>
    <x v="20"/>
    <n v="0.79"/>
    <n v="9.8800000000000008"/>
    <s v="87091716"/>
    <x v="1"/>
  </r>
  <r>
    <s v="Fev-2012"/>
    <x v="3"/>
    <n v="181"/>
    <x v="10"/>
    <n v="0.96"/>
    <n v="12.18"/>
    <s v="00000000"/>
    <x v="1"/>
  </r>
  <r>
    <s v="Mar-2012"/>
    <x v="1"/>
    <n v="1190"/>
    <x v="1"/>
    <n v="1.77"/>
    <n v="23.41"/>
    <s v="02868100"/>
    <x v="2"/>
  </r>
  <r>
    <s v="Mar-2012"/>
    <x v="0"/>
    <n v="1393"/>
    <x v="0"/>
    <n v="1.0900000000000001"/>
    <n v="13.88"/>
    <s v="00655522"/>
    <x v="2"/>
  </r>
  <r>
    <s v="Mar-2012"/>
    <x v="1"/>
    <n v="1177"/>
    <x v="3"/>
    <n v="1.63"/>
    <n v="21.4"/>
    <s v="01701201"/>
    <x v="2"/>
  </r>
  <r>
    <s v="Mar-2012"/>
    <x v="0"/>
    <n v="1380"/>
    <x v="5"/>
    <n v="0.9"/>
    <n v="11.41"/>
    <s v="17184037"/>
    <x v="2"/>
  </r>
  <r>
    <s v="Mar-2012"/>
    <x v="1"/>
    <n v="1159"/>
    <x v="4"/>
    <n v="1.52"/>
    <n v="19.8"/>
    <s v="00360305"/>
    <x v="2"/>
  </r>
  <r>
    <s v="Mar-2012"/>
    <x v="0"/>
    <n v="1344"/>
    <x v="3"/>
    <n v="0.86"/>
    <n v="10.82"/>
    <s v="01701201"/>
    <x v="2"/>
  </r>
  <r>
    <s v="Mar-2012"/>
    <x v="1"/>
    <n v="1111"/>
    <x v="8"/>
    <n v="1.35"/>
    <n v="17.420000000000002"/>
    <s v="10694628"/>
    <x v="2"/>
  </r>
  <r>
    <s v="Mar-2012"/>
    <x v="0"/>
    <n v="1123"/>
    <x v="7"/>
    <n v="0.77"/>
    <n v="9.65"/>
    <s v="60746948"/>
    <x v="2"/>
  </r>
  <r>
    <s v="Mar-2012"/>
    <x v="1"/>
    <n v="1047"/>
    <x v="10"/>
    <n v="1.17"/>
    <n v="14.95"/>
    <s v="00000000"/>
    <x v="2"/>
  </r>
  <r>
    <s v="Mar-2012"/>
    <x v="0"/>
    <n v="1029"/>
    <x v="9"/>
    <n v="0.75"/>
    <n v="9.3699999999999992"/>
    <s v="90400888"/>
    <x v="2"/>
  </r>
  <r>
    <s v="Mar-2012"/>
    <x v="1"/>
    <n v="1025"/>
    <x v="12"/>
    <n v="1.1399999999999999"/>
    <n v="14.51"/>
    <s v="00517645"/>
    <x v="2"/>
  </r>
  <r>
    <s v="Mar-2012"/>
    <x v="0"/>
    <n v="863"/>
    <x v="2"/>
    <n v="0.71"/>
    <n v="8.91"/>
    <s v="60701190"/>
    <x v="2"/>
  </r>
  <r>
    <s v="Mar-2012"/>
    <x v="1"/>
    <n v="995"/>
    <x v="21"/>
    <n v="1.06"/>
    <n v="13.5"/>
    <s v="92894922"/>
    <x v="2"/>
  </r>
  <r>
    <s v="Mar-2012"/>
    <x v="0"/>
    <n v="693"/>
    <x v="10"/>
    <n v="0.68"/>
    <n v="8.5"/>
    <s v="00000000"/>
    <x v="2"/>
  </r>
  <r>
    <s v="Mar-2012"/>
    <x v="1"/>
    <n v="862"/>
    <x v="14"/>
    <n v="0.92"/>
    <n v="11.68"/>
    <s v="62237367"/>
    <x v="2"/>
  </r>
  <r>
    <s v="Mar-2012"/>
    <x v="0"/>
    <n v="670"/>
    <x v="11"/>
    <n v="0.68"/>
    <n v="8.4600000000000009"/>
    <s v="28127603"/>
    <x v="2"/>
  </r>
  <r>
    <s v="Mar-2012"/>
    <x v="1"/>
    <n v="597"/>
    <x v="7"/>
    <n v="0.8"/>
    <n v="10.06"/>
    <s v="60746948"/>
    <x v="2"/>
  </r>
  <r>
    <s v="Mar-2012"/>
    <x v="0"/>
    <n v="528"/>
    <x v="15"/>
    <n v="0.64"/>
    <n v="7.91"/>
    <s v="13009717"/>
    <x v="2"/>
  </r>
  <r>
    <s v="Mar-2012"/>
    <x v="1"/>
    <n v="572"/>
    <x v="15"/>
    <n v="0.79"/>
    <n v="9.9"/>
    <s v="13009717"/>
    <x v="2"/>
  </r>
  <r>
    <s v="Mar-2012"/>
    <x v="2"/>
    <n v="453"/>
    <x v="17"/>
    <n v="2.33"/>
    <n v="31.78"/>
    <s v="00416968"/>
    <x v="2"/>
  </r>
  <r>
    <s v="Mar-2012"/>
    <x v="0"/>
    <n v="77"/>
    <x v="18"/>
    <n v="0.5"/>
    <n v="6.19"/>
    <s v="92702067"/>
    <x v="2"/>
  </r>
  <r>
    <s v="Mar-2012"/>
    <x v="2"/>
    <n v="384"/>
    <x v="14"/>
    <n v="1.47"/>
    <n v="19.149999999999999"/>
    <s v="62237367"/>
    <x v="2"/>
  </r>
  <r>
    <s v="Mar-2012"/>
    <x v="1"/>
    <n v="543"/>
    <x v="9"/>
    <n v="0.78"/>
    <n v="9.75"/>
    <s v="90400888"/>
    <x v="2"/>
  </r>
  <r>
    <s v="Mar-2012"/>
    <x v="2"/>
    <n v="218"/>
    <x v="12"/>
    <n v="1.17"/>
    <n v="14.98"/>
    <s v="00517645"/>
    <x v="2"/>
  </r>
  <r>
    <s v="Mar-2012"/>
    <x v="0"/>
    <n v="24"/>
    <x v="4"/>
    <n v="0.46"/>
    <n v="5.68"/>
    <s v="00360305"/>
    <x v="2"/>
  </r>
  <r>
    <s v="Mar-2012"/>
    <x v="3"/>
    <n v="225"/>
    <x v="7"/>
    <n v="1"/>
    <n v="12.68"/>
    <s v="60746948"/>
    <x v="2"/>
  </r>
  <r>
    <s v="Mar-2012"/>
    <x v="2"/>
    <n v="53"/>
    <x v="19"/>
    <n v="0.83"/>
    <n v="10.44"/>
    <s v="33479023"/>
    <x v="2"/>
  </r>
  <r>
    <s v="Mar-2012"/>
    <x v="3"/>
    <n v="206"/>
    <x v="4"/>
    <n v="0.98"/>
    <n v="12.35"/>
    <s v="00360305"/>
    <x v="2"/>
  </r>
  <r>
    <s v="Mar-2012"/>
    <x v="1"/>
    <n v="367"/>
    <x v="16"/>
    <n v="0.72"/>
    <n v="8.99"/>
    <s v="17441197"/>
    <x v="2"/>
  </r>
  <r>
    <s v="Mar-2012"/>
    <x v="3"/>
    <n v="150"/>
    <x v="9"/>
    <n v="0.95"/>
    <n v="11.99"/>
    <s v="90400888"/>
    <x v="2"/>
  </r>
  <r>
    <s v="Mar-2012"/>
    <x v="2"/>
    <n v="45"/>
    <x v="20"/>
    <n v="0.8"/>
    <n v="10.01"/>
    <s v="87091716"/>
    <x v="2"/>
  </r>
  <r>
    <s v="Mar-2012"/>
    <x v="3"/>
    <n v="149"/>
    <x v="10"/>
    <n v="0.95"/>
    <n v="11.98"/>
    <s v="00000000"/>
    <x v="2"/>
  </r>
  <r>
    <s v="Abr-2012"/>
    <x v="0"/>
    <n v="1395"/>
    <x v="0"/>
    <n v="1.1499999999999999"/>
    <n v="14.74"/>
    <s v="00655522"/>
    <x v="3"/>
  </r>
  <r>
    <s v="Abr-2012"/>
    <x v="0"/>
    <n v="1382"/>
    <x v="2"/>
    <n v="0.92"/>
    <n v="11.58"/>
    <s v="60701190"/>
    <x v="3"/>
  </r>
  <r>
    <s v="Abr-2012"/>
    <x v="0"/>
    <n v="1236"/>
    <x v="3"/>
    <n v="0.81"/>
    <n v="10.14"/>
    <s v="01701201"/>
    <x v="3"/>
  </r>
  <r>
    <s v="Abr-2012"/>
    <x v="1"/>
    <n v="1188"/>
    <x v="1"/>
    <n v="1.74"/>
    <n v="23.04"/>
    <s v="02868100"/>
    <x v="3"/>
  </r>
  <r>
    <s v="Abr-2012"/>
    <x v="0"/>
    <n v="1211"/>
    <x v="5"/>
    <n v="0.8"/>
    <n v="10.029999999999999"/>
    <s v="17184037"/>
    <x v="3"/>
  </r>
  <r>
    <s v="Abr-2012"/>
    <x v="1"/>
    <n v="1167"/>
    <x v="6"/>
    <n v="1.57"/>
    <n v="20.53"/>
    <s v="14511781"/>
    <x v="3"/>
  </r>
  <r>
    <s v="Abr-2012"/>
    <x v="0"/>
    <n v="1126"/>
    <x v="7"/>
    <n v="0.77"/>
    <n v="9.66"/>
    <s v="60746948"/>
    <x v="3"/>
  </r>
  <r>
    <s v="Abr-2012"/>
    <x v="1"/>
    <n v="1164"/>
    <x v="4"/>
    <n v="1.54"/>
    <n v="20.190000000000001"/>
    <s v="00360305"/>
    <x v="3"/>
  </r>
  <r>
    <s v="Abr-2012"/>
    <x v="0"/>
    <n v="1041"/>
    <x v="9"/>
    <n v="0.75"/>
    <n v="9.4"/>
    <s v="90400888"/>
    <x v="3"/>
  </r>
  <r>
    <s v="Abr-2012"/>
    <x v="1"/>
    <n v="1059"/>
    <x v="10"/>
    <n v="1.19"/>
    <n v="15.27"/>
    <s v="00000000"/>
    <x v="3"/>
  </r>
  <r>
    <s v="Abr-2012"/>
    <x v="0"/>
    <n v="752"/>
    <x v="10"/>
    <n v="0.69"/>
    <n v="8.6300000000000008"/>
    <s v="00000000"/>
    <x v="3"/>
  </r>
  <r>
    <s v="Abr-2012"/>
    <x v="1"/>
    <n v="1027"/>
    <x v="12"/>
    <n v="1.1399999999999999"/>
    <n v="14.54"/>
    <s v="00517645"/>
    <x v="3"/>
  </r>
  <r>
    <s v="Abr-2012"/>
    <x v="0"/>
    <n v="724"/>
    <x v="13"/>
    <n v="0.69"/>
    <n v="8.57"/>
    <s v="00000208"/>
    <x v="3"/>
  </r>
  <r>
    <s v="Abr-2012"/>
    <x v="1"/>
    <n v="975"/>
    <x v="22"/>
    <n v="1.01"/>
    <n v="12.87"/>
    <s v="58160789"/>
    <x v="3"/>
  </r>
  <r>
    <s v="Abr-2012"/>
    <x v="0"/>
    <n v="624"/>
    <x v="11"/>
    <n v="0.67"/>
    <n v="8.31"/>
    <s v="28127603"/>
    <x v="3"/>
  </r>
  <r>
    <s v="Abr-2012"/>
    <x v="1"/>
    <n v="861"/>
    <x v="14"/>
    <n v="0.92"/>
    <n v="11.68"/>
    <s v="62237367"/>
    <x v="3"/>
  </r>
  <r>
    <s v="Abr-2012"/>
    <x v="0"/>
    <n v="534"/>
    <x v="15"/>
    <n v="0.64"/>
    <n v="7.92"/>
    <s v="13009717"/>
    <x v="3"/>
  </r>
  <r>
    <s v="Abr-2012"/>
    <x v="1"/>
    <n v="625"/>
    <x v="7"/>
    <n v="0.81"/>
    <n v="10.17"/>
    <s v="60746948"/>
    <x v="3"/>
  </r>
  <r>
    <s v="Abr-2012"/>
    <x v="2"/>
    <n v="432"/>
    <x v="17"/>
    <n v="1.89"/>
    <n v="25.26"/>
    <s v="00416968"/>
    <x v="3"/>
  </r>
  <r>
    <s v="Abr-2012"/>
    <x v="0"/>
    <n v="98"/>
    <x v="18"/>
    <n v="0.51"/>
    <n v="6.32"/>
    <s v="92702067"/>
    <x v="3"/>
  </r>
  <r>
    <s v="Abr-2012"/>
    <x v="2"/>
    <n v="409"/>
    <x v="3"/>
    <n v="1.54"/>
    <n v="20.079999999999998"/>
    <s v="01701201"/>
    <x v="3"/>
  </r>
  <r>
    <s v="Abr-2012"/>
    <x v="1"/>
    <n v="530"/>
    <x v="9"/>
    <n v="0.77"/>
    <n v="9.66"/>
    <s v="90400888"/>
    <x v="3"/>
  </r>
  <r>
    <s v="Abr-2012"/>
    <x v="2"/>
    <n v="355"/>
    <x v="14"/>
    <n v="1.43"/>
    <n v="18.600000000000001"/>
    <s v="62237367"/>
    <x v="3"/>
  </r>
  <r>
    <s v="Abr-2012"/>
    <x v="0"/>
    <n v="21"/>
    <x v="4"/>
    <n v="0.46"/>
    <n v="5.63"/>
    <s v="00360305"/>
    <x v="3"/>
  </r>
  <r>
    <s v="Abr-2012"/>
    <x v="3"/>
    <n v="254"/>
    <x v="7"/>
    <n v="1.04"/>
    <n v="13.18"/>
    <s v="60746948"/>
    <x v="3"/>
  </r>
  <r>
    <s v="Abr-2012"/>
    <x v="2"/>
    <n v="51"/>
    <x v="20"/>
    <n v="0.83"/>
    <n v="10.42"/>
    <s v="87091716"/>
    <x v="3"/>
  </r>
  <r>
    <s v="Abr-2012"/>
    <x v="3"/>
    <n v="199"/>
    <x v="9"/>
    <n v="0.97"/>
    <n v="12.31"/>
    <s v="90400888"/>
    <x v="3"/>
  </r>
  <r>
    <s v="Abr-2012"/>
    <x v="1"/>
    <n v="379"/>
    <x v="16"/>
    <n v="0.72"/>
    <n v="9.0299999999999994"/>
    <s v="17441197"/>
    <x v="3"/>
  </r>
  <r>
    <s v="Abr-2012"/>
    <x v="3"/>
    <n v="192"/>
    <x v="4"/>
    <n v="0.97"/>
    <n v="12.27"/>
    <s v="00360305"/>
    <x v="3"/>
  </r>
  <r>
    <s v="Abr-2012"/>
    <x v="2"/>
    <n v="39"/>
    <x v="19"/>
    <n v="0.79"/>
    <n v="9.8699999999999992"/>
    <s v="33479023"/>
    <x v="3"/>
  </r>
  <r>
    <s v="Abr-2012"/>
    <x v="3"/>
    <n v="138"/>
    <x v="10"/>
    <n v="0.94"/>
    <n v="11.85"/>
    <s v="00000000"/>
    <x v="3"/>
  </r>
  <r>
    <s v="Mai-2012"/>
    <x v="0"/>
    <n v="1398"/>
    <x v="0"/>
    <n v="1.17"/>
    <n v="14.94"/>
    <s v="00655522"/>
    <x v="4"/>
  </r>
  <r>
    <s v="Mai-2012"/>
    <x v="0"/>
    <n v="1384"/>
    <x v="2"/>
    <n v="0.92"/>
    <n v="11.62"/>
    <s v="60701190"/>
    <x v="4"/>
  </r>
  <r>
    <s v="Mai-2012"/>
    <x v="0"/>
    <n v="1297"/>
    <x v="5"/>
    <n v="0.84"/>
    <n v="10.51"/>
    <s v="17184037"/>
    <x v="4"/>
  </r>
  <r>
    <s v="Mai-2012"/>
    <x v="1"/>
    <n v="1199"/>
    <x v="1"/>
    <n v="1.82"/>
    <n v="24.22"/>
    <s v="02868100"/>
    <x v="4"/>
  </r>
  <r>
    <s v="Mai-2012"/>
    <x v="0"/>
    <n v="1224"/>
    <x v="3"/>
    <n v="0.8"/>
    <n v="10.09"/>
    <s v="01701201"/>
    <x v="4"/>
  </r>
  <r>
    <s v="Mai-2012"/>
    <x v="1"/>
    <n v="1086"/>
    <x v="4"/>
    <n v="1.28"/>
    <n v="16.420000000000002"/>
    <s v="00360305"/>
    <x v="4"/>
  </r>
  <r>
    <s v="Mai-2012"/>
    <x v="0"/>
    <n v="1116"/>
    <x v="7"/>
    <n v="0.77"/>
    <n v="9.64"/>
    <s v="60746948"/>
    <x v="4"/>
  </r>
  <r>
    <s v="Mai-2012"/>
    <x v="1"/>
    <n v="1078"/>
    <x v="10"/>
    <n v="1.23"/>
    <n v="15.84"/>
    <s v="00000000"/>
    <x v="4"/>
  </r>
  <r>
    <s v="Mai-2012"/>
    <x v="0"/>
    <n v="1022"/>
    <x v="9"/>
    <n v="0.75"/>
    <n v="9.35"/>
    <s v="90400888"/>
    <x v="4"/>
  </r>
  <r>
    <s v="Mai-2012"/>
    <x v="1"/>
    <n v="1060"/>
    <x v="6"/>
    <n v="1.19"/>
    <n v="15.27"/>
    <s v="14511781"/>
    <x v="4"/>
  </r>
  <r>
    <s v="Mai-2012"/>
    <x v="0"/>
    <n v="642"/>
    <x v="13"/>
    <n v="0.67"/>
    <n v="8.3699999999999992"/>
    <s v="00000208"/>
    <x v="4"/>
  </r>
  <r>
    <s v="Mai-2012"/>
    <x v="1"/>
    <n v="1023"/>
    <x v="12"/>
    <n v="1.1200000000000001"/>
    <n v="14.27"/>
    <s v="00517645"/>
    <x v="4"/>
  </r>
  <r>
    <s v="Mai-2012"/>
    <x v="0"/>
    <n v="639"/>
    <x v="11"/>
    <n v="0.67"/>
    <n v="8.36"/>
    <s v="28127603"/>
    <x v="4"/>
  </r>
  <r>
    <s v="Mai-2012"/>
    <x v="1"/>
    <n v="674"/>
    <x v="14"/>
    <n v="0.83"/>
    <n v="10.44"/>
    <s v="62237367"/>
    <x v="4"/>
  </r>
  <r>
    <s v="Mai-2012"/>
    <x v="0"/>
    <n v="612"/>
    <x v="10"/>
    <n v="0.66"/>
    <n v="8.24"/>
    <s v="00000000"/>
    <x v="4"/>
  </r>
  <r>
    <s v="Mai-2012"/>
    <x v="1"/>
    <n v="645"/>
    <x v="7"/>
    <n v="0.82"/>
    <n v="10.25"/>
    <s v="60746948"/>
    <x v="4"/>
  </r>
  <r>
    <s v="Mai-2012"/>
    <x v="2"/>
    <n v="449"/>
    <x v="17"/>
    <n v="2.12"/>
    <n v="28.57"/>
    <s v="00416968"/>
    <x v="4"/>
  </r>
  <r>
    <s v="Mai-2012"/>
    <x v="0"/>
    <n v="449"/>
    <x v="15"/>
    <n v="0.62"/>
    <n v="7.7"/>
    <s v="13009717"/>
    <x v="4"/>
  </r>
  <r>
    <s v="Mai-2012"/>
    <x v="2"/>
    <n v="407"/>
    <x v="3"/>
    <n v="1.53"/>
    <n v="20.04"/>
    <s v="01701201"/>
    <x v="4"/>
  </r>
  <r>
    <s v="Mai-2012"/>
    <x v="1"/>
    <n v="532"/>
    <x v="9"/>
    <n v="0.77"/>
    <n v="9.67"/>
    <s v="90400888"/>
    <x v="4"/>
  </r>
  <r>
    <s v="Mai-2012"/>
    <x v="2"/>
    <n v="387"/>
    <x v="14"/>
    <n v="1.48"/>
    <n v="19.28"/>
    <s v="62237367"/>
    <x v="4"/>
  </r>
  <r>
    <s v="Mai-2012"/>
    <x v="0"/>
    <n v="99"/>
    <x v="18"/>
    <n v="0.51"/>
    <n v="6.32"/>
    <s v="92702067"/>
    <x v="4"/>
  </r>
  <r>
    <s v="Mai-2012"/>
    <x v="2"/>
    <n v="270"/>
    <x v="9"/>
    <n v="1.26"/>
    <n v="16.239999999999998"/>
    <s v="90400888"/>
    <x v="4"/>
  </r>
  <r>
    <s v="Mai-2012"/>
    <x v="1"/>
    <n v="375"/>
    <x v="16"/>
    <n v="0.72"/>
    <n v="9.02"/>
    <s v="17441197"/>
    <x v="4"/>
  </r>
  <r>
    <s v="Mai-2012"/>
    <x v="2"/>
    <n v="250"/>
    <x v="10"/>
    <n v="1.23"/>
    <n v="15.81"/>
    <s v="00000000"/>
    <x v="4"/>
  </r>
  <r>
    <s v="Mai-2012"/>
    <x v="3"/>
    <n v="258"/>
    <x v="7"/>
    <n v="1.05"/>
    <n v="13.39"/>
    <s v="60746948"/>
    <x v="4"/>
  </r>
  <r>
    <s v="Mai-2012"/>
    <x v="0"/>
    <n v="17"/>
    <x v="4"/>
    <n v="0.45"/>
    <n v="5.58"/>
    <s v="00360305"/>
    <x v="4"/>
  </r>
  <r>
    <s v="Mai-2012"/>
    <x v="3"/>
    <n v="208"/>
    <x v="4"/>
    <n v="0.98"/>
    <n v="12.35"/>
    <s v="00360305"/>
    <x v="4"/>
  </r>
  <r>
    <s v="Mai-2012"/>
    <x v="2"/>
    <n v="65"/>
    <x v="20"/>
    <n v="0.87"/>
    <n v="10.9"/>
    <s v="87091716"/>
    <x v="4"/>
  </r>
  <r>
    <s v="Mai-2012"/>
    <x v="3"/>
    <n v="144"/>
    <x v="10"/>
    <n v="0.94"/>
    <n v="11.94"/>
    <s v="00000000"/>
    <x v="4"/>
  </r>
  <r>
    <s v="Mai-2012"/>
    <x v="1"/>
    <n v="174"/>
    <x v="15"/>
    <n v="0.6"/>
    <n v="7.5"/>
    <s v="13009717"/>
    <x v="4"/>
  </r>
  <r>
    <s v="Mai-2012"/>
    <x v="3"/>
    <n v="108"/>
    <x v="9"/>
    <n v="0.91"/>
    <n v="11.49"/>
    <s v="90400888"/>
    <x v="4"/>
  </r>
  <r>
    <s v="Mai-2012"/>
    <x v="2"/>
    <n v="35"/>
    <x v="19"/>
    <n v="0.76"/>
    <n v="9.57"/>
    <s v="33479023"/>
    <x v="4"/>
  </r>
  <r>
    <s v="Mai-2012"/>
    <x v="3"/>
    <n v="12"/>
    <x v="2"/>
    <n v="0.49"/>
    <n v="6.01"/>
    <s v="60701190"/>
    <x v="4"/>
  </r>
  <r>
    <s v="Jun-2012"/>
    <x v="0"/>
    <n v="1396"/>
    <x v="0"/>
    <n v="1.1599999999999999"/>
    <n v="14.83"/>
    <s v="00655522"/>
    <x v="5"/>
  </r>
  <r>
    <s v="Jun-2012"/>
    <x v="0"/>
    <n v="1385"/>
    <x v="2"/>
    <n v="0.93"/>
    <n v="11.78"/>
    <s v="60701190"/>
    <x v="5"/>
  </r>
  <r>
    <s v="Jun-2012"/>
    <x v="1"/>
    <n v="1206"/>
    <x v="1"/>
    <n v="1.9"/>
    <n v="25.34"/>
    <s v="02868100"/>
    <x v="5"/>
  </r>
  <r>
    <s v="Jun-2012"/>
    <x v="0"/>
    <n v="1289"/>
    <x v="5"/>
    <n v="0.83"/>
    <n v="10.49"/>
    <s v="17184037"/>
    <x v="5"/>
  </r>
  <r>
    <s v="Jun-2012"/>
    <x v="1"/>
    <n v="1140"/>
    <x v="8"/>
    <n v="1.46"/>
    <n v="18.97"/>
    <s v="10694628"/>
    <x v="5"/>
  </r>
  <r>
    <s v="Jun-2012"/>
    <x v="0"/>
    <n v="1190"/>
    <x v="3"/>
    <n v="0.8"/>
    <n v="9.9700000000000006"/>
    <s v="01701201"/>
    <x v="5"/>
  </r>
  <r>
    <s v="Jun-2012"/>
    <x v="1"/>
    <n v="1119"/>
    <x v="6"/>
    <n v="1.38"/>
    <n v="17.89"/>
    <s v="14511781"/>
    <x v="5"/>
  </r>
  <r>
    <s v="Jun-2012"/>
    <x v="0"/>
    <n v="1101"/>
    <x v="7"/>
    <n v="0.77"/>
    <n v="9.59"/>
    <s v="60746948"/>
    <x v="5"/>
  </r>
  <r>
    <s v="Jun-2012"/>
    <x v="1"/>
    <n v="1084"/>
    <x v="10"/>
    <n v="1.27"/>
    <n v="16.32"/>
    <s v="00000000"/>
    <x v="5"/>
  </r>
  <r>
    <s v="Jun-2012"/>
    <x v="0"/>
    <n v="994"/>
    <x v="9"/>
    <n v="0.74"/>
    <n v="9.26"/>
    <s v="90400888"/>
    <x v="5"/>
  </r>
  <r>
    <s v="Jun-2012"/>
    <x v="1"/>
    <n v="990"/>
    <x v="4"/>
    <n v="1.05"/>
    <n v="13.37"/>
    <s v="00360305"/>
    <x v="5"/>
  </r>
  <r>
    <s v="Jun-2012"/>
    <x v="0"/>
    <n v="764"/>
    <x v="13"/>
    <n v="0.69"/>
    <n v="8.66"/>
    <s v="00000208"/>
    <x v="5"/>
  </r>
  <r>
    <s v="Jun-2012"/>
    <x v="1"/>
    <n v="951"/>
    <x v="12"/>
    <n v="0.98"/>
    <n v="12.48"/>
    <s v="00517645"/>
    <x v="5"/>
  </r>
  <r>
    <s v="Jun-2012"/>
    <x v="0"/>
    <n v="613"/>
    <x v="11"/>
    <n v="0.66"/>
    <n v="8.24"/>
    <s v="28127603"/>
    <x v="5"/>
  </r>
  <r>
    <s v="Jun-2012"/>
    <x v="1"/>
    <n v="661"/>
    <x v="14"/>
    <n v="0.82"/>
    <n v="10.32"/>
    <s v="62237367"/>
    <x v="5"/>
  </r>
  <r>
    <s v="Jun-2012"/>
    <x v="0"/>
    <n v="565"/>
    <x v="10"/>
    <n v="0.64"/>
    <n v="8.02"/>
    <s v="00000000"/>
    <x v="5"/>
  </r>
  <r>
    <s v="Jun-2012"/>
    <x v="1"/>
    <n v="584"/>
    <x v="7"/>
    <n v="0.8"/>
    <n v="9.99"/>
    <s v="60746948"/>
    <x v="5"/>
  </r>
  <r>
    <s v="Jun-2012"/>
    <x v="0"/>
    <n v="401"/>
    <x v="15"/>
    <n v="0.61"/>
    <n v="7.53"/>
    <s v="13009717"/>
    <x v="5"/>
  </r>
  <r>
    <s v="Jun-2012"/>
    <x v="2"/>
    <n v="448"/>
    <x v="17"/>
    <n v="2.0699999999999998"/>
    <n v="27.89"/>
    <s v="00416968"/>
    <x v="5"/>
  </r>
  <r>
    <s v="Jun-2012"/>
    <x v="1"/>
    <n v="494"/>
    <x v="15"/>
    <n v="0.76"/>
    <n v="9.5"/>
    <s v="13009717"/>
    <x v="5"/>
  </r>
  <r>
    <s v="Jun-2012"/>
    <x v="2"/>
    <n v="412"/>
    <x v="3"/>
    <n v="1.55"/>
    <n v="20.34"/>
    <s v="01701201"/>
    <x v="5"/>
  </r>
  <r>
    <s v="Jun-2012"/>
    <x v="0"/>
    <n v="114"/>
    <x v="18"/>
    <n v="0.52"/>
    <n v="6.43"/>
    <s v="92702067"/>
    <x v="5"/>
  </r>
  <r>
    <s v="Jun-2012"/>
    <x v="2"/>
    <n v="342"/>
    <x v="14"/>
    <n v="1.42"/>
    <n v="18.5"/>
    <s v="62237367"/>
    <x v="5"/>
  </r>
  <r>
    <s v="Jun-2012"/>
    <x v="1"/>
    <n v="483"/>
    <x v="9"/>
    <n v="0.75"/>
    <n v="9.44"/>
    <s v="90400888"/>
    <x v="5"/>
  </r>
  <r>
    <s v="Jun-2012"/>
    <x v="2"/>
    <n v="242"/>
    <x v="10"/>
    <n v="1.22"/>
    <n v="15.65"/>
    <s v="00000000"/>
    <x v="5"/>
  </r>
  <r>
    <s v="Jun-2012"/>
    <x v="3"/>
    <n v="183"/>
    <x v="7"/>
    <n v="0.96"/>
    <n v="12.19"/>
    <s v="60746948"/>
    <x v="5"/>
  </r>
  <r>
    <s v="Jun-2012"/>
    <x v="0"/>
    <n v="31"/>
    <x v="4"/>
    <n v="0.47"/>
    <n v="5.73"/>
    <s v="00360305"/>
    <x v="5"/>
  </r>
  <r>
    <s v="Jun-2012"/>
    <x v="3"/>
    <n v="172"/>
    <x v="4"/>
    <n v="0.96"/>
    <n v="12.14"/>
    <s v="00360305"/>
    <x v="5"/>
  </r>
  <r>
    <s v="Jun-2012"/>
    <x v="2"/>
    <n v="62"/>
    <x v="20"/>
    <n v="0.85"/>
    <n v="10.69"/>
    <s v="87091716"/>
    <x v="5"/>
  </r>
  <r>
    <s v="Jun-2012"/>
    <x v="3"/>
    <n v="145"/>
    <x v="9"/>
    <n v="0.94"/>
    <n v="11.94"/>
    <s v="90400888"/>
    <x v="5"/>
  </r>
  <r>
    <s v="Jun-2012"/>
    <x v="1"/>
    <n v="353"/>
    <x v="16"/>
    <n v="0.72"/>
    <n v="8.93"/>
    <s v="17441197"/>
    <x v="5"/>
  </r>
  <r>
    <s v="Jun-2012"/>
    <x v="3"/>
    <n v="132"/>
    <x v="10"/>
    <n v="0.93"/>
    <n v="11.72"/>
    <s v="00000000"/>
    <x v="5"/>
  </r>
  <r>
    <s v="Jun-2012"/>
    <x v="2"/>
    <n v="36"/>
    <x v="19"/>
    <n v="0.76"/>
    <n v="9.57"/>
    <s v="33479023"/>
    <x v="5"/>
  </r>
  <r>
    <s v="Jun-2012"/>
    <x v="3"/>
    <n v="48"/>
    <x v="2"/>
    <n v="0.77"/>
    <n v="9.6199999999999992"/>
    <s v="60701190"/>
    <x v="5"/>
  </r>
  <r>
    <s v="Jul-2012"/>
    <x v="0"/>
    <n v="1397"/>
    <x v="0"/>
    <n v="1.1599999999999999"/>
    <n v="14.85"/>
    <s v="00655522"/>
    <x v="6"/>
  </r>
  <r>
    <s v="Jul-2012"/>
    <x v="0"/>
    <n v="1383"/>
    <x v="2"/>
    <n v="0.92"/>
    <n v="11.59"/>
    <s v="60701190"/>
    <x v="6"/>
  </r>
  <r>
    <s v="Jul-2012"/>
    <x v="0"/>
    <n v="1288"/>
    <x v="5"/>
    <n v="0.83"/>
    <n v="10.49"/>
    <s v="17184037"/>
    <x v="6"/>
  </r>
  <r>
    <s v="Jul-2012"/>
    <x v="1"/>
    <n v="1204"/>
    <x v="1"/>
    <n v="1.87"/>
    <n v="24.89"/>
    <s v="02868100"/>
    <x v="6"/>
  </r>
  <r>
    <s v="Jul-2012"/>
    <x v="0"/>
    <n v="1210"/>
    <x v="3"/>
    <n v="0.8"/>
    <n v="10.029999999999999"/>
    <s v="01701201"/>
    <x v="6"/>
  </r>
  <r>
    <s v="Jul-2012"/>
    <x v="1"/>
    <n v="1131"/>
    <x v="6"/>
    <n v="1.42"/>
    <n v="18.399999999999999"/>
    <s v="14511781"/>
    <x v="6"/>
  </r>
  <r>
    <s v="Jul-2012"/>
    <x v="0"/>
    <n v="1091"/>
    <x v="7"/>
    <n v="0.76"/>
    <n v="9.56"/>
    <s v="60746948"/>
    <x v="6"/>
  </r>
  <r>
    <s v="Jul-2012"/>
    <x v="1"/>
    <n v="1057"/>
    <x v="10"/>
    <n v="1.19"/>
    <n v="15.25"/>
    <s v="00000000"/>
    <x v="6"/>
  </r>
  <r>
    <s v="Jul-2012"/>
    <x v="0"/>
    <n v="946"/>
    <x v="9"/>
    <n v="0.73"/>
    <n v="9.16"/>
    <s v="90400888"/>
    <x v="6"/>
  </r>
  <r>
    <s v="Jul-2012"/>
    <x v="1"/>
    <n v="982"/>
    <x v="4"/>
    <n v="1.03"/>
    <n v="13.02"/>
    <s v="00360305"/>
    <x v="6"/>
  </r>
  <r>
    <s v="Jul-2012"/>
    <x v="0"/>
    <n v="587"/>
    <x v="10"/>
    <n v="0.65"/>
    <n v="8.1300000000000008"/>
    <s v="00000000"/>
    <x v="6"/>
  </r>
  <r>
    <s v="Jul-2012"/>
    <x v="1"/>
    <n v="980"/>
    <x v="12"/>
    <n v="1.02"/>
    <n v="12.95"/>
    <s v="00517645"/>
    <x v="6"/>
  </r>
  <r>
    <s v="Jul-2012"/>
    <x v="0"/>
    <n v="572"/>
    <x v="13"/>
    <n v="0.65"/>
    <n v="8.06"/>
    <s v="00000208"/>
    <x v="6"/>
  </r>
  <r>
    <s v="Jul-2012"/>
    <x v="1"/>
    <n v="647"/>
    <x v="14"/>
    <n v="0.82"/>
    <n v="10.26"/>
    <s v="62237367"/>
    <x v="6"/>
  </r>
  <r>
    <s v="Jul-2012"/>
    <x v="0"/>
    <n v="540"/>
    <x v="11"/>
    <n v="0.64"/>
    <n v="7.94"/>
    <s v="28127603"/>
    <x v="6"/>
  </r>
  <r>
    <s v="Jul-2012"/>
    <x v="1"/>
    <n v="571"/>
    <x v="7"/>
    <n v="0.79"/>
    <n v="9.9"/>
    <s v="60746948"/>
    <x v="6"/>
  </r>
  <r>
    <s v="Jul-2012"/>
    <x v="2"/>
    <n v="445"/>
    <x v="17"/>
    <n v="2"/>
    <n v="26.77"/>
    <s v="00416968"/>
    <x v="6"/>
  </r>
  <r>
    <s v="Jul-2012"/>
    <x v="0"/>
    <n v="392"/>
    <x v="15"/>
    <n v="0.61"/>
    <n v="7.51"/>
    <s v="13009717"/>
    <x v="6"/>
  </r>
  <r>
    <s v="Jul-2012"/>
    <x v="2"/>
    <n v="398"/>
    <x v="3"/>
    <n v="1.51"/>
    <n v="19.73"/>
    <s v="01701201"/>
    <x v="6"/>
  </r>
  <r>
    <s v="Jul-2012"/>
    <x v="1"/>
    <n v="455"/>
    <x v="9"/>
    <n v="0.75"/>
    <n v="9.34"/>
    <s v="90400888"/>
    <x v="6"/>
  </r>
  <r>
    <s v="Jul-2012"/>
    <x v="2"/>
    <n v="341"/>
    <x v="14"/>
    <n v="1.42"/>
    <n v="18.5"/>
    <s v="62237367"/>
    <x v="6"/>
  </r>
  <r>
    <s v="Jul-2012"/>
    <x v="0"/>
    <n v="153"/>
    <x v="18"/>
    <n v="0.53"/>
    <n v="6.56"/>
    <s v="92702067"/>
    <x v="6"/>
  </r>
  <r>
    <s v="Jul-2012"/>
    <x v="2"/>
    <n v="281"/>
    <x v="10"/>
    <n v="1.28"/>
    <n v="16.510000000000002"/>
    <s v="00000000"/>
    <x v="6"/>
  </r>
  <r>
    <s v="Jul-2012"/>
    <x v="1"/>
    <n v="276"/>
    <x v="16"/>
    <n v="0.69"/>
    <n v="8.57"/>
    <s v="17441197"/>
    <x v="6"/>
  </r>
  <r>
    <s v="Jul-2012"/>
    <x v="2"/>
    <n v="219"/>
    <x v="21"/>
    <n v="1.17"/>
    <n v="15"/>
    <s v="92894922"/>
    <x v="6"/>
  </r>
  <r>
    <s v="Jul-2012"/>
    <x v="3"/>
    <n v="252"/>
    <x v="7"/>
    <n v="1.03"/>
    <n v="13.12"/>
    <s v="60746948"/>
    <x v="6"/>
  </r>
  <r>
    <s v="Jul-2012"/>
    <x v="0"/>
    <n v="26"/>
    <x v="4"/>
    <n v="0.46"/>
    <n v="5.71"/>
    <s v="00360305"/>
    <x v="6"/>
  </r>
  <r>
    <s v="Jul-2012"/>
    <x v="3"/>
    <n v="227"/>
    <x v="4"/>
    <n v="1"/>
    <n v="12.7"/>
    <s v="00360305"/>
    <x v="6"/>
  </r>
  <r>
    <s v="Jul-2012"/>
    <x v="2"/>
    <n v="73"/>
    <x v="20"/>
    <n v="0.9"/>
    <n v="11.3"/>
    <s v="87091716"/>
    <x v="6"/>
  </r>
  <r>
    <s v="Jul-2012"/>
    <x v="3"/>
    <n v="134"/>
    <x v="10"/>
    <n v="0.93"/>
    <n v="11.77"/>
    <s v="00000000"/>
    <x v="6"/>
  </r>
  <r>
    <s v="Jul-2012"/>
    <x v="1"/>
    <n v="173"/>
    <x v="15"/>
    <n v="0.6"/>
    <n v="7.5"/>
    <s v="13009717"/>
    <x v="6"/>
  </r>
  <r>
    <s v="Jul-2012"/>
    <x v="3"/>
    <n v="124"/>
    <x v="9"/>
    <n v="0.92"/>
    <n v="11.56"/>
    <s v="90400888"/>
    <x v="6"/>
  </r>
  <r>
    <s v="Jul-2012"/>
    <x v="2"/>
    <n v="31"/>
    <x v="19"/>
    <n v="0.76"/>
    <n v="9.4499999999999993"/>
    <s v="33479023"/>
    <x v="6"/>
  </r>
  <r>
    <s v="Jul-2012"/>
    <x v="3"/>
    <n v="109"/>
    <x v="18"/>
    <n v="0.91"/>
    <n v="11.49"/>
    <s v="92702067"/>
    <x v="6"/>
  </r>
  <r>
    <s v="Ago-2012"/>
    <x v="0"/>
    <n v="1400"/>
    <x v="0"/>
    <n v="1.2"/>
    <n v="15.44"/>
    <s v="00655522"/>
    <x v="7"/>
  </r>
  <r>
    <s v="Ago-2012"/>
    <x v="1"/>
    <n v="1189"/>
    <x v="1"/>
    <n v="1.75"/>
    <n v="23.17"/>
    <s v="02868100"/>
    <x v="7"/>
  </r>
  <r>
    <s v="Ago-2012"/>
    <x v="0"/>
    <n v="1356"/>
    <x v="2"/>
    <n v="0.89"/>
    <n v="11.19"/>
    <s v="60701190"/>
    <x v="7"/>
  </r>
  <r>
    <s v="Ago-2012"/>
    <x v="1"/>
    <n v="1105"/>
    <x v="6"/>
    <n v="1.33"/>
    <n v="17.12"/>
    <s v="14511781"/>
    <x v="7"/>
  </r>
  <r>
    <s v="Ago-2012"/>
    <x v="0"/>
    <n v="1165"/>
    <x v="3"/>
    <n v="0.79"/>
    <n v="9.8699999999999992"/>
    <s v="01701201"/>
    <x v="7"/>
  </r>
  <r>
    <s v="Ago-2012"/>
    <x v="1"/>
    <n v="1064"/>
    <x v="10"/>
    <n v="1.2"/>
    <n v="15.35"/>
    <s v="00000000"/>
    <x v="7"/>
  </r>
  <r>
    <s v="Ago-2012"/>
    <x v="0"/>
    <n v="1063"/>
    <x v="7"/>
    <n v="0.76"/>
    <n v="9.4700000000000006"/>
    <s v="60746948"/>
    <x v="7"/>
  </r>
  <r>
    <s v="Ago-2012"/>
    <x v="1"/>
    <n v="1033"/>
    <x v="8"/>
    <n v="1.1499999999999999"/>
    <n v="14.68"/>
    <s v="10694628"/>
    <x v="7"/>
  </r>
  <r>
    <s v="Ago-2012"/>
    <x v="0"/>
    <n v="877"/>
    <x v="9"/>
    <n v="0.72"/>
    <n v="8.94"/>
    <s v="90400888"/>
    <x v="7"/>
  </r>
  <r>
    <s v="Ago-2012"/>
    <x v="1"/>
    <n v="998"/>
    <x v="12"/>
    <n v="1.07"/>
    <n v="13.62"/>
    <s v="00517645"/>
    <x v="7"/>
  </r>
  <r>
    <s v="Ago-2012"/>
    <x v="0"/>
    <n v="594"/>
    <x v="10"/>
    <n v="0.66"/>
    <n v="8.18"/>
    <s v="00000000"/>
    <x v="7"/>
  </r>
  <r>
    <s v="Ago-2012"/>
    <x v="1"/>
    <n v="996"/>
    <x v="4"/>
    <n v="1.06"/>
    <n v="13.53"/>
    <s v="00360305"/>
    <x v="7"/>
  </r>
  <r>
    <s v="Ago-2012"/>
    <x v="0"/>
    <n v="555"/>
    <x v="11"/>
    <n v="0.64"/>
    <n v="7.98"/>
    <s v="28127603"/>
    <x v="7"/>
  </r>
  <r>
    <s v="Ago-2012"/>
    <x v="1"/>
    <n v="643"/>
    <x v="14"/>
    <n v="0.81"/>
    <n v="10.23"/>
    <s v="62237367"/>
    <x v="7"/>
  </r>
  <r>
    <s v="Ago-2012"/>
    <x v="0"/>
    <n v="552"/>
    <x v="13"/>
    <n v="0.64"/>
    <n v="7.97"/>
    <s v="00000208"/>
    <x v="7"/>
  </r>
  <r>
    <s v="Ago-2012"/>
    <x v="2"/>
    <n v="442"/>
    <x v="17"/>
    <n v="1.96"/>
    <n v="26.28"/>
    <s v="00416968"/>
    <x v="7"/>
  </r>
  <r>
    <s v="Ago-2012"/>
    <x v="1"/>
    <n v="561"/>
    <x v="7"/>
    <n v="0.78"/>
    <n v="9.83"/>
    <s v="60746948"/>
    <x v="7"/>
  </r>
  <r>
    <s v="Ago-2012"/>
    <x v="2"/>
    <n v="397"/>
    <x v="3"/>
    <n v="1.51"/>
    <n v="19.71"/>
    <s v="01701201"/>
    <x v="7"/>
  </r>
  <r>
    <s v="Ago-2012"/>
    <x v="0"/>
    <n v="319"/>
    <x v="15"/>
    <n v="0.6"/>
    <n v="7.38"/>
    <s v="13009717"/>
    <x v="7"/>
  </r>
  <r>
    <s v="Ago-2012"/>
    <x v="2"/>
    <n v="365"/>
    <x v="14"/>
    <n v="1.45"/>
    <n v="18.88"/>
    <s v="62237367"/>
    <x v="7"/>
  </r>
  <r>
    <s v="Ago-2012"/>
    <x v="1"/>
    <n v="419"/>
    <x v="9"/>
    <n v="0.73"/>
    <n v="9.18"/>
    <s v="90400888"/>
    <x v="7"/>
  </r>
  <r>
    <s v="Ago-2012"/>
    <x v="2"/>
    <n v="290"/>
    <x v="12"/>
    <n v="1.32"/>
    <n v="17.04"/>
    <s v="00517645"/>
    <x v="7"/>
  </r>
  <r>
    <s v="Ago-2012"/>
    <x v="0"/>
    <n v="60"/>
    <x v="18"/>
    <n v="0.49"/>
    <n v="6.09"/>
    <s v="92702067"/>
    <x v="7"/>
  </r>
  <r>
    <s v="Ago-2012"/>
    <x v="2"/>
    <n v="262"/>
    <x v="9"/>
    <n v="1.26"/>
    <n v="16.23"/>
    <s v="90400888"/>
    <x v="7"/>
  </r>
  <r>
    <s v="Ago-2012"/>
    <x v="1"/>
    <n v="280"/>
    <x v="16"/>
    <n v="0.69"/>
    <n v="8.58"/>
    <s v="17441197"/>
    <x v="7"/>
  </r>
  <r>
    <s v="Ago-2012"/>
    <x v="2"/>
    <n v="220"/>
    <x v="10"/>
    <n v="1.17"/>
    <n v="15.03"/>
    <s v="00000000"/>
    <x v="7"/>
  </r>
  <r>
    <s v="Ago-2012"/>
    <x v="0"/>
    <n v="29"/>
    <x v="4"/>
    <n v="0.46"/>
    <n v="5.72"/>
    <s v="00360305"/>
    <x v="7"/>
  </r>
  <r>
    <s v="Ago-2012"/>
    <x v="3"/>
    <n v="219"/>
    <x v="4"/>
    <n v="0.99"/>
    <n v="12.49"/>
    <s v="00360305"/>
    <x v="7"/>
  </r>
  <r>
    <s v="Ago-2012"/>
    <x v="2"/>
    <n v="59"/>
    <x v="20"/>
    <n v="0.84"/>
    <n v="10.56"/>
    <s v="87091716"/>
    <x v="7"/>
  </r>
  <r>
    <s v="Ago-2012"/>
    <x v="3"/>
    <n v="140"/>
    <x v="10"/>
    <n v="0.94"/>
    <n v="11.92"/>
    <s v="00000000"/>
    <x v="7"/>
  </r>
  <r>
    <s v="Ago-2012"/>
    <x v="1"/>
    <n v="217"/>
    <x v="15"/>
    <n v="0.64"/>
    <n v="7.9"/>
    <s v="13009717"/>
    <x v="7"/>
  </r>
  <r>
    <s v="Ago-2012"/>
    <x v="3"/>
    <n v="136"/>
    <x v="9"/>
    <n v="0.93"/>
    <n v="11.8"/>
    <s v="90400888"/>
    <x v="7"/>
  </r>
  <r>
    <s v="Ago-2012"/>
    <x v="2"/>
    <n v="29"/>
    <x v="19"/>
    <n v="0.75"/>
    <n v="9.3800000000000008"/>
    <s v="33479023"/>
    <x v="7"/>
  </r>
  <r>
    <s v="Ago-2012"/>
    <x v="3"/>
    <n v="47"/>
    <x v="2"/>
    <n v="0.76"/>
    <n v="9.5"/>
    <s v="60701190"/>
    <x v="7"/>
  </r>
  <r>
    <s v="Set-2012"/>
    <x v="0"/>
    <n v="1405"/>
    <x v="0"/>
    <n v="1.37"/>
    <n v="17.68"/>
    <s v="00655522"/>
    <x v="8"/>
  </r>
  <r>
    <s v="Set-2012"/>
    <x v="0"/>
    <n v="1351"/>
    <x v="2"/>
    <n v="0.87"/>
    <n v="10.94"/>
    <s v="60701190"/>
    <x v="8"/>
  </r>
  <r>
    <s v="Set-2012"/>
    <x v="1"/>
    <n v="1201"/>
    <x v="1"/>
    <n v="1.83"/>
    <n v="24.26"/>
    <s v="02868100"/>
    <x v="8"/>
  </r>
  <r>
    <s v="Set-2012"/>
    <x v="0"/>
    <n v="1125"/>
    <x v="3"/>
    <n v="0.77"/>
    <n v="9.66"/>
    <s v="01701201"/>
    <x v="8"/>
  </r>
  <r>
    <s v="Set-2012"/>
    <x v="1"/>
    <n v="1139"/>
    <x v="6"/>
    <n v="1.45"/>
    <n v="18.920000000000002"/>
    <s v="14511781"/>
    <x v="8"/>
  </r>
  <r>
    <s v="Set-2012"/>
    <x v="0"/>
    <n v="1056"/>
    <x v="7"/>
    <n v="0.76"/>
    <n v="9.4499999999999993"/>
    <s v="60746948"/>
    <x v="8"/>
  </r>
  <r>
    <s v="Set-2012"/>
    <x v="1"/>
    <n v="1051"/>
    <x v="10"/>
    <n v="1.18"/>
    <n v="15.05"/>
    <s v="00000000"/>
    <x v="8"/>
  </r>
  <r>
    <s v="Set-2012"/>
    <x v="0"/>
    <n v="849"/>
    <x v="9"/>
    <n v="0.71"/>
    <n v="8.85"/>
    <s v="90400888"/>
    <x v="8"/>
  </r>
  <r>
    <s v="Set-2012"/>
    <x v="1"/>
    <n v="1030"/>
    <x v="4"/>
    <n v="1.1399999999999999"/>
    <n v="14.61"/>
    <s v="00360305"/>
    <x v="8"/>
  </r>
  <r>
    <s v="Set-2012"/>
    <x v="0"/>
    <n v="527"/>
    <x v="13"/>
    <n v="0.64"/>
    <n v="7.9"/>
    <s v="00000208"/>
    <x v="8"/>
  </r>
  <r>
    <s v="Set-2012"/>
    <x v="1"/>
    <n v="1012"/>
    <x v="12"/>
    <n v="1.1000000000000001"/>
    <n v="14.03"/>
    <s v="00517645"/>
    <x v="8"/>
  </r>
  <r>
    <s v="Set-2012"/>
    <x v="0"/>
    <n v="496"/>
    <x v="10"/>
    <n v="0.63"/>
    <n v="7.82"/>
    <s v="00000000"/>
    <x v="8"/>
  </r>
  <r>
    <s v="Set-2012"/>
    <x v="1"/>
    <n v="1006"/>
    <x v="8"/>
    <n v="1.08"/>
    <n v="13.78"/>
    <s v="10694628"/>
    <x v="8"/>
  </r>
  <r>
    <s v="Set-2012"/>
    <x v="0"/>
    <n v="493"/>
    <x v="11"/>
    <n v="0.63"/>
    <n v="7.81"/>
    <s v="28127603"/>
    <x v="8"/>
  </r>
  <r>
    <s v="Set-2012"/>
    <x v="1"/>
    <n v="594"/>
    <x v="14"/>
    <n v="0.8"/>
    <n v="10.029999999999999"/>
    <s v="62237367"/>
    <x v="8"/>
  </r>
  <r>
    <s v="Set-2012"/>
    <x v="0"/>
    <n v="404"/>
    <x v="15"/>
    <n v="0.61"/>
    <n v="7.54"/>
    <s v="13009717"/>
    <x v="8"/>
  </r>
  <r>
    <s v="Set-2012"/>
    <x v="2"/>
    <n v="444"/>
    <x v="17"/>
    <n v="1.99"/>
    <n v="26.67"/>
    <s v="00416968"/>
    <x v="8"/>
  </r>
  <r>
    <s v="Set-2012"/>
    <x v="1"/>
    <n v="520"/>
    <x v="7"/>
    <n v="0.77"/>
    <n v="9.6199999999999992"/>
    <s v="60746948"/>
    <x v="8"/>
  </r>
  <r>
    <s v="Set-2012"/>
    <x v="2"/>
    <n v="362"/>
    <x v="3"/>
    <n v="1.44"/>
    <n v="18.760000000000002"/>
    <s v="01701201"/>
    <x v="8"/>
  </r>
  <r>
    <s v="Set-2012"/>
    <x v="0"/>
    <n v="71"/>
    <x v="18"/>
    <n v="0.5"/>
    <n v="6.14"/>
    <s v="92702067"/>
    <x v="8"/>
  </r>
  <r>
    <s v="Set-2012"/>
    <x v="2"/>
    <n v="346"/>
    <x v="14"/>
    <n v="1.42"/>
    <n v="18.5"/>
    <s v="62237367"/>
    <x v="8"/>
  </r>
  <r>
    <s v="Set-2012"/>
    <x v="1"/>
    <n v="436"/>
    <x v="9"/>
    <n v="0.74"/>
    <n v="9.25"/>
    <s v="90400888"/>
    <x v="8"/>
  </r>
  <r>
    <s v="Set-2012"/>
    <x v="2"/>
    <n v="266"/>
    <x v="9"/>
    <n v="1.26"/>
    <n v="16.23"/>
    <s v="90400888"/>
    <x v="8"/>
  </r>
  <r>
    <s v="Set-2012"/>
    <x v="0"/>
    <n v="34"/>
    <x v="4"/>
    <n v="0.47"/>
    <n v="5.74"/>
    <s v="00360305"/>
    <x v="8"/>
  </r>
  <r>
    <s v="Set-2012"/>
    <x v="3"/>
    <n v="207"/>
    <x v="4"/>
    <n v="0.98"/>
    <n v="12.35"/>
    <s v="00360305"/>
    <x v="8"/>
  </r>
  <r>
    <s v="Set-2012"/>
    <x v="2"/>
    <n v="87"/>
    <x v="20"/>
    <n v="0.94"/>
    <n v="11.85"/>
    <s v="87091716"/>
    <x v="8"/>
  </r>
  <r>
    <s v="Set-2012"/>
    <x v="3"/>
    <n v="193"/>
    <x v="10"/>
    <n v="0.97"/>
    <n v="12.27"/>
    <s v="00000000"/>
    <x v="8"/>
  </r>
  <r>
    <s v="Set-2012"/>
    <x v="1"/>
    <n v="349"/>
    <x v="16"/>
    <n v="0.71"/>
    <n v="8.89"/>
    <s v="17441197"/>
    <x v="8"/>
  </r>
  <r>
    <s v="Set-2012"/>
    <x v="3"/>
    <n v="80"/>
    <x v="9"/>
    <n v="0.85"/>
    <n v="10.71"/>
    <s v="90400888"/>
    <x v="8"/>
  </r>
  <r>
    <s v="Set-2012"/>
    <x v="2"/>
    <n v="34"/>
    <x v="19"/>
    <n v="0.76"/>
    <n v="9.49"/>
    <s v="33479023"/>
    <x v="8"/>
  </r>
  <r>
    <s v="Set-2012"/>
    <x v="3"/>
    <n v="55"/>
    <x v="2"/>
    <n v="0.8"/>
    <n v="10.029999999999999"/>
    <s v="60701190"/>
    <x v="8"/>
  </r>
  <r>
    <s v="Out-2012"/>
    <x v="0"/>
    <n v="1406"/>
    <x v="0"/>
    <n v="1.37"/>
    <n v="17.739999999999998"/>
    <s v="00655522"/>
    <x v="9"/>
  </r>
  <r>
    <s v="Out-2012"/>
    <x v="0"/>
    <n v="1206"/>
    <x v="5"/>
    <n v="0.8"/>
    <n v="10.02"/>
    <s v="17184037"/>
    <x v="9"/>
  </r>
  <r>
    <s v="Out-2012"/>
    <x v="0"/>
    <n v="1179"/>
    <x v="2"/>
    <n v="0.79"/>
    <n v="9.94"/>
    <s v="60701190"/>
    <x v="9"/>
  </r>
  <r>
    <s v="Out-2012"/>
    <x v="1"/>
    <n v="1195"/>
    <x v="1"/>
    <n v="1.81"/>
    <n v="23.98"/>
    <s v="02868100"/>
    <x v="9"/>
  </r>
  <r>
    <s v="Out-2012"/>
    <x v="0"/>
    <n v="1095"/>
    <x v="3"/>
    <n v="0.76"/>
    <n v="9.57"/>
    <s v="01701201"/>
    <x v="9"/>
  </r>
  <r>
    <s v="Out-2012"/>
    <x v="1"/>
    <n v="1128"/>
    <x v="6"/>
    <n v="1.41"/>
    <n v="18.32"/>
    <s v="14511781"/>
    <x v="9"/>
  </r>
  <r>
    <s v="Out-2012"/>
    <x v="0"/>
    <n v="1038"/>
    <x v="7"/>
    <n v="0.75"/>
    <n v="9.39"/>
    <s v="60746948"/>
    <x v="9"/>
  </r>
  <r>
    <s v="Out-2012"/>
    <x v="1"/>
    <n v="1048"/>
    <x v="10"/>
    <n v="1.17"/>
    <n v="14.95"/>
    <s v="00000000"/>
    <x v="9"/>
  </r>
  <r>
    <s v="Out-2012"/>
    <x v="0"/>
    <n v="824"/>
    <x v="9"/>
    <n v="0.7"/>
    <n v="8.7899999999999991"/>
    <s v="90400888"/>
    <x v="9"/>
  </r>
  <r>
    <s v="Out-2012"/>
    <x v="1"/>
    <n v="1028"/>
    <x v="4"/>
    <n v="1.1399999999999999"/>
    <n v="14.59"/>
    <s v="00360305"/>
    <x v="9"/>
  </r>
  <r>
    <s v="Out-2012"/>
    <x v="0"/>
    <n v="753"/>
    <x v="13"/>
    <n v="0.69"/>
    <n v="8.6300000000000008"/>
    <s v="00000208"/>
    <x v="9"/>
  </r>
  <r>
    <s v="Out-2012"/>
    <x v="1"/>
    <n v="954"/>
    <x v="12"/>
    <n v="0.99"/>
    <n v="12.52"/>
    <s v="00517645"/>
    <x v="9"/>
  </r>
  <r>
    <s v="Out-2012"/>
    <x v="0"/>
    <n v="480"/>
    <x v="11"/>
    <n v="0.63"/>
    <n v="7.77"/>
    <s v="28127603"/>
    <x v="9"/>
  </r>
  <r>
    <s v="Out-2012"/>
    <x v="1"/>
    <n v="533"/>
    <x v="14"/>
    <n v="0.77"/>
    <n v="9.68"/>
    <s v="62237367"/>
    <x v="9"/>
  </r>
  <r>
    <s v="Out-2012"/>
    <x v="0"/>
    <n v="466"/>
    <x v="10"/>
    <n v="0.62"/>
    <n v="7.74"/>
    <s v="00000000"/>
    <x v="9"/>
  </r>
  <r>
    <s v="Out-2012"/>
    <x v="1"/>
    <n v="521"/>
    <x v="7"/>
    <n v="0.77"/>
    <n v="9.6199999999999992"/>
    <s v="60746948"/>
    <x v="9"/>
  </r>
  <r>
    <s v="Out-2012"/>
    <x v="0"/>
    <n v="329"/>
    <x v="15"/>
    <n v="0.6"/>
    <n v="7.4"/>
    <s v="13009717"/>
    <x v="9"/>
  </r>
  <r>
    <s v="Out-2012"/>
    <x v="2"/>
    <n v="447"/>
    <x v="17"/>
    <n v="2.02"/>
    <n v="27.16"/>
    <s v="00416968"/>
    <x v="9"/>
  </r>
  <r>
    <s v="Out-2012"/>
    <x v="1"/>
    <n v="385"/>
    <x v="9"/>
    <n v="0.73"/>
    <n v="9.07"/>
    <s v="90400888"/>
    <x v="9"/>
  </r>
  <r>
    <s v="Out-2012"/>
    <x v="2"/>
    <n v="399"/>
    <x v="3"/>
    <n v="1.51"/>
    <n v="19.77"/>
    <s v="01701201"/>
    <x v="9"/>
  </r>
  <r>
    <s v="Out-2012"/>
    <x v="0"/>
    <n v="44"/>
    <x v="18"/>
    <n v="0.48"/>
    <n v="5.97"/>
    <s v="92702067"/>
    <x v="9"/>
  </r>
  <r>
    <s v="Out-2012"/>
    <x v="2"/>
    <n v="374"/>
    <x v="14"/>
    <n v="1.46"/>
    <n v="19.059999999999999"/>
    <s v="62237367"/>
    <x v="9"/>
  </r>
  <r>
    <s v="Out-2012"/>
    <x v="1"/>
    <n v="329"/>
    <x v="16"/>
    <n v="0.7"/>
    <n v="8.77"/>
    <s v="17441197"/>
    <x v="9"/>
  </r>
  <r>
    <s v="Out-2012"/>
    <x v="2"/>
    <n v="272"/>
    <x v="10"/>
    <n v="1.27"/>
    <n v="16.32"/>
    <s v="00000000"/>
    <x v="9"/>
  </r>
  <r>
    <s v="Out-2012"/>
    <x v="0"/>
    <n v="28"/>
    <x v="4"/>
    <n v="0.46"/>
    <n v="5.72"/>
    <s v="00360305"/>
    <x v="9"/>
  </r>
  <r>
    <s v="Out-2012"/>
    <x v="2"/>
    <n v="80"/>
    <x v="20"/>
    <n v="0.92"/>
    <n v="11.62"/>
    <s v="87091716"/>
    <x v="9"/>
  </r>
  <r>
    <s v="Out-2012"/>
    <x v="1"/>
    <n v="220"/>
    <x v="15"/>
    <n v="0.64"/>
    <n v="7.95"/>
    <s v="13009717"/>
    <x v="9"/>
  </r>
  <r>
    <s v="Out-2012"/>
    <x v="3"/>
    <n v="158"/>
    <x v="9"/>
    <n v="0.95"/>
    <n v="12.03"/>
    <s v="90400888"/>
    <x v="9"/>
  </r>
  <r>
    <s v="Out-2012"/>
    <x v="2"/>
    <n v="32"/>
    <x v="19"/>
    <n v="0.76"/>
    <n v="9.4700000000000006"/>
    <s v="33479023"/>
    <x v="9"/>
  </r>
  <r>
    <s v="Out-2012"/>
    <x v="3"/>
    <n v="128"/>
    <x v="10"/>
    <n v="0.92"/>
    <n v="11.67"/>
    <s v="00000000"/>
    <x v="9"/>
  </r>
  <r>
    <s v="Nov-2012"/>
    <x v="0"/>
    <n v="1407"/>
    <x v="0"/>
    <n v="1.39"/>
    <n v="18.03"/>
    <s v="00655522"/>
    <x v="10"/>
  </r>
  <r>
    <s v="Nov-2012"/>
    <x v="0"/>
    <n v="1205"/>
    <x v="5"/>
    <n v="0.8"/>
    <n v="10.02"/>
    <s v="17184037"/>
    <x v="10"/>
  </r>
  <r>
    <s v="Nov-2012"/>
    <x v="0"/>
    <n v="1145"/>
    <x v="2"/>
    <n v="0.78"/>
    <n v="9.73"/>
    <s v="60701190"/>
    <x v="10"/>
  </r>
  <r>
    <s v="Nov-2012"/>
    <x v="1"/>
    <n v="1192"/>
    <x v="1"/>
    <n v="1.79"/>
    <n v="23.66"/>
    <s v="02868100"/>
    <x v="10"/>
  </r>
  <r>
    <s v="Nov-2012"/>
    <x v="0"/>
    <n v="1025"/>
    <x v="7"/>
    <n v="0.75"/>
    <n v="9.36"/>
    <s v="60746948"/>
    <x v="10"/>
  </r>
  <r>
    <s v="Nov-2012"/>
    <x v="1"/>
    <n v="1067"/>
    <x v="10"/>
    <n v="1.21"/>
    <n v="15.48"/>
    <s v="00000000"/>
    <x v="10"/>
  </r>
  <r>
    <s v="Nov-2012"/>
    <x v="0"/>
    <n v="1016"/>
    <x v="3"/>
    <n v="0.75"/>
    <n v="9.33"/>
    <s v="01701201"/>
    <x v="10"/>
  </r>
  <r>
    <s v="Nov-2012"/>
    <x v="1"/>
    <n v="1032"/>
    <x v="4"/>
    <n v="1.1499999999999999"/>
    <n v="14.67"/>
    <s v="00360305"/>
    <x v="10"/>
  </r>
  <r>
    <s v="Nov-2012"/>
    <x v="0"/>
    <n v="726"/>
    <x v="9"/>
    <n v="0.69"/>
    <n v="8.57"/>
    <s v="90400888"/>
    <x v="10"/>
  </r>
  <r>
    <s v="Nov-2012"/>
    <x v="1"/>
    <n v="955"/>
    <x v="12"/>
    <n v="0.99"/>
    <n v="12.55"/>
    <s v="00517645"/>
    <x v="10"/>
  </r>
  <r>
    <s v="Nov-2012"/>
    <x v="0"/>
    <n v="551"/>
    <x v="13"/>
    <n v="0.64"/>
    <n v="7.97"/>
    <s v="00000208"/>
    <x v="10"/>
  </r>
  <r>
    <s v="Nov-2012"/>
    <x v="1"/>
    <n v="612"/>
    <x v="8"/>
    <n v="0.81"/>
    <n v="10.130000000000001"/>
    <s v="10694628"/>
    <x v="10"/>
  </r>
  <r>
    <s v="Nov-2012"/>
    <x v="0"/>
    <n v="478"/>
    <x v="11"/>
    <n v="0.63"/>
    <n v="7.77"/>
    <s v="28127603"/>
    <x v="10"/>
  </r>
  <r>
    <s v="Nov-2012"/>
    <x v="1"/>
    <n v="569"/>
    <x v="16"/>
    <n v="0.79"/>
    <n v="9.8800000000000008"/>
    <s v="17441197"/>
    <x v="10"/>
  </r>
  <r>
    <s v="Nov-2012"/>
    <x v="0"/>
    <n v="428"/>
    <x v="10"/>
    <n v="0.61"/>
    <n v="7.6"/>
    <s v="00000000"/>
    <x v="10"/>
  </r>
  <r>
    <s v="Nov-2012"/>
    <x v="1"/>
    <n v="524"/>
    <x v="14"/>
    <n v="0.77"/>
    <n v="9.6300000000000008"/>
    <s v="62237367"/>
    <x v="10"/>
  </r>
  <r>
    <s v="Nov-2012"/>
    <x v="0"/>
    <n v="377"/>
    <x v="15"/>
    <n v="0.6"/>
    <n v="7.48"/>
    <s v="13009717"/>
    <x v="10"/>
  </r>
  <r>
    <s v="Nov-2012"/>
    <x v="2"/>
    <n v="438"/>
    <x v="17"/>
    <n v="1.94"/>
    <n v="25.87"/>
    <s v="00416968"/>
    <x v="10"/>
  </r>
  <r>
    <s v="Nov-2012"/>
    <x v="1"/>
    <n v="496"/>
    <x v="7"/>
    <n v="0.76"/>
    <n v="9.51"/>
    <s v="60746948"/>
    <x v="10"/>
  </r>
  <r>
    <s v="Nov-2012"/>
    <x v="2"/>
    <n v="405"/>
    <x v="3"/>
    <n v="1.53"/>
    <n v="19.989999999999998"/>
    <s v="01701201"/>
    <x v="10"/>
  </r>
  <r>
    <s v="Nov-2012"/>
    <x v="0"/>
    <n v="61"/>
    <x v="18"/>
    <n v="0.49"/>
    <n v="6.09"/>
    <s v="92702067"/>
    <x v="10"/>
  </r>
  <r>
    <s v="Nov-2012"/>
    <x v="2"/>
    <n v="364"/>
    <x v="14"/>
    <n v="1.45"/>
    <n v="18.79"/>
    <s v="62237367"/>
    <x v="10"/>
  </r>
  <r>
    <s v="Nov-2012"/>
    <x v="1"/>
    <n v="420"/>
    <x v="9"/>
    <n v="0.73"/>
    <n v="9.18"/>
    <s v="90400888"/>
    <x v="10"/>
  </r>
  <r>
    <s v="Nov-2012"/>
    <x v="2"/>
    <n v="275"/>
    <x v="10"/>
    <n v="1.27"/>
    <n v="16.32"/>
    <s v="00000000"/>
    <x v="10"/>
  </r>
  <r>
    <s v="Nov-2012"/>
    <x v="0"/>
    <n v="20"/>
    <x v="4"/>
    <n v="0.46"/>
    <n v="5.62"/>
    <s v="00360305"/>
    <x v="10"/>
  </r>
  <r>
    <s v="Nov-2012"/>
    <x v="2"/>
    <n v="50"/>
    <x v="20"/>
    <n v="0.82"/>
    <n v="10.35"/>
    <s v="87091716"/>
    <x v="10"/>
  </r>
  <r>
    <s v="Nov-2012"/>
    <x v="3"/>
    <n v="232"/>
    <x v="4"/>
    <n v="1.01"/>
    <n v="12.88"/>
    <s v="00360305"/>
    <x v="10"/>
  </r>
  <r>
    <s v="Nov-2012"/>
    <x v="1"/>
    <n v="202"/>
    <x v="15"/>
    <n v="0.62"/>
    <n v="7.75"/>
    <s v="13009717"/>
    <x v="10"/>
  </r>
  <r>
    <s v="Nov-2012"/>
    <x v="3"/>
    <n v="167"/>
    <x v="10"/>
    <n v="0.95"/>
    <n v="12.08"/>
    <s v="00000000"/>
    <x v="10"/>
  </r>
  <r>
    <s v="Nov-2012"/>
    <x v="2"/>
    <n v="23"/>
    <x v="19"/>
    <n v="0.7"/>
    <n v="8.67"/>
    <s v="33479023"/>
    <x v="10"/>
  </r>
  <r>
    <s v="Nov-2012"/>
    <x v="3"/>
    <n v="69"/>
    <x v="9"/>
    <n v="0.83"/>
    <n v="10.47"/>
    <s v="90400888"/>
    <x v="10"/>
  </r>
  <r>
    <s v="Dez-2012"/>
    <x v="0"/>
    <n v="1404"/>
    <x v="0"/>
    <n v="1.36"/>
    <n v="17.600000000000001"/>
    <s v="00655522"/>
    <x v="11"/>
  </r>
  <r>
    <s v="Dez-2012"/>
    <x v="0"/>
    <n v="1207"/>
    <x v="5"/>
    <n v="0.8"/>
    <n v="10.02"/>
    <s v="17184037"/>
    <x v="11"/>
  </r>
  <r>
    <s v="Dez-2012"/>
    <x v="0"/>
    <n v="1035"/>
    <x v="2"/>
    <n v="0.75"/>
    <n v="9.3800000000000008"/>
    <s v="60701190"/>
    <x v="11"/>
  </r>
  <r>
    <s v="Dez-2012"/>
    <x v="1"/>
    <n v="1213"/>
    <x v="1"/>
    <n v="2.02"/>
    <n v="27.13"/>
    <s v="02868100"/>
    <x v="11"/>
  </r>
  <r>
    <s v="Dez-2012"/>
    <x v="0"/>
    <n v="1028"/>
    <x v="7"/>
    <n v="0.75"/>
    <n v="9.3699999999999992"/>
    <s v="60746948"/>
    <x v="11"/>
  </r>
  <r>
    <s v="Dez-2012"/>
    <x v="1"/>
    <n v="1092"/>
    <x v="6"/>
    <n v="1.29"/>
    <n v="16.63"/>
    <s v="14511781"/>
    <x v="11"/>
  </r>
  <r>
    <s v="Dez-2012"/>
    <x v="0"/>
    <n v="991"/>
    <x v="3"/>
    <n v="0.74"/>
    <n v="9.25"/>
    <s v="01701201"/>
    <x v="11"/>
  </r>
  <r>
    <s v="Dez-2012"/>
    <x v="1"/>
    <n v="1081"/>
    <x v="10"/>
    <n v="1.25"/>
    <n v="16.04"/>
    <s v="00000000"/>
    <x v="11"/>
  </r>
  <r>
    <s v="Dez-2012"/>
    <x v="0"/>
    <n v="777"/>
    <x v="9"/>
    <n v="0.7"/>
    <n v="8.69"/>
    <s v="90400888"/>
    <x v="11"/>
  </r>
  <r>
    <s v="Dez-2012"/>
    <x v="1"/>
    <n v="1013"/>
    <x v="4"/>
    <n v="1.1000000000000001"/>
    <n v="14.05"/>
    <s v="00360305"/>
    <x v="11"/>
  </r>
  <r>
    <s v="Dez-2012"/>
    <x v="0"/>
    <n v="520"/>
    <x v="10"/>
    <n v="0.63"/>
    <n v="7.89"/>
    <s v="00000000"/>
    <x v="11"/>
  </r>
  <r>
    <s v="Dez-2012"/>
    <x v="1"/>
    <n v="911"/>
    <x v="12"/>
    <n v="0.95"/>
    <n v="12"/>
    <s v="00517645"/>
    <x v="11"/>
  </r>
  <r>
    <s v="Dez-2012"/>
    <x v="0"/>
    <n v="516"/>
    <x v="13"/>
    <n v="0.63"/>
    <n v="7.88"/>
    <s v="00000208"/>
    <x v="11"/>
  </r>
  <r>
    <s v="Dez-2012"/>
    <x v="1"/>
    <n v="502"/>
    <x v="7"/>
    <n v="0.76"/>
    <n v="9.5500000000000007"/>
    <s v="60746948"/>
    <x v="11"/>
  </r>
  <r>
    <s v="Dez-2012"/>
    <x v="0"/>
    <n v="479"/>
    <x v="11"/>
    <n v="0.63"/>
    <n v="7.77"/>
    <s v="28127603"/>
    <x v="11"/>
  </r>
  <r>
    <s v="Dez-2012"/>
    <x v="1"/>
    <n v="486"/>
    <x v="14"/>
    <n v="0.76"/>
    <n v="9.4600000000000009"/>
    <s v="62237367"/>
    <x v="11"/>
  </r>
  <r>
    <s v="Dez-2012"/>
    <x v="0"/>
    <n v="371"/>
    <x v="15"/>
    <n v="0.6"/>
    <n v="7.47"/>
    <s v="13009717"/>
    <x v="11"/>
  </r>
  <r>
    <s v="Dez-2012"/>
    <x v="1"/>
    <n v="429"/>
    <x v="15"/>
    <n v="0.74"/>
    <n v="9.23"/>
    <s v="13009717"/>
    <x v="11"/>
  </r>
  <r>
    <s v="Dez-2012"/>
    <x v="0"/>
    <n v="40"/>
    <x v="18"/>
    <n v="0.48"/>
    <n v="5.88"/>
    <s v="92702067"/>
    <x v="11"/>
  </r>
  <r>
    <s v="Dez-2012"/>
    <x v="2"/>
    <n v="429"/>
    <x v="17"/>
    <n v="1.82"/>
    <n v="24.14"/>
    <s v="00416968"/>
    <x v="11"/>
  </r>
  <r>
    <s v="Dez-2012"/>
    <x v="1"/>
    <n v="380"/>
    <x v="9"/>
    <n v="0.72"/>
    <n v="9.0399999999999991"/>
    <s v="90400888"/>
    <x v="11"/>
  </r>
  <r>
    <s v="Dez-2012"/>
    <x v="2"/>
    <n v="396"/>
    <x v="3"/>
    <n v="1.51"/>
    <n v="19.68"/>
    <s v="01701201"/>
    <x v="11"/>
  </r>
  <r>
    <s v="Dez-2012"/>
    <x v="0"/>
    <n v="18"/>
    <x v="4"/>
    <n v="0.46"/>
    <n v="5.6"/>
    <s v="00360305"/>
    <x v="11"/>
  </r>
  <r>
    <s v="Dez-2012"/>
    <x v="2"/>
    <n v="386"/>
    <x v="14"/>
    <n v="1.47"/>
    <n v="19.16"/>
    <s v="62237367"/>
    <x v="11"/>
  </r>
  <r>
    <s v="Dez-2012"/>
    <x v="1"/>
    <n v="59"/>
    <x v="16"/>
    <n v="0.55000000000000004"/>
    <n v="6.83"/>
    <s v="17441197"/>
    <x v="11"/>
  </r>
  <r>
    <s v="Dez-2012"/>
    <x v="3"/>
    <n v="127"/>
    <x v="10"/>
    <n v="0.92"/>
    <n v="11.65"/>
    <s v="00000000"/>
    <x v="11"/>
  </r>
  <r>
    <s v="Dez-2012"/>
    <x v="2"/>
    <n v="24"/>
    <x v="19"/>
    <n v="0.71"/>
    <n v="8.83"/>
    <s v="33479023"/>
    <x v="11"/>
  </r>
  <r>
    <s v="Dez-2012"/>
    <x v="3"/>
    <n v="87"/>
    <x v="9"/>
    <n v="0.87"/>
    <n v="10.93"/>
    <s v="90400888"/>
    <x v="11"/>
  </r>
  <r>
    <s v="Jan-2013"/>
    <x v="0"/>
    <n v="1394"/>
    <x v="0"/>
    <n v="1.1200000000000001"/>
    <n v="14.3"/>
    <s v="00655522"/>
    <x v="12"/>
  </r>
  <r>
    <s v="Jan-2013"/>
    <x v="0"/>
    <n v="1274"/>
    <x v="2"/>
    <n v="0.83"/>
    <n v="10.44"/>
    <s v="60701190"/>
    <x v="12"/>
  </r>
  <r>
    <s v="Jan-2013"/>
    <x v="1"/>
    <n v="1214"/>
    <x v="1"/>
    <n v="2.0499999999999998"/>
    <n v="27.59"/>
    <s v="02868100"/>
    <x v="12"/>
  </r>
  <r>
    <s v="Jan-2013"/>
    <x v="0"/>
    <n v="1008"/>
    <x v="3"/>
    <n v="0.74"/>
    <n v="9.3000000000000007"/>
    <s v="01701201"/>
    <x v="12"/>
  </r>
  <r>
    <s v="Jan-2013"/>
    <x v="1"/>
    <n v="1093"/>
    <x v="6"/>
    <n v="1.29"/>
    <n v="16.63"/>
    <s v="14511781"/>
    <x v="12"/>
  </r>
  <r>
    <s v="Jan-2013"/>
    <x v="0"/>
    <n v="1004"/>
    <x v="7"/>
    <n v="0.74"/>
    <n v="9.2899999999999991"/>
    <s v="60746948"/>
    <x v="12"/>
  </r>
  <r>
    <s v="Jan-2013"/>
    <x v="1"/>
    <n v="1035"/>
    <x v="12"/>
    <n v="1.1499999999999999"/>
    <n v="14.71"/>
    <s v="00517645"/>
    <x v="12"/>
  </r>
  <r>
    <s v="Jan-2013"/>
    <x v="0"/>
    <n v="772"/>
    <x v="9"/>
    <n v="0.7"/>
    <n v="8.67"/>
    <s v="90400888"/>
    <x v="12"/>
  </r>
  <r>
    <s v="Jan-2013"/>
    <x v="1"/>
    <n v="1022"/>
    <x v="4"/>
    <n v="1.1100000000000001"/>
    <n v="14.21"/>
    <s v="00360305"/>
    <x v="12"/>
  </r>
  <r>
    <s v="Jan-2013"/>
    <x v="0"/>
    <n v="514"/>
    <x v="10"/>
    <n v="0.63"/>
    <n v="7.87"/>
    <s v="00000000"/>
    <x v="12"/>
  </r>
  <r>
    <s v="Jan-2013"/>
    <x v="1"/>
    <n v="672"/>
    <x v="8"/>
    <n v="0.83"/>
    <n v="10.43"/>
    <s v="10694628"/>
    <x v="12"/>
  </r>
  <r>
    <s v="Jan-2013"/>
    <x v="0"/>
    <n v="504"/>
    <x v="13"/>
    <n v="0.63"/>
    <n v="7.84"/>
    <s v="00000208"/>
    <x v="12"/>
  </r>
  <r>
    <s v="Jan-2013"/>
    <x v="1"/>
    <n v="579"/>
    <x v="14"/>
    <n v="0.8"/>
    <n v="9.9700000000000006"/>
    <s v="62237367"/>
    <x v="12"/>
  </r>
  <r>
    <s v="Jan-2013"/>
    <x v="0"/>
    <n v="456"/>
    <x v="11"/>
    <n v="0.62"/>
    <n v="7.72"/>
    <s v="28127603"/>
    <x v="12"/>
  </r>
  <r>
    <s v="Jan-2013"/>
    <x v="1"/>
    <n v="439"/>
    <x v="7"/>
    <n v="0.74"/>
    <n v="9.25"/>
    <s v="60746948"/>
    <x v="12"/>
  </r>
  <r>
    <s v="Jan-2013"/>
    <x v="0"/>
    <n v="383"/>
    <x v="15"/>
    <n v="0.6"/>
    <n v="7.49"/>
    <s v="13009717"/>
    <x v="12"/>
  </r>
  <r>
    <s v="Jan-2013"/>
    <x v="1"/>
    <n v="359"/>
    <x v="9"/>
    <n v="0.72"/>
    <n v="8.9600000000000009"/>
    <s v="90400888"/>
    <x v="12"/>
  </r>
  <r>
    <s v="Jan-2013"/>
    <x v="2"/>
    <n v="440"/>
    <x v="17"/>
    <n v="1.94"/>
    <n v="25.97"/>
    <s v="00416968"/>
    <x v="12"/>
  </r>
  <r>
    <s v="Jan-2013"/>
    <x v="0"/>
    <n v="47"/>
    <x v="18"/>
    <n v="0.49"/>
    <n v="6"/>
    <s v="92702067"/>
    <x v="12"/>
  </r>
  <r>
    <s v="Jan-2013"/>
    <x v="2"/>
    <n v="370"/>
    <x v="3"/>
    <n v="1.46"/>
    <n v="19.010000000000002"/>
    <s v="01701201"/>
    <x v="12"/>
  </r>
  <r>
    <s v="Jan-2013"/>
    <x v="1"/>
    <n v="176"/>
    <x v="15"/>
    <n v="0.61"/>
    <n v="7.51"/>
    <s v="13009717"/>
    <x v="12"/>
  </r>
  <r>
    <s v="Jan-2013"/>
    <x v="2"/>
    <n v="351"/>
    <x v="14"/>
    <n v="1.42"/>
    <n v="18.5"/>
    <s v="62237367"/>
    <x v="12"/>
  </r>
  <r>
    <s v="Jan-2013"/>
    <x v="0"/>
    <n v="22"/>
    <x v="4"/>
    <n v="0.46"/>
    <n v="5.63"/>
    <s v="00360305"/>
    <x v="12"/>
  </r>
  <r>
    <s v="Jan-2013"/>
    <x v="2"/>
    <n v="276"/>
    <x v="10"/>
    <n v="1.27"/>
    <n v="16.32"/>
    <s v="00000000"/>
    <x v="12"/>
  </r>
  <r>
    <s v="Jan-2013"/>
    <x v="1"/>
    <n v="85"/>
    <x v="16"/>
    <n v="0.56999999999999995"/>
    <n v="7.02"/>
    <s v="17441197"/>
    <x v="12"/>
  </r>
  <r>
    <s v="Jan-2013"/>
    <x v="3"/>
    <n v="201"/>
    <x v="10"/>
    <n v="0.97"/>
    <n v="12.31"/>
    <s v="00000000"/>
    <x v="12"/>
  </r>
  <r>
    <s v="Jan-2013"/>
    <x v="2"/>
    <n v="21"/>
    <x v="19"/>
    <n v="0.68"/>
    <n v="8.49"/>
    <s v="33479023"/>
    <x v="12"/>
  </r>
  <r>
    <s v="Jan-2013"/>
    <x v="3"/>
    <n v="78"/>
    <x v="9"/>
    <n v="0.85"/>
    <n v="10.68"/>
    <s v="90400888"/>
    <x v="12"/>
  </r>
  <r>
    <s v="Fev-2013"/>
    <x v="0"/>
    <n v="1390"/>
    <x v="0"/>
    <n v="1.02"/>
    <n v="12.92"/>
    <s v="00655522"/>
    <x v="13"/>
  </r>
  <r>
    <s v="Fev-2013"/>
    <x v="0"/>
    <n v="1060"/>
    <x v="2"/>
    <n v="0.76"/>
    <n v="9.4600000000000009"/>
    <s v="60701190"/>
    <x v="13"/>
  </r>
  <r>
    <s v="Fev-2013"/>
    <x v="0"/>
    <n v="947"/>
    <x v="3"/>
    <n v="0.73"/>
    <n v="9.16"/>
    <s v="01701201"/>
    <x v="13"/>
  </r>
  <r>
    <s v="Fev-2013"/>
    <x v="1"/>
    <n v="1207"/>
    <x v="1"/>
    <n v="1.91"/>
    <n v="25.49"/>
    <s v="02868100"/>
    <x v="13"/>
  </r>
  <r>
    <s v="Fev-2013"/>
    <x v="0"/>
    <n v="934"/>
    <x v="7"/>
    <n v="0.73"/>
    <n v="9.1199999999999992"/>
    <s v="60746948"/>
    <x v="13"/>
  </r>
  <r>
    <s v="Fev-2013"/>
    <x v="1"/>
    <n v="1009"/>
    <x v="4"/>
    <n v="1.0900000000000001"/>
    <n v="13.89"/>
    <s v="00360305"/>
    <x v="13"/>
  </r>
  <r>
    <s v="Fev-2013"/>
    <x v="0"/>
    <n v="761"/>
    <x v="9"/>
    <n v="0.69"/>
    <n v="8.65"/>
    <s v="90400888"/>
    <x v="13"/>
  </r>
  <r>
    <s v="Fev-2013"/>
    <x v="1"/>
    <n v="965"/>
    <x v="12"/>
    <n v="1"/>
    <n v="12.74"/>
    <s v="00517645"/>
    <x v="13"/>
  </r>
  <r>
    <s v="Fev-2013"/>
    <x v="0"/>
    <n v="553"/>
    <x v="11"/>
    <n v="0.64"/>
    <n v="7.97"/>
    <s v="28127603"/>
    <x v="13"/>
  </r>
  <r>
    <s v="Fev-2013"/>
    <x v="1"/>
    <n v="649"/>
    <x v="14"/>
    <n v="0.82"/>
    <n v="10.27"/>
    <s v="62237367"/>
    <x v="13"/>
  </r>
  <r>
    <s v="Fev-2013"/>
    <x v="0"/>
    <n v="495"/>
    <x v="13"/>
    <n v="0.63"/>
    <n v="7.81"/>
    <s v="00000208"/>
    <x v="13"/>
  </r>
  <r>
    <s v="Fev-2013"/>
    <x v="1"/>
    <n v="474"/>
    <x v="7"/>
    <n v="0.75"/>
    <n v="9.4"/>
    <s v="60746948"/>
    <x v="13"/>
  </r>
  <r>
    <s v="Fev-2013"/>
    <x v="0"/>
    <n v="418"/>
    <x v="15"/>
    <n v="0.61"/>
    <n v="7.57"/>
    <s v="13009717"/>
    <x v="13"/>
  </r>
  <r>
    <s v="Fev-2013"/>
    <x v="1"/>
    <n v="336"/>
    <x v="9"/>
    <n v="0.71"/>
    <n v="8.81"/>
    <s v="90400888"/>
    <x v="13"/>
  </r>
  <r>
    <s v="Fev-2013"/>
    <x v="0"/>
    <n v="379"/>
    <x v="10"/>
    <n v="0.6"/>
    <n v="7.48"/>
    <s v="00000000"/>
    <x v="13"/>
  </r>
  <r>
    <s v="Fev-2013"/>
    <x v="2"/>
    <n v="446"/>
    <x v="17"/>
    <n v="2.02"/>
    <n v="27.07"/>
    <s v="00416968"/>
    <x v="13"/>
  </r>
  <r>
    <s v="Fev-2013"/>
    <x v="1"/>
    <n v="86"/>
    <x v="16"/>
    <n v="0.56999999999999995"/>
    <n v="7.02"/>
    <s v="17441197"/>
    <x v="13"/>
  </r>
  <r>
    <s v="Fev-2013"/>
    <x v="2"/>
    <n v="366"/>
    <x v="3"/>
    <n v="1.45"/>
    <n v="18.899999999999999"/>
    <s v="01701201"/>
    <x v="13"/>
  </r>
  <r>
    <s v="Fev-2013"/>
    <x v="0"/>
    <n v="65"/>
    <x v="18"/>
    <n v="0.5"/>
    <n v="6.12"/>
    <s v="92702067"/>
    <x v="13"/>
  </r>
  <r>
    <s v="Fev-2013"/>
    <x v="2"/>
    <n v="347"/>
    <x v="14"/>
    <n v="1.42"/>
    <n v="18.5"/>
    <s v="62237367"/>
    <x v="13"/>
  </r>
  <r>
    <s v="Fev-2013"/>
    <x v="1"/>
    <n v="6"/>
    <x v="8"/>
    <n v="0"/>
    <n v="0"/>
    <s v="10694628"/>
    <x v="13"/>
  </r>
  <r>
    <s v="Fev-2013"/>
    <x v="2"/>
    <n v="274"/>
    <x v="10"/>
    <n v="1.27"/>
    <n v="16.32"/>
    <s v="00000000"/>
    <x v="13"/>
  </r>
  <r>
    <s v="Fev-2013"/>
    <x v="0"/>
    <n v="19"/>
    <x v="4"/>
    <n v="0.46"/>
    <n v="5.62"/>
    <s v="00360305"/>
    <x v="13"/>
  </r>
  <r>
    <s v="Fev-2013"/>
    <x v="2"/>
    <n v="38"/>
    <x v="20"/>
    <n v="0.79"/>
    <n v="9.86"/>
    <s v="87091716"/>
    <x v="13"/>
  </r>
  <r>
    <s v="Fev-2013"/>
    <x v="3"/>
    <n v="250"/>
    <x v="4"/>
    <n v="1.03"/>
    <n v="13.1"/>
    <s v="00360305"/>
    <x v="13"/>
  </r>
  <r>
    <s v="Fev-2013"/>
    <x v="1"/>
    <n v="2"/>
    <x v="23"/>
    <n v="0"/>
    <n v="0"/>
    <s v="15213192"/>
    <x v="13"/>
  </r>
  <r>
    <s v="Fev-2013"/>
    <x v="3"/>
    <n v="166"/>
    <x v="10"/>
    <n v="0.95"/>
    <n v="12.07"/>
    <s v="00000000"/>
    <x v="13"/>
  </r>
  <r>
    <s v="Fev-2013"/>
    <x v="2"/>
    <n v="11"/>
    <x v="19"/>
    <n v="0.66"/>
    <n v="8.25"/>
    <s v="33479023"/>
    <x v="13"/>
  </r>
  <r>
    <s v="Fev-2013"/>
    <x v="3"/>
    <n v="73"/>
    <x v="9"/>
    <n v="0.85"/>
    <n v="10.63"/>
    <s v="90400888"/>
    <x v="13"/>
  </r>
  <r>
    <s v="Mar-2013"/>
    <x v="0"/>
    <n v="1392"/>
    <x v="0"/>
    <n v="1.0900000000000001"/>
    <n v="13.86"/>
    <s v="00655522"/>
    <x v="14"/>
  </r>
  <r>
    <s v="Mar-2013"/>
    <x v="0"/>
    <n v="1078"/>
    <x v="2"/>
    <n v="0.76"/>
    <n v="9.51"/>
    <s v="60701190"/>
    <x v="14"/>
  </r>
  <r>
    <s v="Mar-2013"/>
    <x v="1"/>
    <n v="1141"/>
    <x v="1"/>
    <n v="1.46"/>
    <n v="19"/>
    <s v="02868100"/>
    <x v="14"/>
  </r>
  <r>
    <s v="Mar-2013"/>
    <x v="0"/>
    <n v="924"/>
    <x v="7"/>
    <n v="0.73"/>
    <n v="9.09"/>
    <s v="60746948"/>
    <x v="14"/>
  </r>
  <r>
    <s v="Mar-2013"/>
    <x v="1"/>
    <n v="1046"/>
    <x v="10"/>
    <n v="1.1599999999999999"/>
    <n v="14.9"/>
    <s v="00000000"/>
    <x v="14"/>
  </r>
  <r>
    <s v="Mar-2013"/>
    <x v="0"/>
    <n v="848"/>
    <x v="3"/>
    <n v="0.71"/>
    <n v="8.85"/>
    <s v="01701201"/>
    <x v="14"/>
  </r>
  <r>
    <s v="Mar-2013"/>
    <x v="1"/>
    <n v="1011"/>
    <x v="8"/>
    <n v="1.1000000000000001"/>
    <n v="13.98"/>
    <s v="10694628"/>
    <x v="14"/>
  </r>
  <r>
    <s v="Mar-2013"/>
    <x v="0"/>
    <n v="760"/>
    <x v="9"/>
    <n v="0.69"/>
    <n v="8.65"/>
    <s v="90400888"/>
    <x v="14"/>
  </r>
  <r>
    <s v="Mar-2013"/>
    <x v="1"/>
    <n v="1003"/>
    <x v="12"/>
    <n v="1.08"/>
    <n v="13.72"/>
    <s v="00517645"/>
    <x v="14"/>
  </r>
  <r>
    <s v="Mar-2013"/>
    <x v="0"/>
    <n v="503"/>
    <x v="13"/>
    <n v="0.63"/>
    <n v="7.84"/>
    <s v="00000208"/>
    <x v="14"/>
  </r>
  <r>
    <s v="Mar-2013"/>
    <x v="1"/>
    <n v="994"/>
    <x v="4"/>
    <n v="1.06"/>
    <n v="13.45"/>
    <s v="00360305"/>
    <x v="14"/>
  </r>
  <r>
    <s v="Mar-2013"/>
    <x v="0"/>
    <n v="481"/>
    <x v="11"/>
    <n v="0.63"/>
    <n v="7.77"/>
    <s v="28127603"/>
    <x v="14"/>
  </r>
  <r>
    <s v="Mar-2013"/>
    <x v="1"/>
    <n v="506"/>
    <x v="14"/>
    <n v="0.76"/>
    <n v="9.57"/>
    <s v="62237367"/>
    <x v="14"/>
  </r>
  <r>
    <s v="Mar-2013"/>
    <x v="0"/>
    <n v="445"/>
    <x v="10"/>
    <n v="0.62"/>
    <n v="7.68"/>
    <s v="00000000"/>
    <x v="14"/>
  </r>
  <r>
    <s v="Mar-2013"/>
    <x v="1"/>
    <n v="386"/>
    <x v="7"/>
    <n v="0.73"/>
    <n v="9.07"/>
    <s v="60746948"/>
    <x v="14"/>
  </r>
  <r>
    <s v="Mar-2013"/>
    <x v="0"/>
    <n v="290"/>
    <x v="15"/>
    <n v="0.59"/>
    <n v="7.29"/>
    <s v="13009717"/>
    <x v="14"/>
  </r>
  <r>
    <s v="Mar-2013"/>
    <x v="2"/>
    <n v="430"/>
    <x v="17"/>
    <n v="1.82"/>
    <n v="24.22"/>
    <s v="00416968"/>
    <x v="14"/>
  </r>
  <r>
    <s v="Mar-2013"/>
    <x v="1"/>
    <n v="326"/>
    <x v="9"/>
    <n v="0.7"/>
    <n v="8.75"/>
    <s v="90400888"/>
    <x v="14"/>
  </r>
  <r>
    <s v="Mar-2013"/>
    <x v="2"/>
    <n v="367"/>
    <x v="3"/>
    <n v="1.46"/>
    <n v="18.940000000000001"/>
    <s v="01701201"/>
    <x v="14"/>
  </r>
  <r>
    <s v="Mar-2013"/>
    <x v="0"/>
    <n v="62"/>
    <x v="18"/>
    <n v="0.49"/>
    <n v="6.1"/>
    <s v="92702067"/>
    <x v="14"/>
  </r>
  <r>
    <s v="Mar-2013"/>
    <x v="2"/>
    <n v="343"/>
    <x v="14"/>
    <n v="1.42"/>
    <n v="18.5"/>
    <s v="62237367"/>
    <x v="14"/>
  </r>
  <r>
    <s v="Mar-2013"/>
    <x v="1"/>
    <n v="298"/>
    <x v="11"/>
    <n v="0.69"/>
    <n v="8.64"/>
    <s v="28127603"/>
    <x v="14"/>
  </r>
  <r>
    <s v="Mar-2013"/>
    <x v="2"/>
    <n v="231"/>
    <x v="10"/>
    <n v="1.2"/>
    <n v="15.33"/>
    <s v="00000000"/>
    <x v="14"/>
  </r>
  <r>
    <s v="Mar-2013"/>
    <x v="0"/>
    <n v="23"/>
    <x v="4"/>
    <n v="0.46"/>
    <n v="5.66"/>
    <s v="00360305"/>
    <x v="14"/>
  </r>
  <r>
    <s v="Mar-2013"/>
    <x v="2"/>
    <n v="41"/>
    <x v="20"/>
    <n v="0.79"/>
    <n v="9.93"/>
    <s v="87091716"/>
    <x v="14"/>
  </r>
  <r>
    <s v="Mar-2013"/>
    <x v="3"/>
    <n v="171"/>
    <x v="10"/>
    <n v="0.96"/>
    <n v="12.13"/>
    <s v="00000000"/>
    <x v="14"/>
  </r>
  <r>
    <s v="Mar-2013"/>
    <x v="1"/>
    <n v="12"/>
    <x v="16"/>
    <n v="0.3"/>
    <n v="3.67"/>
    <s v="17441197"/>
    <x v="14"/>
  </r>
  <r>
    <s v="Mar-2013"/>
    <x v="3"/>
    <n v="91"/>
    <x v="9"/>
    <n v="0.89"/>
    <n v="11.2"/>
    <s v="90400888"/>
    <x v="14"/>
  </r>
  <r>
    <s v="Mar-2013"/>
    <x v="2"/>
    <n v="16"/>
    <x v="19"/>
    <n v="0.67"/>
    <n v="8.3800000000000008"/>
    <s v="33479023"/>
    <x v="14"/>
  </r>
  <r>
    <s v="Mar-2013"/>
    <x v="3"/>
    <n v="63"/>
    <x v="2"/>
    <n v="0.82"/>
    <n v="10.33"/>
    <s v="60701190"/>
    <x v="14"/>
  </r>
  <r>
    <s v="Abr-2013"/>
    <x v="0"/>
    <n v="1391"/>
    <x v="0"/>
    <n v="1.07"/>
    <n v="13.65"/>
    <s v="00655522"/>
    <x v="15"/>
  </r>
  <r>
    <s v="Abr-2013"/>
    <x v="0"/>
    <n v="1237"/>
    <x v="2"/>
    <n v="0.81"/>
    <n v="10.14"/>
    <s v="60701190"/>
    <x v="15"/>
  </r>
  <r>
    <s v="Abr-2013"/>
    <x v="1"/>
    <n v="1212"/>
    <x v="1"/>
    <n v="2.0099999999999998"/>
    <n v="26.91"/>
    <s v="02868100"/>
    <x v="15"/>
  </r>
  <r>
    <s v="Abr-2013"/>
    <x v="0"/>
    <n v="839"/>
    <x v="7"/>
    <n v="0.71"/>
    <n v="8.82"/>
    <s v="60746948"/>
    <x v="15"/>
  </r>
  <r>
    <s v="Abr-2013"/>
    <x v="1"/>
    <n v="1091"/>
    <x v="10"/>
    <n v="1.29"/>
    <n v="16.559999999999999"/>
    <s v="00000000"/>
    <x v="15"/>
  </r>
  <r>
    <s v="Abr-2013"/>
    <x v="0"/>
    <n v="811"/>
    <x v="3"/>
    <n v="0.7"/>
    <n v="8.75"/>
    <s v="01701201"/>
    <x v="15"/>
  </r>
  <r>
    <s v="Abr-2013"/>
    <x v="1"/>
    <n v="1062"/>
    <x v="13"/>
    <n v="1.19"/>
    <n v="15.3"/>
    <s v="00000208"/>
    <x v="15"/>
  </r>
  <r>
    <s v="Abr-2013"/>
    <x v="0"/>
    <n v="750"/>
    <x v="9"/>
    <n v="0.69"/>
    <n v="8.6199999999999992"/>
    <s v="90400888"/>
    <x v="15"/>
  </r>
  <r>
    <s v="Abr-2013"/>
    <x v="1"/>
    <n v="993"/>
    <x v="4"/>
    <n v="1.05"/>
    <n v="13.38"/>
    <s v="00360305"/>
    <x v="15"/>
  </r>
  <r>
    <s v="Abr-2013"/>
    <x v="0"/>
    <n v="522"/>
    <x v="13"/>
    <n v="0.63"/>
    <n v="7.89"/>
    <s v="00000208"/>
    <x v="15"/>
  </r>
  <r>
    <s v="Abr-2013"/>
    <x v="1"/>
    <n v="959"/>
    <x v="12"/>
    <n v="1"/>
    <n v="12.67"/>
    <s v="00517645"/>
    <x v="15"/>
  </r>
  <r>
    <s v="Abr-2013"/>
    <x v="0"/>
    <n v="446"/>
    <x v="11"/>
    <n v="0.62"/>
    <n v="7.69"/>
    <s v="28127603"/>
    <x v="15"/>
  </r>
  <r>
    <s v="Abr-2013"/>
    <x v="1"/>
    <n v="541"/>
    <x v="14"/>
    <n v="0.78"/>
    <n v="9.74"/>
    <s v="62237367"/>
    <x v="15"/>
  </r>
  <r>
    <s v="Abr-2013"/>
    <x v="0"/>
    <n v="407"/>
    <x v="15"/>
    <n v="0.61"/>
    <n v="7.55"/>
    <s v="13009717"/>
    <x v="15"/>
  </r>
  <r>
    <s v="Abr-2013"/>
    <x v="1"/>
    <n v="337"/>
    <x v="7"/>
    <n v="0.71"/>
    <n v="8.83"/>
    <s v="60746948"/>
    <x v="15"/>
  </r>
  <r>
    <s v="Abr-2013"/>
    <x v="2"/>
    <n v="428"/>
    <x v="17"/>
    <n v="1.8"/>
    <n v="23.82"/>
    <s v="00416968"/>
    <x v="15"/>
  </r>
  <r>
    <s v="Abr-2013"/>
    <x v="0"/>
    <n v="372"/>
    <x v="10"/>
    <n v="0.6"/>
    <n v="7.47"/>
    <s v="00000000"/>
    <x v="15"/>
  </r>
  <r>
    <s v="Abr-2013"/>
    <x v="2"/>
    <n v="350"/>
    <x v="14"/>
    <n v="1.42"/>
    <n v="18.5"/>
    <s v="62237367"/>
    <x v="15"/>
  </r>
  <r>
    <s v="Abr-2013"/>
    <x v="1"/>
    <n v="313"/>
    <x v="9"/>
    <n v="0.7"/>
    <n v="8.7100000000000009"/>
    <s v="90400888"/>
    <x v="15"/>
  </r>
  <r>
    <s v="Abr-2013"/>
    <x v="2"/>
    <n v="316"/>
    <x v="3"/>
    <n v="1.36"/>
    <n v="17.53"/>
    <s v="01701201"/>
    <x v="15"/>
  </r>
  <r>
    <s v="Abr-2013"/>
    <x v="0"/>
    <n v="41"/>
    <x v="18"/>
    <n v="0.48"/>
    <n v="5.95"/>
    <s v="92702067"/>
    <x v="15"/>
  </r>
  <r>
    <s v="Abr-2013"/>
    <x v="2"/>
    <n v="205"/>
    <x v="10"/>
    <n v="1.1399999999999999"/>
    <n v="14.52"/>
    <s v="00000000"/>
    <x v="15"/>
  </r>
  <r>
    <s v="Abr-2013"/>
    <x v="1"/>
    <n v="10"/>
    <x v="16"/>
    <n v="0.22"/>
    <n v="2.73"/>
    <s v="17441197"/>
    <x v="15"/>
  </r>
  <r>
    <s v="Abr-2013"/>
    <x v="3"/>
    <n v="196"/>
    <x v="10"/>
    <n v="0.97"/>
    <n v="12.29"/>
    <s v="00000000"/>
    <x v="15"/>
  </r>
  <r>
    <s v="Abr-2013"/>
    <x v="2"/>
    <n v="30"/>
    <x v="20"/>
    <n v="0.75"/>
    <n v="9.41"/>
    <s v="87091716"/>
    <x v="15"/>
  </r>
  <r>
    <s v="Abr-2013"/>
    <x v="3"/>
    <n v="71"/>
    <x v="9"/>
    <n v="0.84"/>
    <n v="10.51"/>
    <s v="90400888"/>
    <x v="15"/>
  </r>
  <r>
    <s v="Abr-2013"/>
    <x v="0"/>
    <n v="33"/>
    <x v="4"/>
    <n v="0.47"/>
    <n v="5.73"/>
    <s v="00360305"/>
    <x v="15"/>
  </r>
  <r>
    <s v="Abr-2013"/>
    <x v="3"/>
    <n v="58"/>
    <x v="2"/>
    <n v="0.81"/>
    <n v="10.130000000000001"/>
    <s v="60701190"/>
    <x v="15"/>
  </r>
  <r>
    <s v="Abr-2013"/>
    <x v="2"/>
    <n v="18"/>
    <x v="19"/>
    <n v="0.67"/>
    <n v="8.39"/>
    <s v="33479023"/>
    <x v="15"/>
  </r>
  <r>
    <s v="Abr-2013"/>
    <x v="3"/>
    <n v="13"/>
    <x v="22"/>
    <n v="0.62"/>
    <n v="7.66"/>
    <s v="58160789"/>
    <x v="15"/>
  </r>
  <r>
    <s v="Mai-2013"/>
    <x v="1"/>
    <n v="1203"/>
    <x v="1"/>
    <n v="1.85"/>
    <n v="24.57"/>
    <s v="02868100"/>
    <x v="16"/>
  </r>
  <r>
    <s v="Mai-2013"/>
    <x v="0"/>
    <n v="1402"/>
    <x v="0"/>
    <n v="1.24"/>
    <n v="15.87"/>
    <s v="00655522"/>
    <x v="16"/>
  </r>
  <r>
    <s v="Mai-2013"/>
    <x v="1"/>
    <n v="1165"/>
    <x v="6"/>
    <n v="1.55"/>
    <n v="20.27"/>
    <s v="14511781"/>
    <x v="16"/>
  </r>
  <r>
    <s v="Mai-2013"/>
    <x v="0"/>
    <n v="1162"/>
    <x v="2"/>
    <n v="0.79"/>
    <n v="9.85"/>
    <s v="60701190"/>
    <x v="16"/>
  </r>
  <r>
    <s v="Mai-2013"/>
    <x v="1"/>
    <n v="1085"/>
    <x v="10"/>
    <n v="1.27"/>
    <n v="16.350000000000001"/>
    <s v="00000000"/>
    <x v="16"/>
  </r>
  <r>
    <s v="Mai-2013"/>
    <x v="0"/>
    <n v="805"/>
    <x v="7"/>
    <n v="0.7"/>
    <n v="8.74"/>
    <s v="60746948"/>
    <x v="16"/>
  </r>
  <r>
    <s v="Mai-2013"/>
    <x v="1"/>
    <n v="985"/>
    <x v="4"/>
    <n v="1.03"/>
    <n v="13.06"/>
    <s v="00360305"/>
    <x v="16"/>
  </r>
  <r>
    <s v="Mai-2013"/>
    <x v="0"/>
    <n v="749"/>
    <x v="3"/>
    <n v="0.69"/>
    <n v="8.6199999999999992"/>
    <s v="01701201"/>
    <x v="16"/>
  </r>
  <r>
    <s v="Mai-2013"/>
    <x v="1"/>
    <n v="961"/>
    <x v="12"/>
    <n v="1"/>
    <n v="12.68"/>
    <s v="00517645"/>
    <x v="16"/>
  </r>
  <r>
    <s v="Mai-2013"/>
    <x v="0"/>
    <n v="719"/>
    <x v="9"/>
    <n v="0.69"/>
    <n v="8.5500000000000007"/>
    <s v="90400888"/>
    <x v="16"/>
  </r>
  <r>
    <s v="Mai-2013"/>
    <x v="1"/>
    <n v="938"/>
    <x v="13"/>
    <n v="0.97"/>
    <n v="12.27"/>
    <s v="00000208"/>
    <x v="16"/>
  </r>
  <r>
    <s v="Mai-2013"/>
    <x v="0"/>
    <n v="546"/>
    <x v="13"/>
    <n v="0.64"/>
    <n v="7.96"/>
    <s v="00000208"/>
    <x v="16"/>
  </r>
  <r>
    <s v="Mai-2013"/>
    <x v="1"/>
    <n v="669"/>
    <x v="22"/>
    <n v="0.83"/>
    <n v="10.4"/>
    <s v="58160789"/>
    <x v="16"/>
  </r>
  <r>
    <s v="Mai-2013"/>
    <x v="0"/>
    <n v="472"/>
    <x v="11"/>
    <n v="0.62"/>
    <n v="7.75"/>
    <s v="28127603"/>
    <x v="16"/>
  </r>
  <r>
    <s v="Mai-2013"/>
    <x v="1"/>
    <n v="316"/>
    <x v="7"/>
    <n v="0.7"/>
    <n v="8.7200000000000006"/>
    <s v="60746948"/>
    <x v="16"/>
  </r>
  <r>
    <s v="Mai-2013"/>
    <x v="0"/>
    <n v="421"/>
    <x v="15"/>
    <n v="0.61"/>
    <n v="7.59"/>
    <s v="13009717"/>
    <x v="16"/>
  </r>
  <r>
    <s v="Mai-2013"/>
    <x v="1"/>
    <n v="304"/>
    <x v="9"/>
    <n v="0.7"/>
    <n v="8.67"/>
    <s v="90400888"/>
    <x v="16"/>
  </r>
  <r>
    <s v="Mai-2013"/>
    <x v="0"/>
    <n v="393"/>
    <x v="10"/>
    <n v="0.61"/>
    <n v="7.51"/>
    <s v="00000000"/>
    <x v="16"/>
  </r>
  <r>
    <s v="Mai-2013"/>
    <x v="1"/>
    <n v="221"/>
    <x v="11"/>
    <n v="0.64"/>
    <n v="8"/>
    <s v="28127603"/>
    <x v="16"/>
  </r>
  <r>
    <s v="Mai-2013"/>
    <x v="2"/>
    <n v="437"/>
    <x v="17"/>
    <n v="1.93"/>
    <n v="25.8"/>
    <s v="00416968"/>
    <x v="16"/>
  </r>
  <r>
    <s v="Mai-2013"/>
    <x v="0"/>
    <n v="56"/>
    <x v="18"/>
    <n v="0.49"/>
    <n v="6.07"/>
    <s v="92702067"/>
    <x v="16"/>
  </r>
  <r>
    <s v="Mai-2013"/>
    <x v="2"/>
    <n v="333"/>
    <x v="3"/>
    <n v="1.41"/>
    <n v="18.25"/>
    <s v="01701201"/>
    <x v="16"/>
  </r>
  <r>
    <s v="Mai-2013"/>
    <x v="1"/>
    <n v="91"/>
    <x v="16"/>
    <n v="0.56999999999999995"/>
    <n v="7.07"/>
    <s v="17441197"/>
    <x v="16"/>
  </r>
  <r>
    <s v="Mai-2013"/>
    <x v="2"/>
    <n v="26"/>
    <x v="20"/>
    <n v="0.73"/>
    <n v="9.1300000000000008"/>
    <s v="87091716"/>
    <x v="16"/>
  </r>
  <r>
    <s v="Mai-2013"/>
    <x v="3"/>
    <n v="122"/>
    <x v="10"/>
    <n v="0.92"/>
    <n v="11.55"/>
    <s v="00000000"/>
    <x v="16"/>
  </r>
  <r>
    <s v="Mai-2013"/>
    <x v="0"/>
    <n v="32"/>
    <x v="4"/>
    <n v="0.47"/>
    <n v="5.73"/>
    <s v="00360305"/>
    <x v="16"/>
  </r>
  <r>
    <s v="Mai-2013"/>
    <x v="3"/>
    <n v="77"/>
    <x v="2"/>
    <n v="0.85"/>
    <n v="10.68"/>
    <s v="60701190"/>
    <x v="16"/>
  </r>
  <r>
    <s v="Mai-2013"/>
    <x v="2"/>
    <n v="4"/>
    <x v="19"/>
    <n v="0.66"/>
    <n v="8.16"/>
    <s v="33479023"/>
    <x v="16"/>
  </r>
  <r>
    <s v="Mai-2013"/>
    <x v="3"/>
    <n v="51"/>
    <x v="9"/>
    <n v="0.79"/>
    <n v="9.9"/>
    <s v="90400888"/>
    <x v="16"/>
  </r>
  <r>
    <s v="Jun-2013"/>
    <x v="1"/>
    <n v="1072"/>
    <x v="10"/>
    <n v="1.22"/>
    <n v="15.65"/>
    <s v="00000000"/>
    <x v="17"/>
  </r>
  <r>
    <s v="Jun-2013"/>
    <x v="0"/>
    <n v="1403"/>
    <x v="0"/>
    <n v="1.24"/>
    <n v="15.93"/>
    <s v="00655522"/>
    <x v="17"/>
  </r>
  <r>
    <s v="Jun-2013"/>
    <x v="1"/>
    <n v="1034"/>
    <x v="8"/>
    <n v="1.1499999999999999"/>
    <n v="14.7"/>
    <s v="10694628"/>
    <x v="17"/>
  </r>
  <r>
    <s v="Jun-2013"/>
    <x v="0"/>
    <n v="1142"/>
    <x v="2"/>
    <n v="0.78"/>
    <n v="9.7200000000000006"/>
    <s v="60701190"/>
    <x v="17"/>
  </r>
  <r>
    <s v="Jun-2013"/>
    <x v="1"/>
    <n v="1029"/>
    <x v="13"/>
    <n v="1.1399999999999999"/>
    <n v="14.6"/>
    <s v="00000208"/>
    <x v="17"/>
  </r>
  <r>
    <s v="Jun-2013"/>
    <x v="0"/>
    <n v="765"/>
    <x v="7"/>
    <n v="0.69"/>
    <n v="8.66"/>
    <s v="60746948"/>
    <x v="17"/>
  </r>
  <r>
    <s v="Jun-2013"/>
    <x v="1"/>
    <n v="1000"/>
    <x v="12"/>
    <n v="1.07"/>
    <n v="13.66"/>
    <s v="00517645"/>
    <x v="17"/>
  </r>
  <r>
    <s v="Jun-2013"/>
    <x v="0"/>
    <n v="710"/>
    <x v="9"/>
    <n v="0.68"/>
    <n v="8.5299999999999994"/>
    <s v="90400888"/>
    <x v="17"/>
  </r>
  <r>
    <s v="Jun-2013"/>
    <x v="1"/>
    <n v="978"/>
    <x v="4"/>
    <n v="1.02"/>
    <n v="12.93"/>
    <s v="00360305"/>
    <x v="17"/>
  </r>
  <r>
    <s v="Jun-2013"/>
    <x v="0"/>
    <n v="705"/>
    <x v="3"/>
    <n v="0.68"/>
    <n v="8.52"/>
    <s v="01701201"/>
    <x v="17"/>
  </r>
  <r>
    <s v="Jun-2013"/>
    <x v="1"/>
    <n v="777"/>
    <x v="24"/>
    <n v="0.89"/>
    <n v="11.23"/>
    <s v="10372647"/>
    <x v="17"/>
  </r>
  <r>
    <s v="Jun-2013"/>
    <x v="0"/>
    <n v="529"/>
    <x v="13"/>
    <n v="0.64"/>
    <n v="7.91"/>
    <s v="00000208"/>
    <x v="17"/>
  </r>
  <r>
    <s v="Jun-2013"/>
    <x v="1"/>
    <n v="381"/>
    <x v="14"/>
    <n v="0.72"/>
    <n v="9.0399999999999991"/>
    <s v="62237367"/>
    <x v="17"/>
  </r>
  <r>
    <s v="Jun-2013"/>
    <x v="0"/>
    <n v="437"/>
    <x v="11"/>
    <n v="0.62"/>
    <n v="7.64"/>
    <s v="28127603"/>
    <x v="17"/>
  </r>
  <r>
    <s v="Jun-2013"/>
    <x v="1"/>
    <n v="303"/>
    <x v="9"/>
    <n v="0.7"/>
    <n v="8.67"/>
    <s v="90400888"/>
    <x v="17"/>
  </r>
  <r>
    <s v="Jun-2013"/>
    <x v="0"/>
    <n v="405"/>
    <x v="10"/>
    <n v="0.61"/>
    <n v="7.54"/>
    <s v="00000000"/>
    <x v="17"/>
  </r>
  <r>
    <s v="Jun-2013"/>
    <x v="2"/>
    <n v="420"/>
    <x v="17"/>
    <n v="1.75"/>
    <n v="23.11"/>
    <s v="00416968"/>
    <x v="17"/>
  </r>
  <r>
    <s v="Jun-2013"/>
    <x v="1"/>
    <n v="297"/>
    <x v="7"/>
    <n v="0.69"/>
    <n v="8.64"/>
    <s v="60746948"/>
    <x v="17"/>
  </r>
  <r>
    <s v="Jun-2013"/>
    <x v="2"/>
    <n v="325"/>
    <x v="14"/>
    <n v="1.37"/>
    <n v="17.670000000000002"/>
    <s v="62237367"/>
    <x v="17"/>
  </r>
  <r>
    <s v="Jun-2013"/>
    <x v="0"/>
    <n v="402"/>
    <x v="15"/>
    <n v="0.61"/>
    <n v="7.53"/>
    <s v="13009717"/>
    <x v="17"/>
  </r>
  <r>
    <s v="Jun-2013"/>
    <x v="2"/>
    <n v="288"/>
    <x v="3"/>
    <n v="1.31"/>
    <n v="16.940000000000001"/>
    <s v="01701201"/>
    <x v="17"/>
  </r>
  <r>
    <s v="Jun-2013"/>
    <x v="1"/>
    <n v="116"/>
    <x v="16"/>
    <n v="0.57999999999999996"/>
    <n v="7.2"/>
    <s v="17441197"/>
    <x v="17"/>
  </r>
  <r>
    <s v="Jun-2013"/>
    <x v="2"/>
    <n v="265"/>
    <x v="9"/>
    <n v="1.26"/>
    <n v="16.23"/>
    <s v="90400888"/>
    <x v="17"/>
  </r>
  <r>
    <s v="Jun-2013"/>
    <x v="0"/>
    <n v="91"/>
    <x v="18"/>
    <n v="0.51"/>
    <n v="6.28"/>
    <s v="92702067"/>
    <x v="17"/>
  </r>
  <r>
    <s v="Jun-2013"/>
    <x v="2"/>
    <n v="181"/>
    <x v="10"/>
    <n v="1.0900000000000001"/>
    <n v="13.84"/>
    <s v="00000000"/>
    <x v="17"/>
  </r>
  <r>
    <s v="Jun-2013"/>
    <x v="1"/>
    <n v="1"/>
    <x v="23"/>
    <n v="0"/>
    <n v="0"/>
    <s v="15213192"/>
    <x v="17"/>
  </r>
  <r>
    <s v="Jun-2013"/>
    <x v="2"/>
    <n v="27"/>
    <x v="20"/>
    <n v="0.74"/>
    <n v="9.2799999999999994"/>
    <s v="87091716"/>
    <x v="17"/>
  </r>
  <r>
    <s v="Jun-2013"/>
    <x v="3"/>
    <n v="133"/>
    <x v="10"/>
    <n v="0.93"/>
    <n v="11.74"/>
    <s v="00000000"/>
    <x v="17"/>
  </r>
  <r>
    <s v="Jun-2013"/>
    <x v="0"/>
    <n v="37"/>
    <x v="4"/>
    <n v="0.47"/>
    <n v="5.79"/>
    <s v="00360305"/>
    <x v="17"/>
  </r>
  <r>
    <s v="Jun-2013"/>
    <x v="3"/>
    <n v="65"/>
    <x v="2"/>
    <n v="0.83"/>
    <n v="10.38"/>
    <s v="60701190"/>
    <x v="17"/>
  </r>
  <r>
    <s v="Jun-2013"/>
    <x v="2"/>
    <n v="5"/>
    <x v="19"/>
    <n v="0.66"/>
    <n v="8.17"/>
    <s v="33479023"/>
    <x v="17"/>
  </r>
  <r>
    <s v="Jun-2013"/>
    <x v="3"/>
    <n v="59"/>
    <x v="9"/>
    <n v="0.81"/>
    <n v="10.15"/>
    <s v="90400888"/>
    <x v="17"/>
  </r>
  <r>
    <s v="Jul-2013"/>
    <x v="1"/>
    <n v="1142"/>
    <x v="1"/>
    <n v="1.46"/>
    <n v="19"/>
    <s v="02868100"/>
    <x v="18"/>
  </r>
  <r>
    <s v="Jul-2013"/>
    <x v="0"/>
    <n v="1183"/>
    <x v="2"/>
    <n v="0.79"/>
    <n v="9.9499999999999993"/>
    <s v="60701190"/>
    <x v="18"/>
  </r>
  <r>
    <s v="Jul-2013"/>
    <x v="1"/>
    <n v="1113"/>
    <x v="10"/>
    <n v="1.36"/>
    <n v="17.649999999999999"/>
    <s v="00000000"/>
    <x v="18"/>
  </r>
  <r>
    <s v="Jul-2013"/>
    <x v="0"/>
    <n v="915"/>
    <x v="0"/>
    <n v="0.72"/>
    <n v="9.0399999999999991"/>
    <s v="00655522"/>
    <x v="18"/>
  </r>
  <r>
    <s v="Jul-2013"/>
    <x v="1"/>
    <n v="1068"/>
    <x v="13"/>
    <n v="1.22"/>
    <n v="15.6"/>
    <s v="00000208"/>
    <x v="18"/>
  </r>
  <r>
    <s v="Jul-2013"/>
    <x v="0"/>
    <n v="757"/>
    <x v="7"/>
    <n v="0.69"/>
    <n v="8.64"/>
    <s v="60746948"/>
    <x v="18"/>
  </r>
  <r>
    <s v="Jul-2013"/>
    <x v="1"/>
    <n v="1010"/>
    <x v="6"/>
    <n v="1.1000000000000001"/>
    <n v="13.98"/>
    <s v="14511781"/>
    <x v="18"/>
  </r>
  <r>
    <s v="Jul-2013"/>
    <x v="0"/>
    <n v="688"/>
    <x v="9"/>
    <n v="0.68"/>
    <n v="8.49"/>
    <s v="90400888"/>
    <x v="18"/>
  </r>
  <r>
    <s v="Jul-2013"/>
    <x v="1"/>
    <n v="992"/>
    <x v="4"/>
    <n v="1.05"/>
    <n v="13.38"/>
    <s v="00360305"/>
    <x v="18"/>
  </r>
  <r>
    <s v="Jul-2013"/>
    <x v="0"/>
    <n v="669"/>
    <x v="3"/>
    <n v="0.68"/>
    <n v="8.4600000000000009"/>
    <s v="01701201"/>
    <x v="18"/>
  </r>
  <r>
    <s v="Jul-2013"/>
    <x v="1"/>
    <n v="968"/>
    <x v="12"/>
    <n v="1.01"/>
    <n v="12.78"/>
    <s v="00517645"/>
    <x v="18"/>
  </r>
  <r>
    <s v="Jul-2013"/>
    <x v="0"/>
    <n v="547"/>
    <x v="13"/>
    <n v="0.64"/>
    <n v="7.96"/>
    <s v="00000208"/>
    <x v="18"/>
  </r>
  <r>
    <s v="Jul-2013"/>
    <x v="1"/>
    <n v="384"/>
    <x v="14"/>
    <n v="0.72"/>
    <n v="9.0500000000000007"/>
    <s v="62237367"/>
    <x v="18"/>
  </r>
  <r>
    <s v="Jul-2013"/>
    <x v="0"/>
    <n v="467"/>
    <x v="11"/>
    <n v="0.62"/>
    <n v="7.74"/>
    <s v="28127603"/>
    <x v="18"/>
  </r>
  <r>
    <s v="Jul-2013"/>
    <x v="1"/>
    <n v="309"/>
    <x v="7"/>
    <n v="0.7"/>
    <n v="8.6999999999999993"/>
    <s v="60746948"/>
    <x v="18"/>
  </r>
  <r>
    <s v="Jul-2013"/>
    <x v="0"/>
    <n v="436"/>
    <x v="15"/>
    <n v="0.61"/>
    <n v="7.63"/>
    <s v="13009717"/>
    <x v="18"/>
  </r>
  <r>
    <s v="Jul-2013"/>
    <x v="1"/>
    <n v="277"/>
    <x v="9"/>
    <n v="0.69"/>
    <n v="8.57"/>
    <s v="90400888"/>
    <x v="18"/>
  </r>
  <r>
    <s v="Jul-2013"/>
    <x v="0"/>
    <n v="289"/>
    <x v="10"/>
    <n v="0.59"/>
    <n v="7.28"/>
    <s v="00000000"/>
    <x v="18"/>
  </r>
  <r>
    <s v="Jul-2013"/>
    <x v="2"/>
    <n v="443"/>
    <x v="17"/>
    <n v="1.99"/>
    <n v="26.61"/>
    <s v="00416968"/>
    <x v="18"/>
  </r>
  <r>
    <s v="Jul-2013"/>
    <x v="1"/>
    <n v="235"/>
    <x v="11"/>
    <n v="0.66"/>
    <n v="8.2200000000000006"/>
    <s v="28127603"/>
    <x v="18"/>
  </r>
  <r>
    <s v="Jul-2013"/>
    <x v="2"/>
    <n v="345"/>
    <x v="14"/>
    <n v="1.42"/>
    <n v="18.5"/>
    <s v="62237367"/>
    <x v="18"/>
  </r>
  <r>
    <s v="Jul-2013"/>
    <x v="0"/>
    <n v="103"/>
    <x v="18"/>
    <n v="0.52"/>
    <n v="6.37"/>
    <s v="92702067"/>
    <x v="18"/>
  </r>
  <r>
    <s v="Jul-2013"/>
    <x v="2"/>
    <n v="297"/>
    <x v="3"/>
    <n v="1.35"/>
    <n v="17.41"/>
    <s v="01701201"/>
    <x v="18"/>
  </r>
  <r>
    <s v="Jul-2013"/>
    <x v="1"/>
    <n v="104"/>
    <x v="16"/>
    <n v="0.57999999999999996"/>
    <n v="7.15"/>
    <s v="17441197"/>
    <x v="18"/>
  </r>
  <r>
    <s v="Jul-2013"/>
    <x v="3"/>
    <n v="129"/>
    <x v="10"/>
    <n v="0.92"/>
    <n v="11.68"/>
    <s v="00000000"/>
    <x v="18"/>
  </r>
  <r>
    <s v="Jul-2013"/>
    <x v="2"/>
    <n v="42"/>
    <x v="20"/>
    <n v="0.79"/>
    <n v="9.9600000000000009"/>
    <s v="87091716"/>
    <x v="18"/>
  </r>
  <r>
    <s v="Jul-2013"/>
    <x v="3"/>
    <n v="96"/>
    <x v="4"/>
    <n v="0.91"/>
    <n v="11.48"/>
    <s v="00360305"/>
    <x v="18"/>
  </r>
  <r>
    <s v="Jul-2013"/>
    <x v="0"/>
    <n v="27"/>
    <x v="4"/>
    <n v="0.46"/>
    <n v="5.71"/>
    <s v="00360305"/>
    <x v="18"/>
  </r>
  <r>
    <s v="Jul-2013"/>
    <x v="3"/>
    <n v="67"/>
    <x v="2"/>
    <n v="0.83"/>
    <n v="10.43"/>
    <s v="60701190"/>
    <x v="18"/>
  </r>
  <r>
    <s v="Jul-2013"/>
    <x v="2"/>
    <n v="17"/>
    <x v="19"/>
    <n v="0.67"/>
    <n v="8.3800000000000008"/>
    <s v="33479023"/>
    <x v="18"/>
  </r>
  <r>
    <s v="Jul-2013"/>
    <x v="3"/>
    <n v="39"/>
    <x v="9"/>
    <n v="0.75"/>
    <n v="9.41"/>
    <s v="90400888"/>
    <x v="18"/>
  </r>
  <r>
    <s v="Ago-2013"/>
    <x v="1"/>
    <n v="1209"/>
    <x v="1"/>
    <n v="1.94"/>
    <n v="26"/>
    <s v="02868100"/>
    <x v="19"/>
  </r>
  <r>
    <s v="Ago-2013"/>
    <x v="0"/>
    <n v="1161"/>
    <x v="2"/>
    <n v="0.78"/>
    <n v="9.82"/>
    <s v="60701190"/>
    <x v="19"/>
  </r>
  <r>
    <s v="Ago-2013"/>
    <x v="1"/>
    <n v="1090"/>
    <x v="10"/>
    <n v="1.28"/>
    <n v="16.53"/>
    <s v="00000000"/>
    <x v="19"/>
  </r>
  <r>
    <s v="Ago-2013"/>
    <x v="0"/>
    <n v="869"/>
    <x v="0"/>
    <n v="0.71"/>
    <n v="8.92"/>
    <s v="00655522"/>
    <x v="19"/>
  </r>
  <r>
    <s v="Ago-2013"/>
    <x v="1"/>
    <n v="1052"/>
    <x v="13"/>
    <n v="1.18"/>
    <n v="15.08"/>
    <s v="00000208"/>
    <x v="19"/>
  </r>
  <r>
    <s v="Ago-2013"/>
    <x v="0"/>
    <n v="730"/>
    <x v="7"/>
    <n v="0.69"/>
    <n v="8.58"/>
    <s v="60746948"/>
    <x v="19"/>
  </r>
  <r>
    <s v="Ago-2013"/>
    <x v="1"/>
    <n v="1039"/>
    <x v="24"/>
    <n v="1.1599999999999999"/>
    <n v="14.81"/>
    <s v="10372647"/>
    <x v="19"/>
  </r>
  <r>
    <s v="Ago-2013"/>
    <x v="0"/>
    <n v="677"/>
    <x v="9"/>
    <n v="0.68"/>
    <n v="8.4700000000000006"/>
    <s v="90400888"/>
    <x v="19"/>
  </r>
  <r>
    <s v="Ago-2013"/>
    <x v="1"/>
    <n v="1004"/>
    <x v="6"/>
    <n v="1.08"/>
    <n v="13.73"/>
    <s v="14511781"/>
    <x v="19"/>
  </r>
  <r>
    <s v="Ago-2013"/>
    <x v="0"/>
    <n v="664"/>
    <x v="3"/>
    <n v="0.68"/>
    <n v="8.44"/>
    <s v="01701201"/>
    <x v="19"/>
  </r>
  <r>
    <s v="Ago-2013"/>
    <x v="1"/>
    <n v="989"/>
    <x v="4"/>
    <n v="1.05"/>
    <n v="13.32"/>
    <s v="00360305"/>
    <x v="19"/>
  </r>
  <r>
    <s v="Ago-2013"/>
    <x v="0"/>
    <n v="537"/>
    <x v="13"/>
    <n v="0.64"/>
    <n v="7.93"/>
    <s v="00000208"/>
    <x v="19"/>
  </r>
  <r>
    <s v="Ago-2013"/>
    <x v="1"/>
    <n v="971"/>
    <x v="12"/>
    <n v="1.01"/>
    <n v="12.79"/>
    <s v="00517645"/>
    <x v="19"/>
  </r>
  <r>
    <s v="Ago-2013"/>
    <x v="0"/>
    <n v="470"/>
    <x v="15"/>
    <n v="0.62"/>
    <n v="7.74"/>
    <s v="13009717"/>
    <x v="19"/>
  </r>
  <r>
    <s v="Ago-2013"/>
    <x v="1"/>
    <n v="332"/>
    <x v="14"/>
    <n v="0.71"/>
    <n v="8.8000000000000007"/>
    <s v="62237367"/>
    <x v="19"/>
  </r>
  <r>
    <s v="Ago-2013"/>
    <x v="0"/>
    <n v="468"/>
    <x v="11"/>
    <n v="0.62"/>
    <n v="7.74"/>
    <s v="28127603"/>
    <x v="19"/>
  </r>
  <r>
    <s v="Ago-2013"/>
    <x v="1"/>
    <n v="330"/>
    <x v="7"/>
    <n v="0.7"/>
    <n v="8.7799999999999994"/>
    <s v="60746948"/>
    <x v="19"/>
  </r>
  <r>
    <s v="Ago-2013"/>
    <x v="2"/>
    <n v="427"/>
    <x v="17"/>
    <n v="1.8"/>
    <n v="23.82"/>
    <s v="00416968"/>
    <x v="19"/>
  </r>
  <r>
    <s v="Ago-2013"/>
    <x v="0"/>
    <n v="260"/>
    <x v="10"/>
    <n v="0.56999999999999995"/>
    <n v="7.12"/>
    <s v="00000000"/>
    <x v="19"/>
  </r>
  <r>
    <s v="Ago-2013"/>
    <x v="2"/>
    <n v="344"/>
    <x v="14"/>
    <n v="1.42"/>
    <n v="18.5"/>
    <s v="62237367"/>
    <x v="19"/>
  </r>
  <r>
    <s v="Ago-2013"/>
    <x v="1"/>
    <n v="264"/>
    <x v="9"/>
    <n v="0.68"/>
    <n v="8.49"/>
    <s v="90400888"/>
    <x v="19"/>
  </r>
  <r>
    <s v="Ago-2013"/>
    <x v="2"/>
    <n v="323"/>
    <x v="3"/>
    <n v="1.36"/>
    <n v="17.63"/>
    <s v="01701201"/>
    <x v="19"/>
  </r>
  <r>
    <s v="Ago-2013"/>
    <x v="0"/>
    <n v="75"/>
    <x v="18"/>
    <n v="0.5"/>
    <n v="6.16"/>
    <s v="92702067"/>
    <x v="19"/>
  </r>
  <r>
    <s v="Ago-2013"/>
    <x v="2"/>
    <n v="280"/>
    <x v="10"/>
    <n v="1.27"/>
    <n v="16.41"/>
    <s v="00000000"/>
    <x v="19"/>
  </r>
  <r>
    <s v="Ago-2013"/>
    <x v="1"/>
    <n v="8"/>
    <x v="16"/>
    <n v="0.18"/>
    <n v="2.1800000000000002"/>
    <s v="17441197"/>
    <x v="19"/>
  </r>
  <r>
    <s v="Ago-2013"/>
    <x v="3"/>
    <n v="139"/>
    <x v="10"/>
    <n v="0.94"/>
    <n v="11.89"/>
    <s v="00000000"/>
    <x v="19"/>
  </r>
  <r>
    <s v="Ago-2013"/>
    <x v="2"/>
    <n v="54"/>
    <x v="20"/>
    <n v="0.83"/>
    <n v="10.45"/>
    <s v="87091716"/>
    <x v="19"/>
  </r>
  <r>
    <s v="Ago-2013"/>
    <x v="3"/>
    <n v="98"/>
    <x v="4"/>
    <n v="0.91"/>
    <n v="11.48"/>
    <s v="00360305"/>
    <x v="19"/>
  </r>
  <r>
    <s v="Ago-2013"/>
    <x v="0"/>
    <n v="36"/>
    <x v="4"/>
    <n v="0.47"/>
    <n v="5.78"/>
    <s v="00360305"/>
    <x v="19"/>
  </r>
  <r>
    <s v="Ago-2013"/>
    <x v="3"/>
    <n v="81"/>
    <x v="2"/>
    <n v="0.85"/>
    <n v="10.72"/>
    <s v="60701190"/>
    <x v="19"/>
  </r>
  <r>
    <s v="Ago-2013"/>
    <x v="2"/>
    <n v="3"/>
    <x v="19"/>
    <n v="0.65"/>
    <n v="8.11"/>
    <s v="33479023"/>
    <x v="19"/>
  </r>
  <r>
    <s v="Ago-2013"/>
    <x v="3"/>
    <n v="68"/>
    <x v="9"/>
    <n v="0.83"/>
    <n v="10.45"/>
    <s v="90400888"/>
    <x v="19"/>
  </r>
  <r>
    <s v="Set-2013"/>
    <x v="1"/>
    <n v="1210"/>
    <x v="1"/>
    <n v="1.94"/>
    <n v="26"/>
    <s v="02868100"/>
    <x v="20"/>
  </r>
  <r>
    <s v="Set-2013"/>
    <x v="0"/>
    <n v="1304"/>
    <x v="2"/>
    <n v="0.84"/>
    <n v="10.56"/>
    <s v="60701190"/>
    <x v="20"/>
  </r>
  <r>
    <s v="Set-2013"/>
    <x v="1"/>
    <n v="1136"/>
    <x v="6"/>
    <n v="1.43"/>
    <n v="18.62"/>
    <s v="14511781"/>
    <x v="20"/>
  </r>
  <r>
    <s v="Set-2013"/>
    <x v="0"/>
    <n v="905"/>
    <x v="0"/>
    <n v="0.72"/>
    <n v="9.02"/>
    <s v="00655522"/>
    <x v="20"/>
  </r>
  <r>
    <s v="Set-2013"/>
    <x v="1"/>
    <n v="1112"/>
    <x v="25"/>
    <n v="1.35"/>
    <n v="17.45"/>
    <s v="61186680"/>
    <x v="20"/>
  </r>
  <r>
    <s v="Set-2013"/>
    <x v="0"/>
    <n v="696"/>
    <x v="7"/>
    <n v="0.68"/>
    <n v="8.5"/>
    <s v="60746948"/>
    <x v="20"/>
  </r>
  <r>
    <s v="Set-2013"/>
    <x v="1"/>
    <n v="1041"/>
    <x v="24"/>
    <n v="1.1599999999999999"/>
    <n v="14.83"/>
    <s v="10372647"/>
    <x v="20"/>
  </r>
  <r>
    <s v="Set-2013"/>
    <x v="0"/>
    <n v="681"/>
    <x v="9"/>
    <n v="0.68"/>
    <n v="8.48"/>
    <s v="90400888"/>
    <x v="20"/>
  </r>
  <r>
    <s v="Set-2013"/>
    <x v="1"/>
    <n v="1017"/>
    <x v="13"/>
    <n v="1.1100000000000001"/>
    <n v="14.11"/>
    <s v="00000208"/>
    <x v="20"/>
  </r>
  <r>
    <s v="Set-2013"/>
    <x v="0"/>
    <n v="667"/>
    <x v="3"/>
    <n v="0.68"/>
    <n v="8.4499999999999993"/>
    <s v="01701201"/>
    <x v="20"/>
  </r>
  <r>
    <s v="Set-2013"/>
    <x v="1"/>
    <n v="997"/>
    <x v="4"/>
    <n v="1.07"/>
    <n v="13.57"/>
    <s v="00360305"/>
    <x v="20"/>
  </r>
  <r>
    <s v="Set-2013"/>
    <x v="0"/>
    <n v="590"/>
    <x v="15"/>
    <n v="0.66"/>
    <n v="8.15"/>
    <s v="13009717"/>
    <x v="20"/>
  </r>
  <r>
    <s v="Set-2013"/>
    <x v="1"/>
    <n v="351"/>
    <x v="14"/>
    <n v="0.71"/>
    <n v="8.92"/>
    <s v="62237367"/>
    <x v="20"/>
  </r>
  <r>
    <s v="Set-2013"/>
    <x v="0"/>
    <n v="548"/>
    <x v="13"/>
    <n v="0.64"/>
    <n v="7.96"/>
    <s v="00000208"/>
    <x v="20"/>
  </r>
  <r>
    <s v="Set-2013"/>
    <x v="1"/>
    <n v="323"/>
    <x v="7"/>
    <n v="0.7"/>
    <n v="8.74"/>
    <s v="60746948"/>
    <x v="20"/>
  </r>
  <r>
    <s v="Set-2013"/>
    <x v="0"/>
    <n v="476"/>
    <x v="11"/>
    <n v="0.62"/>
    <n v="7.76"/>
    <s v="28127603"/>
    <x v="20"/>
  </r>
  <r>
    <s v="Set-2013"/>
    <x v="1"/>
    <n v="292"/>
    <x v="9"/>
    <n v="0.69"/>
    <n v="8.6199999999999992"/>
    <s v="90400888"/>
    <x v="20"/>
  </r>
  <r>
    <s v="Set-2013"/>
    <x v="2"/>
    <n v="434"/>
    <x v="17"/>
    <n v="1.91"/>
    <n v="25.42"/>
    <s v="00416968"/>
    <x v="20"/>
  </r>
  <r>
    <s v="Set-2013"/>
    <x v="0"/>
    <n v="201"/>
    <x v="10"/>
    <n v="0.55000000000000004"/>
    <n v="6.81"/>
    <s v="00000000"/>
    <x v="20"/>
  </r>
  <r>
    <s v="Set-2013"/>
    <x v="2"/>
    <n v="390"/>
    <x v="14"/>
    <n v="1.49"/>
    <n v="19.45"/>
    <s v="62237367"/>
    <x v="20"/>
  </r>
  <r>
    <s v="Set-2013"/>
    <x v="1"/>
    <n v="222"/>
    <x v="11"/>
    <n v="0.64"/>
    <n v="8"/>
    <s v="28127603"/>
    <x v="20"/>
  </r>
  <r>
    <s v="Set-2013"/>
    <x v="2"/>
    <n v="283"/>
    <x v="3"/>
    <n v="1.29"/>
    <n v="16.64"/>
    <s v="01701201"/>
    <x v="20"/>
  </r>
  <r>
    <s v="Set-2013"/>
    <x v="0"/>
    <n v="100"/>
    <x v="18"/>
    <n v="0.51"/>
    <n v="6.32"/>
    <s v="92702067"/>
    <x v="20"/>
  </r>
  <r>
    <s v="Set-2013"/>
    <x v="2"/>
    <n v="120"/>
    <x v="26"/>
    <n v="0.99"/>
    <n v="12.6"/>
    <s v="18282093"/>
    <x v="20"/>
  </r>
  <r>
    <s v="Set-2013"/>
    <x v="1"/>
    <n v="29"/>
    <x v="16"/>
    <n v="0.51"/>
    <n v="6.27"/>
    <s v="17441197"/>
    <x v="20"/>
  </r>
  <r>
    <s v="Set-2013"/>
    <x v="2"/>
    <n v="78"/>
    <x v="20"/>
    <n v="0.92"/>
    <n v="11.56"/>
    <s v="87091716"/>
    <x v="20"/>
  </r>
  <r>
    <s v="Set-2013"/>
    <x v="3"/>
    <n v="137"/>
    <x v="10"/>
    <n v="0.93"/>
    <n v="11.8"/>
    <s v="00000000"/>
    <x v="20"/>
  </r>
  <r>
    <s v="Set-2013"/>
    <x v="0"/>
    <n v="35"/>
    <x v="4"/>
    <n v="0.47"/>
    <n v="5.78"/>
    <s v="00360305"/>
    <x v="20"/>
  </r>
  <r>
    <s v="Set-2013"/>
    <x v="3"/>
    <n v="97"/>
    <x v="4"/>
    <n v="0.91"/>
    <n v="11.48"/>
    <s v="00360305"/>
    <x v="20"/>
  </r>
  <r>
    <s v="Set-2013"/>
    <x v="2"/>
    <n v="6"/>
    <x v="19"/>
    <n v="0.66"/>
    <n v="8.19"/>
    <s v="33479023"/>
    <x v="20"/>
  </r>
  <r>
    <s v="Set-2013"/>
    <x v="3"/>
    <n v="70"/>
    <x v="9"/>
    <n v="0.83"/>
    <n v="10.49"/>
    <s v="90400888"/>
    <x v="20"/>
  </r>
  <r>
    <s v="Out-2013"/>
    <x v="1"/>
    <n v="1187"/>
    <x v="1"/>
    <n v="1.74"/>
    <n v="22.93"/>
    <s v="02868100"/>
    <x v="21"/>
  </r>
  <r>
    <s v="Out-2013"/>
    <x v="1"/>
    <n v="1172"/>
    <x v="17"/>
    <n v="1.61"/>
    <n v="21.09"/>
    <s v="00416968"/>
    <x v="21"/>
  </r>
  <r>
    <s v="Out-2013"/>
    <x v="0"/>
    <n v="1311"/>
    <x v="2"/>
    <n v="0.84"/>
    <n v="10.59"/>
    <s v="60701190"/>
    <x v="21"/>
  </r>
  <r>
    <s v="Out-2013"/>
    <x v="1"/>
    <n v="1161"/>
    <x v="6"/>
    <n v="1.52"/>
    <n v="19.88"/>
    <s v="14511781"/>
    <x v="21"/>
  </r>
  <r>
    <s v="Out-2013"/>
    <x v="0"/>
    <n v="1062"/>
    <x v="0"/>
    <n v="0.76"/>
    <n v="9.4600000000000009"/>
    <s v="00655522"/>
    <x v="21"/>
  </r>
  <r>
    <s v="Out-2013"/>
    <x v="1"/>
    <n v="1151"/>
    <x v="4"/>
    <n v="1.48"/>
    <n v="19.29"/>
    <s v="00360305"/>
    <x v="21"/>
  </r>
  <r>
    <s v="Out-2013"/>
    <x v="0"/>
    <n v="686"/>
    <x v="3"/>
    <n v="0.68"/>
    <n v="8.48"/>
    <s v="01701201"/>
    <x v="21"/>
  </r>
  <r>
    <s v="Out-2013"/>
    <x v="1"/>
    <n v="1056"/>
    <x v="8"/>
    <n v="1.19"/>
    <n v="15.21"/>
    <s v="10694628"/>
    <x v="21"/>
  </r>
  <r>
    <s v="Out-2013"/>
    <x v="0"/>
    <n v="685"/>
    <x v="7"/>
    <n v="0.68"/>
    <n v="8.48"/>
    <s v="60746948"/>
    <x v="21"/>
  </r>
  <r>
    <s v="Out-2013"/>
    <x v="1"/>
    <n v="1043"/>
    <x v="24"/>
    <n v="1.1599999999999999"/>
    <n v="14.85"/>
    <s v="10372647"/>
    <x v="21"/>
  </r>
  <r>
    <s v="Out-2013"/>
    <x v="0"/>
    <n v="665"/>
    <x v="9"/>
    <n v="0.68"/>
    <n v="8.44"/>
    <s v="90400888"/>
    <x v="21"/>
  </r>
  <r>
    <s v="Out-2013"/>
    <x v="1"/>
    <n v="986"/>
    <x v="25"/>
    <n v="1.03"/>
    <n v="13.06"/>
    <s v="61186680"/>
    <x v="21"/>
  </r>
  <r>
    <s v="Out-2013"/>
    <x v="0"/>
    <n v="505"/>
    <x v="13"/>
    <n v="0.63"/>
    <n v="7.84"/>
    <s v="00000208"/>
    <x v="21"/>
  </r>
  <r>
    <s v="Out-2013"/>
    <x v="1"/>
    <n v="874"/>
    <x v="13"/>
    <n v="0.93"/>
    <n v="11.76"/>
    <s v="00000208"/>
    <x v="21"/>
  </r>
  <r>
    <s v="Out-2013"/>
    <x v="0"/>
    <n v="447"/>
    <x v="11"/>
    <n v="0.62"/>
    <n v="7.69"/>
    <s v="28127603"/>
    <x v="21"/>
  </r>
  <r>
    <s v="Out-2013"/>
    <x v="1"/>
    <n v="333"/>
    <x v="14"/>
    <n v="0.71"/>
    <n v="8.8000000000000007"/>
    <s v="62237367"/>
    <x v="21"/>
  </r>
  <r>
    <s v="Out-2013"/>
    <x v="0"/>
    <n v="320"/>
    <x v="15"/>
    <n v="0.6"/>
    <n v="7.38"/>
    <s v="13009717"/>
    <x v="21"/>
  </r>
  <r>
    <s v="Out-2013"/>
    <x v="1"/>
    <n v="307"/>
    <x v="7"/>
    <n v="0.7"/>
    <n v="8.69"/>
    <s v="60746948"/>
    <x v="21"/>
  </r>
  <r>
    <s v="Out-2013"/>
    <x v="0"/>
    <n v="164"/>
    <x v="10"/>
    <n v="0.54"/>
    <n v="6.67"/>
    <s v="00000000"/>
    <x v="21"/>
  </r>
  <r>
    <s v="Out-2013"/>
    <x v="1"/>
    <n v="268"/>
    <x v="9"/>
    <n v="0.68"/>
    <n v="8.5"/>
    <s v="90400888"/>
    <x v="21"/>
  </r>
  <r>
    <s v="Out-2013"/>
    <x v="2"/>
    <n v="435"/>
    <x v="17"/>
    <n v="1.91"/>
    <n v="25.43"/>
    <s v="00416968"/>
    <x v="21"/>
  </r>
  <r>
    <s v="Out-2013"/>
    <x v="0"/>
    <n v="113"/>
    <x v="18"/>
    <n v="0.52"/>
    <n v="6.42"/>
    <s v="92702067"/>
    <x v="21"/>
  </r>
  <r>
    <s v="Out-2013"/>
    <x v="2"/>
    <n v="352"/>
    <x v="14"/>
    <n v="1.42"/>
    <n v="18.5"/>
    <s v="62237367"/>
    <x v="21"/>
  </r>
  <r>
    <s v="Out-2013"/>
    <x v="1"/>
    <n v="265"/>
    <x v="11"/>
    <n v="0.68"/>
    <n v="8.49"/>
    <s v="28127603"/>
    <x v="21"/>
  </r>
  <r>
    <s v="Out-2013"/>
    <x v="2"/>
    <n v="243"/>
    <x v="3"/>
    <n v="1.22"/>
    <n v="15.67"/>
    <s v="01701201"/>
    <x v="21"/>
  </r>
  <r>
    <s v="Out-2013"/>
    <x v="0"/>
    <n v="14"/>
    <x v="4"/>
    <n v="0.42"/>
    <n v="5.21"/>
    <s v="00360305"/>
    <x v="21"/>
  </r>
  <r>
    <s v="Out-2013"/>
    <x v="2"/>
    <n v="43"/>
    <x v="26"/>
    <n v="0.8"/>
    <n v="9.98"/>
    <s v="18282093"/>
    <x v="21"/>
  </r>
  <r>
    <s v="Out-2013"/>
    <x v="1"/>
    <n v="19"/>
    <x v="16"/>
    <n v="0.37"/>
    <n v="4.58"/>
    <s v="17441197"/>
    <x v="21"/>
  </r>
  <r>
    <s v="Out-2013"/>
    <x v="3"/>
    <n v="185"/>
    <x v="10"/>
    <n v="0.96"/>
    <n v="12.19"/>
    <s v="00000000"/>
    <x v="21"/>
  </r>
  <r>
    <s v="Out-2013"/>
    <x v="2"/>
    <n v="7"/>
    <x v="19"/>
    <n v="0.66"/>
    <n v="8.19"/>
    <s v="33479023"/>
    <x v="21"/>
  </r>
  <r>
    <s v="Out-2013"/>
    <x v="3"/>
    <n v="88"/>
    <x v="9"/>
    <n v="0.87"/>
    <n v="10.93"/>
    <s v="90400888"/>
    <x v="21"/>
  </r>
  <r>
    <s v="Nov-2013"/>
    <x v="0"/>
    <n v="1307"/>
    <x v="2"/>
    <n v="0.84"/>
    <n v="10.59"/>
    <s v="60701190"/>
    <x v="22"/>
  </r>
  <r>
    <s v="Nov-2013"/>
    <x v="1"/>
    <n v="1170"/>
    <x v="4"/>
    <n v="1.58"/>
    <n v="20.74"/>
    <s v="00360305"/>
    <x v="22"/>
  </r>
  <r>
    <s v="Nov-2013"/>
    <x v="0"/>
    <n v="841"/>
    <x v="0"/>
    <n v="0.71"/>
    <n v="8.83"/>
    <s v="00655522"/>
    <x v="22"/>
  </r>
  <r>
    <s v="Nov-2013"/>
    <x v="1"/>
    <n v="1143"/>
    <x v="1"/>
    <n v="1.46"/>
    <n v="19"/>
    <s v="02868100"/>
    <x v="22"/>
  </r>
  <r>
    <s v="Nov-2013"/>
    <x v="0"/>
    <n v="794"/>
    <x v="18"/>
    <n v="0.7"/>
    <n v="8.7200000000000006"/>
    <s v="92702067"/>
    <x v="22"/>
  </r>
  <r>
    <s v="Nov-2013"/>
    <x v="1"/>
    <n v="1120"/>
    <x v="25"/>
    <n v="1.39"/>
    <n v="17.96"/>
    <s v="61186680"/>
    <x v="22"/>
  </r>
  <r>
    <s v="Nov-2013"/>
    <x v="0"/>
    <n v="676"/>
    <x v="3"/>
    <n v="0.68"/>
    <n v="8.4700000000000006"/>
    <s v="01701201"/>
    <x v="22"/>
  </r>
  <r>
    <s v="Nov-2013"/>
    <x v="1"/>
    <n v="1069"/>
    <x v="13"/>
    <n v="1.22"/>
    <n v="15.6"/>
    <s v="00000208"/>
    <x v="22"/>
  </r>
  <r>
    <s v="Nov-2013"/>
    <x v="0"/>
    <n v="675"/>
    <x v="7"/>
    <n v="0.68"/>
    <n v="8.4700000000000006"/>
    <s v="60746948"/>
    <x v="22"/>
  </r>
  <r>
    <s v="Nov-2013"/>
    <x v="1"/>
    <n v="1065"/>
    <x v="24"/>
    <n v="1.2"/>
    <n v="15.37"/>
    <s v="10372647"/>
    <x v="22"/>
  </r>
  <r>
    <s v="Nov-2013"/>
    <x v="0"/>
    <n v="659"/>
    <x v="9"/>
    <n v="0.68"/>
    <n v="8.42"/>
    <s v="90400888"/>
    <x v="22"/>
  </r>
  <r>
    <s v="Nov-2013"/>
    <x v="1"/>
    <n v="1005"/>
    <x v="6"/>
    <n v="1.08"/>
    <n v="13.77"/>
    <s v="14511781"/>
    <x v="22"/>
  </r>
  <r>
    <s v="Nov-2013"/>
    <x v="0"/>
    <n v="508"/>
    <x v="13"/>
    <n v="0.63"/>
    <n v="7.85"/>
    <s v="00000208"/>
    <x v="22"/>
  </r>
  <r>
    <s v="Nov-2013"/>
    <x v="1"/>
    <n v="366"/>
    <x v="14"/>
    <n v="0.72"/>
    <n v="8.99"/>
    <s v="62237367"/>
    <x v="22"/>
  </r>
  <r>
    <s v="Nov-2013"/>
    <x v="0"/>
    <n v="443"/>
    <x v="11"/>
    <n v="0.62"/>
    <n v="7.67"/>
    <s v="28127603"/>
    <x v="22"/>
  </r>
  <r>
    <s v="Nov-2013"/>
    <x v="1"/>
    <n v="328"/>
    <x v="7"/>
    <n v="0.7"/>
    <n v="8.76"/>
    <s v="60746948"/>
    <x v="22"/>
  </r>
  <r>
    <s v="Nov-2013"/>
    <x v="0"/>
    <n v="306"/>
    <x v="15"/>
    <n v="0.59"/>
    <n v="7.36"/>
    <s v="13009717"/>
    <x v="22"/>
  </r>
  <r>
    <s v="Nov-2013"/>
    <x v="2"/>
    <n v="349"/>
    <x v="14"/>
    <n v="1.42"/>
    <n v="18.5"/>
    <s v="62237367"/>
    <x v="22"/>
  </r>
  <r>
    <s v="Nov-2013"/>
    <x v="1"/>
    <n v="286"/>
    <x v="9"/>
    <n v="0.69"/>
    <n v="8.59"/>
    <s v="90400888"/>
    <x v="22"/>
  </r>
  <r>
    <s v="Nov-2013"/>
    <x v="2"/>
    <n v="232"/>
    <x v="3"/>
    <n v="1.2"/>
    <n v="15.4"/>
    <s v="01701201"/>
    <x v="22"/>
  </r>
  <r>
    <s v="Nov-2013"/>
    <x v="0"/>
    <n v="158"/>
    <x v="10"/>
    <n v="0.53"/>
    <n v="6.59"/>
    <s v="00000000"/>
    <x v="22"/>
  </r>
  <r>
    <s v="Nov-2013"/>
    <x v="2"/>
    <n v="63"/>
    <x v="26"/>
    <n v="0.85"/>
    <n v="10.73"/>
    <s v="18282093"/>
    <x v="22"/>
  </r>
  <r>
    <s v="Nov-2013"/>
    <x v="1"/>
    <n v="30"/>
    <x v="16"/>
    <n v="0.51"/>
    <n v="6.29"/>
    <s v="17441197"/>
    <x v="22"/>
  </r>
  <r>
    <s v="Nov-2013"/>
    <x v="2"/>
    <n v="46"/>
    <x v="9"/>
    <n v="0.8"/>
    <n v="10.02"/>
    <s v="90400888"/>
    <x v="22"/>
  </r>
  <r>
    <s v="Nov-2013"/>
    <x v="0"/>
    <n v="13"/>
    <x v="4"/>
    <n v="0.42"/>
    <n v="5.21"/>
    <s v="00360305"/>
    <x v="22"/>
  </r>
  <r>
    <s v="Nov-2013"/>
    <x v="3"/>
    <n v="168"/>
    <x v="10"/>
    <n v="0.95"/>
    <n v="12.08"/>
    <s v="00000000"/>
    <x v="22"/>
  </r>
  <r>
    <s v="Nov-2013"/>
    <x v="2"/>
    <n v="8"/>
    <x v="19"/>
    <n v="0.66"/>
    <n v="8.2100000000000009"/>
    <s v="33479023"/>
    <x v="22"/>
  </r>
  <r>
    <s v="Nov-2013"/>
    <x v="3"/>
    <n v="64"/>
    <x v="9"/>
    <n v="0.83"/>
    <n v="10.37"/>
    <s v="90400888"/>
    <x v="22"/>
  </r>
  <r>
    <s v="Dez-2013"/>
    <x v="1"/>
    <n v="1193"/>
    <x v="17"/>
    <n v="1.79"/>
    <n v="23.7"/>
    <s v="00416968"/>
    <x v="23"/>
  </r>
  <r>
    <s v="Dez-2013"/>
    <x v="0"/>
    <n v="1312"/>
    <x v="2"/>
    <n v="0.84"/>
    <n v="10.6"/>
    <s v="60701190"/>
    <x v="23"/>
  </r>
  <r>
    <s v="Dez-2013"/>
    <x v="1"/>
    <n v="1145"/>
    <x v="1"/>
    <n v="1.46"/>
    <n v="19"/>
    <s v="02868100"/>
    <x v="23"/>
  </r>
  <r>
    <s v="Dez-2013"/>
    <x v="0"/>
    <n v="980"/>
    <x v="0"/>
    <n v="0.74"/>
    <n v="9.2200000000000006"/>
    <s v="00655522"/>
    <x v="23"/>
  </r>
  <r>
    <s v="Dez-2013"/>
    <x v="1"/>
    <n v="1114"/>
    <x v="25"/>
    <n v="1.36"/>
    <n v="17.66"/>
    <s v="61186680"/>
    <x v="23"/>
  </r>
  <r>
    <s v="Dez-2013"/>
    <x v="0"/>
    <n v="739"/>
    <x v="18"/>
    <n v="0.69"/>
    <n v="8.6"/>
    <s v="92702067"/>
    <x v="23"/>
  </r>
  <r>
    <s v="Dez-2013"/>
    <x v="1"/>
    <n v="1077"/>
    <x v="4"/>
    <n v="1.23"/>
    <n v="15.79"/>
    <s v="00360305"/>
    <x v="23"/>
  </r>
  <r>
    <s v="Dez-2013"/>
    <x v="0"/>
    <n v="712"/>
    <x v="3"/>
    <n v="0.68"/>
    <n v="8.5299999999999994"/>
    <s v="01701201"/>
    <x v="23"/>
  </r>
  <r>
    <s v="Dez-2013"/>
    <x v="1"/>
    <n v="1073"/>
    <x v="6"/>
    <n v="1.22"/>
    <n v="15.66"/>
    <s v="14511781"/>
    <x v="23"/>
  </r>
  <r>
    <s v="Dez-2013"/>
    <x v="0"/>
    <n v="709"/>
    <x v="7"/>
    <n v="0.68"/>
    <n v="8.52"/>
    <s v="60746948"/>
    <x v="23"/>
  </r>
  <r>
    <s v="Dez-2013"/>
    <x v="1"/>
    <n v="1053"/>
    <x v="8"/>
    <n v="1.18"/>
    <n v="15.16"/>
    <s v="10694628"/>
    <x v="23"/>
  </r>
  <r>
    <s v="Dez-2013"/>
    <x v="0"/>
    <n v="661"/>
    <x v="9"/>
    <n v="0.68"/>
    <n v="8.43"/>
    <s v="90400888"/>
    <x v="23"/>
  </r>
  <r>
    <s v="Dez-2013"/>
    <x v="1"/>
    <n v="1040"/>
    <x v="24"/>
    <n v="1.1599999999999999"/>
    <n v="14.81"/>
    <s v="10372647"/>
    <x v="23"/>
  </r>
  <r>
    <s v="Dez-2013"/>
    <x v="0"/>
    <n v="506"/>
    <x v="13"/>
    <n v="0.63"/>
    <n v="7.84"/>
    <s v="00000208"/>
    <x v="23"/>
  </r>
  <r>
    <s v="Dez-2013"/>
    <x v="1"/>
    <n v="462"/>
    <x v="14"/>
    <n v="0.75"/>
    <n v="9.36"/>
    <s v="62237367"/>
    <x v="23"/>
  </r>
  <r>
    <s v="Dez-2013"/>
    <x v="0"/>
    <n v="484"/>
    <x v="11"/>
    <n v="0.63"/>
    <n v="7.78"/>
    <s v="28127603"/>
    <x v="23"/>
  </r>
  <r>
    <s v="Dez-2013"/>
    <x v="1"/>
    <n v="370"/>
    <x v="11"/>
    <n v="0.72"/>
    <n v="9"/>
    <s v="28127603"/>
    <x v="23"/>
  </r>
  <r>
    <s v="Dez-2013"/>
    <x v="0"/>
    <n v="384"/>
    <x v="15"/>
    <n v="0.6"/>
    <n v="7.49"/>
    <s v="13009717"/>
    <x v="23"/>
  </r>
  <r>
    <s v="Dez-2013"/>
    <x v="2"/>
    <n v="433"/>
    <x v="17"/>
    <n v="1.9"/>
    <n v="25.4"/>
    <s v="00416968"/>
    <x v="23"/>
  </r>
  <r>
    <s v="Dez-2013"/>
    <x v="1"/>
    <n v="344"/>
    <x v="7"/>
    <n v="0.71"/>
    <n v="8.8800000000000008"/>
    <s v="60746948"/>
    <x v="23"/>
  </r>
  <r>
    <s v="Dez-2013"/>
    <x v="2"/>
    <n v="353"/>
    <x v="14"/>
    <n v="1.42"/>
    <n v="18.5"/>
    <s v="62237367"/>
    <x v="23"/>
  </r>
  <r>
    <s v="Dez-2013"/>
    <x v="0"/>
    <n v="244"/>
    <x v="10"/>
    <n v="0.56999999999999995"/>
    <n v="7"/>
    <s v="00000000"/>
    <x v="23"/>
  </r>
  <r>
    <s v="Dez-2013"/>
    <x v="2"/>
    <n v="253"/>
    <x v="3"/>
    <n v="1.24"/>
    <n v="15.94"/>
    <s v="01701201"/>
    <x v="23"/>
  </r>
  <r>
    <s v="Dez-2013"/>
    <x v="1"/>
    <n v="272"/>
    <x v="9"/>
    <n v="0.68"/>
    <n v="8.51"/>
    <s v="90400888"/>
    <x v="23"/>
  </r>
  <r>
    <s v="Dez-2013"/>
    <x v="2"/>
    <n v="56"/>
    <x v="26"/>
    <n v="0.83"/>
    <n v="10.46"/>
    <s v="18282093"/>
    <x v="23"/>
  </r>
  <r>
    <s v="Dez-2013"/>
    <x v="0"/>
    <n v="39"/>
    <x v="4"/>
    <n v="0.47"/>
    <n v="5.83"/>
    <s v="00360305"/>
    <x v="23"/>
  </r>
  <r>
    <s v="Dez-2013"/>
    <x v="2"/>
    <n v="52"/>
    <x v="9"/>
    <n v="0.83"/>
    <n v="10.43"/>
    <s v="90400888"/>
    <x v="23"/>
  </r>
  <r>
    <s v="Dez-2013"/>
    <x v="3"/>
    <n v="179"/>
    <x v="4"/>
    <n v="0.96"/>
    <n v="12.17"/>
    <s v="00360305"/>
    <x v="23"/>
  </r>
  <r>
    <s v="Dez-2013"/>
    <x v="1"/>
    <n v="7"/>
    <x v="16"/>
    <n v="0.03"/>
    <n v="0.33"/>
    <s v="17441197"/>
    <x v="23"/>
  </r>
  <r>
    <s v="Dez-2013"/>
    <x v="3"/>
    <n v="161"/>
    <x v="10"/>
    <n v="0.95"/>
    <n v="12.04"/>
    <s v="00000000"/>
    <x v="23"/>
  </r>
  <r>
    <s v="Dez-2013"/>
    <x v="2"/>
    <n v="12"/>
    <x v="19"/>
    <n v="0.66"/>
    <n v="8.25"/>
    <s v="33479023"/>
    <x v="23"/>
  </r>
  <r>
    <s v="Dez-2013"/>
    <x v="3"/>
    <n v="23"/>
    <x v="9"/>
    <n v="0.73"/>
    <n v="9.11"/>
    <s v="90400888"/>
    <x v="23"/>
  </r>
  <r>
    <s v="Jan-2014"/>
    <x v="0"/>
    <n v="1339"/>
    <x v="2"/>
    <n v="0.86"/>
    <n v="10.76"/>
    <s v="60701190"/>
    <x v="24"/>
  </r>
  <r>
    <s v="Jan-2014"/>
    <x v="0"/>
    <n v="1096"/>
    <x v="0"/>
    <n v="0.76"/>
    <n v="9.57"/>
    <s v="00655522"/>
    <x v="24"/>
  </r>
  <r>
    <s v="Jan-2014"/>
    <x v="1"/>
    <n v="1196"/>
    <x v="1"/>
    <n v="1.82"/>
    <n v="24.1"/>
    <s v="02868100"/>
    <x v="24"/>
  </r>
  <r>
    <s v="Jan-2014"/>
    <x v="0"/>
    <n v="785"/>
    <x v="18"/>
    <n v="0.7"/>
    <n v="8.7100000000000009"/>
    <s v="92702067"/>
    <x v="24"/>
  </r>
  <r>
    <s v="Jan-2014"/>
    <x v="1"/>
    <n v="1156"/>
    <x v="17"/>
    <n v="1.51"/>
    <n v="19.66"/>
    <s v="00416968"/>
    <x v="24"/>
  </r>
  <r>
    <s v="Jan-2014"/>
    <x v="0"/>
    <n v="695"/>
    <x v="3"/>
    <n v="0.68"/>
    <n v="8.5"/>
    <s v="01701201"/>
    <x v="24"/>
  </r>
  <r>
    <s v="Jan-2014"/>
    <x v="1"/>
    <n v="1103"/>
    <x v="25"/>
    <n v="1.32"/>
    <n v="17.100000000000001"/>
    <s v="61186680"/>
    <x v="24"/>
  </r>
  <r>
    <s v="Jan-2014"/>
    <x v="0"/>
    <n v="687"/>
    <x v="9"/>
    <n v="0.68"/>
    <n v="8.49"/>
    <s v="90400888"/>
    <x v="24"/>
  </r>
  <r>
    <s v="Jan-2014"/>
    <x v="1"/>
    <n v="1088"/>
    <x v="4"/>
    <n v="1.28"/>
    <n v="16.45"/>
    <s v="00360305"/>
    <x v="24"/>
  </r>
  <r>
    <s v="Jan-2014"/>
    <x v="0"/>
    <n v="674"/>
    <x v="7"/>
    <n v="0.68"/>
    <n v="8.4700000000000006"/>
    <s v="60746948"/>
    <x v="24"/>
  </r>
  <r>
    <s v="Jan-2014"/>
    <x v="1"/>
    <n v="1001"/>
    <x v="13"/>
    <n v="1.07"/>
    <n v="13.68"/>
    <s v="00000208"/>
    <x v="24"/>
  </r>
  <r>
    <s v="Jan-2014"/>
    <x v="0"/>
    <n v="517"/>
    <x v="13"/>
    <n v="0.63"/>
    <n v="7.88"/>
    <s v="00000208"/>
    <x v="24"/>
  </r>
  <r>
    <s v="Jan-2014"/>
    <x v="1"/>
    <n v="339"/>
    <x v="7"/>
    <n v="0.71"/>
    <n v="8.85"/>
    <s v="60746948"/>
    <x v="24"/>
  </r>
  <r>
    <s v="Jan-2014"/>
    <x v="0"/>
    <n v="453"/>
    <x v="11"/>
    <n v="0.62"/>
    <n v="7.72"/>
    <s v="28127603"/>
    <x v="24"/>
  </r>
  <r>
    <s v="Jan-2014"/>
    <x v="1"/>
    <n v="296"/>
    <x v="14"/>
    <n v="0.69"/>
    <n v="8.64"/>
    <s v="62237367"/>
    <x v="24"/>
  </r>
  <r>
    <s v="Jan-2014"/>
    <x v="2"/>
    <n v="436"/>
    <x v="17"/>
    <n v="1.92"/>
    <n v="25.67"/>
    <s v="00416968"/>
    <x v="24"/>
  </r>
  <r>
    <s v="Jan-2014"/>
    <x v="0"/>
    <n v="378"/>
    <x v="15"/>
    <n v="0.6"/>
    <n v="7.48"/>
    <s v="13009717"/>
    <x v="24"/>
  </r>
  <r>
    <s v="Jan-2014"/>
    <x v="2"/>
    <n v="392"/>
    <x v="14"/>
    <n v="1.5"/>
    <n v="19.54"/>
    <s v="62237367"/>
    <x v="24"/>
  </r>
  <r>
    <s v="Jan-2014"/>
    <x v="1"/>
    <n v="294"/>
    <x v="9"/>
    <n v="0.69"/>
    <n v="8.6300000000000008"/>
    <s v="90400888"/>
    <x v="24"/>
  </r>
  <r>
    <s v="Jan-2014"/>
    <x v="2"/>
    <n v="273"/>
    <x v="10"/>
    <n v="1.27"/>
    <n v="16.32"/>
    <s v="00000000"/>
    <x v="24"/>
  </r>
  <r>
    <s v="Jan-2014"/>
    <x v="0"/>
    <n v="364"/>
    <x v="4"/>
    <n v="0.6"/>
    <n v="7.46"/>
    <s v="00360305"/>
    <x v="24"/>
  </r>
  <r>
    <s v="Jan-2014"/>
    <x v="2"/>
    <n v="264"/>
    <x v="9"/>
    <n v="1.26"/>
    <n v="16.23"/>
    <s v="90400888"/>
    <x v="24"/>
  </r>
  <r>
    <s v="Jan-2014"/>
    <x v="1"/>
    <n v="21"/>
    <x v="16"/>
    <n v="0.46"/>
    <n v="5.6"/>
    <s v="17441197"/>
    <x v="24"/>
  </r>
  <r>
    <s v="Jan-2014"/>
    <x v="2"/>
    <n v="241"/>
    <x v="3"/>
    <n v="1.22"/>
    <n v="15.62"/>
    <s v="01701201"/>
    <x v="24"/>
  </r>
  <r>
    <s v="Jan-2014"/>
    <x v="3"/>
    <n v="195"/>
    <x v="10"/>
    <n v="0.97"/>
    <n v="12.28"/>
    <s v="00000000"/>
    <x v="24"/>
  </r>
  <r>
    <s v="Jan-2014"/>
    <x v="0"/>
    <n v="230"/>
    <x v="10"/>
    <n v="0.56000000000000005"/>
    <n v="6.91"/>
    <s v="00000000"/>
    <x v="24"/>
  </r>
  <r>
    <s v="Jan-2014"/>
    <x v="3"/>
    <n v="50"/>
    <x v="9"/>
    <n v="0.78"/>
    <n v="9.76"/>
    <s v="90400888"/>
    <x v="24"/>
  </r>
  <r>
    <s v="Jan-2014"/>
    <x v="2"/>
    <n v="15"/>
    <x v="19"/>
    <n v="0.67"/>
    <n v="8.3699999999999992"/>
    <s v="33479023"/>
    <x v="24"/>
  </r>
  <r>
    <s v="Jan-2014"/>
    <x v="3"/>
    <n v="15"/>
    <x v="19"/>
    <n v="0.64"/>
    <n v="8"/>
    <s v="33479023"/>
    <x v="24"/>
  </r>
  <r>
    <s v="Fev-2014"/>
    <x v="1"/>
    <n v="1179"/>
    <x v="17"/>
    <n v="1.66"/>
    <n v="21.86"/>
    <s v="00416968"/>
    <x v="25"/>
  </r>
  <r>
    <s v="Fev-2014"/>
    <x v="0"/>
    <n v="1273"/>
    <x v="2"/>
    <n v="0.83"/>
    <n v="10.44"/>
    <s v="60701190"/>
    <x v="25"/>
  </r>
  <r>
    <s v="Fev-2014"/>
    <x v="1"/>
    <n v="1125"/>
    <x v="4"/>
    <n v="1.41"/>
    <n v="18.23"/>
    <s v="00360305"/>
    <x v="25"/>
  </r>
  <r>
    <s v="Fev-2014"/>
    <x v="0"/>
    <n v="940"/>
    <x v="0"/>
    <n v="0.73"/>
    <n v="9.1300000000000008"/>
    <s v="00655522"/>
    <x v="25"/>
  </r>
  <r>
    <s v="Fev-2014"/>
    <x v="1"/>
    <n v="1083"/>
    <x v="25"/>
    <n v="1.26"/>
    <n v="16.23"/>
    <s v="61186680"/>
    <x v="25"/>
  </r>
  <r>
    <s v="Fev-2014"/>
    <x v="0"/>
    <n v="766"/>
    <x v="18"/>
    <n v="0.69"/>
    <n v="8.66"/>
    <s v="92702067"/>
    <x v="25"/>
  </r>
  <r>
    <s v="Fev-2014"/>
    <x v="1"/>
    <n v="1007"/>
    <x v="6"/>
    <n v="1.0900000000000001"/>
    <n v="13.85"/>
    <s v="14511781"/>
    <x v="25"/>
  </r>
  <r>
    <s v="Fev-2014"/>
    <x v="0"/>
    <n v="689"/>
    <x v="3"/>
    <n v="0.68"/>
    <n v="8.49"/>
    <s v="01701201"/>
    <x v="25"/>
  </r>
  <r>
    <s v="Fev-2014"/>
    <x v="1"/>
    <n v="966"/>
    <x v="12"/>
    <n v="1.01"/>
    <n v="12.75"/>
    <s v="00517645"/>
    <x v="25"/>
  </r>
  <r>
    <s v="Fev-2014"/>
    <x v="0"/>
    <n v="680"/>
    <x v="9"/>
    <n v="0.68"/>
    <n v="8.48"/>
    <s v="90400888"/>
    <x v="25"/>
  </r>
  <r>
    <s v="Fev-2014"/>
    <x v="1"/>
    <n v="443"/>
    <x v="14"/>
    <n v="0.74"/>
    <n v="9.27"/>
    <s v="62237367"/>
    <x v="25"/>
  </r>
  <r>
    <s v="Fev-2014"/>
    <x v="0"/>
    <n v="656"/>
    <x v="7"/>
    <n v="0.68"/>
    <n v="8.41"/>
    <s v="60746948"/>
    <x v="25"/>
  </r>
  <r>
    <s v="Fev-2014"/>
    <x v="1"/>
    <n v="342"/>
    <x v="7"/>
    <n v="0.71"/>
    <n v="8.8699999999999992"/>
    <s v="60746948"/>
    <x v="25"/>
  </r>
  <r>
    <s v="Fev-2014"/>
    <x v="0"/>
    <n v="482"/>
    <x v="11"/>
    <n v="0.63"/>
    <n v="7.77"/>
    <s v="28127603"/>
    <x v="25"/>
  </r>
  <r>
    <s v="Fev-2014"/>
    <x v="1"/>
    <n v="327"/>
    <x v="11"/>
    <n v="0.7"/>
    <n v="8.75"/>
    <s v="28127603"/>
    <x v="25"/>
  </r>
  <r>
    <s v="Fev-2014"/>
    <x v="0"/>
    <n v="416"/>
    <x v="15"/>
    <n v="0.61"/>
    <n v="7.57"/>
    <s v="13009717"/>
    <x v="25"/>
  </r>
  <r>
    <s v="Fev-2014"/>
    <x v="1"/>
    <n v="281"/>
    <x v="9"/>
    <n v="0.69"/>
    <n v="8.58"/>
    <s v="90400888"/>
    <x v="25"/>
  </r>
  <r>
    <s v="Fev-2014"/>
    <x v="2"/>
    <n v="431"/>
    <x v="17"/>
    <n v="1.89"/>
    <n v="25.17"/>
    <s v="00416968"/>
    <x v="25"/>
  </r>
  <r>
    <s v="Fev-2014"/>
    <x v="0"/>
    <n v="352"/>
    <x v="4"/>
    <n v="0.6"/>
    <n v="7.44"/>
    <s v="00360305"/>
    <x v="25"/>
  </r>
  <r>
    <s v="Fev-2014"/>
    <x v="2"/>
    <n v="224"/>
    <x v="3"/>
    <n v="1.19"/>
    <n v="15.21"/>
    <s v="01701201"/>
    <x v="25"/>
  </r>
  <r>
    <s v="Fev-2014"/>
    <x v="1"/>
    <n v="11"/>
    <x v="16"/>
    <n v="0.3"/>
    <n v="3.65"/>
    <s v="17441197"/>
    <x v="25"/>
  </r>
  <r>
    <s v="Fev-2014"/>
    <x v="3"/>
    <n v="229"/>
    <x v="4"/>
    <n v="1"/>
    <n v="12.74"/>
    <s v="00360305"/>
    <x v="25"/>
  </r>
  <r>
    <s v="Fev-2014"/>
    <x v="2"/>
    <n v="61"/>
    <x v="9"/>
    <n v="0.85"/>
    <n v="10.66"/>
    <s v="90400888"/>
    <x v="25"/>
  </r>
  <r>
    <s v="Fev-2014"/>
    <x v="3"/>
    <n v="173"/>
    <x v="10"/>
    <n v="0.96"/>
    <n v="12.14"/>
    <s v="00000000"/>
    <x v="25"/>
  </r>
  <r>
    <s v="Fev-2014"/>
    <x v="0"/>
    <n v="106"/>
    <x v="10"/>
    <n v="0.52"/>
    <n v="6.4"/>
    <s v="00000000"/>
    <x v="25"/>
  </r>
  <r>
    <s v="Fev-2014"/>
    <x v="3"/>
    <n v="66"/>
    <x v="9"/>
    <n v="0.83"/>
    <n v="10.41"/>
    <s v="90400888"/>
    <x v="25"/>
  </r>
  <r>
    <s v="Fev-2014"/>
    <x v="2"/>
    <n v="19"/>
    <x v="19"/>
    <n v="0.68"/>
    <n v="8.44"/>
    <s v="33479023"/>
    <x v="25"/>
  </r>
  <r>
    <s v="Fev-2014"/>
    <x v="3"/>
    <n v="18"/>
    <x v="19"/>
    <n v="0.65"/>
    <n v="8.0299999999999994"/>
    <s v="33479023"/>
    <x v="25"/>
  </r>
  <r>
    <s v="Mar-2014"/>
    <x v="1"/>
    <n v="1160"/>
    <x v="4"/>
    <n v="1.52"/>
    <n v="19.8"/>
    <s v="00360305"/>
    <x v="26"/>
  </r>
  <r>
    <s v="Mar-2014"/>
    <x v="1"/>
    <n v="1097"/>
    <x v="17"/>
    <n v="1.31"/>
    <n v="16.86"/>
    <s v="00416968"/>
    <x v="26"/>
  </r>
  <r>
    <s v="Mar-2014"/>
    <x v="0"/>
    <n v="1068"/>
    <x v="2"/>
    <n v="0.76"/>
    <n v="9.48"/>
    <s v="60701190"/>
    <x v="26"/>
  </r>
  <r>
    <s v="Mar-2014"/>
    <x v="1"/>
    <n v="1076"/>
    <x v="25"/>
    <n v="1.22"/>
    <n v="15.73"/>
    <s v="61186680"/>
    <x v="26"/>
  </r>
  <r>
    <s v="Mar-2014"/>
    <x v="0"/>
    <n v="838"/>
    <x v="0"/>
    <n v="0.71"/>
    <n v="8.82"/>
    <s v="00655522"/>
    <x v="26"/>
  </r>
  <r>
    <s v="Mar-2014"/>
    <x v="1"/>
    <n v="1020"/>
    <x v="13"/>
    <n v="1.1100000000000001"/>
    <n v="14.16"/>
    <s v="00000208"/>
    <x v="26"/>
  </r>
  <r>
    <s v="Mar-2014"/>
    <x v="0"/>
    <n v="756"/>
    <x v="18"/>
    <n v="0.69"/>
    <n v="8.64"/>
    <s v="92702067"/>
    <x v="26"/>
  </r>
  <r>
    <s v="Mar-2014"/>
    <x v="1"/>
    <n v="976"/>
    <x v="12"/>
    <n v="1.02"/>
    <n v="12.89"/>
    <s v="00517645"/>
    <x v="26"/>
  </r>
  <r>
    <s v="Mar-2014"/>
    <x v="0"/>
    <n v="700"/>
    <x v="9"/>
    <n v="0.68"/>
    <n v="8.51"/>
    <s v="90400888"/>
    <x v="26"/>
  </r>
  <r>
    <s v="Mar-2014"/>
    <x v="1"/>
    <n v="917"/>
    <x v="6"/>
    <n v="0.95"/>
    <n v="12.02"/>
    <s v="14511781"/>
    <x v="26"/>
  </r>
  <r>
    <s v="Mar-2014"/>
    <x v="0"/>
    <n v="694"/>
    <x v="3"/>
    <n v="0.68"/>
    <n v="8.5"/>
    <s v="01701201"/>
    <x v="26"/>
  </r>
  <r>
    <s v="Mar-2014"/>
    <x v="1"/>
    <n v="899"/>
    <x v="8"/>
    <n v="0.94"/>
    <n v="11.87"/>
    <s v="10694628"/>
    <x v="26"/>
  </r>
  <r>
    <s v="Mar-2014"/>
    <x v="0"/>
    <n v="666"/>
    <x v="7"/>
    <n v="0.68"/>
    <n v="8.4499999999999993"/>
    <s v="60746948"/>
    <x v="26"/>
  </r>
  <r>
    <s v="Mar-2014"/>
    <x v="1"/>
    <n v="418"/>
    <x v="14"/>
    <n v="0.73"/>
    <n v="9.18"/>
    <s v="62237367"/>
    <x v="26"/>
  </r>
  <r>
    <s v="Mar-2014"/>
    <x v="0"/>
    <n v="492"/>
    <x v="13"/>
    <n v="0.63"/>
    <n v="7.81"/>
    <s v="00000208"/>
    <x v="26"/>
  </r>
  <r>
    <s v="Mar-2014"/>
    <x v="1"/>
    <n v="335"/>
    <x v="7"/>
    <n v="0.71"/>
    <n v="8.81"/>
    <s v="60746948"/>
    <x v="26"/>
  </r>
  <r>
    <s v="Mar-2014"/>
    <x v="0"/>
    <n v="343"/>
    <x v="15"/>
    <n v="0.6"/>
    <n v="7.42"/>
    <s v="13009717"/>
    <x v="26"/>
  </r>
  <r>
    <s v="Mar-2014"/>
    <x v="2"/>
    <n v="439"/>
    <x v="17"/>
    <n v="1.94"/>
    <n v="25.96"/>
    <s v="00416968"/>
    <x v="26"/>
  </r>
  <r>
    <s v="Mar-2014"/>
    <x v="1"/>
    <n v="285"/>
    <x v="9"/>
    <n v="0.69"/>
    <n v="8.59"/>
    <s v="90400888"/>
    <x v="26"/>
  </r>
  <r>
    <s v="Mar-2014"/>
    <x v="2"/>
    <n v="388"/>
    <x v="14"/>
    <n v="1.49"/>
    <n v="19.36"/>
    <s v="62237367"/>
    <x v="26"/>
  </r>
  <r>
    <s v="Mar-2014"/>
    <x v="0"/>
    <n v="328"/>
    <x v="4"/>
    <n v="0.6"/>
    <n v="7.4"/>
    <s v="00360305"/>
    <x v="26"/>
  </r>
  <r>
    <s v="Mar-2014"/>
    <x v="2"/>
    <n v="230"/>
    <x v="3"/>
    <n v="1.19"/>
    <n v="15.32"/>
    <s v="01701201"/>
    <x v="26"/>
  </r>
  <r>
    <s v="Mar-2014"/>
    <x v="1"/>
    <n v="25"/>
    <x v="16"/>
    <n v="0.5"/>
    <n v="6.19"/>
    <s v="17441197"/>
    <x v="26"/>
  </r>
  <r>
    <s v="Mar-2014"/>
    <x v="2"/>
    <n v="64"/>
    <x v="26"/>
    <n v="0.86"/>
    <n v="10.76"/>
    <s v="18282093"/>
    <x v="26"/>
  </r>
  <r>
    <s v="Mar-2014"/>
    <x v="3"/>
    <n v="148"/>
    <x v="10"/>
    <n v="0.95"/>
    <n v="11.95"/>
    <s v="00000000"/>
    <x v="26"/>
  </r>
  <r>
    <s v="Mar-2014"/>
    <x v="0"/>
    <n v="102"/>
    <x v="10"/>
    <n v="0.52"/>
    <n v="6.37"/>
    <s v="00000000"/>
    <x v="26"/>
  </r>
  <r>
    <s v="Mar-2014"/>
    <x v="3"/>
    <n v="57"/>
    <x v="9"/>
    <n v="0.81"/>
    <n v="10.11"/>
    <s v="90400888"/>
    <x v="26"/>
  </r>
  <r>
    <s v="Mar-2014"/>
    <x v="2"/>
    <n v="14"/>
    <x v="19"/>
    <n v="0.67"/>
    <n v="8.3699999999999992"/>
    <s v="33479023"/>
    <x v="26"/>
  </r>
  <r>
    <s v="Mar-2014"/>
    <x v="3"/>
    <n v="16"/>
    <x v="19"/>
    <n v="0.64"/>
    <n v="8.01"/>
    <s v="33479023"/>
    <x v="26"/>
  </r>
  <r>
    <s v="Abr-2014"/>
    <x v="1"/>
    <n v="1211"/>
    <x v="1"/>
    <n v="1.95"/>
    <n v="26.04"/>
    <s v="02868100"/>
    <x v="27"/>
  </r>
  <r>
    <s v="Abr-2014"/>
    <x v="1"/>
    <n v="1176"/>
    <x v="13"/>
    <n v="1.62"/>
    <n v="21.34"/>
    <s v="00000208"/>
    <x v="27"/>
  </r>
  <r>
    <s v="Abr-2014"/>
    <x v="1"/>
    <n v="1158"/>
    <x v="4"/>
    <n v="1.52"/>
    <n v="19.79"/>
    <s v="00360305"/>
    <x v="27"/>
  </r>
  <r>
    <s v="Abr-2014"/>
    <x v="0"/>
    <n v="1112"/>
    <x v="2"/>
    <n v="0.77"/>
    <n v="9.6199999999999992"/>
    <s v="60701190"/>
    <x v="27"/>
  </r>
  <r>
    <s v="Abr-2014"/>
    <x v="1"/>
    <n v="1121"/>
    <x v="25"/>
    <n v="1.39"/>
    <n v="17.96"/>
    <s v="61186680"/>
    <x v="27"/>
  </r>
  <r>
    <s v="Abr-2014"/>
    <x v="0"/>
    <n v="781"/>
    <x v="0"/>
    <n v="0.7"/>
    <n v="8.6999999999999993"/>
    <s v="00655522"/>
    <x v="27"/>
  </r>
  <r>
    <s v="Abr-2014"/>
    <x v="1"/>
    <n v="1058"/>
    <x v="24"/>
    <n v="1.19"/>
    <n v="15.25"/>
    <s v="10372647"/>
    <x v="27"/>
  </r>
  <r>
    <s v="Abr-2014"/>
    <x v="0"/>
    <n v="740"/>
    <x v="9"/>
    <n v="0.69"/>
    <n v="8.6"/>
    <s v="90400888"/>
    <x v="27"/>
  </r>
  <r>
    <s v="Abr-2014"/>
    <x v="1"/>
    <n v="1024"/>
    <x v="17"/>
    <n v="1.1200000000000001"/>
    <n v="14.27"/>
    <s v="00416968"/>
    <x v="27"/>
  </r>
  <r>
    <s v="Abr-2014"/>
    <x v="0"/>
    <n v="736"/>
    <x v="18"/>
    <n v="0.69"/>
    <n v="8.59"/>
    <s v="92702067"/>
    <x v="27"/>
  </r>
  <r>
    <s v="Abr-2014"/>
    <x v="1"/>
    <n v="1018"/>
    <x v="6"/>
    <n v="1.1100000000000001"/>
    <n v="14.11"/>
    <s v="14511781"/>
    <x v="27"/>
  </r>
  <r>
    <s v="Abr-2014"/>
    <x v="0"/>
    <n v="731"/>
    <x v="7"/>
    <n v="0.69"/>
    <n v="8.58"/>
    <s v="60746948"/>
    <x v="27"/>
  </r>
  <r>
    <s v="Abr-2014"/>
    <x v="1"/>
    <n v="969"/>
    <x v="12"/>
    <n v="1.01"/>
    <n v="12.78"/>
    <s v="00517645"/>
    <x v="27"/>
  </r>
  <r>
    <s v="Abr-2014"/>
    <x v="0"/>
    <n v="713"/>
    <x v="3"/>
    <n v="0.68"/>
    <n v="8.5299999999999994"/>
    <s v="01701201"/>
    <x v="27"/>
  </r>
  <r>
    <s v="Abr-2014"/>
    <x v="1"/>
    <n v="855"/>
    <x v="8"/>
    <n v="0.92"/>
    <n v="11.64"/>
    <s v="10694628"/>
    <x v="27"/>
  </r>
  <r>
    <s v="Abr-2014"/>
    <x v="0"/>
    <n v="580"/>
    <x v="13"/>
    <n v="0.65"/>
    <n v="8.09"/>
    <s v="00000208"/>
    <x v="27"/>
  </r>
  <r>
    <s v="Abr-2014"/>
    <x v="1"/>
    <n v="343"/>
    <x v="7"/>
    <n v="0.71"/>
    <n v="8.8800000000000008"/>
    <s v="60746948"/>
    <x v="27"/>
  </r>
  <r>
    <s v="Abr-2014"/>
    <x v="0"/>
    <n v="451"/>
    <x v="11"/>
    <n v="0.62"/>
    <n v="7.71"/>
    <s v="28127603"/>
    <x v="27"/>
  </r>
  <r>
    <s v="Abr-2014"/>
    <x v="1"/>
    <n v="341"/>
    <x v="14"/>
    <n v="0.71"/>
    <n v="8.86"/>
    <s v="62237367"/>
    <x v="27"/>
  </r>
  <r>
    <s v="Abr-2014"/>
    <x v="2"/>
    <n v="450"/>
    <x v="17"/>
    <n v="2.16"/>
    <n v="29.28"/>
    <s v="00416968"/>
    <x v="27"/>
  </r>
  <r>
    <s v="Abr-2014"/>
    <x v="0"/>
    <n v="411"/>
    <x v="15"/>
    <n v="0.61"/>
    <n v="7.55"/>
    <s v="13009717"/>
    <x v="27"/>
  </r>
  <r>
    <s v="Abr-2014"/>
    <x v="2"/>
    <n v="282"/>
    <x v="3"/>
    <n v="1.29"/>
    <n v="16.559999999999999"/>
    <s v="01701201"/>
    <x v="27"/>
  </r>
  <r>
    <s v="Abr-2014"/>
    <x v="1"/>
    <n v="282"/>
    <x v="9"/>
    <n v="0.69"/>
    <n v="8.58"/>
    <s v="90400888"/>
    <x v="27"/>
  </r>
  <r>
    <s v="Abr-2014"/>
    <x v="2"/>
    <n v="210"/>
    <x v="12"/>
    <n v="1.1499999999999999"/>
    <n v="14.66"/>
    <s v="00517645"/>
    <x v="27"/>
  </r>
  <r>
    <s v="Abr-2014"/>
    <x v="0"/>
    <n v="367"/>
    <x v="4"/>
    <n v="0.6"/>
    <n v="7.46"/>
    <s v="00360305"/>
    <x v="27"/>
  </r>
  <r>
    <s v="Abr-2014"/>
    <x v="2"/>
    <n v="57"/>
    <x v="9"/>
    <n v="0.83"/>
    <n v="10.48"/>
    <s v="90400888"/>
    <x v="27"/>
  </r>
  <r>
    <s v="Abr-2014"/>
    <x v="1"/>
    <n v="35"/>
    <x v="16"/>
    <n v="0.53"/>
    <n v="6.54"/>
    <s v="17441197"/>
    <x v="27"/>
  </r>
  <r>
    <s v="Abr-2014"/>
    <x v="3"/>
    <n v="170"/>
    <x v="10"/>
    <n v="0.96"/>
    <n v="12.11"/>
    <s v="00000000"/>
    <x v="27"/>
  </r>
  <r>
    <s v="Abr-2014"/>
    <x v="2"/>
    <n v="37"/>
    <x v="26"/>
    <n v="0.78"/>
    <n v="9.8000000000000007"/>
    <s v="18282093"/>
    <x v="27"/>
  </r>
  <r>
    <s v="Abr-2014"/>
    <x v="3"/>
    <n v="101"/>
    <x v="4"/>
    <n v="0.91"/>
    <n v="11.48"/>
    <s v="00360305"/>
    <x v="27"/>
  </r>
  <r>
    <s v="Abr-2014"/>
    <x v="0"/>
    <n v="92"/>
    <x v="10"/>
    <n v="0.51"/>
    <n v="6.28"/>
    <s v="00000000"/>
    <x v="27"/>
  </r>
  <r>
    <s v="Abr-2014"/>
    <x v="3"/>
    <n v="49"/>
    <x v="9"/>
    <n v="0.78"/>
    <n v="9.75"/>
    <s v="90400888"/>
    <x v="27"/>
  </r>
  <r>
    <s v="Abr-2014"/>
    <x v="2"/>
    <n v="20"/>
    <x v="19"/>
    <n v="0.68"/>
    <n v="8.4499999999999993"/>
    <s v="33479023"/>
    <x v="27"/>
  </r>
  <r>
    <s v="Abr-2014"/>
    <x v="3"/>
    <n v="14"/>
    <x v="19"/>
    <n v="0.64"/>
    <n v="7.98"/>
    <s v="33479023"/>
    <x v="27"/>
  </r>
  <r>
    <s v="Mai-2014"/>
    <x v="1"/>
    <n v="1198"/>
    <x v="1"/>
    <n v="1.82"/>
    <n v="24.14"/>
    <s v="02868100"/>
    <x v="28"/>
  </r>
  <r>
    <s v="Mai-2014"/>
    <x v="1"/>
    <n v="1168"/>
    <x v="6"/>
    <n v="1.58"/>
    <n v="20.66"/>
    <s v="14511781"/>
    <x v="28"/>
  </r>
  <r>
    <s v="Mai-2014"/>
    <x v="1"/>
    <n v="1166"/>
    <x v="25"/>
    <n v="1.55"/>
    <n v="20.34"/>
    <s v="61186680"/>
    <x v="28"/>
  </r>
  <r>
    <s v="Mai-2014"/>
    <x v="1"/>
    <n v="1115"/>
    <x v="4"/>
    <n v="1.37"/>
    <n v="17.68"/>
    <s v="00360305"/>
    <x v="28"/>
  </r>
  <r>
    <s v="Mai-2014"/>
    <x v="1"/>
    <n v="1089"/>
    <x v="17"/>
    <n v="1.28"/>
    <n v="16.489999999999998"/>
    <s v="00416968"/>
    <x v="28"/>
  </r>
  <r>
    <s v="Mai-2014"/>
    <x v="0"/>
    <n v="1148"/>
    <x v="2"/>
    <n v="0.78"/>
    <n v="9.74"/>
    <s v="60701190"/>
    <x v="28"/>
  </r>
  <r>
    <s v="Mai-2014"/>
    <x v="1"/>
    <n v="973"/>
    <x v="12"/>
    <n v="1.01"/>
    <n v="12.83"/>
    <s v="00517645"/>
    <x v="28"/>
  </r>
  <r>
    <s v="Mai-2014"/>
    <x v="0"/>
    <n v="767"/>
    <x v="18"/>
    <n v="0.69"/>
    <n v="8.66"/>
    <s v="92702067"/>
    <x v="28"/>
  </r>
  <r>
    <s v="Mai-2014"/>
    <x v="1"/>
    <n v="943"/>
    <x v="8"/>
    <n v="0.97"/>
    <n v="12.32"/>
    <s v="10694628"/>
    <x v="28"/>
  </r>
  <r>
    <s v="Mai-2014"/>
    <x v="0"/>
    <n v="758"/>
    <x v="7"/>
    <n v="0.69"/>
    <n v="8.64"/>
    <s v="60746948"/>
    <x v="28"/>
  </r>
  <r>
    <s v="Mai-2014"/>
    <x v="1"/>
    <n v="488"/>
    <x v="2"/>
    <n v="0.76"/>
    <n v="9.4700000000000006"/>
    <s v="60701190"/>
    <x v="28"/>
  </r>
  <r>
    <s v="Mai-2014"/>
    <x v="0"/>
    <n v="738"/>
    <x v="9"/>
    <n v="0.69"/>
    <n v="8.6"/>
    <s v="90400888"/>
    <x v="28"/>
  </r>
  <r>
    <s v="Mai-2014"/>
    <x v="1"/>
    <n v="377"/>
    <x v="14"/>
    <n v="0.72"/>
    <n v="9.02"/>
    <s v="62237367"/>
    <x v="28"/>
  </r>
  <r>
    <s v="Mai-2014"/>
    <x v="0"/>
    <n v="690"/>
    <x v="3"/>
    <n v="0.68"/>
    <n v="8.49"/>
    <s v="01701201"/>
    <x v="28"/>
  </r>
  <r>
    <s v="Mai-2014"/>
    <x v="1"/>
    <n v="340"/>
    <x v="7"/>
    <n v="0.71"/>
    <n v="8.85"/>
    <s v="60746948"/>
    <x v="28"/>
  </r>
  <r>
    <s v="Mai-2014"/>
    <x v="0"/>
    <n v="455"/>
    <x v="15"/>
    <n v="0.62"/>
    <n v="7.72"/>
    <s v="13009717"/>
    <x v="28"/>
  </r>
  <r>
    <s v="Mai-2014"/>
    <x v="1"/>
    <n v="317"/>
    <x v="9"/>
    <n v="0.7"/>
    <n v="8.7200000000000006"/>
    <s v="90400888"/>
    <x v="28"/>
  </r>
  <r>
    <s v="Mai-2014"/>
    <x v="0"/>
    <n v="454"/>
    <x v="11"/>
    <n v="0.62"/>
    <n v="7.72"/>
    <s v="28127603"/>
    <x v="28"/>
  </r>
  <r>
    <s v="Mai-2014"/>
    <x v="1"/>
    <n v="9"/>
    <x v="16"/>
    <n v="0.21"/>
    <n v="2.52"/>
    <s v="17441197"/>
    <x v="28"/>
  </r>
  <r>
    <s v="Mai-2014"/>
    <x v="2"/>
    <n v="358"/>
    <x v="14"/>
    <n v="1.44"/>
    <n v="18.690000000000001"/>
    <s v="62237367"/>
    <x v="28"/>
  </r>
  <r>
    <s v="Mai-2014"/>
    <x v="0"/>
    <n v="422"/>
    <x v="4"/>
    <n v="0.61"/>
    <n v="7.59"/>
    <s v="00360305"/>
    <x v="28"/>
  </r>
  <r>
    <s v="Mai-2014"/>
    <x v="2"/>
    <n v="293"/>
    <x v="3"/>
    <n v="1.34"/>
    <n v="17.260000000000002"/>
    <s v="01701201"/>
    <x v="28"/>
  </r>
  <r>
    <s v="Mai-2014"/>
    <x v="1"/>
    <n v="3"/>
    <x v="23"/>
    <n v="0"/>
    <n v="0"/>
    <s v="15213192"/>
    <x v="28"/>
  </r>
  <r>
    <s v="Mai-2014"/>
    <x v="2"/>
    <n v="55"/>
    <x v="26"/>
    <n v="0.83"/>
    <n v="10.46"/>
    <s v="18282093"/>
    <x v="28"/>
  </r>
  <r>
    <s v="Mai-2014"/>
    <x v="3"/>
    <n v="211"/>
    <x v="10"/>
    <n v="0.98"/>
    <n v="12.38"/>
    <s v="00000000"/>
    <x v="28"/>
  </r>
  <r>
    <s v="Mai-2014"/>
    <x v="0"/>
    <n v="81"/>
    <x v="10"/>
    <n v="0.5"/>
    <n v="6.22"/>
    <s v="00000000"/>
    <x v="28"/>
  </r>
  <r>
    <s v="Mai-2014"/>
    <x v="3"/>
    <n v="72"/>
    <x v="9"/>
    <n v="0.84"/>
    <n v="10.62"/>
    <s v="90400888"/>
    <x v="28"/>
  </r>
  <r>
    <s v="Mai-2014"/>
    <x v="2"/>
    <n v="10"/>
    <x v="19"/>
    <n v="0.66"/>
    <n v="8.23"/>
    <s v="33479023"/>
    <x v="28"/>
  </r>
  <r>
    <s v="Mai-2014"/>
    <x v="3"/>
    <n v="19"/>
    <x v="19"/>
    <n v="0.65"/>
    <n v="8.0399999999999991"/>
    <s v="33479023"/>
    <x v="28"/>
  </r>
  <r>
    <s v="Jun-2014"/>
    <x v="1"/>
    <n v="1144"/>
    <x v="1"/>
    <n v="1.46"/>
    <n v="19"/>
    <s v="02868100"/>
    <x v="29"/>
  </r>
  <r>
    <s v="Jun-2014"/>
    <x v="1"/>
    <n v="1127"/>
    <x v="13"/>
    <n v="1.41"/>
    <n v="18.28"/>
    <s v="00000208"/>
    <x v="29"/>
  </r>
  <r>
    <s v="Jun-2014"/>
    <x v="1"/>
    <n v="1122"/>
    <x v="4"/>
    <n v="1.39"/>
    <n v="17.989999999999998"/>
    <s v="00360305"/>
    <x v="29"/>
  </r>
  <r>
    <s v="Jun-2014"/>
    <x v="1"/>
    <n v="1080"/>
    <x v="25"/>
    <n v="1.24"/>
    <n v="15.95"/>
    <s v="61186680"/>
    <x v="29"/>
  </r>
  <r>
    <s v="Jun-2014"/>
    <x v="1"/>
    <n v="1054"/>
    <x v="24"/>
    <n v="1.18"/>
    <n v="15.16"/>
    <s v="10372647"/>
    <x v="29"/>
  </r>
  <r>
    <s v="Jun-2014"/>
    <x v="1"/>
    <n v="1044"/>
    <x v="6"/>
    <n v="1.1599999999999999"/>
    <n v="14.86"/>
    <s v="14511781"/>
    <x v="29"/>
  </r>
  <r>
    <s v="Jun-2014"/>
    <x v="1"/>
    <n v="984"/>
    <x v="17"/>
    <n v="1.03"/>
    <n v="13.05"/>
    <s v="00416968"/>
    <x v="29"/>
  </r>
  <r>
    <s v="Jun-2014"/>
    <x v="0"/>
    <n v="1154"/>
    <x v="2"/>
    <n v="0.78"/>
    <n v="9.77"/>
    <s v="60701190"/>
    <x v="29"/>
  </r>
  <r>
    <s v="Jun-2014"/>
    <x v="1"/>
    <n v="962"/>
    <x v="12"/>
    <n v="1"/>
    <n v="12.68"/>
    <s v="00517645"/>
    <x v="29"/>
  </r>
  <r>
    <s v="Jun-2014"/>
    <x v="0"/>
    <n v="779"/>
    <x v="7"/>
    <n v="0.7"/>
    <n v="8.69"/>
    <s v="60746948"/>
    <x v="29"/>
  </r>
  <r>
    <s v="Jun-2014"/>
    <x v="1"/>
    <n v="941"/>
    <x v="8"/>
    <n v="0.97"/>
    <n v="12.29"/>
    <s v="10694628"/>
    <x v="29"/>
  </r>
  <r>
    <s v="Jun-2014"/>
    <x v="0"/>
    <n v="773"/>
    <x v="18"/>
    <n v="0.7"/>
    <n v="8.68"/>
    <s v="92702067"/>
    <x v="29"/>
  </r>
  <r>
    <s v="Jun-2014"/>
    <x v="1"/>
    <n v="491"/>
    <x v="2"/>
    <n v="0.76"/>
    <n v="9.49"/>
    <s v="60701190"/>
    <x v="29"/>
  </r>
  <r>
    <s v="Jun-2014"/>
    <x v="0"/>
    <n v="744"/>
    <x v="9"/>
    <n v="0.69"/>
    <n v="8.61"/>
    <s v="90400888"/>
    <x v="29"/>
  </r>
  <r>
    <s v="Jun-2014"/>
    <x v="1"/>
    <n v="364"/>
    <x v="7"/>
    <n v="0.72"/>
    <n v="8.9700000000000006"/>
    <s v="60746948"/>
    <x v="29"/>
  </r>
  <r>
    <s v="Jun-2014"/>
    <x v="0"/>
    <n v="697"/>
    <x v="3"/>
    <n v="0.68"/>
    <n v="8.5"/>
    <s v="01701201"/>
    <x v="29"/>
  </r>
  <r>
    <s v="Jun-2014"/>
    <x v="1"/>
    <n v="357"/>
    <x v="14"/>
    <n v="0.72"/>
    <n v="8.9499999999999993"/>
    <s v="62237367"/>
    <x v="29"/>
  </r>
  <r>
    <s v="Jun-2014"/>
    <x v="0"/>
    <n v="509"/>
    <x v="11"/>
    <n v="0.63"/>
    <n v="7.85"/>
    <s v="28127603"/>
    <x v="29"/>
  </r>
  <r>
    <s v="Jun-2014"/>
    <x v="1"/>
    <n v="311"/>
    <x v="9"/>
    <n v="0.7"/>
    <n v="8.6999999999999993"/>
    <s v="90400888"/>
    <x v="29"/>
  </r>
  <r>
    <s v="Jun-2014"/>
    <x v="0"/>
    <n v="483"/>
    <x v="13"/>
    <n v="0.63"/>
    <n v="7.77"/>
    <s v="00000208"/>
    <x v="29"/>
  </r>
  <r>
    <s v="Jun-2014"/>
    <x v="1"/>
    <n v="273"/>
    <x v="11"/>
    <n v="0.68"/>
    <n v="8.5299999999999994"/>
    <s v="28127603"/>
    <x v="29"/>
  </r>
  <r>
    <s v="Jun-2014"/>
    <x v="0"/>
    <n v="366"/>
    <x v="4"/>
    <n v="0.6"/>
    <n v="7.46"/>
    <s v="00360305"/>
    <x v="29"/>
  </r>
  <r>
    <s v="Jun-2014"/>
    <x v="1"/>
    <n v="18"/>
    <x v="16"/>
    <n v="0.36"/>
    <n v="4.45"/>
    <s v="17441197"/>
    <x v="29"/>
  </r>
  <r>
    <s v="Jun-2014"/>
    <x v="0"/>
    <n v="341"/>
    <x v="15"/>
    <n v="0.6"/>
    <n v="7.41"/>
    <s v="13009717"/>
    <x v="29"/>
  </r>
  <r>
    <s v="Jun-2014"/>
    <x v="3"/>
    <n v="228"/>
    <x v="7"/>
    <n v="1"/>
    <n v="12.73"/>
    <s v="60746948"/>
    <x v="29"/>
  </r>
  <r>
    <s v="Jun-2014"/>
    <x v="1"/>
    <n v="4"/>
    <x v="23"/>
    <n v="0"/>
    <n v="0"/>
    <s v="15213192"/>
    <x v="29"/>
  </r>
  <r>
    <s v="Jun-2014"/>
    <x v="3"/>
    <n v="203"/>
    <x v="10"/>
    <n v="0.97"/>
    <n v="12.33"/>
    <s v="00000000"/>
    <x v="29"/>
  </r>
  <r>
    <s v="Jun-2014"/>
    <x v="2"/>
    <n v="305"/>
    <x v="3"/>
    <n v="1.35"/>
    <n v="17.48"/>
    <s v="01701201"/>
    <x v="29"/>
  </r>
  <r>
    <s v="Jun-2014"/>
    <x v="3"/>
    <n v="100"/>
    <x v="4"/>
    <n v="0.91"/>
    <n v="11.48"/>
    <s v="00360305"/>
    <x v="29"/>
  </r>
  <r>
    <s v="Jun-2014"/>
    <x v="0"/>
    <n v="115"/>
    <x v="10"/>
    <n v="0.52"/>
    <n v="6.44"/>
    <s v="00000000"/>
    <x v="29"/>
  </r>
  <r>
    <s v="Jun-2014"/>
    <x v="3"/>
    <n v="82"/>
    <x v="9"/>
    <n v="0.85"/>
    <n v="10.75"/>
    <s v="90400888"/>
    <x v="29"/>
  </r>
  <r>
    <s v="Jun-2014"/>
    <x v="2"/>
    <n v="13"/>
    <x v="19"/>
    <n v="0.67"/>
    <n v="8.32"/>
    <s v="33479023"/>
    <x v="29"/>
  </r>
  <r>
    <s v="Jun-2014"/>
    <x v="3"/>
    <n v="20"/>
    <x v="19"/>
    <n v="0.65"/>
    <n v="8.08"/>
    <s v="33479023"/>
    <x v="29"/>
  </r>
  <r>
    <s v="Jul-2014"/>
    <x v="1"/>
    <n v="1186"/>
    <x v="1"/>
    <n v="1.73"/>
    <n v="22.88"/>
    <s v="02868100"/>
    <x v="30"/>
  </r>
  <r>
    <s v="Jul-2014"/>
    <x v="1"/>
    <n v="1162"/>
    <x v="6"/>
    <n v="1.52"/>
    <n v="19.88"/>
    <s v="14511781"/>
    <x v="30"/>
  </r>
  <r>
    <s v="Jul-2014"/>
    <x v="1"/>
    <n v="1146"/>
    <x v="4"/>
    <n v="1.47"/>
    <n v="19.149999999999999"/>
    <s v="00360305"/>
    <x v="30"/>
  </r>
  <r>
    <s v="Jul-2014"/>
    <x v="1"/>
    <n v="1107"/>
    <x v="17"/>
    <n v="1.34"/>
    <n v="17.260000000000002"/>
    <s v="00416968"/>
    <x v="30"/>
  </r>
  <r>
    <s v="Jul-2014"/>
    <x v="1"/>
    <n v="1094"/>
    <x v="25"/>
    <n v="1.29"/>
    <n v="16.670000000000002"/>
    <s v="61186680"/>
    <x v="30"/>
  </r>
  <r>
    <s v="Jul-2014"/>
    <x v="0"/>
    <n v="1120"/>
    <x v="2"/>
    <n v="0.77"/>
    <n v="9.64"/>
    <s v="60701190"/>
    <x v="30"/>
  </r>
  <r>
    <s v="Jul-2014"/>
    <x v="1"/>
    <n v="1071"/>
    <x v="10"/>
    <n v="1.22"/>
    <n v="15.61"/>
    <s v="00000000"/>
    <x v="30"/>
  </r>
  <r>
    <s v="Jul-2014"/>
    <x v="0"/>
    <n v="917"/>
    <x v="0"/>
    <n v="0.72"/>
    <n v="9.0500000000000007"/>
    <s v="00655522"/>
    <x v="30"/>
  </r>
  <r>
    <s v="Jul-2014"/>
    <x v="1"/>
    <n v="1055"/>
    <x v="24"/>
    <n v="1.18"/>
    <n v="15.18"/>
    <s v="10372647"/>
    <x v="30"/>
  </r>
  <r>
    <s v="Jul-2014"/>
    <x v="0"/>
    <n v="797"/>
    <x v="7"/>
    <n v="0.7"/>
    <n v="8.7200000000000006"/>
    <s v="60746948"/>
    <x v="30"/>
  </r>
  <r>
    <s v="Jul-2014"/>
    <x v="1"/>
    <n v="970"/>
    <x v="12"/>
    <n v="1.01"/>
    <n v="12.78"/>
    <s v="00517645"/>
    <x v="30"/>
  </r>
  <r>
    <s v="Jul-2014"/>
    <x v="0"/>
    <n v="762"/>
    <x v="18"/>
    <n v="0.69"/>
    <n v="8.65"/>
    <s v="92702067"/>
    <x v="30"/>
  </r>
  <r>
    <s v="Jul-2014"/>
    <x v="1"/>
    <n v="769"/>
    <x v="8"/>
    <n v="0.88"/>
    <n v="11.13"/>
    <s v="10694628"/>
    <x v="30"/>
  </r>
  <r>
    <s v="Jul-2014"/>
    <x v="0"/>
    <n v="745"/>
    <x v="9"/>
    <n v="0.69"/>
    <n v="8.61"/>
    <s v="90400888"/>
    <x v="30"/>
  </r>
  <r>
    <s v="Jul-2014"/>
    <x v="1"/>
    <n v="485"/>
    <x v="2"/>
    <n v="0.76"/>
    <n v="9.4499999999999993"/>
    <s v="60701190"/>
    <x v="30"/>
  </r>
  <r>
    <s v="Jul-2014"/>
    <x v="0"/>
    <n v="717"/>
    <x v="3"/>
    <n v="0.69"/>
    <n v="8.5399999999999991"/>
    <s v="01701201"/>
    <x v="30"/>
  </r>
  <r>
    <s v="Jul-2014"/>
    <x v="1"/>
    <n v="478"/>
    <x v="11"/>
    <n v="0.75"/>
    <n v="9.41"/>
    <s v="28127603"/>
    <x v="30"/>
  </r>
  <r>
    <s v="Jul-2014"/>
    <x v="0"/>
    <n v="576"/>
    <x v="13"/>
    <n v="0.65"/>
    <n v="8.08"/>
    <s v="00000208"/>
    <x v="30"/>
  </r>
  <r>
    <s v="Jul-2014"/>
    <x v="1"/>
    <n v="411"/>
    <x v="14"/>
    <n v="0.73"/>
    <n v="9.15"/>
    <s v="62237367"/>
    <x v="30"/>
  </r>
  <r>
    <s v="Jul-2014"/>
    <x v="0"/>
    <n v="487"/>
    <x v="11"/>
    <n v="0.63"/>
    <n v="7.78"/>
    <s v="28127603"/>
    <x v="30"/>
  </r>
  <r>
    <s v="Jul-2014"/>
    <x v="1"/>
    <n v="390"/>
    <x v="7"/>
    <n v="0.73"/>
    <n v="9.08"/>
    <s v="60746948"/>
    <x v="30"/>
  </r>
  <r>
    <s v="Jul-2014"/>
    <x v="0"/>
    <n v="460"/>
    <x v="15"/>
    <n v="0.62"/>
    <n v="7.72"/>
    <s v="13009717"/>
    <x v="30"/>
  </r>
  <r>
    <s v="Jul-2014"/>
    <x v="2"/>
    <n v="331"/>
    <x v="10"/>
    <n v="1.4"/>
    <n v="18.16"/>
    <s v="00000000"/>
    <x v="30"/>
  </r>
  <r>
    <s v="Jul-2014"/>
    <x v="1"/>
    <n v="314"/>
    <x v="9"/>
    <n v="0.7"/>
    <n v="8.7100000000000009"/>
    <s v="90400888"/>
    <x v="30"/>
  </r>
  <r>
    <s v="Jul-2014"/>
    <x v="2"/>
    <n v="299"/>
    <x v="3"/>
    <n v="1.35"/>
    <n v="17.43"/>
    <s v="01701201"/>
    <x v="30"/>
  </r>
  <r>
    <s v="Jul-2014"/>
    <x v="0"/>
    <n v="420"/>
    <x v="4"/>
    <n v="0.61"/>
    <n v="7.58"/>
    <s v="00360305"/>
    <x v="30"/>
  </r>
  <r>
    <s v="Jul-2014"/>
    <x v="2"/>
    <n v="267"/>
    <x v="9"/>
    <n v="1.26"/>
    <n v="16.23"/>
    <s v="90400888"/>
    <x v="30"/>
  </r>
  <r>
    <s v="Jul-2014"/>
    <x v="1"/>
    <n v="20"/>
    <x v="16"/>
    <n v="0.39"/>
    <n v="4.79"/>
    <s v="17441197"/>
    <x v="30"/>
  </r>
  <r>
    <s v="Jul-2014"/>
    <x v="3"/>
    <n v="182"/>
    <x v="10"/>
    <n v="0.96"/>
    <n v="12.18"/>
    <s v="00000000"/>
    <x v="30"/>
  </r>
  <r>
    <s v="Jul-2014"/>
    <x v="2"/>
    <n v="75"/>
    <x v="26"/>
    <n v="0.91"/>
    <n v="11.43"/>
    <s v="18282093"/>
    <x v="30"/>
  </r>
  <r>
    <s v="Jul-2014"/>
    <x v="3"/>
    <n v="102"/>
    <x v="4"/>
    <n v="0.91"/>
    <n v="11.48"/>
    <s v="00360305"/>
    <x v="30"/>
  </r>
  <r>
    <s v="Jul-2014"/>
    <x v="0"/>
    <n v="76"/>
    <x v="10"/>
    <n v="0.5"/>
    <n v="6.16"/>
    <s v="00000000"/>
    <x v="30"/>
  </r>
  <r>
    <s v="Jul-2014"/>
    <x v="3"/>
    <n v="83"/>
    <x v="9"/>
    <n v="0.86"/>
    <n v="10.79"/>
    <s v="90400888"/>
    <x v="30"/>
  </r>
  <r>
    <s v="Jul-2014"/>
    <x v="2"/>
    <n v="9"/>
    <x v="19"/>
    <n v="0.66"/>
    <n v="8.2100000000000009"/>
    <s v="33479023"/>
    <x v="30"/>
  </r>
  <r>
    <s v="Jul-2014"/>
    <x v="3"/>
    <n v="17"/>
    <x v="19"/>
    <n v="0.64"/>
    <n v="8.02"/>
    <s v="33479023"/>
    <x v="30"/>
  </r>
  <r>
    <s v="Ago-2014"/>
    <x v="1"/>
    <n v="1197"/>
    <x v="1"/>
    <n v="1.82"/>
    <n v="24.1"/>
    <s v="02868100"/>
    <x v="31"/>
  </r>
  <r>
    <s v="Ago-2014"/>
    <x v="1"/>
    <n v="1153"/>
    <x v="6"/>
    <n v="1.49"/>
    <n v="19.48"/>
    <s v="14511781"/>
    <x v="31"/>
  </r>
  <r>
    <s v="Ago-2014"/>
    <x v="1"/>
    <n v="1148"/>
    <x v="4"/>
    <n v="1.48"/>
    <n v="19.23"/>
    <s v="00360305"/>
    <x v="31"/>
  </r>
  <r>
    <s v="Ago-2014"/>
    <x v="1"/>
    <n v="1104"/>
    <x v="17"/>
    <n v="1.32"/>
    <n v="17.100000000000001"/>
    <s v="00416968"/>
    <x v="31"/>
  </r>
  <r>
    <s v="Ago-2014"/>
    <x v="1"/>
    <n v="1098"/>
    <x v="25"/>
    <n v="1.31"/>
    <n v="16.87"/>
    <s v="61186680"/>
    <x v="31"/>
  </r>
  <r>
    <s v="Ago-2014"/>
    <x v="0"/>
    <n v="1149"/>
    <x v="2"/>
    <n v="0.78"/>
    <n v="9.74"/>
    <s v="60701190"/>
    <x v="31"/>
  </r>
  <r>
    <s v="Ago-2014"/>
    <x v="1"/>
    <n v="1070"/>
    <x v="10"/>
    <n v="1.22"/>
    <n v="15.61"/>
    <s v="00000000"/>
    <x v="31"/>
  </r>
  <r>
    <s v="Ago-2014"/>
    <x v="0"/>
    <n v="921"/>
    <x v="0"/>
    <n v="0.73"/>
    <n v="9.07"/>
    <s v="00655522"/>
    <x v="31"/>
  </r>
  <r>
    <s v="Ago-2014"/>
    <x v="1"/>
    <n v="1050"/>
    <x v="24"/>
    <n v="1.17"/>
    <n v="15.03"/>
    <s v="10372647"/>
    <x v="31"/>
  </r>
  <r>
    <s v="Ago-2014"/>
    <x v="0"/>
    <n v="795"/>
    <x v="7"/>
    <n v="0.7"/>
    <n v="8.7200000000000006"/>
    <s v="60746948"/>
    <x v="31"/>
  </r>
  <r>
    <s v="Ago-2014"/>
    <x v="1"/>
    <n v="983"/>
    <x v="8"/>
    <n v="1.03"/>
    <n v="13.05"/>
    <s v="10694628"/>
    <x v="31"/>
  </r>
  <r>
    <s v="Ago-2014"/>
    <x v="0"/>
    <n v="780"/>
    <x v="18"/>
    <n v="0.7"/>
    <n v="8.6999999999999993"/>
    <s v="92702067"/>
    <x v="31"/>
  </r>
  <r>
    <s v="Ago-2014"/>
    <x v="1"/>
    <n v="963"/>
    <x v="12"/>
    <n v="1"/>
    <n v="12.71"/>
    <s v="00517645"/>
    <x v="31"/>
  </r>
  <r>
    <s v="Ago-2014"/>
    <x v="0"/>
    <n v="734"/>
    <x v="9"/>
    <n v="0.69"/>
    <n v="8.59"/>
    <s v="90400888"/>
    <x v="31"/>
  </r>
  <r>
    <s v="Ago-2014"/>
    <x v="1"/>
    <n v="490"/>
    <x v="2"/>
    <n v="0.76"/>
    <n v="9.48"/>
    <s v="60701190"/>
    <x v="31"/>
  </r>
  <r>
    <s v="Ago-2014"/>
    <x v="0"/>
    <n v="703"/>
    <x v="3"/>
    <n v="0.68"/>
    <n v="8.51"/>
    <s v="01701201"/>
    <x v="31"/>
  </r>
  <r>
    <s v="Ago-2014"/>
    <x v="1"/>
    <n v="460"/>
    <x v="11"/>
    <n v="0.75"/>
    <n v="9.36"/>
    <s v="28127603"/>
    <x v="31"/>
  </r>
  <r>
    <s v="Ago-2014"/>
    <x v="0"/>
    <n v="530"/>
    <x v="11"/>
    <n v="0.64"/>
    <n v="7.91"/>
    <s v="28127603"/>
    <x v="31"/>
  </r>
  <r>
    <s v="Ago-2014"/>
    <x v="1"/>
    <n v="409"/>
    <x v="14"/>
    <n v="0.73"/>
    <n v="9.14"/>
    <s v="62237367"/>
    <x v="31"/>
  </r>
  <r>
    <s v="Ago-2014"/>
    <x v="0"/>
    <n v="512"/>
    <x v="13"/>
    <n v="0.63"/>
    <n v="7.86"/>
    <s v="00000208"/>
    <x v="31"/>
  </r>
  <r>
    <s v="Ago-2014"/>
    <x v="1"/>
    <n v="369"/>
    <x v="7"/>
    <n v="0.72"/>
    <n v="9"/>
    <s v="60746948"/>
    <x v="31"/>
  </r>
  <r>
    <s v="Ago-2014"/>
    <x v="0"/>
    <n v="499"/>
    <x v="15"/>
    <n v="0.63"/>
    <n v="7.82"/>
    <s v="13009717"/>
    <x v="31"/>
  </r>
  <r>
    <s v="Ago-2014"/>
    <x v="1"/>
    <n v="319"/>
    <x v="9"/>
    <n v="0.7"/>
    <n v="8.73"/>
    <s v="90400888"/>
    <x v="31"/>
  </r>
  <r>
    <s v="Ago-2014"/>
    <x v="0"/>
    <n v="403"/>
    <x v="4"/>
    <n v="0.61"/>
    <n v="7.53"/>
    <s v="00360305"/>
    <x v="31"/>
  </r>
  <r>
    <s v="Ago-2014"/>
    <x v="2"/>
    <n v="291"/>
    <x v="3"/>
    <n v="1.33"/>
    <n v="17.170000000000002"/>
    <s v="01701201"/>
    <x v="31"/>
  </r>
  <r>
    <s v="Ago-2014"/>
    <x v="1"/>
    <n v="16"/>
    <x v="16"/>
    <n v="0.34"/>
    <n v="4.1900000000000004"/>
    <s v="17441197"/>
    <x v="31"/>
  </r>
  <r>
    <s v="Ago-2014"/>
    <x v="3"/>
    <n v="184"/>
    <x v="10"/>
    <n v="0.96"/>
    <n v="12.19"/>
    <s v="00000000"/>
    <x v="31"/>
  </r>
  <r>
    <s v="Ago-2014"/>
    <x v="2"/>
    <n v="68"/>
    <x v="26"/>
    <n v="0.87"/>
    <n v="11.01"/>
    <s v="18282093"/>
    <x v="31"/>
  </r>
  <r>
    <s v="Ago-2014"/>
    <x v="3"/>
    <n v="99"/>
    <x v="4"/>
    <n v="0.91"/>
    <n v="11.48"/>
    <s v="00360305"/>
    <x v="31"/>
  </r>
  <r>
    <s v="Ago-2014"/>
    <x v="0"/>
    <n v="48"/>
    <x v="10"/>
    <n v="0.49"/>
    <n v="6.02"/>
    <s v="00000000"/>
    <x v="31"/>
  </r>
  <r>
    <s v="Ago-2014"/>
    <x v="3"/>
    <n v="92"/>
    <x v="9"/>
    <n v="0.9"/>
    <n v="11.38"/>
    <s v="90400888"/>
    <x v="31"/>
  </r>
  <r>
    <s v="Ago-2014"/>
    <x v="2"/>
    <n v="22"/>
    <x v="19"/>
    <n v="0.68"/>
    <n v="8.5"/>
    <s v="33479023"/>
    <x v="31"/>
  </r>
  <r>
    <s v="Ago-2014"/>
    <x v="3"/>
    <n v="22"/>
    <x v="19"/>
    <n v="0.65"/>
    <n v="8.1300000000000008"/>
    <s v="33479023"/>
    <x v="31"/>
  </r>
  <r>
    <s v="Set-2014"/>
    <x v="1"/>
    <n v="1200"/>
    <x v="4"/>
    <n v="1.83"/>
    <n v="24.25"/>
    <s v="00360305"/>
    <x v="32"/>
  </r>
  <r>
    <s v="Set-2014"/>
    <x v="1"/>
    <n v="1185"/>
    <x v="25"/>
    <n v="1.7"/>
    <n v="22.46"/>
    <s v="61186680"/>
    <x v="32"/>
  </r>
  <r>
    <s v="Set-2014"/>
    <x v="1"/>
    <n v="1180"/>
    <x v="1"/>
    <n v="1.67"/>
    <n v="22"/>
    <s v="02868100"/>
    <x v="32"/>
  </r>
  <r>
    <s v="Set-2014"/>
    <x v="1"/>
    <n v="1087"/>
    <x v="17"/>
    <n v="1.28"/>
    <n v="16.43"/>
    <s v="00416968"/>
    <x v="32"/>
  </r>
  <r>
    <s v="Set-2014"/>
    <x v="1"/>
    <n v="1082"/>
    <x v="6"/>
    <n v="1.25"/>
    <n v="16.05"/>
    <s v="14511781"/>
    <x v="32"/>
  </r>
  <r>
    <s v="Set-2014"/>
    <x v="0"/>
    <n v="1150"/>
    <x v="2"/>
    <n v="0.78"/>
    <n v="9.74"/>
    <s v="60701190"/>
    <x v="32"/>
  </r>
  <r>
    <s v="Set-2014"/>
    <x v="1"/>
    <n v="1045"/>
    <x v="24"/>
    <n v="1.1599999999999999"/>
    <n v="14.89"/>
    <s v="10372647"/>
    <x v="32"/>
  </r>
  <r>
    <s v="Set-2014"/>
    <x v="0"/>
    <n v="898"/>
    <x v="0"/>
    <n v="0.72"/>
    <n v="9"/>
    <s v="00655522"/>
    <x v="32"/>
  </r>
  <r>
    <s v="Set-2014"/>
    <x v="1"/>
    <n v="1037"/>
    <x v="10"/>
    <n v="1.1499999999999999"/>
    <n v="14.76"/>
    <s v="00000000"/>
    <x v="32"/>
  </r>
  <r>
    <s v="Set-2014"/>
    <x v="0"/>
    <n v="807"/>
    <x v="7"/>
    <n v="0.7"/>
    <n v="8.74"/>
    <s v="60746948"/>
    <x v="32"/>
  </r>
  <r>
    <s v="Set-2014"/>
    <x v="1"/>
    <n v="967"/>
    <x v="12"/>
    <n v="1.01"/>
    <n v="12.75"/>
    <s v="00517645"/>
    <x v="32"/>
  </r>
  <r>
    <s v="Set-2014"/>
    <x v="0"/>
    <n v="782"/>
    <x v="18"/>
    <n v="0.7"/>
    <n v="8.6999999999999993"/>
    <s v="92702067"/>
    <x v="32"/>
  </r>
  <r>
    <s v="Set-2014"/>
    <x v="1"/>
    <n v="470"/>
    <x v="2"/>
    <n v="0.75"/>
    <n v="9.3800000000000008"/>
    <s v="60701190"/>
    <x v="32"/>
  </r>
  <r>
    <s v="Set-2014"/>
    <x v="0"/>
    <n v="737"/>
    <x v="3"/>
    <n v="0.69"/>
    <n v="8.59"/>
    <s v="01701201"/>
    <x v="32"/>
  </r>
  <r>
    <s v="Set-2014"/>
    <x v="1"/>
    <n v="434"/>
    <x v="11"/>
    <n v="0.74"/>
    <n v="9.24"/>
    <s v="28127603"/>
    <x v="32"/>
  </r>
  <r>
    <s v="Set-2014"/>
    <x v="0"/>
    <n v="727"/>
    <x v="9"/>
    <n v="0.69"/>
    <n v="8.57"/>
    <s v="90400888"/>
    <x v="32"/>
  </r>
  <r>
    <s v="Set-2014"/>
    <x v="1"/>
    <n v="402"/>
    <x v="14"/>
    <n v="0.73"/>
    <n v="9.11"/>
    <s v="62237367"/>
    <x v="32"/>
  </r>
  <r>
    <s v="Set-2014"/>
    <x v="0"/>
    <n v="544"/>
    <x v="11"/>
    <n v="0.64"/>
    <n v="7.95"/>
    <s v="28127603"/>
    <x v="32"/>
  </r>
  <r>
    <s v="Set-2014"/>
    <x v="1"/>
    <n v="352"/>
    <x v="7"/>
    <n v="0.71"/>
    <n v="8.92"/>
    <s v="60746948"/>
    <x v="32"/>
  </r>
  <r>
    <s v="Set-2014"/>
    <x v="0"/>
    <n v="475"/>
    <x v="13"/>
    <n v="0.62"/>
    <n v="7.75"/>
    <s v="00000208"/>
    <x v="32"/>
  </r>
  <r>
    <s v="Set-2014"/>
    <x v="1"/>
    <n v="320"/>
    <x v="9"/>
    <n v="0.7"/>
    <n v="8.73"/>
    <s v="90400888"/>
    <x v="32"/>
  </r>
  <r>
    <s v="Set-2014"/>
    <x v="0"/>
    <n v="376"/>
    <x v="15"/>
    <n v="0.6"/>
    <n v="7.47"/>
    <s v="13009717"/>
    <x v="32"/>
  </r>
  <r>
    <s v="Set-2014"/>
    <x v="1"/>
    <n v="14"/>
    <x v="16"/>
    <n v="0.32"/>
    <n v="3.9"/>
    <s v="17441197"/>
    <x v="32"/>
  </r>
  <r>
    <s v="Set-2014"/>
    <x v="2"/>
    <n v="408"/>
    <x v="12"/>
    <n v="1.54"/>
    <n v="20.07"/>
    <s v="00517645"/>
    <x v="32"/>
  </r>
  <r>
    <s v="Set-2014"/>
    <x v="0"/>
    <n v="80"/>
    <x v="10"/>
    <n v="0.5"/>
    <n v="6.21"/>
    <s v="00000000"/>
    <x v="32"/>
  </r>
  <r>
    <s v="Set-2014"/>
    <x v="2"/>
    <n v="298"/>
    <x v="3"/>
    <n v="1.35"/>
    <n v="17.420000000000002"/>
    <s v="01701201"/>
    <x v="32"/>
  </r>
  <r>
    <s v="Set-2014"/>
    <x v="1"/>
    <n v="13"/>
    <x v="8"/>
    <n v="0.3"/>
    <n v="3.72"/>
    <s v="10694628"/>
    <x v="32"/>
  </r>
  <r>
    <s v="Set-2014"/>
    <x v="2"/>
    <n v="268"/>
    <x v="9"/>
    <n v="1.26"/>
    <n v="16.23"/>
    <s v="90400888"/>
    <x v="32"/>
  </r>
  <r>
    <s v="Set-2014"/>
    <x v="0"/>
    <n v="16"/>
    <x v="4"/>
    <n v="0.44"/>
    <n v="5.46"/>
    <s v="00360305"/>
    <x v="32"/>
  </r>
  <r>
    <s v="Set-2014"/>
    <x v="3"/>
    <n v="186"/>
    <x v="10"/>
    <n v="0.96"/>
    <n v="12.19"/>
    <s v="00000000"/>
    <x v="32"/>
  </r>
  <r>
    <s v="Set-2014"/>
    <x v="2"/>
    <n v="70"/>
    <x v="26"/>
    <n v="0.88"/>
    <n v="11.1"/>
    <s v="18282093"/>
    <x v="32"/>
  </r>
  <r>
    <s v="Set-2014"/>
    <x v="3"/>
    <n v="104"/>
    <x v="4"/>
    <n v="0.91"/>
    <n v="11.48"/>
    <s v="00360305"/>
    <x v="32"/>
  </r>
  <r>
    <s v="Set-2014"/>
    <x v="1"/>
    <n v="5"/>
    <x v="23"/>
    <n v="0"/>
    <n v="0"/>
    <s v="15213192"/>
    <x v="32"/>
  </r>
  <r>
    <s v="Set-2014"/>
    <x v="3"/>
    <n v="61"/>
    <x v="9"/>
    <n v="0.82"/>
    <n v="10.25"/>
    <s v="90400888"/>
    <x v="32"/>
  </r>
  <r>
    <s v="Set-2014"/>
    <x v="2"/>
    <n v="2"/>
    <x v="19"/>
    <n v="0.65"/>
    <n v="8.09"/>
    <s v="33479023"/>
    <x v="32"/>
  </r>
  <r>
    <s v="Set-2014"/>
    <x v="3"/>
    <n v="21"/>
    <x v="19"/>
    <n v="0.65"/>
    <n v="8.11"/>
    <s v="33479023"/>
    <x v="32"/>
  </r>
  <r>
    <s v="Out-2014"/>
    <x v="0"/>
    <n v="1141"/>
    <x v="2"/>
    <n v="0.78"/>
    <n v="9.7100000000000009"/>
    <s v="60701190"/>
    <x v="33"/>
  </r>
  <r>
    <s v="Out-2014"/>
    <x v="0"/>
    <n v="864"/>
    <x v="9"/>
    <n v="0.71"/>
    <n v="8.91"/>
    <s v="90400888"/>
    <x v="33"/>
  </r>
  <r>
    <s v="Out-2014"/>
    <x v="0"/>
    <n v="843"/>
    <x v="18"/>
    <n v="0.71"/>
    <n v="8.83"/>
    <s v="92702067"/>
    <x v="33"/>
  </r>
  <r>
    <s v="Out-2014"/>
    <x v="1"/>
    <n v="1126"/>
    <x v="4"/>
    <n v="1.41"/>
    <n v="18.239999999999998"/>
    <s v="00360305"/>
    <x v="33"/>
  </r>
  <r>
    <s v="Out-2014"/>
    <x v="0"/>
    <n v="825"/>
    <x v="0"/>
    <n v="0.71"/>
    <n v="8.8000000000000007"/>
    <s v="00655522"/>
    <x v="33"/>
  </r>
  <r>
    <s v="Out-2014"/>
    <x v="1"/>
    <n v="1036"/>
    <x v="10"/>
    <n v="1.1499999999999999"/>
    <n v="14.76"/>
    <s v="00000000"/>
    <x v="33"/>
  </r>
  <r>
    <s v="Out-2014"/>
    <x v="0"/>
    <n v="798"/>
    <x v="7"/>
    <n v="0.7"/>
    <n v="8.7200000000000006"/>
    <s v="60746948"/>
    <x v="33"/>
  </r>
  <r>
    <s v="Out-2014"/>
    <x v="1"/>
    <n v="463"/>
    <x v="2"/>
    <n v="0.75"/>
    <n v="9.36"/>
    <s v="60701190"/>
    <x v="33"/>
  </r>
  <r>
    <s v="Out-2014"/>
    <x v="0"/>
    <n v="759"/>
    <x v="3"/>
    <n v="0.69"/>
    <n v="8.64"/>
    <s v="01701201"/>
    <x v="33"/>
  </r>
  <r>
    <s v="Out-2014"/>
    <x v="1"/>
    <n v="401"/>
    <x v="14"/>
    <n v="0.73"/>
    <n v="9.11"/>
    <s v="62237367"/>
    <x v="33"/>
  </r>
  <r>
    <s v="Out-2014"/>
    <x v="0"/>
    <n v="629"/>
    <x v="13"/>
    <n v="0.67"/>
    <n v="8.32"/>
    <s v="00000208"/>
    <x v="33"/>
  </r>
  <r>
    <s v="Out-2014"/>
    <x v="1"/>
    <n v="365"/>
    <x v="9"/>
    <n v="0.72"/>
    <n v="8.9700000000000006"/>
    <s v="90400888"/>
    <x v="33"/>
  </r>
  <r>
    <s v="Out-2014"/>
    <x v="0"/>
    <n v="604"/>
    <x v="19"/>
    <n v="0.66"/>
    <n v="8.1999999999999993"/>
    <s v="33479023"/>
    <x v="33"/>
  </r>
  <r>
    <s v="Out-2014"/>
    <x v="1"/>
    <n v="350"/>
    <x v="7"/>
    <n v="0.71"/>
    <n v="8.91"/>
    <s v="60746948"/>
    <x v="33"/>
  </r>
  <r>
    <s v="Out-2014"/>
    <x v="0"/>
    <n v="539"/>
    <x v="11"/>
    <n v="0.64"/>
    <n v="7.93"/>
    <s v="28127603"/>
    <x v="33"/>
  </r>
  <r>
    <s v="Out-2014"/>
    <x v="1"/>
    <n v="283"/>
    <x v="0"/>
    <n v="0.69"/>
    <n v="8.58"/>
    <s v="00655522"/>
    <x v="33"/>
  </r>
  <r>
    <s v="Out-2014"/>
    <x v="0"/>
    <n v="362"/>
    <x v="4"/>
    <n v="0.6"/>
    <n v="7.45"/>
    <s v="00360305"/>
    <x v="33"/>
  </r>
  <r>
    <s v="Out-2014"/>
    <x v="1"/>
    <n v="254"/>
    <x v="19"/>
    <n v="0.67"/>
    <n v="8.3800000000000008"/>
    <s v="33479023"/>
    <x v="33"/>
  </r>
  <r>
    <s v="Out-2014"/>
    <x v="0"/>
    <n v="46"/>
    <x v="10"/>
    <n v="0.49"/>
    <n v="5.98"/>
    <s v="00000000"/>
    <x v="33"/>
  </r>
  <r>
    <s v="Out-2014"/>
    <x v="2"/>
    <n v="380"/>
    <x v="0"/>
    <n v="1.47"/>
    <n v="19.13"/>
    <s v="00655522"/>
    <x v="33"/>
  </r>
  <r>
    <s v="Out-2014"/>
    <x v="3"/>
    <n v="220"/>
    <x v="10"/>
    <n v="0.99"/>
    <n v="12.49"/>
    <s v="00000000"/>
    <x v="33"/>
  </r>
  <r>
    <s v="Out-2014"/>
    <x v="1"/>
    <n v="58"/>
    <x v="17"/>
    <n v="0.55000000000000004"/>
    <n v="6.8"/>
    <s v="00416968"/>
    <x v="33"/>
  </r>
  <r>
    <s v="Out-2014"/>
    <x v="3"/>
    <n v="125"/>
    <x v="9"/>
    <n v="0.92"/>
    <n v="11.56"/>
    <s v="90400888"/>
    <x v="33"/>
  </r>
  <r>
    <s v="Out-2014"/>
    <x v="2"/>
    <n v="287"/>
    <x v="3"/>
    <n v="1.31"/>
    <n v="16.88"/>
    <s v="01701201"/>
    <x v="33"/>
  </r>
  <r>
    <s v="Out-2014"/>
    <x v="3"/>
    <n v="103"/>
    <x v="4"/>
    <n v="0.91"/>
    <n v="11.48"/>
    <s v="00360305"/>
    <x v="33"/>
  </r>
  <r>
    <s v="Nov-2014"/>
    <x v="0"/>
    <n v="1138"/>
    <x v="2"/>
    <n v="0.77"/>
    <n v="9.6999999999999993"/>
    <s v="60701190"/>
    <x v="34"/>
  </r>
  <r>
    <s v="Nov-2014"/>
    <x v="0"/>
    <n v="858"/>
    <x v="9"/>
    <n v="0.71"/>
    <n v="8.89"/>
    <s v="90400888"/>
    <x v="34"/>
  </r>
  <r>
    <s v="Nov-2014"/>
    <x v="0"/>
    <n v="846"/>
    <x v="18"/>
    <n v="0.71"/>
    <n v="8.84"/>
    <s v="92702067"/>
    <x v="34"/>
  </r>
  <r>
    <s v="Nov-2014"/>
    <x v="0"/>
    <n v="833"/>
    <x v="0"/>
    <n v="0.71"/>
    <n v="8.81"/>
    <s v="00655522"/>
    <x v="34"/>
  </r>
  <r>
    <s v="Nov-2014"/>
    <x v="1"/>
    <n v="1109"/>
    <x v="4"/>
    <n v="1.34"/>
    <n v="17.32"/>
    <s v="00360305"/>
    <x v="34"/>
  </r>
  <r>
    <s v="Nov-2014"/>
    <x v="0"/>
    <n v="790"/>
    <x v="7"/>
    <n v="0.7"/>
    <n v="8.7100000000000009"/>
    <s v="60746948"/>
    <x v="34"/>
  </r>
  <r>
    <s v="Nov-2014"/>
    <x v="1"/>
    <n v="495"/>
    <x v="0"/>
    <n v="0.76"/>
    <n v="9.5"/>
    <s v="00655522"/>
    <x v="34"/>
  </r>
  <r>
    <s v="Nov-2014"/>
    <x v="0"/>
    <n v="783"/>
    <x v="3"/>
    <n v="0.7"/>
    <n v="8.6999999999999993"/>
    <s v="01701201"/>
    <x v="34"/>
  </r>
  <r>
    <s v="Nov-2014"/>
    <x v="1"/>
    <n v="464"/>
    <x v="2"/>
    <n v="0.75"/>
    <n v="9.36"/>
    <s v="60701190"/>
    <x v="34"/>
  </r>
  <r>
    <s v="Nov-2014"/>
    <x v="0"/>
    <n v="621"/>
    <x v="11"/>
    <n v="0.66"/>
    <n v="8.27"/>
    <s v="28127603"/>
    <x v="34"/>
  </r>
  <r>
    <s v="Nov-2014"/>
    <x v="1"/>
    <n v="403"/>
    <x v="14"/>
    <n v="0.73"/>
    <n v="9.11"/>
    <s v="62237367"/>
    <x v="34"/>
  </r>
  <r>
    <s v="Nov-2014"/>
    <x v="0"/>
    <n v="588"/>
    <x v="19"/>
    <n v="0.65"/>
    <n v="8.1300000000000008"/>
    <s v="33479023"/>
    <x v="34"/>
  </r>
  <r>
    <s v="Nov-2014"/>
    <x v="1"/>
    <n v="392"/>
    <x v="9"/>
    <n v="0.73"/>
    <n v="9.08"/>
    <s v="90400888"/>
    <x v="34"/>
  </r>
  <r>
    <s v="Nov-2014"/>
    <x v="0"/>
    <n v="525"/>
    <x v="13"/>
    <n v="0.63"/>
    <n v="7.89"/>
    <s v="00000208"/>
    <x v="34"/>
  </r>
  <r>
    <s v="Nov-2014"/>
    <x v="1"/>
    <n v="374"/>
    <x v="7"/>
    <n v="0.72"/>
    <n v="9.01"/>
    <s v="60746948"/>
    <x v="34"/>
  </r>
  <r>
    <s v="Nov-2014"/>
    <x v="0"/>
    <n v="298"/>
    <x v="4"/>
    <n v="0.59"/>
    <n v="7.32"/>
    <s v="00360305"/>
    <x v="34"/>
  </r>
  <r>
    <s v="Nov-2014"/>
    <x v="1"/>
    <n v="252"/>
    <x v="19"/>
    <n v="0.67"/>
    <n v="8.3699999999999992"/>
    <s v="33479023"/>
    <x v="34"/>
  </r>
  <r>
    <s v="Nov-2014"/>
    <x v="2"/>
    <n v="382"/>
    <x v="0"/>
    <n v="1.47"/>
    <n v="19.13"/>
    <s v="00655522"/>
    <x v="34"/>
  </r>
  <r>
    <s v="Nov-2014"/>
    <x v="0"/>
    <n v="64"/>
    <x v="10"/>
    <n v="0.49"/>
    <n v="6.1"/>
    <s v="00000000"/>
    <x v="34"/>
  </r>
  <r>
    <s v="Nov-2014"/>
    <x v="2"/>
    <n v="295"/>
    <x v="3"/>
    <n v="1.34"/>
    <n v="17.350000000000001"/>
    <s v="01701201"/>
    <x v="34"/>
  </r>
  <r>
    <s v="Nov-2014"/>
    <x v="3"/>
    <n v="202"/>
    <x v="9"/>
    <n v="0.97"/>
    <n v="12.31"/>
    <s v="90400888"/>
    <x v="34"/>
  </r>
  <r>
    <s v="Nov-2014"/>
    <x v="1"/>
    <n v="42"/>
    <x v="17"/>
    <n v="0.54"/>
    <n v="6.64"/>
    <s v="00416968"/>
    <x v="34"/>
  </r>
  <r>
    <s v="Nov-2014"/>
    <x v="3"/>
    <n v="169"/>
    <x v="10"/>
    <n v="0.96"/>
    <n v="12.1"/>
    <s v="00000000"/>
    <x v="34"/>
  </r>
  <r>
    <s v="Nov-2014"/>
    <x v="2"/>
    <n v="90"/>
    <x v="9"/>
    <n v="0.94"/>
    <n v="11.89"/>
    <s v="90400888"/>
    <x v="34"/>
  </r>
  <r>
    <s v="Nov-2014"/>
    <x v="3"/>
    <n v="106"/>
    <x v="4"/>
    <n v="0.91"/>
    <n v="11.48"/>
    <s v="00360305"/>
    <x v="34"/>
  </r>
  <r>
    <s v="Dez-2014"/>
    <x v="0"/>
    <n v="1129"/>
    <x v="2"/>
    <n v="0.77"/>
    <n v="9.67"/>
    <s v="60701190"/>
    <x v="35"/>
  </r>
  <r>
    <s v="Dez-2014"/>
    <x v="0"/>
    <n v="862"/>
    <x v="9"/>
    <n v="0.71"/>
    <n v="8.9"/>
    <s v="90400888"/>
    <x v="35"/>
  </r>
  <r>
    <s v="Dez-2014"/>
    <x v="0"/>
    <n v="840"/>
    <x v="18"/>
    <n v="0.71"/>
    <n v="8.82"/>
    <s v="92702067"/>
    <x v="35"/>
  </r>
  <r>
    <s v="Dez-2014"/>
    <x v="0"/>
    <n v="834"/>
    <x v="3"/>
    <n v="0.71"/>
    <n v="8.81"/>
    <s v="01701201"/>
    <x v="35"/>
  </r>
  <r>
    <s v="Dez-2014"/>
    <x v="1"/>
    <n v="1038"/>
    <x v="10"/>
    <n v="1.1499999999999999"/>
    <n v="14.76"/>
    <s v="00000000"/>
    <x v="35"/>
  </r>
  <r>
    <s v="Dez-2014"/>
    <x v="0"/>
    <n v="799"/>
    <x v="0"/>
    <n v="0.7"/>
    <n v="8.7200000000000006"/>
    <s v="00655522"/>
    <x v="35"/>
  </r>
  <r>
    <s v="Dez-2014"/>
    <x v="1"/>
    <n v="987"/>
    <x v="4"/>
    <n v="1.05"/>
    <n v="13.29"/>
    <s v="00360305"/>
    <x v="35"/>
  </r>
  <r>
    <s v="Dez-2014"/>
    <x v="0"/>
    <n v="774"/>
    <x v="7"/>
    <n v="0.7"/>
    <n v="8.68"/>
    <s v="60746948"/>
    <x v="35"/>
  </r>
  <r>
    <s v="Dez-2014"/>
    <x v="1"/>
    <n v="475"/>
    <x v="2"/>
    <n v="0.75"/>
    <n v="9.4"/>
    <s v="60701190"/>
    <x v="35"/>
  </r>
  <r>
    <s v="Dez-2014"/>
    <x v="0"/>
    <n v="597"/>
    <x v="19"/>
    <n v="0.66"/>
    <n v="8.18"/>
    <s v="33479023"/>
    <x v="35"/>
  </r>
  <r>
    <s v="Dez-2014"/>
    <x v="1"/>
    <n v="394"/>
    <x v="14"/>
    <n v="0.73"/>
    <n v="9.09"/>
    <s v="62237367"/>
    <x v="35"/>
  </r>
  <r>
    <s v="Dez-2014"/>
    <x v="0"/>
    <n v="570"/>
    <x v="13"/>
    <n v="0.65"/>
    <n v="8.0500000000000007"/>
    <s v="00000208"/>
    <x v="35"/>
  </r>
  <r>
    <s v="Dez-2014"/>
    <x v="1"/>
    <n v="382"/>
    <x v="9"/>
    <n v="0.72"/>
    <n v="9.0399999999999991"/>
    <s v="90400888"/>
    <x v="35"/>
  </r>
  <r>
    <s v="Dez-2014"/>
    <x v="0"/>
    <n v="566"/>
    <x v="11"/>
    <n v="0.64"/>
    <n v="8.02"/>
    <s v="28127603"/>
    <x v="35"/>
  </r>
  <r>
    <s v="Dez-2014"/>
    <x v="1"/>
    <n v="358"/>
    <x v="7"/>
    <n v="0.72"/>
    <n v="8.9499999999999993"/>
    <s v="60746948"/>
    <x v="35"/>
  </r>
  <r>
    <s v="Dez-2014"/>
    <x v="0"/>
    <n v="295"/>
    <x v="4"/>
    <n v="0.59"/>
    <n v="7.31"/>
    <s v="00360305"/>
    <x v="35"/>
  </r>
  <r>
    <s v="Dez-2014"/>
    <x v="1"/>
    <n v="324"/>
    <x v="0"/>
    <n v="0.7"/>
    <n v="8.74"/>
    <s v="00655522"/>
    <x v="35"/>
  </r>
  <r>
    <s v="Dez-2014"/>
    <x v="0"/>
    <n v="59"/>
    <x v="10"/>
    <n v="0.49"/>
    <n v="6.08"/>
    <s v="00000000"/>
    <x v="35"/>
  </r>
  <r>
    <s v="Dez-2014"/>
    <x v="2"/>
    <n v="381"/>
    <x v="0"/>
    <n v="1.47"/>
    <n v="19.13"/>
    <s v="00655522"/>
    <x v="35"/>
  </r>
  <r>
    <s v="Dez-2014"/>
    <x v="1"/>
    <n v="258"/>
    <x v="19"/>
    <n v="0.68"/>
    <n v="8.42"/>
    <s v="33479023"/>
    <x v="35"/>
  </r>
  <r>
    <s v="Dez-2014"/>
    <x v="2"/>
    <n v="294"/>
    <x v="3"/>
    <n v="1.34"/>
    <n v="17.329999999999998"/>
    <s v="01701201"/>
    <x v="35"/>
  </r>
  <r>
    <s v="Dez-2014"/>
    <x v="0"/>
    <n v="1"/>
    <x v="15"/>
    <n v="0"/>
    <n v="0"/>
    <s v="13009717"/>
    <x v="35"/>
  </r>
  <r>
    <s v="Dez-2014"/>
    <x v="2"/>
    <n v="67"/>
    <x v="9"/>
    <n v="0.87"/>
    <n v="11"/>
    <s v="90400888"/>
    <x v="35"/>
  </r>
  <r>
    <s v="Dez-2014"/>
    <x v="3"/>
    <n v="216"/>
    <x v="10"/>
    <n v="0.98"/>
    <n v="12.42"/>
    <s v="00000000"/>
    <x v="35"/>
  </r>
  <r>
    <s v="Dez-2014"/>
    <x v="1"/>
    <n v="68"/>
    <x v="17"/>
    <n v="0.56000000000000005"/>
    <n v="6.93"/>
    <s v="00416968"/>
    <x v="35"/>
  </r>
  <r>
    <s v="Dez-2014"/>
    <x v="3"/>
    <n v="152"/>
    <x v="9"/>
    <n v="0.95"/>
    <n v="12"/>
    <s v="90400888"/>
    <x v="35"/>
  </r>
  <r>
    <s v="Dez-2014"/>
    <x v="2"/>
    <n v="66"/>
    <x v="26"/>
    <n v="0.87"/>
    <n v="10.9"/>
    <s v="18282093"/>
    <x v="35"/>
  </r>
  <r>
    <s v="Dez-2014"/>
    <x v="3"/>
    <n v="107"/>
    <x v="4"/>
    <n v="0.91"/>
    <n v="11.48"/>
    <s v="00360305"/>
    <x v="35"/>
  </r>
  <r>
    <s v="Jan-2015"/>
    <x v="0"/>
    <n v="1127"/>
    <x v="2"/>
    <n v="0.77"/>
    <n v="9.66"/>
    <s v="60701190"/>
    <x v="36"/>
  </r>
  <r>
    <s v="Jan-2015"/>
    <x v="0"/>
    <n v="891"/>
    <x v="0"/>
    <n v="0.72"/>
    <n v="8.98"/>
    <s v="00655522"/>
    <x v="36"/>
  </r>
  <r>
    <s v="Jan-2015"/>
    <x v="0"/>
    <n v="884"/>
    <x v="9"/>
    <n v="0.72"/>
    <n v="8.9499999999999993"/>
    <s v="90400888"/>
    <x v="36"/>
  </r>
  <r>
    <s v="Jan-2015"/>
    <x v="1"/>
    <n v="1066"/>
    <x v="10"/>
    <n v="1.21"/>
    <n v="15.48"/>
    <s v="00000000"/>
    <x v="36"/>
  </r>
  <r>
    <s v="Jan-2015"/>
    <x v="0"/>
    <n v="856"/>
    <x v="3"/>
    <n v="0.71"/>
    <n v="8.89"/>
    <s v="01701201"/>
    <x v="36"/>
  </r>
  <r>
    <s v="Jan-2015"/>
    <x v="1"/>
    <n v="957"/>
    <x v="4"/>
    <n v="0.99"/>
    <n v="12.59"/>
    <s v="00360305"/>
    <x v="36"/>
  </r>
  <r>
    <s v="Jan-2015"/>
    <x v="0"/>
    <n v="844"/>
    <x v="18"/>
    <n v="0.71"/>
    <n v="8.84"/>
    <s v="92702067"/>
    <x v="36"/>
  </r>
  <r>
    <s v="Jan-2015"/>
    <x v="1"/>
    <n v="814"/>
    <x v="6"/>
    <n v="0.91"/>
    <n v="11.42"/>
    <s v="14511781"/>
    <x v="36"/>
  </r>
  <r>
    <s v="Jan-2015"/>
    <x v="0"/>
    <n v="770"/>
    <x v="7"/>
    <n v="0.7"/>
    <n v="8.67"/>
    <s v="60746948"/>
    <x v="36"/>
  </r>
  <r>
    <s v="Jan-2015"/>
    <x v="1"/>
    <n v="461"/>
    <x v="2"/>
    <n v="0.75"/>
    <n v="9.36"/>
    <s v="60701190"/>
    <x v="36"/>
  </r>
  <r>
    <s v="Jan-2015"/>
    <x v="0"/>
    <n v="605"/>
    <x v="19"/>
    <n v="0.66"/>
    <n v="8.2100000000000009"/>
    <s v="33479023"/>
    <x v="36"/>
  </r>
  <r>
    <s v="Jan-2015"/>
    <x v="1"/>
    <n v="425"/>
    <x v="0"/>
    <n v="0.74"/>
    <n v="9.2100000000000009"/>
    <s v="00655522"/>
    <x v="36"/>
  </r>
  <r>
    <s v="Jan-2015"/>
    <x v="0"/>
    <n v="586"/>
    <x v="13"/>
    <n v="0.65"/>
    <n v="8.1199999999999992"/>
    <s v="00000208"/>
    <x v="36"/>
  </r>
  <r>
    <s v="Jan-2015"/>
    <x v="1"/>
    <n v="410"/>
    <x v="9"/>
    <n v="0.73"/>
    <n v="9.14"/>
    <s v="90400888"/>
    <x v="36"/>
  </r>
  <r>
    <s v="Jan-2015"/>
    <x v="0"/>
    <n v="556"/>
    <x v="11"/>
    <n v="0.64"/>
    <n v="7.98"/>
    <s v="28127603"/>
    <x v="36"/>
  </r>
  <r>
    <s v="Jan-2015"/>
    <x v="1"/>
    <n v="389"/>
    <x v="14"/>
    <n v="0.73"/>
    <n v="9.08"/>
    <s v="62237367"/>
    <x v="36"/>
  </r>
  <r>
    <s v="Jan-2015"/>
    <x v="0"/>
    <n v="387"/>
    <x v="15"/>
    <n v="0.6"/>
    <n v="7.5"/>
    <s v="13009717"/>
    <x v="36"/>
  </r>
  <r>
    <s v="Jan-2015"/>
    <x v="2"/>
    <n v="413"/>
    <x v="12"/>
    <n v="1.56"/>
    <n v="20.43"/>
    <s v="00517645"/>
    <x v="36"/>
  </r>
  <r>
    <s v="Jan-2015"/>
    <x v="1"/>
    <n v="356"/>
    <x v="7"/>
    <n v="0.72"/>
    <n v="8.9499999999999993"/>
    <s v="60746948"/>
    <x v="36"/>
  </r>
  <r>
    <s v="Jan-2015"/>
    <x v="2"/>
    <n v="385"/>
    <x v="0"/>
    <n v="1.47"/>
    <n v="19.149999999999999"/>
    <s v="00655522"/>
    <x v="36"/>
  </r>
  <r>
    <s v="Jan-2015"/>
    <x v="0"/>
    <n v="344"/>
    <x v="4"/>
    <n v="0.6"/>
    <n v="7.42"/>
    <s v="00360305"/>
    <x v="36"/>
  </r>
  <r>
    <s v="Jan-2015"/>
    <x v="2"/>
    <n v="339"/>
    <x v="14"/>
    <n v="1.42"/>
    <n v="18.489999999999998"/>
    <s v="62237367"/>
    <x v="36"/>
  </r>
  <r>
    <s v="Jan-2015"/>
    <x v="1"/>
    <n v="267"/>
    <x v="19"/>
    <n v="0.68"/>
    <n v="8.5"/>
    <s v="33479023"/>
    <x v="36"/>
  </r>
  <r>
    <s v="Jan-2015"/>
    <x v="2"/>
    <n v="304"/>
    <x v="3"/>
    <n v="1.35"/>
    <n v="17.48"/>
    <s v="01701201"/>
    <x v="36"/>
  </r>
  <r>
    <s v="Jan-2015"/>
    <x v="0"/>
    <n v="42"/>
    <x v="10"/>
    <n v="0.48"/>
    <n v="5.95"/>
    <s v="00000000"/>
    <x v="36"/>
  </r>
  <r>
    <s v="Jan-2015"/>
    <x v="2"/>
    <n v="94"/>
    <x v="26"/>
    <n v="0.95"/>
    <n v="12.02"/>
    <s v="18282093"/>
    <x v="36"/>
  </r>
  <r>
    <s v="Jan-2015"/>
    <x v="3"/>
    <n v="209"/>
    <x v="10"/>
    <n v="0.98"/>
    <n v="12.36"/>
    <s v="00000000"/>
    <x v="36"/>
  </r>
  <r>
    <s v="Jan-2015"/>
    <x v="1"/>
    <n v="210"/>
    <x v="15"/>
    <n v="0.63"/>
    <n v="7.84"/>
    <s v="13009717"/>
    <x v="36"/>
  </r>
  <r>
    <s v="Jan-2015"/>
    <x v="3"/>
    <n v="178"/>
    <x v="4"/>
    <n v="0.96"/>
    <n v="12.17"/>
    <s v="00360305"/>
    <x v="36"/>
  </r>
  <r>
    <s v="Jan-2015"/>
    <x v="2"/>
    <n v="33"/>
    <x v="9"/>
    <n v="0.76"/>
    <n v="9.4700000000000006"/>
    <s v="90400888"/>
    <x v="36"/>
  </r>
  <r>
    <s v="Jan-2015"/>
    <x v="3"/>
    <n v="60"/>
    <x v="9"/>
    <n v="0.81"/>
    <n v="10.199999999999999"/>
    <s v="90400888"/>
    <x v="36"/>
  </r>
  <r>
    <s v="Fev-2015"/>
    <x v="0"/>
    <n v="1122"/>
    <x v="2"/>
    <n v="0.77"/>
    <n v="9.65"/>
    <s v="60701190"/>
    <x v="37"/>
  </r>
  <r>
    <s v="Fev-2015"/>
    <x v="0"/>
    <n v="890"/>
    <x v="9"/>
    <n v="0.72"/>
    <n v="8.98"/>
    <s v="90400888"/>
    <x v="37"/>
  </r>
  <r>
    <s v="Fev-2015"/>
    <x v="0"/>
    <n v="882"/>
    <x v="18"/>
    <n v="0.72"/>
    <n v="8.9499999999999993"/>
    <s v="92702067"/>
    <x v="37"/>
  </r>
  <r>
    <s v="Fev-2015"/>
    <x v="0"/>
    <n v="868"/>
    <x v="0"/>
    <n v="0.71"/>
    <n v="8.92"/>
    <s v="00655522"/>
    <x v="37"/>
  </r>
  <r>
    <s v="Fev-2015"/>
    <x v="1"/>
    <n v="1026"/>
    <x v="4"/>
    <n v="1.1399999999999999"/>
    <n v="14.53"/>
    <s v="00360305"/>
    <x v="37"/>
  </r>
  <r>
    <s v="Fev-2015"/>
    <x v="0"/>
    <n v="867"/>
    <x v="3"/>
    <n v="0.71"/>
    <n v="8.92"/>
    <s v="01701201"/>
    <x v="37"/>
  </r>
  <r>
    <s v="Fev-2015"/>
    <x v="1"/>
    <n v="557"/>
    <x v="0"/>
    <n v="0.78"/>
    <n v="9.81"/>
    <s v="00655522"/>
    <x v="37"/>
  </r>
  <r>
    <s v="Fev-2015"/>
    <x v="0"/>
    <n v="793"/>
    <x v="7"/>
    <n v="0.7"/>
    <n v="8.7200000000000006"/>
    <s v="60746948"/>
    <x v="37"/>
  </r>
  <r>
    <s v="Fev-2015"/>
    <x v="1"/>
    <n v="472"/>
    <x v="14"/>
    <n v="0.75"/>
    <n v="9.39"/>
    <s v="62237367"/>
    <x v="37"/>
  </r>
  <r>
    <s v="Fev-2015"/>
    <x v="0"/>
    <n v="614"/>
    <x v="19"/>
    <n v="0.66"/>
    <n v="8.24"/>
    <s v="33479023"/>
    <x v="37"/>
  </r>
  <r>
    <s v="Fev-2015"/>
    <x v="1"/>
    <n v="469"/>
    <x v="2"/>
    <n v="0.75"/>
    <n v="9.3800000000000008"/>
    <s v="60701190"/>
    <x v="37"/>
  </r>
  <r>
    <s v="Fev-2015"/>
    <x v="0"/>
    <n v="582"/>
    <x v="13"/>
    <n v="0.65"/>
    <n v="8.1"/>
    <s v="00000208"/>
    <x v="37"/>
  </r>
  <r>
    <s v="Fev-2015"/>
    <x v="1"/>
    <n v="396"/>
    <x v="10"/>
    <n v="0.73"/>
    <n v="9.1"/>
    <s v="00000000"/>
    <x v="37"/>
  </r>
  <r>
    <s v="Fev-2015"/>
    <x v="0"/>
    <n v="559"/>
    <x v="11"/>
    <n v="0.64"/>
    <n v="7.99"/>
    <s v="28127603"/>
    <x v="37"/>
  </r>
  <r>
    <s v="Fev-2015"/>
    <x v="1"/>
    <n v="388"/>
    <x v="7"/>
    <n v="0.73"/>
    <n v="9.08"/>
    <s v="60746948"/>
    <x v="37"/>
  </r>
  <r>
    <s v="Fev-2015"/>
    <x v="0"/>
    <n v="386"/>
    <x v="15"/>
    <n v="0.6"/>
    <n v="7.5"/>
    <s v="13009717"/>
    <x v="37"/>
  </r>
  <r>
    <s v="Fev-2015"/>
    <x v="1"/>
    <n v="376"/>
    <x v="9"/>
    <n v="0.72"/>
    <n v="9.02"/>
    <s v="90400888"/>
    <x v="37"/>
  </r>
  <r>
    <s v="Fev-2015"/>
    <x v="2"/>
    <n v="377"/>
    <x v="0"/>
    <n v="1.47"/>
    <n v="19.079999999999998"/>
    <s v="00655522"/>
    <x v="37"/>
  </r>
  <r>
    <s v="Fev-2015"/>
    <x v="0"/>
    <n v="248"/>
    <x v="4"/>
    <n v="0.56999999999999995"/>
    <n v="7.03"/>
    <s v="00360305"/>
    <x v="37"/>
  </r>
  <r>
    <s v="Fev-2015"/>
    <x v="2"/>
    <n v="317"/>
    <x v="3"/>
    <n v="1.36"/>
    <n v="17.54"/>
    <s v="01701201"/>
    <x v="37"/>
  </r>
  <r>
    <s v="Fev-2015"/>
    <x v="1"/>
    <n v="253"/>
    <x v="19"/>
    <n v="0.67"/>
    <n v="8.3800000000000008"/>
    <s v="33479023"/>
    <x v="37"/>
  </r>
  <r>
    <s v="Fev-2015"/>
    <x v="2"/>
    <n v="132"/>
    <x v="10"/>
    <n v="1.01"/>
    <n v="12.81"/>
    <s v="00000000"/>
    <x v="37"/>
  </r>
  <r>
    <s v="Fev-2015"/>
    <x v="0"/>
    <n v="38"/>
    <x v="10"/>
    <n v="0.47"/>
    <n v="5.8"/>
    <s v="00000000"/>
    <x v="37"/>
  </r>
  <r>
    <s v="Fev-2015"/>
    <x v="2"/>
    <n v="114"/>
    <x v="9"/>
    <n v="0.99"/>
    <n v="12.5"/>
    <s v="90400888"/>
    <x v="37"/>
  </r>
  <r>
    <s v="Fev-2015"/>
    <x v="3"/>
    <n v="217"/>
    <x v="10"/>
    <n v="0.98"/>
    <n v="12.43"/>
    <s v="00000000"/>
    <x v="37"/>
  </r>
  <r>
    <s v="Fev-2015"/>
    <x v="1"/>
    <n v="154"/>
    <x v="6"/>
    <n v="0.6"/>
    <n v="7.4"/>
    <s v="14511781"/>
    <x v="37"/>
  </r>
  <r>
    <s v="Fev-2015"/>
    <x v="3"/>
    <n v="176"/>
    <x v="4"/>
    <n v="0.96"/>
    <n v="12.17"/>
    <s v="00360305"/>
    <x v="37"/>
  </r>
  <r>
    <s v="Fev-2015"/>
    <x v="2"/>
    <n v="74"/>
    <x v="26"/>
    <n v="0.9"/>
    <n v="11.32"/>
    <s v="18282093"/>
    <x v="37"/>
  </r>
  <r>
    <s v="Fev-2015"/>
    <x v="3"/>
    <n v="151"/>
    <x v="9"/>
    <n v="0.95"/>
    <n v="12"/>
    <s v="90400888"/>
    <x v="37"/>
  </r>
  <r>
    <s v="Mar-2015"/>
    <x v="0"/>
    <n v="1153"/>
    <x v="2"/>
    <n v="0.78"/>
    <n v="9.77"/>
    <s v="60701190"/>
    <x v="38"/>
  </r>
  <r>
    <s v="Mar-2015"/>
    <x v="0"/>
    <n v="937"/>
    <x v="9"/>
    <n v="0.73"/>
    <n v="9.1300000000000008"/>
    <s v="90400888"/>
    <x v="38"/>
  </r>
  <r>
    <s v="Mar-2015"/>
    <x v="0"/>
    <n v="926"/>
    <x v="18"/>
    <n v="0.73"/>
    <n v="9.09"/>
    <s v="92702067"/>
    <x v="38"/>
  </r>
  <r>
    <s v="Mar-2015"/>
    <x v="1"/>
    <n v="1019"/>
    <x v="4"/>
    <n v="1.1100000000000001"/>
    <n v="14.12"/>
    <s v="00360305"/>
    <x v="38"/>
  </r>
  <r>
    <s v="Mar-2015"/>
    <x v="0"/>
    <n v="911"/>
    <x v="0"/>
    <n v="0.72"/>
    <n v="9.0299999999999994"/>
    <s v="00655522"/>
    <x v="38"/>
  </r>
  <r>
    <s v="Mar-2015"/>
    <x v="1"/>
    <n v="550"/>
    <x v="0"/>
    <n v="0.78"/>
    <n v="9.7799999999999994"/>
    <s v="00655522"/>
    <x v="38"/>
  </r>
  <r>
    <s v="Mar-2015"/>
    <x v="0"/>
    <n v="883"/>
    <x v="3"/>
    <n v="0.72"/>
    <n v="8.9499999999999993"/>
    <s v="01701201"/>
    <x v="38"/>
  </r>
  <r>
    <s v="Mar-2015"/>
    <x v="1"/>
    <n v="497"/>
    <x v="2"/>
    <n v="0.76"/>
    <n v="9.51"/>
    <s v="60701190"/>
    <x v="38"/>
  </r>
  <r>
    <s v="Mar-2015"/>
    <x v="0"/>
    <n v="812"/>
    <x v="7"/>
    <n v="0.7"/>
    <n v="8.75"/>
    <s v="60746948"/>
    <x v="38"/>
  </r>
  <r>
    <s v="Mar-2015"/>
    <x v="1"/>
    <n v="487"/>
    <x v="15"/>
    <n v="0.76"/>
    <n v="9.4600000000000009"/>
    <s v="13009717"/>
    <x v="38"/>
  </r>
  <r>
    <s v="Mar-2015"/>
    <x v="0"/>
    <n v="630"/>
    <x v="19"/>
    <n v="0.67"/>
    <n v="8.33"/>
    <s v="33479023"/>
    <x v="38"/>
  </r>
  <r>
    <s v="Mar-2015"/>
    <x v="1"/>
    <n v="480"/>
    <x v="7"/>
    <n v="0.75"/>
    <n v="9.42"/>
    <s v="60746948"/>
    <x v="38"/>
  </r>
  <r>
    <s v="Mar-2015"/>
    <x v="0"/>
    <n v="626"/>
    <x v="13"/>
    <n v="0.67"/>
    <n v="8.32"/>
    <s v="00000208"/>
    <x v="38"/>
  </r>
  <r>
    <s v="Mar-2015"/>
    <x v="1"/>
    <n v="447"/>
    <x v="14"/>
    <n v="0.74"/>
    <n v="9.2799999999999994"/>
    <s v="62237367"/>
    <x v="38"/>
  </r>
  <r>
    <s v="Mar-2015"/>
    <x v="0"/>
    <n v="541"/>
    <x v="11"/>
    <n v="0.64"/>
    <n v="7.94"/>
    <s v="28127603"/>
    <x v="38"/>
  </r>
  <r>
    <s v="Mar-2015"/>
    <x v="1"/>
    <n v="440"/>
    <x v="10"/>
    <n v="0.74"/>
    <n v="9.26"/>
    <s v="00000000"/>
    <x v="38"/>
  </r>
  <r>
    <s v="Mar-2015"/>
    <x v="0"/>
    <n v="444"/>
    <x v="15"/>
    <n v="0.62"/>
    <n v="7.68"/>
    <s v="13009717"/>
    <x v="38"/>
  </r>
  <r>
    <s v="Mar-2015"/>
    <x v="1"/>
    <n v="437"/>
    <x v="9"/>
    <n v="0.74"/>
    <n v="9.25"/>
    <s v="90400888"/>
    <x v="38"/>
  </r>
  <r>
    <s v="Mar-2015"/>
    <x v="0"/>
    <n v="264"/>
    <x v="4"/>
    <n v="0.57999999999999996"/>
    <n v="7.15"/>
    <s v="00360305"/>
    <x v="38"/>
  </r>
  <r>
    <s v="Mar-2015"/>
    <x v="2"/>
    <n v="376"/>
    <x v="0"/>
    <n v="1.47"/>
    <n v="19.07"/>
    <s v="00655522"/>
    <x v="38"/>
  </r>
  <r>
    <s v="Mar-2015"/>
    <x v="1"/>
    <n v="378"/>
    <x v="3"/>
    <n v="0.72"/>
    <n v="9.02"/>
    <s v="01701201"/>
    <x v="38"/>
  </r>
  <r>
    <s v="Mar-2015"/>
    <x v="2"/>
    <n v="303"/>
    <x v="3"/>
    <n v="1.35"/>
    <n v="17.48"/>
    <s v="01701201"/>
    <x v="38"/>
  </r>
  <r>
    <s v="Mar-2015"/>
    <x v="0"/>
    <n v="49"/>
    <x v="10"/>
    <n v="0.49"/>
    <n v="6.03"/>
    <s v="00000000"/>
    <x v="38"/>
  </r>
  <r>
    <s v="Mar-2015"/>
    <x v="2"/>
    <n v="81"/>
    <x v="9"/>
    <n v="0.92"/>
    <n v="11.62"/>
    <s v="90400888"/>
    <x v="38"/>
  </r>
  <r>
    <s v="Mar-2015"/>
    <x v="3"/>
    <n v="231"/>
    <x v="10"/>
    <n v="1.01"/>
    <n v="12.88"/>
    <s v="00000000"/>
    <x v="38"/>
  </r>
  <r>
    <s v="Mar-2015"/>
    <x v="1"/>
    <n v="310"/>
    <x v="19"/>
    <n v="0.7"/>
    <n v="8.6999999999999993"/>
    <s v="33479023"/>
    <x v="38"/>
  </r>
  <r>
    <s v="Mar-2015"/>
    <x v="3"/>
    <n v="177"/>
    <x v="4"/>
    <n v="0.96"/>
    <n v="12.17"/>
    <s v="00360305"/>
    <x v="38"/>
  </r>
  <r>
    <s v="Mar-2015"/>
    <x v="2"/>
    <n v="76"/>
    <x v="26"/>
    <n v="0.91"/>
    <n v="11.44"/>
    <s v="18282093"/>
    <x v="38"/>
  </r>
  <r>
    <s v="Mar-2015"/>
    <x v="3"/>
    <n v="126"/>
    <x v="9"/>
    <n v="0.92"/>
    <n v="11.62"/>
    <s v="90400888"/>
    <x v="38"/>
  </r>
  <r>
    <s v="Abr-2015"/>
    <x v="0"/>
    <n v="1188"/>
    <x v="2"/>
    <n v="0.79"/>
    <n v="9.9600000000000009"/>
    <s v="60701190"/>
    <x v="39"/>
  </r>
  <r>
    <s v="Abr-2015"/>
    <x v="0"/>
    <n v="1007"/>
    <x v="9"/>
    <n v="0.74"/>
    <n v="9.3000000000000007"/>
    <s v="90400888"/>
    <x v="39"/>
  </r>
  <r>
    <s v="Abr-2015"/>
    <x v="1"/>
    <n v="1216"/>
    <x v="6"/>
    <n v="2.2200000000000002"/>
    <n v="30.17"/>
    <s v="14511781"/>
    <x v="39"/>
  </r>
  <r>
    <s v="Abr-2015"/>
    <x v="0"/>
    <n v="910"/>
    <x v="18"/>
    <n v="0.72"/>
    <n v="9.02"/>
    <s v="92702067"/>
    <x v="39"/>
  </r>
  <r>
    <s v="Abr-2015"/>
    <x v="1"/>
    <n v="979"/>
    <x v="4"/>
    <n v="1.02"/>
    <n v="12.94"/>
    <s v="00360305"/>
    <x v="39"/>
  </r>
  <r>
    <s v="Abr-2015"/>
    <x v="0"/>
    <n v="879"/>
    <x v="3"/>
    <n v="0.72"/>
    <n v="8.94"/>
    <s v="01701201"/>
    <x v="39"/>
  </r>
  <r>
    <s v="Abr-2015"/>
    <x v="1"/>
    <n v="538"/>
    <x v="14"/>
    <n v="0.78"/>
    <n v="9.7200000000000006"/>
    <s v="62237367"/>
    <x v="39"/>
  </r>
  <r>
    <s v="Abr-2015"/>
    <x v="0"/>
    <n v="878"/>
    <x v="7"/>
    <n v="0.72"/>
    <n v="8.94"/>
    <s v="60746948"/>
    <x v="39"/>
  </r>
  <r>
    <s v="Abr-2015"/>
    <x v="1"/>
    <n v="527"/>
    <x v="7"/>
    <n v="0.77"/>
    <n v="9.64"/>
    <s v="60746948"/>
    <x v="39"/>
  </r>
  <r>
    <s v="Abr-2015"/>
    <x v="0"/>
    <n v="872"/>
    <x v="0"/>
    <n v="0.71"/>
    <n v="8.92"/>
    <s v="00655522"/>
    <x v="39"/>
  </r>
  <r>
    <s v="Abr-2015"/>
    <x v="1"/>
    <n v="512"/>
    <x v="2"/>
    <n v="0.77"/>
    <n v="9.6"/>
    <s v="60701190"/>
    <x v="39"/>
  </r>
  <r>
    <s v="Abr-2015"/>
    <x v="0"/>
    <n v="806"/>
    <x v="13"/>
    <n v="0.7"/>
    <n v="8.74"/>
    <s v="00000208"/>
    <x v="39"/>
  </r>
  <r>
    <s v="Abr-2015"/>
    <x v="1"/>
    <n v="500"/>
    <x v="9"/>
    <n v="0.76"/>
    <n v="9.5299999999999994"/>
    <s v="90400888"/>
    <x v="39"/>
  </r>
  <r>
    <s v="Abr-2015"/>
    <x v="0"/>
    <n v="643"/>
    <x v="19"/>
    <n v="0.67"/>
    <n v="8.3699999999999992"/>
    <s v="33479023"/>
    <x v="39"/>
  </r>
  <r>
    <s v="Abr-2015"/>
    <x v="1"/>
    <n v="479"/>
    <x v="10"/>
    <n v="0.75"/>
    <n v="9.41"/>
    <s v="00000000"/>
    <x v="39"/>
  </r>
  <r>
    <s v="Abr-2015"/>
    <x v="0"/>
    <n v="596"/>
    <x v="11"/>
    <n v="0.66"/>
    <n v="8.18"/>
    <s v="28127603"/>
    <x v="39"/>
  </r>
  <r>
    <s v="Abr-2015"/>
    <x v="1"/>
    <n v="412"/>
    <x v="15"/>
    <n v="0.73"/>
    <n v="9.15"/>
    <s v="13009717"/>
    <x v="39"/>
  </r>
  <r>
    <s v="Abr-2015"/>
    <x v="0"/>
    <n v="513"/>
    <x v="15"/>
    <n v="0.63"/>
    <n v="7.86"/>
    <s v="13009717"/>
    <x v="39"/>
  </r>
  <r>
    <s v="Abr-2015"/>
    <x v="1"/>
    <n v="393"/>
    <x v="0"/>
    <n v="0.73"/>
    <n v="9.09"/>
    <s v="00655522"/>
    <x v="39"/>
  </r>
  <r>
    <s v="Abr-2015"/>
    <x v="0"/>
    <n v="304"/>
    <x v="4"/>
    <n v="0.59"/>
    <n v="7.34"/>
    <s v="00360305"/>
    <x v="39"/>
  </r>
  <r>
    <s v="Abr-2015"/>
    <x v="1"/>
    <n v="391"/>
    <x v="3"/>
    <n v="0.73"/>
    <n v="9.08"/>
    <s v="01701201"/>
    <x v="39"/>
  </r>
  <r>
    <s v="Abr-2015"/>
    <x v="2"/>
    <n v="383"/>
    <x v="0"/>
    <n v="1.47"/>
    <n v="19.14"/>
    <s v="00655522"/>
    <x v="39"/>
  </r>
  <r>
    <s v="Abr-2015"/>
    <x v="0"/>
    <n v="73"/>
    <x v="10"/>
    <n v="0.5"/>
    <n v="6.15"/>
    <s v="00000000"/>
    <x v="39"/>
  </r>
  <r>
    <s v="Abr-2015"/>
    <x v="3"/>
    <n v="221"/>
    <x v="10"/>
    <n v="0.99"/>
    <n v="12.5"/>
    <s v="00000000"/>
    <x v="39"/>
  </r>
  <r>
    <s v="Abr-2015"/>
    <x v="2"/>
    <n v="302"/>
    <x v="3"/>
    <n v="1.35"/>
    <n v="17.45"/>
    <s v="01701201"/>
    <x v="39"/>
  </r>
  <r>
    <s v="Abr-2015"/>
    <x v="3"/>
    <n v="180"/>
    <x v="4"/>
    <n v="0.96"/>
    <n v="12.17"/>
    <s v="00360305"/>
    <x v="39"/>
  </r>
  <r>
    <s v="Abr-2015"/>
    <x v="1"/>
    <n v="295"/>
    <x v="19"/>
    <n v="0.69"/>
    <n v="8.6300000000000008"/>
    <s v="33479023"/>
    <x v="39"/>
  </r>
  <r>
    <s v="Abr-2015"/>
    <x v="3"/>
    <n v="123"/>
    <x v="9"/>
    <n v="0.92"/>
    <n v="11.55"/>
    <s v="90400888"/>
    <x v="39"/>
  </r>
  <r>
    <s v="Abr-2015"/>
    <x v="2"/>
    <n v="97"/>
    <x v="26"/>
    <n v="0.95"/>
    <n v="12.05"/>
    <s v="18282093"/>
    <x v="39"/>
  </r>
  <r>
    <s v="Abr-2015"/>
    <x v="3"/>
    <n v="74"/>
    <x v="0"/>
    <n v="0.85"/>
    <n v="10.63"/>
    <s v="00655522"/>
    <x v="39"/>
  </r>
  <r>
    <s v="Mai-2015"/>
    <x v="0"/>
    <n v="1218"/>
    <x v="2"/>
    <n v="0.8"/>
    <n v="10.06"/>
    <s v="60701190"/>
    <x v="40"/>
  </r>
  <r>
    <s v="Mai-2015"/>
    <x v="0"/>
    <n v="1102"/>
    <x v="9"/>
    <n v="0.77"/>
    <n v="9.59"/>
    <s v="90400888"/>
    <x v="40"/>
  </r>
  <r>
    <s v="Mai-2015"/>
    <x v="1"/>
    <n v="1181"/>
    <x v="6"/>
    <n v="1.69"/>
    <n v="22.22"/>
    <s v="14511781"/>
    <x v="40"/>
  </r>
  <r>
    <s v="Mai-2015"/>
    <x v="0"/>
    <n v="951"/>
    <x v="7"/>
    <n v="0.73"/>
    <n v="9.17"/>
    <s v="60746948"/>
    <x v="40"/>
  </r>
  <r>
    <s v="Mai-2015"/>
    <x v="1"/>
    <n v="1154"/>
    <x v="4"/>
    <n v="1.5"/>
    <n v="19.54"/>
    <s v="00360305"/>
    <x v="40"/>
  </r>
  <r>
    <s v="Mai-2015"/>
    <x v="0"/>
    <n v="950"/>
    <x v="18"/>
    <n v="0.73"/>
    <n v="9.17"/>
    <s v="92702067"/>
    <x v="40"/>
  </r>
  <r>
    <s v="Mai-2015"/>
    <x v="1"/>
    <n v="781"/>
    <x v="11"/>
    <n v="0.89"/>
    <n v="11.27"/>
    <s v="28127603"/>
    <x v="40"/>
  </r>
  <r>
    <s v="Mai-2015"/>
    <x v="0"/>
    <n v="902"/>
    <x v="0"/>
    <n v="0.72"/>
    <n v="9.01"/>
    <s v="00655522"/>
    <x v="40"/>
  </r>
  <r>
    <s v="Mai-2015"/>
    <x v="1"/>
    <n v="619"/>
    <x v="14"/>
    <n v="0.81"/>
    <n v="10.16"/>
    <s v="62237367"/>
    <x v="40"/>
  </r>
  <r>
    <s v="Mai-2015"/>
    <x v="0"/>
    <n v="894"/>
    <x v="3"/>
    <n v="0.72"/>
    <n v="9"/>
    <s v="01701201"/>
    <x v="40"/>
  </r>
  <r>
    <s v="Mai-2015"/>
    <x v="1"/>
    <n v="545"/>
    <x v="7"/>
    <n v="0.78"/>
    <n v="9.75"/>
    <s v="60746948"/>
    <x v="40"/>
  </r>
  <r>
    <s v="Mai-2015"/>
    <x v="0"/>
    <n v="682"/>
    <x v="15"/>
    <n v="0.68"/>
    <n v="8.48"/>
    <s v="13009717"/>
    <x v="40"/>
  </r>
  <r>
    <s v="Mai-2015"/>
    <x v="1"/>
    <n v="544"/>
    <x v="9"/>
    <n v="0.78"/>
    <n v="9.75"/>
    <s v="90400888"/>
    <x v="40"/>
  </r>
  <r>
    <s v="Mai-2015"/>
    <x v="0"/>
    <n v="678"/>
    <x v="13"/>
    <n v="0.68"/>
    <n v="8.4700000000000006"/>
    <s v="00000208"/>
    <x v="40"/>
  </r>
  <r>
    <s v="Mai-2015"/>
    <x v="1"/>
    <n v="535"/>
    <x v="2"/>
    <n v="0.77"/>
    <n v="9.6999999999999993"/>
    <s v="60701190"/>
    <x v="40"/>
  </r>
  <r>
    <s v="Mai-2015"/>
    <x v="0"/>
    <n v="649"/>
    <x v="19"/>
    <n v="0.67"/>
    <n v="8.39"/>
    <s v="33479023"/>
    <x v="40"/>
  </r>
  <r>
    <s v="Mai-2015"/>
    <x v="1"/>
    <n v="523"/>
    <x v="10"/>
    <n v="0.77"/>
    <n v="9.6300000000000008"/>
    <s v="00000000"/>
    <x v="40"/>
  </r>
  <r>
    <s v="Mai-2015"/>
    <x v="0"/>
    <n v="603"/>
    <x v="11"/>
    <n v="0.66"/>
    <n v="8.1999999999999993"/>
    <s v="28127603"/>
    <x v="40"/>
  </r>
  <r>
    <s v="Mai-2015"/>
    <x v="1"/>
    <n v="482"/>
    <x v="15"/>
    <n v="0.75"/>
    <n v="9.43"/>
    <s v="13009717"/>
    <x v="40"/>
  </r>
  <r>
    <s v="Mai-2015"/>
    <x v="0"/>
    <n v="239"/>
    <x v="4"/>
    <n v="0.56000000000000005"/>
    <n v="6.97"/>
    <s v="00360305"/>
    <x v="40"/>
  </r>
  <r>
    <s v="Mai-2015"/>
    <x v="1"/>
    <n v="438"/>
    <x v="3"/>
    <n v="0.74"/>
    <n v="9.25"/>
    <s v="01701201"/>
    <x v="40"/>
  </r>
  <r>
    <s v="Mai-2015"/>
    <x v="0"/>
    <n v="54"/>
    <x v="17"/>
    <n v="0.49"/>
    <n v="6.05"/>
    <s v="00416968"/>
    <x v="40"/>
  </r>
  <r>
    <s v="Mai-2015"/>
    <x v="2"/>
    <n v="371"/>
    <x v="0"/>
    <n v="1.46"/>
    <n v="19.02"/>
    <s v="00655522"/>
    <x v="40"/>
  </r>
  <r>
    <s v="Mai-2015"/>
    <x v="1"/>
    <n v="318"/>
    <x v="19"/>
    <n v="0.7"/>
    <n v="8.7200000000000006"/>
    <s v="33479023"/>
    <x v="40"/>
  </r>
  <r>
    <s v="Mai-2015"/>
    <x v="2"/>
    <n v="318"/>
    <x v="10"/>
    <n v="1.36"/>
    <n v="17.54"/>
    <s v="00000000"/>
    <x v="40"/>
  </r>
  <r>
    <s v="Mai-2015"/>
    <x v="0"/>
    <n v="45"/>
    <x v="10"/>
    <n v="0.48"/>
    <n v="5.97"/>
    <s v="00000000"/>
    <x v="40"/>
  </r>
  <r>
    <s v="Mai-2015"/>
    <x v="2"/>
    <n v="286"/>
    <x v="3"/>
    <n v="1.31"/>
    <n v="16.86"/>
    <s v="01701201"/>
    <x v="40"/>
  </r>
  <r>
    <s v="Mai-2015"/>
    <x v="1"/>
    <n v="287"/>
    <x v="0"/>
    <n v="0.69"/>
    <n v="8.6"/>
    <s v="00655522"/>
    <x v="40"/>
  </r>
  <r>
    <s v="Mai-2015"/>
    <x v="3"/>
    <n v="267"/>
    <x v="9"/>
    <n v="1.1599999999999999"/>
    <n v="14.83"/>
    <s v="90400888"/>
    <x v="40"/>
  </r>
  <r>
    <s v="Mai-2015"/>
    <x v="2"/>
    <n v="84"/>
    <x v="26"/>
    <n v="0.93"/>
    <n v="11.73"/>
    <s v="18282093"/>
    <x v="40"/>
  </r>
  <r>
    <s v="Mai-2015"/>
    <x v="3"/>
    <n v="191"/>
    <x v="10"/>
    <n v="0.97"/>
    <n v="12.25"/>
    <s v="00000000"/>
    <x v="40"/>
  </r>
  <r>
    <s v="Jun-2015"/>
    <x v="0"/>
    <n v="1259"/>
    <x v="2"/>
    <n v="0.82"/>
    <n v="10.32"/>
    <s v="60701190"/>
    <x v="41"/>
  </r>
  <r>
    <s v="Jun-2015"/>
    <x v="0"/>
    <n v="1215"/>
    <x v="9"/>
    <n v="0.8"/>
    <n v="10.039999999999999"/>
    <s v="90400888"/>
    <x v="41"/>
  </r>
  <r>
    <s v="Jun-2015"/>
    <x v="1"/>
    <n v="1183"/>
    <x v="6"/>
    <n v="1.69"/>
    <n v="22.31"/>
    <s v="14511781"/>
    <x v="41"/>
  </r>
  <r>
    <s v="Jun-2015"/>
    <x v="0"/>
    <n v="1044"/>
    <x v="7"/>
    <n v="0.75"/>
    <n v="9.4"/>
    <s v="60746948"/>
    <x v="41"/>
  </r>
  <r>
    <s v="Jun-2015"/>
    <x v="1"/>
    <n v="1157"/>
    <x v="4"/>
    <n v="1.51"/>
    <n v="19.760000000000002"/>
    <s v="00360305"/>
    <x v="41"/>
  </r>
  <r>
    <s v="Jun-2015"/>
    <x v="0"/>
    <n v="965"/>
    <x v="0"/>
    <n v="0.74"/>
    <n v="9.19"/>
    <s v="00655522"/>
    <x v="41"/>
  </r>
  <r>
    <s v="Jun-2015"/>
    <x v="1"/>
    <n v="725"/>
    <x v="14"/>
    <n v="0.86"/>
    <n v="10.78"/>
    <s v="62237367"/>
    <x v="41"/>
  </r>
  <r>
    <s v="Jun-2015"/>
    <x v="0"/>
    <n v="960"/>
    <x v="18"/>
    <n v="0.73"/>
    <n v="9.18"/>
    <s v="92702067"/>
    <x v="41"/>
  </r>
  <r>
    <s v="Jun-2015"/>
    <x v="1"/>
    <n v="657"/>
    <x v="9"/>
    <n v="0.82"/>
    <n v="10.31"/>
    <s v="90400888"/>
    <x v="41"/>
  </r>
  <r>
    <s v="Jun-2015"/>
    <x v="0"/>
    <n v="944"/>
    <x v="3"/>
    <n v="0.73"/>
    <n v="9.14"/>
    <s v="01701201"/>
    <x v="41"/>
  </r>
  <r>
    <s v="Jun-2015"/>
    <x v="1"/>
    <n v="608"/>
    <x v="7"/>
    <n v="0.81"/>
    <n v="10.119999999999999"/>
    <s v="60746948"/>
    <x v="41"/>
  </r>
  <r>
    <s v="Jun-2015"/>
    <x v="0"/>
    <n v="722"/>
    <x v="13"/>
    <n v="0.69"/>
    <n v="8.56"/>
    <s v="00000208"/>
    <x v="41"/>
  </r>
  <r>
    <s v="Jun-2015"/>
    <x v="1"/>
    <n v="595"/>
    <x v="2"/>
    <n v="0.8"/>
    <n v="10.039999999999999"/>
    <s v="60701190"/>
    <x v="41"/>
  </r>
  <r>
    <s v="Jun-2015"/>
    <x v="0"/>
    <n v="704"/>
    <x v="19"/>
    <n v="0.68"/>
    <n v="8.51"/>
    <s v="33479023"/>
    <x v="41"/>
  </r>
  <r>
    <s v="Jun-2015"/>
    <x v="1"/>
    <n v="554"/>
    <x v="10"/>
    <n v="0.78"/>
    <n v="9.7899999999999991"/>
    <s v="00000000"/>
    <x v="41"/>
  </r>
  <r>
    <s v="Jun-2015"/>
    <x v="0"/>
    <n v="668"/>
    <x v="15"/>
    <n v="0.68"/>
    <n v="8.4499999999999993"/>
    <s v="13009717"/>
    <x v="41"/>
  </r>
  <r>
    <s v="Jun-2015"/>
    <x v="1"/>
    <n v="551"/>
    <x v="11"/>
    <n v="0.78"/>
    <n v="9.7799999999999994"/>
    <s v="28127603"/>
    <x v="41"/>
  </r>
  <r>
    <s v="Jun-2015"/>
    <x v="0"/>
    <n v="652"/>
    <x v="11"/>
    <n v="0.67"/>
    <n v="8.39"/>
    <s v="28127603"/>
    <x v="41"/>
  </r>
  <r>
    <s v="Jun-2015"/>
    <x v="1"/>
    <n v="477"/>
    <x v="0"/>
    <n v="0.75"/>
    <n v="9.41"/>
    <s v="00655522"/>
    <x v="41"/>
  </r>
  <r>
    <s v="Jun-2015"/>
    <x v="0"/>
    <n v="375"/>
    <x v="17"/>
    <n v="0.6"/>
    <n v="7.47"/>
    <s v="00416968"/>
    <x v="41"/>
  </r>
  <r>
    <s v="Jun-2015"/>
    <x v="1"/>
    <n v="435"/>
    <x v="3"/>
    <n v="0.74"/>
    <n v="9.24"/>
    <s v="01701201"/>
    <x v="41"/>
  </r>
  <r>
    <s v="Jun-2015"/>
    <x v="0"/>
    <n v="203"/>
    <x v="4"/>
    <n v="0.55000000000000004"/>
    <n v="6.81"/>
    <s v="00360305"/>
    <x v="41"/>
  </r>
  <r>
    <s v="Jun-2015"/>
    <x v="2"/>
    <n v="338"/>
    <x v="0"/>
    <n v="1.42"/>
    <n v="18.43"/>
    <s v="00655522"/>
    <x v="41"/>
  </r>
  <r>
    <s v="Jun-2015"/>
    <x v="1"/>
    <n v="334"/>
    <x v="19"/>
    <n v="0.71"/>
    <n v="8.8000000000000007"/>
    <s v="33479023"/>
    <x v="41"/>
  </r>
  <r>
    <s v="Jun-2015"/>
    <x v="2"/>
    <n v="319"/>
    <x v="3"/>
    <n v="1.36"/>
    <n v="17.55"/>
    <s v="01701201"/>
    <x v="41"/>
  </r>
  <r>
    <s v="Jun-2015"/>
    <x v="0"/>
    <n v="94"/>
    <x v="10"/>
    <n v="0.51"/>
    <n v="6.29"/>
    <s v="00000000"/>
    <x v="41"/>
  </r>
  <r>
    <s v="Jun-2015"/>
    <x v="3"/>
    <n v="214"/>
    <x v="10"/>
    <n v="0.98"/>
    <n v="12.41"/>
    <s v="00000000"/>
    <x v="41"/>
  </r>
  <r>
    <s v="Jun-2015"/>
    <x v="2"/>
    <n v="216"/>
    <x v="26"/>
    <n v="1.1599999999999999"/>
    <n v="14.91"/>
    <s v="18282093"/>
    <x v="41"/>
  </r>
  <r>
    <s v="Jun-2015"/>
    <x v="3"/>
    <n v="155"/>
    <x v="9"/>
    <n v="0.95"/>
    <n v="12.02"/>
    <s v="90400888"/>
    <x v="41"/>
  </r>
  <r>
    <s v="Jul-2015"/>
    <x v="1"/>
    <n v="1205"/>
    <x v="6"/>
    <n v="1.87"/>
    <n v="24.93"/>
    <s v="14511781"/>
    <x v="42"/>
  </r>
  <r>
    <s v="Jul-2015"/>
    <x v="0"/>
    <n v="1300"/>
    <x v="2"/>
    <n v="0.84"/>
    <n v="10.53"/>
    <s v="60701190"/>
    <x v="42"/>
  </r>
  <r>
    <s v="Jul-2015"/>
    <x v="1"/>
    <n v="1149"/>
    <x v="4"/>
    <n v="1.48"/>
    <n v="19.25"/>
    <s v="00360305"/>
    <x v="42"/>
  </r>
  <r>
    <s v="Jul-2015"/>
    <x v="0"/>
    <n v="1295"/>
    <x v="9"/>
    <n v="0.84"/>
    <n v="10.5"/>
    <s v="90400888"/>
    <x v="42"/>
  </r>
  <r>
    <s v="Jul-2015"/>
    <x v="1"/>
    <n v="744"/>
    <x v="9"/>
    <n v="0.87"/>
    <n v="10.95"/>
    <s v="90400888"/>
    <x v="42"/>
  </r>
  <r>
    <s v="Jul-2015"/>
    <x v="0"/>
    <n v="1137"/>
    <x v="18"/>
    <n v="0.77"/>
    <n v="9.6999999999999993"/>
    <s v="92702067"/>
    <x v="42"/>
  </r>
  <r>
    <s v="Jul-2015"/>
    <x v="1"/>
    <n v="737"/>
    <x v="11"/>
    <n v="0.87"/>
    <n v="10.9"/>
    <s v="28127603"/>
    <x v="42"/>
  </r>
  <r>
    <s v="Jul-2015"/>
    <x v="0"/>
    <n v="1084"/>
    <x v="7"/>
    <n v="0.76"/>
    <n v="9.5299999999999994"/>
    <s v="60746948"/>
    <x v="42"/>
  </r>
  <r>
    <s v="Jul-2015"/>
    <x v="1"/>
    <n v="695"/>
    <x v="14"/>
    <n v="0.84"/>
    <n v="10.55"/>
    <s v="62237367"/>
    <x v="42"/>
  </r>
  <r>
    <s v="Jul-2015"/>
    <x v="0"/>
    <n v="1045"/>
    <x v="3"/>
    <n v="0.75"/>
    <n v="9.4"/>
    <s v="01701201"/>
    <x v="42"/>
  </r>
  <r>
    <s v="Jul-2015"/>
    <x v="1"/>
    <n v="646"/>
    <x v="7"/>
    <n v="0.82"/>
    <n v="10.25"/>
    <s v="60746948"/>
    <x v="42"/>
  </r>
  <r>
    <s v="Jul-2015"/>
    <x v="0"/>
    <n v="923"/>
    <x v="0"/>
    <n v="0.73"/>
    <n v="9.08"/>
    <s v="00655522"/>
    <x v="42"/>
  </r>
  <r>
    <s v="Jul-2015"/>
    <x v="1"/>
    <n v="614"/>
    <x v="10"/>
    <n v="0.81"/>
    <n v="10.14"/>
    <s v="00000000"/>
    <x v="42"/>
  </r>
  <r>
    <s v="Jul-2015"/>
    <x v="0"/>
    <n v="776"/>
    <x v="13"/>
    <n v="0.7"/>
    <n v="8.68"/>
    <s v="00000208"/>
    <x v="42"/>
  </r>
  <r>
    <s v="Jul-2015"/>
    <x v="1"/>
    <n v="609"/>
    <x v="2"/>
    <n v="0.81"/>
    <n v="10.119999999999999"/>
    <s v="60701190"/>
    <x v="42"/>
  </r>
  <r>
    <s v="Jul-2015"/>
    <x v="0"/>
    <n v="775"/>
    <x v="19"/>
    <n v="0.7"/>
    <n v="8.68"/>
    <s v="33479023"/>
    <x v="42"/>
  </r>
  <r>
    <s v="Jul-2015"/>
    <x v="1"/>
    <n v="560"/>
    <x v="0"/>
    <n v="0.78"/>
    <n v="9.82"/>
    <s v="00655522"/>
    <x v="42"/>
  </r>
  <r>
    <s v="Jul-2015"/>
    <x v="0"/>
    <n v="723"/>
    <x v="11"/>
    <n v="0.69"/>
    <n v="8.56"/>
    <s v="28127603"/>
    <x v="42"/>
  </r>
  <r>
    <s v="Jul-2015"/>
    <x v="1"/>
    <n v="513"/>
    <x v="15"/>
    <n v="0.77"/>
    <n v="9.6"/>
    <s v="13009717"/>
    <x v="42"/>
  </r>
  <r>
    <s v="Jul-2015"/>
    <x v="0"/>
    <n v="662"/>
    <x v="15"/>
    <n v="0.68"/>
    <n v="8.43"/>
    <s v="13009717"/>
    <x v="42"/>
  </r>
  <r>
    <s v="Jul-2015"/>
    <x v="1"/>
    <n v="507"/>
    <x v="3"/>
    <n v="0.76"/>
    <n v="9.57"/>
    <s v="01701201"/>
    <x v="42"/>
  </r>
  <r>
    <s v="Jul-2015"/>
    <x v="2"/>
    <n v="335"/>
    <x v="0"/>
    <n v="1.41"/>
    <n v="18.350000000000001"/>
    <s v="00655522"/>
    <x v="42"/>
  </r>
  <r>
    <s v="Jul-2015"/>
    <x v="0"/>
    <n v="208"/>
    <x v="4"/>
    <n v="0.55000000000000004"/>
    <n v="6.83"/>
    <s v="00360305"/>
    <x v="42"/>
  </r>
  <r>
    <s v="Jul-2015"/>
    <x v="2"/>
    <n v="315"/>
    <x v="3"/>
    <n v="1.35"/>
    <n v="17.510000000000002"/>
    <s v="01701201"/>
    <x v="42"/>
  </r>
  <r>
    <s v="Jul-2015"/>
    <x v="1"/>
    <n v="484"/>
    <x v="19"/>
    <n v="0.75"/>
    <n v="9.44"/>
    <s v="33479023"/>
    <x v="42"/>
  </r>
  <r>
    <s v="Jul-2015"/>
    <x v="2"/>
    <n v="150"/>
    <x v="9"/>
    <n v="1.03"/>
    <n v="13.13"/>
    <s v="90400888"/>
    <x v="42"/>
  </r>
  <r>
    <s v="Jul-2015"/>
    <x v="0"/>
    <n v="95"/>
    <x v="10"/>
    <n v="0.51"/>
    <n v="6.29"/>
    <s v="00000000"/>
    <x v="42"/>
  </r>
  <r>
    <s v="Jul-2015"/>
    <x v="3"/>
    <n v="204"/>
    <x v="10"/>
    <n v="0.97"/>
    <n v="12.33"/>
    <s v="00000000"/>
    <x v="42"/>
  </r>
  <r>
    <s v="Jul-2015"/>
    <x v="2"/>
    <n v="126"/>
    <x v="12"/>
    <n v="1"/>
    <n v="12.68"/>
    <s v="00517645"/>
    <x v="42"/>
  </r>
  <r>
    <s v="Jul-2015"/>
    <x v="3"/>
    <n v="190"/>
    <x v="9"/>
    <n v="0.97"/>
    <n v="12.24"/>
    <s v="90400888"/>
    <x v="42"/>
  </r>
  <r>
    <s v="Jul-2015"/>
    <x v="1"/>
    <n v="199"/>
    <x v="17"/>
    <n v="0.62"/>
    <n v="7.74"/>
    <s v="00416968"/>
    <x v="42"/>
  </r>
  <r>
    <s v="Jul-2015"/>
    <x v="3"/>
    <n v="105"/>
    <x v="4"/>
    <n v="0.91"/>
    <n v="11.48"/>
    <s v="00360305"/>
    <x v="42"/>
  </r>
  <r>
    <s v="Jul-2015"/>
    <x v="2"/>
    <n v="82"/>
    <x v="26"/>
    <n v="0.92"/>
    <n v="11.62"/>
    <s v="18282093"/>
    <x v="42"/>
  </r>
  <r>
    <s v="Jul-2015"/>
    <x v="3"/>
    <n v="84"/>
    <x v="0"/>
    <n v="0.86"/>
    <n v="10.82"/>
    <s v="00655522"/>
    <x v="42"/>
  </r>
  <r>
    <s v="Ago-2015"/>
    <x v="0"/>
    <n v="1333"/>
    <x v="9"/>
    <n v="0.85"/>
    <n v="10.72"/>
    <s v="90400888"/>
    <x v="43"/>
  </r>
  <r>
    <s v="Ago-2015"/>
    <x v="0"/>
    <n v="1319"/>
    <x v="2"/>
    <n v="0.85"/>
    <n v="10.64"/>
    <s v="60701190"/>
    <x v="43"/>
  </r>
  <r>
    <s v="Ago-2015"/>
    <x v="1"/>
    <n v="1130"/>
    <x v="4"/>
    <n v="1.41"/>
    <n v="18.36"/>
    <s v="00360305"/>
    <x v="43"/>
  </r>
  <r>
    <s v="Ago-2015"/>
    <x v="0"/>
    <n v="1155"/>
    <x v="18"/>
    <n v="0.78"/>
    <n v="9.77"/>
    <s v="92702067"/>
    <x v="43"/>
  </r>
  <r>
    <s v="Ago-2015"/>
    <x v="1"/>
    <n v="816"/>
    <x v="6"/>
    <n v="0.91"/>
    <n v="11.42"/>
    <s v="14511781"/>
    <x v="43"/>
  </r>
  <r>
    <s v="Ago-2015"/>
    <x v="0"/>
    <n v="1124"/>
    <x v="3"/>
    <n v="0.77"/>
    <n v="9.65"/>
    <s v="01701201"/>
    <x v="43"/>
  </r>
  <r>
    <s v="Ago-2015"/>
    <x v="1"/>
    <n v="796"/>
    <x v="9"/>
    <n v="0.9"/>
    <n v="11.34"/>
    <s v="90400888"/>
    <x v="43"/>
  </r>
  <r>
    <s v="Ago-2015"/>
    <x v="0"/>
    <n v="1108"/>
    <x v="7"/>
    <n v="0.77"/>
    <n v="9.61"/>
    <s v="60746948"/>
    <x v="43"/>
  </r>
  <r>
    <s v="Ago-2015"/>
    <x v="1"/>
    <n v="689"/>
    <x v="14"/>
    <n v="0.84"/>
    <n v="10.5"/>
    <s v="62237367"/>
    <x v="43"/>
  </r>
  <r>
    <s v="Ago-2015"/>
    <x v="0"/>
    <n v="955"/>
    <x v="0"/>
    <n v="0.73"/>
    <n v="9.17"/>
    <s v="00655522"/>
    <x v="43"/>
  </r>
  <r>
    <s v="Ago-2015"/>
    <x v="1"/>
    <n v="680"/>
    <x v="11"/>
    <n v="0.83"/>
    <n v="10.48"/>
    <s v="28127603"/>
    <x v="43"/>
  </r>
  <r>
    <s v="Ago-2015"/>
    <x v="0"/>
    <n v="904"/>
    <x v="13"/>
    <n v="0.72"/>
    <n v="9.01"/>
    <s v="00000208"/>
    <x v="43"/>
  </r>
  <r>
    <s v="Ago-2015"/>
    <x v="1"/>
    <n v="667"/>
    <x v="10"/>
    <n v="0.83"/>
    <n v="10.39"/>
    <s v="00000000"/>
    <x v="43"/>
  </r>
  <r>
    <s v="Ago-2015"/>
    <x v="0"/>
    <n v="835"/>
    <x v="19"/>
    <n v="0.71"/>
    <n v="8.81"/>
    <s v="33479023"/>
    <x v="43"/>
  </r>
  <r>
    <s v="Ago-2015"/>
    <x v="1"/>
    <n v="666"/>
    <x v="7"/>
    <n v="0.83"/>
    <n v="10.39"/>
    <s v="60746948"/>
    <x v="43"/>
  </r>
  <r>
    <s v="Ago-2015"/>
    <x v="0"/>
    <n v="818"/>
    <x v="11"/>
    <n v="0.7"/>
    <n v="8.76"/>
    <s v="28127603"/>
    <x v="43"/>
  </r>
  <r>
    <s v="Ago-2015"/>
    <x v="1"/>
    <n v="640"/>
    <x v="2"/>
    <n v="0.81"/>
    <n v="10.210000000000001"/>
    <s v="60701190"/>
    <x v="43"/>
  </r>
  <r>
    <s v="Ago-2015"/>
    <x v="0"/>
    <n v="651"/>
    <x v="15"/>
    <n v="0.67"/>
    <n v="8.39"/>
    <s v="13009717"/>
    <x v="43"/>
  </r>
  <r>
    <s v="Ago-2015"/>
    <x v="1"/>
    <n v="546"/>
    <x v="3"/>
    <n v="0.78"/>
    <n v="9.75"/>
    <s v="01701201"/>
    <x v="43"/>
  </r>
  <r>
    <s v="Ago-2015"/>
    <x v="0"/>
    <n v="221"/>
    <x v="4"/>
    <n v="0.55000000000000004"/>
    <n v="6.86"/>
    <s v="00360305"/>
    <x v="43"/>
  </r>
  <r>
    <s v="Ago-2015"/>
    <x v="2"/>
    <n v="356"/>
    <x v="0"/>
    <n v="1.43"/>
    <n v="18.61"/>
    <s v="00655522"/>
    <x v="43"/>
  </r>
  <r>
    <s v="Ago-2015"/>
    <x v="1"/>
    <n v="529"/>
    <x v="0"/>
    <n v="0.77"/>
    <n v="9.65"/>
    <s v="00655522"/>
    <x v="43"/>
  </r>
  <r>
    <s v="Ago-2015"/>
    <x v="2"/>
    <n v="322"/>
    <x v="3"/>
    <n v="1.36"/>
    <n v="17.600000000000001"/>
    <s v="01701201"/>
    <x v="43"/>
  </r>
  <r>
    <s v="Ago-2015"/>
    <x v="0"/>
    <n v="43"/>
    <x v="10"/>
    <n v="0.48"/>
    <n v="5.95"/>
    <s v="00000000"/>
    <x v="43"/>
  </r>
  <r>
    <s v="Ago-2015"/>
    <x v="2"/>
    <n v="187"/>
    <x v="10"/>
    <n v="1.1000000000000001"/>
    <n v="14.06"/>
    <s v="00000000"/>
    <x v="43"/>
  </r>
  <r>
    <s v="Ago-2015"/>
    <x v="3"/>
    <n v="246"/>
    <x v="9"/>
    <n v="1.03"/>
    <n v="13.03"/>
    <s v="90400888"/>
    <x v="43"/>
  </r>
  <r>
    <s v="Ago-2015"/>
    <x v="1"/>
    <n v="387"/>
    <x v="19"/>
    <n v="0.73"/>
    <n v="9.07"/>
    <s v="33479023"/>
    <x v="43"/>
  </r>
  <r>
    <s v="Ago-2015"/>
    <x v="3"/>
    <n v="130"/>
    <x v="10"/>
    <n v="0.92"/>
    <n v="11.68"/>
    <s v="00000000"/>
    <x v="43"/>
  </r>
  <r>
    <s v="Ago-2015"/>
    <x v="2"/>
    <n v="100"/>
    <x v="26"/>
    <n v="0.97"/>
    <n v="12.22"/>
    <s v="18282093"/>
    <x v="43"/>
  </r>
  <r>
    <s v="Ago-2015"/>
    <x v="3"/>
    <n v="85"/>
    <x v="0"/>
    <n v="0.86"/>
    <n v="10.85"/>
    <s v="00655522"/>
    <x v="43"/>
  </r>
  <r>
    <s v="Set-2015"/>
    <x v="0"/>
    <n v="1345"/>
    <x v="9"/>
    <n v="0.86"/>
    <n v="10.82"/>
    <s v="90400888"/>
    <x v="44"/>
  </r>
  <r>
    <s v="Set-2015"/>
    <x v="0"/>
    <n v="1334"/>
    <x v="2"/>
    <n v="0.85"/>
    <n v="10.72"/>
    <s v="60701190"/>
    <x v="44"/>
  </r>
  <r>
    <s v="Set-2015"/>
    <x v="1"/>
    <n v="1215"/>
    <x v="6"/>
    <n v="2.06"/>
    <n v="27.72"/>
    <s v="14511781"/>
    <x v="44"/>
  </r>
  <r>
    <s v="Set-2015"/>
    <x v="0"/>
    <n v="1227"/>
    <x v="18"/>
    <n v="0.81"/>
    <n v="10.1"/>
    <s v="92702067"/>
    <x v="44"/>
  </r>
  <r>
    <s v="Set-2015"/>
    <x v="1"/>
    <n v="1138"/>
    <x v="4"/>
    <n v="1.45"/>
    <n v="18.82"/>
    <s v="00360305"/>
    <x v="44"/>
  </r>
  <r>
    <s v="Set-2015"/>
    <x v="0"/>
    <n v="1167"/>
    <x v="3"/>
    <n v="0.79"/>
    <n v="9.8699999999999992"/>
    <s v="01701201"/>
    <x v="44"/>
  </r>
  <r>
    <s v="Set-2015"/>
    <x v="1"/>
    <n v="810"/>
    <x v="9"/>
    <n v="0.9"/>
    <n v="11.39"/>
    <s v="90400888"/>
    <x v="44"/>
  </r>
  <r>
    <s v="Set-2015"/>
    <x v="0"/>
    <n v="1115"/>
    <x v="7"/>
    <n v="0.77"/>
    <n v="9.6300000000000008"/>
    <s v="60746948"/>
    <x v="44"/>
  </r>
  <r>
    <s v="Set-2015"/>
    <x v="1"/>
    <n v="804"/>
    <x v="11"/>
    <n v="0.9"/>
    <n v="11.38"/>
    <s v="28127603"/>
    <x v="44"/>
  </r>
  <r>
    <s v="Set-2015"/>
    <x v="0"/>
    <n v="983"/>
    <x v="13"/>
    <n v="0.74"/>
    <n v="9.2200000000000006"/>
    <s v="00000208"/>
    <x v="44"/>
  </r>
  <r>
    <s v="Set-2015"/>
    <x v="1"/>
    <n v="698"/>
    <x v="10"/>
    <n v="0.84"/>
    <n v="10.58"/>
    <s v="00000000"/>
    <x v="44"/>
  </r>
  <r>
    <s v="Set-2015"/>
    <x v="0"/>
    <n v="971"/>
    <x v="0"/>
    <n v="0.74"/>
    <n v="9.1999999999999993"/>
    <s v="00655522"/>
    <x v="44"/>
  </r>
  <r>
    <s v="Set-2015"/>
    <x v="1"/>
    <n v="670"/>
    <x v="7"/>
    <n v="0.83"/>
    <n v="10.4"/>
    <s v="60746948"/>
    <x v="44"/>
  </r>
  <r>
    <s v="Set-2015"/>
    <x v="0"/>
    <n v="855"/>
    <x v="19"/>
    <n v="0.71"/>
    <n v="8.8800000000000008"/>
    <s v="33479023"/>
    <x v="44"/>
  </r>
  <r>
    <s v="Set-2015"/>
    <x v="1"/>
    <n v="658"/>
    <x v="2"/>
    <n v="0.82"/>
    <n v="10.31"/>
    <s v="60701190"/>
    <x v="44"/>
  </r>
  <r>
    <s v="Set-2015"/>
    <x v="0"/>
    <n v="836"/>
    <x v="11"/>
    <n v="0.71"/>
    <n v="8.81"/>
    <s v="28127603"/>
    <x v="44"/>
  </r>
  <r>
    <s v="Set-2015"/>
    <x v="1"/>
    <n v="630"/>
    <x v="19"/>
    <n v="0.81"/>
    <n v="10.19"/>
    <s v="33479023"/>
    <x v="44"/>
  </r>
  <r>
    <s v="Set-2015"/>
    <x v="0"/>
    <n v="623"/>
    <x v="15"/>
    <n v="0.67"/>
    <n v="8.3000000000000007"/>
    <s v="13009717"/>
    <x v="44"/>
  </r>
  <r>
    <s v="Set-2015"/>
    <x v="1"/>
    <n v="591"/>
    <x v="3"/>
    <n v="0.8"/>
    <n v="10.02"/>
    <s v="01701201"/>
    <x v="44"/>
  </r>
  <r>
    <s v="Set-2015"/>
    <x v="2"/>
    <n v="378"/>
    <x v="0"/>
    <n v="1.47"/>
    <n v="19.079999999999998"/>
    <s v="00655522"/>
    <x v="44"/>
  </r>
  <r>
    <s v="Set-2015"/>
    <x v="0"/>
    <n v="224"/>
    <x v="4"/>
    <n v="0.56000000000000005"/>
    <n v="6.87"/>
    <s v="00360305"/>
    <x v="44"/>
  </r>
  <r>
    <s v="Set-2015"/>
    <x v="2"/>
    <n v="337"/>
    <x v="3"/>
    <n v="1.42"/>
    <n v="18.38"/>
    <s v="01701201"/>
    <x v="44"/>
  </r>
  <r>
    <s v="Set-2015"/>
    <x v="1"/>
    <n v="514"/>
    <x v="15"/>
    <n v="0.77"/>
    <n v="9.6"/>
    <s v="13009717"/>
    <x v="44"/>
  </r>
  <r>
    <s v="Set-2015"/>
    <x v="2"/>
    <n v="240"/>
    <x v="9"/>
    <n v="1.21"/>
    <n v="15.59"/>
    <s v="90400888"/>
    <x v="44"/>
  </r>
  <r>
    <s v="Set-2015"/>
    <x v="0"/>
    <n v="142"/>
    <x v="10"/>
    <n v="0.53"/>
    <n v="6.5"/>
    <s v="00000000"/>
    <x v="44"/>
  </r>
  <r>
    <s v="Set-2015"/>
    <x v="2"/>
    <n v="167"/>
    <x v="26"/>
    <n v="1.05"/>
    <n v="13.36"/>
    <s v="18282093"/>
    <x v="44"/>
  </r>
  <r>
    <s v="Set-2015"/>
    <x v="1"/>
    <n v="405"/>
    <x v="0"/>
    <n v="0.73"/>
    <n v="9.1300000000000008"/>
    <s v="00655522"/>
    <x v="44"/>
  </r>
  <r>
    <s v="Set-2015"/>
    <x v="3"/>
    <n v="249"/>
    <x v="9"/>
    <n v="1.03"/>
    <n v="13.07"/>
    <s v="90400888"/>
    <x v="44"/>
  </r>
  <r>
    <s v="Set-2015"/>
    <x v="2"/>
    <n v="133"/>
    <x v="10"/>
    <n v="1.01"/>
    <n v="12.81"/>
    <s v="00000000"/>
    <x v="44"/>
  </r>
  <r>
    <s v="Set-2015"/>
    <x v="3"/>
    <n v="135"/>
    <x v="10"/>
    <n v="0.93"/>
    <n v="11.77"/>
    <s v="00000000"/>
    <x v="44"/>
  </r>
  <r>
    <s v="Out-2015"/>
    <x v="0"/>
    <n v="1346"/>
    <x v="2"/>
    <n v="0.86"/>
    <n v="10.84"/>
    <s v="60701190"/>
    <x v="45"/>
  </r>
  <r>
    <s v="Out-2015"/>
    <x v="0"/>
    <n v="1342"/>
    <x v="9"/>
    <n v="0.86"/>
    <n v="10.8"/>
    <s v="90400888"/>
    <x v="45"/>
  </r>
  <r>
    <s v="Out-2015"/>
    <x v="0"/>
    <n v="1246"/>
    <x v="3"/>
    <n v="0.81"/>
    <n v="10.220000000000001"/>
    <s v="01701201"/>
    <x v="45"/>
  </r>
  <r>
    <s v="Out-2015"/>
    <x v="1"/>
    <n v="1169"/>
    <x v="4"/>
    <n v="1.58"/>
    <n v="20.71"/>
    <s v="00360305"/>
    <x v="45"/>
  </r>
  <r>
    <s v="Out-2015"/>
    <x v="0"/>
    <n v="1240"/>
    <x v="18"/>
    <n v="0.81"/>
    <n v="10.14"/>
    <s v="92702067"/>
    <x v="45"/>
  </r>
  <r>
    <s v="Out-2015"/>
    <x v="1"/>
    <n v="818"/>
    <x v="9"/>
    <n v="0.91"/>
    <n v="11.42"/>
    <s v="90400888"/>
    <x v="45"/>
  </r>
  <r>
    <s v="Out-2015"/>
    <x v="0"/>
    <n v="1135"/>
    <x v="7"/>
    <n v="0.77"/>
    <n v="9.69"/>
    <s v="60746948"/>
    <x v="45"/>
  </r>
  <r>
    <s v="Out-2015"/>
    <x v="1"/>
    <n v="778"/>
    <x v="11"/>
    <n v="0.89"/>
    <n v="11.25"/>
    <s v="28127603"/>
    <x v="45"/>
  </r>
  <r>
    <s v="Out-2015"/>
    <x v="0"/>
    <n v="966"/>
    <x v="0"/>
    <n v="0.74"/>
    <n v="9.1999999999999993"/>
    <s v="00655522"/>
    <x v="45"/>
  </r>
  <r>
    <s v="Out-2015"/>
    <x v="1"/>
    <n v="748"/>
    <x v="10"/>
    <n v="0.87"/>
    <n v="10.98"/>
    <s v="00000000"/>
    <x v="45"/>
  </r>
  <r>
    <s v="Out-2015"/>
    <x v="0"/>
    <n v="912"/>
    <x v="13"/>
    <n v="0.72"/>
    <n v="9.0299999999999994"/>
    <s v="00000208"/>
    <x v="45"/>
  </r>
  <r>
    <s v="Out-2015"/>
    <x v="1"/>
    <n v="724"/>
    <x v="3"/>
    <n v="0.86"/>
    <n v="10.77"/>
    <s v="01701201"/>
    <x v="45"/>
  </r>
  <r>
    <s v="Out-2015"/>
    <x v="0"/>
    <n v="895"/>
    <x v="19"/>
    <n v="0.72"/>
    <n v="9"/>
    <s v="33479023"/>
    <x v="45"/>
  </r>
  <r>
    <s v="Out-2015"/>
    <x v="1"/>
    <n v="714"/>
    <x v="7"/>
    <n v="0.85"/>
    <n v="10.68"/>
    <s v="60746948"/>
    <x v="45"/>
  </r>
  <r>
    <s v="Out-2015"/>
    <x v="0"/>
    <n v="822"/>
    <x v="11"/>
    <n v="0.7"/>
    <n v="8.7799999999999994"/>
    <s v="28127603"/>
    <x v="45"/>
  </r>
  <r>
    <s v="Out-2015"/>
    <x v="1"/>
    <n v="704"/>
    <x v="2"/>
    <n v="0.84"/>
    <n v="10.62"/>
    <s v="60701190"/>
    <x v="45"/>
  </r>
  <r>
    <s v="Out-2015"/>
    <x v="0"/>
    <n v="645"/>
    <x v="15"/>
    <n v="0.67"/>
    <n v="8.3800000000000008"/>
    <s v="13009717"/>
    <x v="45"/>
  </r>
  <r>
    <s v="Out-2015"/>
    <x v="1"/>
    <n v="589"/>
    <x v="19"/>
    <n v="0.8"/>
    <n v="10.01"/>
    <s v="33479023"/>
    <x v="45"/>
  </r>
  <r>
    <s v="Out-2015"/>
    <x v="2"/>
    <n v="400"/>
    <x v="3"/>
    <n v="1.52"/>
    <n v="19.78"/>
    <s v="01701201"/>
    <x v="45"/>
  </r>
  <r>
    <s v="Out-2015"/>
    <x v="0"/>
    <n v="218"/>
    <x v="4"/>
    <n v="0.55000000000000004"/>
    <n v="6.86"/>
    <s v="00360305"/>
    <x v="45"/>
  </r>
  <r>
    <s v="Out-2015"/>
    <x v="2"/>
    <n v="379"/>
    <x v="0"/>
    <n v="1.47"/>
    <n v="19.079999999999998"/>
    <s v="00655522"/>
    <x v="45"/>
  </r>
  <r>
    <s v="Out-2015"/>
    <x v="1"/>
    <n v="547"/>
    <x v="0"/>
    <n v="0.78"/>
    <n v="9.75"/>
    <s v="00655522"/>
    <x v="45"/>
  </r>
  <r>
    <s v="Out-2015"/>
    <x v="2"/>
    <n v="310"/>
    <x v="9"/>
    <n v="1.35"/>
    <n v="17.5"/>
    <s v="90400888"/>
    <x v="45"/>
  </r>
  <r>
    <s v="Out-2015"/>
    <x v="0"/>
    <n v="151"/>
    <x v="10"/>
    <n v="0.53"/>
    <n v="6.55"/>
    <s v="00000000"/>
    <x v="45"/>
  </r>
  <r>
    <s v="Out-2015"/>
    <x v="2"/>
    <n v="176"/>
    <x v="10"/>
    <n v="1.07"/>
    <n v="13.66"/>
    <s v="00000000"/>
    <x v="45"/>
  </r>
  <r>
    <s v="Out-2015"/>
    <x v="1"/>
    <n v="515"/>
    <x v="15"/>
    <n v="0.77"/>
    <n v="9.6"/>
    <s v="13009717"/>
    <x v="45"/>
  </r>
  <r>
    <s v="Out-2015"/>
    <x v="3"/>
    <n v="243"/>
    <x v="9"/>
    <n v="1.02"/>
    <n v="12.95"/>
    <s v="90400888"/>
    <x v="45"/>
  </r>
  <r>
    <s v="Out-2015"/>
    <x v="2"/>
    <n v="110"/>
    <x v="26"/>
    <n v="0.98"/>
    <n v="12.41"/>
    <s v="18282093"/>
    <x v="45"/>
  </r>
  <r>
    <s v="Out-2015"/>
    <x v="3"/>
    <n v="197"/>
    <x v="10"/>
    <n v="0.97"/>
    <n v="12.3"/>
    <s v="00000000"/>
    <x v="45"/>
  </r>
  <r>
    <s v="Nov-2015"/>
    <x v="0"/>
    <n v="1353"/>
    <x v="2"/>
    <n v="0.88"/>
    <n v="11.03"/>
    <s v="60701190"/>
    <x v="46"/>
  </r>
  <r>
    <s v="Nov-2015"/>
    <x v="0"/>
    <n v="1340"/>
    <x v="9"/>
    <n v="0.86"/>
    <n v="10.76"/>
    <s v="90400888"/>
    <x v="46"/>
  </r>
  <r>
    <s v="Nov-2015"/>
    <x v="0"/>
    <n v="1247"/>
    <x v="18"/>
    <n v="0.81"/>
    <n v="10.23"/>
    <s v="92702067"/>
    <x v="46"/>
  </r>
  <r>
    <s v="Nov-2015"/>
    <x v="0"/>
    <n v="1229"/>
    <x v="3"/>
    <n v="0.81"/>
    <n v="10.11"/>
    <s v="01701201"/>
    <x v="46"/>
  </r>
  <r>
    <s v="Nov-2015"/>
    <x v="1"/>
    <n v="1133"/>
    <x v="4"/>
    <n v="1.42"/>
    <n v="18.41"/>
    <s v="00360305"/>
    <x v="46"/>
  </r>
  <r>
    <s v="Nov-2015"/>
    <x v="0"/>
    <n v="1140"/>
    <x v="7"/>
    <n v="0.78"/>
    <n v="9.7100000000000009"/>
    <s v="60746948"/>
    <x v="46"/>
  </r>
  <r>
    <s v="Nov-2015"/>
    <x v="1"/>
    <n v="826"/>
    <x v="19"/>
    <n v="0.91"/>
    <n v="11.45"/>
    <s v="33479023"/>
    <x v="46"/>
  </r>
  <r>
    <s v="Nov-2015"/>
    <x v="0"/>
    <n v="974"/>
    <x v="0"/>
    <n v="0.74"/>
    <n v="9.2100000000000009"/>
    <s v="00655522"/>
    <x v="46"/>
  </r>
  <r>
    <s v="Nov-2015"/>
    <x v="1"/>
    <n v="821"/>
    <x v="9"/>
    <n v="0.91"/>
    <n v="11.43"/>
    <s v="90400888"/>
    <x v="46"/>
  </r>
  <r>
    <s v="Nov-2015"/>
    <x v="0"/>
    <n v="918"/>
    <x v="19"/>
    <n v="0.73"/>
    <n v="9.06"/>
    <s v="33479023"/>
    <x v="46"/>
  </r>
  <r>
    <s v="Nov-2015"/>
    <x v="1"/>
    <n v="753"/>
    <x v="10"/>
    <n v="0.87"/>
    <n v="11.01"/>
    <s v="00000000"/>
    <x v="46"/>
  </r>
  <r>
    <s v="Nov-2015"/>
    <x v="0"/>
    <n v="896"/>
    <x v="13"/>
    <n v="0.72"/>
    <n v="9"/>
    <s v="00000208"/>
    <x v="46"/>
  </r>
  <r>
    <s v="Nov-2015"/>
    <x v="1"/>
    <n v="742"/>
    <x v="2"/>
    <n v="0.87"/>
    <n v="10.93"/>
    <s v="60701190"/>
    <x v="46"/>
  </r>
  <r>
    <s v="Nov-2015"/>
    <x v="0"/>
    <n v="851"/>
    <x v="11"/>
    <n v="0.71"/>
    <n v="8.85"/>
    <s v="28127603"/>
    <x v="46"/>
  </r>
  <r>
    <s v="Nov-2015"/>
    <x v="1"/>
    <n v="705"/>
    <x v="7"/>
    <n v="0.84"/>
    <n v="10.62"/>
    <s v="60746948"/>
    <x v="46"/>
  </r>
  <r>
    <s v="Nov-2015"/>
    <x v="0"/>
    <n v="702"/>
    <x v="15"/>
    <n v="0.68"/>
    <n v="8.51"/>
    <s v="13009717"/>
    <x v="46"/>
  </r>
  <r>
    <s v="Nov-2015"/>
    <x v="1"/>
    <n v="696"/>
    <x v="3"/>
    <n v="0.84"/>
    <n v="10.55"/>
    <s v="01701201"/>
    <x v="46"/>
  </r>
  <r>
    <s v="Nov-2015"/>
    <x v="2"/>
    <n v="402"/>
    <x v="3"/>
    <n v="1.52"/>
    <n v="19.84"/>
    <s v="01701201"/>
    <x v="46"/>
  </r>
  <r>
    <s v="Nov-2015"/>
    <x v="0"/>
    <n v="194"/>
    <x v="4"/>
    <n v="0.55000000000000004"/>
    <n v="6.8"/>
    <s v="00360305"/>
    <x v="46"/>
  </r>
  <r>
    <s v="Nov-2015"/>
    <x v="2"/>
    <n v="375"/>
    <x v="0"/>
    <n v="1.46"/>
    <n v="19.059999999999999"/>
    <s v="00655522"/>
    <x v="46"/>
  </r>
  <r>
    <s v="Nov-2015"/>
    <x v="1"/>
    <n v="596"/>
    <x v="0"/>
    <n v="0.8"/>
    <n v="10.039999999999999"/>
    <s v="00655522"/>
    <x v="46"/>
  </r>
  <r>
    <s v="Nov-2015"/>
    <x v="2"/>
    <n v="192"/>
    <x v="9"/>
    <n v="1.1100000000000001"/>
    <n v="14.19"/>
    <s v="90400888"/>
    <x v="46"/>
  </r>
  <r>
    <s v="Nov-2015"/>
    <x v="0"/>
    <n v="141"/>
    <x v="10"/>
    <n v="0.53"/>
    <n v="6.5"/>
    <s v="00000000"/>
    <x v="46"/>
  </r>
  <r>
    <s v="Nov-2015"/>
    <x v="2"/>
    <n v="175"/>
    <x v="26"/>
    <n v="1.07"/>
    <n v="13.65"/>
    <s v="18282093"/>
    <x v="46"/>
  </r>
  <r>
    <s v="Nov-2015"/>
    <x v="1"/>
    <n v="568"/>
    <x v="15"/>
    <n v="0.79"/>
    <n v="9.86"/>
    <s v="13009717"/>
    <x v="46"/>
  </r>
  <r>
    <s v="Nov-2015"/>
    <x v="3"/>
    <n v="253"/>
    <x v="9"/>
    <n v="1.03"/>
    <n v="13.15"/>
    <s v="90400888"/>
    <x v="46"/>
  </r>
  <r>
    <s v="Nov-2015"/>
    <x v="2"/>
    <n v="119"/>
    <x v="10"/>
    <n v="0.99"/>
    <n v="12.59"/>
    <s v="00000000"/>
    <x v="46"/>
  </r>
  <r>
    <s v="Nov-2015"/>
    <x v="3"/>
    <n v="194"/>
    <x v="10"/>
    <n v="0.97"/>
    <n v="12.27"/>
    <s v="00000000"/>
    <x v="46"/>
  </r>
  <r>
    <s v="Dez-2015"/>
    <x v="0"/>
    <n v="1354"/>
    <x v="2"/>
    <n v="0.88"/>
    <n v="11.12"/>
    <s v="60701190"/>
    <x v="47"/>
  </r>
  <r>
    <s v="Dez-2015"/>
    <x v="0"/>
    <n v="1336"/>
    <x v="9"/>
    <n v="0.85"/>
    <n v="10.73"/>
    <s v="90400888"/>
    <x v="47"/>
  </r>
  <r>
    <s v="Dez-2015"/>
    <x v="0"/>
    <n v="1269"/>
    <x v="18"/>
    <n v="0.83"/>
    <n v="10.42"/>
    <s v="92702067"/>
    <x v="47"/>
  </r>
  <r>
    <s v="Dez-2015"/>
    <x v="1"/>
    <n v="1124"/>
    <x v="4"/>
    <n v="1.4"/>
    <n v="18.18"/>
    <s v="00360305"/>
    <x v="47"/>
  </r>
  <r>
    <s v="Dez-2015"/>
    <x v="0"/>
    <n v="1220"/>
    <x v="3"/>
    <n v="0.8"/>
    <n v="10.07"/>
    <s v="01701201"/>
    <x v="47"/>
  </r>
  <r>
    <s v="Dez-2015"/>
    <x v="1"/>
    <n v="844"/>
    <x v="11"/>
    <n v="0.91"/>
    <n v="11.54"/>
    <s v="28127603"/>
    <x v="47"/>
  </r>
  <r>
    <s v="Dez-2015"/>
    <x v="0"/>
    <n v="1158"/>
    <x v="13"/>
    <n v="0.78"/>
    <n v="9.81"/>
    <s v="00000208"/>
    <x v="47"/>
  </r>
  <r>
    <s v="Dez-2015"/>
    <x v="1"/>
    <n v="843"/>
    <x v="19"/>
    <n v="0.91"/>
    <n v="11.54"/>
    <s v="33479023"/>
    <x v="47"/>
  </r>
  <r>
    <s v="Dez-2015"/>
    <x v="0"/>
    <n v="1152"/>
    <x v="7"/>
    <n v="0.78"/>
    <n v="9.76"/>
    <s v="60746948"/>
    <x v="47"/>
  </r>
  <r>
    <s v="Dez-2015"/>
    <x v="1"/>
    <n v="789"/>
    <x v="9"/>
    <n v="0.9"/>
    <n v="11.29"/>
    <s v="90400888"/>
    <x v="47"/>
  </r>
  <r>
    <s v="Dez-2015"/>
    <x v="0"/>
    <n v="1036"/>
    <x v="19"/>
    <n v="0.75"/>
    <n v="9.3800000000000008"/>
    <s v="33479023"/>
    <x v="47"/>
  </r>
  <r>
    <s v="Dez-2015"/>
    <x v="1"/>
    <n v="763"/>
    <x v="2"/>
    <n v="0.88"/>
    <n v="11.07"/>
    <s v="60701190"/>
    <x v="47"/>
  </r>
  <r>
    <s v="Dez-2015"/>
    <x v="0"/>
    <n v="984"/>
    <x v="0"/>
    <n v="0.74"/>
    <n v="9.23"/>
    <s v="00655522"/>
    <x v="47"/>
  </r>
  <r>
    <s v="Dez-2015"/>
    <x v="1"/>
    <n v="758"/>
    <x v="10"/>
    <n v="0.88"/>
    <n v="11.04"/>
    <s v="00000000"/>
    <x v="47"/>
  </r>
  <r>
    <s v="Dez-2015"/>
    <x v="0"/>
    <n v="897"/>
    <x v="11"/>
    <n v="0.72"/>
    <n v="9"/>
    <s v="28127603"/>
    <x v="47"/>
  </r>
  <r>
    <s v="Dez-2015"/>
    <x v="1"/>
    <n v="754"/>
    <x v="7"/>
    <n v="0.87"/>
    <n v="11.01"/>
    <s v="60746948"/>
    <x v="47"/>
  </r>
  <r>
    <s v="Dez-2015"/>
    <x v="0"/>
    <n v="820"/>
    <x v="15"/>
    <n v="0.7"/>
    <n v="8.77"/>
    <s v="13009717"/>
    <x v="47"/>
  </r>
  <r>
    <s v="Dez-2015"/>
    <x v="1"/>
    <n v="716"/>
    <x v="3"/>
    <n v="0.85"/>
    <n v="10.71"/>
    <s v="01701201"/>
    <x v="47"/>
  </r>
  <r>
    <s v="Dez-2015"/>
    <x v="2"/>
    <n v="368"/>
    <x v="0"/>
    <n v="1.46"/>
    <n v="18.96"/>
    <s v="00655522"/>
    <x v="47"/>
  </r>
  <r>
    <s v="Dez-2015"/>
    <x v="0"/>
    <n v="195"/>
    <x v="4"/>
    <n v="0.55000000000000004"/>
    <n v="6.8"/>
    <s v="00360305"/>
    <x v="47"/>
  </r>
  <r>
    <s v="Dez-2015"/>
    <x v="2"/>
    <n v="360"/>
    <x v="3"/>
    <n v="1.44"/>
    <n v="18.739999999999998"/>
    <s v="01701201"/>
    <x v="47"/>
  </r>
  <r>
    <s v="Dez-2015"/>
    <x v="1"/>
    <n v="531"/>
    <x v="15"/>
    <n v="0.77"/>
    <n v="9.66"/>
    <s v="13009717"/>
    <x v="47"/>
  </r>
  <r>
    <s v="Dez-2015"/>
    <x v="2"/>
    <n v="134"/>
    <x v="10"/>
    <n v="1.01"/>
    <n v="12.81"/>
    <s v="00000000"/>
    <x v="47"/>
  </r>
  <r>
    <s v="Dez-2015"/>
    <x v="0"/>
    <n v="119"/>
    <x v="10"/>
    <n v="0.52"/>
    <n v="6.45"/>
    <s v="00000000"/>
    <x v="47"/>
  </r>
  <r>
    <s v="Dez-2015"/>
    <x v="2"/>
    <n v="71"/>
    <x v="26"/>
    <n v="0.88"/>
    <n v="11.1"/>
    <s v="18282093"/>
    <x v="47"/>
  </r>
  <r>
    <s v="Dez-2015"/>
    <x v="1"/>
    <n v="465"/>
    <x v="0"/>
    <n v="0.75"/>
    <n v="9.36"/>
    <s v="00655522"/>
    <x v="47"/>
  </r>
  <r>
    <s v="Dez-2015"/>
    <x v="3"/>
    <n v="189"/>
    <x v="10"/>
    <n v="0.97"/>
    <n v="12.23"/>
    <s v="00000000"/>
    <x v="47"/>
  </r>
  <r>
    <s v="Dez-2015"/>
    <x v="2"/>
    <n v="69"/>
    <x v="9"/>
    <n v="0.87"/>
    <n v="11.01"/>
    <s v="90400888"/>
    <x v="47"/>
  </r>
  <r>
    <s v="Dez-2015"/>
    <x v="3"/>
    <n v="62"/>
    <x v="9"/>
    <n v="0.82"/>
    <n v="10.29"/>
    <s v="90400888"/>
    <x v="47"/>
  </r>
  <r>
    <s v="Jan-2016"/>
    <x v="0"/>
    <n v="1360"/>
    <x v="2"/>
    <n v="0.89"/>
    <n v="11.2"/>
    <s v="60701190"/>
    <x v="48"/>
  </r>
  <r>
    <s v="Jan-2016"/>
    <x v="0"/>
    <n v="1328"/>
    <x v="9"/>
    <n v="0.85"/>
    <n v="10.7"/>
    <s v="90400888"/>
    <x v="48"/>
  </r>
  <r>
    <s v="Jan-2016"/>
    <x v="0"/>
    <n v="1280"/>
    <x v="18"/>
    <n v="0.83"/>
    <n v="10.46"/>
    <s v="92702067"/>
    <x v="48"/>
  </r>
  <r>
    <s v="Jan-2016"/>
    <x v="1"/>
    <n v="1155"/>
    <x v="4"/>
    <n v="1.5"/>
    <n v="19.62"/>
    <s v="00360305"/>
    <x v="48"/>
  </r>
  <r>
    <s v="Jan-2016"/>
    <x v="0"/>
    <n v="1189"/>
    <x v="3"/>
    <n v="0.79"/>
    <n v="9.9600000000000009"/>
    <s v="01701201"/>
    <x v="48"/>
  </r>
  <r>
    <s v="Jan-2016"/>
    <x v="1"/>
    <n v="812"/>
    <x v="9"/>
    <n v="0.9"/>
    <n v="11.4"/>
    <s v="90400888"/>
    <x v="48"/>
  </r>
  <r>
    <s v="Jan-2016"/>
    <x v="0"/>
    <n v="1147"/>
    <x v="7"/>
    <n v="0.78"/>
    <n v="9.73"/>
    <s v="60746948"/>
    <x v="48"/>
  </r>
  <r>
    <s v="Jan-2016"/>
    <x v="1"/>
    <n v="805"/>
    <x v="11"/>
    <n v="0.9"/>
    <n v="11.38"/>
    <s v="28127603"/>
    <x v="48"/>
  </r>
  <r>
    <s v="Jan-2016"/>
    <x v="0"/>
    <n v="1139"/>
    <x v="19"/>
    <n v="0.77"/>
    <n v="9.6999999999999993"/>
    <s v="33479023"/>
    <x v="48"/>
  </r>
  <r>
    <s v="Jan-2016"/>
    <x v="1"/>
    <n v="790"/>
    <x v="7"/>
    <n v="0.9"/>
    <n v="11.31"/>
    <s v="60746948"/>
    <x v="48"/>
  </r>
  <r>
    <s v="Jan-2016"/>
    <x v="0"/>
    <n v="1114"/>
    <x v="13"/>
    <n v="0.77"/>
    <n v="9.6300000000000008"/>
    <s v="00000208"/>
    <x v="48"/>
  </r>
  <r>
    <s v="Jan-2016"/>
    <x v="1"/>
    <n v="788"/>
    <x v="2"/>
    <n v="0.9"/>
    <n v="11.29"/>
    <s v="60701190"/>
    <x v="48"/>
  </r>
  <r>
    <s v="Jan-2016"/>
    <x v="0"/>
    <n v="982"/>
    <x v="0"/>
    <n v="0.74"/>
    <n v="9.2200000000000006"/>
    <s v="00655522"/>
    <x v="48"/>
  </r>
  <r>
    <s v="Jan-2016"/>
    <x v="1"/>
    <n v="767"/>
    <x v="10"/>
    <n v="0.88"/>
    <n v="11.1"/>
    <s v="00000000"/>
    <x v="48"/>
  </r>
  <r>
    <s v="Jan-2016"/>
    <x v="0"/>
    <n v="880"/>
    <x v="11"/>
    <n v="0.72"/>
    <n v="8.94"/>
    <s v="28127603"/>
    <x v="48"/>
  </r>
  <r>
    <s v="Jan-2016"/>
    <x v="1"/>
    <n v="702"/>
    <x v="3"/>
    <n v="0.84"/>
    <n v="10.6"/>
    <s v="01701201"/>
    <x v="48"/>
  </r>
  <r>
    <s v="Jan-2016"/>
    <x v="0"/>
    <n v="800"/>
    <x v="15"/>
    <n v="0.7"/>
    <n v="8.7200000000000006"/>
    <s v="13009717"/>
    <x v="48"/>
  </r>
  <r>
    <s v="Jan-2016"/>
    <x v="1"/>
    <n v="675"/>
    <x v="0"/>
    <n v="0.83"/>
    <n v="10.44"/>
    <s v="00655522"/>
    <x v="48"/>
  </r>
  <r>
    <s v="Jan-2016"/>
    <x v="0"/>
    <n v="216"/>
    <x v="10"/>
    <n v="0.55000000000000004"/>
    <n v="6.85"/>
    <s v="00000000"/>
    <x v="48"/>
  </r>
  <r>
    <s v="Jan-2016"/>
    <x v="1"/>
    <n v="628"/>
    <x v="15"/>
    <n v="0.81"/>
    <n v="10.18"/>
    <s v="13009717"/>
    <x v="48"/>
  </r>
  <r>
    <s v="Jan-2016"/>
    <x v="2"/>
    <n v="422"/>
    <x v="0"/>
    <n v="1.75"/>
    <n v="23.18"/>
    <s v="00655522"/>
    <x v="48"/>
  </r>
  <r>
    <s v="Jan-2016"/>
    <x v="0"/>
    <n v="209"/>
    <x v="4"/>
    <n v="0.55000000000000004"/>
    <n v="6.83"/>
    <s v="00360305"/>
    <x v="48"/>
  </r>
  <r>
    <s v="Jan-2016"/>
    <x v="2"/>
    <n v="324"/>
    <x v="3"/>
    <n v="1.36"/>
    <n v="17.63"/>
    <s v="01701201"/>
    <x v="48"/>
  </r>
  <r>
    <s v="Jan-2016"/>
    <x v="1"/>
    <n v="601"/>
    <x v="19"/>
    <n v="0.8"/>
    <n v="10.07"/>
    <s v="33479023"/>
    <x v="48"/>
  </r>
  <r>
    <s v="Jan-2016"/>
    <x v="3"/>
    <n v="205"/>
    <x v="10"/>
    <n v="0.97"/>
    <n v="12.33"/>
    <s v="00000000"/>
    <x v="48"/>
  </r>
  <r>
    <s v="Jan-2016"/>
    <x v="2"/>
    <n v="96"/>
    <x v="26"/>
    <n v="0.95"/>
    <n v="12.04"/>
    <s v="18282093"/>
    <x v="48"/>
  </r>
  <r>
    <s v="Jan-2016"/>
    <x v="3"/>
    <n v="89"/>
    <x v="9"/>
    <n v="0.88"/>
    <n v="11.07"/>
    <s v="90400888"/>
    <x v="48"/>
  </r>
  <r>
    <s v="Fev-2016"/>
    <x v="0"/>
    <n v="1388"/>
    <x v="2"/>
    <n v="0.98"/>
    <n v="12.43"/>
    <s v="60701190"/>
    <x v="49"/>
  </r>
  <r>
    <s v="Fev-2016"/>
    <x v="0"/>
    <n v="1322"/>
    <x v="9"/>
    <n v="0.85"/>
    <n v="10.67"/>
    <s v="90400888"/>
    <x v="49"/>
  </r>
  <r>
    <s v="Fev-2016"/>
    <x v="0"/>
    <n v="1251"/>
    <x v="18"/>
    <n v="0.82"/>
    <n v="10.25"/>
    <s v="92702067"/>
    <x v="49"/>
  </r>
  <r>
    <s v="Fev-2016"/>
    <x v="1"/>
    <n v="1152"/>
    <x v="4"/>
    <n v="1.49"/>
    <n v="19.39"/>
    <s v="00360305"/>
    <x v="49"/>
  </r>
  <r>
    <s v="Fev-2016"/>
    <x v="0"/>
    <n v="1225"/>
    <x v="13"/>
    <n v="0.81"/>
    <n v="10.1"/>
    <s v="00000208"/>
    <x v="49"/>
  </r>
  <r>
    <s v="Fev-2016"/>
    <x v="1"/>
    <n v="898"/>
    <x v="19"/>
    <n v="0.94"/>
    <n v="11.86"/>
    <s v="33479023"/>
    <x v="49"/>
  </r>
  <r>
    <s v="Fev-2016"/>
    <x v="0"/>
    <n v="1196"/>
    <x v="3"/>
    <n v="0.8"/>
    <n v="9.99"/>
    <s v="01701201"/>
    <x v="49"/>
  </r>
  <r>
    <s v="Fev-2016"/>
    <x v="1"/>
    <n v="820"/>
    <x v="9"/>
    <n v="0.91"/>
    <n v="11.43"/>
    <s v="90400888"/>
    <x v="49"/>
  </r>
  <r>
    <s v="Fev-2016"/>
    <x v="0"/>
    <n v="1182"/>
    <x v="19"/>
    <n v="0.79"/>
    <n v="9.9499999999999993"/>
    <s v="33479023"/>
    <x v="49"/>
  </r>
  <r>
    <s v="Fev-2016"/>
    <x v="1"/>
    <n v="803"/>
    <x v="0"/>
    <n v="0.9"/>
    <n v="11.38"/>
    <s v="00655522"/>
    <x v="49"/>
  </r>
  <r>
    <s v="Fev-2016"/>
    <x v="0"/>
    <n v="1156"/>
    <x v="7"/>
    <n v="0.78"/>
    <n v="9.7799999999999994"/>
    <s v="60746948"/>
    <x v="49"/>
  </r>
  <r>
    <s v="Fev-2016"/>
    <x v="1"/>
    <n v="802"/>
    <x v="7"/>
    <n v="0.9"/>
    <n v="11.38"/>
    <s v="60746948"/>
    <x v="49"/>
  </r>
  <r>
    <s v="Fev-2016"/>
    <x v="0"/>
    <n v="956"/>
    <x v="0"/>
    <n v="0.73"/>
    <n v="9.18"/>
    <s v="00655522"/>
    <x v="49"/>
  </r>
  <r>
    <s v="Fev-2016"/>
    <x v="1"/>
    <n v="780"/>
    <x v="10"/>
    <n v="0.89"/>
    <n v="11.27"/>
    <s v="00000000"/>
    <x v="49"/>
  </r>
  <r>
    <s v="Fev-2016"/>
    <x v="0"/>
    <n v="925"/>
    <x v="11"/>
    <n v="0.73"/>
    <n v="9.09"/>
    <s v="28127603"/>
    <x v="49"/>
  </r>
  <r>
    <s v="Fev-2016"/>
    <x v="1"/>
    <n v="735"/>
    <x v="2"/>
    <n v="0.86"/>
    <n v="10.88"/>
    <s v="60701190"/>
    <x v="49"/>
  </r>
  <r>
    <s v="Fev-2016"/>
    <x v="0"/>
    <n v="850"/>
    <x v="15"/>
    <n v="0.71"/>
    <n v="8.85"/>
    <s v="13009717"/>
    <x v="49"/>
  </r>
  <r>
    <s v="Fev-2016"/>
    <x v="1"/>
    <n v="708"/>
    <x v="3"/>
    <n v="0.85"/>
    <n v="10.63"/>
    <s v="01701201"/>
    <x v="49"/>
  </r>
  <r>
    <s v="Fev-2016"/>
    <x v="0"/>
    <n v="174"/>
    <x v="4"/>
    <n v="0.55000000000000004"/>
    <n v="6.74"/>
    <s v="00360305"/>
    <x v="49"/>
  </r>
  <r>
    <s v="Fev-2016"/>
    <x v="2"/>
    <n v="426"/>
    <x v="0"/>
    <n v="1.76"/>
    <n v="23.26"/>
    <s v="00655522"/>
    <x v="49"/>
  </r>
  <r>
    <s v="Fev-2016"/>
    <x v="1"/>
    <n v="701"/>
    <x v="15"/>
    <n v="0.84"/>
    <n v="10.6"/>
    <s v="13009717"/>
    <x v="49"/>
  </r>
  <r>
    <s v="Fev-2016"/>
    <x v="2"/>
    <n v="403"/>
    <x v="3"/>
    <n v="1.52"/>
    <n v="19.86"/>
    <s v="01701201"/>
    <x v="49"/>
  </r>
  <r>
    <s v="Fev-2016"/>
    <x v="0"/>
    <n v="159"/>
    <x v="10"/>
    <n v="0.53"/>
    <n v="6.6"/>
    <s v="00000000"/>
    <x v="49"/>
  </r>
  <r>
    <s v="Fev-2016"/>
    <x v="2"/>
    <n v="153"/>
    <x v="10"/>
    <n v="1.04"/>
    <n v="13.17"/>
    <s v="00000000"/>
    <x v="49"/>
  </r>
  <r>
    <s v="Fev-2016"/>
    <x v="1"/>
    <n v="639"/>
    <x v="11"/>
    <n v="0.81"/>
    <n v="10.210000000000001"/>
    <s v="28127603"/>
    <x v="49"/>
  </r>
  <r>
    <s v="Fev-2016"/>
    <x v="3"/>
    <n v="218"/>
    <x v="10"/>
    <n v="0.98"/>
    <n v="12.44"/>
    <s v="00000000"/>
    <x v="49"/>
  </r>
  <r>
    <s v="Fev-2016"/>
    <x v="2"/>
    <n v="147"/>
    <x v="26"/>
    <n v="1.03"/>
    <n v="13.08"/>
    <s v="18282093"/>
    <x v="49"/>
  </r>
  <r>
    <s v="Fev-2016"/>
    <x v="3"/>
    <n v="56"/>
    <x v="9"/>
    <n v="0.81"/>
    <n v="10.1"/>
    <s v="90400888"/>
    <x v="49"/>
  </r>
  <r>
    <s v="Mar-2016"/>
    <x v="0"/>
    <n v="1368"/>
    <x v="2"/>
    <n v="0.89"/>
    <n v="11.27"/>
    <s v="60701190"/>
    <x v="50"/>
  </r>
  <r>
    <s v="Mar-2016"/>
    <x v="0"/>
    <n v="1327"/>
    <x v="9"/>
    <n v="0.85"/>
    <n v="10.7"/>
    <s v="90400888"/>
    <x v="50"/>
  </r>
  <r>
    <s v="Mar-2016"/>
    <x v="1"/>
    <n v="1194"/>
    <x v="6"/>
    <n v="1.8"/>
    <n v="23.83"/>
    <s v="14511781"/>
    <x v="50"/>
  </r>
  <r>
    <s v="Mar-2016"/>
    <x v="0"/>
    <n v="1244"/>
    <x v="18"/>
    <n v="0.81"/>
    <n v="10.19"/>
    <s v="92702067"/>
    <x v="50"/>
  </r>
  <r>
    <s v="Mar-2016"/>
    <x v="1"/>
    <n v="1134"/>
    <x v="4"/>
    <n v="1.42"/>
    <n v="18.420000000000002"/>
    <s v="00360305"/>
    <x v="50"/>
  </r>
  <r>
    <s v="Mar-2016"/>
    <x v="0"/>
    <n v="1234"/>
    <x v="19"/>
    <n v="0.81"/>
    <n v="10.130000000000001"/>
    <s v="33479023"/>
    <x v="50"/>
  </r>
  <r>
    <s v="Mar-2016"/>
    <x v="1"/>
    <n v="929"/>
    <x v="10"/>
    <n v="0.96"/>
    <n v="12.14"/>
    <s v="00000000"/>
    <x v="50"/>
  </r>
  <r>
    <s v="Mar-2016"/>
    <x v="0"/>
    <n v="1200"/>
    <x v="3"/>
    <n v="0.8"/>
    <n v="10"/>
    <s v="01701201"/>
    <x v="50"/>
  </r>
  <r>
    <s v="Mar-2016"/>
    <x v="1"/>
    <n v="887"/>
    <x v="19"/>
    <n v="0.93"/>
    <n v="11.8"/>
    <s v="33479023"/>
    <x v="50"/>
  </r>
  <r>
    <s v="Mar-2016"/>
    <x v="0"/>
    <n v="1174"/>
    <x v="13"/>
    <n v="0.79"/>
    <n v="9.92"/>
    <s v="00000208"/>
    <x v="50"/>
  </r>
  <r>
    <s v="Mar-2016"/>
    <x v="1"/>
    <n v="856"/>
    <x v="7"/>
    <n v="0.92"/>
    <n v="11.64"/>
    <s v="60746948"/>
    <x v="50"/>
  </r>
  <r>
    <s v="Mar-2016"/>
    <x v="0"/>
    <n v="1170"/>
    <x v="7"/>
    <n v="0.79"/>
    <n v="9.91"/>
    <s v="60746948"/>
    <x v="50"/>
  </r>
  <r>
    <s v="Mar-2016"/>
    <x v="1"/>
    <n v="850"/>
    <x v="15"/>
    <n v="0.92"/>
    <n v="11.59"/>
    <s v="13009717"/>
    <x v="50"/>
  </r>
  <r>
    <s v="Mar-2016"/>
    <x v="0"/>
    <n v="963"/>
    <x v="0"/>
    <n v="0.74"/>
    <n v="9.19"/>
    <s v="00655522"/>
    <x v="50"/>
  </r>
  <r>
    <s v="Mar-2016"/>
    <x v="1"/>
    <n v="847"/>
    <x v="2"/>
    <n v="0.92"/>
    <n v="11.58"/>
    <s v="60701190"/>
    <x v="50"/>
  </r>
  <r>
    <s v="Mar-2016"/>
    <x v="0"/>
    <n v="941"/>
    <x v="11"/>
    <n v="0.73"/>
    <n v="9.1300000000000008"/>
    <s v="28127603"/>
    <x v="50"/>
  </r>
  <r>
    <s v="Mar-2016"/>
    <x v="1"/>
    <n v="800"/>
    <x v="9"/>
    <n v="0.9"/>
    <n v="11.36"/>
    <s v="90400888"/>
    <x v="50"/>
  </r>
  <r>
    <s v="Mar-2016"/>
    <x v="0"/>
    <n v="830"/>
    <x v="15"/>
    <n v="0.71"/>
    <n v="8.81"/>
    <s v="13009717"/>
    <x v="50"/>
  </r>
  <r>
    <s v="Mar-2016"/>
    <x v="1"/>
    <n v="717"/>
    <x v="3"/>
    <n v="0.85"/>
    <n v="10.72"/>
    <s v="01701201"/>
    <x v="50"/>
  </r>
  <r>
    <s v="Mar-2016"/>
    <x v="0"/>
    <n v="271"/>
    <x v="4"/>
    <n v="0.57999999999999996"/>
    <n v="7.17"/>
    <s v="00360305"/>
    <x v="50"/>
  </r>
  <r>
    <s v="Mar-2016"/>
    <x v="2"/>
    <n v="393"/>
    <x v="3"/>
    <n v="1.5"/>
    <n v="19.62"/>
    <s v="01701201"/>
    <x v="50"/>
  </r>
  <r>
    <s v="Mar-2016"/>
    <x v="1"/>
    <n v="682"/>
    <x v="0"/>
    <n v="0.83"/>
    <n v="10.48"/>
    <s v="00655522"/>
    <x v="50"/>
  </r>
  <r>
    <s v="Mar-2016"/>
    <x v="2"/>
    <n v="326"/>
    <x v="0"/>
    <n v="1.38"/>
    <n v="17.88"/>
    <s v="00655522"/>
    <x v="50"/>
  </r>
  <r>
    <s v="Mar-2016"/>
    <x v="0"/>
    <n v="107"/>
    <x v="10"/>
    <n v="0.52"/>
    <n v="6.4"/>
    <s v="00000000"/>
    <x v="50"/>
  </r>
  <r>
    <s v="Mar-2016"/>
    <x v="2"/>
    <n v="186"/>
    <x v="9"/>
    <n v="1.1000000000000001"/>
    <n v="14.03"/>
    <s v="90400888"/>
    <x v="50"/>
  </r>
  <r>
    <s v="Mar-2016"/>
    <x v="3"/>
    <n v="198"/>
    <x v="10"/>
    <n v="0.97"/>
    <n v="12.3"/>
    <s v="00000000"/>
    <x v="50"/>
  </r>
  <r>
    <s v="Mar-2016"/>
    <x v="1"/>
    <n v="671"/>
    <x v="11"/>
    <n v="0.83"/>
    <n v="10.41"/>
    <s v="28127603"/>
    <x v="50"/>
  </r>
  <r>
    <s v="Mar-2016"/>
    <x v="3"/>
    <n v="94"/>
    <x v="9"/>
    <n v="0.91"/>
    <n v="11.42"/>
    <s v="90400888"/>
    <x v="50"/>
  </r>
  <r>
    <s v="Mar-2016"/>
    <x v="2"/>
    <n v="49"/>
    <x v="26"/>
    <n v="0.82"/>
    <n v="10.34"/>
    <s v="18282093"/>
    <x v="50"/>
  </r>
  <r>
    <s v="Mar-2016"/>
    <x v="3"/>
    <n v="75"/>
    <x v="0"/>
    <n v="0.85"/>
    <n v="10.65"/>
    <s v="00655522"/>
    <x v="50"/>
  </r>
  <r>
    <s v="Abr-2016"/>
    <x v="0"/>
    <n v="1370"/>
    <x v="2"/>
    <n v="0.9"/>
    <n v="11.29"/>
    <s v="60701190"/>
    <x v="51"/>
  </r>
  <r>
    <s v="Abr-2016"/>
    <x v="0"/>
    <n v="1326"/>
    <x v="9"/>
    <n v="0.85"/>
    <n v="10.69"/>
    <s v="90400888"/>
    <x v="51"/>
  </r>
  <r>
    <s v="Abr-2016"/>
    <x v="0"/>
    <n v="1271"/>
    <x v="19"/>
    <n v="0.83"/>
    <n v="10.42"/>
    <s v="33479023"/>
    <x v="51"/>
  </r>
  <r>
    <s v="Abr-2016"/>
    <x v="0"/>
    <n v="1253"/>
    <x v="3"/>
    <n v="0.82"/>
    <n v="10.26"/>
    <s v="01701201"/>
    <x v="51"/>
  </r>
  <r>
    <s v="Abr-2016"/>
    <x v="0"/>
    <n v="1243"/>
    <x v="7"/>
    <n v="0.81"/>
    <n v="10.17"/>
    <s v="60746948"/>
    <x v="51"/>
  </r>
  <r>
    <s v="Abr-2016"/>
    <x v="1"/>
    <n v="1116"/>
    <x v="4"/>
    <n v="1.37"/>
    <n v="17.68"/>
    <s v="00360305"/>
    <x v="51"/>
  </r>
  <r>
    <s v="Abr-2016"/>
    <x v="0"/>
    <n v="1223"/>
    <x v="18"/>
    <n v="0.8"/>
    <n v="10.08"/>
    <s v="92702067"/>
    <x v="51"/>
  </r>
  <r>
    <s v="Abr-2016"/>
    <x v="1"/>
    <n v="930"/>
    <x v="19"/>
    <n v="0.96"/>
    <n v="12.15"/>
    <s v="33479023"/>
    <x v="51"/>
  </r>
  <r>
    <s v="Abr-2016"/>
    <x v="0"/>
    <n v="1209"/>
    <x v="5"/>
    <n v="0.8"/>
    <n v="10.02"/>
    <s v="17184037"/>
    <x v="51"/>
  </r>
  <r>
    <s v="Abr-2016"/>
    <x v="1"/>
    <n v="924"/>
    <x v="10"/>
    <n v="0.95"/>
    <n v="12.08"/>
    <s v="00000000"/>
    <x v="51"/>
  </r>
  <r>
    <s v="Abr-2016"/>
    <x v="0"/>
    <n v="1166"/>
    <x v="13"/>
    <n v="0.79"/>
    <n v="9.8699999999999992"/>
    <s v="00000208"/>
    <x v="51"/>
  </r>
  <r>
    <s v="Abr-2016"/>
    <x v="1"/>
    <n v="889"/>
    <x v="7"/>
    <n v="0.93"/>
    <n v="11.81"/>
    <s v="60746948"/>
    <x v="51"/>
  </r>
  <r>
    <s v="Abr-2016"/>
    <x v="0"/>
    <n v="988"/>
    <x v="0"/>
    <n v="0.74"/>
    <n v="9.24"/>
    <s v="00655522"/>
    <x v="51"/>
  </r>
  <r>
    <s v="Abr-2016"/>
    <x v="1"/>
    <n v="869"/>
    <x v="2"/>
    <n v="0.93"/>
    <n v="11.73"/>
    <s v="60701190"/>
    <x v="51"/>
  </r>
  <r>
    <s v="Abr-2016"/>
    <x v="0"/>
    <n v="981"/>
    <x v="11"/>
    <n v="0.74"/>
    <n v="9.2200000000000006"/>
    <s v="28127603"/>
    <x v="51"/>
  </r>
  <r>
    <s v="Abr-2016"/>
    <x v="1"/>
    <n v="799"/>
    <x v="9"/>
    <n v="0.9"/>
    <n v="11.36"/>
    <s v="90400888"/>
    <x v="51"/>
  </r>
  <r>
    <s v="Abr-2016"/>
    <x v="0"/>
    <n v="889"/>
    <x v="15"/>
    <n v="0.72"/>
    <n v="8.9700000000000006"/>
    <s v="13009717"/>
    <x v="51"/>
  </r>
  <r>
    <s v="Abr-2016"/>
    <x v="1"/>
    <n v="787"/>
    <x v="11"/>
    <n v="0.89"/>
    <n v="11.28"/>
    <s v="28127603"/>
    <x v="51"/>
  </r>
  <r>
    <s v="Abr-2016"/>
    <x v="2"/>
    <n v="421"/>
    <x v="0"/>
    <n v="1.75"/>
    <n v="23.17"/>
    <s v="00655522"/>
    <x v="51"/>
  </r>
  <r>
    <s v="Abr-2016"/>
    <x v="0"/>
    <n v="268"/>
    <x v="4"/>
    <n v="0.57999999999999996"/>
    <n v="7.16"/>
    <s v="00360305"/>
    <x v="51"/>
  </r>
  <r>
    <s v="Abr-2016"/>
    <x v="2"/>
    <n v="363"/>
    <x v="3"/>
    <n v="1.44"/>
    <n v="18.760000000000002"/>
    <s v="01701201"/>
    <x v="51"/>
  </r>
  <r>
    <s v="Abr-2016"/>
    <x v="1"/>
    <n v="733"/>
    <x v="3"/>
    <n v="0.86"/>
    <n v="10.84"/>
    <s v="01701201"/>
    <x v="51"/>
  </r>
  <r>
    <s v="Abr-2016"/>
    <x v="2"/>
    <n v="306"/>
    <x v="9"/>
    <n v="1.35"/>
    <n v="17.5"/>
    <s v="90400888"/>
    <x v="51"/>
  </r>
  <r>
    <s v="Abr-2016"/>
    <x v="0"/>
    <n v="246"/>
    <x v="10"/>
    <n v="0.56999999999999995"/>
    <n v="7.02"/>
    <s v="00000000"/>
    <x v="51"/>
  </r>
  <r>
    <s v="Abr-2016"/>
    <x v="2"/>
    <n v="173"/>
    <x v="10"/>
    <n v="1.07"/>
    <n v="13.57"/>
    <s v="00000000"/>
    <x v="51"/>
  </r>
  <r>
    <s v="Abr-2016"/>
    <x v="1"/>
    <n v="448"/>
    <x v="0"/>
    <n v="0.74"/>
    <n v="9.3000000000000007"/>
    <s v="00655522"/>
    <x v="51"/>
  </r>
  <r>
    <s v="Abr-2016"/>
    <x v="3"/>
    <n v="266"/>
    <x v="9"/>
    <n v="1.1100000000000001"/>
    <n v="14.11"/>
    <s v="90400888"/>
    <x v="51"/>
  </r>
  <r>
    <s v="Abr-2016"/>
    <x v="2"/>
    <n v="89"/>
    <x v="26"/>
    <n v="0.94"/>
    <n v="11.87"/>
    <s v="18282093"/>
    <x v="51"/>
  </r>
  <r>
    <s v="Abr-2016"/>
    <x v="3"/>
    <n v="210"/>
    <x v="10"/>
    <n v="0.98"/>
    <n v="12.36"/>
    <s v="00000000"/>
    <x v="51"/>
  </r>
  <r>
    <s v="Mai-2016"/>
    <x v="0"/>
    <n v="1389"/>
    <x v="5"/>
    <n v="1"/>
    <n v="12.73"/>
    <s v="17184037"/>
    <x v="52"/>
  </r>
  <r>
    <s v="Mai-2016"/>
    <x v="0"/>
    <n v="1374"/>
    <x v="2"/>
    <n v="0.9"/>
    <n v="11.32"/>
    <s v="60701190"/>
    <x v="52"/>
  </r>
  <r>
    <s v="Mai-2016"/>
    <x v="0"/>
    <n v="1329"/>
    <x v="9"/>
    <n v="0.85"/>
    <n v="10.7"/>
    <s v="90400888"/>
    <x v="52"/>
  </r>
  <r>
    <s v="Mai-2016"/>
    <x v="0"/>
    <n v="1261"/>
    <x v="7"/>
    <n v="0.82"/>
    <n v="10.34"/>
    <s v="60746948"/>
    <x v="52"/>
  </r>
  <r>
    <s v="Mai-2016"/>
    <x v="0"/>
    <n v="1260"/>
    <x v="3"/>
    <n v="0.82"/>
    <n v="10.33"/>
    <s v="01701201"/>
    <x v="52"/>
  </r>
  <r>
    <s v="Mai-2016"/>
    <x v="1"/>
    <n v="1150"/>
    <x v="4"/>
    <n v="1.48"/>
    <n v="19.28"/>
    <s v="00360305"/>
    <x v="52"/>
  </r>
  <r>
    <s v="Mai-2016"/>
    <x v="0"/>
    <n v="1257"/>
    <x v="19"/>
    <n v="0.82"/>
    <n v="10.29"/>
    <s v="33479023"/>
    <x v="52"/>
  </r>
  <r>
    <s v="Mai-2016"/>
    <x v="1"/>
    <n v="960"/>
    <x v="0"/>
    <n v="1"/>
    <n v="12.67"/>
    <s v="00655522"/>
    <x v="52"/>
  </r>
  <r>
    <s v="Mai-2016"/>
    <x v="0"/>
    <n v="1228"/>
    <x v="18"/>
    <n v="0.81"/>
    <n v="10.1"/>
    <s v="92702067"/>
    <x v="52"/>
  </r>
  <r>
    <s v="Mai-2016"/>
    <x v="1"/>
    <n v="910"/>
    <x v="10"/>
    <n v="0.95"/>
    <n v="11.99"/>
    <s v="00000000"/>
    <x v="52"/>
  </r>
  <r>
    <s v="Mai-2016"/>
    <x v="0"/>
    <n v="1187"/>
    <x v="13"/>
    <n v="0.79"/>
    <n v="9.9499999999999993"/>
    <s v="00000208"/>
    <x v="52"/>
  </r>
  <r>
    <s v="Mai-2016"/>
    <x v="1"/>
    <n v="890"/>
    <x v="11"/>
    <n v="0.94"/>
    <n v="11.82"/>
    <s v="28127603"/>
    <x v="52"/>
  </r>
  <r>
    <s v="Mai-2016"/>
    <x v="0"/>
    <n v="970"/>
    <x v="0"/>
    <n v="0.74"/>
    <n v="9.1999999999999993"/>
    <s v="00655522"/>
    <x v="52"/>
  </r>
  <r>
    <s v="Mai-2016"/>
    <x v="1"/>
    <n v="884"/>
    <x v="7"/>
    <n v="0.93"/>
    <n v="11.8"/>
    <s v="60746948"/>
    <x v="52"/>
  </r>
  <r>
    <s v="Mai-2016"/>
    <x v="0"/>
    <n v="961"/>
    <x v="11"/>
    <n v="0.73"/>
    <n v="9.18"/>
    <s v="28127603"/>
    <x v="52"/>
  </r>
  <r>
    <s v="Mai-2016"/>
    <x v="1"/>
    <n v="880"/>
    <x v="19"/>
    <n v="0.93"/>
    <n v="11.78"/>
    <s v="33479023"/>
    <x v="52"/>
  </r>
  <r>
    <s v="Mai-2016"/>
    <x v="0"/>
    <n v="873"/>
    <x v="15"/>
    <n v="0.71"/>
    <n v="8.92"/>
    <s v="13009717"/>
    <x v="52"/>
  </r>
  <r>
    <s v="Mai-2016"/>
    <x v="1"/>
    <n v="867"/>
    <x v="2"/>
    <n v="0.93"/>
    <n v="11.72"/>
    <s v="60701190"/>
    <x v="52"/>
  </r>
  <r>
    <s v="Mai-2016"/>
    <x v="0"/>
    <n v="395"/>
    <x v="4"/>
    <n v="0.61"/>
    <n v="7.51"/>
    <s v="00360305"/>
    <x v="52"/>
  </r>
  <r>
    <s v="Mai-2016"/>
    <x v="2"/>
    <n v="424"/>
    <x v="0"/>
    <n v="1.76"/>
    <n v="23.22"/>
    <s v="00655522"/>
    <x v="52"/>
  </r>
  <r>
    <s v="Mai-2016"/>
    <x v="1"/>
    <n v="832"/>
    <x v="9"/>
    <n v="0.91"/>
    <n v="11.49"/>
    <s v="90400888"/>
    <x v="52"/>
  </r>
  <r>
    <s v="Mai-2016"/>
    <x v="2"/>
    <n v="406"/>
    <x v="3"/>
    <n v="1.53"/>
    <n v="20.03"/>
    <s v="01701201"/>
    <x v="52"/>
  </r>
  <r>
    <s v="Mai-2016"/>
    <x v="0"/>
    <n v="293"/>
    <x v="10"/>
    <n v="0.59"/>
    <n v="7.3"/>
    <s v="00000000"/>
    <x v="52"/>
  </r>
  <r>
    <s v="Mai-2016"/>
    <x v="2"/>
    <n v="184"/>
    <x v="9"/>
    <n v="1.1000000000000001"/>
    <n v="14"/>
    <s v="90400888"/>
    <x v="52"/>
  </r>
  <r>
    <s v="Mai-2016"/>
    <x v="3"/>
    <n v="264"/>
    <x v="9"/>
    <n v="1.1000000000000001"/>
    <n v="14.02"/>
    <s v="90400888"/>
    <x v="52"/>
  </r>
  <r>
    <s v="Mai-2016"/>
    <x v="1"/>
    <n v="751"/>
    <x v="3"/>
    <n v="0.87"/>
    <n v="11.01"/>
    <s v="01701201"/>
    <x v="52"/>
  </r>
  <r>
    <s v="Mai-2016"/>
    <x v="3"/>
    <n v="212"/>
    <x v="4"/>
    <n v="0.98"/>
    <n v="12.4"/>
    <s v="00360305"/>
    <x v="52"/>
  </r>
  <r>
    <s v="Mai-2016"/>
    <x v="2"/>
    <n v="99"/>
    <x v="26"/>
    <n v="0.96"/>
    <n v="12.15"/>
    <s v="18282093"/>
    <x v="52"/>
  </r>
  <r>
    <s v="Mai-2016"/>
    <x v="3"/>
    <n v="131"/>
    <x v="10"/>
    <n v="0.92"/>
    <n v="11.68"/>
    <s v="00000000"/>
    <x v="52"/>
  </r>
  <r>
    <s v="Jun-2016"/>
    <x v="0"/>
    <n v="1377"/>
    <x v="2"/>
    <n v="0.9"/>
    <n v="11.38"/>
    <s v="60701190"/>
    <x v="53"/>
  </r>
  <r>
    <s v="Jun-2016"/>
    <x v="0"/>
    <n v="1348"/>
    <x v="9"/>
    <n v="0.86"/>
    <n v="10.88"/>
    <s v="90400888"/>
    <x v="53"/>
  </r>
  <r>
    <s v="Jun-2016"/>
    <x v="1"/>
    <n v="1102"/>
    <x v="4"/>
    <n v="1.32"/>
    <n v="17.09"/>
    <s v="00360305"/>
    <x v="53"/>
  </r>
  <r>
    <s v="Jun-2016"/>
    <x v="0"/>
    <n v="1284"/>
    <x v="7"/>
    <n v="0.83"/>
    <n v="10.48"/>
    <s v="60746948"/>
    <x v="53"/>
  </r>
  <r>
    <s v="Jun-2016"/>
    <x v="1"/>
    <n v="999"/>
    <x v="5"/>
    <n v="1.07"/>
    <n v="13.65"/>
    <s v="17184037"/>
    <x v="53"/>
  </r>
  <r>
    <s v="Jun-2016"/>
    <x v="0"/>
    <n v="1275"/>
    <x v="3"/>
    <n v="0.83"/>
    <n v="10.46"/>
    <s v="01701201"/>
    <x v="53"/>
  </r>
  <r>
    <s v="Jun-2016"/>
    <x v="1"/>
    <n v="900"/>
    <x v="7"/>
    <n v="0.94"/>
    <n v="11.89"/>
    <s v="60746948"/>
    <x v="53"/>
  </r>
  <r>
    <s v="Jun-2016"/>
    <x v="0"/>
    <n v="1256"/>
    <x v="19"/>
    <n v="0.82"/>
    <n v="10.28"/>
    <s v="33479023"/>
    <x v="53"/>
  </r>
  <r>
    <s v="Jun-2016"/>
    <x v="1"/>
    <n v="894"/>
    <x v="2"/>
    <n v="0.94"/>
    <n v="11.83"/>
    <s v="60701190"/>
    <x v="53"/>
  </r>
  <r>
    <s v="Jun-2016"/>
    <x v="0"/>
    <n v="1202"/>
    <x v="13"/>
    <n v="0.8"/>
    <n v="10.01"/>
    <s v="00000208"/>
    <x v="53"/>
  </r>
  <r>
    <s v="Jun-2016"/>
    <x v="1"/>
    <n v="881"/>
    <x v="19"/>
    <n v="0.93"/>
    <n v="11.78"/>
    <s v="33479023"/>
    <x v="53"/>
  </r>
  <r>
    <s v="Jun-2016"/>
    <x v="0"/>
    <n v="1199"/>
    <x v="18"/>
    <n v="0.8"/>
    <n v="10"/>
    <s v="92702067"/>
    <x v="53"/>
  </r>
  <r>
    <s v="Jun-2016"/>
    <x v="1"/>
    <n v="872"/>
    <x v="10"/>
    <n v="0.93"/>
    <n v="11.74"/>
    <s v="00000000"/>
    <x v="53"/>
  </r>
  <r>
    <s v="Jun-2016"/>
    <x v="0"/>
    <n v="967"/>
    <x v="11"/>
    <n v="0.74"/>
    <n v="9.1999999999999993"/>
    <s v="28127603"/>
    <x v="53"/>
  </r>
  <r>
    <s v="Jun-2016"/>
    <x v="1"/>
    <n v="849"/>
    <x v="9"/>
    <n v="0.92"/>
    <n v="11.59"/>
    <s v="90400888"/>
    <x v="53"/>
  </r>
  <r>
    <s v="Jun-2016"/>
    <x v="0"/>
    <n v="957"/>
    <x v="0"/>
    <n v="0.73"/>
    <n v="9.18"/>
    <s v="00655522"/>
    <x v="53"/>
  </r>
  <r>
    <s v="Jun-2016"/>
    <x v="1"/>
    <n v="779"/>
    <x v="3"/>
    <n v="0.89"/>
    <n v="11.26"/>
    <s v="01701201"/>
    <x v="53"/>
  </r>
  <r>
    <s v="Jun-2016"/>
    <x v="0"/>
    <n v="933"/>
    <x v="15"/>
    <n v="0.73"/>
    <n v="9.11"/>
    <s v="13009717"/>
    <x v="53"/>
  </r>
  <r>
    <s v="Jun-2016"/>
    <x v="1"/>
    <n v="749"/>
    <x v="11"/>
    <n v="0.87"/>
    <n v="11"/>
    <s v="28127603"/>
    <x v="53"/>
  </r>
  <r>
    <s v="Jun-2016"/>
    <x v="2"/>
    <n v="425"/>
    <x v="0"/>
    <n v="1.76"/>
    <n v="23.24"/>
    <s v="00655522"/>
    <x v="53"/>
  </r>
  <r>
    <s v="Jun-2016"/>
    <x v="0"/>
    <n v="398"/>
    <x v="4"/>
    <n v="0.61"/>
    <n v="7.52"/>
    <s v="00360305"/>
    <x v="53"/>
  </r>
  <r>
    <s v="Jun-2016"/>
    <x v="2"/>
    <n v="373"/>
    <x v="3"/>
    <n v="1.46"/>
    <n v="19.03"/>
    <s v="01701201"/>
    <x v="53"/>
  </r>
  <r>
    <s v="Jun-2016"/>
    <x v="1"/>
    <n v="743"/>
    <x v="0"/>
    <n v="0.87"/>
    <n v="10.94"/>
    <s v="00655522"/>
    <x v="53"/>
  </r>
  <r>
    <s v="Jun-2016"/>
    <x v="2"/>
    <n v="320"/>
    <x v="12"/>
    <n v="1.36"/>
    <n v="17.57"/>
    <s v="00517645"/>
    <x v="53"/>
  </r>
  <r>
    <s v="Jun-2016"/>
    <x v="0"/>
    <n v="280"/>
    <x v="10"/>
    <n v="0.57999999999999996"/>
    <n v="7.21"/>
    <s v="00000000"/>
    <x v="53"/>
  </r>
  <r>
    <s v="Jun-2016"/>
    <x v="2"/>
    <n v="215"/>
    <x v="26"/>
    <n v="1.1599999999999999"/>
    <n v="14.79"/>
    <s v="18282093"/>
    <x v="53"/>
  </r>
  <r>
    <s v="Jun-2016"/>
    <x v="1"/>
    <n v="731"/>
    <x v="15"/>
    <n v="0.86"/>
    <n v="10.81"/>
    <s v="13009717"/>
    <x v="53"/>
  </r>
  <r>
    <s v="Jun-2016"/>
    <x v="3"/>
    <n v="265"/>
    <x v="9"/>
    <n v="1.1000000000000001"/>
    <n v="14.05"/>
    <s v="90400888"/>
    <x v="53"/>
  </r>
  <r>
    <s v="Jun-2016"/>
    <x v="2"/>
    <n v="124"/>
    <x v="10"/>
    <n v="1"/>
    <n v="12.65"/>
    <s v="00000000"/>
    <x v="53"/>
  </r>
  <r>
    <s v="Jun-2016"/>
    <x v="3"/>
    <n v="156"/>
    <x v="10"/>
    <n v="0.95"/>
    <n v="12.02"/>
    <s v="00000000"/>
    <x v="53"/>
  </r>
  <r>
    <s v="Jul-2016"/>
    <x v="0"/>
    <n v="1373"/>
    <x v="2"/>
    <n v="0.9"/>
    <n v="11.31"/>
    <s v="60701190"/>
    <x v="54"/>
  </r>
  <r>
    <s v="Jul-2016"/>
    <x v="0"/>
    <n v="1359"/>
    <x v="9"/>
    <n v="0.89"/>
    <n v="11.19"/>
    <s v="90400888"/>
    <x v="54"/>
  </r>
  <r>
    <s v="Jul-2016"/>
    <x v="0"/>
    <n v="1315"/>
    <x v="7"/>
    <n v="0.84"/>
    <n v="10.61"/>
    <s v="60746948"/>
    <x v="54"/>
  </r>
  <r>
    <s v="Jul-2016"/>
    <x v="1"/>
    <n v="1101"/>
    <x v="4"/>
    <n v="1.32"/>
    <n v="17.09"/>
    <s v="00360305"/>
    <x v="54"/>
  </r>
  <r>
    <s v="Jul-2016"/>
    <x v="0"/>
    <n v="1298"/>
    <x v="3"/>
    <n v="0.84"/>
    <n v="10.51"/>
    <s v="01701201"/>
    <x v="54"/>
  </r>
  <r>
    <s v="Jul-2016"/>
    <x v="1"/>
    <n v="936"/>
    <x v="10"/>
    <n v="0.97"/>
    <n v="12.26"/>
    <s v="00000000"/>
    <x v="54"/>
  </r>
  <r>
    <s v="Jul-2016"/>
    <x v="0"/>
    <n v="1255"/>
    <x v="27"/>
    <n v="0.82"/>
    <n v="10.28"/>
    <s v="02038232"/>
    <x v="54"/>
  </r>
  <r>
    <s v="Jul-2016"/>
    <x v="1"/>
    <n v="926"/>
    <x v="7"/>
    <n v="0.96"/>
    <n v="12.1"/>
    <s v="60746948"/>
    <x v="54"/>
  </r>
  <r>
    <s v="Jul-2016"/>
    <x v="0"/>
    <n v="1248"/>
    <x v="19"/>
    <n v="0.81"/>
    <n v="10.23"/>
    <s v="33479023"/>
    <x v="54"/>
  </r>
  <r>
    <s v="Jul-2016"/>
    <x v="1"/>
    <n v="908"/>
    <x v="9"/>
    <n v="0.95"/>
    <n v="11.95"/>
    <s v="90400888"/>
    <x v="54"/>
  </r>
  <r>
    <s v="Jul-2016"/>
    <x v="0"/>
    <n v="1242"/>
    <x v="18"/>
    <n v="0.81"/>
    <n v="10.17"/>
    <s v="92702067"/>
    <x v="54"/>
  </r>
  <r>
    <s v="Jul-2016"/>
    <x v="1"/>
    <n v="895"/>
    <x v="19"/>
    <n v="0.94"/>
    <n v="11.84"/>
    <s v="33479023"/>
    <x v="54"/>
  </r>
  <r>
    <s v="Jul-2016"/>
    <x v="0"/>
    <n v="1113"/>
    <x v="13"/>
    <n v="0.77"/>
    <n v="9.6300000000000008"/>
    <s v="00000208"/>
    <x v="54"/>
  </r>
  <r>
    <s v="Jul-2016"/>
    <x v="1"/>
    <n v="892"/>
    <x v="18"/>
    <n v="0.94"/>
    <n v="11.83"/>
    <s v="92702067"/>
    <x v="54"/>
  </r>
  <r>
    <s v="Jul-2016"/>
    <x v="0"/>
    <n v="1047"/>
    <x v="15"/>
    <n v="0.75"/>
    <n v="9.42"/>
    <s v="13009717"/>
    <x v="54"/>
  </r>
  <r>
    <s v="Jul-2016"/>
    <x v="1"/>
    <n v="873"/>
    <x v="2"/>
    <n v="0.93"/>
    <n v="11.76"/>
    <s v="60701190"/>
    <x v="54"/>
  </r>
  <r>
    <s v="Jul-2016"/>
    <x v="0"/>
    <n v="1014"/>
    <x v="11"/>
    <n v="0.74"/>
    <n v="9.31"/>
    <s v="28127603"/>
    <x v="54"/>
  </r>
  <r>
    <s v="Jul-2016"/>
    <x v="1"/>
    <n v="841"/>
    <x v="11"/>
    <n v="0.91"/>
    <n v="11.54"/>
    <s v="28127603"/>
    <x v="54"/>
  </r>
  <r>
    <s v="Jul-2016"/>
    <x v="0"/>
    <n v="954"/>
    <x v="0"/>
    <n v="0.73"/>
    <n v="9.17"/>
    <s v="00655522"/>
    <x v="54"/>
  </r>
  <r>
    <s v="Jul-2016"/>
    <x v="1"/>
    <n v="798"/>
    <x v="3"/>
    <n v="0.9"/>
    <n v="11.36"/>
    <s v="01701201"/>
    <x v="54"/>
  </r>
  <r>
    <s v="Jul-2016"/>
    <x v="0"/>
    <n v="349"/>
    <x v="4"/>
    <n v="0.6"/>
    <n v="7.43"/>
    <s v="00360305"/>
    <x v="54"/>
  </r>
  <r>
    <s v="Jul-2016"/>
    <x v="2"/>
    <n v="423"/>
    <x v="0"/>
    <n v="1.75"/>
    <n v="23.19"/>
    <s v="00655522"/>
    <x v="54"/>
  </r>
  <r>
    <s v="Jul-2016"/>
    <x v="1"/>
    <n v="719"/>
    <x v="0"/>
    <n v="0.85"/>
    <n v="10.73"/>
    <s v="00655522"/>
    <x v="54"/>
  </r>
  <r>
    <s v="Jul-2016"/>
    <x v="2"/>
    <n v="417"/>
    <x v="12"/>
    <n v="1.61"/>
    <n v="21.1"/>
    <s v="00517645"/>
    <x v="54"/>
  </r>
  <r>
    <s v="Jul-2016"/>
    <x v="0"/>
    <n v="255"/>
    <x v="10"/>
    <n v="0.56999999999999995"/>
    <n v="7.08"/>
    <s v="00000000"/>
    <x v="54"/>
  </r>
  <r>
    <s v="Jul-2016"/>
    <x v="2"/>
    <n v="404"/>
    <x v="3"/>
    <n v="1.53"/>
    <n v="19.989999999999998"/>
    <s v="01701201"/>
    <x v="54"/>
  </r>
  <r>
    <s v="Jul-2016"/>
    <x v="1"/>
    <n v="652"/>
    <x v="15"/>
    <n v="0.82"/>
    <n v="10.28"/>
    <s v="13009717"/>
    <x v="54"/>
  </r>
  <r>
    <s v="Jul-2016"/>
    <x v="3"/>
    <n v="257"/>
    <x v="9"/>
    <n v="1.05"/>
    <n v="13.29"/>
    <s v="90400888"/>
    <x v="54"/>
  </r>
  <r>
    <s v="Jul-2016"/>
    <x v="2"/>
    <n v="162"/>
    <x v="26"/>
    <n v="1.04"/>
    <n v="13.28"/>
    <s v="18282093"/>
    <x v="54"/>
  </r>
  <r>
    <s v="Jul-2016"/>
    <x v="3"/>
    <n v="154"/>
    <x v="10"/>
    <n v="0.95"/>
    <n v="12.02"/>
    <s v="00000000"/>
    <x v="54"/>
  </r>
  <r>
    <s v="Ago-2016"/>
    <x v="0"/>
    <n v="1372"/>
    <x v="2"/>
    <n v="0.9"/>
    <n v="11.31"/>
    <s v="60701190"/>
    <x v="55"/>
  </r>
  <r>
    <s v="Ago-2016"/>
    <x v="1"/>
    <n v="1096"/>
    <x v="4"/>
    <n v="1.3"/>
    <n v="16.77"/>
    <s v="00360305"/>
    <x v="55"/>
  </r>
  <r>
    <s v="Ago-2016"/>
    <x v="0"/>
    <n v="1358"/>
    <x v="9"/>
    <n v="0.89"/>
    <n v="11.19"/>
    <s v="90400888"/>
    <x v="55"/>
  </r>
  <r>
    <s v="Ago-2016"/>
    <x v="1"/>
    <n v="939"/>
    <x v="19"/>
    <n v="0.97"/>
    <n v="12.27"/>
    <s v="33479023"/>
    <x v="55"/>
  </r>
  <r>
    <s v="Ago-2016"/>
    <x v="0"/>
    <n v="1325"/>
    <x v="7"/>
    <n v="0.85"/>
    <n v="10.69"/>
    <s v="60746948"/>
    <x v="55"/>
  </r>
  <r>
    <s v="Ago-2016"/>
    <x v="1"/>
    <n v="928"/>
    <x v="7"/>
    <n v="0.96"/>
    <n v="12.13"/>
    <s v="60746948"/>
    <x v="55"/>
  </r>
  <r>
    <s v="Ago-2016"/>
    <x v="0"/>
    <n v="1290"/>
    <x v="3"/>
    <n v="0.83"/>
    <n v="10.49"/>
    <s v="01701201"/>
    <x v="55"/>
  </r>
  <r>
    <s v="Ago-2016"/>
    <x v="1"/>
    <n v="925"/>
    <x v="10"/>
    <n v="0.96"/>
    <n v="12.09"/>
    <s v="00000000"/>
    <x v="55"/>
  </r>
  <r>
    <s v="Ago-2016"/>
    <x v="0"/>
    <n v="1270"/>
    <x v="19"/>
    <n v="0.83"/>
    <n v="10.42"/>
    <s v="33479023"/>
    <x v="55"/>
  </r>
  <r>
    <s v="Ago-2016"/>
    <x v="1"/>
    <n v="904"/>
    <x v="9"/>
    <n v="0.94"/>
    <n v="11.92"/>
    <s v="90400888"/>
    <x v="55"/>
  </r>
  <r>
    <s v="Ago-2016"/>
    <x v="0"/>
    <n v="1239"/>
    <x v="13"/>
    <n v="0.81"/>
    <n v="10.14"/>
    <s v="00000208"/>
    <x v="55"/>
  </r>
  <r>
    <s v="Ago-2016"/>
    <x v="1"/>
    <n v="891"/>
    <x v="18"/>
    <n v="0.94"/>
    <n v="11.82"/>
    <s v="92702067"/>
    <x v="55"/>
  </r>
  <r>
    <s v="Ago-2016"/>
    <x v="0"/>
    <n v="1238"/>
    <x v="18"/>
    <n v="0.81"/>
    <n v="10.14"/>
    <s v="92702067"/>
    <x v="55"/>
  </r>
  <r>
    <s v="Ago-2016"/>
    <x v="1"/>
    <n v="882"/>
    <x v="2"/>
    <n v="0.93"/>
    <n v="11.78"/>
    <s v="60701190"/>
    <x v="55"/>
  </r>
  <r>
    <s v="Ago-2016"/>
    <x v="0"/>
    <n v="1037"/>
    <x v="11"/>
    <n v="0.75"/>
    <n v="9.3800000000000008"/>
    <s v="28127603"/>
    <x v="55"/>
  </r>
  <r>
    <s v="Ago-2016"/>
    <x v="1"/>
    <n v="786"/>
    <x v="3"/>
    <n v="0.89"/>
    <n v="11.28"/>
    <s v="01701201"/>
    <x v="55"/>
  </r>
  <r>
    <s v="Ago-2016"/>
    <x v="0"/>
    <n v="978"/>
    <x v="0"/>
    <n v="0.74"/>
    <n v="9.2200000000000006"/>
    <s v="00655522"/>
    <x v="55"/>
  </r>
  <r>
    <s v="Ago-2016"/>
    <x v="1"/>
    <n v="718"/>
    <x v="11"/>
    <n v="0.85"/>
    <n v="10.72"/>
    <s v="28127603"/>
    <x v="55"/>
  </r>
  <r>
    <s v="Ago-2016"/>
    <x v="0"/>
    <n v="945"/>
    <x v="15"/>
    <n v="0.73"/>
    <n v="9.15"/>
    <s v="13009717"/>
    <x v="55"/>
  </r>
  <r>
    <s v="Ago-2016"/>
    <x v="1"/>
    <n v="715"/>
    <x v="0"/>
    <n v="0.85"/>
    <n v="10.69"/>
    <s v="00655522"/>
    <x v="55"/>
  </r>
  <r>
    <s v="Ago-2016"/>
    <x v="2"/>
    <n v="418"/>
    <x v="12"/>
    <n v="1.62"/>
    <n v="21.34"/>
    <s v="00517645"/>
    <x v="55"/>
  </r>
  <r>
    <s v="Ago-2016"/>
    <x v="0"/>
    <n v="409"/>
    <x v="4"/>
    <n v="0.61"/>
    <n v="7.55"/>
    <s v="00360305"/>
    <x v="55"/>
  </r>
  <r>
    <s v="Ago-2016"/>
    <x v="2"/>
    <n v="401"/>
    <x v="3"/>
    <n v="1.52"/>
    <n v="19.8"/>
    <s v="01701201"/>
    <x v="55"/>
  </r>
  <r>
    <s v="Ago-2016"/>
    <x v="1"/>
    <n v="699"/>
    <x v="15"/>
    <n v="0.84"/>
    <n v="10.59"/>
    <s v="13009717"/>
    <x v="55"/>
  </r>
  <r>
    <s v="Ago-2016"/>
    <x v="2"/>
    <n v="361"/>
    <x v="0"/>
    <n v="1.44"/>
    <n v="18.75"/>
    <s v="00655522"/>
    <x v="55"/>
  </r>
  <r>
    <s v="Ago-2016"/>
    <x v="0"/>
    <n v="357"/>
    <x v="10"/>
    <n v="0.6"/>
    <n v="7.44"/>
    <s v="00000000"/>
    <x v="55"/>
  </r>
  <r>
    <s v="Ago-2016"/>
    <x v="2"/>
    <n v="194"/>
    <x v="9"/>
    <n v="1.1200000000000001"/>
    <n v="14.33"/>
    <s v="90400888"/>
    <x v="55"/>
  </r>
  <r>
    <s v="Ago-2016"/>
    <x v="1"/>
    <n v="621"/>
    <x v="17"/>
    <n v="0.81"/>
    <n v="10.16"/>
    <s v="00416968"/>
    <x v="55"/>
  </r>
  <r>
    <s v="Ago-2016"/>
    <x v="3"/>
    <n v="224"/>
    <x v="9"/>
    <n v="0.99"/>
    <n v="12.54"/>
    <s v="90400888"/>
    <x v="55"/>
  </r>
  <r>
    <s v="Ago-2016"/>
    <x v="2"/>
    <n v="157"/>
    <x v="26"/>
    <n v="1.04"/>
    <n v="13.23"/>
    <s v="18282093"/>
    <x v="55"/>
  </r>
  <r>
    <s v="Ago-2016"/>
    <x v="3"/>
    <n v="164"/>
    <x v="10"/>
    <n v="0.95"/>
    <n v="12.05"/>
    <s v="00000000"/>
    <x v="55"/>
  </r>
  <r>
    <s v="Set-2016"/>
    <x v="0"/>
    <n v="1387"/>
    <x v="2"/>
    <n v="0.95"/>
    <n v="12.02"/>
    <s v="60701190"/>
    <x v="56"/>
  </r>
  <r>
    <s v="Set-2016"/>
    <x v="1"/>
    <n v="1208"/>
    <x v="6"/>
    <n v="1.92"/>
    <n v="25.57"/>
    <s v="14511781"/>
    <x v="56"/>
  </r>
  <r>
    <s v="Set-2016"/>
    <x v="0"/>
    <n v="1362"/>
    <x v="9"/>
    <n v="0.89"/>
    <n v="11.22"/>
    <s v="90400888"/>
    <x v="56"/>
  </r>
  <r>
    <s v="Set-2016"/>
    <x v="1"/>
    <n v="1110"/>
    <x v="4"/>
    <n v="1.35"/>
    <n v="17.41"/>
    <s v="00360305"/>
    <x v="56"/>
  </r>
  <r>
    <s v="Set-2016"/>
    <x v="0"/>
    <n v="1320"/>
    <x v="7"/>
    <n v="0.85"/>
    <n v="10.65"/>
    <s v="60746948"/>
    <x v="56"/>
  </r>
  <r>
    <s v="Set-2016"/>
    <x v="1"/>
    <n v="932"/>
    <x v="19"/>
    <n v="0.96"/>
    <n v="12.18"/>
    <s v="33479023"/>
    <x v="56"/>
  </r>
  <r>
    <s v="Set-2016"/>
    <x v="0"/>
    <n v="1277"/>
    <x v="3"/>
    <n v="0.83"/>
    <n v="10.46"/>
    <s v="01701201"/>
    <x v="56"/>
  </r>
  <r>
    <s v="Set-2016"/>
    <x v="1"/>
    <n v="921"/>
    <x v="7"/>
    <n v="0.95"/>
    <n v="12.07"/>
    <s v="60746948"/>
    <x v="56"/>
  </r>
  <r>
    <s v="Set-2016"/>
    <x v="0"/>
    <n v="1276"/>
    <x v="19"/>
    <n v="0.83"/>
    <n v="10.46"/>
    <s v="33479023"/>
    <x v="56"/>
  </r>
  <r>
    <s v="Set-2016"/>
    <x v="1"/>
    <n v="920"/>
    <x v="10"/>
    <n v="0.95"/>
    <n v="12.04"/>
    <s v="00000000"/>
    <x v="56"/>
  </r>
  <r>
    <s v="Set-2016"/>
    <x v="0"/>
    <n v="1203"/>
    <x v="13"/>
    <n v="0.8"/>
    <n v="10.01"/>
    <s v="00000208"/>
    <x v="56"/>
  </r>
  <r>
    <s v="Set-2016"/>
    <x v="1"/>
    <n v="907"/>
    <x v="9"/>
    <n v="0.94"/>
    <n v="11.94"/>
    <s v="90400888"/>
    <x v="56"/>
  </r>
  <r>
    <s v="Set-2016"/>
    <x v="0"/>
    <n v="1184"/>
    <x v="18"/>
    <n v="0.79"/>
    <n v="9.9499999999999993"/>
    <s v="92702067"/>
    <x v="56"/>
  </r>
  <r>
    <s v="Set-2016"/>
    <x v="1"/>
    <n v="896"/>
    <x v="0"/>
    <n v="0.94"/>
    <n v="11.84"/>
    <s v="00655522"/>
    <x v="56"/>
  </r>
  <r>
    <s v="Set-2016"/>
    <x v="0"/>
    <n v="1032"/>
    <x v="0"/>
    <n v="0.75"/>
    <n v="9.3699999999999992"/>
    <s v="00655522"/>
    <x v="56"/>
  </r>
  <r>
    <s v="Set-2016"/>
    <x v="1"/>
    <n v="888"/>
    <x v="2"/>
    <n v="0.93"/>
    <n v="11.81"/>
    <s v="60701190"/>
    <x v="56"/>
  </r>
  <r>
    <s v="Set-2016"/>
    <x v="0"/>
    <n v="1013"/>
    <x v="11"/>
    <n v="0.74"/>
    <n v="9.31"/>
    <s v="28127603"/>
    <x v="56"/>
  </r>
  <r>
    <s v="Set-2016"/>
    <x v="1"/>
    <n v="811"/>
    <x v="11"/>
    <n v="0.9"/>
    <n v="11.4"/>
    <s v="28127603"/>
    <x v="56"/>
  </r>
  <r>
    <s v="Set-2016"/>
    <x v="0"/>
    <n v="939"/>
    <x v="15"/>
    <n v="0.73"/>
    <n v="9.1300000000000008"/>
    <s v="13009717"/>
    <x v="56"/>
  </r>
  <r>
    <s v="Set-2016"/>
    <x v="1"/>
    <n v="784"/>
    <x v="3"/>
    <n v="0.89"/>
    <n v="11.28"/>
    <s v="01701201"/>
    <x v="56"/>
  </r>
  <r>
    <s v="Set-2016"/>
    <x v="2"/>
    <n v="415"/>
    <x v="12"/>
    <n v="1.6"/>
    <n v="20.98"/>
    <s v="00517645"/>
    <x v="56"/>
  </r>
  <r>
    <s v="Set-2016"/>
    <x v="0"/>
    <n v="390"/>
    <x v="4"/>
    <n v="0.6"/>
    <n v="7.5"/>
    <s v="00360305"/>
    <x v="56"/>
  </r>
  <r>
    <s v="Set-2016"/>
    <x v="2"/>
    <n v="395"/>
    <x v="3"/>
    <n v="1.51"/>
    <n v="19.649999999999999"/>
    <s v="01701201"/>
    <x v="56"/>
  </r>
  <r>
    <s v="Set-2016"/>
    <x v="1"/>
    <n v="772"/>
    <x v="18"/>
    <n v="0.89"/>
    <n v="11.19"/>
    <s v="92702067"/>
    <x v="56"/>
  </r>
  <r>
    <s v="Set-2016"/>
    <x v="2"/>
    <n v="321"/>
    <x v="0"/>
    <n v="1.36"/>
    <n v="17.600000000000001"/>
    <s v="00655522"/>
    <x v="56"/>
  </r>
  <r>
    <s v="Set-2016"/>
    <x v="0"/>
    <n v="312"/>
    <x v="10"/>
    <n v="0.59"/>
    <n v="7.36"/>
    <s v="00000000"/>
    <x v="56"/>
  </r>
  <r>
    <s v="Set-2016"/>
    <x v="2"/>
    <n v="203"/>
    <x v="9"/>
    <n v="1.1299999999999999"/>
    <n v="14.49"/>
    <s v="90400888"/>
    <x v="56"/>
  </r>
  <r>
    <s v="Set-2016"/>
    <x v="1"/>
    <n v="766"/>
    <x v="15"/>
    <n v="0.88"/>
    <n v="11.1"/>
    <s v="13009717"/>
    <x v="56"/>
  </r>
  <r>
    <s v="Set-2016"/>
    <x v="3"/>
    <n v="248"/>
    <x v="9"/>
    <n v="1.03"/>
    <n v="13.06"/>
    <s v="90400888"/>
    <x v="56"/>
  </r>
  <r>
    <s v="Set-2016"/>
    <x v="2"/>
    <n v="166"/>
    <x v="26"/>
    <n v="1.05"/>
    <n v="13.35"/>
    <s v="18282093"/>
    <x v="56"/>
  </r>
  <r>
    <s v="Set-2016"/>
    <x v="3"/>
    <n v="174"/>
    <x v="10"/>
    <n v="0.96"/>
    <n v="12.14"/>
    <s v="00000000"/>
    <x v="56"/>
  </r>
  <r>
    <s v="Out-2016"/>
    <x v="0"/>
    <n v="1375"/>
    <x v="2"/>
    <n v="0.9"/>
    <n v="11.33"/>
    <s v="60701190"/>
    <x v="57"/>
  </r>
  <r>
    <s v="Out-2016"/>
    <x v="0"/>
    <n v="1352"/>
    <x v="9"/>
    <n v="0.87"/>
    <n v="10.97"/>
    <s v="90400888"/>
    <x v="57"/>
  </r>
  <r>
    <s v="Out-2016"/>
    <x v="1"/>
    <n v="1079"/>
    <x v="4"/>
    <n v="1.23"/>
    <n v="15.85"/>
    <s v="00360305"/>
    <x v="57"/>
  </r>
  <r>
    <s v="Out-2016"/>
    <x v="0"/>
    <n v="1310"/>
    <x v="7"/>
    <n v="0.84"/>
    <n v="10.59"/>
    <s v="60746948"/>
    <x v="57"/>
  </r>
  <r>
    <s v="Out-2016"/>
    <x v="1"/>
    <n v="945"/>
    <x v="19"/>
    <n v="0.97"/>
    <n v="12.33"/>
    <s v="33479023"/>
    <x v="57"/>
  </r>
  <r>
    <s v="Out-2016"/>
    <x v="0"/>
    <n v="1286"/>
    <x v="19"/>
    <n v="0.83"/>
    <n v="10.48"/>
    <s v="33479023"/>
    <x v="57"/>
  </r>
  <r>
    <s v="Out-2016"/>
    <x v="1"/>
    <n v="937"/>
    <x v="10"/>
    <n v="0.97"/>
    <n v="12.26"/>
    <s v="00000000"/>
    <x v="57"/>
  </r>
  <r>
    <s v="Out-2016"/>
    <x v="0"/>
    <n v="1217"/>
    <x v="13"/>
    <n v="0.8"/>
    <n v="10.050000000000001"/>
    <s v="00000208"/>
    <x v="57"/>
  </r>
  <r>
    <s v="Out-2016"/>
    <x v="1"/>
    <n v="876"/>
    <x v="2"/>
    <n v="0.93"/>
    <n v="11.78"/>
    <s v="60701190"/>
    <x v="57"/>
  </r>
  <r>
    <s v="Out-2016"/>
    <x v="0"/>
    <n v="1177"/>
    <x v="18"/>
    <n v="0.79"/>
    <n v="9.93"/>
    <s v="92702067"/>
    <x v="57"/>
  </r>
  <r>
    <s v="Out-2016"/>
    <x v="1"/>
    <n v="864"/>
    <x v="9"/>
    <n v="0.93"/>
    <n v="11.69"/>
    <s v="90400888"/>
    <x v="57"/>
  </r>
  <r>
    <s v="Out-2016"/>
    <x v="0"/>
    <n v="1131"/>
    <x v="11"/>
    <n v="0.77"/>
    <n v="9.68"/>
    <s v="28127603"/>
    <x v="57"/>
  </r>
  <r>
    <s v="Out-2016"/>
    <x v="1"/>
    <n v="858"/>
    <x v="7"/>
    <n v="0.92"/>
    <n v="11.65"/>
    <s v="60746948"/>
    <x v="57"/>
  </r>
  <r>
    <s v="Out-2016"/>
    <x v="0"/>
    <n v="1061"/>
    <x v="0"/>
    <n v="0.76"/>
    <n v="9.4600000000000009"/>
    <s v="00655522"/>
    <x v="57"/>
  </r>
  <r>
    <s v="Out-2016"/>
    <x v="1"/>
    <n v="770"/>
    <x v="11"/>
    <n v="0.88"/>
    <n v="11.15"/>
    <s v="28127603"/>
    <x v="57"/>
  </r>
  <r>
    <s v="Out-2016"/>
    <x v="0"/>
    <n v="976"/>
    <x v="15"/>
    <n v="0.74"/>
    <n v="9.2100000000000009"/>
    <s v="13009717"/>
    <x v="57"/>
  </r>
  <r>
    <s v="Out-2016"/>
    <x v="1"/>
    <n v="745"/>
    <x v="18"/>
    <n v="0.87"/>
    <n v="10.96"/>
    <s v="92702067"/>
    <x v="57"/>
  </r>
  <r>
    <s v="Out-2016"/>
    <x v="0"/>
    <n v="607"/>
    <x v="4"/>
    <n v="0.66"/>
    <n v="8.2100000000000009"/>
    <s v="00360305"/>
    <x v="57"/>
  </r>
  <r>
    <s v="Out-2016"/>
    <x v="2"/>
    <n v="391"/>
    <x v="7"/>
    <n v="1.5"/>
    <n v="19.5"/>
    <s v="60746948"/>
    <x v="57"/>
  </r>
  <r>
    <s v="Out-2016"/>
    <x v="1"/>
    <n v="679"/>
    <x v="0"/>
    <n v="0.83"/>
    <n v="10.48"/>
    <s v="00655522"/>
    <x v="57"/>
  </r>
  <r>
    <s v="Out-2016"/>
    <x v="2"/>
    <n v="328"/>
    <x v="0"/>
    <n v="1.39"/>
    <n v="18.059999999999999"/>
    <s v="00655522"/>
    <x v="57"/>
  </r>
  <r>
    <s v="Out-2016"/>
    <x v="0"/>
    <n v="410"/>
    <x v="10"/>
    <n v="0.61"/>
    <n v="7.55"/>
    <s v="00000000"/>
    <x v="57"/>
  </r>
  <r>
    <s v="Out-2016"/>
    <x v="2"/>
    <n v="158"/>
    <x v="12"/>
    <n v="1.04"/>
    <n v="13.24"/>
    <s v="00517645"/>
    <x v="57"/>
  </r>
  <r>
    <s v="Out-2016"/>
    <x v="1"/>
    <n v="655"/>
    <x v="15"/>
    <n v="0.82"/>
    <n v="10.29"/>
    <s v="13009717"/>
    <x v="57"/>
  </r>
  <r>
    <s v="Out-2016"/>
    <x v="3"/>
    <n v="251"/>
    <x v="9"/>
    <n v="1.03"/>
    <n v="13.1"/>
    <s v="90400888"/>
    <x v="57"/>
  </r>
  <r>
    <s v="Out-2016"/>
    <x v="2"/>
    <n v="79"/>
    <x v="26"/>
    <n v="0.92"/>
    <n v="11.56"/>
    <s v="18282093"/>
    <x v="57"/>
  </r>
  <r>
    <s v="Out-2016"/>
    <x v="3"/>
    <n v="233"/>
    <x v="10"/>
    <n v="1.02"/>
    <n v="12.94"/>
    <s v="00000000"/>
    <x v="57"/>
  </r>
  <r>
    <s v="Nov-2016"/>
    <x v="0"/>
    <n v="1371"/>
    <x v="2"/>
    <n v="0.9"/>
    <n v="11.31"/>
    <s v="60701190"/>
    <x v="58"/>
  </r>
  <r>
    <s v="Nov-2016"/>
    <x v="0"/>
    <n v="1347"/>
    <x v="9"/>
    <n v="0.86"/>
    <n v="10.85"/>
    <s v="90400888"/>
    <x v="58"/>
  </r>
  <r>
    <s v="Nov-2016"/>
    <x v="0"/>
    <n v="1316"/>
    <x v="7"/>
    <n v="0.85"/>
    <n v="10.63"/>
    <s v="60746948"/>
    <x v="58"/>
  </r>
  <r>
    <s v="Nov-2016"/>
    <x v="1"/>
    <n v="1099"/>
    <x v="4"/>
    <n v="1.32"/>
    <n v="17.010000000000002"/>
    <s v="00360305"/>
    <x v="58"/>
  </r>
  <r>
    <s v="Nov-2016"/>
    <x v="0"/>
    <n v="1283"/>
    <x v="19"/>
    <n v="0.83"/>
    <n v="10.48"/>
    <s v="33479023"/>
    <x v="58"/>
  </r>
  <r>
    <s v="Nov-2016"/>
    <x v="1"/>
    <n v="1015"/>
    <x v="11"/>
    <n v="1.1000000000000001"/>
    <n v="14.05"/>
    <s v="28127603"/>
    <x v="58"/>
  </r>
  <r>
    <s v="Nov-2016"/>
    <x v="0"/>
    <n v="1219"/>
    <x v="18"/>
    <n v="0.8"/>
    <n v="10.06"/>
    <s v="92702067"/>
    <x v="58"/>
  </r>
  <r>
    <s v="Nov-2016"/>
    <x v="1"/>
    <n v="946"/>
    <x v="19"/>
    <n v="0.98"/>
    <n v="12.35"/>
    <s v="33479023"/>
    <x v="58"/>
  </r>
  <r>
    <s v="Nov-2016"/>
    <x v="0"/>
    <n v="1097"/>
    <x v="11"/>
    <n v="0.77"/>
    <n v="9.58"/>
    <s v="28127603"/>
    <x v="58"/>
  </r>
  <r>
    <s v="Nov-2016"/>
    <x v="1"/>
    <n v="942"/>
    <x v="10"/>
    <n v="0.97"/>
    <n v="12.29"/>
    <s v="00000000"/>
    <x v="58"/>
  </r>
  <r>
    <s v="Nov-2016"/>
    <x v="0"/>
    <n v="1085"/>
    <x v="0"/>
    <n v="0.76"/>
    <n v="9.5399999999999991"/>
    <s v="00655522"/>
    <x v="58"/>
  </r>
  <r>
    <s v="Nov-2016"/>
    <x v="1"/>
    <n v="933"/>
    <x v="18"/>
    <n v="0.96"/>
    <n v="12.18"/>
    <s v="92702067"/>
    <x v="58"/>
  </r>
  <r>
    <s v="Nov-2016"/>
    <x v="0"/>
    <n v="1011"/>
    <x v="15"/>
    <n v="0.74"/>
    <n v="9.31"/>
    <s v="13009717"/>
    <x v="58"/>
  </r>
  <r>
    <s v="Nov-2016"/>
    <x v="1"/>
    <n v="885"/>
    <x v="2"/>
    <n v="0.93"/>
    <n v="11.8"/>
    <s v="60701190"/>
    <x v="58"/>
  </r>
  <r>
    <s v="Nov-2016"/>
    <x v="0"/>
    <n v="1010"/>
    <x v="13"/>
    <n v="0.74"/>
    <n v="9.31"/>
    <s v="00000208"/>
    <x v="58"/>
  </r>
  <r>
    <s v="Nov-2016"/>
    <x v="1"/>
    <n v="871"/>
    <x v="7"/>
    <n v="0.93"/>
    <n v="11.73"/>
    <s v="60746948"/>
    <x v="58"/>
  </r>
  <r>
    <s v="Nov-2016"/>
    <x v="0"/>
    <n v="448"/>
    <x v="10"/>
    <n v="0.62"/>
    <n v="7.69"/>
    <s v="00000000"/>
    <x v="58"/>
  </r>
  <r>
    <s v="Nov-2016"/>
    <x v="2"/>
    <n v="414"/>
    <x v="12"/>
    <n v="1.6"/>
    <n v="20.94"/>
    <s v="00517645"/>
    <x v="58"/>
  </r>
  <r>
    <s v="Nov-2016"/>
    <x v="1"/>
    <n v="870"/>
    <x v="9"/>
    <n v="0.93"/>
    <n v="11.73"/>
    <s v="90400888"/>
    <x v="58"/>
  </r>
  <r>
    <s v="Nov-2016"/>
    <x v="2"/>
    <n v="357"/>
    <x v="0"/>
    <n v="1.44"/>
    <n v="18.68"/>
    <s v="00655522"/>
    <x v="58"/>
  </r>
  <r>
    <s v="Nov-2016"/>
    <x v="0"/>
    <n v="262"/>
    <x v="4"/>
    <n v="0.57999999999999996"/>
    <n v="7.14"/>
    <s v="00360305"/>
    <x v="58"/>
  </r>
  <r>
    <s v="Nov-2016"/>
    <x v="2"/>
    <n v="155"/>
    <x v="10"/>
    <n v="1.04"/>
    <n v="13.2"/>
    <s v="00000000"/>
    <x v="58"/>
  </r>
  <r>
    <s v="Nov-2016"/>
    <x v="1"/>
    <n v="817"/>
    <x v="0"/>
    <n v="0.91"/>
    <n v="11.42"/>
    <s v="00655522"/>
    <x v="58"/>
  </r>
  <r>
    <s v="Nov-2016"/>
    <x v="2"/>
    <n v="95"/>
    <x v="26"/>
    <n v="0.95"/>
    <n v="12.02"/>
    <s v="18282093"/>
    <x v="58"/>
  </r>
  <r>
    <s v="Nov-2016"/>
    <x v="3"/>
    <n v="237"/>
    <x v="10"/>
    <n v="1.02"/>
    <n v="12.94"/>
    <s v="00000000"/>
    <x v="58"/>
  </r>
  <r>
    <s v="Dez-2016"/>
    <x v="0"/>
    <n v="1366"/>
    <x v="2"/>
    <n v="0.89"/>
    <n v="11.26"/>
    <s v="60701190"/>
    <x v="59"/>
  </r>
  <r>
    <s v="Dez-2016"/>
    <x v="0"/>
    <n v="1343"/>
    <x v="9"/>
    <n v="0.86"/>
    <n v="10.81"/>
    <s v="90400888"/>
    <x v="59"/>
  </r>
  <r>
    <s v="Dez-2016"/>
    <x v="1"/>
    <n v="1075"/>
    <x v="4"/>
    <n v="1.22"/>
    <n v="15.72"/>
    <s v="00360305"/>
    <x v="59"/>
  </r>
  <r>
    <s v="Dez-2016"/>
    <x v="0"/>
    <n v="1313"/>
    <x v="7"/>
    <n v="0.84"/>
    <n v="10.6"/>
    <s v="60746948"/>
    <x v="59"/>
  </r>
  <r>
    <s v="Dez-2016"/>
    <x v="1"/>
    <n v="947"/>
    <x v="10"/>
    <n v="0.98"/>
    <n v="12.36"/>
    <s v="00000000"/>
    <x v="59"/>
  </r>
  <r>
    <s v="Dez-2016"/>
    <x v="0"/>
    <n v="1279"/>
    <x v="19"/>
    <n v="0.83"/>
    <n v="10.46"/>
    <s v="33479023"/>
    <x v="59"/>
  </r>
  <r>
    <s v="Dez-2016"/>
    <x v="1"/>
    <n v="909"/>
    <x v="19"/>
    <n v="0.95"/>
    <n v="11.96"/>
    <s v="33479023"/>
    <x v="59"/>
  </r>
  <r>
    <s v="Dez-2016"/>
    <x v="0"/>
    <n v="1233"/>
    <x v="13"/>
    <n v="0.81"/>
    <n v="10.119999999999999"/>
    <s v="00000208"/>
    <x v="59"/>
  </r>
  <r>
    <s v="Dez-2016"/>
    <x v="1"/>
    <n v="897"/>
    <x v="11"/>
    <n v="0.94"/>
    <n v="11.85"/>
    <s v="28127603"/>
    <x v="59"/>
  </r>
  <r>
    <s v="Dez-2016"/>
    <x v="0"/>
    <n v="1216"/>
    <x v="18"/>
    <n v="0.8"/>
    <n v="10.039999999999999"/>
    <s v="92702067"/>
    <x v="59"/>
  </r>
  <r>
    <s v="Dez-2016"/>
    <x v="1"/>
    <n v="878"/>
    <x v="2"/>
    <n v="0.93"/>
    <n v="11.78"/>
    <s v="60701190"/>
    <x v="59"/>
  </r>
  <r>
    <s v="Dez-2016"/>
    <x v="0"/>
    <n v="1146"/>
    <x v="0"/>
    <n v="0.78"/>
    <n v="9.73"/>
    <s v="00655522"/>
    <x v="59"/>
  </r>
  <r>
    <s v="Dez-2016"/>
    <x v="1"/>
    <n v="877"/>
    <x v="18"/>
    <n v="0.93"/>
    <n v="11.78"/>
    <s v="92702067"/>
    <x v="59"/>
  </r>
  <r>
    <s v="Dez-2016"/>
    <x v="0"/>
    <n v="1087"/>
    <x v="11"/>
    <n v="0.76"/>
    <n v="9.5399999999999991"/>
    <s v="28127603"/>
    <x v="59"/>
  </r>
  <r>
    <s v="Dez-2016"/>
    <x v="1"/>
    <n v="848"/>
    <x v="9"/>
    <n v="0.92"/>
    <n v="11.59"/>
    <s v="90400888"/>
    <x v="59"/>
  </r>
  <r>
    <s v="Dez-2016"/>
    <x v="0"/>
    <n v="1046"/>
    <x v="15"/>
    <n v="0.75"/>
    <n v="9.41"/>
    <s v="13009717"/>
    <x v="59"/>
  </r>
  <r>
    <s v="Dez-2016"/>
    <x v="1"/>
    <n v="845"/>
    <x v="7"/>
    <n v="0.92"/>
    <n v="11.57"/>
    <s v="60746948"/>
    <x v="59"/>
  </r>
  <r>
    <s v="Dez-2016"/>
    <x v="0"/>
    <n v="477"/>
    <x v="10"/>
    <n v="0.62"/>
    <n v="7.76"/>
    <s v="00000000"/>
    <x v="59"/>
  </r>
  <r>
    <s v="Dez-2016"/>
    <x v="1"/>
    <n v="829"/>
    <x v="0"/>
    <n v="0.91"/>
    <n v="11.48"/>
    <s v="00655522"/>
    <x v="59"/>
  </r>
  <r>
    <s v="Dez-2016"/>
    <x v="2"/>
    <n v="419"/>
    <x v="12"/>
    <n v="1.66"/>
    <n v="21.83"/>
    <s v="00517645"/>
    <x v="59"/>
  </r>
  <r>
    <s v="Dez-2016"/>
    <x v="0"/>
    <n v="342"/>
    <x v="4"/>
    <n v="0.6"/>
    <n v="7.41"/>
    <s v="00360305"/>
    <x v="59"/>
  </r>
  <r>
    <s v="Dez-2016"/>
    <x v="2"/>
    <n v="327"/>
    <x v="0"/>
    <n v="1.39"/>
    <n v="18"/>
    <s v="00655522"/>
    <x v="59"/>
  </r>
  <r>
    <s v="Dez-2016"/>
    <x v="1"/>
    <n v="441"/>
    <x v="15"/>
    <n v="0.74"/>
    <n v="9.26"/>
    <s v="13009717"/>
    <x v="59"/>
  </r>
  <r>
    <s v="Dez-2016"/>
    <x v="3"/>
    <n v="259"/>
    <x v="9"/>
    <n v="1.06"/>
    <n v="13.51"/>
    <s v="90400888"/>
    <x v="59"/>
  </r>
  <r>
    <s v="Dez-2016"/>
    <x v="2"/>
    <n v="115"/>
    <x v="26"/>
    <n v="0.99"/>
    <n v="12.52"/>
    <s v="18282093"/>
    <x v="59"/>
  </r>
  <r>
    <s v="Dez-2016"/>
    <x v="3"/>
    <n v="235"/>
    <x v="10"/>
    <n v="1.02"/>
    <n v="12.94"/>
    <s v="00000000"/>
    <x v="59"/>
  </r>
  <r>
    <s v="Jan-2017"/>
    <x v="0"/>
    <n v="1369"/>
    <x v="2"/>
    <n v="0.89"/>
    <n v="11.27"/>
    <s v="60701190"/>
    <x v="60"/>
  </r>
  <r>
    <s v="Jan-2017"/>
    <x v="0"/>
    <n v="1341"/>
    <x v="9"/>
    <n v="0.86"/>
    <n v="10.77"/>
    <s v="90400888"/>
    <x v="60"/>
  </r>
  <r>
    <s v="Jan-2017"/>
    <x v="0"/>
    <n v="1338"/>
    <x v="19"/>
    <n v="0.85"/>
    <n v="10.75"/>
    <s v="33479023"/>
    <x v="60"/>
  </r>
  <r>
    <s v="Jan-2017"/>
    <x v="0"/>
    <n v="1305"/>
    <x v="7"/>
    <n v="0.84"/>
    <n v="10.56"/>
    <s v="60746948"/>
    <x v="60"/>
  </r>
  <r>
    <s v="Jan-2017"/>
    <x v="1"/>
    <n v="1095"/>
    <x v="4"/>
    <n v="1.3"/>
    <n v="16.760000000000002"/>
    <s v="00360305"/>
    <x v="60"/>
  </r>
  <r>
    <s v="Jan-2017"/>
    <x v="0"/>
    <n v="1291"/>
    <x v="27"/>
    <n v="0.83"/>
    <n v="10.49"/>
    <s v="02038232"/>
    <x v="60"/>
  </r>
  <r>
    <s v="Jan-2017"/>
    <x v="1"/>
    <n v="949"/>
    <x v="10"/>
    <n v="0.98"/>
    <n v="12.43"/>
    <s v="00000000"/>
    <x v="60"/>
  </r>
  <r>
    <s v="Jan-2017"/>
    <x v="0"/>
    <n v="1235"/>
    <x v="18"/>
    <n v="0.81"/>
    <n v="10.130000000000001"/>
    <s v="92702067"/>
    <x v="60"/>
  </r>
  <r>
    <s v="Jan-2017"/>
    <x v="1"/>
    <n v="922"/>
    <x v="19"/>
    <n v="0.95"/>
    <n v="12.07"/>
    <s v="33479023"/>
    <x v="60"/>
  </r>
  <r>
    <s v="Jan-2017"/>
    <x v="0"/>
    <n v="1222"/>
    <x v="13"/>
    <n v="0.8"/>
    <n v="10.08"/>
    <s v="00000208"/>
    <x v="60"/>
  </r>
  <r>
    <s v="Jan-2017"/>
    <x v="1"/>
    <n v="883"/>
    <x v="2"/>
    <n v="0.93"/>
    <n v="11.8"/>
    <s v="60701190"/>
    <x v="60"/>
  </r>
  <r>
    <s v="Jan-2017"/>
    <x v="0"/>
    <n v="1186"/>
    <x v="15"/>
    <n v="0.79"/>
    <n v="9.9499999999999993"/>
    <s v="13009717"/>
    <x v="60"/>
  </r>
  <r>
    <s v="Jan-2017"/>
    <x v="1"/>
    <n v="868"/>
    <x v="7"/>
    <n v="0.93"/>
    <n v="11.73"/>
    <s v="60746948"/>
    <x v="60"/>
  </r>
  <r>
    <s v="Jan-2017"/>
    <x v="0"/>
    <n v="1106"/>
    <x v="0"/>
    <n v="0.77"/>
    <n v="9.6"/>
    <s v="00655522"/>
    <x v="60"/>
  </r>
  <r>
    <s v="Jan-2017"/>
    <x v="1"/>
    <n v="854"/>
    <x v="9"/>
    <n v="0.92"/>
    <n v="11.64"/>
    <s v="90400888"/>
    <x v="60"/>
  </r>
  <r>
    <s v="Jan-2017"/>
    <x v="0"/>
    <n v="491"/>
    <x v="10"/>
    <n v="0.63"/>
    <n v="7.8"/>
    <s v="00000000"/>
    <x v="60"/>
  </r>
  <r>
    <s v="Jan-2017"/>
    <x v="1"/>
    <n v="761"/>
    <x v="18"/>
    <n v="0.88"/>
    <n v="11.06"/>
    <s v="92702067"/>
    <x v="60"/>
  </r>
  <r>
    <s v="Jan-2017"/>
    <x v="2"/>
    <n v="410"/>
    <x v="12"/>
    <n v="1.54"/>
    <n v="20.14"/>
    <s v="00517645"/>
    <x v="60"/>
  </r>
  <r>
    <s v="Jan-2017"/>
    <x v="0"/>
    <n v="419"/>
    <x v="4"/>
    <n v="0.61"/>
    <n v="7.58"/>
    <s v="00360305"/>
    <x v="60"/>
  </r>
  <r>
    <s v="Jan-2017"/>
    <x v="2"/>
    <n v="372"/>
    <x v="0"/>
    <n v="1.46"/>
    <n v="19.03"/>
    <s v="00655522"/>
    <x v="60"/>
  </r>
  <r>
    <s v="Jan-2017"/>
    <x v="1"/>
    <n v="730"/>
    <x v="0"/>
    <n v="0.86"/>
    <n v="10.81"/>
    <s v="00655522"/>
    <x v="60"/>
  </r>
  <r>
    <s v="Jan-2017"/>
    <x v="3"/>
    <n v="261"/>
    <x v="9"/>
    <n v="1.07"/>
    <n v="13.61"/>
    <s v="90400888"/>
    <x v="60"/>
  </r>
  <r>
    <s v="Jan-2017"/>
    <x v="2"/>
    <n v="91"/>
    <x v="26"/>
    <n v="0.94"/>
    <n v="11.92"/>
    <s v="18282093"/>
    <x v="60"/>
  </r>
  <r>
    <s v="Jan-2017"/>
    <x v="3"/>
    <n v="234"/>
    <x v="10"/>
    <n v="1.02"/>
    <n v="12.94"/>
    <s v="00000000"/>
    <x v="60"/>
  </r>
  <r>
    <s v="Fev-2017"/>
    <x v="0"/>
    <n v="1364"/>
    <x v="2"/>
    <n v="0.89"/>
    <n v="11.26"/>
    <s v="60701190"/>
    <x v="61"/>
  </r>
  <r>
    <s v="Fev-2017"/>
    <x v="0"/>
    <n v="1349"/>
    <x v="19"/>
    <n v="0.87"/>
    <n v="10.91"/>
    <s v="33479023"/>
    <x v="61"/>
  </r>
  <r>
    <s v="Fev-2017"/>
    <x v="0"/>
    <n v="1330"/>
    <x v="9"/>
    <n v="0.85"/>
    <n v="10.71"/>
    <s v="90400888"/>
    <x v="61"/>
  </r>
  <r>
    <s v="Fev-2017"/>
    <x v="0"/>
    <n v="1306"/>
    <x v="7"/>
    <n v="0.84"/>
    <n v="10.58"/>
    <s v="60746948"/>
    <x v="61"/>
  </r>
  <r>
    <s v="Fev-2017"/>
    <x v="0"/>
    <n v="1263"/>
    <x v="27"/>
    <n v="0.82"/>
    <n v="10.35"/>
    <s v="02038232"/>
    <x v="61"/>
  </r>
  <r>
    <s v="Fev-2017"/>
    <x v="1"/>
    <n v="1178"/>
    <x v="4"/>
    <n v="1.65"/>
    <n v="21.68"/>
    <s v="00360305"/>
    <x v="61"/>
  </r>
  <r>
    <s v="Fev-2017"/>
    <x v="0"/>
    <n v="1198"/>
    <x v="18"/>
    <n v="0.8"/>
    <n v="10"/>
    <s v="92702067"/>
    <x v="61"/>
  </r>
  <r>
    <s v="Fev-2017"/>
    <x v="1"/>
    <n v="977"/>
    <x v="11"/>
    <n v="1.02"/>
    <n v="12.9"/>
    <s v="28127603"/>
    <x v="61"/>
  </r>
  <r>
    <s v="Fev-2017"/>
    <x v="0"/>
    <n v="1197"/>
    <x v="0"/>
    <n v="0.8"/>
    <n v="9.99"/>
    <s v="00655522"/>
    <x v="61"/>
  </r>
  <r>
    <s v="Fev-2017"/>
    <x v="1"/>
    <n v="950"/>
    <x v="10"/>
    <n v="0.98"/>
    <n v="12.45"/>
    <s v="00000000"/>
    <x v="61"/>
  </r>
  <r>
    <s v="Fev-2017"/>
    <x v="0"/>
    <n v="1173"/>
    <x v="13"/>
    <n v="0.79"/>
    <n v="9.92"/>
    <s v="00000208"/>
    <x v="61"/>
  </r>
  <r>
    <s v="Fev-2017"/>
    <x v="1"/>
    <n v="886"/>
    <x v="2"/>
    <n v="0.93"/>
    <n v="11.8"/>
    <s v="60701190"/>
    <x v="61"/>
  </r>
  <r>
    <s v="Fev-2017"/>
    <x v="0"/>
    <n v="1117"/>
    <x v="11"/>
    <n v="0.77"/>
    <n v="9.64"/>
    <s v="28127603"/>
    <x v="61"/>
  </r>
  <r>
    <s v="Fev-2017"/>
    <x v="1"/>
    <n v="863"/>
    <x v="9"/>
    <n v="0.92"/>
    <n v="11.68"/>
    <s v="90400888"/>
    <x v="61"/>
  </r>
  <r>
    <s v="Fev-2017"/>
    <x v="0"/>
    <n v="962"/>
    <x v="15"/>
    <n v="0.74"/>
    <n v="9.19"/>
    <s v="13009717"/>
    <x v="61"/>
  </r>
  <r>
    <s v="Fev-2017"/>
    <x v="1"/>
    <n v="851"/>
    <x v="7"/>
    <n v="0.92"/>
    <n v="11.6"/>
    <s v="60746948"/>
    <x v="61"/>
  </r>
  <r>
    <s v="Fev-2017"/>
    <x v="0"/>
    <n v="465"/>
    <x v="10"/>
    <n v="0.62"/>
    <n v="7.73"/>
    <s v="00000000"/>
    <x v="61"/>
  </r>
  <r>
    <s v="Fev-2017"/>
    <x v="2"/>
    <n v="394"/>
    <x v="12"/>
    <n v="1.5"/>
    <n v="19.63"/>
    <s v="00517645"/>
    <x v="61"/>
  </r>
  <r>
    <s v="Fev-2017"/>
    <x v="1"/>
    <n v="791"/>
    <x v="18"/>
    <n v="0.9"/>
    <n v="11.31"/>
    <s v="92702067"/>
    <x v="61"/>
  </r>
  <r>
    <s v="Fev-2017"/>
    <x v="2"/>
    <n v="309"/>
    <x v="9"/>
    <n v="1.35"/>
    <n v="17.5"/>
    <s v="90400888"/>
    <x v="61"/>
  </r>
  <r>
    <s v="Fev-2017"/>
    <x v="0"/>
    <n v="432"/>
    <x v="4"/>
    <n v="0.61"/>
    <n v="7.61"/>
    <s v="00360305"/>
    <x v="61"/>
  </r>
  <r>
    <s v="Fev-2017"/>
    <x v="2"/>
    <n v="271"/>
    <x v="0"/>
    <n v="1.27"/>
    <n v="16.309999999999999"/>
    <s v="00655522"/>
    <x v="61"/>
  </r>
  <r>
    <s v="Fev-2017"/>
    <x v="1"/>
    <n v="752"/>
    <x v="0"/>
    <n v="0.87"/>
    <n v="11.01"/>
    <s v="00655522"/>
    <x v="61"/>
  </r>
  <r>
    <s v="Fev-2017"/>
    <x v="2"/>
    <n v="154"/>
    <x v="26"/>
    <n v="1.04"/>
    <n v="13.2"/>
    <s v="18282093"/>
    <x v="61"/>
  </r>
  <r>
    <s v="Fev-2017"/>
    <x v="3"/>
    <n v="244"/>
    <x v="10"/>
    <n v="1.02"/>
    <n v="12.95"/>
    <s v="00000000"/>
    <x v="61"/>
  </r>
  <r>
    <s v="Mar-2017"/>
    <x v="0"/>
    <n v="1386"/>
    <x v="27"/>
    <n v="0.95"/>
    <n v="12"/>
    <s v="02038232"/>
    <x v="62"/>
  </r>
  <r>
    <s v="Mar-2017"/>
    <x v="0"/>
    <n v="1367"/>
    <x v="2"/>
    <n v="0.89"/>
    <n v="11.26"/>
    <s v="60701190"/>
    <x v="62"/>
  </r>
  <r>
    <s v="Mar-2017"/>
    <x v="0"/>
    <n v="1337"/>
    <x v="19"/>
    <n v="0.85"/>
    <n v="10.74"/>
    <s v="33479023"/>
    <x v="62"/>
  </r>
  <r>
    <s v="Mar-2017"/>
    <x v="0"/>
    <n v="1321"/>
    <x v="9"/>
    <n v="0.85"/>
    <n v="10.65"/>
    <s v="90400888"/>
    <x v="62"/>
  </r>
  <r>
    <s v="Mar-2017"/>
    <x v="0"/>
    <n v="1303"/>
    <x v="7"/>
    <n v="0.84"/>
    <n v="10.55"/>
    <s v="60746948"/>
    <x v="62"/>
  </r>
  <r>
    <s v="Mar-2017"/>
    <x v="1"/>
    <n v="1123"/>
    <x v="4"/>
    <n v="1.4"/>
    <n v="18.149999999999999"/>
    <s v="00360305"/>
    <x v="62"/>
  </r>
  <r>
    <s v="Mar-2017"/>
    <x v="0"/>
    <n v="1213"/>
    <x v="18"/>
    <n v="0.8"/>
    <n v="10.029999999999999"/>
    <s v="92702067"/>
    <x v="62"/>
  </r>
  <r>
    <s v="Mar-2017"/>
    <x v="1"/>
    <n v="940"/>
    <x v="10"/>
    <n v="0.97"/>
    <n v="12.28"/>
    <s v="00000000"/>
    <x v="62"/>
  </r>
  <r>
    <s v="Mar-2017"/>
    <x v="0"/>
    <n v="1208"/>
    <x v="5"/>
    <n v="0.8"/>
    <n v="10.02"/>
    <s v="17184037"/>
    <x v="62"/>
  </r>
  <r>
    <s v="Mar-2017"/>
    <x v="1"/>
    <n v="927"/>
    <x v="18"/>
    <n v="0.96"/>
    <n v="12.12"/>
    <s v="92702067"/>
    <x v="62"/>
  </r>
  <r>
    <s v="Mar-2017"/>
    <x v="0"/>
    <n v="1185"/>
    <x v="13"/>
    <n v="0.79"/>
    <n v="9.9499999999999993"/>
    <s v="00000208"/>
    <x v="62"/>
  </r>
  <r>
    <s v="Mar-2017"/>
    <x v="1"/>
    <n v="875"/>
    <x v="0"/>
    <n v="0.93"/>
    <n v="11.77"/>
    <s v="00655522"/>
    <x v="62"/>
  </r>
  <r>
    <s v="Mar-2017"/>
    <x v="0"/>
    <n v="1144"/>
    <x v="0"/>
    <n v="0.78"/>
    <n v="9.73"/>
    <s v="00655522"/>
    <x v="62"/>
  </r>
  <r>
    <s v="Mar-2017"/>
    <x v="1"/>
    <n v="853"/>
    <x v="2"/>
    <n v="0.92"/>
    <n v="11.63"/>
    <s v="60701190"/>
    <x v="62"/>
  </r>
  <r>
    <s v="Mar-2017"/>
    <x v="0"/>
    <n v="1080"/>
    <x v="11"/>
    <n v="0.76"/>
    <n v="9.52"/>
    <s v="28127603"/>
    <x v="62"/>
  </r>
  <r>
    <s v="Mar-2017"/>
    <x v="1"/>
    <n v="830"/>
    <x v="7"/>
    <n v="0.91"/>
    <n v="11.48"/>
    <s v="60746948"/>
    <x v="62"/>
  </r>
  <r>
    <s v="Mar-2017"/>
    <x v="0"/>
    <n v="1064"/>
    <x v="15"/>
    <n v="0.76"/>
    <n v="9.4700000000000006"/>
    <s v="13009717"/>
    <x v="62"/>
  </r>
  <r>
    <s v="Mar-2017"/>
    <x v="1"/>
    <n v="806"/>
    <x v="11"/>
    <n v="0.9"/>
    <n v="11.38"/>
    <s v="28127603"/>
    <x v="62"/>
  </r>
  <r>
    <s v="Mar-2017"/>
    <x v="0"/>
    <n v="463"/>
    <x v="10"/>
    <n v="0.62"/>
    <n v="7.73"/>
    <s v="00000000"/>
    <x v="62"/>
  </r>
  <r>
    <s v="Mar-2017"/>
    <x v="2"/>
    <n v="389"/>
    <x v="12"/>
    <n v="1.49"/>
    <n v="19.37"/>
    <s v="00517645"/>
    <x v="62"/>
  </r>
  <r>
    <s v="Mar-2017"/>
    <x v="1"/>
    <n v="797"/>
    <x v="9"/>
    <n v="0.9"/>
    <n v="11.35"/>
    <s v="90400888"/>
    <x v="62"/>
  </r>
  <r>
    <s v="Mar-2017"/>
    <x v="2"/>
    <n v="296"/>
    <x v="0"/>
    <n v="1.34"/>
    <n v="17.38"/>
    <s v="00655522"/>
    <x v="62"/>
  </r>
  <r>
    <s v="Mar-2017"/>
    <x v="0"/>
    <n v="380"/>
    <x v="4"/>
    <n v="0.6"/>
    <n v="7.48"/>
    <s v="00360305"/>
    <x v="62"/>
  </r>
  <r>
    <s v="Mar-2017"/>
    <x v="2"/>
    <n v="209"/>
    <x v="9"/>
    <n v="1.1499999999999999"/>
    <n v="14.64"/>
    <s v="90400888"/>
    <x v="62"/>
  </r>
  <r>
    <s v="Mar-2017"/>
    <x v="1"/>
    <n v="677"/>
    <x v="8"/>
    <n v="0.83"/>
    <n v="10.46"/>
    <s v="10694628"/>
    <x v="62"/>
  </r>
  <r>
    <s v="Mar-2017"/>
    <x v="3"/>
    <n v="260"/>
    <x v="9"/>
    <n v="1.07"/>
    <n v="13.57"/>
    <s v="90400888"/>
    <x v="62"/>
  </r>
  <r>
    <s v="Mar-2017"/>
    <x v="2"/>
    <n v="93"/>
    <x v="26"/>
    <n v="0.95"/>
    <n v="12.01"/>
    <s v="18282093"/>
    <x v="62"/>
  </r>
  <r>
    <s v="Mar-2017"/>
    <x v="3"/>
    <n v="236"/>
    <x v="10"/>
    <n v="1.02"/>
    <n v="12.94"/>
    <s v="00000000"/>
    <x v="62"/>
  </r>
  <r>
    <s v="Abr-2017"/>
    <x v="0"/>
    <n v="1378"/>
    <x v="19"/>
    <n v="0.9"/>
    <n v="11.4"/>
    <s v="33479023"/>
    <x v="63"/>
  </r>
  <r>
    <s v="Abr-2017"/>
    <x v="0"/>
    <n v="1365"/>
    <x v="2"/>
    <n v="0.89"/>
    <n v="11.26"/>
    <s v="60701190"/>
    <x v="63"/>
  </r>
  <r>
    <s v="Abr-2017"/>
    <x v="0"/>
    <n v="1324"/>
    <x v="9"/>
    <n v="0.85"/>
    <n v="10.68"/>
    <s v="90400888"/>
    <x v="63"/>
  </r>
  <r>
    <s v="Abr-2017"/>
    <x v="0"/>
    <n v="1301"/>
    <x v="7"/>
    <n v="0.84"/>
    <n v="10.53"/>
    <s v="60746948"/>
    <x v="63"/>
  </r>
  <r>
    <s v="Abr-2017"/>
    <x v="1"/>
    <n v="1132"/>
    <x v="4"/>
    <n v="1.42"/>
    <n v="18.399999999999999"/>
    <s v="00360305"/>
    <x v="63"/>
  </r>
  <r>
    <s v="Abr-2017"/>
    <x v="0"/>
    <n v="1299"/>
    <x v="27"/>
    <n v="0.84"/>
    <n v="10.52"/>
    <s v="02038232"/>
    <x v="63"/>
  </r>
  <r>
    <s v="Abr-2017"/>
    <x v="1"/>
    <n v="1061"/>
    <x v="0"/>
    <n v="1.19"/>
    <n v="15.27"/>
    <s v="00655522"/>
    <x v="63"/>
  </r>
  <r>
    <s v="Abr-2017"/>
    <x v="0"/>
    <n v="1272"/>
    <x v="13"/>
    <n v="0.83"/>
    <n v="10.42"/>
    <s v="00000208"/>
    <x v="63"/>
  </r>
  <r>
    <s v="Abr-2017"/>
    <x v="1"/>
    <n v="972"/>
    <x v="18"/>
    <n v="1.01"/>
    <n v="12.79"/>
    <s v="92702067"/>
    <x v="63"/>
  </r>
  <r>
    <s v="Abr-2017"/>
    <x v="0"/>
    <n v="1245"/>
    <x v="18"/>
    <n v="0.81"/>
    <n v="10.199999999999999"/>
    <s v="92702067"/>
    <x v="63"/>
  </r>
  <r>
    <s v="Abr-2017"/>
    <x v="1"/>
    <n v="953"/>
    <x v="19"/>
    <n v="0.99"/>
    <n v="12.49"/>
    <s v="33479023"/>
    <x v="63"/>
  </r>
  <r>
    <s v="Abr-2017"/>
    <x v="0"/>
    <n v="1194"/>
    <x v="11"/>
    <n v="0.8"/>
    <n v="9.98"/>
    <s v="28127603"/>
    <x v="63"/>
  </r>
  <r>
    <s v="Abr-2017"/>
    <x v="1"/>
    <n v="901"/>
    <x v="10"/>
    <n v="0.94"/>
    <n v="11.9"/>
    <s v="00000000"/>
    <x v="63"/>
  </r>
  <r>
    <s v="Abr-2017"/>
    <x v="0"/>
    <n v="1192"/>
    <x v="0"/>
    <n v="0.8"/>
    <n v="9.9700000000000006"/>
    <s v="00655522"/>
    <x v="63"/>
  </r>
  <r>
    <s v="Abr-2017"/>
    <x v="1"/>
    <n v="865"/>
    <x v="11"/>
    <n v="0.93"/>
    <n v="11.69"/>
    <s v="28127603"/>
    <x v="63"/>
  </r>
  <r>
    <s v="Abr-2017"/>
    <x v="0"/>
    <n v="942"/>
    <x v="15"/>
    <n v="0.73"/>
    <n v="9.14"/>
    <s v="13009717"/>
    <x v="63"/>
  </r>
  <r>
    <s v="Abr-2017"/>
    <x v="1"/>
    <n v="859"/>
    <x v="9"/>
    <n v="0.92"/>
    <n v="11.67"/>
    <s v="90400888"/>
    <x v="63"/>
  </r>
  <r>
    <s v="Abr-2017"/>
    <x v="0"/>
    <n v="543"/>
    <x v="10"/>
    <n v="0.64"/>
    <n v="7.94"/>
    <s v="00000000"/>
    <x v="63"/>
  </r>
  <r>
    <s v="Abr-2017"/>
    <x v="1"/>
    <n v="836"/>
    <x v="2"/>
    <n v="0.91"/>
    <n v="11.5"/>
    <s v="60701190"/>
    <x v="63"/>
  </r>
  <r>
    <s v="Abr-2017"/>
    <x v="2"/>
    <n v="411"/>
    <x v="12"/>
    <n v="1.55"/>
    <n v="20.260000000000002"/>
    <s v="00517645"/>
    <x v="63"/>
  </r>
  <r>
    <s v="Abr-2017"/>
    <x v="0"/>
    <n v="385"/>
    <x v="4"/>
    <n v="0.6"/>
    <n v="7.49"/>
    <s v="00360305"/>
    <x v="63"/>
  </r>
  <r>
    <s v="Abr-2017"/>
    <x v="2"/>
    <n v="252"/>
    <x v="0"/>
    <n v="1.24"/>
    <n v="15.91"/>
    <s v="00655522"/>
    <x v="63"/>
  </r>
  <r>
    <s v="Abr-2017"/>
    <x v="1"/>
    <n v="807"/>
    <x v="7"/>
    <n v="0.9"/>
    <n v="11.38"/>
    <s v="60746948"/>
    <x v="63"/>
  </r>
  <r>
    <s v="Abr-2017"/>
    <x v="2"/>
    <n v="92"/>
    <x v="26"/>
    <n v="0.95"/>
    <n v="11.96"/>
    <s v="18282093"/>
    <x v="63"/>
  </r>
  <r>
    <s v="Abr-2017"/>
    <x v="3"/>
    <n v="240"/>
    <x v="10"/>
    <n v="1.02"/>
    <n v="12.94"/>
    <s v="00000000"/>
    <x v="63"/>
  </r>
  <r>
    <s v="Mai-2017"/>
    <x v="0"/>
    <n v="1361"/>
    <x v="2"/>
    <n v="0.89"/>
    <n v="11.21"/>
    <s v="60701190"/>
    <x v="64"/>
  </r>
  <r>
    <s v="Mai-2017"/>
    <x v="0"/>
    <n v="1309"/>
    <x v="19"/>
    <n v="0.84"/>
    <n v="10.59"/>
    <s v="33479023"/>
    <x v="64"/>
  </r>
  <r>
    <s v="Mai-2017"/>
    <x v="0"/>
    <n v="1308"/>
    <x v="9"/>
    <n v="0.84"/>
    <n v="10.59"/>
    <s v="90400888"/>
    <x v="64"/>
  </r>
  <r>
    <s v="Mai-2017"/>
    <x v="0"/>
    <n v="1302"/>
    <x v="7"/>
    <n v="0.84"/>
    <n v="10.54"/>
    <s v="60746948"/>
    <x v="64"/>
  </r>
  <r>
    <s v="Mai-2017"/>
    <x v="1"/>
    <n v="1118"/>
    <x v="4"/>
    <n v="1.37"/>
    <n v="17.78"/>
    <s v="00360305"/>
    <x v="64"/>
  </r>
  <r>
    <s v="Mai-2017"/>
    <x v="0"/>
    <n v="1293"/>
    <x v="27"/>
    <n v="0.84"/>
    <n v="10.5"/>
    <s v="02038232"/>
    <x v="64"/>
  </r>
  <r>
    <s v="Mai-2017"/>
    <x v="1"/>
    <n v="981"/>
    <x v="15"/>
    <n v="1.02"/>
    <n v="13"/>
    <s v="13009717"/>
    <x v="64"/>
  </r>
  <r>
    <s v="Mai-2017"/>
    <x v="0"/>
    <n v="1241"/>
    <x v="0"/>
    <n v="0.81"/>
    <n v="10.15"/>
    <s v="00655522"/>
    <x v="64"/>
  </r>
  <r>
    <s v="Mai-2017"/>
    <x v="1"/>
    <n v="944"/>
    <x v="18"/>
    <n v="0.97"/>
    <n v="12.32"/>
    <s v="92702067"/>
    <x v="64"/>
  </r>
  <r>
    <s v="Mai-2017"/>
    <x v="0"/>
    <n v="1191"/>
    <x v="18"/>
    <n v="0.8"/>
    <n v="9.9700000000000006"/>
    <s v="92702067"/>
    <x v="64"/>
  </r>
  <r>
    <s v="Mai-2017"/>
    <x v="1"/>
    <n v="912"/>
    <x v="11"/>
    <n v="0.95"/>
    <n v="12"/>
    <s v="28127603"/>
    <x v="64"/>
  </r>
  <r>
    <s v="Mai-2017"/>
    <x v="0"/>
    <n v="1180"/>
    <x v="13"/>
    <n v="0.79"/>
    <n v="9.94"/>
    <s v="00000208"/>
    <x v="64"/>
  </r>
  <r>
    <s v="Mai-2017"/>
    <x v="1"/>
    <n v="903"/>
    <x v="10"/>
    <n v="0.94"/>
    <n v="11.92"/>
    <s v="00000000"/>
    <x v="64"/>
  </r>
  <r>
    <s v="Mai-2017"/>
    <x v="0"/>
    <n v="1109"/>
    <x v="11"/>
    <n v="0.77"/>
    <n v="9.61"/>
    <s v="28127603"/>
    <x v="64"/>
  </r>
  <r>
    <s v="Mai-2017"/>
    <x v="1"/>
    <n v="852"/>
    <x v="2"/>
    <n v="0.92"/>
    <n v="11.62"/>
    <s v="60701190"/>
    <x v="64"/>
  </r>
  <r>
    <s v="Mai-2017"/>
    <x v="0"/>
    <n v="1057"/>
    <x v="15"/>
    <n v="0.76"/>
    <n v="9.4499999999999993"/>
    <s v="13009717"/>
    <x v="64"/>
  </r>
  <r>
    <s v="Mai-2017"/>
    <x v="1"/>
    <n v="827"/>
    <x v="9"/>
    <n v="0.91"/>
    <n v="11.45"/>
    <s v="90400888"/>
    <x v="64"/>
  </r>
  <r>
    <s v="Mai-2017"/>
    <x v="0"/>
    <n v="531"/>
    <x v="10"/>
    <n v="0.64"/>
    <n v="7.91"/>
    <s v="00000000"/>
    <x v="64"/>
  </r>
  <r>
    <s v="Mai-2017"/>
    <x v="2"/>
    <n v="369"/>
    <x v="12"/>
    <n v="1.46"/>
    <n v="18.97"/>
    <s v="00517645"/>
    <x v="64"/>
  </r>
  <r>
    <s v="Mai-2017"/>
    <x v="1"/>
    <n v="794"/>
    <x v="7"/>
    <n v="0.9"/>
    <n v="11.33"/>
    <s v="60746948"/>
    <x v="64"/>
  </r>
  <r>
    <s v="Mai-2017"/>
    <x v="2"/>
    <n v="301"/>
    <x v="0"/>
    <n v="1.35"/>
    <n v="17.440000000000001"/>
    <s v="00655522"/>
    <x v="64"/>
  </r>
  <r>
    <s v="Mai-2017"/>
    <x v="0"/>
    <n v="433"/>
    <x v="4"/>
    <n v="0.61"/>
    <n v="7.61"/>
    <s v="00360305"/>
    <x v="64"/>
  </r>
  <r>
    <s v="Mai-2017"/>
    <x v="2"/>
    <n v="179"/>
    <x v="9"/>
    <n v="1.08"/>
    <n v="13.78"/>
    <s v="90400888"/>
    <x v="64"/>
  </r>
  <r>
    <s v="Mai-2017"/>
    <x v="1"/>
    <n v="771"/>
    <x v="19"/>
    <n v="0.89"/>
    <n v="11.17"/>
    <s v="33479023"/>
    <x v="64"/>
  </r>
  <r>
    <s v="Mai-2017"/>
    <x v="3"/>
    <n v="238"/>
    <x v="10"/>
    <n v="1.02"/>
    <n v="12.94"/>
    <s v="00000000"/>
    <x v="64"/>
  </r>
  <r>
    <s v="Mai-2017"/>
    <x v="2"/>
    <n v="151"/>
    <x v="26"/>
    <n v="1.03"/>
    <n v="13.14"/>
    <s v="18282093"/>
    <x v="64"/>
  </r>
  <r>
    <s v="Mai-2017"/>
    <x v="3"/>
    <n v="188"/>
    <x v="9"/>
    <n v="0.97"/>
    <n v="12.22"/>
    <s v="90400888"/>
    <x v="64"/>
  </r>
  <r>
    <s v="Jun-2017"/>
    <x v="0"/>
    <n v="1363"/>
    <x v="2"/>
    <n v="0.89"/>
    <n v="11.23"/>
    <s v="60701190"/>
    <x v="65"/>
  </r>
  <r>
    <s v="Jun-2017"/>
    <x v="0"/>
    <n v="1314"/>
    <x v="9"/>
    <n v="0.84"/>
    <n v="10.6"/>
    <s v="90400888"/>
    <x v="65"/>
  </r>
  <r>
    <s v="Jun-2017"/>
    <x v="0"/>
    <n v="1296"/>
    <x v="7"/>
    <n v="0.84"/>
    <n v="10.5"/>
    <s v="60746948"/>
    <x v="65"/>
  </r>
  <r>
    <s v="Jun-2017"/>
    <x v="0"/>
    <n v="1267"/>
    <x v="0"/>
    <n v="0.83"/>
    <n v="10.4"/>
    <s v="00655522"/>
    <x v="65"/>
  </r>
  <r>
    <s v="Jun-2017"/>
    <x v="1"/>
    <n v="1049"/>
    <x v="4"/>
    <n v="1.17"/>
    <n v="15.02"/>
    <s v="00360305"/>
    <x v="65"/>
  </r>
  <r>
    <s v="Jun-2017"/>
    <x v="0"/>
    <n v="1266"/>
    <x v="19"/>
    <n v="0.83"/>
    <n v="10.4"/>
    <s v="33479023"/>
    <x v="65"/>
  </r>
  <r>
    <s v="Jun-2017"/>
    <x v="1"/>
    <n v="956"/>
    <x v="0"/>
    <n v="0.99"/>
    <n v="12.58"/>
    <s v="00655522"/>
    <x v="65"/>
  </r>
  <r>
    <s v="Jun-2017"/>
    <x v="0"/>
    <n v="1265"/>
    <x v="27"/>
    <n v="0.83"/>
    <n v="10.39"/>
    <s v="02038232"/>
    <x v="65"/>
  </r>
  <r>
    <s v="Jun-2017"/>
    <x v="1"/>
    <n v="860"/>
    <x v="10"/>
    <n v="0.92"/>
    <n v="11.67"/>
    <s v="00000000"/>
    <x v="65"/>
  </r>
  <r>
    <s v="Jun-2017"/>
    <x v="0"/>
    <n v="1204"/>
    <x v="18"/>
    <n v="0.8"/>
    <n v="10.01"/>
    <s v="92702067"/>
    <x v="65"/>
  </r>
  <r>
    <s v="Jun-2017"/>
    <x v="1"/>
    <n v="840"/>
    <x v="2"/>
    <n v="0.91"/>
    <n v="11.52"/>
    <s v="60701190"/>
    <x v="65"/>
  </r>
  <r>
    <s v="Jun-2017"/>
    <x v="0"/>
    <n v="1176"/>
    <x v="13"/>
    <n v="0.79"/>
    <n v="9.92"/>
    <s v="00000208"/>
    <x v="65"/>
  </r>
  <r>
    <s v="Jun-2017"/>
    <x v="1"/>
    <n v="825"/>
    <x v="18"/>
    <n v="0.91"/>
    <n v="11.44"/>
    <s v="92702067"/>
    <x v="65"/>
  </r>
  <r>
    <s v="Jun-2017"/>
    <x v="0"/>
    <n v="1175"/>
    <x v="11"/>
    <n v="0.79"/>
    <n v="9.92"/>
    <s v="28127603"/>
    <x v="65"/>
  </r>
  <r>
    <s v="Jun-2017"/>
    <x v="1"/>
    <n v="822"/>
    <x v="7"/>
    <n v="0.91"/>
    <n v="11.43"/>
    <s v="60746948"/>
    <x v="65"/>
  </r>
  <r>
    <s v="Jun-2017"/>
    <x v="0"/>
    <n v="1050"/>
    <x v="15"/>
    <n v="0.75"/>
    <n v="9.42"/>
    <s v="13009717"/>
    <x v="65"/>
  </r>
  <r>
    <s v="Jun-2017"/>
    <x v="1"/>
    <n v="795"/>
    <x v="9"/>
    <n v="0.9"/>
    <n v="11.33"/>
    <s v="90400888"/>
    <x v="65"/>
  </r>
  <r>
    <s v="Jun-2017"/>
    <x v="0"/>
    <n v="567"/>
    <x v="10"/>
    <n v="0.64"/>
    <n v="8.02"/>
    <s v="00000000"/>
    <x v="65"/>
  </r>
  <r>
    <s v="Jun-2017"/>
    <x v="2"/>
    <n v="354"/>
    <x v="12"/>
    <n v="1.43"/>
    <n v="18.53"/>
    <s v="00517645"/>
    <x v="65"/>
  </r>
  <r>
    <s v="Jun-2017"/>
    <x v="1"/>
    <n v="776"/>
    <x v="19"/>
    <n v="0.89"/>
    <n v="11.22"/>
    <s v="33479023"/>
    <x v="65"/>
  </r>
  <r>
    <s v="Jun-2017"/>
    <x v="2"/>
    <n v="313"/>
    <x v="9"/>
    <n v="1.35"/>
    <n v="17.5"/>
    <s v="90400888"/>
    <x v="65"/>
  </r>
  <r>
    <s v="Jun-2017"/>
    <x v="0"/>
    <n v="369"/>
    <x v="4"/>
    <n v="0.6"/>
    <n v="7.46"/>
    <s v="00360305"/>
    <x v="65"/>
  </r>
  <r>
    <s v="Jun-2017"/>
    <x v="2"/>
    <n v="300"/>
    <x v="0"/>
    <n v="1.35"/>
    <n v="17.43"/>
    <s v="00655522"/>
    <x v="65"/>
  </r>
  <r>
    <s v="Jun-2017"/>
    <x v="3"/>
    <n v="255"/>
    <x v="4"/>
    <n v="1.04"/>
    <n v="13.21"/>
    <s v="00360305"/>
    <x v="65"/>
  </r>
  <r>
    <s v="Jun-2017"/>
    <x v="1"/>
    <n v="729"/>
    <x v="11"/>
    <n v="0.86"/>
    <n v="10.8"/>
    <s v="28127603"/>
    <x v="65"/>
  </r>
  <r>
    <s v="Jun-2017"/>
    <x v="3"/>
    <n v="241"/>
    <x v="10"/>
    <n v="1.02"/>
    <n v="12.94"/>
    <s v="00000000"/>
    <x v="65"/>
  </r>
  <r>
    <s v="Jun-2017"/>
    <x v="2"/>
    <n v="113"/>
    <x v="26"/>
    <n v="0.98"/>
    <n v="12.47"/>
    <s v="18282093"/>
    <x v="65"/>
  </r>
  <r>
    <s v="Jun-2017"/>
    <x v="3"/>
    <n v="142"/>
    <x v="9"/>
    <n v="0.94"/>
    <n v="11.93"/>
    <s v="90400888"/>
    <x v="65"/>
  </r>
  <r>
    <s v="Jul-2017"/>
    <x v="0"/>
    <n v="1355"/>
    <x v="2"/>
    <n v="0.89"/>
    <n v="11.17"/>
    <s v="60701190"/>
    <x v="66"/>
  </r>
  <r>
    <s v="Jul-2017"/>
    <x v="0"/>
    <n v="1292"/>
    <x v="27"/>
    <n v="0.83"/>
    <n v="10.49"/>
    <s v="02038232"/>
    <x v="66"/>
  </r>
  <r>
    <s v="Jul-2017"/>
    <x v="0"/>
    <n v="1287"/>
    <x v="0"/>
    <n v="0.83"/>
    <n v="10.48"/>
    <s v="00655522"/>
    <x v="66"/>
  </r>
  <r>
    <s v="Jul-2017"/>
    <x v="0"/>
    <n v="1278"/>
    <x v="7"/>
    <n v="0.83"/>
    <n v="10.46"/>
    <s v="60746948"/>
    <x v="66"/>
  </r>
  <r>
    <s v="Jul-2017"/>
    <x v="1"/>
    <n v="1031"/>
    <x v="0"/>
    <n v="1.1399999999999999"/>
    <n v="14.63"/>
    <s v="00655522"/>
    <x v="66"/>
  </r>
  <r>
    <s v="Jul-2017"/>
    <x v="0"/>
    <n v="1258"/>
    <x v="9"/>
    <n v="0.82"/>
    <n v="10.3"/>
    <s v="90400888"/>
    <x v="66"/>
  </r>
  <r>
    <s v="Jul-2017"/>
    <x v="1"/>
    <n v="1014"/>
    <x v="4"/>
    <n v="1.1000000000000001"/>
    <n v="14.05"/>
    <s v="00360305"/>
    <x v="66"/>
  </r>
  <r>
    <s v="Jul-2017"/>
    <x v="0"/>
    <n v="1232"/>
    <x v="19"/>
    <n v="0.81"/>
    <n v="10.119999999999999"/>
    <s v="33479023"/>
    <x v="66"/>
  </r>
  <r>
    <s v="Jul-2017"/>
    <x v="1"/>
    <n v="935"/>
    <x v="18"/>
    <n v="0.96"/>
    <n v="12.21"/>
    <s v="92702067"/>
    <x v="66"/>
  </r>
  <r>
    <s v="Jul-2017"/>
    <x v="0"/>
    <n v="1214"/>
    <x v="13"/>
    <n v="0.8"/>
    <n v="10.029999999999999"/>
    <s v="00000208"/>
    <x v="66"/>
  </r>
  <r>
    <s v="Jul-2017"/>
    <x v="1"/>
    <n v="879"/>
    <x v="10"/>
    <n v="0.93"/>
    <n v="11.78"/>
    <s v="00000000"/>
    <x v="66"/>
  </r>
  <r>
    <s v="Jul-2017"/>
    <x v="0"/>
    <n v="1171"/>
    <x v="18"/>
    <n v="0.79"/>
    <n v="9.91"/>
    <s v="92702067"/>
    <x v="66"/>
  </r>
  <r>
    <s v="Jul-2017"/>
    <x v="1"/>
    <n v="838"/>
    <x v="7"/>
    <n v="0.91"/>
    <n v="11.51"/>
    <s v="60746948"/>
    <x v="66"/>
  </r>
  <r>
    <s v="Jul-2017"/>
    <x v="0"/>
    <n v="1128"/>
    <x v="11"/>
    <n v="0.77"/>
    <n v="9.66"/>
    <s v="28127603"/>
    <x v="66"/>
  </r>
  <r>
    <s v="Jul-2017"/>
    <x v="1"/>
    <n v="815"/>
    <x v="2"/>
    <n v="0.91"/>
    <n v="11.42"/>
    <s v="60701190"/>
    <x v="66"/>
  </r>
  <r>
    <s v="Jul-2017"/>
    <x v="0"/>
    <n v="927"/>
    <x v="15"/>
    <n v="0.73"/>
    <n v="9.09"/>
    <s v="13009717"/>
    <x v="66"/>
  </r>
  <r>
    <s v="Jul-2017"/>
    <x v="1"/>
    <n v="750"/>
    <x v="19"/>
    <n v="0.87"/>
    <n v="11.01"/>
    <s v="33479023"/>
    <x v="66"/>
  </r>
  <r>
    <s v="Jul-2017"/>
    <x v="0"/>
    <n v="589"/>
    <x v="10"/>
    <n v="0.65"/>
    <n v="8.14"/>
    <s v="00000000"/>
    <x v="66"/>
  </r>
  <r>
    <s v="Jul-2017"/>
    <x v="2"/>
    <n v="332"/>
    <x v="12"/>
    <n v="1.41"/>
    <n v="18.239999999999998"/>
    <s v="00517645"/>
    <x v="66"/>
  </r>
  <r>
    <s v="Jul-2017"/>
    <x v="1"/>
    <n v="746"/>
    <x v="9"/>
    <n v="0.87"/>
    <n v="10.97"/>
    <s v="90400888"/>
    <x v="66"/>
  </r>
  <r>
    <s v="Jul-2017"/>
    <x v="2"/>
    <n v="279"/>
    <x v="0"/>
    <n v="1.27"/>
    <n v="16.399999999999999"/>
    <s v="00655522"/>
    <x v="66"/>
  </r>
  <r>
    <s v="Jul-2017"/>
    <x v="0"/>
    <n v="412"/>
    <x v="4"/>
    <n v="0.61"/>
    <n v="7.55"/>
    <s v="00360305"/>
    <x v="66"/>
  </r>
  <r>
    <s v="Jul-2017"/>
    <x v="2"/>
    <n v="106"/>
    <x v="26"/>
    <n v="0.98"/>
    <n v="12.38"/>
    <s v="18282093"/>
    <x v="66"/>
  </r>
  <r>
    <s v="Jul-2017"/>
    <x v="1"/>
    <n v="688"/>
    <x v="11"/>
    <n v="0.83"/>
    <n v="10.49"/>
    <s v="28127603"/>
    <x v="66"/>
  </r>
  <r>
    <s v="Jul-2017"/>
    <x v="2"/>
    <n v="104"/>
    <x v="9"/>
    <n v="0.98"/>
    <n v="12.35"/>
    <s v="90400888"/>
    <x v="66"/>
  </r>
  <r>
    <s v="Jul-2017"/>
    <x v="3"/>
    <n v="162"/>
    <x v="9"/>
    <n v="0.95"/>
    <n v="12.04"/>
    <s v="90400888"/>
    <x v="66"/>
  </r>
  <r>
    <s v="Ago-2017"/>
    <x v="0"/>
    <n v="1350"/>
    <x v="2"/>
    <n v="0.87"/>
    <n v="10.93"/>
    <s v="60701190"/>
    <x v="67"/>
  </r>
  <r>
    <s v="Ago-2017"/>
    <x v="0"/>
    <n v="1318"/>
    <x v="0"/>
    <n v="0.85"/>
    <n v="10.64"/>
    <s v="00655522"/>
    <x v="67"/>
  </r>
  <r>
    <s v="Ago-2017"/>
    <x v="0"/>
    <n v="1281"/>
    <x v="27"/>
    <n v="0.83"/>
    <n v="10.47"/>
    <s v="02038232"/>
    <x v="67"/>
  </r>
  <r>
    <s v="Ago-2017"/>
    <x v="0"/>
    <n v="1268"/>
    <x v="7"/>
    <n v="0.83"/>
    <n v="10.41"/>
    <s v="60746948"/>
    <x v="67"/>
  </r>
  <r>
    <s v="Ago-2017"/>
    <x v="1"/>
    <n v="1008"/>
    <x v="4"/>
    <n v="1.0900000000000001"/>
    <n v="13.88"/>
    <s v="00360305"/>
    <x v="67"/>
  </r>
  <r>
    <s v="Ago-2017"/>
    <x v="0"/>
    <n v="1201"/>
    <x v="19"/>
    <n v="0.8"/>
    <n v="10"/>
    <s v="33479023"/>
    <x v="67"/>
  </r>
  <r>
    <s v="Ago-2017"/>
    <x v="1"/>
    <n v="918"/>
    <x v="0"/>
    <n v="0.95"/>
    <n v="12.03"/>
    <s v="00655522"/>
    <x v="67"/>
  </r>
  <r>
    <s v="Ago-2017"/>
    <x v="0"/>
    <n v="1169"/>
    <x v="18"/>
    <n v="0.79"/>
    <n v="9.91"/>
    <s v="92702067"/>
    <x v="67"/>
  </r>
  <r>
    <s v="Ago-2017"/>
    <x v="1"/>
    <n v="905"/>
    <x v="11"/>
    <n v="0.94"/>
    <n v="11.93"/>
    <s v="28127603"/>
    <x v="67"/>
  </r>
  <r>
    <s v="Ago-2017"/>
    <x v="0"/>
    <n v="1163"/>
    <x v="13"/>
    <n v="0.79"/>
    <n v="9.86"/>
    <s v="00000208"/>
    <x v="67"/>
  </r>
  <r>
    <s v="Ago-2017"/>
    <x v="1"/>
    <n v="801"/>
    <x v="10"/>
    <n v="0.9"/>
    <n v="11.37"/>
    <s v="00000000"/>
    <x v="67"/>
  </r>
  <r>
    <s v="Ago-2017"/>
    <x v="0"/>
    <n v="1143"/>
    <x v="9"/>
    <n v="0.78"/>
    <n v="9.7200000000000006"/>
    <s v="90400888"/>
    <x v="67"/>
  </r>
  <r>
    <s v="Ago-2017"/>
    <x v="1"/>
    <n v="793"/>
    <x v="7"/>
    <n v="0.9"/>
    <n v="11.31"/>
    <s v="60746948"/>
    <x v="67"/>
  </r>
  <r>
    <s v="Ago-2017"/>
    <x v="0"/>
    <n v="1107"/>
    <x v="11"/>
    <n v="0.77"/>
    <n v="9.61"/>
    <s v="28127603"/>
    <x v="67"/>
  </r>
  <r>
    <s v="Ago-2017"/>
    <x v="1"/>
    <n v="792"/>
    <x v="18"/>
    <n v="0.9"/>
    <n v="11.31"/>
    <s v="92702067"/>
    <x v="67"/>
  </r>
  <r>
    <s v="Ago-2017"/>
    <x v="0"/>
    <n v="959"/>
    <x v="15"/>
    <n v="0.73"/>
    <n v="9.18"/>
    <s v="13009717"/>
    <x v="67"/>
  </r>
  <r>
    <s v="Ago-2017"/>
    <x v="1"/>
    <n v="734"/>
    <x v="2"/>
    <n v="0.86"/>
    <n v="10.85"/>
    <s v="60701190"/>
    <x v="67"/>
  </r>
  <r>
    <s v="Ago-2017"/>
    <x v="0"/>
    <n v="602"/>
    <x v="10"/>
    <n v="0.66"/>
    <n v="8.1999999999999993"/>
    <s v="00000000"/>
    <x v="67"/>
  </r>
  <r>
    <s v="Ago-2017"/>
    <x v="1"/>
    <n v="676"/>
    <x v="19"/>
    <n v="0.83"/>
    <n v="10.44"/>
    <s v="33479023"/>
    <x v="67"/>
  </r>
  <r>
    <s v="Ago-2017"/>
    <x v="2"/>
    <n v="330"/>
    <x v="12"/>
    <n v="1.4"/>
    <n v="18.12"/>
    <s v="00517645"/>
    <x v="67"/>
  </r>
  <r>
    <s v="Ago-2017"/>
    <x v="0"/>
    <n v="373"/>
    <x v="4"/>
    <n v="0.6"/>
    <n v="7.47"/>
    <s v="00360305"/>
    <x v="67"/>
  </r>
  <r>
    <s v="Ago-2017"/>
    <x v="2"/>
    <n v="260"/>
    <x v="0"/>
    <n v="1.26"/>
    <n v="16.16"/>
    <s v="00655522"/>
    <x v="67"/>
  </r>
  <r>
    <s v="Ago-2017"/>
    <x v="1"/>
    <n v="664"/>
    <x v="9"/>
    <n v="0.83"/>
    <n v="10.38"/>
    <s v="90400888"/>
    <x v="67"/>
  </r>
  <r>
    <s v="Ago-2017"/>
    <x v="2"/>
    <n v="171"/>
    <x v="26"/>
    <n v="1.06"/>
    <n v="13.45"/>
    <s v="18282093"/>
    <x v="67"/>
  </r>
  <r>
    <s v="Ago-2017"/>
    <x v="3"/>
    <n v="159"/>
    <x v="9"/>
    <n v="0.95"/>
    <n v="12.03"/>
    <s v="90400888"/>
    <x v="67"/>
  </r>
  <r>
    <s v="Set-2017"/>
    <x v="0"/>
    <n v="1331"/>
    <x v="2"/>
    <n v="0.85"/>
    <n v="10.71"/>
    <s v="60701190"/>
    <x v="68"/>
  </r>
  <r>
    <s v="Set-2017"/>
    <x v="0"/>
    <n v="1282"/>
    <x v="27"/>
    <n v="0.83"/>
    <n v="10.47"/>
    <s v="02038232"/>
    <x v="68"/>
  </r>
  <r>
    <s v="Set-2017"/>
    <x v="0"/>
    <n v="1264"/>
    <x v="0"/>
    <n v="0.83"/>
    <n v="10.37"/>
    <s v="00655522"/>
    <x v="68"/>
  </r>
  <r>
    <s v="Set-2017"/>
    <x v="0"/>
    <n v="1262"/>
    <x v="7"/>
    <n v="0.82"/>
    <n v="10.34"/>
    <s v="60746948"/>
    <x v="68"/>
  </r>
  <r>
    <s v="Set-2017"/>
    <x v="1"/>
    <n v="1182"/>
    <x v="4"/>
    <n v="1.69"/>
    <n v="22.29"/>
    <s v="00360305"/>
    <x v="68"/>
  </r>
  <r>
    <s v="Set-2017"/>
    <x v="0"/>
    <n v="1172"/>
    <x v="19"/>
    <n v="0.79"/>
    <n v="9.91"/>
    <s v="33479023"/>
    <x v="68"/>
  </r>
  <r>
    <s v="Set-2017"/>
    <x v="1"/>
    <n v="919"/>
    <x v="18"/>
    <n v="0.95"/>
    <n v="12.03"/>
    <s v="92702067"/>
    <x v="68"/>
  </r>
  <r>
    <s v="Set-2017"/>
    <x v="0"/>
    <n v="1168"/>
    <x v="18"/>
    <n v="0.79"/>
    <n v="9.89"/>
    <s v="92702067"/>
    <x v="68"/>
  </r>
  <r>
    <s v="Set-2017"/>
    <x v="1"/>
    <n v="809"/>
    <x v="11"/>
    <n v="0.9"/>
    <n v="11.38"/>
    <s v="28127603"/>
    <x v="68"/>
  </r>
  <r>
    <s v="Set-2017"/>
    <x v="0"/>
    <n v="1164"/>
    <x v="13"/>
    <n v="0.79"/>
    <n v="9.86"/>
    <s v="00000208"/>
    <x v="68"/>
  </r>
  <r>
    <s v="Set-2017"/>
    <x v="1"/>
    <n v="773"/>
    <x v="7"/>
    <n v="0.89"/>
    <n v="11.2"/>
    <s v="60746948"/>
    <x v="68"/>
  </r>
  <r>
    <s v="Set-2017"/>
    <x v="0"/>
    <n v="1100"/>
    <x v="9"/>
    <n v="0.77"/>
    <n v="9.58"/>
    <s v="90400888"/>
    <x v="68"/>
  </r>
  <r>
    <s v="Set-2017"/>
    <x v="1"/>
    <n v="762"/>
    <x v="10"/>
    <n v="0.88"/>
    <n v="11.06"/>
    <s v="00000000"/>
    <x v="68"/>
  </r>
  <r>
    <s v="Set-2017"/>
    <x v="0"/>
    <n v="1005"/>
    <x v="11"/>
    <n v="0.74"/>
    <n v="9.2899999999999991"/>
    <s v="28127603"/>
    <x v="68"/>
  </r>
  <r>
    <s v="Set-2017"/>
    <x v="1"/>
    <n v="700"/>
    <x v="2"/>
    <n v="0.84"/>
    <n v="10.59"/>
    <s v="60701190"/>
    <x v="68"/>
  </r>
  <r>
    <s v="Set-2017"/>
    <x v="0"/>
    <n v="977"/>
    <x v="15"/>
    <n v="0.74"/>
    <n v="9.2100000000000009"/>
    <s v="13009717"/>
    <x v="68"/>
  </r>
  <r>
    <s v="Set-2017"/>
    <x v="1"/>
    <n v="651"/>
    <x v="19"/>
    <n v="0.82"/>
    <n v="10.27"/>
    <s v="33479023"/>
    <x v="68"/>
  </r>
  <r>
    <s v="Set-2017"/>
    <x v="0"/>
    <n v="608"/>
    <x v="10"/>
    <n v="0.66"/>
    <n v="8.2100000000000009"/>
    <s v="00000000"/>
    <x v="68"/>
  </r>
  <r>
    <s v="Set-2017"/>
    <x v="2"/>
    <n v="336"/>
    <x v="12"/>
    <n v="1.41"/>
    <n v="18.36"/>
    <s v="00517645"/>
    <x v="68"/>
  </r>
  <r>
    <s v="Set-2017"/>
    <x v="1"/>
    <n v="648"/>
    <x v="9"/>
    <n v="0.82"/>
    <n v="10.26"/>
    <s v="90400888"/>
    <x v="68"/>
  </r>
  <r>
    <s v="Set-2017"/>
    <x v="2"/>
    <n v="277"/>
    <x v="0"/>
    <n v="1.27"/>
    <n v="16.39"/>
    <s v="00655522"/>
    <x v="68"/>
  </r>
  <r>
    <s v="Set-2017"/>
    <x v="0"/>
    <n v="336"/>
    <x v="4"/>
    <n v="0.6"/>
    <n v="7.4"/>
    <s v="00360305"/>
    <x v="68"/>
  </r>
  <r>
    <s v="Set-2017"/>
    <x v="2"/>
    <n v="178"/>
    <x v="26"/>
    <n v="1.08"/>
    <n v="13.73"/>
    <s v="18282093"/>
    <x v="68"/>
  </r>
  <r>
    <s v="Set-2017"/>
    <x v="1"/>
    <n v="399"/>
    <x v="5"/>
    <n v="0.73"/>
    <n v="9.1"/>
    <s v="17184037"/>
    <x v="68"/>
  </r>
  <r>
    <s v="Set-2017"/>
    <x v="2"/>
    <n v="164"/>
    <x v="9"/>
    <n v="1.05"/>
    <n v="13.3"/>
    <s v="90400888"/>
    <x v="68"/>
  </r>
  <r>
    <s v="Set-2017"/>
    <x v="3"/>
    <n v="160"/>
    <x v="9"/>
    <n v="0.95"/>
    <n v="12.03"/>
    <s v="90400888"/>
    <x v="68"/>
  </r>
  <r>
    <s v="Out-2017"/>
    <x v="0"/>
    <n v="1323"/>
    <x v="2"/>
    <n v="0.85"/>
    <n v="10.67"/>
    <s v="60701190"/>
    <x v="69"/>
  </r>
  <r>
    <s v="Out-2017"/>
    <x v="0"/>
    <n v="1294"/>
    <x v="0"/>
    <n v="0.84"/>
    <n v="10.5"/>
    <s v="00655522"/>
    <x v="69"/>
  </r>
  <r>
    <s v="Out-2017"/>
    <x v="0"/>
    <n v="1249"/>
    <x v="7"/>
    <n v="0.82"/>
    <n v="10.24"/>
    <s v="60746948"/>
    <x v="69"/>
  </r>
  <r>
    <s v="Out-2017"/>
    <x v="0"/>
    <n v="1157"/>
    <x v="19"/>
    <n v="0.78"/>
    <n v="9.8000000000000007"/>
    <s v="33479023"/>
    <x v="69"/>
  </r>
  <r>
    <s v="Out-2017"/>
    <x v="1"/>
    <n v="1100"/>
    <x v="4"/>
    <n v="1.32"/>
    <n v="17.05"/>
    <s v="00360305"/>
    <x v="69"/>
  </r>
  <r>
    <s v="Out-2017"/>
    <x v="0"/>
    <n v="1136"/>
    <x v="13"/>
    <n v="0.77"/>
    <n v="9.6999999999999993"/>
    <s v="00000208"/>
    <x v="69"/>
  </r>
  <r>
    <s v="Out-2017"/>
    <x v="1"/>
    <n v="913"/>
    <x v="0"/>
    <n v="0.95"/>
    <n v="12"/>
    <s v="00655522"/>
    <x v="69"/>
  </r>
  <r>
    <s v="Out-2017"/>
    <x v="0"/>
    <n v="1130"/>
    <x v="18"/>
    <n v="0.77"/>
    <n v="9.68"/>
    <s v="92702067"/>
    <x v="69"/>
  </r>
  <r>
    <s v="Out-2017"/>
    <x v="1"/>
    <n v="846"/>
    <x v="18"/>
    <n v="0.92"/>
    <n v="11.58"/>
    <s v="92702067"/>
    <x v="69"/>
  </r>
  <r>
    <s v="Out-2017"/>
    <x v="0"/>
    <n v="1086"/>
    <x v="11"/>
    <n v="0.76"/>
    <n v="9.5399999999999991"/>
    <s v="28127603"/>
    <x v="69"/>
  </r>
  <r>
    <s v="Out-2017"/>
    <x v="1"/>
    <n v="747"/>
    <x v="10"/>
    <n v="0.87"/>
    <n v="10.97"/>
    <s v="00000000"/>
    <x v="69"/>
  </r>
  <r>
    <s v="Out-2017"/>
    <x v="0"/>
    <n v="1081"/>
    <x v="9"/>
    <n v="0.76"/>
    <n v="9.52"/>
    <s v="90400888"/>
    <x v="69"/>
  </r>
  <r>
    <s v="Out-2017"/>
    <x v="1"/>
    <n v="723"/>
    <x v="7"/>
    <n v="0.85"/>
    <n v="10.74"/>
    <s v="60746948"/>
    <x v="69"/>
  </r>
  <r>
    <s v="Out-2017"/>
    <x v="0"/>
    <n v="985"/>
    <x v="27"/>
    <n v="0.74"/>
    <n v="9.23"/>
    <s v="02038232"/>
    <x v="69"/>
  </r>
  <r>
    <s v="Out-2017"/>
    <x v="1"/>
    <n v="690"/>
    <x v="2"/>
    <n v="0.84"/>
    <n v="10.51"/>
    <s v="60701190"/>
    <x v="69"/>
  </r>
  <r>
    <s v="Out-2017"/>
    <x v="0"/>
    <n v="938"/>
    <x v="15"/>
    <n v="0.73"/>
    <n v="9.1300000000000008"/>
    <s v="13009717"/>
    <x v="69"/>
  </r>
  <r>
    <s v="Out-2017"/>
    <x v="1"/>
    <n v="642"/>
    <x v="19"/>
    <n v="0.81"/>
    <n v="10.220000000000001"/>
    <s v="33479023"/>
    <x v="69"/>
  </r>
  <r>
    <s v="Out-2017"/>
    <x v="0"/>
    <n v="619"/>
    <x v="10"/>
    <n v="0.66"/>
    <n v="8.26"/>
    <s v="00000000"/>
    <x v="69"/>
  </r>
  <r>
    <s v="Out-2017"/>
    <x v="1"/>
    <n v="631"/>
    <x v="9"/>
    <n v="0.81"/>
    <n v="10.19"/>
    <s v="90400888"/>
    <x v="69"/>
  </r>
  <r>
    <s v="Out-2017"/>
    <x v="2"/>
    <n v="259"/>
    <x v="12"/>
    <n v="1.25"/>
    <n v="16.079999999999998"/>
    <s v="00517645"/>
    <x v="69"/>
  </r>
  <r>
    <s v="Out-2017"/>
    <x v="0"/>
    <n v="388"/>
    <x v="4"/>
    <n v="0.6"/>
    <n v="7.5"/>
    <s v="00360305"/>
    <x v="69"/>
  </r>
  <r>
    <s v="Out-2017"/>
    <x v="2"/>
    <n v="254"/>
    <x v="0"/>
    <n v="1.24"/>
    <n v="15.95"/>
    <s v="00655522"/>
    <x v="69"/>
  </r>
  <r>
    <s v="Out-2017"/>
    <x v="1"/>
    <n v="555"/>
    <x v="11"/>
    <n v="0.78"/>
    <n v="9.7899999999999991"/>
    <s v="28127603"/>
    <x v="69"/>
  </r>
  <r>
    <s v="Out-2017"/>
    <x v="3"/>
    <n v="239"/>
    <x v="10"/>
    <n v="1.02"/>
    <n v="12.94"/>
    <s v="00000000"/>
    <x v="69"/>
  </r>
  <r>
    <s v="Out-2017"/>
    <x v="2"/>
    <n v="121"/>
    <x v="26"/>
    <n v="0.99"/>
    <n v="12.6"/>
    <s v="18282093"/>
    <x v="69"/>
  </r>
  <r>
    <s v="Out-2017"/>
    <x v="3"/>
    <n v="163"/>
    <x v="9"/>
    <n v="0.95"/>
    <n v="12.05"/>
    <s v="90400888"/>
    <x v="69"/>
  </r>
  <r>
    <s v="Nov-2017"/>
    <x v="0"/>
    <n v="1357"/>
    <x v="2"/>
    <n v="0.89"/>
    <n v="11.19"/>
    <s v="60701190"/>
    <x v="70"/>
  </r>
  <r>
    <s v="Nov-2017"/>
    <x v="0"/>
    <n v="1317"/>
    <x v="0"/>
    <n v="0.85"/>
    <n v="10.63"/>
    <s v="00655522"/>
    <x v="70"/>
  </r>
  <r>
    <s v="Nov-2017"/>
    <x v="0"/>
    <n v="1221"/>
    <x v="7"/>
    <n v="0.8"/>
    <n v="10.08"/>
    <s v="60746948"/>
    <x v="70"/>
  </r>
  <r>
    <s v="Nov-2017"/>
    <x v="0"/>
    <n v="1105"/>
    <x v="18"/>
    <n v="0.77"/>
    <n v="9.59"/>
    <s v="92702067"/>
    <x v="70"/>
  </r>
  <r>
    <s v="Nov-2017"/>
    <x v="1"/>
    <n v="1184"/>
    <x v="4"/>
    <n v="1.7"/>
    <n v="22.45"/>
    <s v="00360305"/>
    <x v="70"/>
  </r>
  <r>
    <s v="Nov-2017"/>
    <x v="0"/>
    <n v="1103"/>
    <x v="13"/>
    <n v="0.77"/>
    <n v="9.59"/>
    <s v="00000208"/>
    <x v="70"/>
  </r>
  <r>
    <s v="Nov-2017"/>
    <x v="1"/>
    <n v="952"/>
    <x v="18"/>
    <n v="0.98"/>
    <n v="12.48"/>
    <s v="92702067"/>
    <x v="70"/>
  </r>
  <r>
    <s v="Nov-2017"/>
    <x v="0"/>
    <n v="1092"/>
    <x v="11"/>
    <n v="0.76"/>
    <n v="9.56"/>
    <s v="28127603"/>
    <x v="70"/>
  </r>
  <r>
    <s v="Nov-2017"/>
    <x v="1"/>
    <n v="916"/>
    <x v="0"/>
    <n v="0.95"/>
    <n v="12.01"/>
    <s v="00655522"/>
    <x v="70"/>
  </r>
  <r>
    <s v="Nov-2017"/>
    <x v="0"/>
    <n v="1074"/>
    <x v="9"/>
    <n v="0.76"/>
    <n v="9.5"/>
    <s v="90400888"/>
    <x v="70"/>
  </r>
  <r>
    <s v="Nov-2017"/>
    <x v="1"/>
    <n v="906"/>
    <x v="11"/>
    <n v="0.94"/>
    <n v="11.93"/>
    <s v="28127603"/>
    <x v="70"/>
  </r>
  <r>
    <s v="Nov-2017"/>
    <x v="0"/>
    <n v="987"/>
    <x v="27"/>
    <n v="0.74"/>
    <n v="9.23"/>
    <s v="02038232"/>
    <x v="70"/>
  </r>
  <r>
    <s v="Nov-2017"/>
    <x v="1"/>
    <n v="726"/>
    <x v="10"/>
    <n v="0.86"/>
    <n v="10.78"/>
    <s v="00000000"/>
    <x v="70"/>
  </r>
  <r>
    <s v="Nov-2017"/>
    <x v="0"/>
    <n v="903"/>
    <x v="15"/>
    <n v="0.72"/>
    <n v="9.01"/>
    <s v="13009717"/>
    <x v="70"/>
  </r>
  <r>
    <s v="Nov-2017"/>
    <x v="1"/>
    <n v="722"/>
    <x v="7"/>
    <n v="0.85"/>
    <n v="10.73"/>
    <s v="60746948"/>
    <x v="70"/>
  </r>
  <r>
    <s v="Nov-2017"/>
    <x v="0"/>
    <n v="591"/>
    <x v="10"/>
    <n v="0.66"/>
    <n v="8.16"/>
    <s v="00000000"/>
    <x v="70"/>
  </r>
  <r>
    <s v="Nov-2017"/>
    <x v="1"/>
    <n v="687"/>
    <x v="2"/>
    <n v="0.83"/>
    <n v="10.49"/>
    <s v="60701190"/>
    <x v="70"/>
  </r>
  <r>
    <s v="Nov-2017"/>
    <x v="2"/>
    <n v="292"/>
    <x v="12"/>
    <n v="1.33"/>
    <n v="17.25"/>
    <s v="00517645"/>
    <x v="70"/>
  </r>
  <r>
    <s v="Nov-2017"/>
    <x v="0"/>
    <n v="105"/>
    <x v="4"/>
    <n v="0.52"/>
    <n v="6.38"/>
    <s v="00360305"/>
    <x v="70"/>
  </r>
  <r>
    <s v="Nov-2017"/>
    <x v="2"/>
    <n v="258"/>
    <x v="0"/>
    <n v="1.25"/>
    <n v="16.079999999999998"/>
    <s v="00655522"/>
    <x v="70"/>
  </r>
  <r>
    <s v="Nov-2017"/>
    <x v="1"/>
    <n v="620"/>
    <x v="9"/>
    <n v="0.81"/>
    <n v="10.16"/>
    <s v="90400888"/>
    <x v="70"/>
  </r>
  <r>
    <s v="Nov-2017"/>
    <x v="3"/>
    <n v="245"/>
    <x v="10"/>
    <n v="1.02"/>
    <n v="12.96"/>
    <s v="00000000"/>
    <x v="70"/>
  </r>
  <r>
    <s v="Nov-2017"/>
    <x v="2"/>
    <n v="111"/>
    <x v="26"/>
    <n v="0.98"/>
    <n v="12.42"/>
    <s v="18282093"/>
    <x v="70"/>
  </r>
  <r>
    <s v="Nov-2017"/>
    <x v="3"/>
    <n v="157"/>
    <x v="9"/>
    <n v="0.95"/>
    <n v="12.02"/>
    <s v="90400888"/>
    <x v="70"/>
  </r>
  <r>
    <s v="Dez-2017"/>
    <x v="0"/>
    <n v="1285"/>
    <x v="0"/>
    <n v="0.83"/>
    <n v="10.48"/>
    <s v="00655522"/>
    <x v="71"/>
  </r>
  <r>
    <s v="Dez-2017"/>
    <x v="0"/>
    <n v="1254"/>
    <x v="2"/>
    <n v="0.82"/>
    <n v="10.27"/>
    <s v="60701190"/>
    <x v="71"/>
  </r>
  <r>
    <s v="Dez-2017"/>
    <x v="0"/>
    <n v="1193"/>
    <x v="7"/>
    <n v="0.8"/>
    <n v="9.98"/>
    <s v="60746948"/>
    <x v="71"/>
  </r>
  <r>
    <s v="Dez-2017"/>
    <x v="1"/>
    <n v="1135"/>
    <x v="4"/>
    <n v="1.43"/>
    <n v="18.55"/>
    <s v="00360305"/>
    <x v="71"/>
  </r>
  <r>
    <s v="Dez-2017"/>
    <x v="0"/>
    <n v="1118"/>
    <x v="13"/>
    <n v="0.77"/>
    <n v="9.64"/>
    <s v="00000208"/>
    <x v="71"/>
  </r>
  <r>
    <s v="Dez-2017"/>
    <x v="1"/>
    <n v="964"/>
    <x v="11"/>
    <n v="1"/>
    <n v="12.73"/>
    <s v="28127603"/>
    <x v="71"/>
  </r>
  <r>
    <s v="Dez-2017"/>
    <x v="0"/>
    <n v="1079"/>
    <x v="9"/>
    <n v="0.76"/>
    <n v="9.51"/>
    <s v="90400888"/>
    <x v="71"/>
  </r>
  <r>
    <s v="Dez-2017"/>
    <x v="1"/>
    <n v="948"/>
    <x v="18"/>
    <n v="0.98"/>
    <n v="12.4"/>
    <s v="92702067"/>
    <x v="71"/>
  </r>
  <r>
    <s v="Dez-2017"/>
    <x v="0"/>
    <n v="1073"/>
    <x v="18"/>
    <n v="0.76"/>
    <n v="9.5"/>
    <s v="92702067"/>
    <x v="71"/>
  </r>
  <r>
    <s v="Dez-2017"/>
    <x v="1"/>
    <n v="739"/>
    <x v="10"/>
    <n v="0.87"/>
    <n v="10.91"/>
    <s v="00000000"/>
    <x v="71"/>
  </r>
  <r>
    <s v="Dez-2017"/>
    <x v="0"/>
    <n v="1053"/>
    <x v="11"/>
    <n v="0.75"/>
    <n v="9.44"/>
    <s v="28127603"/>
    <x v="71"/>
  </r>
  <r>
    <s v="Dez-2017"/>
    <x v="1"/>
    <n v="686"/>
    <x v="15"/>
    <n v="0.83"/>
    <n v="10.49"/>
    <s v="13009717"/>
    <x v="71"/>
  </r>
  <r>
    <s v="Dez-2017"/>
    <x v="0"/>
    <n v="1019"/>
    <x v="15"/>
    <n v="0.75"/>
    <n v="9.34"/>
    <s v="13009717"/>
    <x v="71"/>
  </r>
  <r>
    <s v="Dez-2017"/>
    <x v="1"/>
    <n v="678"/>
    <x v="7"/>
    <n v="0.83"/>
    <n v="10.46"/>
    <s v="60746948"/>
    <x v="71"/>
  </r>
  <r>
    <s v="Dez-2017"/>
    <x v="0"/>
    <n v="958"/>
    <x v="27"/>
    <n v="0.73"/>
    <n v="9.18"/>
    <s v="02038232"/>
    <x v="71"/>
  </r>
  <r>
    <s v="Dez-2017"/>
    <x v="1"/>
    <n v="602"/>
    <x v="9"/>
    <n v="0.8"/>
    <n v="10.07"/>
    <s v="90400888"/>
    <x v="71"/>
  </r>
  <r>
    <s v="Dez-2017"/>
    <x v="0"/>
    <n v="691"/>
    <x v="10"/>
    <n v="0.68"/>
    <n v="8.49"/>
    <s v="00000000"/>
    <x v="71"/>
  </r>
  <r>
    <s v="Dez-2017"/>
    <x v="1"/>
    <n v="581"/>
    <x v="2"/>
    <n v="0.8"/>
    <n v="9.98"/>
    <s v="60701190"/>
    <x v="71"/>
  </r>
  <r>
    <s v="Dez-2017"/>
    <x v="0"/>
    <n v="144"/>
    <x v="4"/>
    <n v="0.53"/>
    <n v="6.51"/>
    <s v="00360305"/>
    <x v="71"/>
  </r>
  <r>
    <s v="Dez-2017"/>
    <x v="2"/>
    <n v="261"/>
    <x v="0"/>
    <n v="1.26"/>
    <n v="16.170000000000002"/>
    <s v="00655522"/>
    <x v="71"/>
  </r>
  <r>
    <s v="Dez-2017"/>
    <x v="1"/>
    <n v="397"/>
    <x v="5"/>
    <n v="0.73"/>
    <n v="9.1"/>
    <s v="17184037"/>
    <x v="71"/>
  </r>
  <r>
    <s v="Dez-2017"/>
    <x v="2"/>
    <n v="102"/>
    <x v="26"/>
    <n v="0.97"/>
    <n v="12.3"/>
    <s v="18282093"/>
    <x v="71"/>
  </r>
  <r>
    <s v="Dez-2017"/>
    <x v="3"/>
    <n v="76"/>
    <x v="9"/>
    <n v="0.85"/>
    <n v="10.66"/>
    <s v="90400888"/>
    <x v="71"/>
  </r>
  <r>
    <s v="Jan-2018"/>
    <x v="0"/>
    <n v="1252"/>
    <x v="2"/>
    <n v="0.82"/>
    <n v="10.25"/>
    <s v="60701190"/>
    <x v="72"/>
  </r>
  <r>
    <s v="Jan-2018"/>
    <x v="0"/>
    <n v="1230"/>
    <x v="0"/>
    <n v="0.81"/>
    <n v="10.11"/>
    <s v="00655522"/>
    <x v="72"/>
  </r>
  <r>
    <s v="Jan-2018"/>
    <x v="0"/>
    <n v="1159"/>
    <x v="7"/>
    <n v="0.78"/>
    <n v="9.81"/>
    <s v="60746948"/>
    <x v="72"/>
  </r>
  <r>
    <s v="Jan-2018"/>
    <x v="1"/>
    <n v="1163"/>
    <x v="4"/>
    <n v="1.53"/>
    <n v="19.96"/>
    <s v="00360305"/>
    <x v="72"/>
  </r>
  <r>
    <s v="Jan-2018"/>
    <x v="0"/>
    <n v="1075"/>
    <x v="13"/>
    <n v="0.76"/>
    <n v="9.5"/>
    <s v="00000208"/>
    <x v="72"/>
  </r>
  <r>
    <s v="Jan-2018"/>
    <x v="1"/>
    <n v="914"/>
    <x v="0"/>
    <n v="0.95"/>
    <n v="12"/>
    <s v="00655522"/>
    <x v="72"/>
  </r>
  <r>
    <s v="Jan-2018"/>
    <x v="0"/>
    <n v="1072"/>
    <x v="9"/>
    <n v="0.76"/>
    <n v="9.49"/>
    <s v="90400888"/>
    <x v="72"/>
  </r>
  <r>
    <s v="Jan-2018"/>
    <x v="1"/>
    <n v="740"/>
    <x v="18"/>
    <n v="0.87"/>
    <n v="10.91"/>
    <s v="92702067"/>
    <x v="72"/>
  </r>
  <r>
    <s v="Jan-2018"/>
    <x v="0"/>
    <n v="1066"/>
    <x v="18"/>
    <n v="0.76"/>
    <n v="9.4700000000000006"/>
    <s v="92702067"/>
    <x v="72"/>
  </r>
  <r>
    <s v="Jan-2018"/>
    <x v="1"/>
    <n v="736"/>
    <x v="10"/>
    <n v="0.87"/>
    <n v="10.89"/>
    <s v="00000000"/>
    <x v="72"/>
  </r>
  <r>
    <s v="Jan-2018"/>
    <x v="0"/>
    <n v="1042"/>
    <x v="11"/>
    <n v="0.75"/>
    <n v="9.4"/>
    <s v="28127603"/>
    <x v="72"/>
  </r>
  <r>
    <s v="Jan-2018"/>
    <x v="1"/>
    <n v="662"/>
    <x v="7"/>
    <n v="0.82"/>
    <n v="10.36"/>
    <s v="60746948"/>
    <x v="72"/>
  </r>
  <r>
    <s v="Jan-2018"/>
    <x v="0"/>
    <n v="964"/>
    <x v="27"/>
    <n v="0.74"/>
    <n v="9.19"/>
    <s v="02038232"/>
    <x v="72"/>
  </r>
  <r>
    <s v="Jan-2018"/>
    <x v="1"/>
    <n v="603"/>
    <x v="15"/>
    <n v="0.8"/>
    <n v="10.08"/>
    <s v="13009717"/>
    <x v="72"/>
  </r>
  <r>
    <s v="Jan-2018"/>
    <x v="0"/>
    <n v="952"/>
    <x v="15"/>
    <n v="0.73"/>
    <n v="9.17"/>
    <s v="13009717"/>
    <x v="72"/>
  </r>
  <r>
    <s v="Jan-2018"/>
    <x v="1"/>
    <n v="587"/>
    <x v="9"/>
    <n v="0.8"/>
    <n v="10"/>
    <s v="90400888"/>
    <x v="72"/>
  </r>
  <r>
    <s v="Jan-2018"/>
    <x v="0"/>
    <n v="708"/>
    <x v="10"/>
    <n v="0.68"/>
    <n v="8.52"/>
    <s v="00000000"/>
    <x v="72"/>
  </r>
  <r>
    <s v="Jan-2018"/>
    <x v="2"/>
    <n v="312"/>
    <x v="9"/>
    <n v="1.35"/>
    <n v="17.5"/>
    <s v="90400888"/>
    <x v="72"/>
  </r>
  <r>
    <s v="Jan-2018"/>
    <x v="1"/>
    <n v="562"/>
    <x v="2"/>
    <n v="0.78"/>
    <n v="9.83"/>
    <s v="60701190"/>
    <x v="72"/>
  </r>
  <r>
    <s v="Jan-2018"/>
    <x v="2"/>
    <n v="285"/>
    <x v="0"/>
    <n v="1.31"/>
    <n v="16.850000000000001"/>
    <s v="00655522"/>
    <x v="72"/>
  </r>
  <r>
    <s v="Jan-2018"/>
    <x v="0"/>
    <n v="223"/>
    <x v="4"/>
    <n v="0.56000000000000005"/>
    <n v="6.87"/>
    <s v="00360305"/>
    <x v="72"/>
  </r>
  <r>
    <s v="Jan-2018"/>
    <x v="2"/>
    <n v="122"/>
    <x v="26"/>
    <n v="1"/>
    <n v="12.62"/>
    <s v="18282093"/>
    <x v="72"/>
  </r>
  <r>
    <s v="Jan-2018"/>
    <x v="1"/>
    <n v="493"/>
    <x v="11"/>
    <n v="0.76"/>
    <n v="9.49"/>
    <s v="28127603"/>
    <x v="72"/>
  </r>
  <r>
    <s v="Jan-2018"/>
    <x v="2"/>
    <n v="47"/>
    <x v="12"/>
    <n v="0.81"/>
    <n v="10.199999999999999"/>
    <s v="00517645"/>
    <x v="72"/>
  </r>
  <r>
    <s v="Jan-2018"/>
    <x v="3"/>
    <n v="116"/>
    <x v="9"/>
    <n v="0.91"/>
    <n v="11.5"/>
    <s v="90400888"/>
    <x v="72"/>
  </r>
  <r>
    <s v="Fev-2018"/>
    <x v="0"/>
    <n v="1250"/>
    <x v="2"/>
    <n v="0.82"/>
    <n v="10.24"/>
    <s v="60701190"/>
    <x v="73"/>
  </r>
  <r>
    <s v="Fev-2018"/>
    <x v="0"/>
    <n v="1226"/>
    <x v="0"/>
    <n v="0.81"/>
    <n v="10.1"/>
    <s v="00655522"/>
    <x v="73"/>
  </r>
  <r>
    <s v="Fev-2018"/>
    <x v="0"/>
    <n v="1134"/>
    <x v="7"/>
    <n v="0.77"/>
    <n v="9.69"/>
    <s v="60746948"/>
    <x v="73"/>
  </r>
  <r>
    <s v="Fev-2018"/>
    <x v="0"/>
    <n v="1104"/>
    <x v="11"/>
    <n v="0.77"/>
    <n v="9.59"/>
    <s v="28127603"/>
    <x v="73"/>
  </r>
  <r>
    <s v="Fev-2018"/>
    <x v="1"/>
    <n v="1147"/>
    <x v="4"/>
    <n v="1.47"/>
    <n v="19.2"/>
    <s v="00360305"/>
    <x v="73"/>
  </r>
  <r>
    <s v="Fev-2018"/>
    <x v="0"/>
    <n v="1093"/>
    <x v="18"/>
    <n v="0.76"/>
    <n v="9.56"/>
    <s v="92702067"/>
    <x v="73"/>
  </r>
  <r>
    <s v="Fev-2018"/>
    <x v="1"/>
    <n v="974"/>
    <x v="0"/>
    <n v="1.01"/>
    <n v="12.84"/>
    <s v="00655522"/>
    <x v="73"/>
  </r>
  <r>
    <s v="Fev-2018"/>
    <x v="0"/>
    <n v="1069"/>
    <x v="9"/>
    <n v="0.76"/>
    <n v="9.48"/>
    <s v="90400888"/>
    <x v="73"/>
  </r>
  <r>
    <s v="Fev-2018"/>
    <x v="1"/>
    <n v="931"/>
    <x v="11"/>
    <n v="0.96"/>
    <n v="12.16"/>
    <s v="28127603"/>
    <x v="73"/>
  </r>
  <r>
    <s v="Fev-2018"/>
    <x v="0"/>
    <n v="1059"/>
    <x v="13"/>
    <n v="0.76"/>
    <n v="9.4499999999999993"/>
    <s v="00000208"/>
    <x v="73"/>
  </r>
  <r>
    <s v="Fev-2018"/>
    <x v="1"/>
    <n v="709"/>
    <x v="10"/>
    <n v="0.85"/>
    <n v="10.63"/>
    <s v="00000000"/>
    <x v="73"/>
  </r>
  <r>
    <s v="Fev-2018"/>
    <x v="0"/>
    <n v="1054"/>
    <x v="15"/>
    <n v="0.75"/>
    <n v="9.44"/>
    <s v="13009717"/>
    <x v="73"/>
  </r>
  <r>
    <s v="Fev-2018"/>
    <x v="1"/>
    <n v="665"/>
    <x v="18"/>
    <n v="0.83"/>
    <n v="10.38"/>
    <s v="92702067"/>
    <x v="73"/>
  </r>
  <r>
    <s v="Fev-2018"/>
    <x v="0"/>
    <n v="953"/>
    <x v="27"/>
    <n v="0.73"/>
    <n v="9.17"/>
    <s v="02038232"/>
    <x v="73"/>
  </r>
  <r>
    <s v="Fev-2018"/>
    <x v="1"/>
    <n v="626"/>
    <x v="7"/>
    <n v="0.81"/>
    <n v="10.17"/>
    <s v="60746948"/>
    <x v="73"/>
  </r>
  <r>
    <s v="Fev-2018"/>
    <x v="0"/>
    <n v="792"/>
    <x v="10"/>
    <n v="0.7"/>
    <n v="8.7100000000000009"/>
    <s v="00000000"/>
    <x v="73"/>
  </r>
  <r>
    <s v="Fev-2018"/>
    <x v="2"/>
    <n v="416"/>
    <x v="12"/>
    <n v="1.6"/>
    <n v="20.98"/>
    <s v="00517645"/>
    <x v="73"/>
  </r>
  <r>
    <s v="Fev-2018"/>
    <x v="1"/>
    <n v="592"/>
    <x v="9"/>
    <n v="0.8"/>
    <n v="10.02"/>
    <s v="90400888"/>
    <x v="73"/>
  </r>
  <r>
    <s v="Fev-2018"/>
    <x v="2"/>
    <n v="235"/>
    <x v="0"/>
    <n v="1.21"/>
    <n v="15.49"/>
    <s v="00655522"/>
    <x v="73"/>
  </r>
  <r>
    <s v="Fev-2018"/>
    <x v="0"/>
    <n v="235"/>
    <x v="4"/>
    <n v="0.56000000000000005"/>
    <n v="6.95"/>
    <s v="00360305"/>
    <x v="73"/>
  </r>
  <r>
    <s v="Fev-2018"/>
    <x v="2"/>
    <n v="145"/>
    <x v="26"/>
    <n v="1.03"/>
    <n v="13.04"/>
    <s v="18282093"/>
    <x v="73"/>
  </r>
  <r>
    <s v="Fev-2018"/>
    <x v="1"/>
    <n v="558"/>
    <x v="2"/>
    <n v="0.78"/>
    <n v="9.81"/>
    <s v="60701190"/>
    <x v="73"/>
  </r>
  <r>
    <s v="Fev-2018"/>
    <x v="2"/>
    <n v="98"/>
    <x v="9"/>
    <n v="0.95"/>
    <n v="12.05"/>
    <s v="90400888"/>
    <x v="73"/>
  </r>
  <r>
    <s v="Fev-2018"/>
    <x v="3"/>
    <n v="115"/>
    <x v="9"/>
    <n v="0.91"/>
    <n v="11.5"/>
    <s v="90400888"/>
    <x v="73"/>
  </r>
  <r>
    <s v="Mar-2018"/>
    <x v="0"/>
    <n v="1231"/>
    <x v="2"/>
    <n v="0.81"/>
    <n v="10.11"/>
    <s v="60701190"/>
    <x v="74"/>
  </r>
  <r>
    <s v="Mar-2018"/>
    <x v="0"/>
    <n v="1160"/>
    <x v="13"/>
    <n v="0.78"/>
    <n v="9.81"/>
    <s v="00000208"/>
    <x v="74"/>
  </r>
  <r>
    <s v="Mar-2018"/>
    <x v="0"/>
    <n v="1110"/>
    <x v="18"/>
    <n v="0.77"/>
    <n v="9.61"/>
    <s v="92702067"/>
    <x v="74"/>
  </r>
  <r>
    <s v="Mar-2018"/>
    <x v="1"/>
    <n v="1137"/>
    <x v="4"/>
    <n v="1.44"/>
    <n v="18.72"/>
    <s v="00360305"/>
    <x v="74"/>
  </r>
  <r>
    <s v="Mar-2018"/>
    <x v="0"/>
    <n v="1099"/>
    <x v="11"/>
    <n v="0.77"/>
    <n v="9.58"/>
    <s v="28127603"/>
    <x v="74"/>
  </r>
  <r>
    <s v="Mar-2018"/>
    <x v="1"/>
    <n v="902"/>
    <x v="0"/>
    <n v="0.94"/>
    <n v="11.91"/>
    <s v="00655522"/>
    <x v="74"/>
  </r>
  <r>
    <s v="Mar-2018"/>
    <x v="0"/>
    <n v="1098"/>
    <x v="7"/>
    <n v="0.77"/>
    <n v="9.58"/>
    <s v="60746948"/>
    <x v="74"/>
  </r>
  <r>
    <s v="Mar-2018"/>
    <x v="1"/>
    <n v="759"/>
    <x v="18"/>
    <n v="0.88"/>
    <n v="11.04"/>
    <s v="92702067"/>
    <x v="74"/>
  </r>
  <r>
    <s v="Mar-2018"/>
    <x v="0"/>
    <n v="1090"/>
    <x v="0"/>
    <n v="0.76"/>
    <n v="9.5500000000000007"/>
    <s v="00655522"/>
    <x v="74"/>
  </r>
  <r>
    <s v="Mar-2018"/>
    <x v="1"/>
    <n v="732"/>
    <x v="15"/>
    <n v="0.86"/>
    <n v="10.81"/>
    <s v="13009717"/>
    <x v="74"/>
  </r>
  <r>
    <s v="Mar-2018"/>
    <x v="0"/>
    <n v="1077"/>
    <x v="9"/>
    <n v="0.76"/>
    <n v="9.5"/>
    <s v="90400888"/>
    <x v="74"/>
  </r>
  <r>
    <s v="Mar-2018"/>
    <x v="1"/>
    <n v="713"/>
    <x v="10"/>
    <n v="0.85"/>
    <n v="10.66"/>
    <s v="00000000"/>
    <x v="74"/>
  </r>
  <r>
    <s v="Mar-2018"/>
    <x v="0"/>
    <n v="997"/>
    <x v="15"/>
    <n v="0.74"/>
    <n v="9.26"/>
    <s v="13009717"/>
    <x v="74"/>
  </r>
  <r>
    <s v="Mar-2018"/>
    <x v="1"/>
    <n v="611"/>
    <x v="7"/>
    <n v="0.81"/>
    <n v="10.119999999999999"/>
    <s v="60746948"/>
    <x v="74"/>
  </r>
  <r>
    <s v="Mar-2018"/>
    <x v="0"/>
    <n v="972"/>
    <x v="27"/>
    <n v="0.74"/>
    <n v="9.1999999999999993"/>
    <s v="02038232"/>
    <x v="74"/>
  </r>
  <r>
    <s v="Mar-2018"/>
    <x v="1"/>
    <n v="606"/>
    <x v="9"/>
    <n v="0.81"/>
    <n v="10.11"/>
    <s v="90400888"/>
    <x v="74"/>
  </r>
  <r>
    <s v="Mar-2018"/>
    <x v="0"/>
    <n v="769"/>
    <x v="10"/>
    <n v="0.69"/>
    <n v="8.66"/>
    <s v="00000000"/>
    <x v="74"/>
  </r>
  <r>
    <s v="Mar-2018"/>
    <x v="1"/>
    <n v="563"/>
    <x v="11"/>
    <n v="0.78"/>
    <n v="9.83"/>
    <s v="28127603"/>
    <x v="74"/>
  </r>
  <r>
    <s v="Mar-2018"/>
    <x v="0"/>
    <n v="215"/>
    <x v="4"/>
    <n v="0.55000000000000004"/>
    <n v="6.84"/>
    <s v="00360305"/>
    <x v="74"/>
  </r>
  <r>
    <s v="Mar-2018"/>
    <x v="2"/>
    <n v="251"/>
    <x v="0"/>
    <n v="1.24"/>
    <n v="15.89"/>
    <s v="00655522"/>
    <x v="74"/>
  </r>
  <r>
    <s v="Mar-2018"/>
    <x v="1"/>
    <n v="522"/>
    <x v="2"/>
    <n v="0.77"/>
    <n v="9.6199999999999992"/>
    <s v="60701190"/>
    <x v="74"/>
  </r>
  <r>
    <s v="Mar-2018"/>
    <x v="2"/>
    <n v="140"/>
    <x v="26"/>
    <n v="1.01"/>
    <n v="12.87"/>
    <s v="18282093"/>
    <x v="74"/>
  </r>
  <r>
    <s v="Mar-2018"/>
    <x v="3"/>
    <n v="95"/>
    <x v="9"/>
    <n v="0.91"/>
    <n v="11.42"/>
    <s v="90400888"/>
    <x v="74"/>
  </r>
  <r>
    <s v="Abr-2018"/>
    <x v="0"/>
    <n v="1195"/>
    <x v="2"/>
    <n v="0.8"/>
    <n v="9.98"/>
    <s v="60701190"/>
    <x v="75"/>
  </r>
  <r>
    <s v="Abr-2018"/>
    <x v="0"/>
    <n v="1178"/>
    <x v="0"/>
    <n v="0.79"/>
    <n v="9.93"/>
    <s v="00655522"/>
    <x v="75"/>
  </r>
  <r>
    <s v="Abr-2018"/>
    <x v="0"/>
    <n v="1132"/>
    <x v="13"/>
    <n v="0.77"/>
    <n v="9.68"/>
    <s v="00000208"/>
    <x v="75"/>
  </r>
  <r>
    <s v="Abr-2018"/>
    <x v="1"/>
    <n v="1106"/>
    <x v="4"/>
    <n v="1.33"/>
    <n v="17.14"/>
    <s v="00360305"/>
    <x v="75"/>
  </r>
  <r>
    <s v="Abr-2018"/>
    <x v="0"/>
    <n v="1083"/>
    <x v="11"/>
    <n v="0.76"/>
    <n v="9.52"/>
    <s v="28127603"/>
    <x v="75"/>
  </r>
  <r>
    <s v="Abr-2018"/>
    <x v="1"/>
    <n v="915"/>
    <x v="0"/>
    <n v="0.95"/>
    <n v="12"/>
    <s v="00655522"/>
    <x v="75"/>
  </r>
  <r>
    <s v="Abr-2018"/>
    <x v="0"/>
    <n v="1082"/>
    <x v="7"/>
    <n v="0.76"/>
    <n v="9.52"/>
    <s v="60746948"/>
    <x v="75"/>
  </r>
  <r>
    <s v="Abr-2018"/>
    <x v="1"/>
    <n v="693"/>
    <x v="10"/>
    <n v="0.84"/>
    <n v="10.51"/>
    <s v="00000000"/>
    <x v="75"/>
  </r>
  <r>
    <s v="Abr-2018"/>
    <x v="0"/>
    <n v="1071"/>
    <x v="9"/>
    <n v="0.76"/>
    <n v="9.48"/>
    <s v="90400888"/>
    <x v="75"/>
  </r>
  <r>
    <s v="Abr-2018"/>
    <x v="1"/>
    <n v="692"/>
    <x v="18"/>
    <n v="0.84"/>
    <n v="10.51"/>
    <s v="92702067"/>
    <x v="75"/>
  </r>
  <r>
    <s v="Abr-2018"/>
    <x v="0"/>
    <n v="1034"/>
    <x v="18"/>
    <n v="0.75"/>
    <n v="9.3699999999999992"/>
    <s v="92702067"/>
    <x v="75"/>
  </r>
  <r>
    <s v="Abr-2018"/>
    <x v="1"/>
    <n v="673"/>
    <x v="11"/>
    <n v="0.83"/>
    <n v="10.43"/>
    <s v="28127603"/>
    <x v="75"/>
  </r>
  <r>
    <s v="Abr-2018"/>
    <x v="0"/>
    <n v="998"/>
    <x v="15"/>
    <n v="0.74"/>
    <n v="9.26"/>
    <s v="13009717"/>
    <x v="75"/>
  </r>
  <r>
    <s v="Abr-2018"/>
    <x v="1"/>
    <n v="583"/>
    <x v="9"/>
    <n v="0.8"/>
    <n v="9.98"/>
    <s v="90400888"/>
    <x v="75"/>
  </r>
  <r>
    <s v="Abr-2018"/>
    <x v="0"/>
    <n v="973"/>
    <x v="27"/>
    <n v="0.74"/>
    <n v="9.1999999999999993"/>
    <s v="02038232"/>
    <x v="75"/>
  </r>
  <r>
    <s v="Abr-2018"/>
    <x v="1"/>
    <n v="577"/>
    <x v="7"/>
    <n v="0.79"/>
    <n v="9.94"/>
    <s v="60746948"/>
    <x v="75"/>
  </r>
  <r>
    <s v="Abr-2018"/>
    <x v="0"/>
    <n v="655"/>
    <x v="10"/>
    <n v="0.67"/>
    <n v="8.4"/>
    <s v="00000000"/>
    <x v="75"/>
  </r>
  <r>
    <s v="Abr-2018"/>
    <x v="1"/>
    <n v="528"/>
    <x v="15"/>
    <n v="0.77"/>
    <n v="9.64"/>
    <s v="13009717"/>
    <x v="75"/>
  </r>
  <r>
    <s v="Abr-2018"/>
    <x v="2"/>
    <n v="245"/>
    <x v="0"/>
    <n v="1.22"/>
    <n v="15.7"/>
    <s v="00655522"/>
    <x v="75"/>
  </r>
  <r>
    <s v="Abr-2018"/>
    <x v="0"/>
    <n v="227"/>
    <x v="4"/>
    <n v="0.56000000000000005"/>
    <n v="6.88"/>
    <s v="00360305"/>
    <x v="75"/>
  </r>
  <r>
    <s v="Abr-2018"/>
    <x v="2"/>
    <n v="159"/>
    <x v="9"/>
    <n v="1.04"/>
    <n v="13.24"/>
    <s v="90400888"/>
    <x v="75"/>
  </r>
  <r>
    <s v="Abr-2018"/>
    <x v="1"/>
    <n v="499"/>
    <x v="2"/>
    <n v="0.76"/>
    <n v="9.5299999999999994"/>
    <s v="60701190"/>
    <x v="75"/>
  </r>
  <r>
    <s v="Abr-2018"/>
    <x v="2"/>
    <n v="144"/>
    <x v="26"/>
    <n v="1.03"/>
    <n v="13.03"/>
    <s v="18282093"/>
    <x v="75"/>
  </r>
  <r>
    <s v="Abr-2018"/>
    <x v="3"/>
    <n v="118"/>
    <x v="9"/>
    <n v="0.91"/>
    <n v="11.5"/>
    <s v="90400888"/>
    <x v="75"/>
  </r>
  <r>
    <s v="Mai-2018"/>
    <x v="0"/>
    <n v="1181"/>
    <x v="0"/>
    <n v="0.79"/>
    <n v="9.94"/>
    <s v="00655522"/>
    <x v="76"/>
  </r>
  <r>
    <s v="Mai-2018"/>
    <x v="0"/>
    <n v="1151"/>
    <x v="2"/>
    <n v="0.78"/>
    <n v="9.75"/>
    <s v="60701190"/>
    <x v="76"/>
  </r>
  <r>
    <s v="Mai-2018"/>
    <x v="1"/>
    <n v="1042"/>
    <x v="4"/>
    <n v="1.1599999999999999"/>
    <n v="14.83"/>
    <s v="00360305"/>
    <x v="76"/>
  </r>
  <r>
    <s v="Mai-2018"/>
    <x v="0"/>
    <n v="1067"/>
    <x v="11"/>
    <n v="0.76"/>
    <n v="9.4700000000000006"/>
    <s v="28127603"/>
    <x v="76"/>
  </r>
  <r>
    <s v="Mai-2018"/>
    <x v="1"/>
    <n v="831"/>
    <x v="0"/>
    <n v="0.91"/>
    <n v="11.48"/>
    <s v="00655522"/>
    <x v="76"/>
  </r>
  <r>
    <s v="Mai-2018"/>
    <x v="0"/>
    <n v="1055"/>
    <x v="7"/>
    <n v="0.75"/>
    <n v="9.44"/>
    <s v="60746948"/>
    <x v="76"/>
  </r>
  <r>
    <s v="Mai-2018"/>
    <x v="1"/>
    <n v="660"/>
    <x v="18"/>
    <n v="0.82"/>
    <n v="10.31"/>
    <s v="92702067"/>
    <x v="76"/>
  </r>
  <r>
    <s v="Mai-2018"/>
    <x v="0"/>
    <n v="1023"/>
    <x v="18"/>
    <n v="0.75"/>
    <n v="9.35"/>
    <s v="92702067"/>
    <x v="76"/>
  </r>
  <r>
    <s v="Mai-2018"/>
    <x v="1"/>
    <n v="627"/>
    <x v="10"/>
    <n v="0.81"/>
    <n v="10.17"/>
    <s v="00000000"/>
    <x v="76"/>
  </r>
  <r>
    <s v="Mai-2018"/>
    <x v="0"/>
    <n v="992"/>
    <x v="9"/>
    <n v="0.74"/>
    <n v="9.25"/>
    <s v="90400888"/>
    <x v="76"/>
  </r>
  <r>
    <s v="Mai-2018"/>
    <x v="1"/>
    <n v="615"/>
    <x v="27"/>
    <n v="0.81"/>
    <n v="10.14"/>
    <s v="02038232"/>
    <x v="76"/>
  </r>
  <r>
    <s v="Mai-2018"/>
    <x v="0"/>
    <n v="979"/>
    <x v="27"/>
    <n v="0.74"/>
    <n v="9.2200000000000006"/>
    <s v="02038232"/>
    <x v="76"/>
  </r>
  <r>
    <s v="Mai-2018"/>
    <x v="1"/>
    <n v="598"/>
    <x v="11"/>
    <n v="0.8"/>
    <n v="10.06"/>
    <s v="28127603"/>
    <x v="76"/>
  </r>
  <r>
    <s v="Mai-2018"/>
    <x v="0"/>
    <n v="930"/>
    <x v="15"/>
    <n v="0.73"/>
    <n v="9.1"/>
    <s v="13009717"/>
    <x v="76"/>
  </r>
  <r>
    <s v="Mai-2018"/>
    <x v="1"/>
    <n v="574"/>
    <x v="7"/>
    <n v="0.79"/>
    <n v="9.9"/>
    <s v="60746948"/>
    <x v="76"/>
  </r>
  <r>
    <s v="Mai-2018"/>
    <x v="0"/>
    <n v="831"/>
    <x v="13"/>
    <n v="0.71"/>
    <n v="8.81"/>
    <s v="00000208"/>
    <x v="76"/>
  </r>
  <r>
    <s v="Mai-2018"/>
    <x v="1"/>
    <n v="542"/>
    <x v="9"/>
    <n v="0.78"/>
    <n v="9.74"/>
    <s v="90400888"/>
    <x v="76"/>
  </r>
  <r>
    <s v="Mai-2018"/>
    <x v="0"/>
    <n v="620"/>
    <x v="10"/>
    <n v="0.66"/>
    <n v="8.26"/>
    <s v="00000000"/>
    <x v="76"/>
  </r>
  <r>
    <s v="Mai-2018"/>
    <x v="1"/>
    <n v="489"/>
    <x v="2"/>
    <n v="0.76"/>
    <n v="9.4700000000000006"/>
    <s v="60701190"/>
    <x v="76"/>
  </r>
  <r>
    <s v="Mai-2018"/>
    <x v="2"/>
    <n v="314"/>
    <x v="9"/>
    <n v="1.35"/>
    <n v="17.5"/>
    <s v="90400888"/>
    <x v="76"/>
  </r>
  <r>
    <s v="Mai-2018"/>
    <x v="0"/>
    <n v="233"/>
    <x v="4"/>
    <n v="0.56000000000000005"/>
    <n v="6.93"/>
    <s v="00360305"/>
    <x v="76"/>
  </r>
  <r>
    <s v="Mai-2018"/>
    <x v="2"/>
    <n v="269"/>
    <x v="0"/>
    <n v="1.26"/>
    <n v="16.23"/>
    <s v="00655522"/>
    <x v="76"/>
  </r>
  <r>
    <s v="Mai-2018"/>
    <x v="1"/>
    <n v="452"/>
    <x v="15"/>
    <n v="0.75"/>
    <n v="9.33"/>
    <s v="13009717"/>
    <x v="76"/>
  </r>
  <r>
    <s v="Mai-2018"/>
    <x v="2"/>
    <n v="156"/>
    <x v="26"/>
    <n v="1.04"/>
    <n v="13.2"/>
    <s v="18282093"/>
    <x v="76"/>
  </r>
  <r>
    <s v="Mai-2018"/>
    <x v="3"/>
    <n v="119"/>
    <x v="9"/>
    <n v="0.91"/>
    <n v="11.5"/>
    <s v="90400888"/>
    <x v="76"/>
  </r>
  <r>
    <s v="Jun-2018"/>
    <x v="0"/>
    <n v="1088"/>
    <x v="2"/>
    <n v="0.76"/>
    <n v="9.5500000000000007"/>
    <s v="60701190"/>
    <x v="77"/>
  </r>
  <r>
    <s v="Jun-2018"/>
    <x v="0"/>
    <n v="1012"/>
    <x v="18"/>
    <n v="0.74"/>
    <n v="9.31"/>
    <s v="92702067"/>
    <x v="77"/>
  </r>
  <r>
    <s v="Jun-2018"/>
    <x v="1"/>
    <n v="991"/>
    <x v="4"/>
    <n v="1.05"/>
    <n v="13.37"/>
    <s v="00360305"/>
    <x v="77"/>
  </r>
  <r>
    <s v="Jun-2018"/>
    <x v="0"/>
    <n v="1001"/>
    <x v="15"/>
    <n v="0.74"/>
    <n v="9.2799999999999994"/>
    <s v="13009717"/>
    <x v="77"/>
  </r>
  <r>
    <s v="Jun-2018"/>
    <x v="1"/>
    <n v="783"/>
    <x v="11"/>
    <n v="0.89"/>
    <n v="11.27"/>
    <s v="28127603"/>
    <x v="77"/>
  </r>
  <r>
    <s v="Jun-2018"/>
    <x v="0"/>
    <n v="1000"/>
    <x v="7"/>
    <n v="0.74"/>
    <n v="9.2799999999999994"/>
    <s v="60746948"/>
    <x v="77"/>
  </r>
  <r>
    <s v="Jun-2018"/>
    <x v="1"/>
    <n v="707"/>
    <x v="18"/>
    <n v="0.84"/>
    <n v="10.62"/>
    <s v="92702067"/>
    <x v="77"/>
  </r>
  <r>
    <s v="Jun-2018"/>
    <x v="0"/>
    <n v="999"/>
    <x v="0"/>
    <n v="0.74"/>
    <n v="9.27"/>
    <s v="00655522"/>
    <x v="77"/>
  </r>
  <r>
    <s v="Jun-2018"/>
    <x v="1"/>
    <n v="694"/>
    <x v="0"/>
    <n v="0.84"/>
    <n v="10.53"/>
    <s v="00655522"/>
    <x v="77"/>
  </r>
  <r>
    <s v="Jun-2018"/>
    <x v="0"/>
    <n v="932"/>
    <x v="11"/>
    <n v="0.73"/>
    <n v="9.1"/>
    <s v="28127603"/>
    <x v="77"/>
  </r>
  <r>
    <s v="Jun-2018"/>
    <x v="1"/>
    <n v="599"/>
    <x v="10"/>
    <n v="0.8"/>
    <n v="10.06"/>
    <s v="00000000"/>
    <x v="77"/>
  </r>
  <r>
    <s v="Jun-2018"/>
    <x v="0"/>
    <n v="922"/>
    <x v="9"/>
    <n v="0.73"/>
    <n v="9.08"/>
    <s v="90400888"/>
    <x v="77"/>
  </r>
  <r>
    <s v="Jun-2018"/>
    <x v="1"/>
    <n v="548"/>
    <x v="7"/>
    <n v="0.78"/>
    <n v="9.75"/>
    <s v="60746948"/>
    <x v="77"/>
  </r>
  <r>
    <s v="Jun-2018"/>
    <x v="0"/>
    <n v="832"/>
    <x v="13"/>
    <n v="0.71"/>
    <n v="8.81"/>
    <s v="00000208"/>
    <x v="77"/>
  </r>
  <r>
    <s v="Jun-2018"/>
    <x v="1"/>
    <n v="519"/>
    <x v="15"/>
    <n v="0.77"/>
    <n v="9.61"/>
    <s v="13009717"/>
    <x v="77"/>
  </r>
  <r>
    <s v="Jun-2018"/>
    <x v="0"/>
    <n v="803"/>
    <x v="27"/>
    <n v="0.7"/>
    <n v="8.73"/>
    <s v="02038232"/>
    <x v="77"/>
  </r>
  <r>
    <s v="Jun-2018"/>
    <x v="1"/>
    <n v="509"/>
    <x v="9"/>
    <n v="0.76"/>
    <n v="9.57"/>
    <s v="90400888"/>
    <x v="77"/>
  </r>
  <r>
    <s v="Jun-2018"/>
    <x v="0"/>
    <n v="653"/>
    <x v="10"/>
    <n v="0.67"/>
    <n v="8.4"/>
    <s v="00000000"/>
    <x v="77"/>
  </r>
  <r>
    <s v="Jun-2018"/>
    <x v="1"/>
    <n v="453"/>
    <x v="2"/>
    <n v="0.75"/>
    <n v="9.33"/>
    <s v="60701190"/>
    <x v="77"/>
  </r>
  <r>
    <s v="Jun-2018"/>
    <x v="0"/>
    <n v="253"/>
    <x v="4"/>
    <n v="0.56999999999999995"/>
    <n v="7.06"/>
    <s v="00360305"/>
    <x v="77"/>
  </r>
  <r>
    <s v="Jun-2018"/>
    <x v="2"/>
    <n v="256"/>
    <x v="0"/>
    <n v="1.24"/>
    <n v="15.97"/>
    <s v="00655522"/>
    <x v="77"/>
  </r>
  <r>
    <s v="Jun-2018"/>
    <x v="1"/>
    <n v="400"/>
    <x v="5"/>
    <n v="0.73"/>
    <n v="9.1"/>
    <s v="17184037"/>
    <x v="77"/>
  </r>
  <r>
    <s v="Jun-2018"/>
    <x v="2"/>
    <n v="105"/>
    <x v="26"/>
    <n v="0.98"/>
    <n v="12.37"/>
    <s v="18282093"/>
    <x v="77"/>
  </r>
  <r>
    <s v="Jun-2018"/>
    <x v="3"/>
    <n v="120"/>
    <x v="9"/>
    <n v="0.91"/>
    <n v="11.5"/>
    <s v="90400888"/>
    <x v="77"/>
  </r>
  <r>
    <s v="Jul-2018"/>
    <x v="0"/>
    <n v="1089"/>
    <x v="2"/>
    <n v="0.76"/>
    <n v="9.5500000000000007"/>
    <s v="60701190"/>
    <x v="78"/>
  </r>
  <r>
    <s v="Jul-2018"/>
    <x v="0"/>
    <n v="1002"/>
    <x v="18"/>
    <n v="0.74"/>
    <n v="9.2799999999999994"/>
    <s v="92702067"/>
    <x v="78"/>
  </r>
  <r>
    <s v="Jul-2018"/>
    <x v="0"/>
    <n v="993"/>
    <x v="0"/>
    <n v="0.74"/>
    <n v="9.25"/>
    <s v="00655522"/>
    <x v="78"/>
  </r>
  <r>
    <s v="Jul-2018"/>
    <x v="1"/>
    <n v="923"/>
    <x v="4"/>
    <n v="0.95"/>
    <n v="12.07"/>
    <s v="00360305"/>
    <x v="78"/>
  </r>
  <r>
    <s v="Jul-2018"/>
    <x v="0"/>
    <n v="935"/>
    <x v="7"/>
    <n v="0.73"/>
    <n v="9.1199999999999992"/>
    <s v="60746948"/>
    <x v="78"/>
  </r>
  <r>
    <s v="Jul-2018"/>
    <x v="1"/>
    <n v="837"/>
    <x v="0"/>
    <n v="0.91"/>
    <n v="11.5"/>
    <s v="00655522"/>
    <x v="78"/>
  </r>
  <r>
    <s v="Jul-2018"/>
    <x v="0"/>
    <n v="909"/>
    <x v="9"/>
    <n v="0.72"/>
    <n v="9.02"/>
    <s v="90400888"/>
    <x v="78"/>
  </r>
  <r>
    <s v="Jul-2018"/>
    <x v="1"/>
    <n v="685"/>
    <x v="11"/>
    <n v="0.83"/>
    <n v="10.48"/>
    <s v="28127603"/>
    <x v="78"/>
  </r>
  <r>
    <s v="Jul-2018"/>
    <x v="0"/>
    <n v="871"/>
    <x v="15"/>
    <n v="0.71"/>
    <n v="8.92"/>
    <s v="13009717"/>
    <x v="78"/>
  </r>
  <r>
    <s v="Jul-2018"/>
    <x v="1"/>
    <n v="605"/>
    <x v="10"/>
    <n v="0.81"/>
    <n v="10.1"/>
    <s v="00000000"/>
    <x v="78"/>
  </r>
  <r>
    <s v="Jul-2018"/>
    <x v="0"/>
    <n v="823"/>
    <x v="27"/>
    <n v="0.7"/>
    <n v="8.7799999999999994"/>
    <s v="02038232"/>
    <x v="78"/>
  </r>
  <r>
    <s v="Jul-2018"/>
    <x v="1"/>
    <n v="604"/>
    <x v="18"/>
    <n v="0.8"/>
    <n v="10.08"/>
    <s v="92702067"/>
    <x v="78"/>
  </r>
  <r>
    <s v="Jul-2018"/>
    <x v="0"/>
    <n v="817"/>
    <x v="11"/>
    <n v="0.7"/>
    <n v="8.76"/>
    <s v="28127603"/>
    <x v="78"/>
  </r>
  <r>
    <s v="Jul-2018"/>
    <x v="1"/>
    <n v="526"/>
    <x v="7"/>
    <n v="0.77"/>
    <n v="9.6300000000000008"/>
    <s v="60746948"/>
    <x v="78"/>
  </r>
  <r>
    <s v="Jul-2018"/>
    <x v="0"/>
    <n v="788"/>
    <x v="13"/>
    <n v="0.7"/>
    <n v="8.7100000000000009"/>
    <s v="00000208"/>
    <x v="78"/>
  </r>
  <r>
    <s v="Jul-2018"/>
    <x v="1"/>
    <n v="511"/>
    <x v="9"/>
    <n v="0.77"/>
    <n v="9.59"/>
    <s v="90400888"/>
    <x v="78"/>
  </r>
  <r>
    <s v="Jul-2018"/>
    <x v="0"/>
    <n v="579"/>
    <x v="10"/>
    <n v="0.65"/>
    <n v="8.09"/>
    <s v="00000000"/>
    <x v="78"/>
  </r>
  <r>
    <s v="Jul-2018"/>
    <x v="1"/>
    <n v="454"/>
    <x v="15"/>
    <n v="0.75"/>
    <n v="9.33"/>
    <s v="13009717"/>
    <x v="78"/>
  </r>
  <r>
    <s v="Jul-2018"/>
    <x v="2"/>
    <n v="234"/>
    <x v="0"/>
    <n v="1.21"/>
    <n v="15.46"/>
    <s v="00655522"/>
    <x v="78"/>
  </r>
  <r>
    <s v="Jul-2018"/>
    <x v="0"/>
    <n v="67"/>
    <x v="4"/>
    <n v="0.5"/>
    <n v="6.12"/>
    <s v="00360305"/>
    <x v="78"/>
  </r>
  <r>
    <s v="Jul-2018"/>
    <x v="2"/>
    <n v="165"/>
    <x v="26"/>
    <n v="1.05"/>
    <n v="13.32"/>
    <s v="18282093"/>
    <x v="78"/>
  </r>
  <r>
    <s v="Jul-2018"/>
    <x v="1"/>
    <n v="449"/>
    <x v="2"/>
    <n v="0.74"/>
    <n v="9.3000000000000007"/>
    <s v="60701190"/>
    <x v="78"/>
  </r>
  <r>
    <s v="Jul-2018"/>
    <x v="2"/>
    <n v="77"/>
    <x v="9"/>
    <n v="0.91"/>
    <n v="11.5"/>
    <s v="90400888"/>
    <x v="78"/>
  </r>
  <r>
    <s v="Jul-2018"/>
    <x v="3"/>
    <n v="121"/>
    <x v="9"/>
    <n v="0.91"/>
    <n v="11.5"/>
    <s v="90400888"/>
    <x v="78"/>
  </r>
  <r>
    <s v="Ago-2018"/>
    <x v="0"/>
    <n v="1094"/>
    <x v="2"/>
    <n v="0.76"/>
    <n v="9.56"/>
    <s v="60701190"/>
    <x v="79"/>
  </r>
  <r>
    <s v="Ago-2018"/>
    <x v="1"/>
    <n v="833"/>
    <x v="4"/>
    <n v="0.91"/>
    <n v="11.49"/>
    <s v="00360305"/>
    <x v="79"/>
  </r>
  <r>
    <s v="Ago-2018"/>
    <x v="0"/>
    <n v="990"/>
    <x v="0"/>
    <n v="0.74"/>
    <n v="9.24"/>
    <s v="00655522"/>
    <x v="79"/>
  </r>
  <r>
    <s v="Ago-2018"/>
    <x v="1"/>
    <n v="710"/>
    <x v="0"/>
    <n v="0.85"/>
    <n v="10.63"/>
    <s v="00655522"/>
    <x v="79"/>
  </r>
  <r>
    <s v="Ago-2018"/>
    <x v="0"/>
    <n v="949"/>
    <x v="18"/>
    <n v="0.73"/>
    <n v="9.16"/>
    <s v="92702067"/>
    <x v="79"/>
  </r>
  <r>
    <s v="Ago-2018"/>
    <x v="1"/>
    <n v="684"/>
    <x v="11"/>
    <n v="0.83"/>
    <n v="10.48"/>
    <s v="28127603"/>
    <x v="79"/>
  </r>
  <r>
    <s v="Ago-2018"/>
    <x v="0"/>
    <n v="901"/>
    <x v="7"/>
    <n v="0.72"/>
    <n v="9"/>
    <s v="60746948"/>
    <x v="79"/>
  </r>
  <r>
    <s v="Ago-2018"/>
    <x v="1"/>
    <n v="644"/>
    <x v="18"/>
    <n v="0.82"/>
    <n v="10.24"/>
    <s v="92702067"/>
    <x v="79"/>
  </r>
  <r>
    <s v="Ago-2018"/>
    <x v="0"/>
    <n v="900"/>
    <x v="9"/>
    <n v="0.72"/>
    <n v="9"/>
    <s v="90400888"/>
    <x v="79"/>
  </r>
  <r>
    <s v="Ago-2018"/>
    <x v="1"/>
    <n v="593"/>
    <x v="10"/>
    <n v="0.8"/>
    <n v="10.02"/>
    <s v="00000000"/>
    <x v="79"/>
  </r>
  <r>
    <s v="Ago-2018"/>
    <x v="0"/>
    <n v="810"/>
    <x v="27"/>
    <n v="0.7"/>
    <n v="8.74"/>
    <s v="02038232"/>
    <x v="79"/>
  </r>
  <r>
    <s v="Ago-2018"/>
    <x v="1"/>
    <n v="517"/>
    <x v="7"/>
    <n v="0.77"/>
    <n v="9.61"/>
    <s v="60746948"/>
    <x v="79"/>
  </r>
  <r>
    <s v="Ago-2018"/>
    <x v="0"/>
    <n v="809"/>
    <x v="15"/>
    <n v="0.7"/>
    <n v="8.74"/>
    <s v="13009717"/>
    <x v="79"/>
  </r>
  <r>
    <s v="Ago-2018"/>
    <x v="1"/>
    <n v="516"/>
    <x v="9"/>
    <n v="0.77"/>
    <n v="9.6"/>
    <s v="90400888"/>
    <x v="79"/>
  </r>
  <r>
    <s v="Ago-2018"/>
    <x v="0"/>
    <n v="768"/>
    <x v="11"/>
    <n v="0.69"/>
    <n v="8.66"/>
    <s v="28127603"/>
    <x v="79"/>
  </r>
  <r>
    <s v="Ago-2018"/>
    <x v="1"/>
    <n v="416"/>
    <x v="15"/>
    <n v="0.73"/>
    <n v="9.16"/>
    <s v="13009717"/>
    <x v="79"/>
  </r>
  <r>
    <s v="Ago-2018"/>
    <x v="0"/>
    <n v="502"/>
    <x v="10"/>
    <n v="0.63"/>
    <n v="7.83"/>
    <s v="00000000"/>
    <x v="79"/>
  </r>
  <r>
    <s v="Ago-2018"/>
    <x v="1"/>
    <n v="398"/>
    <x v="2"/>
    <n v="0.73"/>
    <n v="9.1"/>
    <s v="60701190"/>
    <x v="79"/>
  </r>
  <r>
    <s v="Ago-2018"/>
    <x v="0"/>
    <n v="197"/>
    <x v="4"/>
    <n v="0.55000000000000004"/>
    <n v="6.8"/>
    <s v="00360305"/>
    <x v="79"/>
  </r>
  <r>
    <s v="Ago-2018"/>
    <x v="2"/>
    <n v="359"/>
    <x v="0"/>
    <n v="1.44"/>
    <n v="18.690000000000001"/>
    <s v="00655522"/>
    <x v="79"/>
  </r>
  <r>
    <s v="Ago-2018"/>
    <x v="1"/>
    <n v="321"/>
    <x v="5"/>
    <n v="0.7"/>
    <n v="8.73"/>
    <s v="17184037"/>
    <x v="79"/>
  </r>
  <r>
    <s v="Ago-2018"/>
    <x v="3"/>
    <n v="242"/>
    <x v="10"/>
    <n v="1.02"/>
    <n v="12.94"/>
    <s v="00000000"/>
    <x v="79"/>
  </r>
  <r>
    <s v="Ago-2018"/>
    <x v="2"/>
    <n v="88"/>
    <x v="26"/>
    <n v="0.94"/>
    <n v="11.86"/>
    <s v="18282093"/>
    <x v="79"/>
  </r>
  <r>
    <s v="Ago-2018"/>
    <x v="3"/>
    <n v="93"/>
    <x v="9"/>
    <n v="0.9"/>
    <n v="11.41"/>
    <s v="90400888"/>
    <x v="79"/>
  </r>
  <r>
    <s v="Set-2018"/>
    <x v="0"/>
    <n v="1076"/>
    <x v="17"/>
    <n v="0.76"/>
    <n v="9.5"/>
    <s v="00416968"/>
    <x v="80"/>
  </r>
  <r>
    <s v="Set-2018"/>
    <x v="0"/>
    <n v="1070"/>
    <x v="2"/>
    <n v="0.76"/>
    <n v="9.48"/>
    <s v="60701190"/>
    <x v="80"/>
  </r>
  <r>
    <s v="Set-2018"/>
    <x v="0"/>
    <n v="995"/>
    <x v="18"/>
    <n v="0.74"/>
    <n v="9.26"/>
    <s v="92702067"/>
    <x v="80"/>
  </r>
  <r>
    <s v="Set-2018"/>
    <x v="0"/>
    <n v="969"/>
    <x v="0"/>
    <n v="0.74"/>
    <n v="9.1999999999999993"/>
    <s v="00655522"/>
    <x v="80"/>
  </r>
  <r>
    <s v="Set-2018"/>
    <x v="1"/>
    <n v="934"/>
    <x v="0"/>
    <n v="0.96"/>
    <n v="12.19"/>
    <s v="00655522"/>
    <x v="80"/>
  </r>
  <r>
    <s v="Set-2018"/>
    <x v="0"/>
    <n v="893"/>
    <x v="9"/>
    <n v="0.72"/>
    <n v="8.99"/>
    <s v="90400888"/>
    <x v="80"/>
  </r>
  <r>
    <s v="Set-2018"/>
    <x v="1"/>
    <n v="757"/>
    <x v="4"/>
    <n v="0.88"/>
    <n v="11.04"/>
    <s v="00360305"/>
    <x v="80"/>
  </r>
  <r>
    <s v="Set-2018"/>
    <x v="0"/>
    <n v="874"/>
    <x v="7"/>
    <n v="0.72"/>
    <n v="8.93"/>
    <s v="60746948"/>
    <x v="80"/>
  </r>
  <r>
    <s v="Set-2018"/>
    <x v="1"/>
    <n v="697"/>
    <x v="11"/>
    <n v="0.84"/>
    <n v="10.57"/>
    <s v="28127603"/>
    <x v="80"/>
  </r>
  <r>
    <s v="Set-2018"/>
    <x v="0"/>
    <n v="826"/>
    <x v="27"/>
    <n v="0.71"/>
    <n v="8.8000000000000007"/>
    <s v="02038232"/>
    <x v="80"/>
  </r>
  <r>
    <s v="Set-2018"/>
    <x v="1"/>
    <n v="600"/>
    <x v="18"/>
    <n v="0.8"/>
    <n v="10.07"/>
    <s v="92702067"/>
    <x v="80"/>
  </r>
  <r>
    <s v="Set-2018"/>
    <x v="0"/>
    <n v="789"/>
    <x v="13"/>
    <n v="0.7"/>
    <n v="8.7100000000000009"/>
    <s v="00000208"/>
    <x v="80"/>
  </r>
  <r>
    <s v="Set-2018"/>
    <x v="1"/>
    <n v="590"/>
    <x v="10"/>
    <n v="0.8"/>
    <n v="10.02"/>
    <s v="00000000"/>
    <x v="80"/>
  </r>
  <r>
    <s v="Set-2018"/>
    <x v="0"/>
    <n v="732"/>
    <x v="11"/>
    <n v="0.69"/>
    <n v="8.58"/>
    <s v="28127603"/>
    <x v="80"/>
  </r>
  <r>
    <s v="Set-2018"/>
    <x v="1"/>
    <n v="508"/>
    <x v="17"/>
    <n v="0.76"/>
    <n v="9.57"/>
    <s v="00416968"/>
    <x v="80"/>
  </r>
  <r>
    <s v="Set-2018"/>
    <x v="0"/>
    <n v="679"/>
    <x v="15"/>
    <n v="0.68"/>
    <n v="8.4700000000000006"/>
    <s v="13009717"/>
    <x v="80"/>
  </r>
  <r>
    <s v="Set-2018"/>
    <x v="1"/>
    <n v="505"/>
    <x v="9"/>
    <n v="0.76"/>
    <n v="9.56"/>
    <s v="90400888"/>
    <x v="80"/>
  </r>
  <r>
    <s v="Set-2018"/>
    <x v="0"/>
    <n v="542"/>
    <x v="10"/>
    <n v="0.64"/>
    <n v="7.94"/>
    <s v="00000000"/>
    <x v="80"/>
  </r>
  <r>
    <s v="Set-2018"/>
    <x v="1"/>
    <n v="492"/>
    <x v="7"/>
    <n v="0.76"/>
    <n v="9.49"/>
    <s v="60746948"/>
    <x v="80"/>
  </r>
  <r>
    <s v="Set-2018"/>
    <x v="2"/>
    <n v="308"/>
    <x v="9"/>
    <n v="1.35"/>
    <n v="17.5"/>
    <s v="90400888"/>
    <x v="80"/>
  </r>
  <r>
    <s v="Set-2018"/>
    <x v="0"/>
    <n v="179"/>
    <x v="4"/>
    <n v="0.55000000000000004"/>
    <n v="6.75"/>
    <s v="00360305"/>
    <x v="80"/>
  </r>
  <r>
    <s v="Set-2018"/>
    <x v="2"/>
    <n v="246"/>
    <x v="0"/>
    <n v="1.22"/>
    <n v="15.71"/>
    <s v="00655522"/>
    <x v="80"/>
  </r>
  <r>
    <s v="Set-2018"/>
    <x v="1"/>
    <n v="360"/>
    <x v="2"/>
    <n v="0.72"/>
    <n v="8.9600000000000009"/>
    <s v="60701190"/>
    <x v="80"/>
  </r>
  <r>
    <s v="Set-2018"/>
    <x v="2"/>
    <n v="182"/>
    <x v="26"/>
    <n v="1.0900000000000001"/>
    <n v="13.94"/>
    <s v="18282093"/>
    <x v="80"/>
  </r>
  <r>
    <s v="Set-2018"/>
    <x v="3"/>
    <n v="111"/>
    <x v="9"/>
    <n v="0.91"/>
    <n v="11.5"/>
    <s v="90400888"/>
    <x v="80"/>
  </r>
  <r>
    <s v="Out-2018"/>
    <x v="0"/>
    <n v="1051"/>
    <x v="2"/>
    <n v="0.75"/>
    <n v="9.43"/>
    <s v="60701190"/>
    <x v="81"/>
  </r>
  <r>
    <s v="Out-2018"/>
    <x v="0"/>
    <n v="975"/>
    <x v="0"/>
    <n v="0.74"/>
    <n v="9.2100000000000009"/>
    <s v="00655522"/>
    <x v="81"/>
  </r>
  <r>
    <s v="Out-2018"/>
    <x v="0"/>
    <n v="968"/>
    <x v="18"/>
    <n v="0.74"/>
    <n v="9.1999999999999993"/>
    <s v="92702067"/>
    <x v="81"/>
  </r>
  <r>
    <s v="Out-2018"/>
    <x v="1"/>
    <n v="824"/>
    <x v="0"/>
    <n v="0.91"/>
    <n v="11.44"/>
    <s v="00655522"/>
    <x v="81"/>
  </r>
  <r>
    <s v="Out-2018"/>
    <x v="0"/>
    <n v="892"/>
    <x v="9"/>
    <n v="0.72"/>
    <n v="8.98"/>
    <s v="90400888"/>
    <x v="81"/>
  </r>
  <r>
    <s v="Out-2018"/>
    <x v="1"/>
    <n v="706"/>
    <x v="4"/>
    <n v="0.84"/>
    <n v="10.62"/>
    <s v="00360305"/>
    <x v="81"/>
  </r>
  <r>
    <s v="Out-2018"/>
    <x v="0"/>
    <n v="857"/>
    <x v="7"/>
    <n v="0.71"/>
    <n v="8.89"/>
    <s v="60746948"/>
    <x v="81"/>
  </r>
  <r>
    <s v="Out-2018"/>
    <x v="1"/>
    <n v="681"/>
    <x v="11"/>
    <n v="0.83"/>
    <n v="10.48"/>
    <s v="28127603"/>
    <x v="81"/>
  </r>
  <r>
    <s v="Out-2018"/>
    <x v="0"/>
    <n v="796"/>
    <x v="27"/>
    <n v="0.7"/>
    <n v="8.7200000000000006"/>
    <s v="02038232"/>
    <x v="81"/>
  </r>
  <r>
    <s v="Out-2018"/>
    <x v="1"/>
    <n v="610"/>
    <x v="18"/>
    <n v="0.81"/>
    <n v="10.119999999999999"/>
    <s v="92702067"/>
    <x v="81"/>
  </r>
  <r>
    <s v="Out-2018"/>
    <x v="0"/>
    <n v="725"/>
    <x v="11"/>
    <n v="0.69"/>
    <n v="8.57"/>
    <s v="28127603"/>
    <x v="81"/>
  </r>
  <r>
    <s v="Out-2018"/>
    <x v="1"/>
    <n v="582"/>
    <x v="10"/>
    <n v="0.8"/>
    <n v="9.98"/>
    <s v="00000000"/>
    <x v="81"/>
  </r>
  <r>
    <s v="Out-2018"/>
    <x v="0"/>
    <n v="707"/>
    <x v="15"/>
    <n v="0.68"/>
    <n v="8.52"/>
    <s v="13009717"/>
    <x v="81"/>
  </r>
  <r>
    <s v="Out-2018"/>
    <x v="1"/>
    <n v="503"/>
    <x v="9"/>
    <n v="0.76"/>
    <n v="9.5500000000000007"/>
    <s v="90400888"/>
    <x v="81"/>
  </r>
  <r>
    <s v="Out-2018"/>
    <x v="0"/>
    <n v="627"/>
    <x v="13"/>
    <n v="0.67"/>
    <n v="8.32"/>
    <s v="00000208"/>
    <x v="81"/>
  </r>
  <r>
    <s v="Out-2018"/>
    <x v="1"/>
    <n v="467"/>
    <x v="7"/>
    <n v="0.75"/>
    <n v="9.3699999999999992"/>
    <s v="60746948"/>
    <x v="81"/>
  </r>
  <r>
    <s v="Out-2018"/>
    <x v="0"/>
    <n v="601"/>
    <x v="10"/>
    <n v="0.66"/>
    <n v="8.19"/>
    <s v="00000000"/>
    <x v="81"/>
  </r>
  <r>
    <s v="Out-2018"/>
    <x v="1"/>
    <n v="457"/>
    <x v="17"/>
    <n v="0.75"/>
    <n v="9.34"/>
    <s v="00416968"/>
    <x v="81"/>
  </r>
  <r>
    <s v="Out-2018"/>
    <x v="0"/>
    <n v="222"/>
    <x v="4"/>
    <n v="0.56000000000000005"/>
    <n v="6.87"/>
    <s v="00360305"/>
    <x v="81"/>
  </r>
  <r>
    <s v="Out-2018"/>
    <x v="1"/>
    <n v="338"/>
    <x v="2"/>
    <n v="0.71"/>
    <n v="8.84"/>
    <s v="60701190"/>
    <x v="81"/>
  </r>
  <r>
    <s v="Out-2018"/>
    <x v="2"/>
    <n v="311"/>
    <x v="9"/>
    <n v="1.35"/>
    <n v="17.5"/>
    <s v="90400888"/>
    <x v="81"/>
  </r>
  <r>
    <s v="Out-2018"/>
    <x v="0"/>
    <n v="96"/>
    <x v="17"/>
    <n v="0.51"/>
    <n v="6.31"/>
    <s v="00416968"/>
    <x v="81"/>
  </r>
  <r>
    <s v="Out-2018"/>
    <x v="2"/>
    <n v="233"/>
    <x v="0"/>
    <n v="1.2"/>
    <n v="15.42"/>
    <s v="00655522"/>
    <x v="81"/>
  </r>
  <r>
    <s v="Out-2018"/>
    <x v="1"/>
    <n v="291"/>
    <x v="15"/>
    <n v="0.69"/>
    <n v="8.61"/>
    <s v="13009717"/>
    <x v="81"/>
  </r>
  <r>
    <s v="Out-2018"/>
    <x v="2"/>
    <n v="72"/>
    <x v="26"/>
    <n v="0.89"/>
    <n v="11.23"/>
    <s v="18282093"/>
    <x v="81"/>
  </r>
  <r>
    <s v="Out-2018"/>
    <x v="3"/>
    <n v="113"/>
    <x v="9"/>
    <n v="0.91"/>
    <n v="11.5"/>
    <s v="90400888"/>
    <x v="81"/>
  </r>
  <r>
    <s v="Nov-2018"/>
    <x v="0"/>
    <n v="1027"/>
    <x v="2"/>
    <n v="0.75"/>
    <n v="9.36"/>
    <s v="60701190"/>
    <x v="82"/>
  </r>
  <r>
    <s v="Nov-2018"/>
    <x v="0"/>
    <n v="1017"/>
    <x v="0"/>
    <n v="0.75"/>
    <n v="9.33"/>
    <s v="00655522"/>
    <x v="82"/>
  </r>
  <r>
    <s v="Nov-2018"/>
    <x v="0"/>
    <n v="1003"/>
    <x v="17"/>
    <n v="0.74"/>
    <n v="9.2799999999999994"/>
    <s v="00416968"/>
    <x v="82"/>
  </r>
  <r>
    <s v="Nov-2018"/>
    <x v="0"/>
    <n v="914"/>
    <x v="18"/>
    <n v="0.72"/>
    <n v="9.0299999999999994"/>
    <s v="92702067"/>
    <x v="82"/>
  </r>
  <r>
    <s v="Nov-2018"/>
    <x v="1"/>
    <n v="842"/>
    <x v="4"/>
    <n v="0.91"/>
    <n v="11.54"/>
    <s v="00360305"/>
    <x v="82"/>
  </r>
  <r>
    <s v="Nov-2018"/>
    <x v="0"/>
    <n v="881"/>
    <x v="9"/>
    <n v="0.72"/>
    <n v="8.94"/>
    <s v="90400888"/>
    <x v="82"/>
  </r>
  <r>
    <s v="Nov-2018"/>
    <x v="1"/>
    <n v="813"/>
    <x v="0"/>
    <n v="0.9"/>
    <n v="11.41"/>
    <s v="00655522"/>
    <x v="82"/>
  </r>
  <r>
    <s v="Nov-2018"/>
    <x v="0"/>
    <n v="853"/>
    <x v="7"/>
    <n v="0.71"/>
    <n v="8.86"/>
    <s v="60746948"/>
    <x v="82"/>
  </r>
  <r>
    <s v="Nov-2018"/>
    <x v="1"/>
    <n v="721"/>
    <x v="18"/>
    <n v="0.85"/>
    <n v="10.73"/>
    <s v="92702067"/>
    <x v="82"/>
  </r>
  <r>
    <s v="Nov-2018"/>
    <x v="0"/>
    <n v="827"/>
    <x v="27"/>
    <n v="0.71"/>
    <n v="8.8000000000000007"/>
    <s v="02038232"/>
    <x v="82"/>
  </r>
  <r>
    <s v="Nov-2018"/>
    <x v="1"/>
    <n v="567"/>
    <x v="10"/>
    <n v="0.79"/>
    <n v="9.86"/>
    <s v="00000000"/>
    <x v="82"/>
  </r>
  <r>
    <s v="Nov-2018"/>
    <x v="0"/>
    <n v="751"/>
    <x v="11"/>
    <n v="0.69"/>
    <n v="8.6199999999999992"/>
    <s v="28127603"/>
    <x v="82"/>
  </r>
  <r>
    <s v="Nov-2018"/>
    <x v="1"/>
    <n v="501"/>
    <x v="11"/>
    <n v="0.76"/>
    <n v="9.5399999999999991"/>
    <s v="28127603"/>
    <x v="82"/>
  </r>
  <r>
    <s v="Nov-2018"/>
    <x v="0"/>
    <n v="657"/>
    <x v="15"/>
    <n v="0.68"/>
    <n v="8.41"/>
    <s v="13009717"/>
    <x v="82"/>
  </r>
  <r>
    <s v="Nov-2018"/>
    <x v="1"/>
    <n v="471"/>
    <x v="9"/>
    <n v="0.75"/>
    <n v="9.3800000000000008"/>
    <s v="90400888"/>
    <x v="82"/>
  </r>
  <r>
    <s v="Nov-2018"/>
    <x v="0"/>
    <n v="562"/>
    <x v="13"/>
    <n v="0.64"/>
    <n v="7.99"/>
    <s v="00000208"/>
    <x v="82"/>
  </r>
  <r>
    <s v="Nov-2018"/>
    <x v="1"/>
    <n v="456"/>
    <x v="7"/>
    <n v="0.75"/>
    <n v="9.34"/>
    <s v="60746948"/>
    <x v="82"/>
  </r>
  <r>
    <s v="Nov-2018"/>
    <x v="0"/>
    <n v="489"/>
    <x v="10"/>
    <n v="0.63"/>
    <n v="7.79"/>
    <s v="00000000"/>
    <x v="82"/>
  </r>
  <r>
    <s v="Nov-2018"/>
    <x v="1"/>
    <n v="373"/>
    <x v="17"/>
    <n v="0.72"/>
    <n v="9"/>
    <s v="00416968"/>
    <x v="82"/>
  </r>
  <r>
    <s v="Nov-2018"/>
    <x v="0"/>
    <n v="245"/>
    <x v="4"/>
    <n v="0.56999999999999995"/>
    <n v="7"/>
    <s v="00360305"/>
    <x v="82"/>
  </r>
  <r>
    <s v="Nov-2018"/>
    <x v="2"/>
    <n v="227"/>
    <x v="0"/>
    <n v="1.19"/>
    <n v="15.22"/>
    <s v="00655522"/>
    <x v="82"/>
  </r>
  <r>
    <s v="Nov-2018"/>
    <x v="1"/>
    <n v="301"/>
    <x v="2"/>
    <n v="0.69"/>
    <n v="8.66"/>
    <s v="60701190"/>
    <x v="82"/>
  </r>
  <r>
    <s v="Nov-2018"/>
    <x v="2"/>
    <n v="169"/>
    <x v="26"/>
    <n v="1.06"/>
    <n v="13.43"/>
    <s v="18282093"/>
    <x v="82"/>
  </r>
  <r>
    <s v="Nov-2018"/>
    <x v="3"/>
    <n v="112"/>
    <x v="9"/>
    <n v="0.91"/>
    <n v="11.5"/>
    <s v="90400888"/>
    <x v="82"/>
  </r>
  <r>
    <s v="Dez-2018"/>
    <x v="0"/>
    <n v="1052"/>
    <x v="0"/>
    <n v="0.75"/>
    <n v="9.43"/>
    <s v="00655522"/>
    <x v="83"/>
  </r>
  <r>
    <s v="Dez-2018"/>
    <x v="0"/>
    <n v="1009"/>
    <x v="2"/>
    <n v="0.74"/>
    <n v="9.3000000000000007"/>
    <s v="60701190"/>
    <x v="83"/>
  </r>
  <r>
    <s v="Dez-2018"/>
    <x v="0"/>
    <n v="996"/>
    <x v="17"/>
    <n v="0.74"/>
    <n v="9.26"/>
    <s v="00416968"/>
    <x v="83"/>
  </r>
  <r>
    <s v="Dez-2018"/>
    <x v="1"/>
    <n v="768"/>
    <x v="4"/>
    <n v="0.88"/>
    <n v="11.1"/>
    <s v="00360305"/>
    <x v="83"/>
  </r>
  <r>
    <s v="Dez-2018"/>
    <x v="0"/>
    <n v="931"/>
    <x v="18"/>
    <n v="0.73"/>
    <n v="9.1"/>
    <s v="92702067"/>
    <x v="83"/>
  </r>
  <r>
    <s v="Dez-2018"/>
    <x v="1"/>
    <n v="728"/>
    <x v="0"/>
    <n v="0.86"/>
    <n v="10.8"/>
    <s v="00655522"/>
    <x v="83"/>
  </r>
  <r>
    <s v="Dez-2018"/>
    <x v="0"/>
    <n v="854"/>
    <x v="9"/>
    <n v="0.71"/>
    <n v="8.86"/>
    <s v="90400888"/>
    <x v="83"/>
  </r>
  <r>
    <s v="Dez-2018"/>
    <x v="1"/>
    <n v="653"/>
    <x v="18"/>
    <n v="0.82"/>
    <n v="10.28"/>
    <s v="92702067"/>
    <x v="83"/>
  </r>
  <r>
    <s v="Dez-2018"/>
    <x v="0"/>
    <n v="847"/>
    <x v="7"/>
    <n v="0.71"/>
    <n v="8.84"/>
    <s v="60746948"/>
    <x v="83"/>
  </r>
  <r>
    <s v="Dez-2018"/>
    <x v="1"/>
    <n v="498"/>
    <x v="10"/>
    <n v="0.76"/>
    <n v="9.51"/>
    <s v="00000000"/>
    <x v="83"/>
  </r>
  <r>
    <s v="Dez-2018"/>
    <x v="0"/>
    <n v="791"/>
    <x v="27"/>
    <n v="0.7"/>
    <n v="8.7100000000000009"/>
    <s v="02038232"/>
    <x v="83"/>
  </r>
  <r>
    <s v="Dez-2018"/>
    <x v="1"/>
    <n v="466"/>
    <x v="9"/>
    <n v="0.75"/>
    <n v="9.36"/>
    <s v="90400888"/>
    <x v="83"/>
  </r>
  <r>
    <s v="Dez-2018"/>
    <x v="0"/>
    <n v="698"/>
    <x v="11"/>
    <n v="0.68"/>
    <n v="8.5"/>
    <s v="28127603"/>
    <x v="83"/>
  </r>
  <r>
    <s v="Dez-2018"/>
    <x v="1"/>
    <n v="451"/>
    <x v="15"/>
    <n v="0.75"/>
    <n v="9.33"/>
    <s v="13009717"/>
    <x v="83"/>
  </r>
  <r>
    <s v="Dez-2018"/>
    <x v="0"/>
    <n v="692"/>
    <x v="15"/>
    <n v="0.68"/>
    <n v="8.49"/>
    <s v="13009717"/>
    <x v="83"/>
  </r>
  <r>
    <s v="Dez-2018"/>
    <x v="1"/>
    <n v="444"/>
    <x v="17"/>
    <n v="0.74"/>
    <n v="9.27"/>
    <s v="00416968"/>
    <x v="83"/>
  </r>
  <r>
    <s v="Dez-2018"/>
    <x v="0"/>
    <n v="518"/>
    <x v="13"/>
    <n v="0.63"/>
    <n v="7.88"/>
    <s v="00000208"/>
    <x v="83"/>
  </r>
  <r>
    <s v="Dez-2018"/>
    <x v="1"/>
    <n v="442"/>
    <x v="7"/>
    <n v="0.74"/>
    <n v="9.26"/>
    <s v="60746948"/>
    <x v="83"/>
  </r>
  <r>
    <s v="Dez-2018"/>
    <x v="0"/>
    <n v="461"/>
    <x v="10"/>
    <n v="0.62"/>
    <n v="7.72"/>
    <s v="00000000"/>
    <x v="83"/>
  </r>
  <r>
    <s v="Dez-2018"/>
    <x v="1"/>
    <n v="312"/>
    <x v="2"/>
    <n v="0.7"/>
    <n v="8.6999999999999993"/>
    <s v="60701190"/>
    <x v="83"/>
  </r>
  <r>
    <s v="Dez-2018"/>
    <x v="0"/>
    <n v="251"/>
    <x v="4"/>
    <n v="0.56999999999999995"/>
    <n v="7.05"/>
    <s v="00360305"/>
    <x v="83"/>
  </r>
  <r>
    <s v="Dez-2018"/>
    <x v="2"/>
    <n v="211"/>
    <x v="0"/>
    <n v="1.1499999999999999"/>
    <n v="14.71"/>
    <s v="00655522"/>
    <x v="83"/>
  </r>
  <r>
    <s v="Dez-2018"/>
    <x v="1"/>
    <n v="234"/>
    <x v="11"/>
    <n v="0.66"/>
    <n v="8.2100000000000009"/>
    <s v="28127603"/>
    <x v="83"/>
  </r>
  <r>
    <s v="Dez-2018"/>
    <x v="2"/>
    <n v="149"/>
    <x v="26"/>
    <n v="1.03"/>
    <n v="13.11"/>
    <s v="18282093"/>
    <x v="83"/>
  </r>
  <r>
    <s v="Dez-2018"/>
    <x v="3"/>
    <n v="268"/>
    <x v="9"/>
    <n v="1.3"/>
    <n v="16.8"/>
    <s v="90400888"/>
    <x v="83"/>
  </r>
  <r>
    <s v="Jan-2019"/>
    <x v="0"/>
    <n v="1065"/>
    <x v="17"/>
    <n v="0.76"/>
    <n v="9.4700000000000006"/>
    <s v="00416968"/>
    <x v="84"/>
  </r>
  <r>
    <s v="Jan-2019"/>
    <x v="0"/>
    <n v="1030"/>
    <x v="18"/>
    <n v="0.75"/>
    <n v="9.3699999999999992"/>
    <s v="92702067"/>
    <x v="84"/>
  </r>
  <r>
    <s v="Jan-2019"/>
    <x v="0"/>
    <n v="986"/>
    <x v="2"/>
    <n v="0.74"/>
    <n v="9.23"/>
    <s v="60701190"/>
    <x v="84"/>
  </r>
  <r>
    <s v="Jan-2019"/>
    <x v="1"/>
    <n v="774"/>
    <x v="15"/>
    <n v="0.89"/>
    <n v="11.21"/>
    <s v="13009717"/>
    <x v="84"/>
  </r>
  <r>
    <s v="Jan-2019"/>
    <x v="0"/>
    <n v="907"/>
    <x v="0"/>
    <n v="0.72"/>
    <n v="9.02"/>
    <s v="00655522"/>
    <x v="84"/>
  </r>
  <r>
    <s v="Jan-2019"/>
    <x v="1"/>
    <n v="760"/>
    <x v="0"/>
    <n v="0.88"/>
    <n v="11.05"/>
    <s v="00655522"/>
    <x v="84"/>
  </r>
  <r>
    <s v="Jan-2019"/>
    <x v="0"/>
    <n v="861"/>
    <x v="9"/>
    <n v="0.71"/>
    <n v="8.9"/>
    <s v="90400888"/>
    <x v="84"/>
  </r>
  <r>
    <s v="Jan-2019"/>
    <x v="1"/>
    <n v="668"/>
    <x v="18"/>
    <n v="0.83"/>
    <n v="10.39"/>
    <s v="92702067"/>
    <x v="84"/>
  </r>
  <r>
    <s v="Jan-2019"/>
    <x v="0"/>
    <n v="829"/>
    <x v="7"/>
    <n v="0.71"/>
    <n v="8.81"/>
    <s v="60746948"/>
    <x v="84"/>
  </r>
  <r>
    <s v="Jan-2019"/>
    <x v="1"/>
    <n v="622"/>
    <x v="4"/>
    <n v="0.81"/>
    <n v="10.16"/>
    <s v="00360305"/>
    <x v="84"/>
  </r>
  <r>
    <s v="Jan-2019"/>
    <x v="0"/>
    <n v="813"/>
    <x v="27"/>
    <n v="0.7"/>
    <n v="8.75"/>
    <s v="02038232"/>
    <x v="84"/>
  </r>
  <r>
    <s v="Jan-2019"/>
    <x v="1"/>
    <n v="504"/>
    <x v="10"/>
    <n v="0.76"/>
    <n v="9.5500000000000007"/>
    <s v="00000000"/>
    <x v="84"/>
  </r>
  <r>
    <s v="Jan-2019"/>
    <x v="0"/>
    <n v="721"/>
    <x v="11"/>
    <n v="0.69"/>
    <n v="8.56"/>
    <s v="28127603"/>
    <x v="84"/>
  </r>
  <r>
    <s v="Jan-2019"/>
    <x v="1"/>
    <n v="468"/>
    <x v="7"/>
    <n v="0.75"/>
    <n v="9.3699999999999992"/>
    <s v="60746948"/>
    <x v="84"/>
  </r>
  <r>
    <s v="Jan-2019"/>
    <x v="0"/>
    <n v="714"/>
    <x v="15"/>
    <n v="0.69"/>
    <n v="8.5399999999999991"/>
    <s v="13009717"/>
    <x v="84"/>
  </r>
  <r>
    <s v="Jan-2019"/>
    <x v="1"/>
    <n v="459"/>
    <x v="9"/>
    <n v="0.75"/>
    <n v="9.35"/>
    <s v="90400888"/>
    <x v="84"/>
  </r>
  <r>
    <s v="Jan-2019"/>
    <x v="0"/>
    <n v="646"/>
    <x v="10"/>
    <n v="0.67"/>
    <n v="8.3800000000000008"/>
    <s v="00000000"/>
    <x v="84"/>
  </r>
  <r>
    <s v="Jan-2019"/>
    <x v="1"/>
    <n v="450"/>
    <x v="17"/>
    <n v="0.75"/>
    <n v="9.33"/>
    <s v="00416968"/>
    <x v="84"/>
  </r>
  <r>
    <s v="Jan-2019"/>
    <x v="0"/>
    <n v="575"/>
    <x v="13"/>
    <n v="0.65"/>
    <n v="8.08"/>
    <s v="00000208"/>
    <x v="84"/>
  </r>
  <r>
    <s v="Jan-2019"/>
    <x v="1"/>
    <n v="325"/>
    <x v="11"/>
    <n v="0.7"/>
    <n v="8.74"/>
    <s v="28127603"/>
    <x v="84"/>
  </r>
  <r>
    <s v="Jan-2019"/>
    <x v="2"/>
    <n v="223"/>
    <x v="0"/>
    <n v="1.18"/>
    <n v="15.16"/>
    <s v="00655522"/>
    <x v="84"/>
  </r>
  <r>
    <s v="Jan-2019"/>
    <x v="0"/>
    <n v="365"/>
    <x v="4"/>
    <n v="0.6"/>
    <n v="7.46"/>
    <s v="00360305"/>
    <x v="84"/>
  </r>
  <r>
    <s v="Jan-2019"/>
    <x v="2"/>
    <n v="161"/>
    <x v="26"/>
    <n v="1.04"/>
    <n v="13.26"/>
    <s v="18282093"/>
    <x v="84"/>
  </r>
  <r>
    <s v="Jan-2019"/>
    <x v="1"/>
    <n v="302"/>
    <x v="2"/>
    <n v="0.69"/>
    <n v="8.66"/>
    <s v="60701190"/>
    <x v="84"/>
  </r>
  <r>
    <s v="Jan-2019"/>
    <x v="2"/>
    <n v="143"/>
    <x v="9"/>
    <n v="1.02"/>
    <n v="13"/>
    <s v="90400888"/>
    <x v="84"/>
  </r>
  <r>
    <s v="Jan-2019"/>
    <x v="3"/>
    <n v="114"/>
    <x v="9"/>
    <n v="0.91"/>
    <n v="11.5"/>
    <s v="90400888"/>
    <x v="84"/>
  </r>
  <r>
    <s v="Fev-2019"/>
    <x v="0"/>
    <n v="1040"/>
    <x v="18"/>
    <n v="0.75"/>
    <n v="9.39"/>
    <s v="92702067"/>
    <x v="85"/>
  </r>
  <r>
    <s v="Fev-2019"/>
    <x v="0"/>
    <n v="1018"/>
    <x v="17"/>
    <n v="0.75"/>
    <n v="9.33"/>
    <s v="00416968"/>
    <x v="85"/>
  </r>
  <r>
    <s v="Fev-2019"/>
    <x v="0"/>
    <n v="948"/>
    <x v="2"/>
    <n v="0.73"/>
    <n v="9.16"/>
    <s v="60701190"/>
    <x v="85"/>
  </r>
  <r>
    <s v="Fev-2019"/>
    <x v="0"/>
    <n v="920"/>
    <x v="0"/>
    <n v="0.73"/>
    <n v="9.06"/>
    <s v="00655522"/>
    <x v="85"/>
  </r>
  <r>
    <s v="Fev-2019"/>
    <x v="0"/>
    <n v="899"/>
    <x v="22"/>
    <n v="0.72"/>
    <n v="9"/>
    <s v="58160789"/>
    <x v="85"/>
  </r>
  <r>
    <s v="Fev-2019"/>
    <x v="1"/>
    <n v="835"/>
    <x v="0"/>
    <n v="0.91"/>
    <n v="11.5"/>
    <s v="00655522"/>
    <x v="85"/>
  </r>
  <r>
    <s v="Fev-2019"/>
    <x v="0"/>
    <n v="875"/>
    <x v="9"/>
    <n v="0.72"/>
    <n v="8.93"/>
    <s v="90400888"/>
    <x v="85"/>
  </r>
  <r>
    <s v="Fev-2019"/>
    <x v="1"/>
    <n v="764"/>
    <x v="4"/>
    <n v="0.88"/>
    <n v="11.08"/>
    <s v="00360305"/>
    <x v="85"/>
  </r>
  <r>
    <s v="Fev-2019"/>
    <x v="0"/>
    <n v="837"/>
    <x v="7"/>
    <n v="0.71"/>
    <n v="8.81"/>
    <s v="60746948"/>
    <x v="85"/>
  </r>
  <r>
    <s v="Fev-2019"/>
    <x v="1"/>
    <n v="623"/>
    <x v="17"/>
    <n v="0.81"/>
    <n v="10.16"/>
    <s v="00416968"/>
    <x v="85"/>
  </r>
  <r>
    <s v="Fev-2019"/>
    <x v="0"/>
    <n v="801"/>
    <x v="27"/>
    <n v="0.7"/>
    <n v="8.7200000000000006"/>
    <s v="02038232"/>
    <x v="85"/>
  </r>
  <r>
    <s v="Fev-2019"/>
    <x v="1"/>
    <n v="559"/>
    <x v="18"/>
    <n v="0.78"/>
    <n v="9.81"/>
    <s v="92702067"/>
    <x v="85"/>
  </r>
  <r>
    <s v="Fev-2019"/>
    <x v="0"/>
    <n v="743"/>
    <x v="11"/>
    <n v="0.69"/>
    <n v="8.6"/>
    <s v="28127603"/>
    <x v="85"/>
  </r>
  <r>
    <s v="Fev-2019"/>
    <x v="1"/>
    <n v="552"/>
    <x v="11"/>
    <n v="0.78"/>
    <n v="9.7799999999999994"/>
    <s v="28127603"/>
    <x v="85"/>
  </r>
  <r>
    <s v="Fev-2019"/>
    <x v="0"/>
    <n v="742"/>
    <x v="15"/>
    <n v="0.69"/>
    <n v="8.6"/>
    <s v="13009717"/>
    <x v="85"/>
  </r>
  <r>
    <s v="Fev-2019"/>
    <x v="1"/>
    <n v="540"/>
    <x v="10"/>
    <n v="0.78"/>
    <n v="9.73"/>
    <s v="00000000"/>
    <x v="85"/>
  </r>
  <r>
    <s v="Fev-2019"/>
    <x v="0"/>
    <n v="500"/>
    <x v="13"/>
    <n v="0.63"/>
    <n v="7.82"/>
    <s v="00000208"/>
    <x v="85"/>
  </r>
  <r>
    <s v="Fev-2019"/>
    <x v="1"/>
    <n v="476"/>
    <x v="7"/>
    <n v="0.75"/>
    <n v="9.4"/>
    <s v="60746948"/>
    <x v="85"/>
  </r>
  <r>
    <s v="Fev-2019"/>
    <x v="0"/>
    <n v="368"/>
    <x v="10"/>
    <n v="0.6"/>
    <n v="7.46"/>
    <s v="00000000"/>
    <x v="85"/>
  </r>
  <r>
    <s v="Fev-2019"/>
    <x v="1"/>
    <n v="433"/>
    <x v="9"/>
    <n v="0.74"/>
    <n v="9.23"/>
    <s v="90400888"/>
    <x v="85"/>
  </r>
  <r>
    <s v="Fev-2019"/>
    <x v="2"/>
    <n v="202"/>
    <x v="26"/>
    <n v="1.1299999999999999"/>
    <n v="14.45"/>
    <s v="18282093"/>
    <x v="85"/>
  </r>
  <r>
    <s v="Fev-2019"/>
    <x v="0"/>
    <n v="226"/>
    <x v="4"/>
    <n v="0.56000000000000005"/>
    <n v="6.88"/>
    <s v="00360305"/>
    <x v="85"/>
  </r>
  <r>
    <s v="Fev-2019"/>
    <x v="2"/>
    <n v="193"/>
    <x v="0"/>
    <n v="1.1200000000000001"/>
    <n v="14.31"/>
    <s v="00655522"/>
    <x v="85"/>
  </r>
  <r>
    <s v="Fev-2019"/>
    <x v="1"/>
    <n v="278"/>
    <x v="2"/>
    <n v="0.69"/>
    <n v="8.57"/>
    <s v="60701190"/>
    <x v="85"/>
  </r>
  <r>
    <s v="Fev-2019"/>
    <x v="2"/>
    <n v="135"/>
    <x v="9"/>
    <n v="1.01"/>
    <n v="12.81"/>
    <s v="90400888"/>
    <x v="85"/>
  </r>
  <r>
    <s v="Mar-2019"/>
    <x v="0"/>
    <n v="1039"/>
    <x v="18"/>
    <n v="0.75"/>
    <n v="9.39"/>
    <s v="92702067"/>
    <x v="86"/>
  </r>
  <r>
    <s v="Mar-2019"/>
    <x v="0"/>
    <n v="1026"/>
    <x v="17"/>
    <n v="0.75"/>
    <n v="9.36"/>
    <s v="00416968"/>
    <x v="86"/>
  </r>
  <r>
    <s v="Mar-2019"/>
    <x v="0"/>
    <n v="936"/>
    <x v="2"/>
    <n v="0.73"/>
    <n v="9.1199999999999992"/>
    <s v="60701190"/>
    <x v="86"/>
  </r>
  <r>
    <s v="Mar-2019"/>
    <x v="0"/>
    <n v="913"/>
    <x v="0"/>
    <n v="0.72"/>
    <n v="9.0299999999999994"/>
    <s v="00655522"/>
    <x v="86"/>
  </r>
  <r>
    <s v="Mar-2019"/>
    <x v="1"/>
    <n v="893"/>
    <x v="11"/>
    <n v="0.94"/>
    <n v="11.83"/>
    <s v="28127603"/>
    <x v="86"/>
  </r>
  <r>
    <s v="Mar-2019"/>
    <x v="0"/>
    <n v="888"/>
    <x v="9"/>
    <n v="0.72"/>
    <n v="8.9600000000000009"/>
    <s v="90400888"/>
    <x v="86"/>
  </r>
  <r>
    <s v="Mar-2019"/>
    <x v="1"/>
    <n v="823"/>
    <x v="0"/>
    <n v="0.91"/>
    <n v="11.44"/>
    <s v="00655522"/>
    <x v="86"/>
  </r>
  <r>
    <s v="Mar-2019"/>
    <x v="0"/>
    <n v="821"/>
    <x v="7"/>
    <n v="0.7"/>
    <n v="8.77"/>
    <s v="60746948"/>
    <x v="86"/>
  </r>
  <r>
    <s v="Mar-2019"/>
    <x v="1"/>
    <n v="720"/>
    <x v="4"/>
    <n v="0.85"/>
    <n v="10.73"/>
    <s v="00360305"/>
    <x v="86"/>
  </r>
  <r>
    <s v="Mar-2019"/>
    <x v="0"/>
    <n v="804"/>
    <x v="27"/>
    <n v="0.7"/>
    <n v="8.73"/>
    <s v="02038232"/>
    <x v="86"/>
  </r>
  <r>
    <s v="Mar-2019"/>
    <x v="1"/>
    <n v="616"/>
    <x v="10"/>
    <n v="0.81"/>
    <n v="10.15"/>
    <s v="00000000"/>
    <x v="86"/>
  </r>
  <r>
    <s v="Mar-2019"/>
    <x v="0"/>
    <n v="746"/>
    <x v="11"/>
    <n v="0.69"/>
    <n v="8.61"/>
    <s v="28127603"/>
    <x v="86"/>
  </r>
  <r>
    <s v="Mar-2019"/>
    <x v="1"/>
    <n v="588"/>
    <x v="18"/>
    <n v="0.8"/>
    <n v="10.01"/>
    <s v="92702067"/>
    <x v="86"/>
  </r>
  <r>
    <s v="Mar-2019"/>
    <x v="0"/>
    <n v="618"/>
    <x v="15"/>
    <n v="0.66"/>
    <n v="8.25"/>
    <s v="13009717"/>
    <x v="86"/>
  </r>
  <r>
    <s v="Mar-2019"/>
    <x v="1"/>
    <n v="536"/>
    <x v="17"/>
    <n v="0.77"/>
    <n v="9.6999999999999993"/>
    <s v="00416968"/>
    <x v="86"/>
  </r>
  <r>
    <s v="Mar-2019"/>
    <x v="0"/>
    <n v="561"/>
    <x v="10"/>
    <n v="0.64"/>
    <n v="7.99"/>
    <s v="00000000"/>
    <x v="86"/>
  </r>
  <r>
    <s v="Mar-2019"/>
    <x v="1"/>
    <n v="458"/>
    <x v="7"/>
    <n v="0.75"/>
    <n v="9.35"/>
    <s v="60746948"/>
    <x v="86"/>
  </r>
  <r>
    <s v="Mar-2019"/>
    <x v="0"/>
    <n v="549"/>
    <x v="13"/>
    <n v="0.64"/>
    <n v="7.96"/>
    <s v="00000208"/>
    <x v="86"/>
  </r>
  <r>
    <s v="Mar-2019"/>
    <x v="1"/>
    <n v="426"/>
    <x v="9"/>
    <n v="0.74"/>
    <n v="9.2100000000000009"/>
    <s v="90400888"/>
    <x v="86"/>
  </r>
  <r>
    <s v="Mar-2019"/>
    <x v="2"/>
    <n v="307"/>
    <x v="9"/>
    <n v="1.35"/>
    <n v="17.5"/>
    <s v="90400888"/>
    <x v="86"/>
  </r>
  <r>
    <s v="Mar-2019"/>
    <x v="0"/>
    <n v="247"/>
    <x v="4"/>
    <n v="0.56999999999999995"/>
    <n v="7.02"/>
    <s v="00360305"/>
    <x v="86"/>
  </r>
  <r>
    <s v="Mar-2019"/>
    <x v="2"/>
    <n v="289"/>
    <x v="26"/>
    <n v="1.31"/>
    <n v="16.97"/>
    <s v="18282093"/>
    <x v="86"/>
  </r>
  <r>
    <s v="Mar-2019"/>
    <x v="1"/>
    <n v="261"/>
    <x v="2"/>
    <n v="0.68"/>
    <n v="8.48"/>
    <s v="60701190"/>
    <x v="86"/>
  </r>
  <r>
    <s v="Mar-2019"/>
    <x v="3"/>
    <n v="110"/>
    <x v="9"/>
    <n v="0.91"/>
    <n v="11.5"/>
    <s v="90400888"/>
    <x v="86"/>
  </r>
  <r>
    <s v="Mar-2019"/>
    <x v="2"/>
    <n v="239"/>
    <x v="0"/>
    <n v="1.21"/>
    <n v="15.56"/>
    <s v="00655522"/>
    <x v="86"/>
  </r>
  <r>
    <s v="Mar-2019"/>
    <x v="3"/>
    <n v="1"/>
    <x v="10"/>
    <n v="0"/>
    <n v="0"/>
    <s v="00000000"/>
    <x v="86"/>
  </r>
  <r>
    <s v="Abr-2019"/>
    <x v="0"/>
    <n v="1119"/>
    <x v="17"/>
    <n v="0.77"/>
    <n v="9.64"/>
    <s v="00416968"/>
    <x v="87"/>
  </r>
  <r>
    <s v="Abr-2019"/>
    <x v="0"/>
    <n v="1058"/>
    <x v="18"/>
    <n v="0.76"/>
    <n v="9.4499999999999993"/>
    <s v="92702067"/>
    <x v="87"/>
  </r>
  <r>
    <s v="Abr-2019"/>
    <x v="0"/>
    <n v="928"/>
    <x v="2"/>
    <n v="0.73"/>
    <n v="9.09"/>
    <s v="60701190"/>
    <x v="87"/>
  </r>
  <r>
    <s v="Abr-2019"/>
    <x v="0"/>
    <n v="908"/>
    <x v="0"/>
    <n v="0.72"/>
    <n v="9.02"/>
    <s v="00655522"/>
    <x v="87"/>
  </r>
  <r>
    <s v="Abr-2019"/>
    <x v="1"/>
    <n v="834"/>
    <x v="0"/>
    <n v="0.91"/>
    <n v="11.5"/>
    <s v="00655522"/>
    <x v="87"/>
  </r>
  <r>
    <s v="Abr-2019"/>
    <x v="0"/>
    <n v="887"/>
    <x v="9"/>
    <n v="0.72"/>
    <n v="8.9600000000000009"/>
    <s v="90400888"/>
    <x v="87"/>
  </r>
  <r>
    <s v="Abr-2019"/>
    <x v="1"/>
    <n v="785"/>
    <x v="11"/>
    <n v="0.89"/>
    <n v="11.28"/>
    <s v="28127603"/>
    <x v="87"/>
  </r>
  <r>
    <s v="Abr-2019"/>
    <x v="0"/>
    <n v="814"/>
    <x v="7"/>
    <n v="0.7"/>
    <n v="8.75"/>
    <s v="60746948"/>
    <x v="87"/>
  </r>
  <r>
    <s v="Abr-2019"/>
    <x v="1"/>
    <n v="775"/>
    <x v="18"/>
    <n v="0.89"/>
    <n v="11.22"/>
    <s v="92702067"/>
    <x v="87"/>
  </r>
  <r>
    <s v="Abr-2019"/>
    <x v="0"/>
    <n v="787"/>
    <x v="27"/>
    <n v="0.7"/>
    <n v="8.7100000000000009"/>
    <s v="02038232"/>
    <x v="87"/>
  </r>
  <r>
    <s v="Abr-2019"/>
    <x v="1"/>
    <n v="755"/>
    <x v="4"/>
    <n v="0.87"/>
    <n v="11.01"/>
    <s v="00360305"/>
    <x v="87"/>
  </r>
  <r>
    <s v="Abr-2019"/>
    <x v="0"/>
    <n v="755"/>
    <x v="11"/>
    <n v="0.69"/>
    <n v="8.6300000000000008"/>
    <s v="28127603"/>
    <x v="87"/>
  </r>
  <r>
    <s v="Abr-2019"/>
    <x v="1"/>
    <n v="539"/>
    <x v="10"/>
    <n v="0.78"/>
    <n v="9.7200000000000006"/>
    <s v="00000000"/>
    <x v="87"/>
  </r>
  <r>
    <s v="Abr-2019"/>
    <x v="0"/>
    <n v="595"/>
    <x v="10"/>
    <n v="0.66"/>
    <n v="8.18"/>
    <s v="00000000"/>
    <x v="87"/>
  </r>
  <r>
    <s v="Abr-2019"/>
    <x v="1"/>
    <n v="481"/>
    <x v="17"/>
    <n v="0.75"/>
    <n v="9.42"/>
    <s v="00416968"/>
    <x v="87"/>
  </r>
  <r>
    <s v="Abr-2019"/>
    <x v="0"/>
    <n v="557"/>
    <x v="13"/>
    <n v="0.64"/>
    <n v="7.98"/>
    <s v="00000208"/>
    <x v="87"/>
  </r>
  <r>
    <s v="Abr-2019"/>
    <x v="1"/>
    <n v="427"/>
    <x v="7"/>
    <n v="0.74"/>
    <n v="9.2100000000000009"/>
    <s v="60746948"/>
    <x v="87"/>
  </r>
  <r>
    <s v="Abr-2019"/>
    <x v="0"/>
    <n v="490"/>
    <x v="15"/>
    <n v="0.63"/>
    <n v="7.8"/>
    <s v="13009717"/>
    <x v="87"/>
  </r>
  <r>
    <s v="Abr-2019"/>
    <x v="1"/>
    <n v="413"/>
    <x v="9"/>
    <n v="0.73"/>
    <n v="9.15"/>
    <s v="90400888"/>
    <x v="87"/>
  </r>
  <r>
    <s v="Abr-2019"/>
    <x v="0"/>
    <n v="250"/>
    <x v="4"/>
    <n v="0.56999999999999995"/>
    <n v="7.04"/>
    <s v="00360305"/>
    <x v="87"/>
  </r>
  <r>
    <s v="Abr-2019"/>
    <x v="2"/>
    <n v="249"/>
    <x v="0"/>
    <n v="1.23"/>
    <n v="15.77"/>
    <s v="00655522"/>
    <x v="87"/>
  </r>
  <r>
    <s v="Abr-2019"/>
    <x v="1"/>
    <n v="271"/>
    <x v="2"/>
    <n v="0.68"/>
    <n v="8.5"/>
    <s v="60701190"/>
    <x v="87"/>
  </r>
  <r>
    <s v="Abr-2019"/>
    <x v="2"/>
    <n v="190"/>
    <x v="26"/>
    <n v="1.1100000000000001"/>
    <n v="14.17"/>
    <s v="18282093"/>
    <x v="87"/>
  </r>
  <r>
    <s v="Abr-2019"/>
    <x v="3"/>
    <n v="46"/>
    <x v="9"/>
    <n v="0.76"/>
    <n v="9.49"/>
    <s v="90400888"/>
    <x v="87"/>
  </r>
  <r>
    <s v="Mai-2019"/>
    <x v="0"/>
    <n v="1048"/>
    <x v="17"/>
    <n v="0.75"/>
    <n v="9.42"/>
    <s v="00416968"/>
    <x v="88"/>
  </r>
  <r>
    <s v="Mai-2019"/>
    <x v="0"/>
    <n v="1031"/>
    <x v="18"/>
    <n v="0.75"/>
    <n v="9.3699999999999992"/>
    <s v="92702067"/>
    <x v="88"/>
  </r>
  <r>
    <s v="Mai-2019"/>
    <x v="0"/>
    <n v="919"/>
    <x v="2"/>
    <n v="0.73"/>
    <n v="9.06"/>
    <s v="60701190"/>
    <x v="88"/>
  </r>
  <r>
    <s v="Mai-2019"/>
    <x v="0"/>
    <n v="916"/>
    <x v="0"/>
    <n v="0.72"/>
    <n v="9.0399999999999991"/>
    <s v="00655522"/>
    <x v="88"/>
  </r>
  <r>
    <s v="Mai-2019"/>
    <x v="1"/>
    <n v="958"/>
    <x v="0"/>
    <n v="1"/>
    <n v="12.62"/>
    <s v="00655522"/>
    <x v="88"/>
  </r>
  <r>
    <s v="Mai-2019"/>
    <x v="0"/>
    <n v="870"/>
    <x v="9"/>
    <n v="0.71"/>
    <n v="8.92"/>
    <s v="90400888"/>
    <x v="88"/>
  </r>
  <r>
    <s v="Mai-2019"/>
    <x v="1"/>
    <n v="765"/>
    <x v="4"/>
    <n v="0.88"/>
    <n v="11.09"/>
    <s v="00360305"/>
    <x v="88"/>
  </r>
  <r>
    <s v="Mai-2019"/>
    <x v="0"/>
    <n v="816"/>
    <x v="27"/>
    <n v="0.7"/>
    <n v="8.76"/>
    <s v="02038232"/>
    <x v="88"/>
  </r>
  <r>
    <s v="Mai-2019"/>
    <x v="1"/>
    <n v="650"/>
    <x v="18"/>
    <n v="0.82"/>
    <n v="10.27"/>
    <s v="92702067"/>
    <x v="88"/>
  </r>
  <r>
    <s v="Mai-2019"/>
    <x v="0"/>
    <n v="778"/>
    <x v="7"/>
    <n v="0.7"/>
    <n v="8.69"/>
    <s v="60746948"/>
    <x v="88"/>
  </r>
  <r>
    <s v="Mai-2019"/>
    <x v="1"/>
    <n v="613"/>
    <x v="17"/>
    <n v="0.81"/>
    <n v="10.130000000000001"/>
    <s v="00416968"/>
    <x v="88"/>
  </r>
  <r>
    <s v="Mai-2019"/>
    <x v="0"/>
    <n v="650"/>
    <x v="11"/>
    <n v="0.67"/>
    <n v="8.39"/>
    <s v="28127603"/>
    <x v="88"/>
  </r>
  <r>
    <s v="Mai-2019"/>
    <x v="1"/>
    <n v="510"/>
    <x v="10"/>
    <n v="0.77"/>
    <n v="9.58"/>
    <s v="00000000"/>
    <x v="88"/>
  </r>
  <r>
    <s v="Mai-2019"/>
    <x v="0"/>
    <n v="536"/>
    <x v="13"/>
    <n v="0.64"/>
    <n v="7.92"/>
    <s v="00000208"/>
    <x v="88"/>
  </r>
  <r>
    <s v="Mai-2019"/>
    <x v="1"/>
    <n v="368"/>
    <x v="11"/>
    <n v="0.72"/>
    <n v="8.99"/>
    <s v="28127603"/>
    <x v="88"/>
  </r>
  <r>
    <s v="Mai-2019"/>
    <x v="0"/>
    <n v="524"/>
    <x v="15"/>
    <n v="0.63"/>
    <n v="7.89"/>
    <s v="13009717"/>
    <x v="88"/>
  </r>
  <r>
    <s v="Mai-2019"/>
    <x v="1"/>
    <n v="361"/>
    <x v="7"/>
    <n v="0.72"/>
    <n v="8.9600000000000009"/>
    <s v="60746948"/>
    <x v="88"/>
  </r>
  <r>
    <s v="Mai-2019"/>
    <x v="0"/>
    <n v="435"/>
    <x v="10"/>
    <n v="0.61"/>
    <n v="7.62"/>
    <s v="00000000"/>
    <x v="88"/>
  </r>
  <r>
    <s v="Mai-2019"/>
    <x v="1"/>
    <n v="346"/>
    <x v="9"/>
    <n v="0.71"/>
    <n v="8.8800000000000008"/>
    <s v="90400888"/>
    <x v="88"/>
  </r>
  <r>
    <s v="Mai-2019"/>
    <x v="0"/>
    <n v="273"/>
    <x v="4"/>
    <n v="0.57999999999999996"/>
    <n v="7.18"/>
    <s v="00360305"/>
    <x v="88"/>
  </r>
  <r>
    <s v="Mai-2019"/>
    <x v="2"/>
    <n v="236"/>
    <x v="0"/>
    <n v="1.21"/>
    <n v="15.5"/>
    <s v="00655522"/>
    <x v="88"/>
  </r>
  <r>
    <s v="Mai-2019"/>
    <x v="1"/>
    <n v="275"/>
    <x v="2"/>
    <n v="0.69"/>
    <n v="8.56"/>
    <s v="60701190"/>
    <x v="88"/>
  </r>
  <r>
    <s v="Mai-2019"/>
    <x v="3"/>
    <n v="117"/>
    <x v="9"/>
    <n v="0.91"/>
    <n v="11.5"/>
    <s v="90400888"/>
    <x v="88"/>
  </r>
  <r>
    <s v="Mai-2019"/>
    <x v="2"/>
    <n v="170"/>
    <x v="26"/>
    <n v="1.06"/>
    <n v="13.44"/>
    <s v="18282093"/>
    <x v="88"/>
  </r>
  <r>
    <s v="Mai-2019"/>
    <x v="3"/>
    <n v="8"/>
    <x v="10"/>
    <n v="0"/>
    <n v="0"/>
    <s v="00000000"/>
    <x v="88"/>
  </r>
  <r>
    <s v="Jun-2019"/>
    <x v="0"/>
    <n v="1111"/>
    <x v="9"/>
    <n v="0.77"/>
    <n v="9.6199999999999992"/>
    <s v="90400888"/>
    <x v="89"/>
  </r>
  <r>
    <s v="Jun-2019"/>
    <x v="0"/>
    <n v="1020"/>
    <x v="18"/>
    <n v="0.75"/>
    <n v="9.34"/>
    <s v="92702067"/>
    <x v="89"/>
  </r>
  <r>
    <s v="Jun-2019"/>
    <x v="0"/>
    <n v="906"/>
    <x v="2"/>
    <n v="0.72"/>
    <n v="9.02"/>
    <s v="60701190"/>
    <x v="89"/>
  </r>
  <r>
    <s v="Jun-2019"/>
    <x v="0"/>
    <n v="860"/>
    <x v="0"/>
    <n v="0.71"/>
    <n v="8.9"/>
    <s v="00655522"/>
    <x v="89"/>
  </r>
  <r>
    <s v="Jun-2019"/>
    <x v="1"/>
    <n v="839"/>
    <x v="0"/>
    <n v="0.91"/>
    <n v="11.51"/>
    <s v="00655522"/>
    <x v="89"/>
  </r>
  <r>
    <s v="Jun-2019"/>
    <x v="0"/>
    <n v="786"/>
    <x v="27"/>
    <n v="0.7"/>
    <n v="8.7100000000000009"/>
    <s v="02038232"/>
    <x v="89"/>
  </r>
  <r>
    <s v="Jun-2019"/>
    <x v="1"/>
    <n v="712"/>
    <x v="11"/>
    <n v="0.85"/>
    <n v="10.64"/>
    <s v="28127603"/>
    <x v="89"/>
  </r>
  <r>
    <s v="Jun-2019"/>
    <x v="0"/>
    <n v="771"/>
    <x v="7"/>
    <n v="0.7"/>
    <n v="8.67"/>
    <s v="60746948"/>
    <x v="89"/>
  </r>
  <r>
    <s v="Jun-2019"/>
    <x v="1"/>
    <n v="703"/>
    <x v="18"/>
    <n v="0.84"/>
    <n v="10.6"/>
    <s v="92702067"/>
    <x v="89"/>
  </r>
  <r>
    <s v="Jun-2019"/>
    <x v="0"/>
    <n v="660"/>
    <x v="11"/>
    <n v="0.68"/>
    <n v="8.43"/>
    <s v="28127603"/>
    <x v="89"/>
  </r>
  <r>
    <s v="Jun-2019"/>
    <x v="1"/>
    <n v="629"/>
    <x v="10"/>
    <n v="0.81"/>
    <n v="10.18"/>
    <s v="00000000"/>
    <x v="89"/>
  </r>
  <r>
    <s v="Jun-2019"/>
    <x v="0"/>
    <n v="538"/>
    <x v="15"/>
    <n v="0.64"/>
    <n v="7.93"/>
    <s v="13009717"/>
    <x v="89"/>
  </r>
  <r>
    <s v="Jun-2019"/>
    <x v="1"/>
    <n v="617"/>
    <x v="4"/>
    <n v="0.81"/>
    <n v="10.15"/>
    <s v="00360305"/>
    <x v="89"/>
  </r>
  <r>
    <s v="Jun-2019"/>
    <x v="0"/>
    <n v="532"/>
    <x v="13"/>
    <n v="0.64"/>
    <n v="7.91"/>
    <s v="00000208"/>
    <x v="89"/>
  </r>
  <r>
    <s v="Jun-2019"/>
    <x v="1"/>
    <n v="445"/>
    <x v="9"/>
    <n v="0.74"/>
    <n v="9.27"/>
    <s v="90400888"/>
    <x v="89"/>
  </r>
  <r>
    <s v="Jun-2019"/>
    <x v="0"/>
    <n v="408"/>
    <x v="10"/>
    <n v="0.61"/>
    <n v="7.55"/>
    <s v="00000000"/>
    <x v="89"/>
  </r>
  <r>
    <s v="Jun-2019"/>
    <x v="1"/>
    <n v="362"/>
    <x v="7"/>
    <n v="0.72"/>
    <n v="8.9600000000000009"/>
    <s v="60746948"/>
    <x v="89"/>
  </r>
  <r>
    <s v="Jun-2019"/>
    <x v="0"/>
    <n v="243"/>
    <x v="4"/>
    <n v="0.56999999999999995"/>
    <n v="7"/>
    <s v="00360305"/>
    <x v="89"/>
  </r>
  <r>
    <s v="Jun-2019"/>
    <x v="2"/>
    <n v="199"/>
    <x v="0"/>
    <n v="1.1299999999999999"/>
    <n v="14.39"/>
    <s v="00655522"/>
    <x v="89"/>
  </r>
  <r>
    <s v="Jun-2019"/>
    <x v="1"/>
    <n v="262"/>
    <x v="2"/>
    <n v="0.68"/>
    <n v="8.48"/>
    <s v="60701190"/>
    <x v="89"/>
  </r>
  <r>
    <s v="Jun-2019"/>
    <x v="2"/>
    <n v="163"/>
    <x v="26"/>
    <n v="1.05"/>
    <n v="13.3"/>
    <s v="18282093"/>
    <x v="89"/>
  </r>
  <r>
    <s v="Jun-2019"/>
    <x v="3"/>
    <n v="86"/>
    <x v="9"/>
    <n v="0.87"/>
    <n v="10.91"/>
    <s v="90400888"/>
    <x v="89"/>
  </r>
  <r>
    <s v="Jul-2019"/>
    <x v="0"/>
    <n v="1049"/>
    <x v="9"/>
    <n v="0.75"/>
    <n v="9.42"/>
    <s v="90400888"/>
    <x v="90"/>
  </r>
  <r>
    <s v="Jul-2019"/>
    <x v="0"/>
    <n v="1024"/>
    <x v="17"/>
    <n v="0.75"/>
    <n v="9.36"/>
    <s v="00416968"/>
    <x v="90"/>
  </r>
  <r>
    <s v="Jul-2019"/>
    <x v="0"/>
    <n v="989"/>
    <x v="18"/>
    <n v="0.74"/>
    <n v="9.24"/>
    <s v="92702067"/>
    <x v="90"/>
  </r>
  <r>
    <s v="Jul-2019"/>
    <x v="0"/>
    <n v="885"/>
    <x v="2"/>
    <n v="0.72"/>
    <n v="8.9499999999999993"/>
    <s v="60701190"/>
    <x v="90"/>
  </r>
  <r>
    <s v="Jul-2019"/>
    <x v="1"/>
    <n v="828"/>
    <x v="0"/>
    <n v="0.91"/>
    <n v="11.46"/>
    <s v="00655522"/>
    <x v="90"/>
  </r>
  <r>
    <s v="Jul-2019"/>
    <x v="0"/>
    <n v="828"/>
    <x v="0"/>
    <n v="0.71"/>
    <n v="8.8000000000000007"/>
    <s v="00655522"/>
    <x v="90"/>
  </r>
  <r>
    <s v="Jul-2019"/>
    <x v="1"/>
    <n v="819"/>
    <x v="11"/>
    <n v="0.91"/>
    <n v="11.42"/>
    <s v="28127603"/>
    <x v="90"/>
  </r>
  <r>
    <s v="Jul-2019"/>
    <x v="0"/>
    <n v="808"/>
    <x v="27"/>
    <n v="0.7"/>
    <n v="8.74"/>
    <s v="02038232"/>
    <x v="90"/>
  </r>
  <r>
    <s v="Jul-2019"/>
    <x v="1"/>
    <n v="659"/>
    <x v="10"/>
    <n v="0.82"/>
    <n v="10.31"/>
    <s v="00000000"/>
    <x v="90"/>
  </r>
  <r>
    <s v="Jul-2019"/>
    <x v="0"/>
    <n v="763"/>
    <x v="7"/>
    <n v="0.69"/>
    <n v="8.65"/>
    <s v="60746948"/>
    <x v="90"/>
  </r>
  <r>
    <s v="Jul-2019"/>
    <x v="1"/>
    <n v="656"/>
    <x v="4"/>
    <n v="0.82"/>
    <n v="10.3"/>
    <s v="00360305"/>
    <x v="90"/>
  </r>
  <r>
    <s v="Jul-2019"/>
    <x v="0"/>
    <n v="631"/>
    <x v="11"/>
    <n v="0.67"/>
    <n v="8.33"/>
    <s v="28127603"/>
    <x v="90"/>
  </r>
  <r>
    <s v="Jul-2019"/>
    <x v="1"/>
    <n v="564"/>
    <x v="18"/>
    <n v="0.79"/>
    <n v="9.85"/>
    <s v="92702067"/>
    <x v="90"/>
  </r>
  <r>
    <s v="Jul-2019"/>
    <x v="0"/>
    <n v="510"/>
    <x v="13"/>
    <n v="0.63"/>
    <n v="7.85"/>
    <s v="00000208"/>
    <x v="90"/>
  </r>
  <r>
    <s v="Jul-2019"/>
    <x v="1"/>
    <n v="423"/>
    <x v="17"/>
    <n v="0.74"/>
    <n v="9.1999999999999993"/>
    <s v="00416968"/>
    <x v="90"/>
  </r>
  <r>
    <s v="Jul-2019"/>
    <x v="0"/>
    <n v="501"/>
    <x v="15"/>
    <n v="0.63"/>
    <n v="7.82"/>
    <s v="13009717"/>
    <x v="90"/>
  </r>
  <r>
    <s v="Jul-2019"/>
    <x v="1"/>
    <n v="414"/>
    <x v="9"/>
    <n v="0.73"/>
    <n v="9.15"/>
    <s v="90400888"/>
    <x v="90"/>
  </r>
  <r>
    <s v="Jul-2019"/>
    <x v="0"/>
    <n v="424"/>
    <x v="10"/>
    <n v="0.61"/>
    <n v="7.59"/>
    <s v="00000000"/>
    <x v="90"/>
  </r>
  <r>
    <s v="Jul-2019"/>
    <x v="1"/>
    <n v="331"/>
    <x v="7"/>
    <n v="0.7"/>
    <n v="8.7899999999999991"/>
    <s v="60746948"/>
    <x v="90"/>
  </r>
  <r>
    <s v="Jul-2019"/>
    <x v="0"/>
    <n v="254"/>
    <x v="4"/>
    <n v="0.56999999999999995"/>
    <n v="7.06"/>
    <s v="00360305"/>
    <x v="90"/>
  </r>
  <r>
    <s v="Jul-2019"/>
    <x v="2"/>
    <n v="200"/>
    <x v="0"/>
    <n v="1.1299999999999999"/>
    <n v="14.4"/>
    <s v="00655522"/>
    <x v="90"/>
  </r>
  <r>
    <s v="Jul-2019"/>
    <x v="1"/>
    <n v="263"/>
    <x v="2"/>
    <n v="0.68"/>
    <n v="8.48"/>
    <s v="60701190"/>
    <x v="90"/>
  </r>
  <r>
    <s v="Jul-2019"/>
    <x v="2"/>
    <n v="101"/>
    <x v="26"/>
    <n v="0.97"/>
    <n v="12.26"/>
    <s v="18282093"/>
    <x v="90"/>
  </r>
  <r>
    <s v="Jul-2019"/>
    <x v="3"/>
    <n v="90"/>
    <x v="9"/>
    <n v="0.89"/>
    <n v="11.18"/>
    <s v="90400888"/>
    <x v="90"/>
  </r>
  <r>
    <s v="Ago-2019"/>
    <x v="0"/>
    <n v="1043"/>
    <x v="17"/>
    <n v="0.75"/>
    <n v="9.4"/>
    <s v="00416968"/>
    <x v="91"/>
  </r>
  <r>
    <s v="Ago-2019"/>
    <x v="0"/>
    <n v="1021"/>
    <x v="9"/>
    <n v="0.75"/>
    <n v="9.34"/>
    <s v="90400888"/>
    <x v="91"/>
  </r>
  <r>
    <s v="Ago-2019"/>
    <x v="0"/>
    <n v="943"/>
    <x v="18"/>
    <n v="0.73"/>
    <n v="9.14"/>
    <s v="92702067"/>
    <x v="91"/>
  </r>
  <r>
    <s v="Ago-2019"/>
    <x v="0"/>
    <n v="845"/>
    <x v="2"/>
    <n v="0.71"/>
    <n v="8.84"/>
    <s v="60701190"/>
    <x v="91"/>
  </r>
  <r>
    <s v="Ago-2019"/>
    <x v="1"/>
    <n v="624"/>
    <x v="0"/>
    <n v="0.81"/>
    <n v="10.16"/>
    <s v="00655522"/>
    <x v="91"/>
  </r>
  <r>
    <s v="Ago-2019"/>
    <x v="0"/>
    <n v="735"/>
    <x v="7"/>
    <n v="0.69"/>
    <n v="8.59"/>
    <s v="60746948"/>
    <x v="91"/>
  </r>
  <r>
    <s v="Ago-2019"/>
    <x v="1"/>
    <n v="607"/>
    <x v="18"/>
    <n v="0.81"/>
    <n v="10.11"/>
    <s v="92702067"/>
    <x v="91"/>
  </r>
  <r>
    <s v="Ago-2019"/>
    <x v="0"/>
    <n v="716"/>
    <x v="0"/>
    <n v="0.69"/>
    <n v="8.5399999999999991"/>
    <s v="00655522"/>
    <x v="91"/>
  </r>
  <r>
    <s v="Ago-2019"/>
    <x v="1"/>
    <n v="566"/>
    <x v="10"/>
    <n v="0.79"/>
    <n v="9.85"/>
    <s v="00000000"/>
    <x v="91"/>
  </r>
  <r>
    <s v="Ago-2019"/>
    <x v="0"/>
    <n v="672"/>
    <x v="10"/>
    <n v="0.68"/>
    <n v="8.4600000000000009"/>
    <s v="00000000"/>
    <x v="91"/>
  </r>
  <r>
    <s v="Ago-2019"/>
    <x v="1"/>
    <n v="428"/>
    <x v="11"/>
    <n v="0.74"/>
    <n v="9.2200000000000006"/>
    <s v="28127603"/>
    <x v="91"/>
  </r>
  <r>
    <s v="Ago-2019"/>
    <x v="0"/>
    <n v="606"/>
    <x v="11"/>
    <n v="0.66"/>
    <n v="8.2100000000000009"/>
    <s v="28127603"/>
    <x v="91"/>
  </r>
  <r>
    <s v="Ago-2019"/>
    <x v="1"/>
    <n v="424"/>
    <x v="17"/>
    <n v="0.74"/>
    <n v="9.1999999999999993"/>
    <s v="00416968"/>
    <x v="91"/>
  </r>
  <r>
    <s v="Ago-2019"/>
    <x v="0"/>
    <n v="563"/>
    <x v="27"/>
    <n v="0.64"/>
    <n v="8"/>
    <s v="02038232"/>
    <x v="91"/>
  </r>
  <r>
    <s v="Ago-2019"/>
    <x v="1"/>
    <n v="363"/>
    <x v="9"/>
    <n v="0.72"/>
    <n v="8.9600000000000009"/>
    <s v="90400888"/>
    <x v="91"/>
  </r>
  <r>
    <s v="Ago-2019"/>
    <x v="0"/>
    <n v="494"/>
    <x v="13"/>
    <n v="0.63"/>
    <n v="7.81"/>
    <s v="00000208"/>
    <x v="91"/>
  </r>
  <r>
    <s v="Ago-2019"/>
    <x v="1"/>
    <n v="315"/>
    <x v="7"/>
    <n v="0.7"/>
    <n v="8.7100000000000009"/>
    <s v="60746948"/>
    <x v="91"/>
  </r>
  <r>
    <s v="Ago-2019"/>
    <x v="0"/>
    <n v="458"/>
    <x v="4"/>
    <n v="0.62"/>
    <n v="7.72"/>
    <s v="00360305"/>
    <x v="91"/>
  </r>
  <r>
    <s v="Ago-2019"/>
    <x v="1"/>
    <n v="306"/>
    <x v="4"/>
    <n v="0.7"/>
    <n v="8.68"/>
    <s v="00360305"/>
    <x v="91"/>
  </r>
  <r>
    <s v="Ago-2019"/>
    <x v="0"/>
    <n v="438"/>
    <x v="15"/>
    <n v="0.62"/>
    <n v="7.65"/>
    <s v="13009717"/>
    <x v="91"/>
  </r>
  <r>
    <s v="Ago-2019"/>
    <x v="2"/>
    <n v="225"/>
    <x v="0"/>
    <n v="1.19"/>
    <n v="15.21"/>
    <s v="00655522"/>
    <x v="91"/>
  </r>
  <r>
    <s v="Ago-2019"/>
    <x v="1"/>
    <n v="245"/>
    <x v="2"/>
    <n v="0.67"/>
    <n v="8.34"/>
    <s v="60701190"/>
    <x v="91"/>
  </r>
  <r>
    <s v="Ago-2019"/>
    <x v="2"/>
    <n v="152"/>
    <x v="26"/>
    <n v="1.04"/>
    <n v="13.16"/>
    <s v="18282093"/>
    <x v="91"/>
  </r>
  <r>
    <s v="Set-2019"/>
    <x v="0"/>
    <n v="1033"/>
    <x v="17"/>
    <n v="0.75"/>
    <n v="9.3699999999999992"/>
    <s v="00416968"/>
    <x v="92"/>
  </r>
  <r>
    <s v="Set-2019"/>
    <x v="0"/>
    <n v="929"/>
    <x v="18"/>
    <n v="0.73"/>
    <n v="9.09"/>
    <s v="92702067"/>
    <x v="92"/>
  </r>
  <r>
    <s v="Set-2019"/>
    <x v="1"/>
    <n v="1002"/>
    <x v="6"/>
    <n v="1.08"/>
    <n v="13.71"/>
    <s v="14511781"/>
    <x v="92"/>
  </r>
  <r>
    <s v="Set-2019"/>
    <x v="0"/>
    <n v="876"/>
    <x v="0"/>
    <n v="0.72"/>
    <n v="8.93"/>
    <s v="00655522"/>
    <x v="92"/>
  </r>
  <r>
    <s v="Set-2019"/>
    <x v="1"/>
    <n v="808"/>
    <x v="5"/>
    <n v="0.9"/>
    <n v="11.38"/>
    <s v="17184037"/>
    <x v="92"/>
  </r>
  <r>
    <s v="Set-2019"/>
    <x v="0"/>
    <n v="815"/>
    <x v="2"/>
    <n v="0.7"/>
    <n v="8.75"/>
    <s v="60701190"/>
    <x v="92"/>
  </r>
  <r>
    <s v="Set-2019"/>
    <x v="1"/>
    <n v="741"/>
    <x v="11"/>
    <n v="0.87"/>
    <n v="10.92"/>
    <s v="28127603"/>
    <x v="92"/>
  </r>
  <r>
    <s v="Set-2019"/>
    <x v="0"/>
    <n v="720"/>
    <x v="7"/>
    <n v="0.69"/>
    <n v="8.5500000000000007"/>
    <s v="60746948"/>
    <x v="92"/>
  </r>
  <r>
    <s v="Set-2019"/>
    <x v="1"/>
    <n v="691"/>
    <x v="0"/>
    <n v="0.84"/>
    <n v="10.51"/>
    <s v="00655522"/>
    <x v="92"/>
  </r>
  <r>
    <s v="Set-2019"/>
    <x v="0"/>
    <n v="641"/>
    <x v="9"/>
    <n v="0.67"/>
    <n v="8.36"/>
    <s v="90400888"/>
    <x v="92"/>
  </r>
  <r>
    <s v="Set-2019"/>
    <x v="1"/>
    <n v="565"/>
    <x v="10"/>
    <n v="0.79"/>
    <n v="9.85"/>
    <s v="00000000"/>
    <x v="92"/>
  </r>
  <r>
    <s v="Set-2019"/>
    <x v="0"/>
    <n v="569"/>
    <x v="11"/>
    <n v="0.65"/>
    <n v="8.0500000000000007"/>
    <s v="28127603"/>
    <x v="92"/>
  </r>
  <r>
    <s v="Set-2019"/>
    <x v="1"/>
    <n v="556"/>
    <x v="18"/>
    <n v="0.78"/>
    <n v="9.7899999999999991"/>
    <s v="92702067"/>
    <x v="92"/>
  </r>
  <r>
    <s v="Set-2019"/>
    <x v="0"/>
    <n v="568"/>
    <x v="10"/>
    <n v="0.65"/>
    <n v="8.0399999999999991"/>
    <s v="00000000"/>
    <x v="92"/>
  </r>
  <r>
    <s v="Set-2019"/>
    <x v="1"/>
    <n v="421"/>
    <x v="17"/>
    <n v="0.73"/>
    <n v="9.18"/>
    <s v="00416968"/>
    <x v="92"/>
  </r>
  <r>
    <s v="Set-2019"/>
    <x v="0"/>
    <n v="427"/>
    <x v="13"/>
    <n v="0.61"/>
    <n v="7.6"/>
    <s v="00000208"/>
    <x v="92"/>
  </r>
  <r>
    <s v="Set-2019"/>
    <x v="1"/>
    <n v="300"/>
    <x v="7"/>
    <n v="0.69"/>
    <n v="8.65"/>
    <s v="60746948"/>
    <x v="92"/>
  </r>
  <r>
    <s v="Set-2019"/>
    <x v="0"/>
    <n v="391"/>
    <x v="15"/>
    <n v="0.6"/>
    <n v="7.5"/>
    <s v="13009717"/>
    <x v="92"/>
  </r>
  <r>
    <s v="Set-2019"/>
    <x v="1"/>
    <n v="288"/>
    <x v="4"/>
    <n v="0.69"/>
    <n v="8.6"/>
    <s v="00360305"/>
    <x v="92"/>
  </r>
  <r>
    <s v="Set-2019"/>
    <x v="0"/>
    <n v="303"/>
    <x v="27"/>
    <n v="0.59"/>
    <n v="7.34"/>
    <s v="02038232"/>
    <x v="92"/>
  </r>
  <r>
    <s v="Set-2019"/>
    <x v="4"/>
    <n v="119"/>
    <x v="6"/>
    <n v="0.92"/>
    <n v="11.59"/>
    <s v="14511781"/>
    <x v="92"/>
  </r>
  <r>
    <s v="Set-2019"/>
    <x v="1"/>
    <n v="242"/>
    <x v="2"/>
    <n v="0.67"/>
    <n v="8.31"/>
    <s v="60701190"/>
    <x v="92"/>
  </r>
  <r>
    <s v="Set-2019"/>
    <x v="4"/>
    <n v="57"/>
    <x v="28"/>
    <n v="0.73"/>
    <n v="9.08"/>
    <s v="00795423"/>
    <x v="92"/>
  </r>
  <r>
    <s v="Set-2019"/>
    <x v="0"/>
    <n v="237"/>
    <x v="4"/>
    <n v="0.56000000000000005"/>
    <n v="6.95"/>
    <s v="00360305"/>
    <x v="92"/>
  </r>
  <r>
    <s v="Set-2019"/>
    <x v="2"/>
    <n v="228"/>
    <x v="0"/>
    <n v="1.19"/>
    <n v="15.27"/>
    <s v="00655522"/>
    <x v="92"/>
  </r>
  <r>
    <s v="Set-2019"/>
    <x v="1"/>
    <n v="240"/>
    <x v="9"/>
    <n v="0.67"/>
    <n v="8.2899999999999991"/>
    <s v="90400888"/>
    <x v="92"/>
  </r>
  <r>
    <s v="Set-2019"/>
    <x v="2"/>
    <n v="168"/>
    <x v="26"/>
    <n v="1.05"/>
    <n v="13.37"/>
    <s v="18282093"/>
    <x v="92"/>
  </r>
  <r>
    <s v="Out-2019"/>
    <x v="0"/>
    <n v="859"/>
    <x v="18"/>
    <n v="0.71"/>
    <n v="8.89"/>
    <s v="92702067"/>
    <x v="93"/>
  </r>
  <r>
    <s v="Out-2019"/>
    <x v="0"/>
    <n v="733"/>
    <x v="0"/>
    <n v="0.69"/>
    <n v="8.58"/>
    <s v="00655522"/>
    <x v="93"/>
  </r>
  <r>
    <s v="Out-2019"/>
    <x v="1"/>
    <n v="782"/>
    <x v="18"/>
    <n v="0.89"/>
    <n v="11.27"/>
    <s v="92702067"/>
    <x v="93"/>
  </r>
  <r>
    <s v="Out-2019"/>
    <x v="0"/>
    <n v="699"/>
    <x v="17"/>
    <n v="0.68"/>
    <n v="8.5"/>
    <s v="00416968"/>
    <x v="93"/>
  </r>
  <r>
    <s v="Out-2019"/>
    <x v="1"/>
    <n v="727"/>
    <x v="0"/>
    <n v="0.86"/>
    <n v="10.78"/>
    <s v="00655522"/>
    <x v="93"/>
  </r>
  <r>
    <s v="Out-2019"/>
    <x v="0"/>
    <n v="663"/>
    <x v="7"/>
    <n v="0.68"/>
    <n v="8.43"/>
    <s v="60746948"/>
    <x v="93"/>
  </r>
  <r>
    <s v="Out-2019"/>
    <x v="1"/>
    <n v="683"/>
    <x v="11"/>
    <n v="0.83"/>
    <n v="10.48"/>
    <s v="28127603"/>
    <x v="93"/>
  </r>
  <r>
    <s v="Out-2019"/>
    <x v="0"/>
    <n v="635"/>
    <x v="9"/>
    <n v="0.67"/>
    <n v="8.34"/>
    <s v="90400888"/>
    <x v="93"/>
  </r>
  <r>
    <s v="Out-2019"/>
    <x v="1"/>
    <n v="580"/>
    <x v="10"/>
    <n v="0.8"/>
    <n v="9.9700000000000006"/>
    <s v="00000000"/>
    <x v="93"/>
  </r>
  <r>
    <s v="Out-2019"/>
    <x v="0"/>
    <n v="592"/>
    <x v="2"/>
    <n v="0.66"/>
    <n v="8.16"/>
    <s v="60701190"/>
    <x v="93"/>
  </r>
  <r>
    <s v="Out-2019"/>
    <x v="1"/>
    <n v="446"/>
    <x v="17"/>
    <n v="0.74"/>
    <n v="9.27"/>
    <s v="00416968"/>
    <x v="93"/>
  </r>
  <r>
    <s v="Out-2019"/>
    <x v="0"/>
    <n v="545"/>
    <x v="11"/>
    <n v="0.64"/>
    <n v="7.95"/>
    <s v="28127603"/>
    <x v="93"/>
  </r>
  <r>
    <s v="Out-2019"/>
    <x v="1"/>
    <n v="279"/>
    <x v="7"/>
    <n v="0.69"/>
    <n v="8.57"/>
    <s v="60746948"/>
    <x v="93"/>
  </r>
  <r>
    <s v="Out-2019"/>
    <x v="0"/>
    <n v="351"/>
    <x v="15"/>
    <n v="0.6"/>
    <n v="7.43"/>
    <s v="13009717"/>
    <x v="93"/>
  </r>
  <r>
    <s v="Out-2019"/>
    <x v="1"/>
    <n v="274"/>
    <x v="4"/>
    <n v="0.69"/>
    <n v="8.5399999999999991"/>
    <s v="00360305"/>
    <x v="93"/>
  </r>
  <r>
    <s v="Out-2019"/>
    <x v="0"/>
    <n v="305"/>
    <x v="27"/>
    <n v="0.59"/>
    <n v="7.35"/>
    <s v="02038232"/>
    <x v="93"/>
  </r>
  <r>
    <s v="Out-2019"/>
    <x v="1"/>
    <n v="238"/>
    <x v="9"/>
    <n v="0.66"/>
    <n v="8.26"/>
    <s v="90400888"/>
    <x v="93"/>
  </r>
  <r>
    <s v="Out-2019"/>
    <x v="0"/>
    <n v="302"/>
    <x v="13"/>
    <n v="0.59"/>
    <n v="7.33"/>
    <s v="00000208"/>
    <x v="93"/>
  </r>
  <r>
    <s v="Out-2019"/>
    <x v="1"/>
    <n v="206"/>
    <x v="2"/>
    <n v="0.63"/>
    <n v="7.81"/>
    <s v="60701190"/>
    <x v="93"/>
  </r>
  <r>
    <s v="Out-2019"/>
    <x v="0"/>
    <n v="284"/>
    <x v="10"/>
    <n v="0.57999999999999996"/>
    <n v="7.23"/>
    <s v="00000000"/>
    <x v="93"/>
  </r>
  <r>
    <s v="Out-2019"/>
    <x v="4"/>
    <n v="130"/>
    <x v="6"/>
    <n v="1.1100000000000001"/>
    <n v="14.14"/>
    <s v="14511781"/>
    <x v="93"/>
  </r>
  <r>
    <s v="Out-2019"/>
    <x v="1"/>
    <n v="143"/>
    <x v="27"/>
    <n v="0.59"/>
    <n v="7.35"/>
    <s v="02038232"/>
    <x v="93"/>
  </r>
  <r>
    <s v="Out-2019"/>
    <x v="4"/>
    <n v="62"/>
    <x v="28"/>
    <n v="0.74"/>
    <n v="9.26"/>
    <s v="00795423"/>
    <x v="93"/>
  </r>
  <r>
    <s v="Out-2019"/>
    <x v="0"/>
    <n v="183"/>
    <x v="4"/>
    <n v="0.55000000000000004"/>
    <n v="6.76"/>
    <s v="00360305"/>
    <x v="93"/>
  </r>
  <r>
    <s v="Out-2019"/>
    <x v="2"/>
    <n v="255"/>
    <x v="0"/>
    <n v="1.24"/>
    <n v="15.95"/>
    <s v="00655522"/>
    <x v="93"/>
  </r>
  <r>
    <s v="Out-2019"/>
    <x v="1"/>
    <n v="118"/>
    <x v="15"/>
    <n v="0.57999999999999996"/>
    <n v="7.2"/>
    <s v="13009717"/>
    <x v="93"/>
  </r>
  <r>
    <s v="Out-2019"/>
    <x v="2"/>
    <n v="177"/>
    <x v="26"/>
    <n v="1.08"/>
    <n v="13.73"/>
    <s v="18282093"/>
    <x v="93"/>
  </r>
  <r>
    <s v="Nov-2019"/>
    <x v="0"/>
    <n v="747"/>
    <x v="18"/>
    <n v="0.69"/>
    <n v="8.61"/>
    <s v="92702067"/>
    <x v="94"/>
  </r>
  <r>
    <s v="Nov-2019"/>
    <x v="0"/>
    <n v="711"/>
    <x v="0"/>
    <n v="0.68"/>
    <n v="8.5299999999999994"/>
    <s v="00655522"/>
    <x v="94"/>
  </r>
  <r>
    <s v="Nov-2019"/>
    <x v="0"/>
    <n v="701"/>
    <x v="17"/>
    <n v="0.68"/>
    <n v="8.51"/>
    <s v="00416968"/>
    <x v="94"/>
  </r>
  <r>
    <s v="Nov-2019"/>
    <x v="1"/>
    <n v="756"/>
    <x v="11"/>
    <n v="0.88"/>
    <n v="11.03"/>
    <s v="28127603"/>
    <x v="94"/>
  </r>
  <r>
    <s v="Nov-2019"/>
    <x v="0"/>
    <n v="632"/>
    <x v="9"/>
    <n v="0.67"/>
    <n v="8.33"/>
    <s v="90400888"/>
    <x v="94"/>
  </r>
  <r>
    <s v="Nov-2019"/>
    <x v="1"/>
    <n v="633"/>
    <x v="0"/>
    <n v="0.81"/>
    <n v="10.199999999999999"/>
    <s v="00655522"/>
    <x v="94"/>
  </r>
  <r>
    <s v="Nov-2019"/>
    <x v="0"/>
    <n v="593"/>
    <x v="7"/>
    <n v="0.66"/>
    <n v="8.17"/>
    <s v="60746948"/>
    <x v="94"/>
  </r>
  <r>
    <s v="Nov-2019"/>
    <x v="1"/>
    <n v="549"/>
    <x v="18"/>
    <n v="0.78"/>
    <n v="9.76"/>
    <s v="92702067"/>
    <x v="94"/>
  </r>
  <r>
    <s v="Nov-2019"/>
    <x v="0"/>
    <n v="581"/>
    <x v="2"/>
    <n v="0.65"/>
    <n v="8.09"/>
    <s v="60701190"/>
    <x v="94"/>
  </r>
  <r>
    <s v="Nov-2019"/>
    <x v="1"/>
    <n v="473"/>
    <x v="10"/>
    <n v="0.75"/>
    <n v="9.39"/>
    <s v="00000000"/>
    <x v="94"/>
  </r>
  <r>
    <s v="Nov-2019"/>
    <x v="0"/>
    <n v="434"/>
    <x v="11"/>
    <n v="0.61"/>
    <n v="7.61"/>
    <s v="28127603"/>
    <x v="94"/>
  </r>
  <r>
    <s v="Nov-2019"/>
    <x v="1"/>
    <n v="430"/>
    <x v="17"/>
    <n v="0.74"/>
    <n v="9.23"/>
    <s v="00416968"/>
    <x v="94"/>
  </r>
  <r>
    <s v="Nov-2019"/>
    <x v="0"/>
    <n v="321"/>
    <x v="27"/>
    <n v="0.6"/>
    <n v="7.38"/>
    <s v="02038232"/>
    <x v="94"/>
  </r>
  <r>
    <s v="Nov-2019"/>
    <x v="1"/>
    <n v="257"/>
    <x v="9"/>
    <n v="0.68"/>
    <n v="8.41"/>
    <s v="90400888"/>
    <x v="94"/>
  </r>
  <r>
    <s v="Nov-2019"/>
    <x v="0"/>
    <n v="308"/>
    <x v="10"/>
    <n v="0.59"/>
    <n v="7.36"/>
    <s v="00000000"/>
    <x v="94"/>
  </r>
  <r>
    <s v="Nov-2019"/>
    <x v="1"/>
    <n v="231"/>
    <x v="7"/>
    <n v="0.66"/>
    <n v="8.17"/>
    <s v="60746948"/>
    <x v="94"/>
  </r>
  <r>
    <s v="Nov-2019"/>
    <x v="0"/>
    <n v="297"/>
    <x v="15"/>
    <n v="0.59"/>
    <n v="7.32"/>
    <s v="13009717"/>
    <x v="94"/>
  </r>
  <r>
    <s v="Nov-2019"/>
    <x v="4"/>
    <n v="124"/>
    <x v="6"/>
    <n v="1.01"/>
    <n v="12.86"/>
    <s v="14511781"/>
    <x v="94"/>
  </r>
  <r>
    <s v="Nov-2019"/>
    <x v="1"/>
    <n v="197"/>
    <x v="4"/>
    <n v="0.62"/>
    <n v="7.7"/>
    <s v="00360305"/>
    <x v="94"/>
  </r>
  <r>
    <s v="Nov-2019"/>
    <x v="4"/>
    <n v="64"/>
    <x v="28"/>
    <n v="0.74"/>
    <n v="9.31"/>
    <s v="00795423"/>
    <x v="94"/>
  </r>
  <r>
    <s v="Nov-2019"/>
    <x v="0"/>
    <n v="232"/>
    <x v="13"/>
    <n v="0.56000000000000005"/>
    <n v="6.92"/>
    <s v="00000208"/>
    <x v="94"/>
  </r>
  <r>
    <s v="Nov-2019"/>
    <x v="4"/>
    <n v="43"/>
    <x v="4"/>
    <n v="0.53"/>
    <n v="6.58"/>
    <s v="00360305"/>
    <x v="94"/>
  </r>
  <r>
    <s v="Nov-2019"/>
    <x v="1"/>
    <n v="196"/>
    <x v="2"/>
    <n v="0.62"/>
    <n v="7.7"/>
    <s v="60701190"/>
    <x v="94"/>
  </r>
  <r>
    <s v="Nov-2019"/>
    <x v="4"/>
    <n v="25"/>
    <x v="0"/>
    <n v="0.41"/>
    <n v="5"/>
    <s v="00655522"/>
    <x v="94"/>
  </r>
  <r>
    <s v="Nov-2019"/>
    <x v="0"/>
    <n v="160"/>
    <x v="4"/>
    <n v="0.53"/>
    <n v="6.61"/>
    <s v="00360305"/>
    <x v="94"/>
  </r>
  <r>
    <s v="Nov-2019"/>
    <x v="2"/>
    <n v="248"/>
    <x v="0"/>
    <n v="1.23"/>
    <n v="15.74"/>
    <s v="00655522"/>
    <x v="94"/>
  </r>
  <r>
    <s v="Nov-2019"/>
    <x v="1"/>
    <n v="151"/>
    <x v="27"/>
    <n v="0.6"/>
    <n v="7.38"/>
    <s v="02038232"/>
    <x v="94"/>
  </r>
  <r>
    <s v="Nov-2019"/>
    <x v="5"/>
    <n v="47"/>
    <x v="0"/>
    <n v="0.36"/>
    <n v="4.45"/>
    <s v="00655522"/>
    <x v="94"/>
  </r>
  <r>
    <s v="Nov-2019"/>
    <x v="2"/>
    <n v="191"/>
    <x v="26"/>
    <n v="1.1100000000000001"/>
    <n v="14.18"/>
    <s v="18282093"/>
    <x v="94"/>
  </r>
  <r>
    <s v="Nov-2019"/>
    <x v="3"/>
    <n v="3"/>
    <x v="10"/>
    <n v="0"/>
    <n v="0"/>
    <s v="00000000"/>
    <x v="94"/>
  </r>
  <r>
    <s v="Dez-2019"/>
    <x v="0"/>
    <n v="715"/>
    <x v="0"/>
    <n v="0.69"/>
    <n v="8.5399999999999991"/>
    <s v="00655522"/>
    <x v="95"/>
  </r>
  <r>
    <s v="Dez-2019"/>
    <x v="0"/>
    <n v="671"/>
    <x v="18"/>
    <n v="0.68"/>
    <n v="8.4600000000000009"/>
    <s v="92702067"/>
    <x v="95"/>
  </r>
  <r>
    <s v="Dez-2019"/>
    <x v="0"/>
    <n v="636"/>
    <x v="9"/>
    <n v="0.67"/>
    <n v="8.35"/>
    <s v="90400888"/>
    <x v="95"/>
  </r>
  <r>
    <s v="Dez-2019"/>
    <x v="0"/>
    <n v="585"/>
    <x v="17"/>
    <n v="0.65"/>
    <n v="8.11"/>
    <s v="00416968"/>
    <x v="95"/>
  </r>
  <r>
    <s v="Dez-2019"/>
    <x v="1"/>
    <n v="573"/>
    <x v="0"/>
    <n v="0.79"/>
    <n v="9.9"/>
    <s v="00655522"/>
    <x v="95"/>
  </r>
  <r>
    <s v="Dez-2019"/>
    <x v="0"/>
    <n v="571"/>
    <x v="2"/>
    <n v="0.65"/>
    <n v="8.0500000000000007"/>
    <s v="60701190"/>
    <x v="95"/>
  </r>
  <r>
    <s v="Dez-2019"/>
    <x v="1"/>
    <n v="534"/>
    <x v="18"/>
    <n v="0.77"/>
    <n v="9.69"/>
    <s v="92702067"/>
    <x v="95"/>
  </r>
  <r>
    <s v="Dez-2019"/>
    <x v="0"/>
    <n v="523"/>
    <x v="7"/>
    <n v="0.63"/>
    <n v="7.89"/>
    <s v="60746948"/>
    <x v="95"/>
  </r>
  <r>
    <s v="Dez-2019"/>
    <x v="1"/>
    <n v="431"/>
    <x v="17"/>
    <n v="0.74"/>
    <n v="9.23"/>
    <s v="00416968"/>
    <x v="95"/>
  </r>
  <r>
    <s v="Dez-2019"/>
    <x v="0"/>
    <n v="374"/>
    <x v="10"/>
    <n v="0.6"/>
    <n v="7.47"/>
    <s v="00000000"/>
    <x v="95"/>
  </r>
  <r>
    <s v="Dez-2019"/>
    <x v="1"/>
    <n v="407"/>
    <x v="10"/>
    <n v="0.73"/>
    <n v="9.1300000000000008"/>
    <s v="00000000"/>
    <x v="95"/>
  </r>
  <r>
    <s v="Dez-2019"/>
    <x v="0"/>
    <n v="310"/>
    <x v="27"/>
    <n v="0.59"/>
    <n v="7.36"/>
    <s v="02038232"/>
    <x v="95"/>
  </r>
  <r>
    <s v="Dez-2019"/>
    <x v="1"/>
    <n v="251"/>
    <x v="9"/>
    <n v="0.67"/>
    <n v="8.36"/>
    <s v="90400888"/>
    <x v="95"/>
  </r>
  <r>
    <s v="Dez-2019"/>
    <x v="0"/>
    <n v="292"/>
    <x v="15"/>
    <n v="0.59"/>
    <n v="7.3"/>
    <s v="13009717"/>
    <x v="95"/>
  </r>
  <r>
    <s v="Dez-2019"/>
    <x v="4"/>
    <n v="128"/>
    <x v="6"/>
    <n v="1.03"/>
    <n v="13.12"/>
    <s v="14511781"/>
    <x v="95"/>
  </r>
  <r>
    <s v="Dez-2019"/>
    <x v="1"/>
    <n v="214"/>
    <x v="7"/>
    <n v="0.63"/>
    <n v="7.89"/>
    <s v="60746948"/>
    <x v="95"/>
  </r>
  <r>
    <s v="Dez-2019"/>
    <x v="4"/>
    <n v="79"/>
    <x v="29"/>
    <n v="0.77"/>
    <n v="9.67"/>
    <s v="00556603"/>
    <x v="95"/>
  </r>
  <r>
    <s v="Dez-2019"/>
    <x v="0"/>
    <n v="178"/>
    <x v="13"/>
    <n v="0.55000000000000004"/>
    <n v="6.75"/>
    <s v="00000208"/>
    <x v="95"/>
  </r>
  <r>
    <s v="Dez-2019"/>
    <x v="4"/>
    <n v="67"/>
    <x v="28"/>
    <n v="0.75"/>
    <n v="9.35"/>
    <s v="00795423"/>
    <x v="95"/>
  </r>
  <r>
    <s v="Dez-2019"/>
    <x v="1"/>
    <n v="198"/>
    <x v="2"/>
    <n v="0.62"/>
    <n v="7.7"/>
    <s v="60701190"/>
    <x v="95"/>
  </r>
  <r>
    <s v="Dez-2019"/>
    <x v="4"/>
    <n v="45"/>
    <x v="4"/>
    <n v="0.56999999999999995"/>
    <n v="7"/>
    <s v="00360305"/>
    <x v="95"/>
  </r>
  <r>
    <s v="Dez-2019"/>
    <x v="0"/>
    <n v="177"/>
    <x v="4"/>
    <n v="0.55000000000000004"/>
    <n v="6.75"/>
    <s v="00360305"/>
    <x v="95"/>
  </r>
  <r>
    <s v="Dez-2019"/>
    <x v="4"/>
    <n v="28"/>
    <x v="0"/>
    <n v="0.42"/>
    <n v="5.2"/>
    <s v="00655522"/>
    <x v="95"/>
  </r>
  <r>
    <s v="Dez-2019"/>
    <x v="1"/>
    <n v="133"/>
    <x v="4"/>
    <n v="0.59"/>
    <n v="7.27"/>
    <s v="00360305"/>
    <x v="95"/>
  </r>
  <r>
    <s v="Dez-2019"/>
    <x v="4"/>
    <n v="1"/>
    <x v="30"/>
    <n v="0.25"/>
    <n v="3.08"/>
    <s v="33603457"/>
    <x v="95"/>
  </r>
  <r>
    <s v="Dez-2019"/>
    <x v="0"/>
    <n v="166"/>
    <x v="11"/>
    <n v="0.54"/>
    <n v="6.69"/>
    <s v="28127603"/>
    <x v="95"/>
  </r>
  <r>
    <s v="Dez-2019"/>
    <x v="2"/>
    <n v="244"/>
    <x v="0"/>
    <n v="1.22"/>
    <n v="15.67"/>
    <s v="00655522"/>
    <x v="95"/>
  </r>
  <r>
    <s v="Dez-2019"/>
    <x v="5"/>
    <n v="44"/>
    <x v="0"/>
    <n v="0.35"/>
    <n v="4.33"/>
    <s v="00655522"/>
    <x v="95"/>
  </r>
  <r>
    <s v="Dez-2019"/>
    <x v="1"/>
    <n v="101"/>
    <x v="11"/>
    <n v="0.57999999999999996"/>
    <n v="7.13"/>
    <s v="28127603"/>
    <x v="95"/>
  </r>
  <r>
    <s v="Dez-2019"/>
    <x v="3"/>
    <n v="262"/>
    <x v="9"/>
    <n v="1.07"/>
    <n v="13.69"/>
    <s v="90400888"/>
    <x v="95"/>
  </r>
  <r>
    <s v="Dez-2019"/>
    <x v="2"/>
    <n v="188"/>
    <x v="26"/>
    <n v="1.1100000000000001"/>
    <n v="14.12"/>
    <s v="18282093"/>
    <x v="95"/>
  </r>
  <r>
    <s v="Dez-2019"/>
    <x v="3"/>
    <n v="6"/>
    <x v="10"/>
    <n v="0"/>
    <n v="0"/>
    <s v="00000000"/>
    <x v="95"/>
  </r>
  <r>
    <s v="Jan-2020"/>
    <x v="0"/>
    <n v="728"/>
    <x v="0"/>
    <n v="0.69"/>
    <n v="8.57"/>
    <s v="00655522"/>
    <x v="96"/>
  </r>
  <r>
    <s v="Jan-2020"/>
    <x v="0"/>
    <n v="644"/>
    <x v="18"/>
    <n v="0.67"/>
    <n v="8.3699999999999992"/>
    <s v="92702067"/>
    <x v="96"/>
  </r>
  <r>
    <s v="Jan-2020"/>
    <x v="0"/>
    <n v="637"/>
    <x v="9"/>
    <n v="0.67"/>
    <n v="8.35"/>
    <s v="90400888"/>
    <x v="96"/>
  </r>
  <r>
    <s v="Jan-2020"/>
    <x v="1"/>
    <n v="585"/>
    <x v="0"/>
    <n v="0.8"/>
    <n v="10"/>
    <s v="00655522"/>
    <x v="96"/>
  </r>
  <r>
    <s v="Jan-2020"/>
    <x v="0"/>
    <n v="560"/>
    <x v="2"/>
    <n v="0.64"/>
    <n v="7.99"/>
    <s v="60701190"/>
    <x v="96"/>
  </r>
  <r>
    <s v="Jan-2020"/>
    <x v="1"/>
    <n v="570"/>
    <x v="18"/>
    <n v="0.79"/>
    <n v="9.8800000000000008"/>
    <s v="92702067"/>
    <x v="96"/>
  </r>
  <r>
    <s v="Jan-2020"/>
    <x v="0"/>
    <n v="533"/>
    <x v="17"/>
    <n v="0.64"/>
    <n v="7.91"/>
    <s v="00416968"/>
    <x v="96"/>
  </r>
  <r>
    <s v="Jan-2020"/>
    <x v="1"/>
    <n v="432"/>
    <x v="17"/>
    <n v="0.74"/>
    <n v="9.23"/>
    <s v="00416968"/>
    <x v="96"/>
  </r>
  <r>
    <s v="Jan-2020"/>
    <x v="0"/>
    <n v="439"/>
    <x v="7"/>
    <n v="0.62"/>
    <n v="7.65"/>
    <s v="60746948"/>
    <x v="96"/>
  </r>
  <r>
    <s v="Jan-2020"/>
    <x v="1"/>
    <n v="345"/>
    <x v="10"/>
    <n v="0.71"/>
    <n v="8.8800000000000008"/>
    <s v="00000000"/>
    <x v="96"/>
  </r>
  <r>
    <s v="Jan-2020"/>
    <x v="0"/>
    <n v="350"/>
    <x v="10"/>
    <n v="0.6"/>
    <n v="7.43"/>
    <s v="00000000"/>
    <x v="96"/>
  </r>
  <r>
    <s v="Jan-2020"/>
    <x v="1"/>
    <n v="246"/>
    <x v="9"/>
    <n v="0.67"/>
    <n v="8.35"/>
    <s v="90400888"/>
    <x v="96"/>
  </r>
  <r>
    <s v="Jan-2020"/>
    <x v="0"/>
    <n v="299"/>
    <x v="27"/>
    <n v="0.59"/>
    <n v="7.32"/>
    <s v="02038232"/>
    <x v="96"/>
  </r>
  <r>
    <s v="Jan-2020"/>
    <x v="1"/>
    <n v="204"/>
    <x v="7"/>
    <n v="0.62"/>
    <n v="7.76"/>
    <s v="60746948"/>
    <x v="96"/>
  </r>
  <r>
    <s v="Jan-2020"/>
    <x v="0"/>
    <n v="234"/>
    <x v="4"/>
    <n v="0.56000000000000005"/>
    <n v="6.94"/>
    <s v="00360305"/>
    <x v="96"/>
  </r>
  <r>
    <s v="Jan-2020"/>
    <x v="4"/>
    <n v="56"/>
    <x v="28"/>
    <n v="0.73"/>
    <n v="9.06"/>
    <s v="00795423"/>
    <x v="96"/>
  </r>
  <r>
    <s v="Jan-2020"/>
    <x v="1"/>
    <n v="188"/>
    <x v="2"/>
    <n v="0.61"/>
    <n v="7.63"/>
    <s v="60701190"/>
    <x v="96"/>
  </r>
  <r>
    <s v="Jan-2020"/>
    <x v="4"/>
    <n v="53"/>
    <x v="6"/>
    <n v="0.71"/>
    <n v="8.8699999999999992"/>
    <s v="14511781"/>
    <x v="96"/>
  </r>
  <r>
    <s v="Jan-2020"/>
    <x v="0"/>
    <n v="229"/>
    <x v="15"/>
    <n v="0.56000000000000005"/>
    <n v="6.9"/>
    <s v="13009717"/>
    <x v="96"/>
  </r>
  <r>
    <s v="Jan-2020"/>
    <x v="4"/>
    <n v="46"/>
    <x v="29"/>
    <n v="0.63"/>
    <n v="7.82"/>
    <s v="00556603"/>
    <x v="96"/>
  </r>
  <r>
    <s v="Jan-2020"/>
    <x v="1"/>
    <n v="159"/>
    <x v="4"/>
    <n v="0.6"/>
    <n v="7.43"/>
    <s v="00360305"/>
    <x v="96"/>
  </r>
  <r>
    <s v="Jan-2020"/>
    <x v="4"/>
    <n v="42"/>
    <x v="10"/>
    <n v="0.52"/>
    <n v="6.41"/>
    <s v="00000000"/>
    <x v="96"/>
  </r>
  <r>
    <s v="Jan-2020"/>
    <x v="0"/>
    <n v="167"/>
    <x v="11"/>
    <n v="0.54"/>
    <n v="6.69"/>
    <s v="28127603"/>
    <x v="96"/>
  </r>
  <r>
    <s v="Jan-2020"/>
    <x v="4"/>
    <n v="17"/>
    <x v="0"/>
    <n v="0.39"/>
    <n v="4.8"/>
    <s v="00655522"/>
    <x v="96"/>
  </r>
  <r>
    <s v="Jan-2020"/>
    <x v="1"/>
    <n v="92"/>
    <x v="15"/>
    <n v="0.56999999999999995"/>
    <n v="7.07"/>
    <s v="13009717"/>
    <x v="96"/>
  </r>
  <r>
    <s v="Jan-2020"/>
    <x v="4"/>
    <n v="16"/>
    <x v="4"/>
    <n v="0.39"/>
    <n v="4.75"/>
    <s v="00360305"/>
    <x v="96"/>
  </r>
  <r>
    <s v="Jan-2020"/>
    <x v="0"/>
    <n v="155"/>
    <x v="13"/>
    <n v="0.53"/>
    <n v="6.57"/>
    <s v="00000208"/>
    <x v="96"/>
  </r>
  <r>
    <s v="Jan-2020"/>
    <x v="2"/>
    <n v="247"/>
    <x v="0"/>
    <n v="1.22"/>
    <n v="15.72"/>
    <s v="00655522"/>
    <x v="96"/>
  </r>
  <r>
    <s v="Jan-2020"/>
    <x v="1"/>
    <n v="57"/>
    <x v="11"/>
    <n v="0.55000000000000004"/>
    <n v="6.79"/>
    <s v="28127603"/>
    <x v="96"/>
  </r>
  <r>
    <s v="Jan-2020"/>
    <x v="2"/>
    <n v="160"/>
    <x v="26"/>
    <n v="1.04"/>
    <n v="13.25"/>
    <s v="18282093"/>
    <x v="96"/>
  </r>
  <r>
    <s v="Jan-2020"/>
    <x v="5"/>
    <n v="50"/>
    <x v="0"/>
    <n v="0.37"/>
    <n v="4.49"/>
    <s v="00655522"/>
    <x v="96"/>
  </r>
  <r>
    <s v="Fev-2020"/>
    <x v="0"/>
    <n v="886"/>
    <x v="0"/>
    <n v="0.72"/>
    <n v="8.9499999999999993"/>
    <s v="00655522"/>
    <x v="97"/>
  </r>
  <r>
    <s v="Fev-2020"/>
    <x v="0"/>
    <n v="647"/>
    <x v="18"/>
    <n v="0.67"/>
    <n v="8.3800000000000008"/>
    <s v="92702067"/>
    <x v="97"/>
  </r>
  <r>
    <s v="Fev-2020"/>
    <x v="0"/>
    <n v="638"/>
    <x v="9"/>
    <n v="0.67"/>
    <n v="8.35"/>
    <s v="90400888"/>
    <x v="97"/>
  </r>
  <r>
    <s v="Fev-2020"/>
    <x v="1"/>
    <n v="654"/>
    <x v="18"/>
    <n v="0.82"/>
    <n v="10.28"/>
    <s v="92702067"/>
    <x v="97"/>
  </r>
  <r>
    <s v="Fev-2020"/>
    <x v="0"/>
    <n v="564"/>
    <x v="17"/>
    <n v="0.64"/>
    <n v="8.01"/>
    <s v="00416968"/>
    <x v="97"/>
  </r>
  <r>
    <s v="Fev-2020"/>
    <x v="1"/>
    <n v="636"/>
    <x v="0"/>
    <n v="0.81"/>
    <n v="10.199999999999999"/>
    <s v="00655522"/>
    <x v="97"/>
  </r>
  <r>
    <s v="Fev-2020"/>
    <x v="0"/>
    <n v="558"/>
    <x v="2"/>
    <n v="0.64"/>
    <n v="7.98"/>
    <s v="60701190"/>
    <x v="97"/>
  </r>
  <r>
    <s v="Fev-2020"/>
    <x v="1"/>
    <n v="347"/>
    <x v="10"/>
    <n v="0.71"/>
    <n v="8.8800000000000008"/>
    <s v="00000000"/>
    <x v="97"/>
  </r>
  <r>
    <s v="Fev-2020"/>
    <x v="0"/>
    <n v="406"/>
    <x v="7"/>
    <n v="0.61"/>
    <n v="7.54"/>
    <s v="60746948"/>
    <x v="97"/>
  </r>
  <r>
    <s v="Fev-2020"/>
    <x v="1"/>
    <n v="229"/>
    <x v="9"/>
    <n v="0.65"/>
    <n v="8.14"/>
    <s v="90400888"/>
    <x v="97"/>
  </r>
  <r>
    <s v="Fev-2020"/>
    <x v="0"/>
    <n v="300"/>
    <x v="10"/>
    <n v="0.59"/>
    <n v="7.32"/>
    <s v="00000000"/>
    <x v="97"/>
  </r>
  <r>
    <s v="Fev-2020"/>
    <x v="1"/>
    <n v="207"/>
    <x v="17"/>
    <n v="0.63"/>
    <n v="7.81"/>
    <s v="00416968"/>
    <x v="97"/>
  </r>
  <r>
    <s v="Fev-2020"/>
    <x v="0"/>
    <n v="296"/>
    <x v="27"/>
    <n v="0.59"/>
    <n v="7.31"/>
    <s v="02038232"/>
    <x v="97"/>
  </r>
  <r>
    <s v="Fev-2020"/>
    <x v="1"/>
    <n v="189"/>
    <x v="7"/>
    <n v="0.62"/>
    <n v="7.64"/>
    <s v="60746948"/>
    <x v="97"/>
  </r>
  <r>
    <s v="Fev-2020"/>
    <x v="0"/>
    <n v="238"/>
    <x v="4"/>
    <n v="0.56000000000000005"/>
    <n v="6.96"/>
    <s v="00360305"/>
    <x v="97"/>
  </r>
  <r>
    <s v="Fev-2020"/>
    <x v="1"/>
    <n v="179"/>
    <x v="2"/>
    <n v="0.61"/>
    <n v="7.53"/>
    <s v="60701190"/>
    <x v="97"/>
  </r>
  <r>
    <s v="Fev-2020"/>
    <x v="4"/>
    <n v="58"/>
    <x v="28"/>
    <n v="0.73"/>
    <n v="9.09"/>
    <s v="00795423"/>
    <x v="97"/>
  </r>
  <r>
    <s v="Fev-2020"/>
    <x v="0"/>
    <n v="205"/>
    <x v="15"/>
    <n v="0.55000000000000004"/>
    <n v="6.81"/>
    <s v="13009717"/>
    <x v="97"/>
  </r>
  <r>
    <s v="Fev-2020"/>
    <x v="4"/>
    <n v="54"/>
    <x v="6"/>
    <n v="0.72"/>
    <n v="8.9499999999999993"/>
    <s v="14511781"/>
    <x v="97"/>
  </r>
  <r>
    <s v="Fev-2020"/>
    <x v="1"/>
    <n v="63"/>
    <x v="11"/>
    <n v="0.56000000000000005"/>
    <n v="6.88"/>
    <s v="28127603"/>
    <x v="97"/>
  </r>
  <r>
    <s v="Fev-2020"/>
    <x v="4"/>
    <n v="35"/>
    <x v="10"/>
    <n v="0.48"/>
    <n v="5.93"/>
    <s v="00000000"/>
    <x v="97"/>
  </r>
  <r>
    <s v="Fev-2020"/>
    <x v="0"/>
    <n v="157"/>
    <x v="11"/>
    <n v="0.53"/>
    <n v="6.58"/>
    <s v="28127603"/>
    <x v="97"/>
  </r>
  <r>
    <s v="Fev-2020"/>
    <x v="4"/>
    <n v="30"/>
    <x v="4"/>
    <n v="0.43"/>
    <n v="5.26"/>
    <s v="00360305"/>
    <x v="97"/>
  </r>
  <r>
    <s v="Fev-2020"/>
    <x v="1"/>
    <n v="50"/>
    <x v="4"/>
    <n v="0.54"/>
    <n v="6.73"/>
    <s v="00360305"/>
    <x v="97"/>
  </r>
  <r>
    <s v="Fev-2020"/>
    <x v="4"/>
    <n v="26"/>
    <x v="0"/>
    <n v="0.41"/>
    <n v="5.01"/>
    <s v="00655522"/>
    <x v="97"/>
  </r>
  <r>
    <s v="Fev-2020"/>
    <x v="0"/>
    <n v="136"/>
    <x v="13"/>
    <n v="0.53"/>
    <n v="6.49"/>
    <s v="00000208"/>
    <x v="97"/>
  </r>
  <r>
    <s v="Fev-2020"/>
    <x v="2"/>
    <n v="229"/>
    <x v="0"/>
    <n v="1.19"/>
    <n v="15.29"/>
    <s v="00655522"/>
    <x v="97"/>
  </r>
  <r>
    <s v="Fev-2020"/>
    <x v="1"/>
    <n v="48"/>
    <x v="15"/>
    <n v="0.54"/>
    <n v="6.7"/>
    <s v="13009717"/>
    <x v="97"/>
  </r>
  <r>
    <s v="Fev-2020"/>
    <x v="5"/>
    <n v="76"/>
    <x v="10"/>
    <n v="0.46"/>
    <n v="5.65"/>
    <s v="00000000"/>
    <x v="97"/>
  </r>
  <r>
    <s v="Fev-2020"/>
    <x v="2"/>
    <n v="142"/>
    <x v="26"/>
    <n v="1.02"/>
    <n v="12.95"/>
    <s v="18282093"/>
    <x v="97"/>
  </r>
  <r>
    <s v="Fev-2020"/>
    <x v="5"/>
    <n v="40"/>
    <x v="0"/>
    <n v="0.35"/>
    <n v="4.2300000000000004"/>
    <s v="00655522"/>
    <x v="97"/>
  </r>
  <r>
    <s v="Mar-2020"/>
    <x v="0"/>
    <n v="706"/>
    <x v="0"/>
    <n v="0.68"/>
    <n v="8.52"/>
    <s v="00655522"/>
    <x v="98"/>
  </r>
  <r>
    <s v="Mar-2020"/>
    <x v="0"/>
    <n v="633"/>
    <x v="9"/>
    <n v="0.67"/>
    <n v="8.34"/>
    <s v="90400888"/>
    <x v="98"/>
  </r>
  <r>
    <s v="Mar-2020"/>
    <x v="1"/>
    <n v="634"/>
    <x v="0"/>
    <n v="0.81"/>
    <n v="10.199999999999999"/>
    <s v="00655522"/>
    <x v="98"/>
  </r>
  <r>
    <s v="Mar-2020"/>
    <x v="0"/>
    <n v="615"/>
    <x v="18"/>
    <n v="0.66"/>
    <n v="8.24"/>
    <s v="92702067"/>
    <x v="98"/>
  </r>
  <r>
    <s v="Mar-2020"/>
    <x v="1"/>
    <n v="415"/>
    <x v="29"/>
    <n v="0.73"/>
    <n v="9.16"/>
    <s v="00556603"/>
    <x v="98"/>
  </r>
  <r>
    <s v="Mar-2020"/>
    <x v="0"/>
    <n v="535"/>
    <x v="2"/>
    <n v="0.64"/>
    <n v="7.92"/>
    <s v="60701190"/>
    <x v="98"/>
  </r>
  <r>
    <s v="Mar-2020"/>
    <x v="1"/>
    <n v="406"/>
    <x v="18"/>
    <n v="0.73"/>
    <n v="9.1300000000000008"/>
    <s v="92702067"/>
    <x v="98"/>
  </r>
  <r>
    <s v="Mar-2020"/>
    <x v="0"/>
    <n v="485"/>
    <x v="17"/>
    <n v="0.63"/>
    <n v="7.78"/>
    <s v="00416968"/>
    <x v="98"/>
  </r>
  <r>
    <s v="Mar-2020"/>
    <x v="1"/>
    <n v="269"/>
    <x v="10"/>
    <n v="0.68"/>
    <n v="8.5"/>
    <s v="00000000"/>
    <x v="98"/>
  </r>
  <r>
    <s v="Mar-2020"/>
    <x v="0"/>
    <n v="464"/>
    <x v="5"/>
    <n v="0.62"/>
    <n v="7.73"/>
    <s v="17184037"/>
    <x v="98"/>
  </r>
  <r>
    <s v="Mar-2020"/>
    <x v="1"/>
    <n v="250"/>
    <x v="9"/>
    <n v="0.67"/>
    <n v="8.36"/>
    <s v="90400888"/>
    <x v="98"/>
  </r>
  <r>
    <s v="Mar-2020"/>
    <x v="0"/>
    <n v="353"/>
    <x v="7"/>
    <n v="0.6"/>
    <n v="7.44"/>
    <s v="60746948"/>
    <x v="98"/>
  </r>
  <r>
    <s v="Mar-2020"/>
    <x v="1"/>
    <n v="244"/>
    <x v="4"/>
    <n v="0.67"/>
    <n v="8.34"/>
    <s v="00360305"/>
    <x v="98"/>
  </r>
  <r>
    <s v="Mar-2020"/>
    <x v="0"/>
    <n v="288"/>
    <x v="27"/>
    <n v="0.59"/>
    <n v="7.27"/>
    <s v="02038232"/>
    <x v="98"/>
  </r>
  <r>
    <s v="Mar-2020"/>
    <x v="1"/>
    <n v="200"/>
    <x v="17"/>
    <n v="0.62"/>
    <n v="7.74"/>
    <s v="00416968"/>
    <x v="98"/>
  </r>
  <r>
    <s v="Mar-2020"/>
    <x v="0"/>
    <n v="281"/>
    <x v="10"/>
    <n v="0.57999999999999996"/>
    <n v="7.22"/>
    <s v="00000000"/>
    <x v="98"/>
  </r>
  <r>
    <s v="Mar-2020"/>
    <x v="1"/>
    <n v="195"/>
    <x v="7"/>
    <n v="0.62"/>
    <n v="7.68"/>
    <s v="60746948"/>
    <x v="98"/>
  </r>
  <r>
    <s v="Mar-2020"/>
    <x v="0"/>
    <n v="193"/>
    <x v="15"/>
    <n v="0.55000000000000004"/>
    <n v="6.8"/>
    <s v="13009717"/>
    <x v="98"/>
  </r>
  <r>
    <s v="Mar-2020"/>
    <x v="1"/>
    <n v="183"/>
    <x v="2"/>
    <n v="0.61"/>
    <n v="7.56"/>
    <s v="60701190"/>
    <x v="98"/>
  </r>
  <r>
    <s v="Mar-2020"/>
    <x v="0"/>
    <n v="168"/>
    <x v="4"/>
    <n v="0.54"/>
    <n v="6.7"/>
    <s v="00360305"/>
    <x v="98"/>
  </r>
  <r>
    <s v="Mar-2020"/>
    <x v="4"/>
    <n v="92"/>
    <x v="6"/>
    <n v="0.83"/>
    <n v="10.42"/>
    <s v="14511781"/>
    <x v="98"/>
  </r>
  <r>
    <s v="Mar-2020"/>
    <x v="1"/>
    <n v="136"/>
    <x v="27"/>
    <n v="0.59"/>
    <n v="7.3"/>
    <s v="02038232"/>
    <x v="98"/>
  </r>
  <r>
    <s v="Mar-2020"/>
    <x v="4"/>
    <n v="71"/>
    <x v="28"/>
    <n v="0.75"/>
    <n v="9.3800000000000008"/>
    <s v="00795423"/>
    <x v="98"/>
  </r>
  <r>
    <s v="Mar-2020"/>
    <x v="0"/>
    <n v="150"/>
    <x v="11"/>
    <n v="0.53"/>
    <n v="6.55"/>
    <s v="28127603"/>
    <x v="98"/>
  </r>
  <r>
    <s v="Mar-2020"/>
    <x v="4"/>
    <n v="19"/>
    <x v="0"/>
    <n v="0.39"/>
    <n v="4.84"/>
    <s v="00655522"/>
    <x v="98"/>
  </r>
  <r>
    <s v="Mar-2020"/>
    <x v="1"/>
    <n v="47"/>
    <x v="15"/>
    <n v="0.54"/>
    <n v="6.7"/>
    <s v="13009717"/>
    <x v="98"/>
  </r>
  <r>
    <s v="Mar-2020"/>
    <x v="4"/>
    <n v="11"/>
    <x v="4"/>
    <n v="0.36"/>
    <n v="4.41"/>
    <s v="00360305"/>
    <x v="98"/>
  </r>
  <r>
    <s v="Mar-2020"/>
    <x v="0"/>
    <n v="131"/>
    <x v="13"/>
    <n v="0.53"/>
    <n v="6.49"/>
    <s v="00000208"/>
    <x v="98"/>
  </r>
  <r>
    <s v="Mar-2020"/>
    <x v="5"/>
    <n v="84"/>
    <x v="10"/>
    <n v="0.49"/>
    <n v="5.98"/>
    <s v="00000000"/>
    <x v="98"/>
  </r>
  <r>
    <s v="Mar-2020"/>
    <x v="2"/>
    <n v="237"/>
    <x v="0"/>
    <n v="1.21"/>
    <n v="15.52"/>
    <s v="00655522"/>
    <x v="98"/>
  </r>
  <r>
    <s v="Mar-2020"/>
    <x v="5"/>
    <n v="62"/>
    <x v="4"/>
    <n v="0.4"/>
    <n v="4.88"/>
    <s v="00360305"/>
    <x v="98"/>
  </r>
  <r>
    <s v="Mar-2020"/>
    <x v="1"/>
    <n v="36"/>
    <x v="11"/>
    <n v="0.53"/>
    <n v="6.54"/>
    <s v="28127603"/>
    <x v="98"/>
  </r>
  <r>
    <s v="Mar-2020"/>
    <x v="5"/>
    <n v="49"/>
    <x v="0"/>
    <n v="0.37"/>
    <n v="4.4800000000000004"/>
    <s v="00655522"/>
    <x v="98"/>
  </r>
  <r>
    <s v="Mar-2020"/>
    <x v="2"/>
    <n v="130"/>
    <x v="26"/>
    <n v="1.01"/>
    <n v="12.77"/>
    <s v="18282093"/>
    <x v="98"/>
  </r>
  <r>
    <s v="Mar-2020"/>
    <x v="3"/>
    <n v="5"/>
    <x v="10"/>
    <n v="0"/>
    <n v="0"/>
    <s v="00000000"/>
    <x v="98"/>
  </r>
  <r>
    <s v="Abr-2020"/>
    <x v="0"/>
    <n v="673"/>
    <x v="0"/>
    <n v="0.68"/>
    <n v="8.4600000000000009"/>
    <s v="00655522"/>
    <x v="99"/>
  </r>
  <r>
    <s v="Abr-2020"/>
    <x v="0"/>
    <n v="654"/>
    <x v="9"/>
    <n v="0.67"/>
    <n v="8.4"/>
    <s v="90400888"/>
    <x v="99"/>
  </r>
  <r>
    <s v="Abr-2020"/>
    <x v="0"/>
    <n v="648"/>
    <x v="18"/>
    <n v="0.67"/>
    <n v="8.3800000000000008"/>
    <s v="92702067"/>
    <x v="99"/>
  </r>
  <r>
    <s v="Abr-2020"/>
    <x v="1"/>
    <n v="637"/>
    <x v="0"/>
    <n v="0.81"/>
    <n v="10.199999999999999"/>
    <s v="00655522"/>
    <x v="99"/>
  </r>
  <r>
    <s v="Abr-2020"/>
    <x v="0"/>
    <n v="507"/>
    <x v="2"/>
    <n v="0.63"/>
    <n v="7.84"/>
    <s v="60701190"/>
    <x v="99"/>
  </r>
  <r>
    <s v="Abr-2020"/>
    <x v="1"/>
    <n v="518"/>
    <x v="18"/>
    <n v="0.77"/>
    <n v="9.61"/>
    <s v="92702067"/>
    <x v="99"/>
  </r>
  <r>
    <s v="Abr-2020"/>
    <x v="0"/>
    <n v="450"/>
    <x v="17"/>
    <n v="0.62"/>
    <n v="7.7"/>
    <s v="00416968"/>
    <x v="99"/>
  </r>
  <r>
    <s v="Abr-2020"/>
    <x v="1"/>
    <n v="371"/>
    <x v="17"/>
    <n v="0.72"/>
    <n v="9"/>
    <s v="00416968"/>
    <x v="99"/>
  </r>
  <r>
    <s v="Abr-2020"/>
    <x v="0"/>
    <n v="334"/>
    <x v="7"/>
    <n v="0.6"/>
    <n v="7.4"/>
    <s v="60746948"/>
    <x v="99"/>
  </r>
  <r>
    <s v="Abr-2020"/>
    <x v="1"/>
    <n v="247"/>
    <x v="4"/>
    <n v="0.67"/>
    <n v="8.35"/>
    <s v="00360305"/>
    <x v="99"/>
  </r>
  <r>
    <s v="Abr-2020"/>
    <x v="0"/>
    <n v="285"/>
    <x v="10"/>
    <n v="0.57999999999999996"/>
    <n v="7.24"/>
    <s v="00000000"/>
    <x v="99"/>
  </r>
  <r>
    <s v="Abr-2020"/>
    <x v="1"/>
    <n v="237"/>
    <x v="10"/>
    <n v="0.66"/>
    <n v="8.24"/>
    <s v="00000000"/>
    <x v="99"/>
  </r>
  <r>
    <s v="Abr-2020"/>
    <x v="0"/>
    <n v="283"/>
    <x v="27"/>
    <n v="0.57999999999999996"/>
    <n v="7.22"/>
    <s v="02038232"/>
    <x v="99"/>
  </r>
  <r>
    <s v="Abr-2020"/>
    <x v="1"/>
    <n v="232"/>
    <x v="9"/>
    <n v="0.66"/>
    <n v="8.17"/>
    <s v="90400888"/>
    <x v="99"/>
  </r>
  <r>
    <s v="Abr-2020"/>
    <x v="0"/>
    <n v="198"/>
    <x v="4"/>
    <n v="0.55000000000000004"/>
    <n v="6.8"/>
    <s v="00360305"/>
    <x v="99"/>
  </r>
  <r>
    <s v="Abr-2020"/>
    <x v="4"/>
    <n v="120"/>
    <x v="6"/>
    <n v="0.95"/>
    <n v="12.05"/>
    <s v="14511781"/>
    <x v="99"/>
  </r>
  <r>
    <s v="Abr-2020"/>
    <x v="1"/>
    <n v="162"/>
    <x v="7"/>
    <n v="0.6"/>
    <n v="7.44"/>
    <s v="60746948"/>
    <x v="99"/>
  </r>
  <r>
    <s v="Abr-2020"/>
    <x v="4"/>
    <n v="93"/>
    <x v="29"/>
    <n v="0.84"/>
    <n v="10.54"/>
    <s v="00556603"/>
    <x v="99"/>
  </r>
  <r>
    <s v="Abr-2020"/>
    <x v="0"/>
    <n v="180"/>
    <x v="15"/>
    <n v="0.55000000000000004"/>
    <n v="6.75"/>
    <s v="13009717"/>
    <x v="99"/>
  </r>
  <r>
    <s v="Abr-2020"/>
    <x v="4"/>
    <n v="65"/>
    <x v="28"/>
    <n v="0.75"/>
    <n v="9.32"/>
    <s v="00795423"/>
    <x v="99"/>
  </r>
  <r>
    <s v="Abr-2020"/>
    <x v="1"/>
    <n v="156"/>
    <x v="2"/>
    <n v="0.6"/>
    <n v="7.4"/>
    <s v="60701190"/>
    <x v="99"/>
  </r>
  <r>
    <s v="Abr-2020"/>
    <x v="4"/>
    <n v="29"/>
    <x v="0"/>
    <n v="0.42"/>
    <n v="5.2"/>
    <s v="00655522"/>
    <x v="99"/>
  </r>
  <r>
    <s v="Abr-2020"/>
    <x v="0"/>
    <n v="163"/>
    <x v="11"/>
    <n v="0.54"/>
    <n v="6.65"/>
    <s v="28127603"/>
    <x v="99"/>
  </r>
  <r>
    <s v="Abr-2020"/>
    <x v="4"/>
    <n v="10"/>
    <x v="4"/>
    <n v="0.36"/>
    <n v="4.3600000000000003"/>
    <s v="00360305"/>
    <x v="99"/>
  </r>
  <r>
    <s v="Abr-2020"/>
    <x v="1"/>
    <n v="111"/>
    <x v="27"/>
    <n v="0.57999999999999996"/>
    <n v="7.18"/>
    <s v="02038232"/>
    <x v="99"/>
  </r>
  <r>
    <s v="Abr-2020"/>
    <x v="2"/>
    <n v="238"/>
    <x v="0"/>
    <n v="1.21"/>
    <n v="15.52"/>
    <s v="00655522"/>
    <x v="99"/>
  </r>
  <r>
    <s v="Abr-2020"/>
    <x v="0"/>
    <n v="139"/>
    <x v="13"/>
    <n v="0.53"/>
    <n v="6.49"/>
    <s v="00000208"/>
    <x v="99"/>
  </r>
  <r>
    <s v="Abr-2020"/>
    <x v="2"/>
    <n v="183"/>
    <x v="26"/>
    <n v="1.0900000000000001"/>
    <n v="13.95"/>
    <s v="18282093"/>
    <x v="99"/>
  </r>
  <r>
    <s v="Abr-2020"/>
    <x v="5"/>
    <n v="81"/>
    <x v="10"/>
    <n v="0.47"/>
    <n v="5.79"/>
    <s v="00000000"/>
    <x v="99"/>
  </r>
  <r>
    <s v="Abr-2020"/>
    <x v="1"/>
    <n v="38"/>
    <x v="11"/>
    <n v="0.53"/>
    <n v="6.57"/>
    <s v="28127603"/>
    <x v="99"/>
  </r>
  <r>
    <s v="Abr-2020"/>
    <x v="5"/>
    <n v="63"/>
    <x v="4"/>
    <n v="0.4"/>
    <n v="4.88"/>
    <s v="00360305"/>
    <x v="99"/>
  </r>
  <r>
    <s v="Abr-2020"/>
    <x v="2"/>
    <n v="25"/>
    <x v="4"/>
    <n v="0.72"/>
    <n v="9.02"/>
    <s v="00360305"/>
    <x v="99"/>
  </r>
  <r>
    <s v="Abr-2020"/>
    <x v="5"/>
    <n v="45"/>
    <x v="0"/>
    <n v="0.36"/>
    <n v="4.37"/>
    <s v="00655522"/>
    <x v="99"/>
  </r>
  <r>
    <s v="Mai-2020"/>
    <x v="0"/>
    <n v="754"/>
    <x v="0"/>
    <n v="0.69"/>
    <n v="8.6300000000000008"/>
    <s v="00655522"/>
    <x v="100"/>
  </r>
  <r>
    <s v="Mai-2020"/>
    <x v="0"/>
    <n v="628"/>
    <x v="18"/>
    <n v="0.67"/>
    <n v="8.32"/>
    <s v="92702067"/>
    <x v="100"/>
  </r>
  <r>
    <s v="Mai-2020"/>
    <x v="0"/>
    <n v="622"/>
    <x v="9"/>
    <n v="0.67"/>
    <n v="8.3000000000000007"/>
    <s v="90400888"/>
    <x v="100"/>
  </r>
  <r>
    <s v="Mai-2020"/>
    <x v="0"/>
    <n v="498"/>
    <x v="2"/>
    <n v="0.63"/>
    <n v="7.82"/>
    <s v="60701190"/>
    <x v="100"/>
  </r>
  <r>
    <s v="Mai-2020"/>
    <x v="1"/>
    <n v="638"/>
    <x v="0"/>
    <n v="0.81"/>
    <n v="10.199999999999999"/>
    <s v="00655522"/>
    <x v="100"/>
  </r>
  <r>
    <s v="Mai-2020"/>
    <x v="0"/>
    <n v="459"/>
    <x v="17"/>
    <n v="0.62"/>
    <n v="7.72"/>
    <s v="00416968"/>
    <x v="100"/>
  </r>
  <r>
    <s v="Mai-2020"/>
    <x v="1"/>
    <n v="372"/>
    <x v="17"/>
    <n v="0.72"/>
    <n v="9"/>
    <s v="00416968"/>
    <x v="100"/>
  </r>
  <r>
    <s v="Mai-2020"/>
    <x v="0"/>
    <n v="358"/>
    <x v="10"/>
    <n v="0.6"/>
    <n v="7.44"/>
    <s v="00000000"/>
    <x v="100"/>
  </r>
  <r>
    <s v="Mai-2020"/>
    <x v="1"/>
    <n v="355"/>
    <x v="18"/>
    <n v="0.72"/>
    <n v="8.94"/>
    <s v="92702067"/>
    <x v="100"/>
  </r>
  <r>
    <s v="Mai-2020"/>
    <x v="0"/>
    <n v="347"/>
    <x v="27"/>
    <n v="0.6"/>
    <n v="7.42"/>
    <s v="02038232"/>
    <x v="100"/>
  </r>
  <r>
    <s v="Mai-2020"/>
    <x v="1"/>
    <n v="255"/>
    <x v="4"/>
    <n v="0.67"/>
    <n v="8.39"/>
    <s v="00360305"/>
    <x v="100"/>
  </r>
  <r>
    <s v="Mai-2020"/>
    <x v="0"/>
    <n v="315"/>
    <x v="7"/>
    <n v="0.59"/>
    <n v="7.37"/>
    <s v="60746948"/>
    <x v="100"/>
  </r>
  <r>
    <s v="Mai-2020"/>
    <x v="1"/>
    <n v="230"/>
    <x v="9"/>
    <n v="0.65"/>
    <n v="8.14"/>
    <s v="90400888"/>
    <x v="100"/>
  </r>
  <r>
    <s v="Mai-2020"/>
    <x v="0"/>
    <n v="202"/>
    <x v="15"/>
    <n v="0.55000000000000004"/>
    <n v="6.81"/>
    <s v="13009717"/>
    <x v="100"/>
  </r>
  <r>
    <s v="Mai-2020"/>
    <x v="1"/>
    <n v="208"/>
    <x v="10"/>
    <n v="0.63"/>
    <n v="7.82"/>
    <s v="00000000"/>
    <x v="100"/>
  </r>
  <r>
    <s v="Mai-2020"/>
    <x v="0"/>
    <n v="186"/>
    <x v="4"/>
    <n v="0.55000000000000004"/>
    <n v="6.77"/>
    <s v="00360305"/>
    <x v="100"/>
  </r>
  <r>
    <s v="Mai-2020"/>
    <x v="1"/>
    <n v="194"/>
    <x v="7"/>
    <n v="0.62"/>
    <n v="7.66"/>
    <s v="60746948"/>
    <x v="100"/>
  </r>
  <r>
    <s v="Mai-2020"/>
    <x v="0"/>
    <n v="162"/>
    <x v="11"/>
    <n v="0.54"/>
    <n v="6.65"/>
    <s v="28127603"/>
    <x v="100"/>
  </r>
  <r>
    <s v="Mai-2020"/>
    <x v="4"/>
    <n v="55"/>
    <x v="28"/>
    <n v="0.72"/>
    <n v="9.0500000000000007"/>
    <s v="00795423"/>
    <x v="100"/>
  </r>
  <r>
    <s v="Mai-2020"/>
    <x v="1"/>
    <n v="164"/>
    <x v="2"/>
    <n v="0.6"/>
    <n v="7.44"/>
    <s v="60701190"/>
    <x v="100"/>
  </r>
  <r>
    <s v="Mai-2020"/>
    <x v="4"/>
    <n v="27"/>
    <x v="0"/>
    <n v="0.42"/>
    <n v="5.19"/>
    <s v="00655522"/>
    <x v="100"/>
  </r>
  <r>
    <s v="Mai-2020"/>
    <x v="0"/>
    <n v="134"/>
    <x v="13"/>
    <n v="0.53"/>
    <n v="6.49"/>
    <s v="00000208"/>
    <x v="100"/>
  </r>
  <r>
    <s v="Mai-2020"/>
    <x v="5"/>
    <n v="74"/>
    <x v="10"/>
    <n v="0.46"/>
    <n v="5.63"/>
    <s v="00000000"/>
    <x v="100"/>
  </r>
  <r>
    <s v="Mai-2020"/>
    <x v="4"/>
    <n v="14"/>
    <x v="4"/>
    <n v="0.37"/>
    <n v="4.53"/>
    <s v="00360305"/>
    <x v="100"/>
  </r>
  <r>
    <s v="Mai-2020"/>
    <x v="5"/>
    <n v="64"/>
    <x v="4"/>
    <n v="0.4"/>
    <n v="4.88"/>
    <s v="00360305"/>
    <x v="100"/>
  </r>
  <r>
    <s v="Mai-2020"/>
    <x v="1"/>
    <n v="37"/>
    <x v="11"/>
    <n v="0.53"/>
    <n v="6.56"/>
    <s v="28127603"/>
    <x v="100"/>
  </r>
  <r>
    <s v="Mai-2020"/>
    <x v="5"/>
    <n v="46"/>
    <x v="0"/>
    <n v="0.36"/>
    <n v="4.38"/>
    <s v="00655522"/>
    <x v="100"/>
  </r>
  <r>
    <s v="Mai-2020"/>
    <x v="2"/>
    <n v="226"/>
    <x v="0"/>
    <n v="1.19"/>
    <n v="15.21"/>
    <s v="00655522"/>
    <x v="100"/>
  </r>
  <r>
    <s v="Mai-2020"/>
    <x v="3"/>
    <n v="37"/>
    <x v="4"/>
    <n v="0.75"/>
    <n v="9.4"/>
    <s v="00360305"/>
    <x v="100"/>
  </r>
  <r>
    <s v="Jun-2020"/>
    <x v="0"/>
    <n v="819"/>
    <x v="0"/>
    <n v="0.7"/>
    <n v="8.76"/>
    <s v="00655522"/>
    <x v="101"/>
  </r>
  <r>
    <s v="Jun-2020"/>
    <x v="0"/>
    <n v="625"/>
    <x v="18"/>
    <n v="0.67"/>
    <n v="8.31"/>
    <s v="92702067"/>
    <x v="101"/>
  </r>
  <r>
    <s v="Jun-2020"/>
    <x v="0"/>
    <n v="610"/>
    <x v="9"/>
    <n v="0.66"/>
    <n v="8.2200000000000006"/>
    <s v="90400888"/>
    <x v="101"/>
  </r>
  <r>
    <s v="Jun-2020"/>
    <x v="1"/>
    <n v="711"/>
    <x v="18"/>
    <n v="0.85"/>
    <n v="10.63"/>
    <s v="92702067"/>
    <x v="101"/>
  </r>
  <r>
    <s v="Jun-2020"/>
    <x v="0"/>
    <n v="488"/>
    <x v="2"/>
    <n v="0.63"/>
    <n v="7.79"/>
    <s v="60701190"/>
    <x v="101"/>
  </r>
  <r>
    <s v="Jun-2020"/>
    <x v="1"/>
    <n v="632"/>
    <x v="0"/>
    <n v="0.81"/>
    <n v="10.199999999999999"/>
    <s v="00655522"/>
    <x v="101"/>
  </r>
  <r>
    <s v="Jun-2020"/>
    <x v="0"/>
    <n v="486"/>
    <x v="17"/>
    <n v="0.63"/>
    <n v="7.78"/>
    <s v="00416968"/>
    <x v="101"/>
  </r>
  <r>
    <s v="Jun-2020"/>
    <x v="1"/>
    <n v="249"/>
    <x v="4"/>
    <n v="0.67"/>
    <n v="8.36"/>
    <s v="00360305"/>
    <x v="101"/>
  </r>
  <r>
    <s v="Jun-2020"/>
    <x v="0"/>
    <n v="413"/>
    <x v="10"/>
    <n v="0.61"/>
    <n v="7.55"/>
    <s v="00000000"/>
    <x v="101"/>
  </r>
  <r>
    <s v="Jun-2020"/>
    <x v="1"/>
    <n v="233"/>
    <x v="10"/>
    <n v="0.66"/>
    <n v="8.18"/>
    <s v="00000000"/>
    <x v="101"/>
  </r>
  <r>
    <s v="Jun-2020"/>
    <x v="0"/>
    <n v="301"/>
    <x v="7"/>
    <n v="0.59"/>
    <n v="7.33"/>
    <s v="60746948"/>
    <x v="101"/>
  </r>
  <r>
    <s v="Jun-2020"/>
    <x v="1"/>
    <n v="227"/>
    <x v="9"/>
    <n v="0.65"/>
    <n v="8.09"/>
    <s v="90400888"/>
    <x v="101"/>
  </r>
  <r>
    <s v="Jun-2020"/>
    <x v="0"/>
    <n v="286"/>
    <x v="27"/>
    <n v="0.57999999999999996"/>
    <n v="7.24"/>
    <s v="02038232"/>
    <x v="101"/>
  </r>
  <r>
    <s v="Jun-2020"/>
    <x v="1"/>
    <n v="201"/>
    <x v="17"/>
    <n v="0.62"/>
    <n v="7.74"/>
    <s v="00416968"/>
    <x v="101"/>
  </r>
  <r>
    <s v="Jun-2020"/>
    <x v="0"/>
    <n v="204"/>
    <x v="4"/>
    <n v="0.55000000000000004"/>
    <n v="6.81"/>
    <s v="00360305"/>
    <x v="101"/>
  </r>
  <r>
    <s v="Jun-2020"/>
    <x v="4"/>
    <n v="122"/>
    <x v="6"/>
    <n v="0.98"/>
    <n v="12.36"/>
    <s v="14511781"/>
    <x v="101"/>
  </r>
  <r>
    <s v="Jun-2020"/>
    <x v="1"/>
    <n v="165"/>
    <x v="7"/>
    <n v="0.6"/>
    <n v="7.45"/>
    <s v="60746948"/>
    <x v="101"/>
  </r>
  <r>
    <s v="Jun-2020"/>
    <x v="4"/>
    <n v="106"/>
    <x v="29"/>
    <n v="0.88"/>
    <n v="11.06"/>
    <s v="00556603"/>
    <x v="101"/>
  </r>
  <r>
    <s v="Jun-2020"/>
    <x v="0"/>
    <n v="200"/>
    <x v="15"/>
    <n v="0.55000000000000004"/>
    <n v="6.8"/>
    <s v="13009717"/>
    <x v="101"/>
  </r>
  <r>
    <s v="Jun-2020"/>
    <x v="4"/>
    <n v="68"/>
    <x v="28"/>
    <n v="0.75"/>
    <n v="9.3800000000000008"/>
    <s v="00795423"/>
    <x v="101"/>
  </r>
  <r>
    <s v="Jun-2020"/>
    <x v="1"/>
    <n v="150"/>
    <x v="2"/>
    <n v="0.6"/>
    <n v="7.38"/>
    <s v="60701190"/>
    <x v="101"/>
  </r>
  <r>
    <s v="Jun-2020"/>
    <x v="4"/>
    <n v="39"/>
    <x v="0"/>
    <n v="0.5"/>
    <n v="6.2"/>
    <s v="00655522"/>
    <x v="101"/>
  </r>
  <r>
    <s v="Jun-2020"/>
    <x v="0"/>
    <n v="165"/>
    <x v="11"/>
    <n v="0.54"/>
    <n v="6.68"/>
    <s v="28127603"/>
    <x v="101"/>
  </r>
  <r>
    <s v="Jun-2020"/>
    <x v="4"/>
    <n v="36"/>
    <x v="10"/>
    <n v="0.48"/>
    <n v="5.95"/>
    <s v="00000000"/>
    <x v="101"/>
  </r>
  <r>
    <s v="Jun-2020"/>
    <x v="1"/>
    <n v="66"/>
    <x v="11"/>
    <n v="0.56000000000000005"/>
    <n v="6.92"/>
    <s v="28127603"/>
    <x v="101"/>
  </r>
  <r>
    <s v="Jun-2020"/>
    <x v="4"/>
    <n v="6"/>
    <x v="4"/>
    <n v="0.34"/>
    <n v="4.12"/>
    <s v="00360305"/>
    <x v="101"/>
  </r>
  <r>
    <s v="Jun-2020"/>
    <x v="0"/>
    <n v="147"/>
    <x v="13"/>
    <n v="0.53"/>
    <n v="6.53"/>
    <s v="00000208"/>
    <x v="101"/>
  </r>
  <r>
    <s v="Jun-2020"/>
    <x v="5"/>
    <n v="83"/>
    <x v="10"/>
    <n v="0.48"/>
    <n v="5.97"/>
    <s v="00000000"/>
    <x v="101"/>
  </r>
  <r>
    <s v="Jun-2020"/>
    <x v="2"/>
    <n v="284"/>
    <x v="0"/>
    <n v="1.3"/>
    <n v="16.71"/>
    <s v="00655522"/>
    <x v="101"/>
  </r>
  <r>
    <s v="Jun-2020"/>
    <x v="5"/>
    <n v="60"/>
    <x v="4"/>
    <n v="0.4"/>
    <n v="4.88"/>
    <s v="00360305"/>
    <x v="101"/>
  </r>
  <r>
    <s v="Jun-2020"/>
    <x v="1"/>
    <n v="53"/>
    <x v="15"/>
    <n v="0.55000000000000004"/>
    <n v="6.75"/>
    <s v="13009717"/>
    <x v="101"/>
  </r>
  <r>
    <s v="Jun-2020"/>
    <x v="5"/>
    <n v="42"/>
    <x v="0"/>
    <n v="0.35"/>
    <n v="4.3"/>
    <s v="00655522"/>
    <x v="101"/>
  </r>
  <r>
    <s v="Jun-2020"/>
    <x v="2"/>
    <n v="201"/>
    <x v="26"/>
    <n v="1.1299999999999999"/>
    <n v="14.44"/>
    <s v="18282093"/>
    <x v="101"/>
  </r>
  <r>
    <s v="Jun-2020"/>
    <x v="3"/>
    <n v="44"/>
    <x v="4"/>
    <n v="0.75"/>
    <n v="9.41"/>
    <s v="00360305"/>
    <x v="101"/>
  </r>
  <r>
    <s v="Jul-2020"/>
    <x v="0"/>
    <n v="611"/>
    <x v="0"/>
    <n v="0.66"/>
    <n v="8.23"/>
    <s v="00655522"/>
    <x v="102"/>
  </r>
  <r>
    <s v="Jul-2020"/>
    <x v="0"/>
    <n v="578"/>
    <x v="18"/>
    <n v="0.65"/>
    <n v="8.09"/>
    <s v="92702067"/>
    <x v="102"/>
  </r>
  <r>
    <s v="Jul-2020"/>
    <x v="1"/>
    <n v="635"/>
    <x v="0"/>
    <n v="0.81"/>
    <n v="10.199999999999999"/>
    <s v="00655522"/>
    <x v="102"/>
  </r>
  <r>
    <s v="Jul-2020"/>
    <x v="0"/>
    <n v="473"/>
    <x v="2"/>
    <n v="0.62"/>
    <n v="7.75"/>
    <s v="60701190"/>
    <x v="102"/>
  </r>
  <r>
    <s v="Jul-2020"/>
    <x v="1"/>
    <n v="290"/>
    <x v="18"/>
    <n v="0.69"/>
    <n v="8.61"/>
    <s v="92702067"/>
    <x v="102"/>
  </r>
  <r>
    <s v="Jul-2020"/>
    <x v="0"/>
    <n v="469"/>
    <x v="17"/>
    <n v="0.62"/>
    <n v="7.74"/>
    <s v="00416968"/>
    <x v="102"/>
  </r>
  <r>
    <s v="Jul-2020"/>
    <x v="1"/>
    <n v="270"/>
    <x v="4"/>
    <n v="0.68"/>
    <n v="8.5"/>
    <s v="00360305"/>
    <x v="102"/>
  </r>
  <r>
    <s v="Jul-2020"/>
    <x v="0"/>
    <n v="426"/>
    <x v="10"/>
    <n v="0.61"/>
    <n v="7.6"/>
    <s v="00000000"/>
    <x v="102"/>
  </r>
  <r>
    <s v="Jul-2020"/>
    <x v="1"/>
    <n v="226"/>
    <x v="10"/>
    <n v="0.65"/>
    <n v="8.06"/>
    <s v="00000000"/>
    <x v="102"/>
  </r>
  <r>
    <s v="Jul-2020"/>
    <x v="0"/>
    <n v="323"/>
    <x v="9"/>
    <n v="0.6"/>
    <n v="7.38"/>
    <s v="90400888"/>
    <x v="102"/>
  </r>
  <r>
    <s v="Jul-2020"/>
    <x v="1"/>
    <n v="213"/>
    <x v="17"/>
    <n v="0.63"/>
    <n v="7.87"/>
    <s v="00416968"/>
    <x v="102"/>
  </r>
  <r>
    <s v="Jul-2020"/>
    <x v="0"/>
    <n v="294"/>
    <x v="7"/>
    <n v="0.59"/>
    <n v="7.31"/>
    <s v="60746948"/>
    <x v="102"/>
  </r>
  <r>
    <s v="Jul-2020"/>
    <x v="1"/>
    <n v="171"/>
    <x v="7"/>
    <n v="0.6"/>
    <n v="7.48"/>
    <s v="60746948"/>
    <x v="102"/>
  </r>
  <r>
    <s v="Jul-2020"/>
    <x v="0"/>
    <n v="272"/>
    <x v="27"/>
    <n v="0.57999999999999996"/>
    <n v="7.18"/>
    <s v="02038232"/>
    <x v="102"/>
  </r>
  <r>
    <s v="Jul-2020"/>
    <x v="1"/>
    <n v="147"/>
    <x v="2"/>
    <n v="0.59"/>
    <n v="7.36"/>
    <s v="60701190"/>
    <x v="102"/>
  </r>
  <r>
    <s v="Jul-2020"/>
    <x v="0"/>
    <n v="219"/>
    <x v="4"/>
    <n v="0.55000000000000004"/>
    <n v="6.86"/>
    <s v="00360305"/>
    <x v="102"/>
  </r>
  <r>
    <s v="Jul-2020"/>
    <x v="1"/>
    <n v="146"/>
    <x v="9"/>
    <n v="0.59"/>
    <n v="7.36"/>
    <s v="90400888"/>
    <x v="102"/>
  </r>
  <r>
    <s v="Jul-2020"/>
    <x v="0"/>
    <n v="188"/>
    <x v="15"/>
    <n v="0.55000000000000004"/>
    <n v="6.78"/>
    <s v="13009717"/>
    <x v="102"/>
  </r>
  <r>
    <s v="Jul-2020"/>
    <x v="1"/>
    <n v="108"/>
    <x v="27"/>
    <n v="0.57999999999999996"/>
    <n v="7.17"/>
    <s v="02038232"/>
    <x v="102"/>
  </r>
  <r>
    <s v="Jul-2020"/>
    <x v="0"/>
    <n v="175"/>
    <x v="11"/>
    <n v="0.55000000000000004"/>
    <n v="6.74"/>
    <s v="28127603"/>
    <x v="102"/>
  </r>
  <r>
    <s v="Jul-2020"/>
    <x v="4"/>
    <n v="97"/>
    <x v="29"/>
    <n v="0.87"/>
    <n v="10.97"/>
    <s v="00556603"/>
    <x v="102"/>
  </r>
  <r>
    <s v="Jul-2020"/>
    <x v="1"/>
    <n v="55"/>
    <x v="11"/>
    <n v="0.55000000000000004"/>
    <n v="6.77"/>
    <s v="28127603"/>
    <x v="102"/>
  </r>
  <r>
    <s v="Jul-2020"/>
    <x v="4"/>
    <n v="49"/>
    <x v="28"/>
    <n v="0.66"/>
    <n v="8.19"/>
    <s v="00795423"/>
    <x v="102"/>
  </r>
  <r>
    <s v="Jul-2020"/>
    <x v="0"/>
    <n v="133"/>
    <x v="13"/>
    <n v="0.53"/>
    <n v="6.49"/>
    <s v="00000208"/>
    <x v="102"/>
  </r>
  <r>
    <s v="Jul-2020"/>
    <x v="5"/>
    <n v="73"/>
    <x v="10"/>
    <n v="0.46"/>
    <n v="5.62"/>
    <s v="00000000"/>
    <x v="102"/>
  </r>
  <r>
    <s v="Jul-2020"/>
    <x v="4"/>
    <n v="24"/>
    <x v="0"/>
    <n v="0.41"/>
    <n v="4.9800000000000004"/>
    <s v="00655522"/>
    <x v="102"/>
  </r>
  <r>
    <s v="Jul-2020"/>
    <x v="5"/>
    <n v="59"/>
    <x v="4"/>
    <n v="0.4"/>
    <n v="4.87"/>
    <s v="00360305"/>
    <x v="102"/>
  </r>
  <r>
    <s v="Jul-2020"/>
    <x v="1"/>
    <n v="52"/>
    <x v="15"/>
    <n v="0.55000000000000004"/>
    <n v="6.75"/>
    <s v="13009717"/>
    <x v="102"/>
  </r>
  <r>
    <s v="Jul-2020"/>
    <x v="5"/>
    <n v="48"/>
    <x v="0"/>
    <n v="0.36"/>
    <n v="4.46"/>
    <s v="00655522"/>
    <x v="102"/>
  </r>
  <r>
    <s v="Jul-2020"/>
    <x v="2"/>
    <n v="185"/>
    <x v="0"/>
    <n v="1.1000000000000001"/>
    <n v="14"/>
    <s v="00655522"/>
    <x v="102"/>
  </r>
  <r>
    <s v="Jul-2020"/>
    <x v="3"/>
    <n v="45"/>
    <x v="4"/>
    <n v="0.75"/>
    <n v="9.42"/>
    <s v="00360305"/>
    <x v="102"/>
  </r>
  <r>
    <s v="Ago-2020"/>
    <x v="0"/>
    <n v="617"/>
    <x v="0"/>
    <n v="0.66"/>
    <n v="8.24"/>
    <s v="00655522"/>
    <x v="103"/>
  </r>
  <r>
    <s v="Ago-2020"/>
    <x v="0"/>
    <n v="526"/>
    <x v="18"/>
    <n v="0.63"/>
    <n v="7.89"/>
    <s v="92702067"/>
    <x v="103"/>
  </r>
  <r>
    <s v="Ago-2020"/>
    <x v="0"/>
    <n v="471"/>
    <x v="17"/>
    <n v="0.62"/>
    <n v="7.74"/>
    <s v="00416968"/>
    <x v="103"/>
  </r>
  <r>
    <s v="Ago-2020"/>
    <x v="0"/>
    <n v="442"/>
    <x v="2"/>
    <n v="0.62"/>
    <n v="7.66"/>
    <s v="60701190"/>
    <x v="103"/>
  </r>
  <r>
    <s v="Ago-2020"/>
    <x v="1"/>
    <n v="236"/>
    <x v="4"/>
    <n v="0.66"/>
    <n v="8.24"/>
    <s v="00360305"/>
    <x v="103"/>
  </r>
  <r>
    <s v="Ago-2020"/>
    <x v="0"/>
    <n v="396"/>
    <x v="10"/>
    <n v="0.61"/>
    <n v="7.51"/>
    <s v="00000000"/>
    <x v="103"/>
  </r>
  <r>
    <s v="Ago-2020"/>
    <x v="1"/>
    <n v="218"/>
    <x v="17"/>
    <n v="0.64"/>
    <n v="7.93"/>
    <s v="00416968"/>
    <x v="103"/>
  </r>
  <r>
    <s v="Ago-2020"/>
    <x v="0"/>
    <n v="316"/>
    <x v="9"/>
    <n v="0.59"/>
    <n v="7.37"/>
    <s v="90400888"/>
    <x v="103"/>
  </r>
  <r>
    <s v="Ago-2020"/>
    <x v="1"/>
    <n v="187"/>
    <x v="10"/>
    <n v="0.61"/>
    <n v="7.62"/>
    <s v="00000000"/>
    <x v="103"/>
  </r>
  <r>
    <s v="Ago-2020"/>
    <x v="0"/>
    <n v="282"/>
    <x v="7"/>
    <n v="0.57999999999999996"/>
    <n v="7.22"/>
    <s v="60746948"/>
    <x v="103"/>
  </r>
  <r>
    <s v="Ago-2020"/>
    <x v="1"/>
    <n v="145"/>
    <x v="18"/>
    <n v="0.59"/>
    <n v="7.36"/>
    <s v="92702067"/>
    <x v="103"/>
  </r>
  <r>
    <s v="Ago-2020"/>
    <x v="0"/>
    <n v="278"/>
    <x v="27"/>
    <n v="0.57999999999999996"/>
    <n v="7.2"/>
    <s v="02038232"/>
    <x v="103"/>
  </r>
  <r>
    <s v="Ago-2020"/>
    <x v="1"/>
    <n v="144"/>
    <x v="9"/>
    <n v="0.59"/>
    <n v="7.36"/>
    <s v="90400888"/>
    <x v="103"/>
  </r>
  <r>
    <s v="Ago-2020"/>
    <x v="4"/>
    <n v="112"/>
    <x v="6"/>
    <n v="0.89"/>
    <n v="11.21"/>
    <s v="14511781"/>
    <x v="103"/>
  </r>
  <r>
    <s v="Ago-2020"/>
    <x v="0"/>
    <n v="231"/>
    <x v="4"/>
    <n v="0.56000000000000005"/>
    <n v="6.91"/>
    <s v="00360305"/>
    <x v="103"/>
  </r>
  <r>
    <s v="Ago-2020"/>
    <x v="4"/>
    <n v="66"/>
    <x v="28"/>
    <n v="0.75"/>
    <n v="9.33"/>
    <s v="00795423"/>
    <x v="103"/>
  </r>
  <r>
    <s v="Ago-2020"/>
    <x v="1"/>
    <n v="132"/>
    <x v="7"/>
    <n v="0.59"/>
    <n v="7.27"/>
    <s v="60746948"/>
    <x v="103"/>
  </r>
  <r>
    <s v="Ago-2020"/>
    <x v="4"/>
    <n v="48"/>
    <x v="29"/>
    <n v="0.65"/>
    <n v="8.07"/>
    <s v="00556603"/>
    <x v="103"/>
  </r>
  <r>
    <s v="Ago-2020"/>
    <x v="0"/>
    <n v="173"/>
    <x v="11"/>
    <n v="0.54"/>
    <n v="6.73"/>
    <s v="28127603"/>
    <x v="103"/>
  </r>
  <r>
    <s v="Ago-2020"/>
    <x v="4"/>
    <n v="44"/>
    <x v="10"/>
    <n v="0.53"/>
    <n v="6.61"/>
    <s v="00000000"/>
    <x v="103"/>
  </r>
  <r>
    <s v="Ago-2020"/>
    <x v="1"/>
    <n v="127"/>
    <x v="2"/>
    <n v="0.57999999999999996"/>
    <n v="7.25"/>
    <s v="60701190"/>
    <x v="103"/>
  </r>
  <r>
    <s v="Ago-2020"/>
    <x v="4"/>
    <n v="33"/>
    <x v="4"/>
    <n v="0.46"/>
    <n v="5.72"/>
    <s v="00360305"/>
    <x v="103"/>
  </r>
  <r>
    <s v="Ago-2020"/>
    <x v="0"/>
    <n v="169"/>
    <x v="15"/>
    <n v="0.54"/>
    <n v="6.7"/>
    <s v="13009717"/>
    <x v="103"/>
  </r>
  <r>
    <s v="Ago-2020"/>
    <x v="4"/>
    <n v="12"/>
    <x v="0"/>
    <n v="0.37"/>
    <n v="4.5"/>
    <s v="00655522"/>
    <x v="103"/>
  </r>
  <r>
    <s v="Ago-2020"/>
    <x v="1"/>
    <n v="51"/>
    <x v="15"/>
    <n v="0.55000000000000004"/>
    <n v="6.75"/>
    <s v="13009717"/>
    <x v="103"/>
  </r>
  <r>
    <s v="Ago-2020"/>
    <x v="2"/>
    <n v="212"/>
    <x v="0"/>
    <n v="1.1499999999999999"/>
    <n v="14.73"/>
    <s v="00655522"/>
    <x v="103"/>
  </r>
  <r>
    <s v="Ago-2020"/>
    <x v="5"/>
    <n v="87"/>
    <x v="10"/>
    <n v="0.52"/>
    <n v="6.39"/>
    <s v="00000000"/>
    <x v="103"/>
  </r>
  <r>
    <s v="Ago-2020"/>
    <x v="0"/>
    <n v="125"/>
    <x v="13"/>
    <n v="0.52"/>
    <n v="6.47"/>
    <s v="00000208"/>
    <x v="103"/>
  </r>
  <r>
    <s v="Ago-2020"/>
    <x v="5"/>
    <n v="61"/>
    <x v="4"/>
    <n v="0.4"/>
    <n v="4.88"/>
    <s v="00360305"/>
    <x v="103"/>
  </r>
  <r>
    <s v="Ago-2020"/>
    <x v="2"/>
    <n v="146"/>
    <x v="26"/>
    <n v="1.03"/>
    <n v="13.05"/>
    <s v="18282093"/>
    <x v="103"/>
  </r>
  <r>
    <s v="Ago-2020"/>
    <x v="5"/>
    <n v="41"/>
    <x v="0"/>
    <n v="0.35"/>
    <n v="4.29"/>
    <s v="00655522"/>
    <x v="103"/>
  </r>
  <r>
    <s v="Ago-2020"/>
    <x v="1"/>
    <n v="49"/>
    <x v="11"/>
    <n v="0.54"/>
    <n v="6.72"/>
    <s v="28127603"/>
    <x v="103"/>
  </r>
  <r>
    <s v="Ago-2020"/>
    <x v="5"/>
    <n v="16"/>
    <x v="13"/>
    <n v="0.28000000000000003"/>
    <n v="3.46"/>
    <s v="00000208"/>
    <x v="103"/>
  </r>
  <r>
    <s v="Ago-2020"/>
    <x v="2"/>
    <n v="28"/>
    <x v="4"/>
    <n v="0.75"/>
    <n v="9.36"/>
    <s v="00360305"/>
    <x v="103"/>
  </r>
  <r>
    <s v="Ago-2020"/>
    <x v="3"/>
    <n v="40"/>
    <x v="4"/>
    <n v="0.75"/>
    <n v="9.41"/>
    <s v="00360305"/>
    <x v="103"/>
  </r>
  <r>
    <s v="Set-2020"/>
    <x v="0"/>
    <n v="784"/>
    <x v="0"/>
    <n v="0.7"/>
    <n v="8.6999999999999993"/>
    <s v="00655522"/>
    <x v="104"/>
  </r>
  <r>
    <s v="Set-2020"/>
    <x v="0"/>
    <n v="452"/>
    <x v="17"/>
    <n v="0.62"/>
    <n v="7.71"/>
    <s v="00416968"/>
    <x v="104"/>
  </r>
  <r>
    <s v="Set-2020"/>
    <x v="0"/>
    <n v="440"/>
    <x v="18"/>
    <n v="0.62"/>
    <n v="7.65"/>
    <s v="92702067"/>
    <x v="104"/>
  </r>
  <r>
    <s v="Set-2020"/>
    <x v="1"/>
    <n v="266"/>
    <x v="4"/>
    <n v="0.68"/>
    <n v="8.49"/>
    <s v="00360305"/>
    <x v="104"/>
  </r>
  <r>
    <s v="Set-2020"/>
    <x v="0"/>
    <n v="397"/>
    <x v="15"/>
    <n v="0.61"/>
    <n v="7.51"/>
    <s v="13009717"/>
    <x v="104"/>
  </r>
  <r>
    <s v="Set-2020"/>
    <x v="1"/>
    <n v="216"/>
    <x v="17"/>
    <n v="0.64"/>
    <n v="7.9"/>
    <s v="00416968"/>
    <x v="104"/>
  </r>
  <r>
    <s v="Set-2020"/>
    <x v="0"/>
    <n v="370"/>
    <x v="2"/>
    <n v="0.6"/>
    <n v="7.46"/>
    <s v="60701190"/>
    <x v="104"/>
  </r>
  <r>
    <s v="Set-2020"/>
    <x v="1"/>
    <n v="181"/>
    <x v="10"/>
    <n v="0.61"/>
    <n v="7.55"/>
    <s v="00000000"/>
    <x v="104"/>
  </r>
  <r>
    <s v="Set-2020"/>
    <x v="0"/>
    <n v="318"/>
    <x v="9"/>
    <n v="0.59"/>
    <n v="7.37"/>
    <s v="90400888"/>
    <x v="104"/>
  </r>
  <r>
    <s v="Set-2020"/>
    <x v="1"/>
    <n v="180"/>
    <x v="18"/>
    <n v="0.61"/>
    <n v="7.53"/>
    <s v="92702067"/>
    <x v="104"/>
  </r>
  <r>
    <s v="Set-2020"/>
    <x v="0"/>
    <n v="317"/>
    <x v="10"/>
    <n v="0.59"/>
    <n v="7.37"/>
    <s v="00000000"/>
    <x v="104"/>
  </r>
  <r>
    <s v="Set-2020"/>
    <x v="1"/>
    <n v="155"/>
    <x v="11"/>
    <n v="0.6"/>
    <n v="7.4"/>
    <s v="28127603"/>
    <x v="104"/>
  </r>
  <r>
    <s v="Set-2020"/>
    <x v="0"/>
    <n v="275"/>
    <x v="27"/>
    <n v="0.57999999999999996"/>
    <n v="7.18"/>
    <s v="02038232"/>
    <x v="104"/>
  </r>
  <r>
    <s v="Set-2020"/>
    <x v="4"/>
    <n v="94"/>
    <x v="29"/>
    <n v="0.85"/>
    <n v="10.68"/>
    <s v="00556603"/>
    <x v="104"/>
  </r>
  <r>
    <s v="Set-2020"/>
    <x v="1"/>
    <n v="140"/>
    <x v="9"/>
    <n v="0.59"/>
    <n v="7.31"/>
    <s v="90400888"/>
    <x v="104"/>
  </r>
  <r>
    <s v="Set-2020"/>
    <x v="4"/>
    <n v="59"/>
    <x v="28"/>
    <n v="0.73"/>
    <n v="9.15"/>
    <s v="00795423"/>
    <x v="104"/>
  </r>
  <r>
    <s v="Set-2020"/>
    <x v="0"/>
    <n v="259"/>
    <x v="7"/>
    <n v="0.56999999999999995"/>
    <n v="7.11"/>
    <s v="60746948"/>
    <x v="104"/>
  </r>
  <r>
    <s v="Set-2020"/>
    <x v="4"/>
    <n v="47"/>
    <x v="6"/>
    <n v="0.64"/>
    <n v="7.92"/>
    <s v="14511781"/>
    <x v="104"/>
  </r>
  <r>
    <s v="Set-2020"/>
    <x v="1"/>
    <n v="125"/>
    <x v="27"/>
    <n v="0.57999999999999996"/>
    <n v="7.24"/>
    <s v="02038232"/>
    <x v="104"/>
  </r>
  <r>
    <s v="Set-2020"/>
    <x v="4"/>
    <n v="38"/>
    <x v="10"/>
    <n v="0.49"/>
    <n v="6.06"/>
    <s v="00000000"/>
    <x v="104"/>
  </r>
  <r>
    <s v="Set-2020"/>
    <x v="0"/>
    <n v="236"/>
    <x v="4"/>
    <n v="0.56000000000000005"/>
    <n v="6.95"/>
    <s v="00360305"/>
    <x v="104"/>
  </r>
  <r>
    <s v="Set-2020"/>
    <x v="4"/>
    <n v="37"/>
    <x v="0"/>
    <n v="0.49"/>
    <n v="6.05"/>
    <s v="00655522"/>
    <x v="104"/>
  </r>
  <r>
    <s v="Set-2020"/>
    <x v="1"/>
    <n v="109"/>
    <x v="7"/>
    <n v="0.57999999999999996"/>
    <n v="7.17"/>
    <s v="60746948"/>
    <x v="104"/>
  </r>
  <r>
    <s v="Set-2020"/>
    <x v="4"/>
    <n v="20"/>
    <x v="4"/>
    <n v="0.39"/>
    <n v="4.84"/>
    <s v="00360305"/>
    <x v="104"/>
  </r>
  <r>
    <s v="Set-2020"/>
    <x v="5"/>
    <n v="86"/>
    <x v="10"/>
    <n v="0.49"/>
    <n v="6.03"/>
    <s v="00000000"/>
    <x v="104"/>
  </r>
  <r>
    <s v="Set-2020"/>
    <x v="0"/>
    <n v="170"/>
    <x v="11"/>
    <n v="0.54"/>
    <n v="6.71"/>
    <s v="28127603"/>
    <x v="104"/>
  </r>
  <r>
    <s v="Set-2020"/>
    <x v="5"/>
    <n v="65"/>
    <x v="4"/>
    <n v="0.4"/>
    <n v="4.8899999999999997"/>
    <s v="00360305"/>
    <x v="104"/>
  </r>
  <r>
    <s v="Set-2020"/>
    <x v="2"/>
    <n v="207"/>
    <x v="0"/>
    <n v="1.1399999999999999"/>
    <n v="14.56"/>
    <s v="00655522"/>
    <x v="104"/>
  </r>
  <r>
    <s v="Set-2020"/>
    <x v="5"/>
    <n v="35"/>
    <x v="0"/>
    <n v="0.34"/>
    <n v="4.1399999999999997"/>
    <s v="00655522"/>
    <x v="104"/>
  </r>
  <r>
    <s v="Set-2020"/>
    <x v="1"/>
    <n v="105"/>
    <x v="2"/>
    <n v="0.57999999999999996"/>
    <n v="7.15"/>
    <s v="60701190"/>
    <x v="104"/>
  </r>
  <r>
    <s v="Set-2020"/>
    <x v="3"/>
    <n v="43"/>
    <x v="4"/>
    <n v="0.75"/>
    <n v="9.41"/>
    <s v="00360305"/>
    <x v="104"/>
  </r>
  <r>
    <s v="Set-2020"/>
    <x v="2"/>
    <n v="131"/>
    <x v="26"/>
    <n v="1.01"/>
    <n v="12.8"/>
    <s v="18282093"/>
    <x v="104"/>
  </r>
  <r>
    <s v="Set-2020"/>
    <x v="3"/>
    <n v="9"/>
    <x v="10"/>
    <n v="0"/>
    <n v="0"/>
    <s v="00000000"/>
    <x v="104"/>
  </r>
  <r>
    <s v="Out-2020"/>
    <x v="0"/>
    <n v="600"/>
    <x v="0"/>
    <n v="0.66"/>
    <n v="8.19"/>
    <s v="00655522"/>
    <x v="105"/>
  </r>
  <r>
    <s v="Out-2020"/>
    <x v="0"/>
    <n v="425"/>
    <x v="18"/>
    <n v="0.61"/>
    <n v="7.6"/>
    <s v="92702067"/>
    <x v="105"/>
  </r>
  <r>
    <s v="Out-2020"/>
    <x v="0"/>
    <n v="325"/>
    <x v="2"/>
    <n v="0.6"/>
    <n v="7.39"/>
    <s v="60701190"/>
    <x v="105"/>
  </r>
  <r>
    <s v="Out-2020"/>
    <x v="0"/>
    <n v="324"/>
    <x v="9"/>
    <n v="0.6"/>
    <n v="7.39"/>
    <s v="90400888"/>
    <x v="105"/>
  </r>
  <r>
    <s v="Out-2020"/>
    <x v="0"/>
    <n v="322"/>
    <x v="10"/>
    <n v="0.6"/>
    <n v="7.38"/>
    <s v="00000000"/>
    <x v="105"/>
  </r>
  <r>
    <s v="Out-2020"/>
    <x v="0"/>
    <n v="265"/>
    <x v="27"/>
    <n v="0.57999999999999996"/>
    <n v="7.15"/>
    <s v="02038232"/>
    <x v="105"/>
  </r>
  <r>
    <s v="Out-2020"/>
    <x v="1"/>
    <n v="305"/>
    <x v="4"/>
    <n v="0.7"/>
    <n v="8.68"/>
    <s v="00360305"/>
    <x v="105"/>
  </r>
  <r>
    <s v="Out-2020"/>
    <x v="0"/>
    <n v="252"/>
    <x v="7"/>
    <n v="0.56999999999999995"/>
    <n v="7.06"/>
    <s v="60746948"/>
    <x v="105"/>
  </r>
  <r>
    <s v="Out-2020"/>
    <x v="1"/>
    <n v="228"/>
    <x v="11"/>
    <n v="0.65"/>
    <n v="8.1199999999999992"/>
    <s v="28127603"/>
    <x v="105"/>
  </r>
  <r>
    <s v="Out-2020"/>
    <x v="0"/>
    <n v="191"/>
    <x v="4"/>
    <n v="0.55000000000000004"/>
    <n v="6.79"/>
    <s v="00360305"/>
    <x v="105"/>
  </r>
  <r>
    <s v="Out-2020"/>
    <x v="1"/>
    <n v="169"/>
    <x v="10"/>
    <n v="0.6"/>
    <n v="7.47"/>
    <s v="00000000"/>
    <x v="105"/>
  </r>
  <r>
    <s v="Out-2020"/>
    <x v="0"/>
    <n v="176"/>
    <x v="11"/>
    <n v="0.55000000000000004"/>
    <n v="6.75"/>
    <s v="28127603"/>
    <x v="105"/>
  </r>
  <r>
    <s v="Out-2020"/>
    <x v="1"/>
    <n v="141"/>
    <x v="9"/>
    <n v="0.59"/>
    <n v="7.32"/>
    <s v="90400888"/>
    <x v="105"/>
  </r>
  <r>
    <s v="Out-2020"/>
    <x v="0"/>
    <n v="127"/>
    <x v="15"/>
    <n v="0.52"/>
    <n v="6.48"/>
    <s v="13009717"/>
    <x v="105"/>
  </r>
  <r>
    <s v="Out-2020"/>
    <x v="1"/>
    <n v="122"/>
    <x v="7"/>
    <n v="0.57999999999999996"/>
    <n v="7.23"/>
    <s v="60746948"/>
    <x v="105"/>
  </r>
  <r>
    <s v="Out-2020"/>
    <x v="4"/>
    <n v="98"/>
    <x v="6"/>
    <n v="0.87"/>
    <n v="10.98"/>
    <s v="14511781"/>
    <x v="105"/>
  </r>
  <r>
    <s v="Out-2020"/>
    <x v="0"/>
    <n v="116"/>
    <x v="13"/>
    <n v="0.52"/>
    <n v="6.44"/>
    <s v="00000208"/>
    <x v="105"/>
  </r>
  <r>
    <s v="Out-2020"/>
    <x v="4"/>
    <n v="91"/>
    <x v="29"/>
    <n v="0.82"/>
    <n v="10.36"/>
    <s v="00556603"/>
    <x v="105"/>
  </r>
  <r>
    <s v="Out-2020"/>
    <x v="1"/>
    <n v="112"/>
    <x v="18"/>
    <n v="0.57999999999999996"/>
    <n v="7.18"/>
    <s v="92702067"/>
    <x v="105"/>
  </r>
  <r>
    <s v="Out-2020"/>
    <x v="4"/>
    <n v="60"/>
    <x v="28"/>
    <n v="0.73"/>
    <n v="9.17"/>
    <s v="00795423"/>
    <x v="105"/>
  </r>
  <r>
    <s v="Out-2020"/>
    <x v="0"/>
    <n v="93"/>
    <x v="31"/>
    <n v="0.51"/>
    <n v="6.28"/>
    <s v="04913711"/>
    <x v="105"/>
  </r>
  <r>
    <s v="Out-2020"/>
    <x v="5"/>
    <n v="79"/>
    <x v="10"/>
    <n v="0.47"/>
    <n v="5.77"/>
    <s v="00000000"/>
    <x v="105"/>
  </r>
  <r>
    <s v="Out-2020"/>
    <x v="4"/>
    <n v="18"/>
    <x v="4"/>
    <n v="0.39"/>
    <n v="4.84"/>
    <s v="00360305"/>
    <x v="105"/>
  </r>
  <r>
    <s v="Out-2020"/>
    <x v="5"/>
    <n v="69"/>
    <x v="4"/>
    <n v="0.4"/>
    <n v="4.9000000000000004"/>
    <s v="00360305"/>
    <x v="105"/>
  </r>
  <r>
    <s v="Out-2020"/>
    <x v="1"/>
    <n v="100"/>
    <x v="2"/>
    <n v="0.57999999999999996"/>
    <n v="7.13"/>
    <s v="60701190"/>
    <x v="105"/>
  </r>
  <r>
    <s v="Out-2020"/>
    <x v="5"/>
    <n v="32"/>
    <x v="0"/>
    <n v="0.34"/>
    <n v="4.12"/>
    <s v="00655522"/>
    <x v="105"/>
  </r>
  <r>
    <s v="Out-2020"/>
    <x v="4"/>
    <n v="15"/>
    <x v="0"/>
    <n v="0.38"/>
    <n v="4.6500000000000004"/>
    <s v="00655522"/>
    <x v="105"/>
  </r>
  <r>
    <s v="Out-2020"/>
    <x v="5"/>
    <n v="23"/>
    <x v="13"/>
    <n v="0.28999999999999998"/>
    <n v="3.56"/>
    <s v="00000208"/>
    <x v="105"/>
  </r>
  <r>
    <s v="Out-2020"/>
    <x v="0"/>
    <n v="79"/>
    <x v="17"/>
    <n v="0.5"/>
    <n v="6.2"/>
    <s v="00416968"/>
    <x v="105"/>
  </r>
  <r>
    <s v="Out-2020"/>
    <x v="3"/>
    <n v="187"/>
    <x v="9"/>
    <n v="0.97"/>
    <n v="12.22"/>
    <s v="90400888"/>
    <x v="105"/>
  </r>
  <r>
    <s v="Out-2020"/>
    <x v="2"/>
    <n v="189"/>
    <x v="0"/>
    <n v="1.1100000000000001"/>
    <n v="14.13"/>
    <s v="00655522"/>
    <x v="105"/>
  </r>
  <r>
    <s v="Out-2020"/>
    <x v="3"/>
    <n v="54"/>
    <x v="0"/>
    <n v="0.79"/>
    <n v="9.9"/>
    <s v="00655522"/>
    <x v="105"/>
  </r>
  <r>
    <s v="Out-2020"/>
    <x v="1"/>
    <n v="22"/>
    <x v="17"/>
    <n v="0.46"/>
    <n v="5.6"/>
    <s v="00416968"/>
    <x v="105"/>
  </r>
  <r>
    <s v="Out-2020"/>
    <x v="3"/>
    <n v="41"/>
    <x v="4"/>
    <n v="0.75"/>
    <n v="9.41"/>
    <s v="00360305"/>
    <x v="105"/>
  </r>
  <r>
    <s v="Out-2020"/>
    <x v="2"/>
    <n v="139"/>
    <x v="26"/>
    <n v="1.01"/>
    <n v="12.83"/>
    <s v="18282093"/>
    <x v="105"/>
  </r>
  <r>
    <s v="Out-2020"/>
    <x v="3"/>
    <n v="4"/>
    <x v="10"/>
    <n v="0"/>
    <n v="0"/>
    <s v="00000000"/>
    <x v="105"/>
  </r>
  <r>
    <s v="Nov-2020"/>
    <x v="0"/>
    <n v="609"/>
    <x v="0"/>
    <n v="0.66"/>
    <n v="8.2200000000000006"/>
    <s v="00655522"/>
    <x v="106"/>
  </r>
  <r>
    <s v="Nov-2020"/>
    <x v="0"/>
    <n v="359"/>
    <x v="18"/>
    <n v="0.6"/>
    <n v="7.44"/>
    <s v="92702067"/>
    <x v="106"/>
  </r>
  <r>
    <s v="Nov-2020"/>
    <x v="0"/>
    <n v="333"/>
    <x v="9"/>
    <n v="0.6"/>
    <n v="7.4"/>
    <s v="90400888"/>
    <x v="106"/>
  </r>
  <r>
    <s v="Nov-2020"/>
    <x v="0"/>
    <n v="332"/>
    <x v="10"/>
    <n v="0.6"/>
    <n v="7.4"/>
    <s v="00000000"/>
    <x v="106"/>
  </r>
  <r>
    <s v="Nov-2020"/>
    <x v="0"/>
    <n v="327"/>
    <x v="2"/>
    <n v="0.6"/>
    <n v="7.39"/>
    <s v="60701190"/>
    <x v="106"/>
  </r>
  <r>
    <s v="Nov-2020"/>
    <x v="1"/>
    <n v="738"/>
    <x v="17"/>
    <n v="0.87"/>
    <n v="10.9"/>
    <s v="00416968"/>
    <x v="106"/>
  </r>
  <r>
    <s v="Nov-2020"/>
    <x v="0"/>
    <n v="269"/>
    <x v="27"/>
    <n v="0.57999999999999996"/>
    <n v="7.16"/>
    <s v="02038232"/>
    <x v="106"/>
  </r>
  <r>
    <s v="Nov-2020"/>
    <x v="1"/>
    <n v="293"/>
    <x v="4"/>
    <n v="0.69"/>
    <n v="8.6199999999999992"/>
    <s v="00360305"/>
    <x v="106"/>
  </r>
  <r>
    <s v="Nov-2020"/>
    <x v="0"/>
    <n v="249"/>
    <x v="7"/>
    <n v="0.56999999999999995"/>
    <n v="7.03"/>
    <s v="60746948"/>
    <x v="106"/>
  </r>
  <r>
    <s v="Nov-2020"/>
    <x v="1"/>
    <n v="175"/>
    <x v="11"/>
    <n v="0.6"/>
    <n v="7.5"/>
    <s v="28127603"/>
    <x v="106"/>
  </r>
  <r>
    <s v="Nov-2020"/>
    <x v="0"/>
    <n v="182"/>
    <x v="4"/>
    <n v="0.55000000000000004"/>
    <n v="6.76"/>
    <s v="00360305"/>
    <x v="106"/>
  </r>
  <r>
    <s v="Nov-2020"/>
    <x v="1"/>
    <n v="168"/>
    <x v="10"/>
    <n v="0.6"/>
    <n v="7.45"/>
    <s v="00000000"/>
    <x v="106"/>
  </r>
  <r>
    <s v="Nov-2020"/>
    <x v="0"/>
    <n v="146"/>
    <x v="11"/>
    <n v="0.53"/>
    <n v="6.53"/>
    <s v="28127603"/>
    <x v="106"/>
  </r>
  <r>
    <s v="Nov-2020"/>
    <x v="1"/>
    <n v="138"/>
    <x v="15"/>
    <n v="0.59"/>
    <n v="7.3"/>
    <s v="13009717"/>
    <x v="106"/>
  </r>
  <r>
    <s v="Nov-2020"/>
    <x v="0"/>
    <n v="120"/>
    <x v="31"/>
    <n v="0.52"/>
    <n v="6.45"/>
    <s v="04913711"/>
    <x v="106"/>
  </r>
  <r>
    <s v="Nov-2020"/>
    <x v="1"/>
    <n v="129"/>
    <x v="9"/>
    <n v="0.57999999999999996"/>
    <n v="7.25"/>
    <s v="90400888"/>
    <x v="106"/>
  </r>
  <r>
    <s v="Nov-2020"/>
    <x v="0"/>
    <n v="112"/>
    <x v="15"/>
    <n v="0.52"/>
    <n v="6.42"/>
    <s v="13009717"/>
    <x v="106"/>
  </r>
  <r>
    <s v="Nov-2020"/>
    <x v="4"/>
    <n v="117"/>
    <x v="6"/>
    <n v="0.91"/>
    <n v="11.51"/>
    <s v="14511781"/>
    <x v="106"/>
  </r>
  <r>
    <s v="Nov-2020"/>
    <x v="1"/>
    <n v="128"/>
    <x v="18"/>
    <n v="0.57999999999999996"/>
    <n v="7.25"/>
    <s v="92702067"/>
    <x v="106"/>
  </r>
  <r>
    <s v="Nov-2020"/>
    <x v="4"/>
    <n v="88"/>
    <x v="29"/>
    <n v="0.82"/>
    <n v="10.28"/>
    <s v="00556603"/>
    <x v="106"/>
  </r>
  <r>
    <s v="Nov-2020"/>
    <x v="0"/>
    <n v="90"/>
    <x v="13"/>
    <n v="0.51"/>
    <n v="6.27"/>
    <s v="00000208"/>
    <x v="106"/>
  </r>
  <r>
    <s v="Nov-2020"/>
    <x v="4"/>
    <n v="85"/>
    <x v="0"/>
    <n v="0.81"/>
    <n v="10.199999999999999"/>
    <s v="00655522"/>
    <x v="106"/>
  </r>
  <r>
    <s v="Nov-2020"/>
    <x v="1"/>
    <n v="115"/>
    <x v="2"/>
    <n v="0.57999999999999996"/>
    <n v="7.19"/>
    <s v="60701190"/>
    <x v="106"/>
  </r>
  <r>
    <s v="Nov-2020"/>
    <x v="4"/>
    <n v="78"/>
    <x v="28"/>
    <n v="0.75"/>
    <n v="9.3800000000000008"/>
    <s v="00795423"/>
    <x v="106"/>
  </r>
  <r>
    <s v="Nov-2020"/>
    <x v="0"/>
    <n v="10"/>
    <x v="17"/>
    <n v="0.41"/>
    <n v="5.09"/>
    <s v="00416968"/>
    <x v="106"/>
  </r>
  <r>
    <s v="Nov-2020"/>
    <x v="4"/>
    <n v="40"/>
    <x v="10"/>
    <n v="0.5"/>
    <n v="6.21"/>
    <s v="00000000"/>
    <x v="106"/>
  </r>
  <r>
    <s v="Nov-2020"/>
    <x v="5"/>
    <n v="78"/>
    <x v="10"/>
    <n v="0.46"/>
    <n v="5.71"/>
    <s v="00000000"/>
    <x v="106"/>
  </r>
  <r>
    <s v="Nov-2020"/>
    <x v="1"/>
    <n v="114"/>
    <x v="7"/>
    <n v="0.57999999999999996"/>
    <n v="7.19"/>
    <s v="60746948"/>
    <x v="106"/>
  </r>
  <r>
    <s v="Nov-2020"/>
    <x v="5"/>
    <n v="68"/>
    <x v="4"/>
    <n v="0.4"/>
    <n v="4.8899999999999997"/>
    <s v="00360305"/>
    <x v="106"/>
  </r>
  <r>
    <s v="Nov-2020"/>
    <x v="4"/>
    <n v="23"/>
    <x v="4"/>
    <n v="0.39"/>
    <n v="4.84"/>
    <s v="00360305"/>
    <x v="106"/>
  </r>
  <r>
    <s v="Nov-2020"/>
    <x v="5"/>
    <n v="43"/>
    <x v="0"/>
    <n v="0.35"/>
    <n v="4.3099999999999996"/>
    <s v="00655522"/>
    <x v="106"/>
  </r>
  <r>
    <s v="Nov-2020"/>
    <x v="0"/>
    <n v="2"/>
    <x v="5"/>
    <n v="0.32"/>
    <n v="3.92"/>
    <s v="17184037"/>
    <x v="106"/>
  </r>
  <r>
    <s v="Nov-2020"/>
    <x v="5"/>
    <n v="19"/>
    <x v="13"/>
    <n v="0.28999999999999998"/>
    <n v="3.5"/>
    <s v="00000208"/>
    <x v="106"/>
  </r>
  <r>
    <s v="Nov-2020"/>
    <x v="2"/>
    <n v="198"/>
    <x v="0"/>
    <n v="1.1299999999999999"/>
    <n v="14.37"/>
    <s v="00655522"/>
    <x v="106"/>
  </r>
  <r>
    <s v="Nov-2020"/>
    <x v="5"/>
    <n v="1"/>
    <x v="31"/>
    <n v="0.26"/>
    <n v="3.13"/>
    <s v="04913711"/>
    <x v="106"/>
  </r>
  <r>
    <s v="Nov-2020"/>
    <x v="1"/>
    <n v="107"/>
    <x v="27"/>
    <n v="0.57999999999999996"/>
    <n v="7.16"/>
    <s v="02038232"/>
    <x v="106"/>
  </r>
  <r>
    <s v="Nov-2020"/>
    <x v="3"/>
    <n v="146"/>
    <x v="9"/>
    <n v="0.94"/>
    <n v="11.94"/>
    <s v="90400888"/>
    <x v="106"/>
  </r>
  <r>
    <s v="Nov-2020"/>
    <x v="2"/>
    <n v="109"/>
    <x v="26"/>
    <n v="0.98"/>
    <n v="12.4"/>
    <s v="18282093"/>
    <x v="106"/>
  </r>
  <r>
    <s v="Nov-2020"/>
    <x v="3"/>
    <n v="38"/>
    <x v="4"/>
    <n v="0.75"/>
    <n v="9.4"/>
    <s v="00360305"/>
    <x v="106"/>
  </r>
  <r>
    <s v="Dez-2020"/>
    <x v="0"/>
    <n v="616"/>
    <x v="0"/>
    <n v="0.66"/>
    <n v="8.24"/>
    <s v="00655522"/>
    <x v="107"/>
  </r>
  <r>
    <s v="Dez-2020"/>
    <x v="0"/>
    <n v="394"/>
    <x v="18"/>
    <n v="0.61"/>
    <n v="7.51"/>
    <s v="92702067"/>
    <x v="107"/>
  </r>
  <r>
    <s v="Dez-2020"/>
    <x v="0"/>
    <n v="345"/>
    <x v="10"/>
    <n v="0.6"/>
    <n v="7.42"/>
    <s v="00000000"/>
    <x v="107"/>
  </r>
  <r>
    <s v="Dez-2020"/>
    <x v="0"/>
    <n v="340"/>
    <x v="9"/>
    <n v="0.6"/>
    <n v="7.41"/>
    <s v="90400888"/>
    <x v="107"/>
  </r>
  <r>
    <s v="Dez-2020"/>
    <x v="0"/>
    <n v="326"/>
    <x v="2"/>
    <n v="0.6"/>
    <n v="7.39"/>
    <s v="60701190"/>
    <x v="107"/>
  </r>
  <r>
    <s v="Dez-2020"/>
    <x v="0"/>
    <n v="241"/>
    <x v="7"/>
    <n v="0.56000000000000005"/>
    <n v="6.98"/>
    <s v="60746948"/>
    <x v="107"/>
  </r>
  <r>
    <s v="Dez-2020"/>
    <x v="1"/>
    <n v="383"/>
    <x v="17"/>
    <n v="0.72"/>
    <n v="9.0399999999999991"/>
    <s v="00416968"/>
    <x v="107"/>
  </r>
  <r>
    <s v="Dez-2020"/>
    <x v="0"/>
    <n v="196"/>
    <x v="4"/>
    <n v="0.55000000000000004"/>
    <n v="6.8"/>
    <s v="00360305"/>
    <x v="107"/>
  </r>
  <r>
    <s v="Dez-2020"/>
    <x v="1"/>
    <n v="259"/>
    <x v="4"/>
    <n v="0.68"/>
    <n v="8.4499999999999993"/>
    <s v="00360305"/>
    <x v="107"/>
  </r>
  <r>
    <s v="Dez-2020"/>
    <x v="0"/>
    <n v="124"/>
    <x v="31"/>
    <n v="0.52"/>
    <n v="6.47"/>
    <s v="04913711"/>
    <x v="107"/>
  </r>
  <r>
    <s v="Dez-2020"/>
    <x v="1"/>
    <n v="157"/>
    <x v="10"/>
    <n v="0.6"/>
    <n v="7.41"/>
    <s v="00000000"/>
    <x v="107"/>
  </r>
  <r>
    <s v="Dez-2020"/>
    <x v="0"/>
    <n v="122"/>
    <x v="15"/>
    <n v="0.52"/>
    <n v="6.46"/>
    <s v="13009717"/>
    <x v="107"/>
  </r>
  <r>
    <s v="Dez-2020"/>
    <x v="1"/>
    <n v="152"/>
    <x v="9"/>
    <n v="0.6"/>
    <n v="7.38"/>
    <s v="90400888"/>
    <x v="107"/>
  </r>
  <r>
    <s v="Dez-2020"/>
    <x v="0"/>
    <n v="86"/>
    <x v="13"/>
    <n v="0.51"/>
    <n v="6.25"/>
    <s v="00000208"/>
    <x v="107"/>
  </r>
  <r>
    <s v="Dez-2020"/>
    <x v="1"/>
    <n v="149"/>
    <x v="18"/>
    <n v="0.59"/>
    <n v="7.37"/>
    <s v="92702067"/>
    <x v="107"/>
  </r>
  <r>
    <s v="Dez-2020"/>
    <x v="0"/>
    <n v="66"/>
    <x v="11"/>
    <n v="0.5"/>
    <n v="6.12"/>
    <s v="28127603"/>
    <x v="107"/>
  </r>
  <r>
    <s v="Dez-2020"/>
    <x v="1"/>
    <n v="103"/>
    <x v="2"/>
    <n v="0.57999999999999996"/>
    <n v="7.14"/>
    <s v="60701190"/>
    <x v="107"/>
  </r>
  <r>
    <s v="Dez-2020"/>
    <x v="4"/>
    <n v="89"/>
    <x v="6"/>
    <n v="0.82"/>
    <n v="10.29"/>
    <s v="14511781"/>
    <x v="107"/>
  </r>
  <r>
    <s v="Dez-2020"/>
    <x v="0"/>
    <n v="12"/>
    <x v="22"/>
    <n v="0.42"/>
    <n v="5.18"/>
    <s v="58160789"/>
    <x v="107"/>
  </r>
  <r>
    <s v="Dez-2020"/>
    <x v="4"/>
    <n v="81"/>
    <x v="29"/>
    <n v="0.79"/>
    <n v="9.9499999999999993"/>
    <s v="00556603"/>
    <x v="107"/>
  </r>
  <r>
    <s v="Dez-2020"/>
    <x v="1"/>
    <n v="99"/>
    <x v="7"/>
    <n v="0.56999999999999995"/>
    <n v="7.12"/>
    <s v="60746948"/>
    <x v="107"/>
  </r>
  <r>
    <s v="Dez-2020"/>
    <x v="4"/>
    <n v="77"/>
    <x v="28"/>
    <n v="0.75"/>
    <n v="9.3800000000000008"/>
    <s v="00795423"/>
    <x v="107"/>
  </r>
  <r>
    <s v="Dez-2020"/>
    <x v="0"/>
    <n v="9"/>
    <x v="5"/>
    <n v="0.4"/>
    <n v="4.8899999999999997"/>
    <s v="17184037"/>
    <x v="107"/>
  </r>
  <r>
    <s v="Dez-2020"/>
    <x v="4"/>
    <n v="21"/>
    <x v="4"/>
    <n v="0.39"/>
    <n v="4.84"/>
    <s v="00360305"/>
    <x v="107"/>
  </r>
  <r>
    <s v="Dez-2020"/>
    <x v="5"/>
    <n v="82"/>
    <x v="10"/>
    <n v="0.48"/>
    <n v="5.92"/>
    <s v="00000000"/>
    <x v="107"/>
  </r>
  <r>
    <s v="Dez-2020"/>
    <x v="1"/>
    <n v="72"/>
    <x v="15"/>
    <n v="0.56000000000000005"/>
    <n v="6.93"/>
    <s v="13009717"/>
    <x v="107"/>
  </r>
  <r>
    <s v="Dez-2020"/>
    <x v="5"/>
    <n v="67"/>
    <x v="4"/>
    <n v="0.4"/>
    <n v="4.8899999999999997"/>
    <s v="00360305"/>
    <x v="107"/>
  </r>
  <r>
    <s v="Dez-2020"/>
    <x v="4"/>
    <n v="13"/>
    <x v="0"/>
    <n v="0.37"/>
    <n v="4.5"/>
    <s v="00655522"/>
    <x v="107"/>
  </r>
  <r>
    <s v="Dez-2020"/>
    <x v="5"/>
    <n v="27"/>
    <x v="0"/>
    <n v="0.33"/>
    <n v="4.0599999999999996"/>
    <s v="00655522"/>
    <x v="107"/>
  </r>
  <r>
    <s v="Dez-2020"/>
    <x v="0"/>
    <n v="5"/>
    <x v="17"/>
    <n v="0.34"/>
    <n v="4.18"/>
    <s v="00416968"/>
    <x v="107"/>
  </r>
  <r>
    <s v="Dez-2020"/>
    <x v="5"/>
    <n v="20"/>
    <x v="13"/>
    <n v="0.28999999999999998"/>
    <n v="3.5"/>
    <s v="00000208"/>
    <x v="107"/>
  </r>
  <r>
    <s v="Dez-2020"/>
    <x v="2"/>
    <n v="197"/>
    <x v="0"/>
    <n v="1.1299999999999999"/>
    <n v="14.37"/>
    <s v="00655522"/>
    <x v="107"/>
  </r>
  <r>
    <s v="Dez-2020"/>
    <x v="5"/>
    <n v="5"/>
    <x v="31"/>
    <n v="0.26"/>
    <n v="3.18"/>
    <s v="04913711"/>
    <x v="107"/>
  </r>
  <r>
    <s v="Dez-2020"/>
    <x v="1"/>
    <n v="40"/>
    <x v="11"/>
    <n v="0.53"/>
    <n v="6.6"/>
    <s v="28127603"/>
    <x v="107"/>
  </r>
  <r>
    <s v="Dez-2020"/>
    <x v="3"/>
    <n v="35"/>
    <x v="4"/>
    <n v="0.75"/>
    <n v="9.4"/>
    <s v="00360305"/>
    <x v="107"/>
  </r>
  <r>
    <s v="Dez-2020"/>
    <x v="2"/>
    <n v="125"/>
    <x v="26"/>
    <n v="1"/>
    <n v="12.67"/>
    <s v="18282093"/>
    <x v="107"/>
  </r>
  <r>
    <s v="Dez-2020"/>
    <x v="3"/>
    <n v="10"/>
    <x v="10"/>
    <n v="0"/>
    <n v="0"/>
    <s v="00000000"/>
    <x v="107"/>
  </r>
  <r>
    <s v="Jan-2021"/>
    <x v="0"/>
    <n v="584"/>
    <x v="0"/>
    <n v="0.65"/>
    <n v="8.1"/>
    <s v="00655522"/>
    <x v="108"/>
  </r>
  <r>
    <s v="Jan-2021"/>
    <x v="0"/>
    <n v="389"/>
    <x v="18"/>
    <n v="0.6"/>
    <n v="7.5"/>
    <s v="92702067"/>
    <x v="108"/>
  </r>
  <r>
    <s v="Jan-2021"/>
    <x v="0"/>
    <n v="346"/>
    <x v="9"/>
    <n v="0.6"/>
    <n v="7.42"/>
    <s v="90400888"/>
    <x v="108"/>
  </r>
  <r>
    <s v="Jan-2021"/>
    <x v="0"/>
    <n v="331"/>
    <x v="2"/>
    <n v="0.6"/>
    <n v="7.4"/>
    <s v="60701190"/>
    <x v="108"/>
  </r>
  <r>
    <s v="Jan-2021"/>
    <x v="0"/>
    <n v="274"/>
    <x v="27"/>
    <n v="0.57999999999999996"/>
    <n v="7.18"/>
    <s v="02038232"/>
    <x v="108"/>
  </r>
  <r>
    <s v="Jan-2021"/>
    <x v="1"/>
    <n v="260"/>
    <x v="4"/>
    <n v="0.68"/>
    <n v="8.4600000000000009"/>
    <s v="00360305"/>
    <x v="108"/>
  </r>
  <r>
    <s v="Jan-2021"/>
    <x v="0"/>
    <n v="256"/>
    <x v="10"/>
    <n v="0.56999999999999995"/>
    <n v="7.09"/>
    <s v="00000000"/>
    <x v="108"/>
  </r>
  <r>
    <s v="Jan-2021"/>
    <x v="1"/>
    <n v="203"/>
    <x v="18"/>
    <n v="0.62"/>
    <n v="7.75"/>
    <s v="92702067"/>
    <x v="108"/>
  </r>
  <r>
    <s v="Jan-2021"/>
    <x v="0"/>
    <n v="228"/>
    <x v="7"/>
    <n v="0.56000000000000005"/>
    <n v="6.9"/>
    <s v="60746948"/>
    <x v="108"/>
  </r>
  <r>
    <s v="Jan-2021"/>
    <x v="1"/>
    <n v="158"/>
    <x v="10"/>
    <n v="0.6"/>
    <n v="7.42"/>
    <s v="00000000"/>
    <x v="108"/>
  </r>
  <r>
    <s v="Jan-2021"/>
    <x v="0"/>
    <n v="181"/>
    <x v="4"/>
    <n v="0.55000000000000004"/>
    <n v="6.76"/>
    <s v="00360305"/>
    <x v="108"/>
  </r>
  <r>
    <s v="Jan-2021"/>
    <x v="1"/>
    <n v="153"/>
    <x v="9"/>
    <n v="0.6"/>
    <n v="7.38"/>
    <s v="90400888"/>
    <x v="108"/>
  </r>
  <r>
    <s v="Jan-2021"/>
    <x v="0"/>
    <n v="152"/>
    <x v="31"/>
    <n v="0.53"/>
    <n v="6.55"/>
    <s v="04913711"/>
    <x v="108"/>
  </r>
  <r>
    <s v="Jan-2021"/>
    <x v="1"/>
    <n v="137"/>
    <x v="22"/>
    <n v="0.59"/>
    <n v="7.3"/>
    <s v="58160789"/>
    <x v="108"/>
  </r>
  <r>
    <s v="Jan-2021"/>
    <x v="0"/>
    <n v="109"/>
    <x v="15"/>
    <n v="0.52"/>
    <n v="6.4"/>
    <s v="13009717"/>
    <x v="108"/>
  </r>
  <r>
    <s v="Jan-2021"/>
    <x v="1"/>
    <n v="96"/>
    <x v="2"/>
    <n v="0.56999999999999995"/>
    <n v="7.08"/>
    <s v="60701190"/>
    <x v="108"/>
  </r>
  <r>
    <s v="Jan-2021"/>
    <x v="4"/>
    <n v="127"/>
    <x v="6"/>
    <n v="1.03"/>
    <n v="13.04"/>
    <s v="14511781"/>
    <x v="108"/>
  </r>
  <r>
    <s v="Jan-2021"/>
    <x v="0"/>
    <n v="83"/>
    <x v="13"/>
    <n v="0.51"/>
    <n v="6.24"/>
    <s v="00000208"/>
    <x v="108"/>
  </r>
  <r>
    <s v="Jan-2021"/>
    <x v="4"/>
    <n v="80"/>
    <x v="29"/>
    <n v="0.79"/>
    <n v="9.8699999999999992"/>
    <s v="00556603"/>
    <x v="108"/>
  </r>
  <r>
    <s v="Jan-2021"/>
    <x v="1"/>
    <n v="73"/>
    <x v="7"/>
    <n v="0.56000000000000005"/>
    <n v="6.94"/>
    <s v="60746948"/>
    <x v="108"/>
  </r>
  <r>
    <s v="Jan-2021"/>
    <x v="4"/>
    <n v="51"/>
    <x v="28"/>
    <n v="0.67"/>
    <n v="8.3000000000000007"/>
    <s v="00795423"/>
    <x v="108"/>
  </r>
  <r>
    <s v="Jan-2021"/>
    <x v="0"/>
    <n v="58"/>
    <x v="11"/>
    <n v="0.49"/>
    <n v="6.08"/>
    <s v="28127603"/>
    <x v="108"/>
  </r>
  <r>
    <s v="Jan-2021"/>
    <x v="4"/>
    <n v="34"/>
    <x v="10"/>
    <n v="0.47"/>
    <n v="5.8"/>
    <s v="00000000"/>
    <x v="108"/>
  </r>
  <r>
    <s v="Jan-2021"/>
    <x v="5"/>
    <n v="80"/>
    <x v="10"/>
    <n v="0.47"/>
    <n v="5.78"/>
    <s v="00000000"/>
    <x v="108"/>
  </r>
  <r>
    <s v="Jan-2021"/>
    <x v="1"/>
    <n v="27"/>
    <x v="11"/>
    <n v="0.5"/>
    <n v="6.22"/>
    <s v="28127603"/>
    <x v="108"/>
  </r>
  <r>
    <s v="Jan-2021"/>
    <x v="5"/>
    <n v="70"/>
    <x v="4"/>
    <n v="0.4"/>
    <n v="4.9400000000000004"/>
    <s v="00360305"/>
    <x v="108"/>
  </r>
  <r>
    <s v="Jan-2021"/>
    <x v="4"/>
    <n v="22"/>
    <x v="4"/>
    <n v="0.39"/>
    <n v="4.84"/>
    <s v="00360305"/>
    <x v="108"/>
  </r>
  <r>
    <s v="Jan-2021"/>
    <x v="5"/>
    <n v="26"/>
    <x v="0"/>
    <n v="0.33"/>
    <n v="4.05"/>
    <s v="00655522"/>
    <x v="108"/>
  </r>
  <r>
    <s v="Jan-2021"/>
    <x v="0"/>
    <n v="3"/>
    <x v="17"/>
    <n v="0.34"/>
    <n v="4.1100000000000003"/>
    <s v="00416968"/>
    <x v="108"/>
  </r>
  <r>
    <s v="Jan-2021"/>
    <x v="5"/>
    <n v="15"/>
    <x v="13"/>
    <n v="0.28000000000000003"/>
    <n v="3.44"/>
    <s v="00000208"/>
    <x v="108"/>
  </r>
  <r>
    <s v="Jan-2021"/>
    <x v="2"/>
    <n v="222"/>
    <x v="0"/>
    <n v="1.18"/>
    <n v="15.07"/>
    <s v="00655522"/>
    <x v="108"/>
  </r>
  <r>
    <s v="Jan-2021"/>
    <x v="5"/>
    <n v="6"/>
    <x v="31"/>
    <n v="0.26"/>
    <n v="3.18"/>
    <s v="04913711"/>
    <x v="108"/>
  </r>
  <r>
    <s v="Jan-2021"/>
    <x v="1"/>
    <n v="17"/>
    <x v="17"/>
    <n v="0.35"/>
    <n v="4.3"/>
    <s v="00416968"/>
    <x v="108"/>
  </r>
  <r>
    <s v="Jan-2021"/>
    <x v="3"/>
    <n v="147"/>
    <x v="9"/>
    <n v="0.94"/>
    <n v="11.94"/>
    <s v="90400888"/>
    <x v="108"/>
  </r>
  <r>
    <s v="Jan-2021"/>
    <x v="2"/>
    <n v="123"/>
    <x v="26"/>
    <n v="1"/>
    <n v="12.64"/>
    <s v="18282093"/>
    <x v="108"/>
  </r>
  <r>
    <s v="Jan-2021"/>
    <x v="3"/>
    <n v="36"/>
    <x v="4"/>
    <n v="0.75"/>
    <n v="9.4"/>
    <s v="00360305"/>
    <x v="108"/>
  </r>
  <r>
    <s v="Fev-2021"/>
    <x v="0"/>
    <n v="634"/>
    <x v="0"/>
    <n v="0.67"/>
    <n v="8.34"/>
    <s v="00655522"/>
    <x v="109"/>
  </r>
  <r>
    <s v="Fev-2021"/>
    <x v="0"/>
    <n v="417"/>
    <x v="18"/>
    <n v="0.61"/>
    <n v="7.57"/>
    <s v="92702067"/>
    <x v="109"/>
  </r>
  <r>
    <s v="Fev-2021"/>
    <x v="0"/>
    <n v="338"/>
    <x v="9"/>
    <n v="0.6"/>
    <n v="7.41"/>
    <s v="90400888"/>
    <x v="109"/>
  </r>
  <r>
    <s v="Fev-2021"/>
    <x v="0"/>
    <n v="330"/>
    <x v="2"/>
    <n v="0.6"/>
    <n v="7.4"/>
    <s v="60701190"/>
    <x v="109"/>
  </r>
  <r>
    <s v="Fev-2021"/>
    <x v="1"/>
    <n v="308"/>
    <x v="4"/>
    <n v="0.7"/>
    <n v="8.69"/>
    <s v="00360305"/>
    <x v="109"/>
  </r>
  <r>
    <s v="Fev-2021"/>
    <x v="0"/>
    <n v="220"/>
    <x v="7"/>
    <n v="0.55000000000000004"/>
    <n v="6.86"/>
    <s v="60746948"/>
    <x v="109"/>
  </r>
  <r>
    <s v="Fev-2021"/>
    <x v="1"/>
    <n v="185"/>
    <x v="18"/>
    <n v="0.61"/>
    <n v="7.58"/>
    <s v="92702067"/>
    <x v="109"/>
  </r>
  <r>
    <s v="Fev-2021"/>
    <x v="0"/>
    <n v="213"/>
    <x v="10"/>
    <n v="0.55000000000000004"/>
    <n v="6.84"/>
    <s v="00000000"/>
    <x v="109"/>
  </r>
  <r>
    <s v="Fev-2021"/>
    <x v="1"/>
    <n v="172"/>
    <x v="15"/>
    <n v="0.6"/>
    <n v="7.49"/>
    <s v="13009717"/>
    <x v="109"/>
  </r>
  <r>
    <s v="Fev-2021"/>
    <x v="0"/>
    <n v="184"/>
    <x v="4"/>
    <n v="0.55000000000000004"/>
    <n v="6.77"/>
    <s v="00360305"/>
    <x v="109"/>
  </r>
  <r>
    <s v="Fev-2021"/>
    <x v="1"/>
    <n v="161"/>
    <x v="9"/>
    <n v="0.6"/>
    <n v="7.44"/>
    <s v="90400888"/>
    <x v="109"/>
  </r>
  <r>
    <s v="Fev-2021"/>
    <x v="0"/>
    <n v="148"/>
    <x v="31"/>
    <n v="0.53"/>
    <n v="6.54"/>
    <s v="04913711"/>
    <x v="109"/>
  </r>
  <r>
    <s v="Fev-2021"/>
    <x v="1"/>
    <n v="97"/>
    <x v="10"/>
    <n v="0.56999999999999995"/>
    <n v="7.11"/>
    <s v="00000000"/>
    <x v="109"/>
  </r>
  <r>
    <s v="Fev-2021"/>
    <x v="0"/>
    <n v="108"/>
    <x v="15"/>
    <n v="0.52"/>
    <n v="6.4"/>
    <s v="13009717"/>
    <x v="109"/>
  </r>
  <r>
    <s v="Fev-2021"/>
    <x v="1"/>
    <n v="94"/>
    <x v="2"/>
    <n v="0.56999999999999995"/>
    <n v="7.08"/>
    <s v="60701190"/>
    <x v="109"/>
  </r>
  <r>
    <s v="Fev-2021"/>
    <x v="0"/>
    <n v="85"/>
    <x v="13"/>
    <n v="0.51"/>
    <n v="6.25"/>
    <s v="00000208"/>
    <x v="109"/>
  </r>
  <r>
    <s v="Fev-2021"/>
    <x v="1"/>
    <n v="76"/>
    <x v="7"/>
    <n v="0.56000000000000005"/>
    <n v="6.96"/>
    <s v="60746948"/>
    <x v="109"/>
  </r>
  <r>
    <s v="Fev-2021"/>
    <x v="4"/>
    <n v="82"/>
    <x v="6"/>
    <n v="0.8"/>
    <n v="9.98"/>
    <s v="14511781"/>
    <x v="109"/>
  </r>
  <r>
    <s v="Fev-2021"/>
    <x v="0"/>
    <n v="57"/>
    <x v="11"/>
    <n v="0.49"/>
    <n v="6.07"/>
    <s v="28127603"/>
    <x v="109"/>
  </r>
  <r>
    <s v="Fev-2021"/>
    <x v="4"/>
    <n v="61"/>
    <x v="29"/>
    <n v="0.74"/>
    <n v="9.2200000000000006"/>
    <s v="00556603"/>
    <x v="109"/>
  </r>
  <r>
    <s v="Fev-2021"/>
    <x v="5"/>
    <n v="85"/>
    <x v="10"/>
    <n v="0.49"/>
    <n v="6.02"/>
    <s v="00000000"/>
    <x v="109"/>
  </r>
  <r>
    <s v="Fev-2021"/>
    <x v="1"/>
    <n v="32"/>
    <x v="11"/>
    <n v="0.51"/>
    <n v="6.34"/>
    <s v="28127603"/>
    <x v="109"/>
  </r>
  <r>
    <s v="Fev-2021"/>
    <x v="5"/>
    <n v="71"/>
    <x v="4"/>
    <n v="0.42"/>
    <n v="5.14"/>
    <s v="00360305"/>
    <x v="109"/>
  </r>
  <r>
    <s v="Fev-2021"/>
    <x v="4"/>
    <n v="50"/>
    <x v="28"/>
    <n v="0.66"/>
    <n v="8.27"/>
    <s v="00795423"/>
    <x v="109"/>
  </r>
  <r>
    <s v="Fev-2021"/>
    <x v="5"/>
    <n v="30"/>
    <x v="0"/>
    <n v="0.33"/>
    <n v="4.09"/>
    <s v="00655522"/>
    <x v="109"/>
  </r>
  <r>
    <s v="Fev-2021"/>
    <x v="0"/>
    <n v="4"/>
    <x v="17"/>
    <n v="0.34"/>
    <n v="4.13"/>
    <s v="00416968"/>
    <x v="109"/>
  </r>
  <r>
    <s v="Fev-2021"/>
    <x v="5"/>
    <n v="21"/>
    <x v="13"/>
    <n v="0.28999999999999998"/>
    <n v="3.52"/>
    <s v="00000208"/>
    <x v="109"/>
  </r>
  <r>
    <s v="Fev-2021"/>
    <x v="2"/>
    <n v="206"/>
    <x v="0"/>
    <n v="1.1399999999999999"/>
    <n v="14.52"/>
    <s v="00655522"/>
    <x v="109"/>
  </r>
  <r>
    <s v="Fev-2021"/>
    <x v="5"/>
    <n v="2"/>
    <x v="31"/>
    <n v="0.26"/>
    <n v="3.17"/>
    <s v="04913711"/>
    <x v="109"/>
  </r>
  <r>
    <s v="Fev-2021"/>
    <x v="1"/>
    <n v="15"/>
    <x v="17"/>
    <n v="0.34"/>
    <n v="4.1399999999999997"/>
    <s v="00416968"/>
    <x v="109"/>
  </r>
  <r>
    <s v="Fev-2021"/>
    <x v="3"/>
    <n v="175"/>
    <x v="9"/>
    <n v="0.96"/>
    <n v="12.16"/>
    <s v="90400888"/>
    <x v="109"/>
  </r>
  <r>
    <s v="Fev-2021"/>
    <x v="2"/>
    <n v="112"/>
    <x v="26"/>
    <n v="0.98"/>
    <n v="12.42"/>
    <s v="18282093"/>
    <x v="109"/>
  </r>
  <r>
    <s v="Fev-2021"/>
    <x v="3"/>
    <n v="32"/>
    <x v="4"/>
    <n v="0.75"/>
    <n v="9.4"/>
    <s v="00360305"/>
    <x v="109"/>
  </r>
  <r>
    <s v="Mar-2021"/>
    <x v="0"/>
    <n v="684"/>
    <x v="0"/>
    <n v="0.68"/>
    <n v="8.48"/>
    <s v="00655522"/>
    <x v="110"/>
  </r>
  <r>
    <s v="Mar-2021"/>
    <x v="0"/>
    <n v="356"/>
    <x v="18"/>
    <n v="0.6"/>
    <n v="7.44"/>
    <s v="92702067"/>
    <x v="110"/>
  </r>
  <r>
    <s v="Mar-2021"/>
    <x v="0"/>
    <n v="339"/>
    <x v="9"/>
    <n v="0.6"/>
    <n v="7.41"/>
    <s v="90400888"/>
    <x v="110"/>
  </r>
  <r>
    <s v="Mar-2021"/>
    <x v="0"/>
    <n v="311"/>
    <x v="2"/>
    <n v="0.59"/>
    <n v="7.36"/>
    <s v="60701190"/>
    <x v="110"/>
  </r>
  <r>
    <s v="Mar-2021"/>
    <x v="0"/>
    <n v="261"/>
    <x v="27"/>
    <n v="0.56999999999999995"/>
    <n v="7.12"/>
    <s v="02038232"/>
    <x v="110"/>
  </r>
  <r>
    <s v="Mar-2021"/>
    <x v="1"/>
    <n v="422"/>
    <x v="17"/>
    <n v="0.74"/>
    <n v="9.19"/>
    <s v="00416968"/>
    <x v="110"/>
  </r>
  <r>
    <s v="Mar-2021"/>
    <x v="0"/>
    <n v="217"/>
    <x v="10"/>
    <n v="0.55000000000000004"/>
    <n v="6.85"/>
    <s v="00000000"/>
    <x v="110"/>
  </r>
  <r>
    <s v="Mar-2021"/>
    <x v="1"/>
    <n v="395"/>
    <x v="4"/>
    <n v="0.73"/>
    <n v="9.09"/>
    <s v="00360305"/>
    <x v="110"/>
  </r>
  <r>
    <s v="Mar-2021"/>
    <x v="0"/>
    <n v="212"/>
    <x v="7"/>
    <n v="0.55000000000000004"/>
    <n v="6.84"/>
    <s v="60746948"/>
    <x v="110"/>
  </r>
  <r>
    <s v="Mar-2021"/>
    <x v="1"/>
    <n v="142"/>
    <x v="9"/>
    <n v="0.59"/>
    <n v="7.34"/>
    <s v="90400888"/>
    <x v="110"/>
  </r>
  <r>
    <s v="Mar-2021"/>
    <x v="0"/>
    <n v="154"/>
    <x v="31"/>
    <n v="0.53"/>
    <n v="6.56"/>
    <s v="04913711"/>
    <x v="110"/>
  </r>
  <r>
    <s v="Mar-2021"/>
    <x v="1"/>
    <n v="95"/>
    <x v="2"/>
    <n v="0.56999999999999995"/>
    <n v="7.08"/>
    <s v="60701190"/>
    <x v="110"/>
  </r>
  <r>
    <s v="Mar-2021"/>
    <x v="0"/>
    <n v="135"/>
    <x v="4"/>
    <n v="0.53"/>
    <n v="6.49"/>
    <s v="00360305"/>
    <x v="110"/>
  </r>
  <r>
    <s v="Mar-2021"/>
    <x v="1"/>
    <n v="87"/>
    <x v="18"/>
    <n v="0.56999999999999995"/>
    <n v="7.02"/>
    <s v="92702067"/>
    <x v="110"/>
  </r>
  <r>
    <s v="Mar-2021"/>
    <x v="0"/>
    <n v="123"/>
    <x v="15"/>
    <n v="0.52"/>
    <n v="6.47"/>
    <s v="13009717"/>
    <x v="110"/>
  </r>
  <r>
    <s v="Mar-2021"/>
    <x v="4"/>
    <n v="113"/>
    <x v="4"/>
    <n v="0.89"/>
    <n v="11.24"/>
    <s v="00360305"/>
    <x v="110"/>
  </r>
  <r>
    <s v="Mar-2021"/>
    <x v="1"/>
    <n v="84"/>
    <x v="10"/>
    <n v="0.56999999999999995"/>
    <n v="7.01"/>
    <s v="00000000"/>
    <x v="110"/>
  </r>
  <r>
    <s v="Mar-2021"/>
    <x v="4"/>
    <n v="87"/>
    <x v="29"/>
    <n v="0.82"/>
    <n v="10.26"/>
    <s v="00556603"/>
    <x v="110"/>
  </r>
  <r>
    <s v="Mar-2021"/>
    <x v="0"/>
    <n v="89"/>
    <x v="13"/>
    <n v="0.51"/>
    <n v="6.26"/>
    <s v="00000208"/>
    <x v="110"/>
  </r>
  <r>
    <s v="Mar-2021"/>
    <x v="4"/>
    <n v="75"/>
    <x v="28"/>
    <n v="0.75"/>
    <n v="9.3800000000000008"/>
    <s v="00795423"/>
    <x v="110"/>
  </r>
  <r>
    <s v="Mar-2021"/>
    <x v="1"/>
    <n v="67"/>
    <x v="7"/>
    <n v="0.56000000000000005"/>
    <n v="6.92"/>
    <s v="60746948"/>
    <x v="110"/>
  </r>
  <r>
    <s v="Mar-2021"/>
    <x v="4"/>
    <n v="2"/>
    <x v="0"/>
    <n v="0.3"/>
    <n v="3.62"/>
    <s v="00655522"/>
    <x v="110"/>
  </r>
  <r>
    <s v="Mar-2021"/>
    <x v="5"/>
    <n v="72"/>
    <x v="10"/>
    <n v="0.44"/>
    <n v="5.35"/>
    <s v="00000000"/>
    <x v="110"/>
  </r>
  <r>
    <s v="Mar-2021"/>
    <x v="0"/>
    <n v="55"/>
    <x v="11"/>
    <n v="0.49"/>
    <n v="6.06"/>
    <s v="28127603"/>
    <x v="110"/>
  </r>
  <r>
    <s v="Mar-2021"/>
    <x v="5"/>
    <n v="51"/>
    <x v="4"/>
    <n v="0.39"/>
    <n v="4.82"/>
    <s v="00360305"/>
    <x v="110"/>
  </r>
  <r>
    <s v="Mar-2021"/>
    <x v="2"/>
    <n v="329"/>
    <x v="9"/>
    <n v="1.4"/>
    <n v="18.11"/>
    <s v="90400888"/>
    <x v="110"/>
  </r>
  <r>
    <s v="Mar-2021"/>
    <x v="5"/>
    <n v="29"/>
    <x v="0"/>
    <n v="0.33"/>
    <n v="4.08"/>
    <s v="00655522"/>
    <x v="110"/>
  </r>
  <r>
    <s v="Mar-2021"/>
    <x v="1"/>
    <n v="44"/>
    <x v="15"/>
    <n v="0.54"/>
    <n v="6.66"/>
    <s v="13009717"/>
    <x v="110"/>
  </r>
  <r>
    <s v="Mar-2021"/>
    <x v="5"/>
    <n v="14"/>
    <x v="13"/>
    <n v="0.28000000000000003"/>
    <n v="3.43"/>
    <s v="00000208"/>
    <x v="110"/>
  </r>
  <r>
    <s v="Mar-2021"/>
    <x v="2"/>
    <n v="195"/>
    <x v="0"/>
    <n v="1.1200000000000001"/>
    <n v="14.36"/>
    <s v="00655522"/>
    <x v="110"/>
  </r>
  <r>
    <s v="Mar-2021"/>
    <x v="5"/>
    <n v="8"/>
    <x v="31"/>
    <n v="0.27"/>
    <n v="3.25"/>
    <s v="04913711"/>
    <x v="110"/>
  </r>
  <r>
    <s v="Mar-2021"/>
    <x v="0"/>
    <n v="6"/>
    <x v="17"/>
    <n v="0.35"/>
    <n v="4.22"/>
    <s v="00416968"/>
    <x v="110"/>
  </r>
  <r>
    <s v="Mar-2021"/>
    <x v="3"/>
    <n v="263"/>
    <x v="9"/>
    <n v="1.08"/>
    <n v="13.81"/>
    <s v="90400888"/>
    <x v="110"/>
  </r>
  <r>
    <s v="Mar-2021"/>
    <x v="2"/>
    <n v="172"/>
    <x v="4"/>
    <n v="1.07"/>
    <n v="13.56"/>
    <s v="00360305"/>
    <x v="110"/>
  </r>
  <r>
    <s v="Mar-2021"/>
    <x v="3"/>
    <n v="42"/>
    <x v="4"/>
    <n v="0.75"/>
    <n v="9.41"/>
    <s v="00360305"/>
    <x v="110"/>
  </r>
  <r>
    <s v="Mar-2021"/>
    <x v="1"/>
    <n v="28"/>
    <x v="11"/>
    <n v="0.51"/>
    <n v="6.24"/>
    <s v="28127603"/>
    <x v="110"/>
  </r>
  <r>
    <s v="Mar-2021"/>
    <x v="3"/>
    <n v="24"/>
    <x v="0"/>
    <n v="0.73"/>
    <n v="9.1300000000000008"/>
    <s v="00655522"/>
    <x v="110"/>
  </r>
  <r>
    <s v="Mar-2021"/>
    <x v="2"/>
    <n v="129"/>
    <x v="26"/>
    <n v="1"/>
    <n v="12.71"/>
    <s v="18282093"/>
    <x v="110"/>
  </r>
  <r>
    <s v="Mar-2021"/>
    <x v="3"/>
    <n v="7"/>
    <x v="10"/>
    <n v="0"/>
    <n v="0"/>
    <s v="00000000"/>
    <x v="110"/>
  </r>
  <r>
    <s v="Abr-2021"/>
    <x v="0"/>
    <n v="583"/>
    <x v="0"/>
    <n v="0.65"/>
    <n v="8.1"/>
    <s v="00655522"/>
    <x v="111"/>
  </r>
  <r>
    <s v="Abr-2021"/>
    <x v="0"/>
    <n v="360"/>
    <x v="18"/>
    <n v="0.6"/>
    <n v="7.44"/>
    <s v="92702067"/>
    <x v="111"/>
  </r>
  <r>
    <s v="Abr-2021"/>
    <x v="1"/>
    <n v="525"/>
    <x v="29"/>
    <n v="0.77"/>
    <n v="9.6300000000000008"/>
    <s v="00556603"/>
    <x v="111"/>
  </r>
  <r>
    <s v="Abr-2021"/>
    <x v="0"/>
    <n v="335"/>
    <x v="9"/>
    <n v="0.6"/>
    <n v="7.4"/>
    <s v="90400888"/>
    <x v="111"/>
  </r>
  <r>
    <s v="Abr-2021"/>
    <x v="1"/>
    <n v="404"/>
    <x v="17"/>
    <n v="0.73"/>
    <n v="9.1199999999999992"/>
    <s v="00416968"/>
    <x v="111"/>
  </r>
  <r>
    <s v="Abr-2021"/>
    <x v="0"/>
    <n v="313"/>
    <x v="2"/>
    <n v="0.59"/>
    <n v="7.36"/>
    <s v="60701190"/>
    <x v="111"/>
  </r>
  <r>
    <s v="Abr-2021"/>
    <x v="1"/>
    <n v="299"/>
    <x v="0"/>
    <n v="0.69"/>
    <n v="8.64"/>
    <s v="00655522"/>
    <x v="111"/>
  </r>
  <r>
    <s v="Abr-2021"/>
    <x v="0"/>
    <n v="287"/>
    <x v="27"/>
    <n v="0.57999999999999996"/>
    <n v="7.25"/>
    <s v="02038232"/>
    <x v="111"/>
  </r>
  <r>
    <s v="Abr-2021"/>
    <x v="1"/>
    <n v="239"/>
    <x v="4"/>
    <n v="0.66"/>
    <n v="8.27"/>
    <s v="00360305"/>
    <x v="111"/>
  </r>
  <r>
    <s v="Abr-2021"/>
    <x v="0"/>
    <n v="214"/>
    <x v="10"/>
    <n v="0.55000000000000004"/>
    <n v="6.84"/>
    <s v="00000000"/>
    <x v="111"/>
  </r>
  <r>
    <s v="Abr-2021"/>
    <x v="1"/>
    <n v="225"/>
    <x v="18"/>
    <n v="0.64"/>
    <n v="8.01"/>
    <s v="92702067"/>
    <x v="111"/>
  </r>
  <r>
    <s v="Abr-2021"/>
    <x v="0"/>
    <n v="199"/>
    <x v="7"/>
    <n v="0.55000000000000004"/>
    <n v="6.8"/>
    <s v="60746948"/>
    <x v="111"/>
  </r>
  <r>
    <s v="Abr-2021"/>
    <x v="1"/>
    <n v="148"/>
    <x v="9"/>
    <n v="0.59"/>
    <n v="7.36"/>
    <s v="90400888"/>
    <x v="111"/>
  </r>
  <r>
    <s v="Abr-2021"/>
    <x v="0"/>
    <n v="129"/>
    <x v="31"/>
    <n v="0.52"/>
    <n v="6.48"/>
    <s v="04913711"/>
    <x v="111"/>
  </r>
  <r>
    <s v="Abr-2021"/>
    <x v="1"/>
    <n v="130"/>
    <x v="27"/>
    <n v="0.57999999999999996"/>
    <n v="7.25"/>
    <s v="02038232"/>
    <x v="111"/>
  </r>
  <r>
    <s v="Abr-2021"/>
    <x v="0"/>
    <n v="111"/>
    <x v="15"/>
    <n v="0.52"/>
    <n v="6.41"/>
    <s v="13009717"/>
    <x v="111"/>
  </r>
  <r>
    <s v="Abr-2021"/>
    <x v="1"/>
    <n v="88"/>
    <x v="10"/>
    <n v="0.56999999999999995"/>
    <n v="7.02"/>
    <s v="00000000"/>
    <x v="111"/>
  </r>
  <r>
    <s v="Abr-2021"/>
    <x v="0"/>
    <n v="82"/>
    <x v="13"/>
    <n v="0.51"/>
    <n v="6.24"/>
    <s v="00000208"/>
    <x v="111"/>
  </r>
  <r>
    <s v="Abr-2021"/>
    <x v="4"/>
    <n v="105"/>
    <x v="4"/>
    <n v="0.88"/>
    <n v="11.04"/>
    <s v="00360305"/>
    <x v="111"/>
  </r>
  <r>
    <s v="Abr-2021"/>
    <x v="1"/>
    <n v="77"/>
    <x v="2"/>
    <n v="0.56000000000000005"/>
    <n v="6.97"/>
    <s v="60701190"/>
    <x v="111"/>
  </r>
  <r>
    <s v="Abr-2021"/>
    <x v="4"/>
    <n v="103"/>
    <x v="32"/>
    <n v="0.87"/>
    <n v="10.99"/>
    <s v="59118133"/>
    <x v="111"/>
  </r>
  <r>
    <s v="Abr-2021"/>
    <x v="0"/>
    <n v="72"/>
    <x v="4"/>
    <n v="0.5"/>
    <n v="6.14"/>
    <s v="00360305"/>
    <x v="111"/>
  </r>
  <r>
    <s v="Abr-2021"/>
    <x v="4"/>
    <n v="52"/>
    <x v="29"/>
    <n v="0.68"/>
    <n v="8.51"/>
    <s v="00556603"/>
    <x v="111"/>
  </r>
  <r>
    <s v="Abr-2021"/>
    <x v="1"/>
    <n v="60"/>
    <x v="7"/>
    <n v="0.55000000000000004"/>
    <n v="6.84"/>
    <s v="60746948"/>
    <x v="111"/>
  </r>
  <r>
    <s v="Abr-2021"/>
    <x v="4"/>
    <n v="41"/>
    <x v="30"/>
    <n v="0.51"/>
    <n v="6.27"/>
    <s v="33603457"/>
    <x v="111"/>
  </r>
  <r>
    <s v="Abr-2021"/>
    <x v="0"/>
    <n v="51"/>
    <x v="11"/>
    <n v="0.49"/>
    <n v="6.04"/>
    <s v="28127603"/>
    <x v="111"/>
  </r>
  <r>
    <s v="Abr-2021"/>
    <x v="4"/>
    <n v="4"/>
    <x v="0"/>
    <n v="0.32"/>
    <n v="3.91"/>
    <s v="00655522"/>
    <x v="111"/>
  </r>
  <r>
    <s v="Abr-2021"/>
    <x v="1"/>
    <n v="33"/>
    <x v="31"/>
    <n v="0.52"/>
    <n v="6.45"/>
    <s v="04913711"/>
    <x v="111"/>
  </r>
  <r>
    <s v="Abr-2021"/>
    <x v="5"/>
    <n v="75"/>
    <x v="10"/>
    <n v="0.46"/>
    <n v="5.64"/>
    <s v="00000000"/>
    <x v="111"/>
  </r>
  <r>
    <s v="Abr-2021"/>
    <x v="2"/>
    <n v="196"/>
    <x v="0"/>
    <n v="1.1200000000000001"/>
    <n v="14.36"/>
    <s v="00655522"/>
    <x v="111"/>
  </r>
  <r>
    <s v="Abr-2021"/>
    <x v="5"/>
    <n v="57"/>
    <x v="4"/>
    <n v="0.4"/>
    <n v="4.8499999999999996"/>
    <s v="00360305"/>
    <x v="111"/>
  </r>
  <r>
    <s v="Abr-2021"/>
    <x v="0"/>
    <n v="7"/>
    <x v="17"/>
    <n v="0.35"/>
    <n v="4.2699999999999996"/>
    <s v="00416968"/>
    <x v="111"/>
  </r>
  <r>
    <s v="Abr-2021"/>
    <x v="5"/>
    <n v="31"/>
    <x v="0"/>
    <n v="0.33"/>
    <n v="4.09"/>
    <s v="00655522"/>
    <x v="111"/>
  </r>
  <r>
    <s v="Abr-2021"/>
    <x v="2"/>
    <n v="108"/>
    <x v="26"/>
    <n v="0.98"/>
    <n v="12.4"/>
    <s v="18282093"/>
    <x v="111"/>
  </r>
  <r>
    <s v="Abr-2021"/>
    <x v="5"/>
    <n v="11"/>
    <x v="13"/>
    <n v="0.27"/>
    <n v="3.33"/>
    <s v="00000208"/>
    <x v="111"/>
  </r>
  <r>
    <s v="Abr-2021"/>
    <x v="1"/>
    <n v="24"/>
    <x v="11"/>
    <n v="0.5"/>
    <n v="6.13"/>
    <s v="28127603"/>
    <x v="111"/>
  </r>
  <r>
    <s v="Abr-2021"/>
    <x v="5"/>
    <n v="10"/>
    <x v="31"/>
    <n v="0.27"/>
    <n v="3.3"/>
    <s v="04913711"/>
    <x v="111"/>
  </r>
  <r>
    <s v="Abr-2021"/>
    <x v="2"/>
    <n v="86"/>
    <x v="4"/>
    <n v="0.93"/>
    <n v="11.8"/>
    <s v="00360305"/>
    <x v="111"/>
  </r>
  <r>
    <s v="Abr-2021"/>
    <x v="3"/>
    <n v="34"/>
    <x v="4"/>
    <n v="0.75"/>
    <n v="9.4"/>
    <s v="00360305"/>
    <x v="111"/>
  </r>
  <r>
    <s v="Mai-2021"/>
    <x v="0"/>
    <n v="683"/>
    <x v="0"/>
    <n v="0.68"/>
    <n v="8.48"/>
    <s v="00655522"/>
    <x v="112"/>
  </r>
  <r>
    <s v="Mai-2021"/>
    <x v="0"/>
    <n v="363"/>
    <x v="18"/>
    <n v="0.6"/>
    <n v="7.45"/>
    <s v="92702067"/>
    <x v="112"/>
  </r>
  <r>
    <s v="Mai-2021"/>
    <x v="0"/>
    <n v="348"/>
    <x v="9"/>
    <n v="0.6"/>
    <n v="7.42"/>
    <s v="90400888"/>
    <x v="112"/>
  </r>
  <r>
    <s v="Mai-2021"/>
    <x v="1"/>
    <n v="1021"/>
    <x v="0"/>
    <n v="1.1100000000000001"/>
    <n v="14.2"/>
    <s v="00655522"/>
    <x v="112"/>
  </r>
  <r>
    <s v="Mai-2021"/>
    <x v="0"/>
    <n v="307"/>
    <x v="2"/>
    <n v="0.59"/>
    <n v="7.36"/>
    <s v="60701190"/>
    <x v="112"/>
  </r>
  <r>
    <s v="Mai-2021"/>
    <x v="1"/>
    <n v="586"/>
    <x v="17"/>
    <n v="0.8"/>
    <n v="10"/>
    <s v="00416968"/>
    <x v="112"/>
  </r>
  <r>
    <s v="Mai-2021"/>
    <x v="0"/>
    <n v="279"/>
    <x v="27"/>
    <n v="0.57999999999999996"/>
    <n v="7.21"/>
    <s v="02038232"/>
    <x v="112"/>
  </r>
  <r>
    <s v="Mai-2021"/>
    <x v="1"/>
    <n v="224"/>
    <x v="4"/>
    <n v="0.64"/>
    <n v="8.01"/>
    <s v="00360305"/>
    <x v="112"/>
  </r>
  <r>
    <s v="Mai-2021"/>
    <x v="0"/>
    <n v="206"/>
    <x v="10"/>
    <n v="0.55000000000000004"/>
    <n v="6.83"/>
    <s v="00000000"/>
    <x v="112"/>
  </r>
  <r>
    <s v="Mai-2021"/>
    <x v="1"/>
    <n v="160"/>
    <x v="9"/>
    <n v="0.6"/>
    <n v="7.43"/>
    <s v="90400888"/>
    <x v="112"/>
  </r>
  <r>
    <s v="Mai-2021"/>
    <x v="0"/>
    <n v="192"/>
    <x v="7"/>
    <n v="0.55000000000000004"/>
    <n v="6.79"/>
    <s v="60746948"/>
    <x v="112"/>
  </r>
  <r>
    <s v="Mai-2021"/>
    <x v="1"/>
    <n v="121"/>
    <x v="10"/>
    <n v="0.57999999999999996"/>
    <n v="7.23"/>
    <s v="00000000"/>
    <x v="112"/>
  </r>
  <r>
    <s v="Mai-2021"/>
    <x v="0"/>
    <n v="156"/>
    <x v="31"/>
    <n v="0.53"/>
    <n v="6.57"/>
    <s v="04913711"/>
    <x v="112"/>
  </r>
  <r>
    <s v="Mai-2021"/>
    <x v="1"/>
    <n v="120"/>
    <x v="18"/>
    <n v="0.57999999999999996"/>
    <n v="7.22"/>
    <s v="92702067"/>
    <x v="112"/>
  </r>
  <r>
    <s v="Mai-2021"/>
    <x v="0"/>
    <n v="140"/>
    <x v="15"/>
    <n v="0.53"/>
    <n v="6.5"/>
    <s v="13009717"/>
    <x v="112"/>
  </r>
  <r>
    <s v="Mai-2021"/>
    <x v="1"/>
    <n v="119"/>
    <x v="27"/>
    <n v="0.57999999999999996"/>
    <n v="7.21"/>
    <s v="02038232"/>
    <x v="112"/>
  </r>
  <r>
    <s v="Mai-2021"/>
    <x v="0"/>
    <n v="78"/>
    <x v="13"/>
    <n v="0.5"/>
    <n v="6.2"/>
    <s v="00000208"/>
    <x v="112"/>
  </r>
  <r>
    <s v="Mai-2021"/>
    <x v="4"/>
    <n v="115"/>
    <x v="6"/>
    <n v="0.9"/>
    <n v="11.41"/>
    <s v="14511781"/>
    <x v="112"/>
  </r>
  <r>
    <s v="Mai-2021"/>
    <x v="1"/>
    <n v="93"/>
    <x v="15"/>
    <n v="0.56999999999999995"/>
    <n v="7.08"/>
    <s v="13009717"/>
    <x v="112"/>
  </r>
  <r>
    <s v="Mai-2021"/>
    <x v="4"/>
    <n v="114"/>
    <x v="4"/>
    <n v="0.89"/>
    <n v="11.26"/>
    <s v="00360305"/>
    <x v="112"/>
  </r>
  <r>
    <s v="Mai-2021"/>
    <x v="0"/>
    <n v="52"/>
    <x v="4"/>
    <n v="0.49"/>
    <n v="6.05"/>
    <s v="00360305"/>
    <x v="112"/>
  </r>
  <r>
    <s v="Mai-2021"/>
    <x v="4"/>
    <n v="100"/>
    <x v="32"/>
    <n v="0.87"/>
    <n v="10.99"/>
    <s v="59118133"/>
    <x v="112"/>
  </r>
  <r>
    <s v="Mai-2021"/>
    <x v="1"/>
    <n v="82"/>
    <x v="2"/>
    <n v="0.56999999999999995"/>
    <n v="7"/>
    <s v="60701190"/>
    <x v="112"/>
  </r>
  <r>
    <s v="Mai-2021"/>
    <x v="4"/>
    <n v="96"/>
    <x v="29"/>
    <n v="0.85"/>
    <n v="10.74"/>
    <s v="00556603"/>
    <x v="112"/>
  </r>
  <r>
    <s v="Mai-2021"/>
    <x v="0"/>
    <n v="50"/>
    <x v="11"/>
    <n v="0.49"/>
    <n v="6.03"/>
    <s v="28127603"/>
    <x v="112"/>
  </r>
  <r>
    <s v="Mai-2021"/>
    <x v="4"/>
    <n v="69"/>
    <x v="28"/>
    <n v="0.75"/>
    <n v="9.3800000000000008"/>
    <s v="00795423"/>
    <x v="112"/>
  </r>
  <r>
    <s v="Mai-2021"/>
    <x v="1"/>
    <n v="61"/>
    <x v="7"/>
    <n v="0.55000000000000004"/>
    <n v="6.85"/>
    <s v="60746948"/>
    <x v="112"/>
  </r>
  <r>
    <s v="Mai-2021"/>
    <x v="4"/>
    <n v="32"/>
    <x v="10"/>
    <n v="0.46"/>
    <n v="5.72"/>
    <s v="00000000"/>
    <x v="112"/>
  </r>
  <r>
    <s v="Mai-2021"/>
    <x v="5"/>
    <n v="91"/>
    <x v="10"/>
    <n v="0.53"/>
    <n v="6.61"/>
    <s v="00000000"/>
    <x v="112"/>
  </r>
  <r>
    <s v="Mai-2021"/>
    <x v="0"/>
    <n v="15"/>
    <x v="22"/>
    <n v="0.44"/>
    <n v="5.42"/>
    <s v="58160789"/>
    <x v="112"/>
  </r>
  <r>
    <s v="Mai-2021"/>
    <x v="5"/>
    <n v="52"/>
    <x v="4"/>
    <n v="0.39"/>
    <n v="4.84"/>
    <s v="00360305"/>
    <x v="112"/>
  </r>
  <r>
    <s v="Mai-2021"/>
    <x v="4"/>
    <n v="8"/>
    <x v="0"/>
    <n v="0.35"/>
    <n v="4.3"/>
    <s v="00655522"/>
    <x v="112"/>
  </r>
  <r>
    <s v="Mai-2021"/>
    <x v="5"/>
    <n v="36"/>
    <x v="0"/>
    <n v="0.34"/>
    <n v="4.1900000000000004"/>
    <s v="00655522"/>
    <x v="112"/>
  </r>
  <r>
    <s v="Mai-2021"/>
    <x v="1"/>
    <n v="46"/>
    <x v="22"/>
    <n v="0.54"/>
    <n v="6.68"/>
    <s v="58160789"/>
    <x v="112"/>
  </r>
  <r>
    <s v="Mai-2021"/>
    <x v="5"/>
    <n v="17"/>
    <x v="13"/>
    <n v="0.28999999999999998"/>
    <n v="3.48"/>
    <s v="00000208"/>
    <x v="112"/>
  </r>
  <r>
    <s v="Mai-2021"/>
    <x v="2"/>
    <n v="204"/>
    <x v="0"/>
    <n v="1.1299999999999999"/>
    <n v="14.49"/>
    <s v="00655522"/>
    <x v="112"/>
  </r>
  <r>
    <s v="Mai-2021"/>
    <x v="5"/>
    <n v="4"/>
    <x v="31"/>
    <n v="0.26"/>
    <n v="3.18"/>
    <s v="04913711"/>
    <x v="112"/>
  </r>
  <r>
    <s v="Mai-2021"/>
    <x v="0"/>
    <n v="8"/>
    <x v="17"/>
    <n v="0.36"/>
    <n v="4.37"/>
    <s v="00416968"/>
    <x v="112"/>
  </r>
  <r>
    <s v="Mai-2021"/>
    <x v="3"/>
    <n v="256"/>
    <x v="9"/>
    <n v="1.04"/>
    <n v="13.28"/>
    <s v="90400888"/>
    <x v="112"/>
  </r>
  <r>
    <s v="Mai-2021"/>
    <x v="2"/>
    <n v="174"/>
    <x v="4"/>
    <n v="1.07"/>
    <n v="13.62"/>
    <s v="00360305"/>
    <x v="112"/>
  </r>
  <r>
    <s v="Mai-2021"/>
    <x v="3"/>
    <n v="52"/>
    <x v="0"/>
    <n v="0.79"/>
    <n v="9.9"/>
    <s v="00655522"/>
    <x v="112"/>
  </r>
  <r>
    <s v="Mai-2021"/>
    <x v="1"/>
    <n v="45"/>
    <x v="11"/>
    <n v="0.54"/>
    <n v="6.67"/>
    <s v="28127603"/>
    <x v="112"/>
  </r>
  <r>
    <s v="Mai-2021"/>
    <x v="3"/>
    <n v="29"/>
    <x v="4"/>
    <n v="0.75"/>
    <n v="9.4"/>
    <s v="00360305"/>
    <x v="112"/>
  </r>
  <r>
    <s v="Mai-2021"/>
    <x v="2"/>
    <n v="136"/>
    <x v="26"/>
    <n v="1.01"/>
    <n v="12.82"/>
    <s v="18282093"/>
    <x v="112"/>
  </r>
  <r>
    <s v="Mai-2021"/>
    <x v="3"/>
    <n v="2"/>
    <x v="10"/>
    <n v="0"/>
    <n v="0"/>
    <s v="00000000"/>
    <x v="112"/>
  </r>
  <r>
    <s v="Jun-2021"/>
    <x v="0"/>
    <n v="640"/>
    <x v="0"/>
    <n v="0.67"/>
    <n v="8.36"/>
    <s v="00655522"/>
    <x v="113"/>
  </r>
  <r>
    <s v="Jun-2021"/>
    <x v="0"/>
    <n v="361"/>
    <x v="18"/>
    <n v="0.6"/>
    <n v="7.45"/>
    <s v="92702067"/>
    <x v="113"/>
  </r>
  <r>
    <s v="Jun-2021"/>
    <x v="0"/>
    <n v="337"/>
    <x v="9"/>
    <n v="0.6"/>
    <n v="7.41"/>
    <s v="90400888"/>
    <x v="113"/>
  </r>
  <r>
    <s v="Jun-2021"/>
    <x v="1"/>
    <n v="284"/>
    <x v="4"/>
    <n v="0.69"/>
    <n v="8.58"/>
    <s v="00360305"/>
    <x v="113"/>
  </r>
  <r>
    <s v="Jun-2021"/>
    <x v="0"/>
    <n v="309"/>
    <x v="2"/>
    <n v="0.59"/>
    <n v="7.36"/>
    <s v="60701190"/>
    <x v="113"/>
  </r>
  <r>
    <s v="Jun-2021"/>
    <x v="1"/>
    <n v="186"/>
    <x v="22"/>
    <n v="0.61"/>
    <n v="7.59"/>
    <s v="58160789"/>
    <x v="113"/>
  </r>
  <r>
    <s v="Jun-2021"/>
    <x v="0"/>
    <n v="291"/>
    <x v="22"/>
    <n v="0.59"/>
    <n v="7.29"/>
    <s v="58160789"/>
    <x v="113"/>
  </r>
  <r>
    <s v="Jun-2021"/>
    <x v="1"/>
    <n v="182"/>
    <x v="9"/>
    <n v="0.61"/>
    <n v="7.56"/>
    <s v="90400888"/>
    <x v="113"/>
  </r>
  <r>
    <s v="Jun-2021"/>
    <x v="0"/>
    <n v="257"/>
    <x v="27"/>
    <n v="0.56999999999999995"/>
    <n v="7.1"/>
    <s v="02038232"/>
    <x v="113"/>
  </r>
  <r>
    <s v="Jun-2021"/>
    <x v="1"/>
    <n v="117"/>
    <x v="18"/>
    <n v="0.57999999999999996"/>
    <n v="7.2"/>
    <s v="92702067"/>
    <x v="113"/>
  </r>
  <r>
    <s v="Jun-2021"/>
    <x v="0"/>
    <n v="211"/>
    <x v="10"/>
    <n v="0.55000000000000004"/>
    <n v="6.84"/>
    <s v="00000000"/>
    <x v="113"/>
  </r>
  <r>
    <s v="Jun-2021"/>
    <x v="1"/>
    <n v="106"/>
    <x v="27"/>
    <n v="0.57999999999999996"/>
    <n v="7.16"/>
    <s v="02038232"/>
    <x v="113"/>
  </r>
  <r>
    <s v="Jun-2021"/>
    <x v="0"/>
    <n v="190"/>
    <x v="7"/>
    <n v="0.55000000000000004"/>
    <n v="6.79"/>
    <s v="60746948"/>
    <x v="113"/>
  </r>
  <r>
    <s v="Jun-2021"/>
    <x v="1"/>
    <n v="78"/>
    <x v="15"/>
    <n v="0.56000000000000005"/>
    <n v="6.99"/>
    <s v="13009717"/>
    <x v="113"/>
  </r>
  <r>
    <s v="Jun-2021"/>
    <x v="0"/>
    <n v="117"/>
    <x v="31"/>
    <n v="0.52"/>
    <n v="6.45"/>
    <s v="04913711"/>
    <x v="113"/>
  </r>
  <r>
    <s v="Jun-2021"/>
    <x v="1"/>
    <n v="71"/>
    <x v="10"/>
    <n v="0.56000000000000005"/>
    <n v="6.93"/>
    <s v="00000000"/>
    <x v="113"/>
  </r>
  <r>
    <s v="Jun-2021"/>
    <x v="0"/>
    <n v="110"/>
    <x v="15"/>
    <n v="0.52"/>
    <n v="6.41"/>
    <s v="13009717"/>
    <x v="113"/>
  </r>
  <r>
    <s v="Jun-2021"/>
    <x v="4"/>
    <n v="123"/>
    <x v="6"/>
    <n v="1"/>
    <n v="12.69"/>
    <s v="14511781"/>
    <x v="113"/>
  </r>
  <r>
    <s v="Jun-2021"/>
    <x v="1"/>
    <n v="70"/>
    <x v="2"/>
    <n v="0.56000000000000005"/>
    <n v="6.93"/>
    <s v="60701190"/>
    <x v="113"/>
  </r>
  <r>
    <s v="Jun-2021"/>
    <x v="4"/>
    <n v="121"/>
    <x v="29"/>
    <n v="0.97"/>
    <n v="12.26"/>
    <s v="00556603"/>
    <x v="113"/>
  </r>
  <r>
    <s v="Jun-2021"/>
    <x v="0"/>
    <n v="88"/>
    <x v="13"/>
    <n v="0.51"/>
    <n v="6.25"/>
    <s v="00000208"/>
    <x v="113"/>
  </r>
  <r>
    <s v="Jun-2021"/>
    <x v="4"/>
    <n v="110"/>
    <x v="4"/>
    <n v="0.89"/>
    <n v="11.19"/>
    <s v="00360305"/>
    <x v="113"/>
  </r>
  <r>
    <s v="Jun-2021"/>
    <x v="1"/>
    <n v="69"/>
    <x v="7"/>
    <n v="0.56000000000000005"/>
    <n v="6.93"/>
    <s v="60746948"/>
    <x v="113"/>
  </r>
  <r>
    <s v="Jun-2021"/>
    <x v="4"/>
    <n v="101"/>
    <x v="32"/>
    <n v="0.87"/>
    <n v="10.99"/>
    <s v="59118133"/>
    <x v="113"/>
  </r>
  <r>
    <s v="Jun-2021"/>
    <x v="0"/>
    <n v="69"/>
    <x v="4"/>
    <n v="0.5"/>
    <n v="6.13"/>
    <s v="00360305"/>
    <x v="113"/>
  </r>
  <r>
    <s v="Jun-2021"/>
    <x v="4"/>
    <n v="86"/>
    <x v="30"/>
    <n v="0.81"/>
    <n v="10.220000000000001"/>
    <s v="33603457"/>
    <x v="113"/>
  </r>
  <r>
    <s v="Jun-2021"/>
    <x v="1"/>
    <n v="54"/>
    <x v="31"/>
    <n v="0.55000000000000004"/>
    <n v="6.77"/>
    <s v="04913711"/>
    <x v="113"/>
  </r>
  <r>
    <s v="Jun-2021"/>
    <x v="4"/>
    <n v="70"/>
    <x v="28"/>
    <n v="0.75"/>
    <n v="9.3800000000000008"/>
    <s v="00795423"/>
    <x v="113"/>
  </r>
  <r>
    <s v="Jun-2021"/>
    <x v="0"/>
    <n v="53"/>
    <x v="11"/>
    <n v="0.49"/>
    <n v="6.05"/>
    <s v="28127603"/>
    <x v="113"/>
  </r>
  <r>
    <s v="Jun-2021"/>
    <x v="5"/>
    <n v="88"/>
    <x v="10"/>
    <n v="0.52"/>
    <n v="6.41"/>
    <s v="00000000"/>
    <x v="113"/>
  </r>
  <r>
    <s v="Jun-2021"/>
    <x v="4"/>
    <n v="3"/>
    <x v="0"/>
    <n v="0.32"/>
    <n v="3.85"/>
    <s v="00655522"/>
    <x v="113"/>
  </r>
  <r>
    <s v="Jun-2021"/>
    <x v="5"/>
    <n v="58"/>
    <x v="4"/>
    <n v="0.4"/>
    <n v="4.87"/>
    <s v="00360305"/>
    <x v="113"/>
  </r>
  <r>
    <s v="Jun-2021"/>
    <x v="1"/>
    <n v="26"/>
    <x v="17"/>
    <n v="0.5"/>
    <n v="6.2"/>
    <s v="00416968"/>
    <x v="113"/>
  </r>
  <r>
    <s v="Jun-2021"/>
    <x v="5"/>
    <n v="33"/>
    <x v="0"/>
    <n v="0.34"/>
    <n v="4.13"/>
    <s v="00655522"/>
    <x v="113"/>
  </r>
  <r>
    <s v="Jun-2021"/>
    <x v="2"/>
    <n v="257"/>
    <x v="0"/>
    <n v="1.24"/>
    <n v="15.98"/>
    <s v="00655522"/>
    <x v="113"/>
  </r>
  <r>
    <s v="Jun-2021"/>
    <x v="5"/>
    <n v="18"/>
    <x v="31"/>
    <n v="0.28999999999999998"/>
    <n v="3.48"/>
    <s v="04913711"/>
    <x v="113"/>
  </r>
  <r>
    <s v="Jun-2021"/>
    <x v="0"/>
    <n v="11"/>
    <x v="17"/>
    <n v="0.42"/>
    <n v="5.16"/>
    <s v="00416968"/>
    <x v="113"/>
  </r>
  <r>
    <s v="Jun-2021"/>
    <x v="5"/>
    <n v="13"/>
    <x v="13"/>
    <n v="0.28000000000000003"/>
    <n v="3.42"/>
    <s v="00000208"/>
    <x v="113"/>
  </r>
  <r>
    <s v="Jun-2021"/>
    <x v="2"/>
    <n v="138"/>
    <x v="4"/>
    <n v="1.01"/>
    <n v="12.83"/>
    <s v="00360305"/>
    <x v="113"/>
  </r>
  <r>
    <s v="Jun-2021"/>
    <x v="3"/>
    <n v="247"/>
    <x v="9"/>
    <n v="1.03"/>
    <n v="13.03"/>
    <s v="90400888"/>
    <x v="113"/>
  </r>
  <r>
    <s v="Jun-2021"/>
    <x v="1"/>
    <n v="23"/>
    <x v="11"/>
    <n v="0.49"/>
    <n v="6.07"/>
    <s v="28127603"/>
    <x v="113"/>
  </r>
  <r>
    <s v="Jun-2021"/>
    <x v="3"/>
    <n v="53"/>
    <x v="0"/>
    <n v="0.79"/>
    <n v="9.9"/>
    <s v="00655522"/>
    <x v="113"/>
  </r>
  <r>
    <s v="Jun-2021"/>
    <x v="2"/>
    <n v="137"/>
    <x v="26"/>
    <n v="1.01"/>
    <n v="12.82"/>
    <s v="18282093"/>
    <x v="113"/>
  </r>
  <r>
    <s v="Jun-2021"/>
    <x v="3"/>
    <n v="26"/>
    <x v="4"/>
    <n v="0.75"/>
    <n v="9.39"/>
    <s v="00360305"/>
    <x v="113"/>
  </r>
  <r>
    <s v="Jul-2021"/>
    <x v="0"/>
    <n v="741"/>
    <x v="0"/>
    <n v="0.69"/>
    <n v="8.6"/>
    <s v="00655522"/>
    <x v="114"/>
  </r>
  <r>
    <s v="Jul-2021"/>
    <x v="0"/>
    <n v="497"/>
    <x v="22"/>
    <n v="0.63"/>
    <n v="7.82"/>
    <s v="58160789"/>
    <x v="114"/>
  </r>
  <r>
    <s v="Jul-2021"/>
    <x v="0"/>
    <n v="381"/>
    <x v="18"/>
    <n v="0.6"/>
    <n v="7.48"/>
    <s v="92702067"/>
    <x v="114"/>
  </r>
  <r>
    <s v="Jul-2021"/>
    <x v="0"/>
    <n v="355"/>
    <x v="9"/>
    <n v="0.6"/>
    <n v="7.44"/>
    <s v="90400888"/>
    <x v="114"/>
  </r>
  <r>
    <s v="Jul-2021"/>
    <x v="1"/>
    <n v="576"/>
    <x v="17"/>
    <n v="0.79"/>
    <n v="9.94"/>
    <s v="00416968"/>
    <x v="114"/>
  </r>
  <r>
    <s v="Jul-2021"/>
    <x v="0"/>
    <n v="314"/>
    <x v="2"/>
    <n v="0.59"/>
    <n v="7.37"/>
    <s v="60701190"/>
    <x v="114"/>
  </r>
  <r>
    <s v="Jul-2021"/>
    <x v="1"/>
    <n v="256"/>
    <x v="4"/>
    <n v="0.67"/>
    <n v="8.4"/>
    <s v="00360305"/>
    <x v="114"/>
  </r>
  <r>
    <s v="Jul-2021"/>
    <x v="0"/>
    <n v="267"/>
    <x v="27"/>
    <n v="0.57999999999999996"/>
    <n v="7.16"/>
    <s v="02038232"/>
    <x v="114"/>
  </r>
  <r>
    <s v="Jul-2021"/>
    <x v="1"/>
    <n v="191"/>
    <x v="27"/>
    <n v="0.62"/>
    <n v="7.66"/>
    <s v="02038232"/>
    <x v="114"/>
  </r>
  <r>
    <s v="Jul-2021"/>
    <x v="0"/>
    <n v="207"/>
    <x v="10"/>
    <n v="0.55000000000000004"/>
    <n v="6.83"/>
    <s v="00000000"/>
    <x v="114"/>
  </r>
  <r>
    <s v="Jul-2021"/>
    <x v="1"/>
    <n v="177"/>
    <x v="9"/>
    <n v="0.61"/>
    <n v="7.51"/>
    <s v="90400888"/>
    <x v="114"/>
  </r>
  <r>
    <s v="Jul-2021"/>
    <x v="0"/>
    <n v="189"/>
    <x v="7"/>
    <n v="0.55000000000000004"/>
    <n v="6.78"/>
    <s v="60746948"/>
    <x v="114"/>
  </r>
  <r>
    <s v="Jul-2021"/>
    <x v="1"/>
    <n v="166"/>
    <x v="15"/>
    <n v="0.6"/>
    <n v="7.45"/>
    <s v="13009717"/>
    <x v="114"/>
  </r>
  <r>
    <s v="Jul-2021"/>
    <x v="0"/>
    <n v="143"/>
    <x v="31"/>
    <n v="0.53"/>
    <n v="6.51"/>
    <s v="04913711"/>
    <x v="114"/>
  </r>
  <r>
    <s v="Jul-2021"/>
    <x v="1"/>
    <n v="139"/>
    <x v="22"/>
    <n v="0.59"/>
    <n v="7.31"/>
    <s v="58160789"/>
    <x v="114"/>
  </r>
  <r>
    <s v="Jul-2021"/>
    <x v="0"/>
    <n v="121"/>
    <x v="15"/>
    <n v="0.52"/>
    <n v="6.46"/>
    <s v="13009717"/>
    <x v="114"/>
  </r>
  <r>
    <s v="Jul-2021"/>
    <x v="1"/>
    <n v="90"/>
    <x v="10"/>
    <n v="0.56999999999999995"/>
    <n v="7.05"/>
    <s v="00000000"/>
    <x v="114"/>
  </r>
  <r>
    <s v="Jul-2021"/>
    <x v="4"/>
    <n v="108"/>
    <x v="4"/>
    <n v="0.88"/>
    <n v="11.11"/>
    <s v="00360305"/>
    <x v="114"/>
  </r>
  <r>
    <s v="Jul-2021"/>
    <x v="0"/>
    <n v="101"/>
    <x v="4"/>
    <n v="0.51"/>
    <n v="6.33"/>
    <s v="00360305"/>
    <x v="114"/>
  </r>
  <r>
    <s v="Jul-2021"/>
    <x v="4"/>
    <n v="99"/>
    <x v="32"/>
    <n v="0.87"/>
    <n v="10.98"/>
    <s v="59118133"/>
    <x v="114"/>
  </r>
  <r>
    <s v="Jul-2021"/>
    <x v="1"/>
    <n v="74"/>
    <x v="2"/>
    <n v="0.56000000000000005"/>
    <n v="6.95"/>
    <s v="60701190"/>
    <x v="114"/>
  </r>
  <r>
    <s v="Jul-2021"/>
    <x v="4"/>
    <n v="83"/>
    <x v="30"/>
    <n v="0.81"/>
    <n v="10.19"/>
    <s v="33603457"/>
    <x v="114"/>
  </r>
  <r>
    <s v="Jul-2021"/>
    <x v="0"/>
    <n v="84"/>
    <x v="13"/>
    <n v="0.51"/>
    <n v="6.25"/>
    <s v="00000208"/>
    <x v="114"/>
  </r>
  <r>
    <s v="Jul-2021"/>
    <x v="4"/>
    <n v="73"/>
    <x v="28"/>
    <n v="0.75"/>
    <n v="9.3800000000000008"/>
    <s v="00795423"/>
    <x v="114"/>
  </r>
  <r>
    <s v="Jul-2021"/>
    <x v="1"/>
    <n v="65"/>
    <x v="18"/>
    <n v="0.56000000000000005"/>
    <n v="6.9"/>
    <s v="92702067"/>
    <x v="114"/>
  </r>
  <r>
    <s v="Jul-2021"/>
    <x v="4"/>
    <n v="5"/>
    <x v="0"/>
    <n v="0.33"/>
    <n v="4.04"/>
    <s v="00655522"/>
    <x v="114"/>
  </r>
  <r>
    <s v="Jul-2021"/>
    <x v="0"/>
    <n v="70"/>
    <x v="11"/>
    <n v="0.5"/>
    <n v="6.13"/>
    <s v="28127603"/>
    <x v="114"/>
  </r>
  <r>
    <s v="Jul-2021"/>
    <x v="2"/>
    <n v="441"/>
    <x v="12"/>
    <n v="1.95"/>
    <n v="26.09"/>
    <s v="00517645"/>
    <x v="114"/>
  </r>
  <r>
    <s v="Jul-2021"/>
    <x v="5"/>
    <n v="92"/>
    <x v="10"/>
    <n v="0.53"/>
    <n v="6.61"/>
    <s v="00000000"/>
    <x v="114"/>
  </r>
  <r>
    <s v="Jul-2021"/>
    <x v="1"/>
    <n v="62"/>
    <x v="7"/>
    <n v="0.56000000000000005"/>
    <n v="6.88"/>
    <s v="60746948"/>
    <x v="114"/>
  </r>
  <r>
    <s v="Jul-2021"/>
    <x v="5"/>
    <n v="54"/>
    <x v="4"/>
    <n v="0.39"/>
    <n v="4.84"/>
    <s v="00360305"/>
    <x v="114"/>
  </r>
  <r>
    <s v="Jul-2021"/>
    <x v="2"/>
    <n v="221"/>
    <x v="0"/>
    <n v="1.17"/>
    <n v="15.03"/>
    <s v="00655522"/>
    <x v="114"/>
  </r>
  <r>
    <s v="Jul-2021"/>
    <x v="5"/>
    <n v="38"/>
    <x v="0"/>
    <n v="0.34"/>
    <n v="4.21"/>
    <s v="00655522"/>
    <x v="114"/>
  </r>
  <r>
    <s v="Jul-2021"/>
    <x v="0"/>
    <n v="63"/>
    <x v="17"/>
    <n v="0.49"/>
    <n v="6.1"/>
    <s v="00416968"/>
    <x v="114"/>
  </r>
  <r>
    <s v="Jul-2021"/>
    <x v="5"/>
    <n v="22"/>
    <x v="13"/>
    <n v="0.28999999999999998"/>
    <n v="3.53"/>
    <s v="00000208"/>
    <x v="114"/>
  </r>
  <r>
    <s v="Jul-2021"/>
    <x v="2"/>
    <n v="148"/>
    <x v="26"/>
    <n v="1.03"/>
    <n v="13.09"/>
    <s v="18282093"/>
    <x v="114"/>
  </r>
  <r>
    <s v="Jul-2021"/>
    <x v="5"/>
    <n v="7"/>
    <x v="31"/>
    <n v="0.27"/>
    <n v="3.23"/>
    <s v="04913711"/>
    <x v="114"/>
  </r>
  <r>
    <s v="Jul-2021"/>
    <x v="1"/>
    <n v="31"/>
    <x v="11"/>
    <n v="0.51"/>
    <n v="6.33"/>
    <s v="28127603"/>
    <x v="114"/>
  </r>
  <r>
    <s v="Jul-2021"/>
    <x v="3"/>
    <n v="79"/>
    <x v="9"/>
    <n v="0.85"/>
    <n v="10.68"/>
    <s v="90400888"/>
    <x v="114"/>
  </r>
  <r>
    <s v="Jul-2021"/>
    <x v="2"/>
    <n v="44"/>
    <x v="4"/>
    <n v="0.8"/>
    <n v="9.98"/>
    <s v="00360305"/>
    <x v="114"/>
  </r>
  <r>
    <s v="Jul-2021"/>
    <x v="3"/>
    <n v="31"/>
    <x v="4"/>
    <n v="0.75"/>
    <n v="9.4"/>
    <s v="00360305"/>
    <x v="114"/>
  </r>
  <r>
    <s v="Ago-2021"/>
    <x v="0"/>
    <n v="574"/>
    <x v="0"/>
    <n v="0.65"/>
    <n v="8.08"/>
    <s v="00655522"/>
    <x v="115"/>
  </r>
  <r>
    <s v="Ago-2021"/>
    <x v="0"/>
    <n v="441"/>
    <x v="9"/>
    <n v="0.62"/>
    <n v="7.66"/>
    <s v="90400888"/>
    <x v="115"/>
  </r>
  <r>
    <s v="Ago-2021"/>
    <x v="0"/>
    <n v="423"/>
    <x v="22"/>
    <n v="0.61"/>
    <n v="7.59"/>
    <s v="58160789"/>
    <x v="115"/>
  </r>
  <r>
    <s v="Ago-2021"/>
    <x v="1"/>
    <n v="354"/>
    <x v="4"/>
    <n v="0.72"/>
    <n v="8.93"/>
    <s v="00360305"/>
    <x v="115"/>
  </r>
  <r>
    <s v="Ago-2021"/>
    <x v="0"/>
    <n v="399"/>
    <x v="18"/>
    <n v="0.61"/>
    <n v="7.52"/>
    <s v="92702067"/>
    <x v="115"/>
  </r>
  <r>
    <s v="Ago-2021"/>
    <x v="1"/>
    <n v="193"/>
    <x v="9"/>
    <n v="0.62"/>
    <n v="7.66"/>
    <s v="90400888"/>
    <x v="115"/>
  </r>
  <r>
    <s v="Ago-2021"/>
    <x v="0"/>
    <n v="354"/>
    <x v="2"/>
    <n v="0.6"/>
    <n v="7.44"/>
    <s v="60701190"/>
    <x v="115"/>
  </r>
  <r>
    <s v="Ago-2021"/>
    <x v="1"/>
    <n v="192"/>
    <x v="18"/>
    <n v="0.62"/>
    <n v="7.66"/>
    <s v="92702067"/>
    <x v="115"/>
  </r>
  <r>
    <s v="Ago-2021"/>
    <x v="0"/>
    <n v="266"/>
    <x v="27"/>
    <n v="0.57999999999999996"/>
    <n v="7.16"/>
    <s v="02038232"/>
    <x v="115"/>
  </r>
  <r>
    <s v="Ago-2021"/>
    <x v="1"/>
    <n v="184"/>
    <x v="22"/>
    <n v="0.61"/>
    <n v="7.57"/>
    <s v="58160789"/>
    <x v="115"/>
  </r>
  <r>
    <s v="Ago-2021"/>
    <x v="0"/>
    <n v="242"/>
    <x v="17"/>
    <n v="0.56000000000000005"/>
    <n v="6.99"/>
    <s v="00416968"/>
    <x v="115"/>
  </r>
  <r>
    <s v="Ago-2021"/>
    <x v="1"/>
    <n v="124"/>
    <x v="27"/>
    <n v="0.57999999999999996"/>
    <n v="7.24"/>
    <s v="02038232"/>
    <x v="115"/>
  </r>
  <r>
    <s v="Ago-2021"/>
    <x v="0"/>
    <n v="225"/>
    <x v="10"/>
    <n v="0.56000000000000005"/>
    <n v="6.88"/>
    <s v="00000000"/>
    <x v="115"/>
  </r>
  <r>
    <s v="Ago-2021"/>
    <x v="1"/>
    <n v="98"/>
    <x v="10"/>
    <n v="0.56999999999999995"/>
    <n v="7.12"/>
    <s v="00000000"/>
    <x v="115"/>
  </r>
  <r>
    <s v="Ago-2021"/>
    <x v="4"/>
    <n v="116"/>
    <x v="29"/>
    <n v="0.91"/>
    <n v="11.44"/>
    <s v="00556603"/>
    <x v="115"/>
  </r>
  <r>
    <s v="Ago-2021"/>
    <x v="0"/>
    <n v="187"/>
    <x v="7"/>
    <n v="0.55000000000000004"/>
    <n v="6.78"/>
    <s v="60746948"/>
    <x v="115"/>
  </r>
  <r>
    <s v="Ago-2021"/>
    <x v="4"/>
    <n v="111"/>
    <x v="4"/>
    <n v="0.89"/>
    <n v="11.19"/>
    <s v="00360305"/>
    <x v="115"/>
  </r>
  <r>
    <s v="Ago-2021"/>
    <x v="1"/>
    <n v="89"/>
    <x v="17"/>
    <n v="0.56999999999999995"/>
    <n v="7.03"/>
    <s v="00416968"/>
    <x v="115"/>
  </r>
  <r>
    <s v="Ago-2021"/>
    <x v="4"/>
    <n v="102"/>
    <x v="32"/>
    <n v="0.87"/>
    <n v="10.99"/>
    <s v="59118133"/>
    <x v="115"/>
  </r>
  <r>
    <s v="Ago-2021"/>
    <x v="0"/>
    <n v="132"/>
    <x v="4"/>
    <n v="0.53"/>
    <n v="6.49"/>
    <s v="00360305"/>
    <x v="115"/>
  </r>
  <r>
    <s v="Ago-2021"/>
    <x v="4"/>
    <n v="95"/>
    <x v="6"/>
    <n v="0.85"/>
    <n v="10.72"/>
    <s v="14511781"/>
    <x v="115"/>
  </r>
  <r>
    <s v="Ago-2021"/>
    <x v="1"/>
    <n v="83"/>
    <x v="2"/>
    <n v="0.56999999999999995"/>
    <n v="7.01"/>
    <s v="60701190"/>
    <x v="115"/>
  </r>
  <r>
    <s v="Ago-2021"/>
    <x v="4"/>
    <n v="84"/>
    <x v="0"/>
    <n v="0.81"/>
    <n v="10.199999999999999"/>
    <s v="00655522"/>
    <x v="115"/>
  </r>
  <r>
    <s v="Ago-2021"/>
    <x v="0"/>
    <n v="128"/>
    <x v="15"/>
    <n v="0.52"/>
    <n v="6.48"/>
    <s v="13009717"/>
    <x v="115"/>
  </r>
  <r>
    <s v="Ago-2021"/>
    <x v="4"/>
    <n v="72"/>
    <x v="28"/>
    <n v="0.75"/>
    <n v="9.3800000000000008"/>
    <s v="00795423"/>
    <x v="115"/>
  </r>
  <r>
    <s v="Ago-2021"/>
    <x v="1"/>
    <n v="79"/>
    <x v="15"/>
    <n v="0.56000000000000005"/>
    <n v="6.99"/>
    <s v="13009717"/>
    <x v="115"/>
  </r>
  <r>
    <s v="Ago-2021"/>
    <x v="2"/>
    <n v="334"/>
    <x v="12"/>
    <n v="1.41"/>
    <n v="18.260000000000002"/>
    <s v="00517645"/>
    <x v="115"/>
  </r>
  <r>
    <s v="Ago-2021"/>
    <x v="0"/>
    <n v="104"/>
    <x v="11"/>
    <n v="0.52"/>
    <n v="6.38"/>
    <s v="28127603"/>
    <x v="115"/>
  </r>
  <r>
    <s v="Ago-2021"/>
    <x v="2"/>
    <n v="214"/>
    <x v="0"/>
    <n v="1.1499999999999999"/>
    <n v="14.74"/>
    <s v="00655522"/>
    <x v="115"/>
  </r>
  <r>
    <s v="Ago-2021"/>
    <x v="5"/>
    <n v="89"/>
    <x v="10"/>
    <n v="0.52"/>
    <n v="6.41"/>
    <s v="00000000"/>
    <x v="115"/>
  </r>
  <r>
    <s v="Ago-2021"/>
    <x v="1"/>
    <n v="64"/>
    <x v="7"/>
    <n v="0.56000000000000005"/>
    <n v="6.89"/>
    <s v="60746948"/>
    <x v="115"/>
  </r>
  <r>
    <s v="Ago-2021"/>
    <x v="5"/>
    <n v="77"/>
    <x v="27"/>
    <n v="0.46"/>
    <n v="5.66"/>
    <s v="02038232"/>
    <x v="115"/>
  </r>
  <r>
    <s v="Ago-2021"/>
    <x v="2"/>
    <n v="128"/>
    <x v="26"/>
    <n v="1"/>
    <n v="12.69"/>
    <s v="18282093"/>
    <x v="115"/>
  </r>
  <r>
    <s v="Ago-2021"/>
    <x v="5"/>
    <n v="53"/>
    <x v="4"/>
    <n v="0.39"/>
    <n v="4.84"/>
    <s v="00360305"/>
    <x v="115"/>
  </r>
  <r>
    <s v="Ago-2021"/>
    <x v="0"/>
    <n v="87"/>
    <x v="13"/>
    <n v="0.51"/>
    <n v="6.25"/>
    <s v="00000208"/>
    <x v="115"/>
  </r>
  <r>
    <s v="Ago-2021"/>
    <x v="5"/>
    <n v="34"/>
    <x v="0"/>
    <n v="0.34"/>
    <n v="4.1399999999999997"/>
    <s v="00655522"/>
    <x v="115"/>
  </r>
  <r>
    <s v="Ago-2021"/>
    <x v="2"/>
    <n v="85"/>
    <x v="4"/>
    <n v="0.93"/>
    <n v="11.79"/>
    <s v="00360305"/>
    <x v="115"/>
  </r>
  <r>
    <s v="Ago-2021"/>
    <x v="5"/>
    <n v="9"/>
    <x v="13"/>
    <n v="0.27"/>
    <n v="3.29"/>
    <s v="00000208"/>
    <x v="115"/>
  </r>
  <r>
    <s v="Ago-2021"/>
    <x v="1"/>
    <n v="34"/>
    <x v="11"/>
    <n v="0.52"/>
    <n v="6.47"/>
    <s v="28127603"/>
    <x v="115"/>
  </r>
  <r>
    <s v="Ago-2021"/>
    <x v="3"/>
    <n v="226"/>
    <x v="9"/>
    <n v="1"/>
    <n v="12.68"/>
    <s v="90400888"/>
    <x v="115"/>
  </r>
  <r>
    <s v="Ago-2021"/>
    <x v="2"/>
    <n v="60"/>
    <x v="9"/>
    <n v="0.85"/>
    <n v="10.63"/>
    <s v="90400888"/>
    <x v="115"/>
  </r>
  <r>
    <s v="Ago-2021"/>
    <x v="3"/>
    <n v="30"/>
    <x v="4"/>
    <n v="0.75"/>
    <n v="9.4"/>
    <s v="00360305"/>
    <x v="115"/>
  </r>
  <r>
    <s v="Set-2021"/>
    <x v="0"/>
    <n v="550"/>
    <x v="9"/>
    <n v="0.64"/>
    <n v="7.96"/>
    <s v="90400888"/>
    <x v="116"/>
  </r>
  <r>
    <s v="Set-2021"/>
    <x v="0"/>
    <n v="511"/>
    <x v="22"/>
    <n v="0.63"/>
    <n v="7.85"/>
    <s v="58160789"/>
    <x v="116"/>
  </r>
  <r>
    <s v="Set-2021"/>
    <x v="0"/>
    <n v="462"/>
    <x v="2"/>
    <n v="0.62"/>
    <n v="7.72"/>
    <s v="60701190"/>
    <x v="116"/>
  </r>
  <r>
    <s v="Set-2021"/>
    <x v="1"/>
    <n v="417"/>
    <x v="4"/>
    <n v="0.73"/>
    <n v="9.17"/>
    <s v="00360305"/>
    <x v="116"/>
  </r>
  <r>
    <s v="Set-2021"/>
    <x v="0"/>
    <n v="429"/>
    <x v="0"/>
    <n v="0.61"/>
    <n v="7.6"/>
    <s v="00655522"/>
    <x v="116"/>
  </r>
  <r>
    <s v="Set-2021"/>
    <x v="1"/>
    <n v="209"/>
    <x v="9"/>
    <n v="0.63"/>
    <n v="7.83"/>
    <s v="90400888"/>
    <x v="116"/>
  </r>
  <r>
    <s v="Set-2021"/>
    <x v="0"/>
    <n v="400"/>
    <x v="18"/>
    <n v="0.61"/>
    <n v="7.52"/>
    <s v="92702067"/>
    <x v="116"/>
  </r>
  <r>
    <s v="Set-2021"/>
    <x v="1"/>
    <n v="178"/>
    <x v="18"/>
    <n v="0.61"/>
    <n v="7.51"/>
    <s v="92702067"/>
    <x v="116"/>
  </r>
  <r>
    <s v="Set-2021"/>
    <x v="0"/>
    <n v="276"/>
    <x v="17"/>
    <n v="0.57999999999999996"/>
    <n v="7.19"/>
    <s v="00416968"/>
    <x v="116"/>
  </r>
  <r>
    <s v="Set-2021"/>
    <x v="1"/>
    <n v="167"/>
    <x v="22"/>
    <n v="0.6"/>
    <n v="7.45"/>
    <s v="58160789"/>
    <x v="116"/>
  </r>
  <r>
    <s v="Set-2021"/>
    <x v="0"/>
    <n v="270"/>
    <x v="27"/>
    <n v="0.57999999999999996"/>
    <n v="7.16"/>
    <s v="02038232"/>
    <x v="116"/>
  </r>
  <r>
    <s v="Set-2021"/>
    <x v="1"/>
    <n v="134"/>
    <x v="15"/>
    <n v="0.59"/>
    <n v="7.27"/>
    <s v="13009717"/>
    <x v="116"/>
  </r>
  <r>
    <s v="Set-2021"/>
    <x v="0"/>
    <n v="258"/>
    <x v="10"/>
    <n v="0.56999999999999995"/>
    <n v="7.1"/>
    <s v="00000000"/>
    <x v="116"/>
  </r>
  <r>
    <s v="Set-2021"/>
    <x v="1"/>
    <n v="131"/>
    <x v="10"/>
    <n v="0.59"/>
    <n v="7.26"/>
    <s v="00000000"/>
    <x v="116"/>
  </r>
  <r>
    <s v="Set-2021"/>
    <x v="0"/>
    <n v="210"/>
    <x v="7"/>
    <n v="0.55000000000000004"/>
    <n v="6.83"/>
    <s v="60746948"/>
    <x v="116"/>
  </r>
  <r>
    <s v="Set-2021"/>
    <x v="1"/>
    <n v="123"/>
    <x v="27"/>
    <n v="0.57999999999999996"/>
    <n v="7.23"/>
    <s v="02038232"/>
    <x v="116"/>
  </r>
  <r>
    <s v="Set-2021"/>
    <x v="0"/>
    <n v="171"/>
    <x v="4"/>
    <n v="0.54"/>
    <n v="6.71"/>
    <s v="00360305"/>
    <x v="116"/>
  </r>
  <r>
    <s v="Set-2021"/>
    <x v="4"/>
    <n v="107"/>
    <x v="4"/>
    <n v="0.88"/>
    <n v="11.08"/>
    <s v="00360305"/>
    <x v="116"/>
  </r>
  <r>
    <s v="Set-2021"/>
    <x v="1"/>
    <n v="113"/>
    <x v="2"/>
    <n v="0.57999999999999996"/>
    <n v="7.19"/>
    <s v="60701190"/>
    <x v="116"/>
  </r>
  <r>
    <s v="Set-2021"/>
    <x v="4"/>
    <n v="104"/>
    <x v="32"/>
    <n v="0.88"/>
    <n v="11.04"/>
    <s v="59118133"/>
    <x v="116"/>
  </r>
  <r>
    <s v="Set-2021"/>
    <x v="0"/>
    <n v="138"/>
    <x v="15"/>
    <n v="0.53"/>
    <n v="6.49"/>
    <s v="13009717"/>
    <x v="116"/>
  </r>
  <r>
    <s v="Set-2021"/>
    <x v="4"/>
    <n v="90"/>
    <x v="29"/>
    <n v="0.82"/>
    <n v="10.31"/>
    <s v="00556603"/>
    <x v="116"/>
  </r>
  <r>
    <s v="Set-2021"/>
    <x v="1"/>
    <n v="110"/>
    <x v="17"/>
    <n v="0.57999999999999996"/>
    <n v="7.18"/>
    <s v="00416968"/>
    <x v="116"/>
  </r>
  <r>
    <s v="Set-2021"/>
    <x v="4"/>
    <n v="74"/>
    <x v="28"/>
    <n v="0.75"/>
    <n v="9.3800000000000008"/>
    <s v="00795423"/>
    <x v="116"/>
  </r>
  <r>
    <s v="Set-2021"/>
    <x v="0"/>
    <n v="137"/>
    <x v="11"/>
    <n v="0.53"/>
    <n v="6.49"/>
    <s v="28127603"/>
    <x v="116"/>
  </r>
  <r>
    <s v="Set-2021"/>
    <x v="4"/>
    <n v="7"/>
    <x v="0"/>
    <n v="0.34"/>
    <n v="4.17"/>
    <s v="00655522"/>
    <x v="116"/>
  </r>
  <r>
    <s v="Set-2021"/>
    <x v="5"/>
    <n v="93"/>
    <x v="10"/>
    <n v="0.53"/>
    <n v="6.61"/>
    <s v="00000000"/>
    <x v="116"/>
  </r>
  <r>
    <s v="Set-2021"/>
    <x v="1"/>
    <n v="75"/>
    <x v="7"/>
    <n v="0.56000000000000005"/>
    <n v="6.95"/>
    <s v="60746948"/>
    <x v="116"/>
  </r>
  <r>
    <s v="Set-2021"/>
    <x v="5"/>
    <n v="55"/>
    <x v="4"/>
    <n v="0.39"/>
    <n v="4.84"/>
    <s v="00360305"/>
    <x v="116"/>
  </r>
  <r>
    <s v="Set-2021"/>
    <x v="2"/>
    <n v="213"/>
    <x v="0"/>
    <n v="1.1499999999999999"/>
    <n v="14.73"/>
    <s v="00655522"/>
    <x v="116"/>
  </r>
  <r>
    <s v="Set-2021"/>
    <x v="5"/>
    <n v="37"/>
    <x v="0"/>
    <n v="0.34"/>
    <n v="4.2"/>
    <s v="00655522"/>
    <x v="116"/>
  </r>
  <r>
    <s v="Set-2021"/>
    <x v="0"/>
    <n v="97"/>
    <x v="13"/>
    <n v="0.51"/>
    <n v="6.31"/>
    <s v="00000208"/>
    <x v="116"/>
  </r>
  <r>
    <s v="Set-2021"/>
    <x v="5"/>
    <n v="12"/>
    <x v="13"/>
    <n v="0.28000000000000003"/>
    <n v="3.36"/>
    <s v="00000208"/>
    <x v="116"/>
  </r>
  <r>
    <s v="Set-2021"/>
    <x v="2"/>
    <n v="116"/>
    <x v="26"/>
    <n v="0.99"/>
    <n v="12.53"/>
    <s v="18282093"/>
    <x v="116"/>
  </r>
  <r>
    <s v="Set-2021"/>
    <x v="3"/>
    <n v="153"/>
    <x v="9"/>
    <n v="0.95"/>
    <n v="12.01"/>
    <s v="90400888"/>
    <x v="116"/>
  </r>
  <r>
    <s v="Set-2021"/>
    <x v="1"/>
    <n v="39"/>
    <x v="11"/>
    <n v="0.53"/>
    <n v="6.6"/>
    <s v="28127603"/>
    <x v="116"/>
  </r>
  <r>
    <s v="Set-2021"/>
    <x v="3"/>
    <n v="27"/>
    <x v="4"/>
    <n v="0.75"/>
    <n v="9.39"/>
    <s v="00360305"/>
    <x v="116"/>
  </r>
  <r>
    <s v="Set-2021"/>
    <x v="2"/>
    <n v="107"/>
    <x v="4"/>
    <n v="0.98"/>
    <n v="12.4"/>
    <s v="00360305"/>
    <x v="116"/>
  </r>
  <r>
    <s v="Set-2021"/>
    <x v="3"/>
    <n v="25"/>
    <x v="0"/>
    <n v="0.74"/>
    <n v="9.3000000000000007"/>
    <s v="00655522"/>
    <x v="116"/>
  </r>
  <r>
    <s v="Out-2021"/>
    <x v="0"/>
    <n v="658"/>
    <x v="9"/>
    <n v="0.68"/>
    <n v="8.41"/>
    <s v="90400888"/>
    <x v="117"/>
  </r>
  <r>
    <s v="Out-2021"/>
    <x v="0"/>
    <n v="577"/>
    <x v="2"/>
    <n v="0.65"/>
    <n v="8.08"/>
    <s v="60701190"/>
    <x v="117"/>
  </r>
  <r>
    <s v="Out-2021"/>
    <x v="0"/>
    <n v="554"/>
    <x v="7"/>
    <n v="0.64"/>
    <n v="7.97"/>
    <s v="60746948"/>
    <x v="117"/>
  </r>
  <r>
    <s v="Out-2021"/>
    <x v="1"/>
    <n v="408"/>
    <x v="4"/>
    <n v="0.73"/>
    <n v="9.1300000000000008"/>
    <s v="00360305"/>
    <x v="117"/>
  </r>
  <r>
    <s v="Out-2021"/>
    <x v="0"/>
    <n v="519"/>
    <x v="22"/>
    <n v="0.63"/>
    <n v="7.88"/>
    <s v="58160789"/>
    <x v="117"/>
  </r>
  <r>
    <s v="Out-2021"/>
    <x v="1"/>
    <n v="248"/>
    <x v="9"/>
    <n v="0.67"/>
    <n v="8.35"/>
    <s v="90400888"/>
    <x v="117"/>
  </r>
  <r>
    <s v="Out-2021"/>
    <x v="0"/>
    <n v="474"/>
    <x v="10"/>
    <n v="0.62"/>
    <n v="7.75"/>
    <s v="00000000"/>
    <x v="117"/>
  </r>
  <r>
    <s v="Out-2021"/>
    <x v="1"/>
    <n v="219"/>
    <x v="10"/>
    <n v="0.64"/>
    <n v="7.94"/>
    <s v="00000000"/>
    <x v="117"/>
  </r>
  <r>
    <s v="Out-2021"/>
    <x v="0"/>
    <n v="431"/>
    <x v="0"/>
    <n v="0.61"/>
    <n v="7.6"/>
    <s v="00655522"/>
    <x v="117"/>
  </r>
  <r>
    <s v="Out-2021"/>
    <x v="1"/>
    <n v="211"/>
    <x v="7"/>
    <n v="0.63"/>
    <n v="7.85"/>
    <s v="60746948"/>
    <x v="117"/>
  </r>
  <r>
    <s v="Out-2021"/>
    <x v="0"/>
    <n v="415"/>
    <x v="18"/>
    <n v="0.61"/>
    <n v="7.56"/>
    <s v="92702067"/>
    <x v="117"/>
  </r>
  <r>
    <s v="Out-2021"/>
    <x v="1"/>
    <n v="205"/>
    <x v="22"/>
    <n v="0.63"/>
    <n v="7.8"/>
    <s v="58160789"/>
    <x v="117"/>
  </r>
  <r>
    <s v="Out-2021"/>
    <x v="0"/>
    <n v="382"/>
    <x v="17"/>
    <n v="0.6"/>
    <n v="7.48"/>
    <s v="00416968"/>
    <x v="117"/>
  </r>
  <r>
    <s v="Out-2021"/>
    <x v="1"/>
    <n v="190"/>
    <x v="17"/>
    <n v="0.62"/>
    <n v="7.65"/>
    <s v="00416968"/>
    <x v="117"/>
  </r>
  <r>
    <s v="Out-2021"/>
    <x v="0"/>
    <n v="263"/>
    <x v="27"/>
    <n v="0.57999999999999996"/>
    <n v="7.14"/>
    <s v="02038232"/>
    <x v="117"/>
  </r>
  <r>
    <s v="Out-2021"/>
    <x v="1"/>
    <n v="170"/>
    <x v="2"/>
    <n v="0.6"/>
    <n v="7.47"/>
    <s v="60701190"/>
    <x v="117"/>
  </r>
  <r>
    <s v="Out-2021"/>
    <x v="0"/>
    <n v="240"/>
    <x v="13"/>
    <n v="0.56000000000000005"/>
    <n v="6.98"/>
    <s v="00000208"/>
    <x v="117"/>
  </r>
  <r>
    <s v="Out-2021"/>
    <x v="4"/>
    <n v="126"/>
    <x v="29"/>
    <n v="1.01"/>
    <n v="12.87"/>
    <s v="00556603"/>
    <x v="117"/>
  </r>
  <r>
    <s v="Out-2021"/>
    <x v="1"/>
    <n v="126"/>
    <x v="18"/>
    <n v="0.57999999999999996"/>
    <n v="7.24"/>
    <s v="92702067"/>
    <x v="117"/>
  </r>
  <r>
    <s v="Out-2021"/>
    <x v="4"/>
    <n v="125"/>
    <x v="6"/>
    <n v="1.01"/>
    <n v="12.87"/>
    <s v="14511781"/>
    <x v="117"/>
  </r>
  <r>
    <s v="Out-2021"/>
    <x v="0"/>
    <n v="185"/>
    <x v="4"/>
    <n v="0.55000000000000004"/>
    <n v="6.77"/>
    <s v="00360305"/>
    <x v="117"/>
  </r>
  <r>
    <s v="Out-2021"/>
    <x v="4"/>
    <n v="109"/>
    <x v="4"/>
    <n v="0.89"/>
    <n v="11.17"/>
    <s v="00360305"/>
    <x v="117"/>
  </r>
  <r>
    <s v="Out-2021"/>
    <x v="1"/>
    <n v="102"/>
    <x v="27"/>
    <n v="0.57999999999999996"/>
    <n v="7.13"/>
    <s v="02038232"/>
    <x v="117"/>
  </r>
  <r>
    <s v="Out-2021"/>
    <x v="4"/>
    <n v="63"/>
    <x v="28"/>
    <n v="0.74"/>
    <n v="9.3000000000000007"/>
    <s v="00795423"/>
    <x v="117"/>
  </r>
  <r>
    <s v="Out-2021"/>
    <x v="0"/>
    <n v="161"/>
    <x v="11"/>
    <n v="0.54"/>
    <n v="6.62"/>
    <s v="28127603"/>
    <x v="117"/>
  </r>
  <r>
    <s v="Out-2021"/>
    <x v="2"/>
    <n v="217"/>
    <x v="0"/>
    <n v="1.17"/>
    <n v="14.95"/>
    <s v="00655522"/>
    <x v="117"/>
  </r>
  <r>
    <s v="Out-2021"/>
    <x v="1"/>
    <n v="81"/>
    <x v="15"/>
    <n v="0.56000000000000005"/>
    <n v="6.99"/>
    <s v="13009717"/>
    <x v="117"/>
  </r>
  <r>
    <s v="Out-2021"/>
    <x v="2"/>
    <n v="141"/>
    <x v="4"/>
    <n v="1.02"/>
    <n v="12.9"/>
    <s v="00360305"/>
    <x v="117"/>
  </r>
  <r>
    <s v="Out-2021"/>
    <x v="0"/>
    <n v="149"/>
    <x v="15"/>
    <n v="0.53"/>
    <n v="6.54"/>
    <s v="13009717"/>
    <x v="117"/>
  </r>
  <r>
    <s v="Out-2021"/>
    <x v="5"/>
    <n v="94"/>
    <x v="10"/>
    <n v="0.6"/>
    <n v="7.38"/>
    <s v="00000000"/>
    <x v="117"/>
  </r>
  <r>
    <s v="Out-2021"/>
    <x v="2"/>
    <n v="127"/>
    <x v="12"/>
    <n v="1"/>
    <n v="12.68"/>
    <s v="00517645"/>
    <x v="117"/>
  </r>
  <r>
    <s v="Out-2021"/>
    <x v="5"/>
    <n v="56"/>
    <x v="4"/>
    <n v="0.39"/>
    <n v="4.84"/>
    <s v="00360305"/>
    <x v="117"/>
  </r>
  <r>
    <s v="Out-2021"/>
    <x v="1"/>
    <n v="43"/>
    <x v="11"/>
    <n v="0.54"/>
    <n v="6.65"/>
    <s v="28127603"/>
    <x v="117"/>
  </r>
  <r>
    <s v="Out-2021"/>
    <x v="5"/>
    <n v="39"/>
    <x v="0"/>
    <n v="0.35"/>
    <n v="4.22"/>
    <s v="00655522"/>
    <x v="117"/>
  </r>
  <r>
    <s v="Out-2021"/>
    <x v="2"/>
    <n v="118"/>
    <x v="9"/>
    <n v="0.99"/>
    <n v="12.58"/>
    <s v="90400888"/>
    <x v="117"/>
  </r>
  <r>
    <s v="Out-2021"/>
    <x v="5"/>
    <n v="25"/>
    <x v="13"/>
    <n v="0.32"/>
    <n v="3.9"/>
    <s v="00000208"/>
    <x v="117"/>
  </r>
  <r>
    <s v="Out-2021"/>
    <x v="0"/>
    <n v="130"/>
    <x v="31"/>
    <n v="0.52"/>
    <n v="6.48"/>
    <s v="04913711"/>
    <x v="117"/>
  </r>
  <r>
    <s v="Out-2021"/>
    <x v="5"/>
    <n v="24"/>
    <x v="31"/>
    <n v="0.3"/>
    <n v="3.71"/>
    <s v="04913711"/>
    <x v="117"/>
  </r>
  <r>
    <s v="Out-2021"/>
    <x v="2"/>
    <n v="117"/>
    <x v="26"/>
    <n v="0.99"/>
    <n v="12.57"/>
    <s v="18282093"/>
    <x v="117"/>
  </r>
  <r>
    <s v="Out-2021"/>
    <x v="3"/>
    <n v="141"/>
    <x v="9"/>
    <n v="0.94"/>
    <n v="11.92"/>
    <s v="90400888"/>
    <x v="117"/>
  </r>
  <r>
    <s v="Out-2021"/>
    <x v="1"/>
    <n v="41"/>
    <x v="31"/>
    <n v="0.54"/>
    <n v="6.62"/>
    <s v="04913711"/>
    <x v="117"/>
  </r>
  <r>
    <s v="Out-2021"/>
    <x v="3"/>
    <n v="28"/>
    <x v="4"/>
    <n v="0.75"/>
    <n v="9.39"/>
    <s v="00360305"/>
    <x v="117"/>
  </r>
  <r>
    <s v="Out-2021"/>
    <x v="2"/>
    <n v="1"/>
    <x v="7"/>
    <n v="0.23"/>
    <n v="2.74"/>
    <s v="60746948"/>
    <x v="117"/>
  </r>
  <r>
    <s v="Out-2021"/>
    <x v="3"/>
    <n v="11"/>
    <x v="7"/>
    <n v="0.17"/>
    <n v="2.11"/>
    <s v="60746948"/>
    <x v="117"/>
  </r>
  <r>
    <s v="Nov-2021"/>
    <x v="0"/>
    <n v="852"/>
    <x v="9"/>
    <n v="0.71"/>
    <n v="8.85"/>
    <s v="90400888"/>
    <x v="118"/>
  </r>
  <r>
    <s v="Nov-2021"/>
    <x v="0"/>
    <n v="748"/>
    <x v="2"/>
    <n v="0.69"/>
    <n v="8.61"/>
    <s v="60701190"/>
    <x v="118"/>
  </r>
  <r>
    <s v="Nov-2021"/>
    <x v="1"/>
    <n v="348"/>
    <x v="4"/>
    <n v="0.71"/>
    <n v="8.8800000000000008"/>
    <s v="00360305"/>
    <x v="118"/>
  </r>
  <r>
    <s v="Nov-2021"/>
    <x v="0"/>
    <n v="599"/>
    <x v="22"/>
    <n v="0.66"/>
    <n v="8.18"/>
    <s v="58160789"/>
    <x v="118"/>
  </r>
  <r>
    <s v="Nov-2021"/>
    <x v="1"/>
    <n v="322"/>
    <x v="9"/>
    <n v="0.7"/>
    <n v="8.73"/>
    <s v="90400888"/>
    <x v="118"/>
  </r>
  <r>
    <s v="Nov-2021"/>
    <x v="0"/>
    <n v="598"/>
    <x v="7"/>
    <n v="0.66"/>
    <n v="8.18"/>
    <s v="60746948"/>
    <x v="118"/>
  </r>
  <r>
    <s v="Nov-2021"/>
    <x v="1"/>
    <n v="289"/>
    <x v="0"/>
    <n v="0.69"/>
    <n v="8.6"/>
    <s v="00655522"/>
    <x v="118"/>
  </r>
  <r>
    <s v="Nov-2021"/>
    <x v="0"/>
    <n v="573"/>
    <x v="10"/>
    <n v="0.65"/>
    <n v="8.07"/>
    <s v="00000000"/>
    <x v="118"/>
  </r>
  <r>
    <s v="Nov-2021"/>
    <x v="1"/>
    <n v="243"/>
    <x v="7"/>
    <n v="0.67"/>
    <n v="8.31"/>
    <s v="60746948"/>
    <x v="118"/>
  </r>
  <r>
    <s v="Nov-2021"/>
    <x v="0"/>
    <n v="457"/>
    <x v="13"/>
    <n v="0.62"/>
    <n v="7.72"/>
    <s v="00000208"/>
    <x v="118"/>
  </r>
  <r>
    <s v="Nov-2021"/>
    <x v="1"/>
    <n v="241"/>
    <x v="10"/>
    <n v="0.67"/>
    <n v="8.3000000000000007"/>
    <s v="00000000"/>
    <x v="118"/>
  </r>
  <r>
    <s v="Nov-2021"/>
    <x v="0"/>
    <n v="430"/>
    <x v="0"/>
    <n v="0.61"/>
    <n v="7.6"/>
    <s v="00655522"/>
    <x v="118"/>
  </r>
  <r>
    <s v="Nov-2021"/>
    <x v="1"/>
    <n v="223"/>
    <x v="2"/>
    <n v="0.64"/>
    <n v="8"/>
    <s v="60701190"/>
    <x v="118"/>
  </r>
  <r>
    <s v="Nov-2021"/>
    <x v="0"/>
    <n v="414"/>
    <x v="18"/>
    <n v="0.61"/>
    <n v="7.56"/>
    <s v="92702067"/>
    <x v="118"/>
  </r>
  <r>
    <s v="Nov-2021"/>
    <x v="1"/>
    <n v="212"/>
    <x v="22"/>
    <n v="0.63"/>
    <n v="7.85"/>
    <s v="58160789"/>
    <x v="118"/>
  </r>
  <r>
    <s v="Nov-2021"/>
    <x v="0"/>
    <n v="277"/>
    <x v="27"/>
    <n v="0.57999999999999996"/>
    <n v="7.2"/>
    <s v="02038232"/>
    <x v="118"/>
  </r>
  <r>
    <s v="Nov-2021"/>
    <x v="1"/>
    <n v="163"/>
    <x v="18"/>
    <n v="0.6"/>
    <n v="7.44"/>
    <s v="92702067"/>
    <x v="118"/>
  </r>
  <r>
    <s v="Nov-2021"/>
    <x v="4"/>
    <n v="129"/>
    <x v="29"/>
    <n v="1.06"/>
    <n v="13.44"/>
    <s v="00556603"/>
    <x v="118"/>
  </r>
  <r>
    <s v="Nov-2021"/>
    <x v="0"/>
    <n v="172"/>
    <x v="11"/>
    <n v="0.54"/>
    <n v="6.71"/>
    <s v="28127603"/>
    <x v="118"/>
  </r>
  <r>
    <s v="Nov-2021"/>
    <x v="4"/>
    <n v="118"/>
    <x v="6"/>
    <n v="0.92"/>
    <n v="11.57"/>
    <s v="14511781"/>
    <x v="118"/>
  </r>
  <r>
    <s v="Nov-2021"/>
    <x v="1"/>
    <n v="135"/>
    <x v="27"/>
    <n v="0.59"/>
    <n v="7.28"/>
    <s v="02038232"/>
    <x v="118"/>
  </r>
  <r>
    <s v="Nov-2021"/>
    <x v="4"/>
    <n v="76"/>
    <x v="28"/>
    <n v="0.75"/>
    <n v="9.3800000000000008"/>
    <s v="00795423"/>
    <x v="118"/>
  </r>
  <r>
    <s v="Nov-2021"/>
    <x v="0"/>
    <n v="145"/>
    <x v="31"/>
    <n v="0.53"/>
    <n v="6.53"/>
    <s v="04913711"/>
    <x v="118"/>
  </r>
  <r>
    <s v="Nov-2021"/>
    <x v="4"/>
    <n v="31"/>
    <x v="4"/>
    <n v="0.44"/>
    <n v="5.36"/>
    <s v="00360305"/>
    <x v="118"/>
  </r>
  <r>
    <s v="Nov-2021"/>
    <x v="1"/>
    <n v="80"/>
    <x v="15"/>
    <n v="0.56000000000000005"/>
    <n v="6.99"/>
    <s v="13009717"/>
    <x v="118"/>
  </r>
  <r>
    <s v="Nov-2021"/>
    <x v="4"/>
    <n v="9"/>
    <x v="0"/>
    <n v="0.35"/>
    <n v="4.3"/>
    <s v="00655522"/>
    <x v="118"/>
  </r>
  <r>
    <s v="Nov-2021"/>
    <x v="0"/>
    <n v="118"/>
    <x v="15"/>
    <n v="0.52"/>
    <n v="6.45"/>
    <s v="13009717"/>
    <x v="118"/>
  </r>
  <r>
    <s v="Nov-2021"/>
    <x v="5"/>
    <n v="90"/>
    <x v="10"/>
    <n v="0.53"/>
    <n v="6.49"/>
    <s v="00000000"/>
    <x v="118"/>
  </r>
  <r>
    <s v="Nov-2021"/>
    <x v="2"/>
    <n v="208"/>
    <x v="0"/>
    <n v="1.1399999999999999"/>
    <n v="14.63"/>
    <s v="00655522"/>
    <x v="118"/>
  </r>
  <r>
    <s v="Nov-2021"/>
    <x v="5"/>
    <n v="66"/>
    <x v="4"/>
    <n v="0.4"/>
    <n v="4.8899999999999997"/>
    <s v="00360305"/>
    <x v="118"/>
  </r>
  <r>
    <s v="Nov-2021"/>
    <x v="1"/>
    <n v="56"/>
    <x v="11"/>
    <n v="0.55000000000000004"/>
    <n v="6.77"/>
    <s v="28127603"/>
    <x v="118"/>
  </r>
  <r>
    <s v="Nov-2021"/>
    <x v="5"/>
    <n v="28"/>
    <x v="0"/>
    <n v="0.33"/>
    <n v="4.07"/>
    <s v="00655522"/>
    <x v="118"/>
  </r>
  <r>
    <s v="Nov-2021"/>
    <x v="2"/>
    <n v="180"/>
    <x v="26"/>
    <n v="1.08"/>
    <n v="13.81"/>
    <s v="18282093"/>
    <x v="118"/>
  </r>
  <r>
    <s v="Nov-2021"/>
    <x v="5"/>
    <n v="3"/>
    <x v="31"/>
    <n v="0.26"/>
    <n v="3.18"/>
    <s v="04913711"/>
    <x v="118"/>
  </r>
  <r>
    <s v="Nov-2021"/>
    <x v="0"/>
    <n v="74"/>
    <x v="4"/>
    <n v="0.5"/>
    <n v="6.15"/>
    <s v="00360305"/>
    <x v="118"/>
  </r>
  <r>
    <s v="Nov-2021"/>
    <x v="3"/>
    <n v="213"/>
    <x v="9"/>
    <n v="0.98"/>
    <n v="12.4"/>
    <s v="90400888"/>
    <x v="118"/>
  </r>
  <r>
    <s v="Nov-2021"/>
    <x v="2"/>
    <n v="103"/>
    <x v="4"/>
    <n v="0.97"/>
    <n v="12.31"/>
    <s v="00360305"/>
    <x v="118"/>
  </r>
  <r>
    <s v="Nov-2021"/>
    <x v="3"/>
    <n v="33"/>
    <x v="4"/>
    <n v="0.75"/>
    <n v="9.4"/>
    <s v="00360305"/>
    <x v="11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AED64D8-5147-4F8F-8CE7-C314FC1DE436}" name="Tabela dinâmica2" cacheId="1" applyNumberFormats="0" applyBorderFormats="0" applyFontFormats="0" applyPatternFormats="0" applyAlignmentFormats="0" applyWidthHeightFormats="1" dataCaption="Valores" updatedVersion="7" minRefreshableVersion="3" useAutoFormatting="1" rowGrandTotals="0" itemPrintTitles="1" createdVersion="7" indent="0" outline="1" outlineData="1" multipleFieldFilters="0" chartFormat="6">
  <location ref="K5:O125" firstHeaderRow="1" firstDataRow="2" firstDataCol="1" rowPageCount="1" colPageCount="1"/>
  <pivotFields count="8">
    <pivotField showAll="0"/>
    <pivotField axis="axisPage" showAll="0">
      <items count="7">
        <item x="0"/>
        <item x="1"/>
        <item x="2"/>
        <item x="3"/>
        <item x="4"/>
        <item x="5"/>
        <item t="default"/>
      </items>
    </pivotField>
    <pivotField showAll="0"/>
    <pivotField axis="axisCol" showAll="0" sortType="ascending">
      <items count="34">
        <item h="1" x="0"/>
        <item h="1" x="29"/>
        <item h="1" x="17"/>
        <item h="1" x="21"/>
        <item h="1" x="28"/>
        <item h="1" x="27"/>
        <item h="1" x="6"/>
        <item h="1" x="11"/>
        <item h="1" x="25"/>
        <item x="7"/>
        <item h="1" x="19"/>
        <item h="1" x="10"/>
        <item h="1" x="15"/>
        <item h="1" x="31"/>
        <item h="1" x="18"/>
        <item h="1" x="32"/>
        <item h="1" x="5"/>
        <item h="1" x="12"/>
        <item h="1" x="30"/>
        <item h="1" x="22"/>
        <item x="9"/>
        <item h="1" x="14"/>
        <item h="1" x="13"/>
        <item h="1" x="4"/>
        <item h="1" x="26"/>
        <item h="1" x="8"/>
        <item h="1" x="20"/>
        <item h="1" x="24"/>
        <item h="1" x="16"/>
        <item x="2"/>
        <item h="1" x="3"/>
        <item h="1" x="1"/>
        <item h="1" x="23"/>
        <item t="default"/>
      </items>
    </pivotField>
    <pivotField showAll="0"/>
    <pivotField dataField="1" showAll="0"/>
    <pivotField showAll="0"/>
    <pivotField axis="axisRow" showAll="0">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t="default"/>
      </items>
    </pivotField>
  </pivotFields>
  <rowFields count="1">
    <field x="7"/>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Fields count="1">
    <field x="3"/>
  </colFields>
  <colItems count="4">
    <i>
      <x v="9"/>
    </i>
    <i>
      <x v="20"/>
    </i>
    <i>
      <x v="29"/>
    </i>
    <i t="grand">
      <x/>
    </i>
  </colItems>
  <pageFields count="1">
    <pageField fld="1" item="1" hier="-1"/>
  </pageFields>
  <dataFields count="1">
    <dataField name="Máx. de TaxaJurosAoAno" fld="5" subtotal="max" baseField="7" baseItem="0"/>
  </dataFields>
  <chartFormats count="40">
    <chartFormat chart="1" format="0" series="1">
      <pivotArea type="data" outline="0" fieldPosition="0">
        <references count="2">
          <reference field="4294967294" count="1" selected="0">
            <x v="0"/>
          </reference>
          <reference field="3" count="1" selected="0">
            <x v="0"/>
          </reference>
        </references>
      </pivotArea>
    </chartFormat>
    <chartFormat chart="1" format="1" series="1">
      <pivotArea type="data" outline="0" fieldPosition="0">
        <references count="2">
          <reference field="4294967294" count="1" selected="0">
            <x v="0"/>
          </reference>
          <reference field="3" count="1" selected="0">
            <x v="2"/>
          </reference>
        </references>
      </pivotArea>
    </chartFormat>
    <chartFormat chart="1" format="2" series="1">
      <pivotArea type="data" outline="0" fieldPosition="0">
        <references count="2">
          <reference field="4294967294" count="1" selected="0">
            <x v="0"/>
          </reference>
          <reference field="3" count="1" selected="0">
            <x v="5"/>
          </reference>
        </references>
      </pivotArea>
    </chartFormat>
    <chartFormat chart="1" format="3" series="1">
      <pivotArea type="data" outline="0" fieldPosition="0">
        <references count="2">
          <reference field="4294967294" count="1" selected="0">
            <x v="0"/>
          </reference>
          <reference field="3" count="1" selected="0">
            <x v="7"/>
          </reference>
        </references>
      </pivotArea>
    </chartFormat>
    <chartFormat chart="1" format="4" series="1">
      <pivotArea type="data" outline="0" fieldPosition="0">
        <references count="2">
          <reference field="4294967294" count="1" selected="0">
            <x v="0"/>
          </reference>
          <reference field="3" count="1" selected="0">
            <x v="9"/>
          </reference>
        </references>
      </pivotArea>
    </chartFormat>
    <chartFormat chart="1" format="5" series="1">
      <pivotArea type="data" outline="0" fieldPosition="0">
        <references count="2">
          <reference field="4294967294" count="1" selected="0">
            <x v="0"/>
          </reference>
          <reference field="3" count="1" selected="0">
            <x v="10"/>
          </reference>
        </references>
      </pivotArea>
    </chartFormat>
    <chartFormat chart="1" format="6" series="1">
      <pivotArea type="data" outline="0" fieldPosition="0">
        <references count="2">
          <reference field="4294967294" count="1" selected="0">
            <x v="0"/>
          </reference>
          <reference field="3" count="1" selected="0">
            <x v="11"/>
          </reference>
        </references>
      </pivotArea>
    </chartFormat>
    <chartFormat chart="1" format="7" series="1">
      <pivotArea type="data" outline="0" fieldPosition="0">
        <references count="2">
          <reference field="4294967294" count="1" selected="0">
            <x v="0"/>
          </reference>
          <reference field="3" count="1" selected="0">
            <x v="12"/>
          </reference>
        </references>
      </pivotArea>
    </chartFormat>
    <chartFormat chart="1" format="8" series="1">
      <pivotArea type="data" outline="0" fieldPosition="0">
        <references count="2">
          <reference field="4294967294" count="1" selected="0">
            <x v="0"/>
          </reference>
          <reference field="3" count="1" selected="0">
            <x v="13"/>
          </reference>
        </references>
      </pivotArea>
    </chartFormat>
    <chartFormat chart="1" format="9" series="1">
      <pivotArea type="data" outline="0" fieldPosition="0">
        <references count="2">
          <reference field="4294967294" count="1" selected="0">
            <x v="0"/>
          </reference>
          <reference field="3" count="1" selected="0">
            <x v="14"/>
          </reference>
        </references>
      </pivotArea>
    </chartFormat>
    <chartFormat chart="1" format="10" series="1">
      <pivotArea type="data" outline="0" fieldPosition="0">
        <references count="2">
          <reference field="4294967294" count="1" selected="0">
            <x v="0"/>
          </reference>
          <reference field="3" count="1" selected="0">
            <x v="16"/>
          </reference>
        </references>
      </pivotArea>
    </chartFormat>
    <chartFormat chart="1" format="11" series="1">
      <pivotArea type="data" outline="0" fieldPosition="0">
        <references count="2">
          <reference field="4294967294" count="1" selected="0">
            <x v="0"/>
          </reference>
          <reference field="3" count="1" selected="0">
            <x v="19"/>
          </reference>
        </references>
      </pivotArea>
    </chartFormat>
    <chartFormat chart="1" format="12" series="1">
      <pivotArea type="data" outline="0" fieldPosition="0">
        <references count="2">
          <reference field="4294967294" count="1" selected="0">
            <x v="0"/>
          </reference>
          <reference field="3" count="1" selected="0">
            <x v="20"/>
          </reference>
        </references>
      </pivotArea>
    </chartFormat>
    <chartFormat chart="1" format="13" series="1">
      <pivotArea type="data" outline="0" fieldPosition="0">
        <references count="2">
          <reference field="4294967294" count="1" selected="0">
            <x v="0"/>
          </reference>
          <reference field="3" count="1" selected="0">
            <x v="22"/>
          </reference>
        </references>
      </pivotArea>
    </chartFormat>
    <chartFormat chart="1" format="14" series="1">
      <pivotArea type="data" outline="0" fieldPosition="0">
        <references count="2">
          <reference field="4294967294" count="1" selected="0">
            <x v="0"/>
          </reference>
          <reference field="3" count="1" selected="0">
            <x v="23"/>
          </reference>
        </references>
      </pivotArea>
    </chartFormat>
    <chartFormat chart="1" format="16" series="1">
      <pivotArea type="data" outline="0" fieldPosition="0">
        <references count="2">
          <reference field="4294967294" count="1" selected="0">
            <x v="0"/>
          </reference>
          <reference field="3" count="1" selected="0">
            <x v="30"/>
          </reference>
        </references>
      </pivotArea>
    </chartFormat>
    <chartFormat chart="2" format="0" series="1">
      <pivotArea type="data" outline="0" fieldPosition="0">
        <references count="2">
          <reference field="4294967294" count="1" selected="0">
            <x v="0"/>
          </reference>
          <reference field="3" count="1" selected="0">
            <x v="0"/>
          </reference>
        </references>
      </pivotArea>
    </chartFormat>
    <chartFormat chart="2" format="1" series="1">
      <pivotArea type="data" outline="0" fieldPosition="0">
        <references count="2">
          <reference field="4294967294" count="1" selected="0">
            <x v="0"/>
          </reference>
          <reference field="3" count="1" selected="0">
            <x v="2"/>
          </reference>
        </references>
      </pivotArea>
    </chartFormat>
    <chartFormat chart="2" format="2" series="1">
      <pivotArea type="data" outline="0" fieldPosition="0">
        <references count="2">
          <reference field="4294967294" count="1" selected="0">
            <x v="0"/>
          </reference>
          <reference field="3" count="1" selected="0">
            <x v="5"/>
          </reference>
        </references>
      </pivotArea>
    </chartFormat>
    <chartFormat chart="2" format="3" series="1">
      <pivotArea type="data" outline="0" fieldPosition="0">
        <references count="2">
          <reference field="4294967294" count="1" selected="0">
            <x v="0"/>
          </reference>
          <reference field="3" count="1" selected="0">
            <x v="7"/>
          </reference>
        </references>
      </pivotArea>
    </chartFormat>
    <chartFormat chart="2" format="4" series="1">
      <pivotArea type="data" outline="0" fieldPosition="0">
        <references count="2">
          <reference field="4294967294" count="1" selected="0">
            <x v="0"/>
          </reference>
          <reference field="3" count="1" selected="0">
            <x v="9"/>
          </reference>
        </references>
      </pivotArea>
    </chartFormat>
    <chartFormat chart="2" format="5" series="1">
      <pivotArea type="data" outline="0" fieldPosition="0">
        <references count="2">
          <reference field="4294967294" count="1" selected="0">
            <x v="0"/>
          </reference>
          <reference field="3" count="1" selected="0">
            <x v="10"/>
          </reference>
        </references>
      </pivotArea>
    </chartFormat>
    <chartFormat chart="2" format="6" series="1">
      <pivotArea type="data" outline="0" fieldPosition="0">
        <references count="2">
          <reference field="4294967294" count="1" selected="0">
            <x v="0"/>
          </reference>
          <reference field="3" count="1" selected="0">
            <x v="11"/>
          </reference>
        </references>
      </pivotArea>
    </chartFormat>
    <chartFormat chart="2" format="7" series="1">
      <pivotArea type="data" outline="0" fieldPosition="0">
        <references count="2">
          <reference field="4294967294" count="1" selected="0">
            <x v="0"/>
          </reference>
          <reference field="3" count="1" selected="0">
            <x v="12"/>
          </reference>
        </references>
      </pivotArea>
    </chartFormat>
    <chartFormat chart="2" format="8" series="1">
      <pivotArea type="data" outline="0" fieldPosition="0">
        <references count="2">
          <reference field="4294967294" count="1" selected="0">
            <x v="0"/>
          </reference>
          <reference field="3" count="1" selected="0">
            <x v="13"/>
          </reference>
        </references>
      </pivotArea>
    </chartFormat>
    <chartFormat chart="2" format="9" series="1">
      <pivotArea type="data" outline="0" fieldPosition="0">
        <references count="2">
          <reference field="4294967294" count="1" selected="0">
            <x v="0"/>
          </reference>
          <reference field="3" count="1" selected="0">
            <x v="14"/>
          </reference>
        </references>
      </pivotArea>
    </chartFormat>
    <chartFormat chart="2" format="10" series="1">
      <pivotArea type="data" outline="0" fieldPosition="0">
        <references count="2">
          <reference field="4294967294" count="1" selected="0">
            <x v="0"/>
          </reference>
          <reference field="3" count="1" selected="0">
            <x v="16"/>
          </reference>
        </references>
      </pivotArea>
    </chartFormat>
    <chartFormat chart="2" format="11" series="1">
      <pivotArea type="data" outline="0" fieldPosition="0">
        <references count="2">
          <reference field="4294967294" count="1" selected="0">
            <x v="0"/>
          </reference>
          <reference field="3" count="1" selected="0">
            <x v="19"/>
          </reference>
        </references>
      </pivotArea>
    </chartFormat>
    <chartFormat chart="2" format="12" series="1">
      <pivotArea type="data" outline="0" fieldPosition="0">
        <references count="2">
          <reference field="4294967294" count="1" selected="0">
            <x v="0"/>
          </reference>
          <reference field="3" count="1" selected="0">
            <x v="20"/>
          </reference>
        </references>
      </pivotArea>
    </chartFormat>
    <chartFormat chart="2" format="13" series="1">
      <pivotArea type="data" outline="0" fieldPosition="0">
        <references count="2">
          <reference field="4294967294" count="1" selected="0">
            <x v="0"/>
          </reference>
          <reference field="3" count="1" selected="0">
            <x v="22"/>
          </reference>
        </references>
      </pivotArea>
    </chartFormat>
    <chartFormat chart="2" format="14" series="1">
      <pivotArea type="data" outline="0" fieldPosition="0">
        <references count="2">
          <reference field="4294967294" count="1" selected="0">
            <x v="0"/>
          </reference>
          <reference field="3" count="1" selected="0">
            <x v="23"/>
          </reference>
        </references>
      </pivotArea>
    </chartFormat>
    <chartFormat chart="2" format="16" series="1">
      <pivotArea type="data" outline="0" fieldPosition="0">
        <references count="2">
          <reference field="4294967294" count="1" selected="0">
            <x v="0"/>
          </reference>
          <reference field="3" count="1" selected="0">
            <x v="30"/>
          </reference>
        </references>
      </pivotArea>
    </chartFormat>
    <chartFormat chart="5" format="0" series="1">
      <pivotArea type="data" outline="0" fieldPosition="0">
        <references count="2">
          <reference field="4294967294" count="1" selected="0">
            <x v="0"/>
          </reference>
          <reference field="3" count="1" selected="0">
            <x v="9"/>
          </reference>
        </references>
      </pivotArea>
    </chartFormat>
    <chartFormat chart="5" format="1" series="1">
      <pivotArea type="data" outline="0" fieldPosition="0">
        <references count="2">
          <reference field="4294967294" count="1" selected="0">
            <x v="0"/>
          </reference>
          <reference field="3" count="1" selected="0">
            <x v="11"/>
          </reference>
        </references>
      </pivotArea>
    </chartFormat>
    <chartFormat chart="5" format="2" series="1">
      <pivotArea type="data" outline="0" fieldPosition="0">
        <references count="2">
          <reference field="4294967294" count="1" selected="0">
            <x v="0"/>
          </reference>
          <reference field="3" count="1" selected="0">
            <x v="20"/>
          </reference>
        </references>
      </pivotArea>
    </chartFormat>
    <chartFormat chart="5" format="3" series="1">
      <pivotArea type="data" outline="0" fieldPosition="0">
        <references count="2">
          <reference field="4294967294" count="1" selected="0">
            <x v="0"/>
          </reference>
          <reference field="3" count="1" selected="0">
            <x v="23"/>
          </reference>
        </references>
      </pivotArea>
    </chartFormat>
    <chartFormat chart="5" format="5" series="1">
      <pivotArea type="data" outline="0" fieldPosition="0">
        <references count="2">
          <reference field="4294967294" count="1" selected="0">
            <x v="0"/>
          </reference>
          <reference field="3" count="1" selected="0">
            <x v="10"/>
          </reference>
        </references>
      </pivotArea>
    </chartFormat>
    <chartFormat chart="5" format="6" series="1">
      <pivotArea type="data" outline="0" fieldPosition="0">
        <references count="2">
          <reference field="4294967294" count="1" selected="0">
            <x v="0"/>
          </reference>
          <reference field="3" count="1" selected="0">
            <x v="16"/>
          </reference>
        </references>
      </pivotArea>
    </chartFormat>
    <chartFormat chart="5" format="7" series="1">
      <pivotArea type="data" outline="0" fieldPosition="0">
        <references count="2">
          <reference field="4294967294" count="1" selected="0">
            <x v="0"/>
          </reference>
          <reference field="3" count="1" selected="0">
            <x v="19"/>
          </reference>
        </references>
      </pivotArea>
    </chartFormat>
    <chartFormat chart="5" format="8"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69318B-C8FC-4671-813C-B9B7568FDE84}" name="Tabela dinâmica2" cacheId="0" applyNumberFormats="0" applyBorderFormats="0" applyFontFormats="0" applyPatternFormats="0" applyAlignmentFormats="0" applyWidthHeightFormats="1" dataCaption="Valores" updatedVersion="7" minRefreshableVersion="3" useAutoFormatting="1" rowGrandTotals="0" colGrandTotals="0" itemPrintTitles="1" createdVersion="7" indent="0" outline="1" outlineData="1" multipleFieldFilters="0" chartFormat="7">
  <location ref="K5:O238" firstHeaderRow="1" firstDataRow="2" firstDataCol="1" rowPageCount="2" colPageCount="1"/>
  <pivotFields count="9">
    <pivotField axis="axisRow" showAll="0">
      <items count="2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t="default"/>
      </items>
    </pivotField>
    <pivotField showAll="0"/>
    <pivotField axis="axisPage" showAll="0">
      <items count="2">
        <item x="0"/>
        <item t="default"/>
      </items>
    </pivotField>
    <pivotField axis="axisPage" showAll="0">
      <items count="2">
        <item x="0"/>
        <item t="default"/>
      </items>
    </pivotField>
    <pivotField showAll="0"/>
    <pivotField axis="axisCol" showAll="0" sortType="ascending">
      <items count="55">
        <item h="1" x="48"/>
        <item h="1" x="13"/>
        <item h="1" x="40"/>
        <item h="1" x="51"/>
        <item h="1" x="26"/>
        <item h="1" x="17"/>
        <item h="1" x="43"/>
        <item h="1" x="8"/>
        <item h="1" x="18"/>
        <item h="1" x="16"/>
        <item x="29"/>
        <item h="1" x="53"/>
        <item h="1" x="39"/>
        <item h="1" x="4"/>
        <item h="1" x="7"/>
        <item x="27"/>
        <item h="1" x="19"/>
        <item h="1" x="25"/>
        <item h="1" x="50"/>
        <item h="1" x="11"/>
        <item h="1" x="20"/>
        <item h="1" x="52"/>
        <item h="1" x="38"/>
        <item h="1" x="47"/>
        <item h="1" x="30"/>
        <item h="1" x="33"/>
        <item h="1" x="5"/>
        <item h="1" x="34"/>
        <item h="1" x="49"/>
        <item x="28"/>
        <item h="1" x="23"/>
        <item h="1" x="35"/>
        <item h="1" x="44"/>
        <item h="1" x="15"/>
        <item h="1" x="10"/>
        <item h="1" x="21"/>
        <item h="1" x="41"/>
        <item h="1" x="37"/>
        <item h="1" x="36"/>
        <item h="1" x="14"/>
        <item h="1" x="6"/>
        <item h="1" x="9"/>
        <item h="1" x="31"/>
        <item h="1" x="46"/>
        <item x="32"/>
        <item h="1" x="45"/>
        <item h="1" x="0"/>
        <item h="1" x="2"/>
        <item h="1" x="1"/>
        <item h="1" x="12"/>
        <item h="1" x="22"/>
        <item h="1" x="3"/>
        <item h="1" x="42"/>
        <item h="1" x="24"/>
        <item t="default"/>
      </items>
    </pivotField>
    <pivotField showAll="0"/>
    <pivotField dataField="1" showAll="0"/>
    <pivotField showAll="0"/>
  </pivotFields>
  <rowFields count="1">
    <field x="0"/>
  </rowFields>
  <rowItems count="2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rowItems>
  <colFields count="1">
    <field x="5"/>
  </colFields>
  <colItems count="4">
    <i>
      <x v="10"/>
    </i>
    <i>
      <x v="15"/>
    </i>
    <i>
      <x v="29"/>
    </i>
    <i>
      <x v="44"/>
    </i>
  </colItems>
  <pageFields count="2">
    <pageField fld="2" item="0" hier="-1"/>
    <pageField fld="3" item="0" hier="-1"/>
  </pageFields>
  <dataFields count="1">
    <dataField name="Soma de TaxaJurosAoAno" fld="7" baseField="0" baseItem="0"/>
  </dataFields>
  <chartFormats count="52">
    <chartFormat chart="6" format="62" series="1">
      <pivotArea type="data" outline="0" fieldPosition="0">
        <references count="2">
          <reference field="4294967294" count="1" selected="0">
            <x v="0"/>
          </reference>
          <reference field="5" count="1" selected="0">
            <x v="8"/>
          </reference>
        </references>
      </pivotArea>
    </chartFormat>
    <chartFormat chart="6" format="63" series="1">
      <pivotArea type="data" outline="0" fieldPosition="0">
        <references count="2">
          <reference field="4294967294" count="1" selected="0">
            <x v="0"/>
          </reference>
          <reference field="5" count="1" selected="0">
            <x v="10"/>
          </reference>
        </references>
      </pivotArea>
    </chartFormat>
    <chartFormat chart="6" format="64" series="1">
      <pivotArea type="data" outline="0" fieldPosition="0">
        <references count="2">
          <reference field="4294967294" count="1" selected="0">
            <x v="0"/>
          </reference>
          <reference field="5" count="1" selected="0">
            <x v="15"/>
          </reference>
        </references>
      </pivotArea>
    </chartFormat>
    <chartFormat chart="6" format="65" series="1">
      <pivotArea type="data" outline="0" fieldPosition="0">
        <references count="2">
          <reference field="4294967294" count="1" selected="0">
            <x v="0"/>
          </reference>
          <reference field="5" count="1" selected="0">
            <x v="16"/>
          </reference>
        </references>
      </pivotArea>
    </chartFormat>
    <chartFormat chart="6" format="66" series="1">
      <pivotArea type="data" outline="0" fieldPosition="0">
        <references count="2">
          <reference field="4294967294" count="1" selected="0">
            <x v="0"/>
          </reference>
          <reference field="5" count="1" selected="0">
            <x v="28"/>
          </reference>
        </references>
      </pivotArea>
    </chartFormat>
    <chartFormat chart="6" format="67" series="1">
      <pivotArea type="data" outline="0" fieldPosition="0">
        <references count="2">
          <reference field="4294967294" count="1" selected="0">
            <x v="0"/>
          </reference>
          <reference field="5" count="1" selected="0">
            <x v="29"/>
          </reference>
        </references>
      </pivotArea>
    </chartFormat>
    <chartFormat chart="6" format="68" series="1">
      <pivotArea type="data" outline="0" fieldPosition="0">
        <references count="2">
          <reference field="4294967294" count="1" selected="0">
            <x v="0"/>
          </reference>
          <reference field="5" count="1" selected="0">
            <x v="39"/>
          </reference>
        </references>
      </pivotArea>
    </chartFormat>
    <chartFormat chart="6" format="70" series="1">
      <pivotArea type="data" outline="0" fieldPosition="0">
        <references count="2">
          <reference field="4294967294" count="1" selected="0">
            <x v="0"/>
          </reference>
          <reference field="5" count="1" selected="0">
            <x v="27"/>
          </reference>
        </references>
      </pivotArea>
    </chartFormat>
    <chartFormat chart="6" format="71" series="1">
      <pivotArea type="data" outline="0" fieldPosition="0">
        <references count="2">
          <reference field="4294967294" count="1" selected="0">
            <x v="0"/>
          </reference>
          <reference field="5" count="1" selected="0">
            <x v="21"/>
          </reference>
        </references>
      </pivotArea>
    </chartFormat>
    <chartFormat chart="6" format="72" series="1">
      <pivotArea type="data" outline="0" fieldPosition="0">
        <references count="2">
          <reference field="4294967294" count="1" selected="0">
            <x v="0"/>
          </reference>
          <reference field="5" count="1" selected="0">
            <x v="46"/>
          </reference>
        </references>
      </pivotArea>
    </chartFormat>
    <chartFormat chart="6" format="73" series="1">
      <pivotArea type="data" outline="0" fieldPosition="0">
        <references count="2">
          <reference field="4294967294" count="1" selected="0">
            <x v="0"/>
          </reference>
          <reference field="5" count="1" selected="0">
            <x v="48"/>
          </reference>
        </references>
      </pivotArea>
    </chartFormat>
    <chartFormat chart="6" format="74" series="1">
      <pivotArea type="data" outline="0" fieldPosition="0">
        <references count="2">
          <reference field="4294967294" count="1" selected="0">
            <x v="0"/>
          </reference>
          <reference field="5" count="1" selected="0">
            <x v="47"/>
          </reference>
        </references>
      </pivotArea>
    </chartFormat>
    <chartFormat chart="6" format="76" series="1">
      <pivotArea type="data" outline="0" fieldPosition="0">
        <references count="2">
          <reference field="4294967294" count="1" selected="0">
            <x v="0"/>
          </reference>
          <reference field="5" count="1" selected="0">
            <x v="13"/>
          </reference>
        </references>
      </pivotArea>
    </chartFormat>
    <chartFormat chart="6" format="77" series="1">
      <pivotArea type="data" outline="0" fieldPosition="0">
        <references count="2">
          <reference field="4294967294" count="1" selected="0">
            <x v="0"/>
          </reference>
          <reference field="5" count="1" selected="0">
            <x v="26"/>
          </reference>
        </references>
      </pivotArea>
    </chartFormat>
    <chartFormat chart="6" format="78" series="1">
      <pivotArea type="data" outline="0" fieldPosition="0">
        <references count="2">
          <reference field="4294967294" count="1" selected="0">
            <x v="0"/>
          </reference>
          <reference field="5" count="1" selected="0">
            <x v="40"/>
          </reference>
        </references>
      </pivotArea>
    </chartFormat>
    <chartFormat chart="6" format="79" series="1">
      <pivotArea type="data" outline="0" fieldPosition="0">
        <references count="2">
          <reference field="4294967294" count="1" selected="0">
            <x v="0"/>
          </reference>
          <reference field="5" count="1" selected="0">
            <x v="14"/>
          </reference>
        </references>
      </pivotArea>
    </chartFormat>
    <chartFormat chart="6" format="80" series="1">
      <pivotArea type="data" outline="0" fieldPosition="0">
        <references count="2">
          <reference field="4294967294" count="1" selected="0">
            <x v="0"/>
          </reference>
          <reference field="5" count="1" selected="0">
            <x v="7"/>
          </reference>
        </references>
      </pivotArea>
    </chartFormat>
    <chartFormat chart="6" format="81" series="1">
      <pivotArea type="data" outline="0" fieldPosition="0">
        <references count="2">
          <reference field="4294967294" count="1" selected="0">
            <x v="0"/>
          </reference>
          <reference field="5" count="1" selected="0">
            <x v="41"/>
          </reference>
        </references>
      </pivotArea>
    </chartFormat>
    <chartFormat chart="6" format="82" series="1">
      <pivotArea type="data" outline="0" fieldPosition="0">
        <references count="2">
          <reference field="4294967294" count="1" selected="0">
            <x v="0"/>
          </reference>
          <reference field="5" count="1" selected="0">
            <x v="34"/>
          </reference>
        </references>
      </pivotArea>
    </chartFormat>
    <chartFormat chart="6" format="83" series="1">
      <pivotArea type="data" outline="0" fieldPosition="0">
        <references count="2">
          <reference field="4294967294" count="1" selected="0">
            <x v="0"/>
          </reference>
          <reference field="5" count="1" selected="0">
            <x v="19"/>
          </reference>
        </references>
      </pivotArea>
    </chartFormat>
    <chartFormat chart="6" format="84" series="1">
      <pivotArea type="data" outline="0" fieldPosition="0">
        <references count="2">
          <reference field="4294967294" count="1" selected="0">
            <x v="0"/>
          </reference>
          <reference field="5" count="1" selected="0">
            <x v="49"/>
          </reference>
        </references>
      </pivotArea>
    </chartFormat>
    <chartFormat chart="6" format="86" series="1">
      <pivotArea type="data" outline="0" fieldPosition="0">
        <references count="2">
          <reference field="4294967294" count="1" selected="0">
            <x v="0"/>
          </reference>
          <reference field="5" count="1" selected="0">
            <x v="33"/>
          </reference>
        </references>
      </pivotArea>
    </chartFormat>
    <chartFormat chart="6" format="87" series="1">
      <pivotArea type="data" outline="0" fieldPosition="0">
        <references count="2">
          <reference field="4294967294" count="1" selected="0">
            <x v="0"/>
          </reference>
          <reference field="5" count="1" selected="0">
            <x v="9"/>
          </reference>
        </references>
      </pivotArea>
    </chartFormat>
    <chartFormat chart="6" format="88" series="1">
      <pivotArea type="data" outline="0" fieldPosition="0">
        <references count="2">
          <reference field="4294967294" count="1" selected="0">
            <x v="0"/>
          </reference>
          <reference field="5" count="1" selected="0">
            <x v="5"/>
          </reference>
        </references>
      </pivotArea>
    </chartFormat>
    <chartFormat chart="6" format="89" series="1">
      <pivotArea type="data" outline="0" fieldPosition="0">
        <references count="2">
          <reference field="4294967294" count="1" selected="0">
            <x v="0"/>
          </reference>
          <reference field="5" count="1" selected="0">
            <x v="20"/>
          </reference>
        </references>
      </pivotArea>
    </chartFormat>
    <chartFormat chart="6" format="90" series="1">
      <pivotArea type="data" outline="0" fieldPosition="0">
        <references count="2">
          <reference field="4294967294" count="1" selected="0">
            <x v="0"/>
          </reference>
          <reference field="5" count="1" selected="0">
            <x v="35"/>
          </reference>
        </references>
      </pivotArea>
    </chartFormat>
    <chartFormat chart="6" format="91" series="1">
      <pivotArea type="data" outline="0" fieldPosition="0">
        <references count="2">
          <reference field="4294967294" count="1" selected="0">
            <x v="0"/>
          </reference>
          <reference field="5" count="1" selected="0">
            <x v="50"/>
          </reference>
        </references>
      </pivotArea>
    </chartFormat>
    <chartFormat chart="6" format="92" series="1">
      <pivotArea type="data" outline="0" fieldPosition="0">
        <references count="2">
          <reference field="4294967294" count="1" selected="0">
            <x v="0"/>
          </reference>
          <reference field="5" count="1" selected="0">
            <x v="30"/>
          </reference>
        </references>
      </pivotArea>
    </chartFormat>
    <chartFormat chart="6" format="93" series="1">
      <pivotArea type="data" outline="0" fieldPosition="0">
        <references count="2">
          <reference field="4294967294" count="1" selected="0">
            <x v="0"/>
          </reference>
          <reference field="5" count="1" selected="0">
            <x v="53"/>
          </reference>
        </references>
      </pivotArea>
    </chartFormat>
    <chartFormat chart="6" format="94" series="1">
      <pivotArea type="data" outline="0" fieldPosition="0">
        <references count="2">
          <reference field="4294967294" count="1" selected="0">
            <x v="0"/>
          </reference>
          <reference field="5" count="1" selected="0">
            <x v="17"/>
          </reference>
        </references>
      </pivotArea>
    </chartFormat>
    <chartFormat chart="6" format="95" series="1">
      <pivotArea type="data" outline="0" fieldPosition="0">
        <references count="2">
          <reference field="4294967294" count="1" selected="0">
            <x v="0"/>
          </reference>
          <reference field="5" count="1" selected="0">
            <x v="4"/>
          </reference>
        </references>
      </pivotArea>
    </chartFormat>
    <chartFormat chart="6" format="96" series="1">
      <pivotArea type="data" outline="0" fieldPosition="0">
        <references count="2">
          <reference field="4294967294" count="1" selected="0">
            <x v="0"/>
          </reference>
          <reference field="5" count="1" selected="0">
            <x v="24"/>
          </reference>
        </references>
      </pivotArea>
    </chartFormat>
    <chartFormat chart="6" format="97" series="1">
      <pivotArea type="data" outline="0" fieldPosition="0">
        <references count="2">
          <reference field="4294967294" count="1" selected="0">
            <x v="0"/>
          </reference>
          <reference field="5" count="1" selected="0">
            <x v="42"/>
          </reference>
        </references>
      </pivotArea>
    </chartFormat>
    <chartFormat chart="6" format="98" series="1">
      <pivotArea type="data" outline="0" fieldPosition="0">
        <references count="2">
          <reference field="4294967294" count="1" selected="0">
            <x v="0"/>
          </reference>
          <reference field="5" count="1" selected="0">
            <x v="25"/>
          </reference>
        </references>
      </pivotArea>
    </chartFormat>
    <chartFormat chart="6" format="99" series="1">
      <pivotArea type="data" outline="0" fieldPosition="0">
        <references count="2">
          <reference field="4294967294" count="1" selected="0">
            <x v="0"/>
          </reference>
          <reference field="5" count="1" selected="0">
            <x v="31"/>
          </reference>
        </references>
      </pivotArea>
    </chartFormat>
    <chartFormat chart="6" format="100" series="1">
      <pivotArea type="data" outline="0" fieldPosition="0">
        <references count="2">
          <reference field="4294967294" count="1" selected="0">
            <x v="0"/>
          </reference>
          <reference field="5" count="1" selected="0">
            <x v="38"/>
          </reference>
        </references>
      </pivotArea>
    </chartFormat>
    <chartFormat chart="6" format="101" series="1">
      <pivotArea type="data" outline="0" fieldPosition="0">
        <references count="2">
          <reference field="4294967294" count="1" selected="0">
            <x v="0"/>
          </reference>
          <reference field="5" count="1" selected="0">
            <x v="37"/>
          </reference>
        </references>
      </pivotArea>
    </chartFormat>
    <chartFormat chart="6" format="102" series="1">
      <pivotArea type="data" outline="0" fieldPosition="0">
        <references count="2">
          <reference field="4294967294" count="1" selected="0">
            <x v="0"/>
          </reference>
          <reference field="5" count="1" selected="0">
            <x v="22"/>
          </reference>
        </references>
      </pivotArea>
    </chartFormat>
    <chartFormat chart="6" format="103" series="1">
      <pivotArea type="data" outline="0" fieldPosition="0">
        <references count="2">
          <reference field="4294967294" count="1" selected="0">
            <x v="0"/>
          </reference>
          <reference field="5" count="1" selected="0">
            <x v="12"/>
          </reference>
        </references>
      </pivotArea>
    </chartFormat>
    <chartFormat chart="6" format="104" series="1">
      <pivotArea type="data" outline="0" fieldPosition="0">
        <references count="2">
          <reference field="4294967294" count="1" selected="0">
            <x v="0"/>
          </reference>
          <reference field="5" count="1" selected="0">
            <x v="2"/>
          </reference>
        </references>
      </pivotArea>
    </chartFormat>
    <chartFormat chart="6" format="105" series="1">
      <pivotArea type="data" outline="0" fieldPosition="0">
        <references count="2">
          <reference field="4294967294" count="1" selected="0">
            <x v="0"/>
          </reference>
          <reference field="5" count="1" selected="0">
            <x v="36"/>
          </reference>
        </references>
      </pivotArea>
    </chartFormat>
    <chartFormat chart="6" format="106" series="1">
      <pivotArea type="data" outline="0" fieldPosition="0">
        <references count="2">
          <reference field="4294967294" count="1" selected="0">
            <x v="0"/>
          </reference>
          <reference field="5" count="1" selected="0">
            <x v="52"/>
          </reference>
        </references>
      </pivotArea>
    </chartFormat>
    <chartFormat chart="6" format="107" series="1">
      <pivotArea type="data" outline="0" fieldPosition="0">
        <references count="2">
          <reference field="4294967294" count="1" selected="0">
            <x v="0"/>
          </reference>
          <reference field="5" count="1" selected="0">
            <x v="6"/>
          </reference>
        </references>
      </pivotArea>
    </chartFormat>
    <chartFormat chart="6" format="108" series="1">
      <pivotArea type="data" outline="0" fieldPosition="0">
        <references count="2">
          <reference field="4294967294" count="1" selected="0">
            <x v="0"/>
          </reference>
          <reference field="5" count="1" selected="0">
            <x v="32"/>
          </reference>
        </references>
      </pivotArea>
    </chartFormat>
    <chartFormat chart="6" format="109" series="1">
      <pivotArea type="data" outline="0" fieldPosition="0">
        <references count="2">
          <reference field="4294967294" count="1" selected="0">
            <x v="0"/>
          </reference>
          <reference field="5" count="1" selected="0">
            <x v="45"/>
          </reference>
        </references>
      </pivotArea>
    </chartFormat>
    <chartFormat chart="6" format="110" series="1">
      <pivotArea type="data" outline="0" fieldPosition="0">
        <references count="2">
          <reference field="4294967294" count="1" selected="0">
            <x v="0"/>
          </reference>
          <reference field="5" count="1" selected="0">
            <x v="43"/>
          </reference>
        </references>
      </pivotArea>
    </chartFormat>
    <chartFormat chart="6" format="111" series="1">
      <pivotArea type="data" outline="0" fieldPosition="0">
        <references count="2">
          <reference field="4294967294" count="1" selected="0">
            <x v="0"/>
          </reference>
          <reference field="5" count="1" selected="0">
            <x v="23"/>
          </reference>
        </references>
      </pivotArea>
    </chartFormat>
    <chartFormat chart="6" format="112" series="1">
      <pivotArea type="data" outline="0" fieldPosition="0">
        <references count="2">
          <reference field="4294967294" count="1" selected="0">
            <x v="0"/>
          </reference>
          <reference field="5" count="1" selected="0">
            <x v="0"/>
          </reference>
        </references>
      </pivotArea>
    </chartFormat>
    <chartFormat chart="6" format="113" series="1">
      <pivotArea type="data" outline="0" fieldPosition="0">
        <references count="2">
          <reference field="4294967294" count="1" selected="0">
            <x v="0"/>
          </reference>
          <reference field="5" count="1" selected="0">
            <x v="18"/>
          </reference>
        </references>
      </pivotArea>
    </chartFormat>
    <chartFormat chart="6" format="114" series="1">
      <pivotArea type="data" outline="0" fieldPosition="0">
        <references count="2">
          <reference field="4294967294" count="1" selected="0">
            <x v="0"/>
          </reference>
          <reference field="5" count="1" selected="0">
            <x v="3"/>
          </reference>
        </references>
      </pivotArea>
    </chartFormat>
    <chartFormat chart="6" format="115" series="1">
      <pivotArea type="data" outline="0" fieldPosition="0">
        <references count="2">
          <reference field="4294967294" count="1" selected="0">
            <x v="0"/>
          </reference>
          <reference field="5" count="1" selected="0">
            <x v="11"/>
          </reference>
        </references>
      </pivotArea>
    </chartFormat>
    <chartFormat chart="6" format="116" series="1">
      <pivotArea type="data" outline="0" fieldPosition="0">
        <references count="2">
          <reference field="4294967294" count="1" selected="0">
            <x v="0"/>
          </reference>
          <reference field="5" count="1" selected="0">
            <x v="4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dadosabertos.bcb.gov.br/dataset/20542-saldo-da-carteira-de-credito-com-recursos-livres---total/resource/6e2b0c97-afab-4790-b8aa-b9542923cf88" TargetMode="External"/><Relationship Id="rId3" Type="http://schemas.openxmlformats.org/officeDocument/2006/relationships/hyperlink" Target="https://github.com/edugca/xlFOCUS" TargetMode="External"/><Relationship Id="rId7" Type="http://schemas.openxmlformats.org/officeDocument/2006/relationships/hyperlink" Target="https://olinda.bcb.gov.br/olinda/servico/SPI/versao/v1/aplicacao" TargetMode="External"/><Relationship Id="rId12" Type="http://schemas.openxmlformats.org/officeDocument/2006/relationships/drawing" Target="../drawings/drawing1.xml"/><Relationship Id="rId2" Type="http://schemas.openxmlformats.org/officeDocument/2006/relationships/hyperlink" Target="https://github.com/VBA-tools/VBA-JSON" TargetMode="External"/><Relationship Id="rId1" Type="http://schemas.openxmlformats.org/officeDocument/2006/relationships/hyperlink" Target="https://olinda.bcb.gov.br/olinda/servico/Expectativas/versao/v1/aplicacao" TargetMode="External"/><Relationship Id="rId6" Type="http://schemas.openxmlformats.org/officeDocument/2006/relationships/hyperlink" Target="https://olinda.bcb.gov.br/olinda/servico/taxaJuros/versao/v2/aplicacao" TargetMode="External"/><Relationship Id="rId11" Type="http://schemas.openxmlformats.org/officeDocument/2006/relationships/printerSettings" Target="../printerSettings/printerSettings1.bin"/><Relationship Id="rId5" Type="http://schemas.openxmlformats.org/officeDocument/2006/relationships/hyperlink" Target="https://support.microsoft.com/en-us/office/enable-or-disable-macros-in-office-files-12b036fd-d140-4e74-b45e-16fed1a7e5c6" TargetMode="External"/><Relationship Id="rId10" Type="http://schemas.openxmlformats.org/officeDocument/2006/relationships/hyperlink" Target="https://dadosabertos.bcb.gov.br/dataset/informacoes-do-mercado-imobiliario" TargetMode="External"/><Relationship Id="rId4" Type="http://schemas.openxmlformats.org/officeDocument/2006/relationships/hyperlink" Target="https://support.microsoft.com/en-us/topic/show-the-developer-tab-e1192344-5e56-4d45-931b-e5fd9bea2d45" TargetMode="External"/><Relationship Id="rId9" Type="http://schemas.openxmlformats.org/officeDocument/2006/relationships/hyperlink" Target="http://www.ipeadata.gov.br/ap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olinda.bcb.gov.br/olinda/servico/Expectativas/versao/v1/odata/ExpectativaMercadoMensais?$top=10000&amp;$filter=Indicador%20eq%20'IPCA'%20and%20DataReferencia%20eq%20'04%2F2000'&amp;$format=js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3.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4.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6C8AC-BFA0-4617-AA84-0A03ACEC0EBE}">
  <sheetPr codeName="Planilha9">
    <tabColor theme="9" tint="0.39997558519241921"/>
  </sheetPr>
  <dimension ref="B2:T115"/>
  <sheetViews>
    <sheetView showGridLines="0" tabSelected="1" topLeftCell="A94" workbookViewId="0">
      <selection activeCell="B116" sqref="B116"/>
    </sheetView>
  </sheetViews>
  <sheetFormatPr defaultRowHeight="12.75" x14ac:dyDescent="0.2"/>
  <cols>
    <col min="1" max="1" width="2.7109375" style="1" customWidth="1"/>
    <col min="2" max="2" width="9.140625" style="1" customWidth="1"/>
    <col min="3" max="3" width="19.28515625" style="1" customWidth="1"/>
    <col min="4" max="10" width="9.140625" style="1"/>
    <col min="11" max="17" width="13.7109375" style="1" customWidth="1"/>
    <col min="18" max="16384" width="9.140625" style="1"/>
  </cols>
  <sheetData>
    <row r="2" spans="2:20" ht="18" x14ac:dyDescent="0.25">
      <c r="B2" s="56" t="s">
        <v>612</v>
      </c>
      <c r="C2" s="57"/>
      <c r="D2" s="57"/>
      <c r="E2" s="57"/>
      <c r="F2" s="57"/>
      <c r="G2" s="57"/>
      <c r="H2" s="57"/>
      <c r="I2" s="57"/>
      <c r="J2" s="57"/>
      <c r="K2" s="57"/>
      <c r="L2" s="57"/>
      <c r="M2" s="57"/>
      <c r="N2" s="57"/>
      <c r="O2" s="57"/>
      <c r="P2" s="57"/>
      <c r="Q2" s="57"/>
      <c r="R2" s="57"/>
      <c r="S2" s="57"/>
      <c r="T2" s="57"/>
    </row>
    <row r="4" spans="2:20" ht="14.25" x14ac:dyDescent="0.2">
      <c r="B4" s="2" t="s">
        <v>607</v>
      </c>
    </row>
    <row r="5" spans="2:20" ht="15" x14ac:dyDescent="0.25">
      <c r="B5" s="2" t="s">
        <v>115</v>
      </c>
    </row>
    <row r="6" spans="2:20" ht="14.25" x14ac:dyDescent="0.2">
      <c r="B6" s="2" t="s">
        <v>116</v>
      </c>
    </row>
    <row r="8" spans="2:20" x14ac:dyDescent="0.2">
      <c r="B8" s="3" t="s">
        <v>114</v>
      </c>
    </row>
    <row r="9" spans="2:20" x14ac:dyDescent="0.2">
      <c r="B9" s="3"/>
    </row>
    <row r="10" spans="2:20" ht="15" x14ac:dyDescent="0.25">
      <c r="B10" s="52" t="s">
        <v>120</v>
      </c>
    </row>
    <row r="11" spans="2:20" ht="15" x14ac:dyDescent="0.25">
      <c r="B11" s="20" t="s">
        <v>119</v>
      </c>
    </row>
    <row r="12" spans="2:20" x14ac:dyDescent="0.2">
      <c r="B12" s="3"/>
    </row>
    <row r="13" spans="2:20" ht="15" x14ac:dyDescent="0.25">
      <c r="B13" s="52" t="s">
        <v>143</v>
      </c>
    </row>
    <row r="14" spans="2:20" ht="15" x14ac:dyDescent="0.25">
      <c r="B14" s="52" t="s">
        <v>144</v>
      </c>
    </row>
    <row r="15" spans="2:20" ht="15" x14ac:dyDescent="0.25">
      <c r="B15" s="52" t="s">
        <v>598</v>
      </c>
    </row>
    <row r="16" spans="2:20" ht="15" x14ac:dyDescent="0.25">
      <c r="B16" s="52" t="s">
        <v>599</v>
      </c>
    </row>
    <row r="17" spans="2:4" x14ac:dyDescent="0.2">
      <c r="B17" s="3"/>
    </row>
    <row r="18" spans="2:4" ht="15" x14ac:dyDescent="0.25">
      <c r="B18" s="52" t="s">
        <v>145</v>
      </c>
    </row>
    <row r="19" spans="2:4" ht="15" x14ac:dyDescent="0.25">
      <c r="B19" s="52" t="s">
        <v>596</v>
      </c>
    </row>
    <row r="20" spans="2:4" ht="15" x14ac:dyDescent="0.25">
      <c r="B20" s="52" t="s">
        <v>597</v>
      </c>
    </row>
    <row r="21" spans="2:4" ht="15" x14ac:dyDescent="0.25">
      <c r="B21" s="20" t="s">
        <v>118</v>
      </c>
    </row>
    <row r="22" spans="2:4" ht="15" x14ac:dyDescent="0.25">
      <c r="B22" s="20"/>
    </row>
    <row r="23" spans="2:4" ht="14.25" x14ac:dyDescent="0.2">
      <c r="C23" s="2" t="s">
        <v>136</v>
      </c>
    </row>
    <row r="24" spans="2:4" ht="10.5" customHeight="1" x14ac:dyDescent="0.2">
      <c r="C24" s="2"/>
    </row>
    <row r="25" spans="2:4" ht="15" customHeight="1" x14ac:dyDescent="0.25">
      <c r="C25" s="20" t="s">
        <v>135</v>
      </c>
    </row>
    <row r="26" spans="2:4" ht="15" customHeight="1" x14ac:dyDescent="0.25">
      <c r="C26" s="20" t="s">
        <v>134</v>
      </c>
    </row>
    <row r="27" spans="2:4" ht="15" x14ac:dyDescent="0.25">
      <c r="C27" s="2"/>
      <c r="D27" s="20"/>
    </row>
    <row r="28" spans="2:4" ht="14.25" x14ac:dyDescent="0.2">
      <c r="C28" s="2" t="s">
        <v>138</v>
      </c>
    </row>
    <row r="29" spans="2:4" ht="112.5" customHeight="1" x14ac:dyDescent="0.25">
      <c r="C29" s="20"/>
    </row>
    <row r="30" spans="2:4" ht="15" x14ac:dyDescent="0.25">
      <c r="B30" s="20"/>
    </row>
    <row r="31" spans="2:4" ht="14.25" x14ac:dyDescent="0.2">
      <c r="C31" s="2" t="s">
        <v>593</v>
      </c>
    </row>
    <row r="32" spans="2:4" ht="235.5" customHeight="1" x14ac:dyDescent="0.25">
      <c r="C32" s="20"/>
    </row>
    <row r="33" spans="2:4" ht="15" x14ac:dyDescent="0.25">
      <c r="B33" s="20"/>
    </row>
    <row r="34" spans="2:4" ht="15" x14ac:dyDescent="0.25">
      <c r="B34" s="52" t="s">
        <v>580</v>
      </c>
    </row>
    <row r="35" spans="2:4" ht="15" x14ac:dyDescent="0.25">
      <c r="B35" s="52"/>
      <c r="C35" s="58" t="s">
        <v>117</v>
      </c>
    </row>
    <row r="36" spans="2:4" ht="15" x14ac:dyDescent="0.25">
      <c r="B36" s="52" t="s">
        <v>600</v>
      </c>
    </row>
    <row r="37" spans="2:4" ht="15" x14ac:dyDescent="0.25">
      <c r="C37" s="3" t="s">
        <v>565</v>
      </c>
      <c r="D37" s="20" t="s">
        <v>0</v>
      </c>
    </row>
    <row r="38" spans="2:4" ht="15" x14ac:dyDescent="0.25">
      <c r="C38" s="3" t="s">
        <v>566</v>
      </c>
      <c r="D38" s="20" t="s">
        <v>563</v>
      </c>
    </row>
    <row r="39" spans="2:4" ht="15" x14ac:dyDescent="0.25">
      <c r="C39" s="3" t="s">
        <v>568</v>
      </c>
      <c r="D39" s="20" t="s">
        <v>570</v>
      </c>
    </row>
    <row r="40" spans="2:4" ht="15" x14ac:dyDescent="0.25">
      <c r="C40" s="3" t="s">
        <v>567</v>
      </c>
      <c r="D40" s="20" t="s">
        <v>569</v>
      </c>
    </row>
    <row r="41" spans="2:4" ht="15" x14ac:dyDescent="0.25">
      <c r="C41" s="3" t="s">
        <v>603</v>
      </c>
      <c r="D41" s="20" t="s">
        <v>604</v>
      </c>
    </row>
    <row r="42" spans="2:4" ht="15" x14ac:dyDescent="0.25">
      <c r="C42" s="3" t="s">
        <v>602</v>
      </c>
      <c r="D42" s="20" t="s">
        <v>601</v>
      </c>
    </row>
    <row r="44" spans="2:4" ht="15" x14ac:dyDescent="0.25">
      <c r="B44" s="52" t="s">
        <v>131</v>
      </c>
    </row>
    <row r="46" spans="2:4" ht="15" x14ac:dyDescent="0.25">
      <c r="B46" s="52" t="s">
        <v>564</v>
      </c>
    </row>
    <row r="48" spans="2:4" ht="15" x14ac:dyDescent="0.25">
      <c r="B48" s="52" t="s">
        <v>579</v>
      </c>
    </row>
    <row r="50" spans="2:13" ht="15" x14ac:dyDescent="0.25">
      <c r="B50" s="52" t="s">
        <v>571</v>
      </c>
    </row>
    <row r="51" spans="2:13" ht="14.25" x14ac:dyDescent="0.2">
      <c r="C51" s="83" t="s">
        <v>594</v>
      </c>
      <c r="D51" s="84"/>
      <c r="E51" s="84"/>
      <c r="F51" s="84"/>
      <c r="G51" s="84"/>
      <c r="H51" s="84"/>
      <c r="I51" s="84"/>
      <c r="J51" s="84"/>
      <c r="K51" s="84"/>
      <c r="L51" s="84"/>
    </row>
    <row r="52" spans="2:13" ht="14.25" x14ac:dyDescent="0.2">
      <c r="C52" s="83" t="s">
        <v>595</v>
      </c>
      <c r="D52" s="84"/>
      <c r="E52" s="84"/>
      <c r="F52" s="84"/>
      <c r="G52" s="84"/>
      <c r="H52" s="84"/>
      <c r="I52" s="84"/>
      <c r="J52" s="84"/>
      <c r="K52" s="84"/>
      <c r="L52" s="84"/>
    </row>
    <row r="54" spans="2:13" ht="15" x14ac:dyDescent="0.25">
      <c r="B54" s="52" t="s">
        <v>606</v>
      </c>
    </row>
    <row r="56" spans="2:13" x14ac:dyDescent="0.2">
      <c r="C56" s="3" t="s">
        <v>1</v>
      </c>
      <c r="D56" s="3"/>
      <c r="E56" s="3"/>
      <c r="F56" s="3"/>
      <c r="G56" s="24" t="s">
        <v>2</v>
      </c>
      <c r="H56" s="24"/>
      <c r="I56" s="15"/>
      <c r="J56" s="15"/>
      <c r="K56" s="15"/>
      <c r="L56" s="15"/>
      <c r="M56" s="15"/>
    </row>
    <row r="57" spans="2:13" x14ac:dyDescent="0.2">
      <c r="B57" s="3">
        <v>1</v>
      </c>
      <c r="C57" s="4" t="s">
        <v>121</v>
      </c>
      <c r="D57" s="5"/>
      <c r="E57" s="5"/>
      <c r="F57" s="5"/>
      <c r="G57" s="23" t="s">
        <v>141</v>
      </c>
      <c r="H57" s="23"/>
    </row>
    <row r="58" spans="2:13" x14ac:dyDescent="0.2">
      <c r="B58" s="3">
        <v>2</v>
      </c>
      <c r="C58" s="6" t="s">
        <v>140</v>
      </c>
      <c r="D58" s="23"/>
      <c r="E58" s="23"/>
      <c r="F58" s="23"/>
      <c r="G58" s="23" t="s">
        <v>142</v>
      </c>
      <c r="H58" s="23"/>
    </row>
    <row r="59" spans="2:13" x14ac:dyDescent="0.2">
      <c r="B59" s="3">
        <v>3</v>
      </c>
      <c r="C59" s="6" t="s">
        <v>129</v>
      </c>
      <c r="D59" s="23"/>
      <c r="E59" s="23"/>
      <c r="F59" s="23"/>
      <c r="G59" s="23" t="s">
        <v>130</v>
      </c>
      <c r="H59" s="23"/>
    </row>
    <row r="60" spans="2:13" x14ac:dyDescent="0.2">
      <c r="B60" s="3">
        <v>4</v>
      </c>
      <c r="C60" s="6" t="s">
        <v>122</v>
      </c>
      <c r="D60" s="23"/>
      <c r="E60" s="23"/>
      <c r="F60" s="23"/>
      <c r="G60" s="23" t="s">
        <v>3</v>
      </c>
      <c r="H60" s="23"/>
    </row>
    <row r="61" spans="2:13" x14ac:dyDescent="0.2">
      <c r="B61" s="3">
        <v>5</v>
      </c>
      <c r="C61" s="6" t="s">
        <v>123</v>
      </c>
      <c r="G61" s="1" t="s">
        <v>4</v>
      </c>
    </row>
    <row r="62" spans="2:13" x14ac:dyDescent="0.2">
      <c r="B62" s="3">
        <v>6</v>
      </c>
      <c r="C62" s="6" t="s">
        <v>124</v>
      </c>
      <c r="G62" s="1" t="s">
        <v>5</v>
      </c>
    </row>
    <row r="63" spans="2:13" x14ac:dyDescent="0.2">
      <c r="B63" s="3">
        <v>7</v>
      </c>
      <c r="C63" s="6" t="s">
        <v>125</v>
      </c>
      <c r="G63" s="1" t="s">
        <v>6</v>
      </c>
    </row>
    <row r="64" spans="2:13" x14ac:dyDescent="0.2">
      <c r="B64" s="3">
        <v>8</v>
      </c>
      <c r="C64" s="6" t="s">
        <v>126</v>
      </c>
      <c r="G64" s="1" t="s">
        <v>7</v>
      </c>
    </row>
    <row r="65" spans="2:17" x14ac:dyDescent="0.2">
      <c r="B65" s="3">
        <v>9</v>
      </c>
      <c r="C65" s="6" t="s">
        <v>127</v>
      </c>
      <c r="G65" s="1" t="s">
        <v>8</v>
      </c>
    </row>
    <row r="66" spans="2:17" x14ac:dyDescent="0.2">
      <c r="B66" s="3">
        <v>10</v>
      </c>
      <c r="C66" s="51" t="s">
        <v>128</v>
      </c>
      <c r="D66" s="15"/>
      <c r="E66" s="15"/>
      <c r="F66" s="15"/>
      <c r="G66" s="15" t="s">
        <v>9</v>
      </c>
      <c r="H66" s="15"/>
      <c r="I66" s="15"/>
      <c r="J66" s="15"/>
      <c r="K66" s="15"/>
      <c r="L66" s="15"/>
      <c r="M66" s="15"/>
    </row>
    <row r="68" spans="2:17" x14ac:dyDescent="0.2">
      <c r="C68" s="3" t="s">
        <v>82</v>
      </c>
      <c r="D68" s="3"/>
      <c r="E68" s="3"/>
      <c r="F68" s="3"/>
      <c r="G68" s="24" t="s">
        <v>2</v>
      </c>
      <c r="H68" s="24"/>
      <c r="I68" s="15"/>
      <c r="J68" s="15"/>
      <c r="K68" s="49" t="s">
        <v>97</v>
      </c>
      <c r="L68" s="49" t="s">
        <v>99</v>
      </c>
      <c r="M68" s="49" t="s">
        <v>100</v>
      </c>
      <c r="N68" s="49" t="s">
        <v>103</v>
      </c>
      <c r="O68" s="49" t="s">
        <v>106</v>
      </c>
      <c r="P68" s="49" t="s">
        <v>107</v>
      </c>
      <c r="Q68" s="49" t="s">
        <v>108</v>
      </c>
    </row>
    <row r="69" spans="2:17" x14ac:dyDescent="0.2">
      <c r="B69" s="3">
        <v>1</v>
      </c>
      <c r="C69" s="4" t="s">
        <v>10</v>
      </c>
      <c r="D69" s="5"/>
      <c r="E69" s="5"/>
      <c r="F69" s="5"/>
      <c r="G69" s="23" t="s">
        <v>11</v>
      </c>
      <c r="H69" s="23"/>
      <c r="K69" s="53" t="s">
        <v>98</v>
      </c>
      <c r="L69" s="53" t="s">
        <v>98</v>
      </c>
      <c r="M69" s="53" t="s">
        <v>98</v>
      </c>
      <c r="N69" s="53" t="s">
        <v>98</v>
      </c>
      <c r="O69" s="53" t="s">
        <v>98</v>
      </c>
      <c r="P69" s="53" t="s">
        <v>98</v>
      </c>
      <c r="Q69" s="53" t="s">
        <v>98</v>
      </c>
    </row>
    <row r="70" spans="2:17" x14ac:dyDescent="0.2">
      <c r="B70" s="3">
        <v>2</v>
      </c>
      <c r="C70" s="6" t="s">
        <v>101</v>
      </c>
      <c r="D70" s="23"/>
      <c r="E70" s="23"/>
      <c r="F70" s="23"/>
      <c r="G70" s="23" t="s">
        <v>102</v>
      </c>
      <c r="H70" s="23"/>
      <c r="K70" s="55"/>
      <c r="L70" s="55"/>
      <c r="M70" s="55" t="s">
        <v>98</v>
      </c>
      <c r="N70" s="55"/>
      <c r="O70" s="55"/>
      <c r="P70" s="55"/>
      <c r="Q70" s="55" t="s">
        <v>98</v>
      </c>
    </row>
    <row r="71" spans="2:17" x14ac:dyDescent="0.2">
      <c r="B71" s="3">
        <v>3</v>
      </c>
      <c r="C71" s="6" t="s">
        <v>12</v>
      </c>
      <c r="G71" s="1" t="s">
        <v>13</v>
      </c>
      <c r="K71" s="53" t="s">
        <v>98</v>
      </c>
      <c r="L71" s="53" t="s">
        <v>98</v>
      </c>
      <c r="M71" s="53" t="s">
        <v>98</v>
      </c>
      <c r="N71" s="53" t="s">
        <v>98</v>
      </c>
      <c r="O71" s="53" t="s">
        <v>98</v>
      </c>
      <c r="P71" s="53" t="s">
        <v>98</v>
      </c>
      <c r="Q71" s="53" t="s">
        <v>98</v>
      </c>
    </row>
    <row r="72" spans="2:17" x14ac:dyDescent="0.2">
      <c r="B72" s="3">
        <v>4</v>
      </c>
      <c r="C72" s="6" t="s">
        <v>93</v>
      </c>
      <c r="G72" s="1" t="s">
        <v>94</v>
      </c>
      <c r="K72" s="53" t="s">
        <v>98</v>
      </c>
      <c r="L72" s="53" t="s">
        <v>98</v>
      </c>
      <c r="M72" s="53" t="s">
        <v>98</v>
      </c>
      <c r="N72" s="53"/>
      <c r="O72" s="53" t="s">
        <v>98</v>
      </c>
      <c r="P72" s="53" t="s">
        <v>98</v>
      </c>
      <c r="Q72" s="53" t="s">
        <v>98</v>
      </c>
    </row>
    <row r="73" spans="2:17" x14ac:dyDescent="0.2">
      <c r="B73" s="3">
        <v>5</v>
      </c>
      <c r="C73" s="6" t="s">
        <v>18</v>
      </c>
      <c r="G73" s="1" t="s">
        <v>19</v>
      </c>
      <c r="K73" s="53" t="s">
        <v>98</v>
      </c>
      <c r="L73" s="53" t="s">
        <v>98</v>
      </c>
      <c r="M73" s="53" t="s">
        <v>98</v>
      </c>
      <c r="N73" s="53" t="s">
        <v>98</v>
      </c>
      <c r="O73" s="53" t="s">
        <v>98</v>
      </c>
      <c r="P73" s="53" t="s">
        <v>98</v>
      </c>
      <c r="Q73" s="53"/>
    </row>
    <row r="74" spans="2:17" x14ac:dyDescent="0.2">
      <c r="B74" s="3">
        <v>6</v>
      </c>
      <c r="C74" s="6" t="s">
        <v>16</v>
      </c>
      <c r="G74" s="1" t="s">
        <v>17</v>
      </c>
      <c r="K74" s="53" t="s">
        <v>98</v>
      </c>
      <c r="L74" s="53" t="s">
        <v>98</v>
      </c>
      <c r="M74" s="53" t="s">
        <v>98</v>
      </c>
      <c r="N74" s="53" t="s">
        <v>98</v>
      </c>
      <c r="O74" s="53" t="s">
        <v>98</v>
      </c>
      <c r="P74" s="53" t="s">
        <v>98</v>
      </c>
      <c r="Q74" s="53"/>
    </row>
    <row r="75" spans="2:17" x14ac:dyDescent="0.2">
      <c r="B75" s="3">
        <v>7</v>
      </c>
      <c r="C75" s="6" t="s">
        <v>21</v>
      </c>
      <c r="G75" s="1" t="s">
        <v>22</v>
      </c>
      <c r="K75" s="53" t="s">
        <v>98</v>
      </c>
      <c r="L75" s="53" t="s">
        <v>98</v>
      </c>
      <c r="M75" s="53" t="s">
        <v>98</v>
      </c>
      <c r="N75" s="53" t="s">
        <v>98</v>
      </c>
      <c r="O75" s="53" t="s">
        <v>98</v>
      </c>
      <c r="P75" s="53" t="s">
        <v>98</v>
      </c>
      <c r="Q75" s="53"/>
    </row>
    <row r="76" spans="2:17" x14ac:dyDescent="0.2">
      <c r="B76" s="3">
        <v>8</v>
      </c>
      <c r="C76" s="6" t="s">
        <v>14</v>
      </c>
      <c r="G76" s="1" t="s">
        <v>15</v>
      </c>
      <c r="K76" s="53" t="s">
        <v>98</v>
      </c>
      <c r="L76" s="53" t="s">
        <v>98</v>
      </c>
      <c r="M76" s="53" t="s">
        <v>98</v>
      </c>
      <c r="N76" s="53" t="s">
        <v>98</v>
      </c>
      <c r="O76" s="53" t="s">
        <v>98</v>
      </c>
      <c r="P76" s="53" t="s">
        <v>98</v>
      </c>
      <c r="Q76" s="53"/>
    </row>
    <row r="77" spans="2:17" x14ac:dyDescent="0.2">
      <c r="B77" s="3">
        <v>9</v>
      </c>
      <c r="C77" s="6" t="s">
        <v>20</v>
      </c>
      <c r="G77" s="1" t="s">
        <v>92</v>
      </c>
      <c r="K77" s="53" t="s">
        <v>98</v>
      </c>
      <c r="L77" s="53" t="s">
        <v>98</v>
      </c>
      <c r="M77" s="53" t="s">
        <v>98</v>
      </c>
      <c r="N77" s="53" t="s">
        <v>98</v>
      </c>
      <c r="O77" s="53" t="s">
        <v>98</v>
      </c>
      <c r="P77" s="53" t="s">
        <v>98</v>
      </c>
      <c r="Q77" s="53"/>
    </row>
    <row r="78" spans="2:17" x14ac:dyDescent="0.2">
      <c r="B78" s="3">
        <v>10</v>
      </c>
      <c r="C78" s="6" t="s">
        <v>95</v>
      </c>
      <c r="G78" s="1" t="s">
        <v>96</v>
      </c>
      <c r="K78" s="53" t="s">
        <v>98</v>
      </c>
      <c r="L78" s="53" t="s">
        <v>98</v>
      </c>
      <c r="M78" s="53" t="s">
        <v>98</v>
      </c>
      <c r="N78" s="53" t="s">
        <v>98</v>
      </c>
      <c r="O78" s="53" t="s">
        <v>98</v>
      </c>
      <c r="P78" s="53" t="s">
        <v>98</v>
      </c>
      <c r="Q78" s="53"/>
    </row>
    <row r="79" spans="2:17" x14ac:dyDescent="0.2">
      <c r="B79" s="3">
        <v>11</v>
      </c>
      <c r="C79" s="6" t="s">
        <v>83</v>
      </c>
      <c r="G79" s="1" t="s">
        <v>85</v>
      </c>
      <c r="K79" s="53" t="s">
        <v>98</v>
      </c>
      <c r="L79" s="53" t="s">
        <v>98</v>
      </c>
      <c r="M79" s="53" t="s">
        <v>98</v>
      </c>
      <c r="N79" s="53" t="s">
        <v>98</v>
      </c>
      <c r="O79" s="53"/>
      <c r="P79" s="53"/>
      <c r="Q79" s="53"/>
    </row>
    <row r="80" spans="2:17" x14ac:dyDescent="0.2">
      <c r="B80" s="3">
        <v>12</v>
      </c>
      <c r="C80" s="6" t="s">
        <v>84</v>
      </c>
      <c r="G80" s="1" t="s">
        <v>86</v>
      </c>
      <c r="K80" s="53"/>
      <c r="L80" s="53"/>
      <c r="M80" s="53"/>
      <c r="N80" s="53"/>
      <c r="O80" s="53" t="s">
        <v>98</v>
      </c>
      <c r="P80" s="53" t="s">
        <v>98</v>
      </c>
      <c r="Q80" s="53"/>
    </row>
    <row r="81" spans="2:17" x14ac:dyDescent="0.2">
      <c r="B81" s="3">
        <v>13</v>
      </c>
      <c r="C81" s="6" t="s">
        <v>104</v>
      </c>
      <c r="G81" s="1" t="s">
        <v>105</v>
      </c>
      <c r="K81" s="53"/>
      <c r="L81" s="53"/>
      <c r="M81" s="53"/>
      <c r="N81" s="53" t="s">
        <v>98</v>
      </c>
      <c r="O81" s="53"/>
      <c r="P81" s="53"/>
      <c r="Q81" s="53"/>
    </row>
    <row r="82" spans="2:17" x14ac:dyDescent="0.2">
      <c r="B82" s="3">
        <v>14</v>
      </c>
      <c r="C82" s="6" t="s">
        <v>75</v>
      </c>
      <c r="G82" s="1" t="s">
        <v>109</v>
      </c>
      <c r="K82" s="53"/>
      <c r="L82" s="53"/>
      <c r="M82" s="53"/>
      <c r="N82" s="53" t="s">
        <v>98</v>
      </c>
      <c r="O82" s="53"/>
      <c r="P82" s="53"/>
      <c r="Q82" s="53" t="s">
        <v>98</v>
      </c>
    </row>
    <row r="83" spans="2:17" x14ac:dyDescent="0.2">
      <c r="B83" s="3">
        <v>15</v>
      </c>
      <c r="C83" s="6" t="s">
        <v>110</v>
      </c>
      <c r="G83" s="1" t="s">
        <v>111</v>
      </c>
      <c r="K83" s="53"/>
      <c r="L83" s="53"/>
      <c r="M83" s="53"/>
      <c r="N83" s="53" t="s">
        <v>98</v>
      </c>
      <c r="O83" s="53"/>
      <c r="P83" s="53"/>
      <c r="Q83" s="53" t="s">
        <v>98</v>
      </c>
    </row>
    <row r="84" spans="2:17" x14ac:dyDescent="0.2">
      <c r="B84" s="3">
        <v>16</v>
      </c>
      <c r="C84" s="51" t="s">
        <v>76</v>
      </c>
      <c r="D84" s="15"/>
      <c r="E84" s="15"/>
      <c r="F84" s="15"/>
      <c r="G84" s="15" t="s">
        <v>112</v>
      </c>
      <c r="H84" s="15"/>
      <c r="I84" s="15"/>
      <c r="J84" s="15"/>
      <c r="K84" s="54"/>
      <c r="L84" s="54"/>
      <c r="M84" s="54"/>
      <c r="N84" s="54"/>
      <c r="O84" s="54"/>
      <c r="P84" s="54"/>
      <c r="Q84" s="54" t="s">
        <v>98</v>
      </c>
    </row>
    <row r="85" spans="2:17" x14ac:dyDescent="0.2">
      <c r="K85" s="50"/>
      <c r="L85" s="50"/>
      <c r="M85" s="50"/>
      <c r="N85" s="50"/>
      <c r="O85" s="50"/>
      <c r="P85" s="50"/>
      <c r="Q85" s="50"/>
    </row>
    <row r="87" spans="2:17" ht="15" x14ac:dyDescent="0.25">
      <c r="B87" s="52" t="s">
        <v>137</v>
      </c>
    </row>
    <row r="89" spans="2:17" x14ac:dyDescent="0.2">
      <c r="B89" s="1" t="s">
        <v>577</v>
      </c>
    </row>
    <row r="90" spans="2:17" x14ac:dyDescent="0.2">
      <c r="B90" s="1" t="s">
        <v>558</v>
      </c>
    </row>
    <row r="92" spans="2:17" x14ac:dyDescent="0.2">
      <c r="B92" s="1" t="s">
        <v>573</v>
      </c>
    </row>
    <row r="93" spans="2:17" x14ac:dyDescent="0.2">
      <c r="B93" s="1" t="s">
        <v>557</v>
      </c>
    </row>
    <row r="94" spans="2:17" x14ac:dyDescent="0.2">
      <c r="B94" s="1" t="s">
        <v>608</v>
      </c>
    </row>
    <row r="96" spans="2:17" x14ac:dyDescent="0.2">
      <c r="B96" s="1" t="s">
        <v>562</v>
      </c>
    </row>
    <row r="97" spans="2:2" x14ac:dyDescent="0.2">
      <c r="B97" s="1" t="s">
        <v>572</v>
      </c>
    </row>
    <row r="98" spans="2:2" x14ac:dyDescent="0.2">
      <c r="B98" s="1" t="s">
        <v>559</v>
      </c>
    </row>
    <row r="99" spans="2:2" x14ac:dyDescent="0.2">
      <c r="B99" s="1" t="s">
        <v>561</v>
      </c>
    </row>
    <row r="100" spans="2:2" x14ac:dyDescent="0.2">
      <c r="B100" s="1" t="s">
        <v>560</v>
      </c>
    </row>
    <row r="102" spans="2:2" x14ac:dyDescent="0.2">
      <c r="B102" s="1" t="s">
        <v>611</v>
      </c>
    </row>
    <row r="103" spans="2:2" x14ac:dyDescent="0.2">
      <c r="B103" s="1" t="s">
        <v>578</v>
      </c>
    </row>
    <row r="104" spans="2:2" x14ac:dyDescent="0.2">
      <c r="B104" s="1" t="s">
        <v>592</v>
      </c>
    </row>
    <row r="105" spans="2:2" x14ac:dyDescent="0.2">
      <c r="B105" s="1" t="s">
        <v>609</v>
      </c>
    </row>
    <row r="106" spans="2:2" x14ac:dyDescent="0.2">
      <c r="B106" s="1" t="s">
        <v>610</v>
      </c>
    </row>
    <row r="107" spans="2:2" x14ac:dyDescent="0.2">
      <c r="B107" s="1" t="s">
        <v>589</v>
      </c>
    </row>
    <row r="108" spans="2:2" x14ac:dyDescent="0.2">
      <c r="B108" s="1" t="s">
        <v>590</v>
      </c>
    </row>
    <row r="109" spans="2:2" x14ac:dyDescent="0.2">
      <c r="B109" s="1" t="s">
        <v>605</v>
      </c>
    </row>
    <row r="110" spans="2:2" x14ac:dyDescent="0.2">
      <c r="B110" s="1" t="s">
        <v>591</v>
      </c>
    </row>
    <row r="111" spans="2:2" x14ac:dyDescent="0.2">
      <c r="B111" s="1" t="s">
        <v>588</v>
      </c>
    </row>
    <row r="112" spans="2:2" x14ac:dyDescent="0.2">
      <c r="B112" s="1" t="s">
        <v>587</v>
      </c>
    </row>
    <row r="114" spans="2:2" x14ac:dyDescent="0.2">
      <c r="B114" s="1" t="s">
        <v>613</v>
      </c>
    </row>
    <row r="115" spans="2:2" x14ac:dyDescent="0.2">
      <c r="B115" s="1" t="s">
        <v>614</v>
      </c>
    </row>
  </sheetData>
  <hyperlinks>
    <hyperlink ref="D37" r:id="rId1" location="!/recursos" xr:uid="{DA1103D1-9D1F-4D87-9202-F9DA2AE670CE}"/>
    <hyperlink ref="B21" r:id="rId2" xr:uid="{7839D278-2CAE-4EBD-922D-881BD8BD2FFA}"/>
    <hyperlink ref="B11" r:id="rId3" xr:uid="{0CA12136-B78A-4FD3-8A9B-DB9EB625EAE0}"/>
    <hyperlink ref="C26" r:id="rId4" xr:uid="{051EBEE5-2901-4F57-93F9-55C6FC17D3D2}"/>
    <hyperlink ref="C25" r:id="rId5" xr:uid="{4AFAA2F9-CA0D-43BC-B68F-998AB7EFBD94}"/>
    <hyperlink ref="D38" r:id="rId6" location="!/recursos" xr:uid="{CA7FD5A7-A1CF-49F6-A615-35B53EF7039A}"/>
    <hyperlink ref="D40" r:id="rId7" location="!/recursos" xr:uid="{B46940A2-7DF4-4798-A1F6-48D9510017B1}"/>
    <hyperlink ref="D39" r:id="rId8" xr:uid="{05502716-A4D6-49A2-8302-5F391BB572DF}"/>
    <hyperlink ref="D42" r:id="rId9" xr:uid="{7281D4BD-338E-4531-80D0-D830759B7F36}"/>
    <hyperlink ref="D41" r:id="rId10" xr:uid="{2C538A5F-EF62-4AE1-BF92-365D832F9A26}"/>
  </hyperlinks>
  <pageMargins left="0.511811024" right="0.511811024" top="0.78740157499999996" bottom="0.78740157499999996" header="0.31496062000000002" footer="0.31496062000000002"/>
  <pageSetup paperSize="9" orientation="portrait" r:id="rId11"/>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526E9-3825-4911-B348-967FB4300425}">
  <sheetPr codeName="Planilha10"/>
  <dimension ref="A1:AC461"/>
  <sheetViews>
    <sheetView showGridLines="0" workbookViewId="0">
      <selection activeCell="L31" sqref="L31"/>
    </sheetView>
  </sheetViews>
  <sheetFormatPr defaultRowHeight="12.75" x14ac:dyDescent="0.2"/>
  <cols>
    <col min="1" max="1" width="16" style="1" customWidth="1"/>
    <col min="2" max="3" width="10.140625" style="1" bestFit="1" customWidth="1"/>
    <col min="4" max="4" width="29.42578125" style="1" customWidth="1"/>
    <col min="5" max="6" width="10.140625" style="1" hidden="1" customWidth="1"/>
    <col min="7" max="7" width="12" style="1" hidden="1" customWidth="1"/>
    <col min="8" max="8" width="1.7109375" style="1" customWidth="1"/>
    <col min="9" max="14" width="9.85546875" style="1" customWidth="1"/>
    <col min="15" max="15" width="1.7109375" style="1" customWidth="1"/>
    <col min="16" max="21" width="9.85546875" style="1" customWidth="1"/>
    <col min="22" max="16384" width="9.140625" style="1"/>
  </cols>
  <sheetData>
    <row r="1" spans="1:29" ht="15.75" x14ac:dyDescent="0.25">
      <c r="A1" s="9" t="s">
        <v>79</v>
      </c>
      <c r="E1" s="10"/>
      <c r="F1" s="10"/>
      <c r="G1" s="11"/>
      <c r="H1" s="11"/>
    </row>
    <row r="2" spans="1:29" x14ac:dyDescent="0.2">
      <c r="D2" s="12" t="s">
        <v>25</v>
      </c>
      <c r="E2" s="25" t="s">
        <v>10</v>
      </c>
      <c r="F2" s="25" t="s">
        <v>26</v>
      </c>
      <c r="G2" s="25" t="s">
        <v>27</v>
      </c>
      <c r="H2" s="25"/>
      <c r="I2" s="13">
        <f>DATE(YEAR($B$3),1,1)</f>
        <v>44197</v>
      </c>
      <c r="J2" s="13"/>
      <c r="K2" s="3"/>
      <c r="L2" s="3"/>
      <c r="M2" s="3"/>
      <c r="N2" s="3"/>
      <c r="O2" s="3"/>
      <c r="P2" s="21">
        <f>DATE(YEAR(I2)+1,1,1)</f>
        <v>44562</v>
      </c>
      <c r="Q2" s="13"/>
      <c r="R2" s="3"/>
      <c r="S2" s="3"/>
      <c r="T2" s="3"/>
      <c r="U2" s="3"/>
    </row>
    <row r="3" spans="1:29" x14ac:dyDescent="0.2">
      <c r="A3" s="3" t="s">
        <v>28</v>
      </c>
      <c r="B3" s="14">
        <v>44540</v>
      </c>
      <c r="I3" s="47" t="s">
        <v>29</v>
      </c>
      <c r="J3" s="47" t="s">
        <v>30</v>
      </c>
      <c r="K3" s="47" t="s">
        <v>31</v>
      </c>
      <c r="L3" s="47" t="s">
        <v>32</v>
      </c>
      <c r="M3" s="47" t="s">
        <v>33</v>
      </c>
      <c r="N3" s="47" t="s">
        <v>32</v>
      </c>
      <c r="O3" s="47"/>
      <c r="P3" s="48" t="s">
        <v>29</v>
      </c>
      <c r="Q3" s="47" t="s">
        <v>30</v>
      </c>
      <c r="R3" s="47" t="s">
        <v>31</v>
      </c>
      <c r="S3" s="47" t="s">
        <v>32</v>
      </c>
      <c r="T3" s="47" t="s">
        <v>33</v>
      </c>
      <c r="U3" s="47" t="s">
        <v>32</v>
      </c>
    </row>
    <row r="4" spans="1:29" x14ac:dyDescent="0.2">
      <c r="D4" s="31" t="s">
        <v>34</v>
      </c>
      <c r="E4" s="31" t="s">
        <v>35</v>
      </c>
      <c r="F4" s="31"/>
      <c r="G4" s="32" t="s">
        <v>16</v>
      </c>
      <c r="H4" s="32"/>
      <c r="I4" s="33" t="str" cm="1">
        <f t="array" ref="I4">xlFOCUS_IfError(xlFOCUS_ExpectativasAnuais($E4,$F4,I$2,$B$3-28,$B$3-28,0,$G4),"-")</f>
        <v>-</v>
      </c>
      <c r="J4" s="33" t="str" cm="1">
        <f t="array" ref="J4">xlFOCUS_IfError(xlFOCUS_ExpectativasAnuais($E4,$F4,I$2,$B$3-7,$B$3-7,0,$G4),"-")</f>
        <v>-</v>
      </c>
      <c r="K4" s="33" t="str" cm="1">
        <f t="array" ref="K4">xlFOCUS_IfError(xlFOCUS_ExpectativasAnuais($E4,$F4,I$2,$B$3,$B$3,0,$G4),"-")</f>
        <v>-</v>
      </c>
      <c r="L4" s="34" t="str" cm="1">
        <f t="array" ref="L4">xlFOCUS_IfError(xlFOCUS_ExpectativasAnuais($E4,$F4,I$2,$B$3,$B$3,0,"numeroRespondentes"),"-")</f>
        <v>-</v>
      </c>
      <c r="M4" s="33" t="str" cm="1">
        <f t="array" ref="M4">xlFOCUS_IfError(xlFOCUS_ExpectativasAnuais($E4,$F4,I$2,$B$3,$B$3,1,$G4),"-")</f>
        <v>-</v>
      </c>
      <c r="N4" s="34" t="str" cm="1">
        <f t="array" ref="N4">xlFOCUS_IfError(xlFOCUS_ExpectativasAnuais($E4,$F4,I$2,$B$3,$B$3,1,"numeroRespondentes"),"-")</f>
        <v>-</v>
      </c>
      <c r="O4" s="33"/>
      <c r="P4" s="35" t="str" cm="1">
        <f t="array" ref="P4">xlFOCUS_IfError(xlFOCUS_ExpectativasAnuais($E4,$F4,P$2,$B$3-28,$B$3-28,0,$G4),"-")</f>
        <v>-</v>
      </c>
      <c r="Q4" s="33" t="str" cm="1">
        <f t="array" ref="Q4">xlFOCUS_IfError(xlFOCUS_ExpectativasAnuais($E4,$F4,P$2,$B$3-7,$B$3-7,0,$G4),"-")</f>
        <v>-</v>
      </c>
      <c r="R4" s="33" t="str" cm="1">
        <f t="array" ref="R4">xlFOCUS_IfError(xlFOCUS_ExpectativasAnuais($E4,$F4,P$2,$B$3,$B$3,0,$G4),"-")</f>
        <v>-</v>
      </c>
      <c r="S4" s="34" t="str" cm="1">
        <f t="array" ref="S4">xlFOCUS_IfError(xlFOCUS_ExpectativasAnuais($E4,$F4,P$2,$B$3,$B$3,0,"numeroRespondentes"),"-")</f>
        <v>-</v>
      </c>
      <c r="T4" s="33" t="str" cm="1">
        <f t="array" ref="T4">xlFOCUS_IfError(xlFOCUS_ExpectativasAnuais($E4,$F4,P$2,$B$3,$B$3,1,$G4),"-")</f>
        <v>-</v>
      </c>
      <c r="U4" s="34" t="str" cm="1">
        <f t="array" ref="U4">xlFOCUS_IfError(xlFOCUS_ExpectativasAnuais($E4,$F4,P$2,$B$3,$B$3,1,"numeroRespondentes"),"-")</f>
        <v>-</v>
      </c>
    </row>
    <row r="5" spans="1:29" x14ac:dyDescent="0.2">
      <c r="D5" s="26" t="s">
        <v>36</v>
      </c>
      <c r="E5" s="26" t="s">
        <v>37</v>
      </c>
      <c r="F5" s="26"/>
      <c r="G5" s="27" t="s">
        <v>16</v>
      </c>
      <c r="H5" s="27"/>
      <c r="I5" s="28" t="str" cm="1">
        <f t="array" ref="I5">xlFOCUS_IfError(xlFOCUS_ExpectativasAnuais($E5,$F5,I$2,$B$3-28,$B$3-28,0,$G5),"-")</f>
        <v>-</v>
      </c>
      <c r="J5" s="28" t="str" cm="1">
        <f t="array" ref="J5">xlFOCUS_IfError(xlFOCUS_ExpectativasAnuais($E5,$F5,I$2,$B$3-7,$B$3-7,0,$G5),"-")</f>
        <v>-</v>
      </c>
      <c r="K5" s="28" t="str" cm="1">
        <f t="array" ref="K5">xlFOCUS_IfError(xlFOCUS_ExpectativasAnuais($E5,$F5,I$2,$B$3,$B$3,0,$G5),"-")</f>
        <v>-</v>
      </c>
      <c r="L5" s="29" t="str" cm="1">
        <f t="array" ref="L5">xlFOCUS_IfError(xlFOCUS_ExpectativasAnuais($E5,$F5,I$2,$B$3,$B$3,0,"numeroRespondentes"),"-")</f>
        <v>-</v>
      </c>
      <c r="M5" s="28" t="str" cm="1">
        <f t="array" ref="M5">xlFOCUS_IfError(xlFOCUS_ExpectativasAnuais($E5,$F5,I$2,$B$3,$B$3,1,$G5),"-")</f>
        <v>-</v>
      </c>
      <c r="N5" s="29" t="str" cm="1">
        <f t="array" ref="N5">xlFOCUS_IfError(xlFOCUS_ExpectativasAnuais($E5,$F5,I$2,$B$3,$B$3,1,"numeroRespondentes"),"-")</f>
        <v>-</v>
      </c>
      <c r="O5" s="28"/>
      <c r="P5" s="30" t="str" cm="1">
        <f t="array" ref="P5">xlFOCUS_IfError(xlFOCUS_ExpectativasAnuais($E5,$F5,P$2,$B$3-28,$B$3-28,0,$G5),"-")</f>
        <v>-</v>
      </c>
      <c r="Q5" s="28" t="str" cm="1">
        <f t="array" ref="Q5">xlFOCUS_IfError(xlFOCUS_ExpectativasAnuais($E5,$F5,P$2,$B$3-7,$B$3-7,0,$G5),"-")</f>
        <v>-</v>
      </c>
      <c r="R5" s="28" t="str" cm="1">
        <f t="array" ref="R5">xlFOCUS_IfError(xlFOCUS_ExpectativasAnuais($E5,$F5,P$2,$B$3,$B$3,0,$G5),"-")</f>
        <v>-</v>
      </c>
      <c r="S5" s="29" t="str" cm="1">
        <f t="array" ref="S5">xlFOCUS_IfError(xlFOCUS_ExpectativasAnuais($E5,$F5,P$2,$B$3,$B$3,0,"numeroRespondentes"),"-")</f>
        <v>-</v>
      </c>
      <c r="T5" s="28" t="str" cm="1">
        <f t="array" ref="T5">xlFOCUS_IfError(xlFOCUS_ExpectativasAnuais($E5,$F5,P$2,$B$3,$B$3,1,$G5),"-")</f>
        <v>-</v>
      </c>
      <c r="U5" s="29" t="str" cm="1">
        <f t="array" ref="U5">xlFOCUS_IfError(xlFOCUS_ExpectativasAnuais($E5,$F5,P$2,$B$3,$B$3,1,"numeroRespondentes"),"-")</f>
        <v>-</v>
      </c>
    </row>
    <row r="6" spans="1:29" x14ac:dyDescent="0.2">
      <c r="D6" s="31" t="s">
        <v>38</v>
      </c>
      <c r="E6" s="31" t="s">
        <v>39</v>
      </c>
      <c r="F6" s="31"/>
      <c r="G6" s="32" t="s">
        <v>16</v>
      </c>
      <c r="H6" s="32"/>
      <c r="I6" s="33" t="str" cm="1">
        <f t="array" ref="I6">xlFOCUS_IfError(xlFOCUS_ExpectativasAnuais($E6,$F6,I$2,$B$3-28,$B$3-28,0,$G6),"-")</f>
        <v>-</v>
      </c>
      <c r="J6" s="33" t="str" cm="1">
        <f t="array" ref="J6">xlFOCUS_IfError(xlFOCUS_ExpectativasAnuais($E6,$F6,I$2,$B$3-7,$B$3-7,0,$G6),"-")</f>
        <v>-</v>
      </c>
      <c r="K6" s="33" t="str" cm="1">
        <f t="array" ref="K6">xlFOCUS_IfError(xlFOCUS_ExpectativasAnuais($E6,$F6,I$2,$B$3,$B$3,0,$G6),"-")</f>
        <v>-</v>
      </c>
      <c r="L6" s="34" t="str" cm="1">
        <f t="array" ref="L6">xlFOCUS_IfError(xlFOCUS_ExpectativasAnuais($E6,$F6,I$2,$B$3,$B$3,0,"numeroRespondentes"),"-")</f>
        <v>-</v>
      </c>
      <c r="M6" s="33" t="str" cm="1">
        <f t="array" ref="M6">xlFOCUS_IfError(xlFOCUS_ExpectativasAnuais($E6,$F6,I$2,$B$3,$B$3,1,$G6),"-")</f>
        <v>-</v>
      </c>
      <c r="N6" s="34" t="str" cm="1">
        <f t="array" ref="N6">xlFOCUS_IfError(xlFOCUS_ExpectativasAnuais($E6,$F6,I$2,$B$3,$B$3,1,"numeroRespondentes"),"-")</f>
        <v>-</v>
      </c>
      <c r="O6" s="33"/>
      <c r="P6" s="35" t="str" cm="1">
        <f t="array" ref="P6">xlFOCUS_IfError(xlFOCUS_ExpectativasAnuais($E6,$F6,P$2,$B$3-28,$B$3-28,0,$G6),"-")</f>
        <v>-</v>
      </c>
      <c r="Q6" s="33" t="str" cm="1">
        <f t="array" ref="Q6">xlFOCUS_IfError(xlFOCUS_ExpectativasAnuais($E6,$F6,P$2,$B$3-7,$B$3-7,0,$G6),"-")</f>
        <v>-</v>
      </c>
      <c r="R6" s="33" t="str" cm="1">
        <f t="array" ref="R6">xlFOCUS_IfError(xlFOCUS_ExpectativasAnuais($E6,$F6,P$2,$B$3,$B$3,0,$G6),"-")</f>
        <v>-</v>
      </c>
      <c r="S6" s="34" t="str" cm="1">
        <f t="array" ref="S6">xlFOCUS_IfError(xlFOCUS_ExpectativasAnuais($E6,$F6,P$2,$B$3,$B$3,0,"numeroRespondentes"),"-")</f>
        <v>-</v>
      </c>
      <c r="T6" s="33" t="str" cm="1">
        <f t="array" ref="T6">xlFOCUS_IfError(xlFOCUS_ExpectativasAnuais($E6,$F6,P$2,$B$3,$B$3,1,$G6),"-")</f>
        <v>-</v>
      </c>
      <c r="U6" s="34" t="str" cm="1">
        <f t="array" ref="U6">xlFOCUS_IfError(xlFOCUS_ExpectativasAnuais($E6,$F6,P$2,$B$3,$B$3,1,"numeroRespondentes"),"-")</f>
        <v>-</v>
      </c>
    </row>
    <row r="7" spans="1:29" x14ac:dyDescent="0.2">
      <c r="D7" s="26" t="s">
        <v>40</v>
      </c>
      <c r="E7" s="26" t="s">
        <v>41</v>
      </c>
      <c r="F7" s="26"/>
      <c r="G7" s="27" t="s">
        <v>16</v>
      </c>
      <c r="H7" s="27"/>
      <c r="I7" s="28" t="str" cm="1">
        <f t="array" ref="I7">xlFOCUS_IfError(xlFOCUS_ExpectativasAnuais($E7,$F7,I$2,$B$3-28,$B$3-28,0,$G7),"-")</f>
        <v>-</v>
      </c>
      <c r="J7" s="28" t="str" cm="1">
        <f t="array" ref="J7">xlFOCUS_IfError(xlFOCUS_ExpectativasAnuais($E7,$F7,I$2,$B$3-7,$B$3-7,0,$G7),"-")</f>
        <v>-</v>
      </c>
      <c r="K7" s="28" t="str" cm="1">
        <f t="array" ref="K7">xlFOCUS_IfError(xlFOCUS_ExpectativasAnuais($E7,$F7,I$2,$B$3,$B$3,0,$G7),"-")</f>
        <v>-</v>
      </c>
      <c r="L7" s="29" t="str" cm="1">
        <f t="array" ref="L7">xlFOCUS_IfError(xlFOCUS_ExpectativasAnuais($E7,$F7,I$2,$B$3,$B$3,0,"numeroRespondentes"),"-")</f>
        <v>-</v>
      </c>
      <c r="M7" s="28" t="str" cm="1">
        <f t="array" ref="M7">xlFOCUS_IfError(xlFOCUS_ExpectativasAnuais($E7,$F7,I$2,$B$3,$B$3,1,$G7),"-")</f>
        <v>-</v>
      </c>
      <c r="N7" s="29" t="str" cm="1">
        <f t="array" ref="N7">xlFOCUS_IfError(xlFOCUS_ExpectativasAnuais($E7,$F7,I$2,$B$3,$B$3,1,"numeroRespondentes"),"-")</f>
        <v>-</v>
      </c>
      <c r="O7" s="28"/>
      <c r="P7" s="30" t="str" cm="1">
        <f t="array" ref="P7">xlFOCUS_IfError(xlFOCUS_ExpectativasAnuais($E7,$F7,P$2,$B$3-28,$B$3-28,0,$G7),"-")</f>
        <v>-</v>
      </c>
      <c r="Q7" s="28" t="str" cm="1">
        <f t="array" ref="Q7">xlFOCUS_IfError(xlFOCUS_ExpectativasAnuais($E7,$F7,P$2,$B$3-7,$B$3-7,0,$G7),"-")</f>
        <v>-</v>
      </c>
      <c r="R7" s="28" t="str" cm="1">
        <f t="array" ref="R7">xlFOCUS_IfError(xlFOCUS_ExpectativasAnuais($E7,$F7,P$2,$B$3,$B$3,0,$G7),"-")</f>
        <v>-</v>
      </c>
      <c r="S7" s="29" t="str" cm="1">
        <f t="array" ref="S7">xlFOCUS_IfError(xlFOCUS_ExpectativasAnuais($E7,$F7,P$2,$B$3,$B$3,0,"numeroRespondentes"),"-")</f>
        <v>-</v>
      </c>
      <c r="T7" s="28" t="str" cm="1">
        <f t="array" ref="T7">xlFOCUS_IfError(xlFOCUS_ExpectativasAnuais($E7,$F7,P$2,$B$3,$B$3,1,$G7),"-")</f>
        <v>-</v>
      </c>
      <c r="U7" s="29" t="str" cm="1">
        <f t="array" ref="U7">xlFOCUS_IfError(xlFOCUS_ExpectativasAnuais($E7,$F7,P$2,$B$3,$B$3,1,"numeroRespondentes"),"-")</f>
        <v>-</v>
      </c>
    </row>
    <row r="8" spans="1:29" x14ac:dyDescent="0.2">
      <c r="D8" s="31" t="s">
        <v>42</v>
      </c>
      <c r="E8" s="31" t="s">
        <v>43</v>
      </c>
      <c r="F8" s="31"/>
      <c r="G8" s="32" t="s">
        <v>16</v>
      </c>
      <c r="H8" s="32"/>
      <c r="I8" s="33" t="str" cm="1">
        <f t="array" ref="I8">xlFOCUS_IfError(xlFOCUS_ExpectativasAnuais($E8,$F8,I$2,$B$3-28,$B$3-28,0,$G8),"-")</f>
        <v>-</v>
      </c>
      <c r="J8" s="33" t="str" cm="1">
        <f t="array" ref="J8">xlFOCUS_IfError(xlFOCUS_ExpectativasAnuais($E8,$F8,I$2,$B$3-7,$B$3-7,0,$G8),"-")</f>
        <v>-</v>
      </c>
      <c r="K8" s="33" t="str" cm="1">
        <f t="array" ref="K8">xlFOCUS_IfError(xlFOCUS_ExpectativasAnuais($E8,$F8,I$2,$B$3,$B$3,0,$G8),"-")</f>
        <v>-</v>
      </c>
      <c r="L8" s="34" t="str" cm="1">
        <f t="array" ref="L8">xlFOCUS_IfError(xlFOCUS_ExpectativasAnuais($E8,$F8,I$2,$B$3,$B$3,0,"numeroRespondentes"),"-")</f>
        <v>-</v>
      </c>
      <c r="M8" s="33" t="str" cm="1">
        <f t="array" ref="M8">xlFOCUS_IfError(xlFOCUS_ExpectativasAnuais($E8,$F8,I$2,$B$3,$B$3,1,$G8),"-")</f>
        <v>-</v>
      </c>
      <c r="N8" s="34" t="str" cm="1">
        <f t="array" ref="N8">xlFOCUS_IfError(xlFOCUS_ExpectativasAnuais($E8,$F8,I$2,$B$3,$B$3,1,"numeroRespondentes"),"-")</f>
        <v>-</v>
      </c>
      <c r="O8" s="33"/>
      <c r="P8" s="35" t="str" cm="1">
        <f t="array" ref="P8">xlFOCUS_IfError(xlFOCUS_ExpectativasAnuais($E8,$F8,P$2,$B$3-28,$B$3-28,0,$G8),"-")</f>
        <v>-</v>
      </c>
      <c r="Q8" s="33" t="str" cm="1">
        <f t="array" ref="Q8">xlFOCUS_IfError(xlFOCUS_ExpectativasAnuais($E8,$F8,P$2,$B$3-7,$B$3-7,0,$G8),"-")</f>
        <v>-</v>
      </c>
      <c r="R8" s="33" t="str" cm="1">
        <f t="array" ref="R8">xlFOCUS_IfError(xlFOCUS_ExpectativasAnuais($E8,$F8,P$2,$B$3,$B$3,0,$G8),"-")</f>
        <v>-</v>
      </c>
      <c r="S8" s="34" t="str" cm="1">
        <f t="array" ref="S8">xlFOCUS_IfError(xlFOCUS_ExpectativasAnuais($E8,$F8,P$2,$B$3,$B$3,0,"numeroRespondentes"),"-")</f>
        <v>-</v>
      </c>
      <c r="T8" s="33" t="str" cm="1">
        <f t="array" ref="T8">xlFOCUS_IfError(xlFOCUS_ExpectativasAnuais($E8,$F8,P$2,$B$3,$B$3,1,$G8),"-")</f>
        <v>-</v>
      </c>
      <c r="U8" s="34" t="str" cm="1">
        <f t="array" ref="U8">xlFOCUS_IfError(xlFOCUS_ExpectativasAnuais($E8,$F8,P$2,$B$3,$B$3,1,"numeroRespondentes"),"-")</f>
        <v>-</v>
      </c>
    </row>
    <row r="9" spans="1:29" x14ac:dyDescent="0.2">
      <c r="D9" s="26" t="s">
        <v>44</v>
      </c>
      <c r="E9" s="26" t="s">
        <v>45</v>
      </c>
      <c r="F9" s="26"/>
      <c r="G9" s="27" t="s">
        <v>16</v>
      </c>
      <c r="H9" s="27"/>
      <c r="I9" s="28" t="str" cm="1">
        <f t="array" ref="I9">xlFOCUS_IfError(xlFOCUS_ExpectativasAnuais($E9,$F9,I$2,$B$3-28,$B$3-28,0,$G9),"-")</f>
        <v>-</v>
      </c>
      <c r="J9" s="28" t="str" cm="1">
        <f t="array" ref="J9">xlFOCUS_IfError(xlFOCUS_ExpectativasAnuais($E9,$F9,I$2,$B$3-7,$B$3-7,0,$G9),"-")</f>
        <v>-</v>
      </c>
      <c r="K9" s="28" t="str" cm="1">
        <f t="array" ref="K9">xlFOCUS_IfError(xlFOCUS_ExpectativasAnuais($E9,$F9,I$2,$B$3,$B$3,0,$G9),"-")</f>
        <v>-</v>
      </c>
      <c r="L9" s="29" t="str" cm="1">
        <f t="array" ref="L9">xlFOCUS_IfError(xlFOCUS_ExpectativasAnuais($E9,$F9,I$2,$B$3,$B$3,0,"numeroRespondentes"),"-")</f>
        <v>-</v>
      </c>
      <c r="M9" s="28" t="str" cm="1">
        <f t="array" ref="M9">xlFOCUS_IfError(xlFOCUS_ExpectativasAnuais($E9,$F9,I$2,$B$3,$B$3,1,$G9),"-")</f>
        <v>-</v>
      </c>
      <c r="N9" s="29" t="str" cm="1">
        <f t="array" ref="N9">xlFOCUS_IfError(xlFOCUS_ExpectativasAnuais($E9,$F9,I$2,$B$3,$B$3,1,"numeroRespondentes"),"-")</f>
        <v>-</v>
      </c>
      <c r="O9" s="28"/>
      <c r="P9" s="30" t="str" cm="1">
        <f t="array" ref="P9">xlFOCUS_IfError(xlFOCUS_ExpectativasAnuais($E9,$F9,P$2,$B$3-28,$B$3-28,0,$G9),"-")</f>
        <v>-</v>
      </c>
      <c r="Q9" s="28" t="str" cm="1">
        <f t="array" ref="Q9">xlFOCUS_IfError(xlFOCUS_ExpectativasAnuais($E9,$F9,P$2,$B$3-7,$B$3-7,0,$G9),"-")</f>
        <v>-</v>
      </c>
      <c r="R9" s="28" t="str" cm="1">
        <f t="array" ref="R9">xlFOCUS_IfError(xlFOCUS_ExpectativasAnuais($E9,$F9,P$2,$B$3,$B$3,0,$G9),"-")</f>
        <v>-</v>
      </c>
      <c r="S9" s="29" t="str" cm="1">
        <f t="array" ref="S9">xlFOCUS_IfError(xlFOCUS_ExpectativasAnuais($E9,$F9,P$2,$B$3,$B$3,0,"numeroRespondentes"),"-")</f>
        <v>-</v>
      </c>
      <c r="T9" s="28" t="str" cm="1">
        <f t="array" ref="T9">xlFOCUS_IfError(xlFOCUS_ExpectativasAnuais($E9,$F9,P$2,$B$3,$B$3,1,$G9),"-")</f>
        <v>-</v>
      </c>
      <c r="U9" s="29" t="str" cm="1">
        <f t="array" ref="U9">xlFOCUS_IfError(xlFOCUS_ExpectativasAnuais($E9,$F9,P$2,$B$3,$B$3,1,"numeroRespondentes"),"-")</f>
        <v>-</v>
      </c>
    </row>
    <row r="10" spans="1:29" x14ac:dyDescent="0.2">
      <c r="D10" s="36" t="s">
        <v>46</v>
      </c>
      <c r="E10" s="36" t="s">
        <v>47</v>
      </c>
      <c r="F10" s="36"/>
      <c r="G10" s="37" t="s">
        <v>16</v>
      </c>
      <c r="H10" s="37"/>
      <c r="I10" s="38" t="str" cm="1">
        <f t="array" ref="I10">xlFOCUS_IfError(xlFOCUS_ExpectativasAnuais($E10,$F10,I$2,$B$3-28,$B$3-28,0,$G10),"-")</f>
        <v>-</v>
      </c>
      <c r="J10" s="38" t="str" cm="1">
        <f t="array" ref="J10">xlFOCUS_IfError(xlFOCUS_ExpectativasAnuais($E10,$F10,I$2,$B$3-7,$B$3-7,0,$G10),"-")</f>
        <v>-</v>
      </c>
      <c r="K10" s="38" t="str" cm="1">
        <f t="array" ref="K10">xlFOCUS_IfError(xlFOCUS_ExpectativasAnuais($E10,$F10,I$2,$B$3,$B$3,0,$G10),"-")</f>
        <v>-</v>
      </c>
      <c r="L10" s="39" t="str" cm="1">
        <f t="array" ref="L10">xlFOCUS_IfError(xlFOCUS_ExpectativasAnuais($E10,$F10,I$2,$B$3,$B$3,0,"numeroRespondentes"),"-")</f>
        <v>-</v>
      </c>
      <c r="M10" s="38" t="str" cm="1">
        <f t="array" ref="M10">xlFOCUS_IfError(xlFOCUS_ExpectativasAnuais($E10,$F10,I$2,$B$3,$B$3,1,$G10),"-")</f>
        <v>-</v>
      </c>
      <c r="N10" s="39" t="str" cm="1">
        <f t="array" ref="N10">xlFOCUS_IfError(xlFOCUS_ExpectativasAnuais($E10,$F10,I$2,$B$3,$B$3,1,"numeroRespondentes"),"-")</f>
        <v>-</v>
      </c>
      <c r="O10" s="38"/>
      <c r="P10" s="40" t="str" cm="1">
        <f t="array" ref="P10">xlFOCUS_IfError(xlFOCUS_ExpectativasAnuais($E10,$F10,P$2,$B$3-28,$B$3-28,0,$G10),"-")</f>
        <v>-</v>
      </c>
      <c r="Q10" s="38" t="str" cm="1">
        <f t="array" ref="Q10">xlFOCUS_IfError(xlFOCUS_ExpectativasAnuais($E10,$F10,P$2,$B$3-7,$B$3-7,0,$G10),"-")</f>
        <v>-</v>
      </c>
      <c r="R10" s="38" t="str" cm="1">
        <f t="array" ref="R10">xlFOCUS_IfError(xlFOCUS_ExpectativasAnuais($E10,$F10,P$2,$B$3,$B$3,0,$G10),"-")</f>
        <v>-</v>
      </c>
      <c r="S10" s="39" t="str" cm="1">
        <f t="array" ref="S10">xlFOCUS_IfError(xlFOCUS_ExpectativasAnuais($E10,$F10,P$2,$B$3,$B$3,0,"numeroRespondentes"),"-")</f>
        <v>-</v>
      </c>
      <c r="T10" s="38" t="str" cm="1">
        <f t="array" ref="T10">xlFOCUS_IfError(xlFOCUS_ExpectativasAnuais($E10,$F10,P$2,$B$3,$B$3,1,$G10),"-")</f>
        <v>-</v>
      </c>
      <c r="U10" s="39" t="str" cm="1">
        <f t="array" ref="U10">xlFOCUS_IfError(xlFOCUS_ExpectativasAnuais($E10,$F10,P$2,$B$3,$B$3,1,"numeroRespondentes"),"-")</f>
        <v>-</v>
      </c>
    </row>
    <row r="11" spans="1:29" x14ac:dyDescent="0.2">
      <c r="D11" s="26" t="s">
        <v>48</v>
      </c>
      <c r="E11" s="26" t="s">
        <v>49</v>
      </c>
      <c r="F11" s="26" t="s">
        <v>50</v>
      </c>
      <c r="G11" s="26" t="s">
        <v>16</v>
      </c>
      <c r="H11" s="26"/>
      <c r="I11" s="28" t="str" cm="1">
        <f t="array" ref="I11">xlFOCUS_IfError(xlFOCUS_ExpectativasAnuais($E11,$F11,I$2,$B$3-28,$B$3-28,0,$G11),"-")</f>
        <v>-</v>
      </c>
      <c r="J11" s="28" t="str" cm="1">
        <f t="array" ref="J11">xlFOCUS_IfError(xlFOCUS_ExpectativasAnuais($E11,$F11,I$2,$B$3-7,$B$3-7,0,$G11),"-")</f>
        <v>-</v>
      </c>
      <c r="K11" s="28" t="str" cm="1">
        <f t="array" ref="K11">xlFOCUS_IfError(xlFOCUS_ExpectativasAnuais($E11,$F11,I$2,$B$3,$B$3,0,$G11),"-")</f>
        <v>-</v>
      </c>
      <c r="L11" s="29" t="str" cm="1">
        <f t="array" ref="L11">xlFOCUS_IfError(xlFOCUS_ExpectativasAnuais($E11,$F11,I$2,$B$3,$B$3,0,"numeroRespondentes"),"-")</f>
        <v>-</v>
      </c>
      <c r="M11" s="28" t="str" cm="1">
        <f t="array" ref="M11">xlFOCUS_IfError(xlFOCUS_ExpectativasAnuais($E11,$F11,I$2,$B$3,$B$3,1,$G11),"-")</f>
        <v>-</v>
      </c>
      <c r="N11" s="29" t="str" cm="1">
        <f t="array" ref="N11">xlFOCUS_IfError(xlFOCUS_ExpectativasAnuais($E11,$F11,I$2,$B$3,$B$3,1,"numeroRespondentes"),"-")</f>
        <v>-</v>
      </c>
      <c r="O11" s="28"/>
      <c r="P11" s="30" t="str" cm="1">
        <f t="array" ref="P11">xlFOCUS_IfError(xlFOCUS_ExpectativasAnuais($E11,$F11,P$2,$B$3-28,$B$3-28,0,$G11),"-")</f>
        <v>-</v>
      </c>
      <c r="Q11" s="28" t="str" cm="1">
        <f t="array" ref="Q11">xlFOCUS_IfError(xlFOCUS_ExpectativasAnuais($E11,$F11,P$2,$B$3-7,$B$3-7,0,$G11),"-")</f>
        <v>-</v>
      </c>
      <c r="R11" s="28" t="str" cm="1">
        <f t="array" ref="R11">xlFOCUS_IfError(xlFOCUS_ExpectativasAnuais($E11,$F11,P$2,$B$3,$B$3,0,$G11),"-")</f>
        <v>-</v>
      </c>
      <c r="S11" s="29" t="str" cm="1">
        <f t="array" ref="S11">xlFOCUS_IfError(xlFOCUS_ExpectativasAnuais($E11,$F11,P$2,$B$3,$B$3,0,"numeroRespondentes"),"-")</f>
        <v>-</v>
      </c>
      <c r="T11" s="28" t="str" cm="1">
        <f t="array" ref="T11">xlFOCUS_IfError(xlFOCUS_ExpectativasAnuais($E11,$F11,P$2,$B$3,$B$3,1,$G11),"-")</f>
        <v>-</v>
      </c>
      <c r="U11" s="29" t="str" cm="1">
        <f t="array" ref="U11">xlFOCUS_IfError(xlFOCUS_ExpectativasAnuais($E11,$F11,P$2,$B$3,$B$3,1,"numeroRespondentes"),"-")</f>
        <v>-</v>
      </c>
      <c r="V11" s="10"/>
      <c r="W11" s="10"/>
      <c r="X11" s="10"/>
      <c r="Y11" s="10"/>
      <c r="Z11" s="10"/>
      <c r="AA11" s="10"/>
      <c r="AB11" s="10"/>
      <c r="AC11" s="10"/>
    </row>
    <row r="12" spans="1:29" x14ac:dyDescent="0.2">
      <c r="D12" s="41" t="s">
        <v>51</v>
      </c>
      <c r="E12" s="41" t="s">
        <v>52</v>
      </c>
      <c r="F12" s="41"/>
      <c r="G12" s="41" t="s">
        <v>16</v>
      </c>
      <c r="H12" s="41"/>
      <c r="I12" s="42" t="str" cm="1">
        <f t="array" ref="I12">xlFOCUS_IfError(xlFOCUS_ExpectativasAnuais($E12,$F12,I$2,$B$3-28,$B$3-28,0,$G12),"-")</f>
        <v>-</v>
      </c>
      <c r="J12" s="42" t="str" cm="1">
        <f t="array" ref="J12">xlFOCUS_IfError(xlFOCUS_ExpectativasAnuais($E12,$F12,I$2,$B$3-7,$B$3-7,0,$G12),"-")</f>
        <v>-</v>
      </c>
      <c r="K12" s="42" t="str" cm="1">
        <f t="array" ref="K12">xlFOCUS_IfError(xlFOCUS_ExpectativasAnuais($E12,$F12,I$2,$B$3,$B$3,0,$G12),"-")</f>
        <v>-</v>
      </c>
      <c r="L12" s="43" t="str" cm="1">
        <f t="array" ref="L12">xlFOCUS_IfError(xlFOCUS_ExpectativasAnuais($E12,$F12,I$2,$B$3,$B$3,0,"numeroRespondentes"),"-")</f>
        <v>-</v>
      </c>
      <c r="M12" s="42" t="str" cm="1">
        <f t="array" ref="M12">xlFOCUS_IfError(xlFOCUS_ExpectativasAnuais($E12,$F12,I$2,$B$3,$B$3,1,$G12),"-")</f>
        <v>-</v>
      </c>
      <c r="N12" s="43" t="str" cm="1">
        <f t="array" ref="N12">xlFOCUS_IfError(xlFOCUS_ExpectativasAnuais($E12,$F12,I$2,$B$3,$B$3,1,"numeroRespondentes"),"-")</f>
        <v>-</v>
      </c>
      <c r="O12" s="42"/>
      <c r="P12" s="44" t="str" cm="1">
        <f t="array" ref="P12">xlFOCUS_IfError(xlFOCUS_ExpectativasAnuais($E12,$F12,P$2,$B$3-28,$B$3-28,0,$G12),"-")</f>
        <v>-</v>
      </c>
      <c r="Q12" s="42" t="str" cm="1">
        <f t="array" ref="Q12">xlFOCUS_IfError(xlFOCUS_ExpectativasAnuais($E12,$F12,P$2,$B$3-7,$B$3-7,0,$G12),"-")</f>
        <v>-</v>
      </c>
      <c r="R12" s="42" t="str" cm="1">
        <f t="array" ref="R12">xlFOCUS_IfError(xlFOCUS_ExpectativasAnuais($E12,$F12,P$2,$B$3,$B$3,0,$G12),"-")</f>
        <v>-</v>
      </c>
      <c r="S12" s="43" t="str" cm="1">
        <f t="array" ref="S12">xlFOCUS_IfError(xlFOCUS_ExpectativasAnuais($E12,$F12,P$2,$B$3,$B$3,0,"numeroRespondentes"),"-")</f>
        <v>-</v>
      </c>
      <c r="T12" s="42" t="str" cm="1">
        <f t="array" ref="T12">xlFOCUS_IfError(xlFOCUS_ExpectativasAnuais($E12,$F12,P$2,$B$3,$B$3,1,$G12),"-")</f>
        <v>-</v>
      </c>
      <c r="U12" s="43" t="str" cm="1">
        <f t="array" ref="U12">xlFOCUS_IfError(xlFOCUS_ExpectativasAnuais($E12,$F12,P$2,$B$3,$B$3,1,"numeroRespondentes"),"-")</f>
        <v>-</v>
      </c>
      <c r="V12" s="10"/>
      <c r="W12" s="10"/>
      <c r="X12" s="10"/>
      <c r="Y12" s="10"/>
      <c r="Z12" s="10"/>
      <c r="AA12" s="10"/>
      <c r="AB12" s="10"/>
      <c r="AC12" s="10"/>
    </row>
    <row r="13" spans="1:29" x14ac:dyDescent="0.2">
      <c r="D13" s="26" t="s">
        <v>53</v>
      </c>
      <c r="E13" s="26" t="s">
        <v>54</v>
      </c>
      <c r="F13" s="45"/>
      <c r="G13" s="45" t="s">
        <v>16</v>
      </c>
      <c r="H13" s="45"/>
      <c r="I13" s="28" t="str" cm="1">
        <f t="array" ref="I13">xlFOCUS_IfError(xlFOCUS_ExpectativasAnuais($E13,$F13,I$2,$B$3-28,$B$3-28,0,$G13),"-")</f>
        <v>-</v>
      </c>
      <c r="J13" s="28" t="str" cm="1">
        <f t="array" ref="J13">xlFOCUS_IfError(xlFOCUS_ExpectativasAnuais($E13,$F13,I$2,$B$3-7,$B$3-7,0,$G13),"-")</f>
        <v>-</v>
      </c>
      <c r="K13" s="28" t="str" cm="1">
        <f t="array" ref="K13">xlFOCUS_IfError(xlFOCUS_ExpectativasAnuais($E13,$F13,I$2,$B$3,$B$3,0,$G13),"-")</f>
        <v>-</v>
      </c>
      <c r="L13" s="29" t="str" cm="1">
        <f t="array" ref="L13">xlFOCUS_IfError(xlFOCUS_ExpectativasAnuais($E13,$F13,I$2,$B$3,$B$3,0,"numeroRespondentes"),"-")</f>
        <v>-</v>
      </c>
      <c r="M13" s="28" t="str" cm="1">
        <f t="array" ref="M13">xlFOCUS_IfError(xlFOCUS_ExpectativasAnuais($E13,$F13,I$2,$B$3,$B$3,1,$G13),"-")</f>
        <v>-</v>
      </c>
      <c r="N13" s="29" t="str" cm="1">
        <f t="array" ref="N13">xlFOCUS_IfError(xlFOCUS_ExpectativasAnuais($E13,$F13,I$2,$B$3,$B$3,1,"numeroRespondentes"),"-")</f>
        <v>-</v>
      </c>
      <c r="O13" s="28"/>
      <c r="P13" s="30" t="str" cm="1">
        <f t="array" ref="P13">xlFOCUS_IfError(xlFOCUS_ExpectativasAnuais($E13,$F13,P$2,$B$3-28,$B$3-28,0,$G13),"-")</f>
        <v>-</v>
      </c>
      <c r="Q13" s="28" t="str" cm="1">
        <f t="array" ref="Q13">xlFOCUS_IfError(xlFOCUS_ExpectativasAnuais($E13,$F13,P$2,$B$3-7,$B$3-7,0,$G13),"-")</f>
        <v>-</v>
      </c>
      <c r="R13" s="28" t="str" cm="1">
        <f t="array" ref="R13">xlFOCUS_IfError(xlFOCUS_ExpectativasAnuais($E13,$F13,P$2,$B$3,$B$3,0,$G13),"-")</f>
        <v>-</v>
      </c>
      <c r="S13" s="29" t="str" cm="1">
        <f t="array" ref="S13">xlFOCUS_IfError(xlFOCUS_ExpectativasAnuais($E13,$F13,P$2,$B$3,$B$3,0,"numeroRespondentes"),"-")</f>
        <v>-</v>
      </c>
      <c r="T13" s="28" t="str" cm="1">
        <f t="array" ref="T13">xlFOCUS_IfError(xlFOCUS_ExpectativasAnuais($E13,$F13,P$2,$B$3,$B$3,1,$G13),"-")</f>
        <v>-</v>
      </c>
      <c r="U13" s="29" t="str" cm="1">
        <f t="array" ref="U13">xlFOCUS_IfError(xlFOCUS_ExpectativasAnuais($E13,$F13,P$2,$B$3,$B$3,1,"numeroRespondentes"),"-")</f>
        <v>-</v>
      </c>
    </row>
    <row r="14" spans="1:29" x14ac:dyDescent="0.2">
      <c r="D14" s="31" t="s">
        <v>55</v>
      </c>
      <c r="E14" s="31" t="s">
        <v>56</v>
      </c>
      <c r="F14" s="46"/>
      <c r="G14" s="46" t="s">
        <v>16</v>
      </c>
      <c r="H14" s="46"/>
      <c r="I14" s="33" t="str" cm="1">
        <f t="array" ref="I14">xlFOCUS_IfError(xlFOCUS_ExpectativasAnuais($E14,$F14,I$2,$B$3-28,$B$3-28,0,$G14),"-")</f>
        <v>-</v>
      </c>
      <c r="J14" s="33" t="str" cm="1">
        <f t="array" ref="J14">xlFOCUS_IfError(xlFOCUS_ExpectativasAnuais($E14,$F14,I$2,$B$3-7,$B$3-7,0,$G14),"-")</f>
        <v>-</v>
      </c>
      <c r="K14" s="33" t="str" cm="1">
        <f t="array" ref="K14">xlFOCUS_IfError(xlFOCUS_ExpectativasAnuais($E14,$F14,I$2,$B$3,$B$3,0,$G14),"-")</f>
        <v>-</v>
      </c>
      <c r="L14" s="34" t="str" cm="1">
        <f t="array" ref="L14">xlFOCUS_IfError(xlFOCUS_ExpectativasAnuais($E14,$F14,I$2,$B$3,$B$3,0,"numeroRespondentes"),"-")</f>
        <v>-</v>
      </c>
      <c r="M14" s="33" t="str" cm="1">
        <f t="array" ref="M14">xlFOCUS_IfError(xlFOCUS_ExpectativasAnuais($E14,$F14,I$2,$B$3,$B$3,1,$G14),"-")</f>
        <v>-</v>
      </c>
      <c r="N14" s="34" t="str" cm="1">
        <f t="array" ref="N14">xlFOCUS_IfError(xlFOCUS_ExpectativasAnuais($E14,$F14,I$2,$B$3,$B$3,1,"numeroRespondentes"),"-")</f>
        <v>-</v>
      </c>
      <c r="O14" s="33"/>
      <c r="P14" s="35" t="str" cm="1">
        <f t="array" ref="P14">xlFOCUS_IfError(xlFOCUS_ExpectativasAnuais($E14,$F14,P$2,$B$3-28,$B$3-28,0,$G14),"-")</f>
        <v>-</v>
      </c>
      <c r="Q14" s="33" t="str" cm="1">
        <f t="array" ref="Q14">xlFOCUS_IfError(xlFOCUS_ExpectativasAnuais($E14,$F14,P$2,$B$3-7,$B$3-7,0,$G14),"-")</f>
        <v>-</v>
      </c>
      <c r="R14" s="33" t="str" cm="1">
        <f t="array" ref="R14">xlFOCUS_IfError(xlFOCUS_ExpectativasAnuais($E14,$F14,P$2,$B$3,$B$3,0,$G14),"-")</f>
        <v>-</v>
      </c>
      <c r="S14" s="34" t="str" cm="1">
        <f t="array" ref="S14">xlFOCUS_IfError(xlFOCUS_ExpectativasAnuais($E14,$F14,P$2,$B$3,$B$3,0,"numeroRespondentes"),"-")</f>
        <v>-</v>
      </c>
      <c r="T14" s="33" t="str" cm="1">
        <f t="array" ref="T14">xlFOCUS_IfError(xlFOCUS_ExpectativasAnuais($E14,$F14,P$2,$B$3,$B$3,1,$G14),"-")</f>
        <v>-</v>
      </c>
      <c r="U14" s="34" t="str" cm="1">
        <f t="array" ref="U14">xlFOCUS_IfError(xlFOCUS_ExpectativasAnuais($E14,$F14,P$2,$B$3,$B$3,1,"numeroRespondentes"),"-")</f>
        <v>-</v>
      </c>
    </row>
    <row r="15" spans="1:29" x14ac:dyDescent="0.2">
      <c r="D15" s="26" t="s">
        <v>57</v>
      </c>
      <c r="E15" s="26" t="s">
        <v>58</v>
      </c>
      <c r="F15" s="45"/>
      <c r="G15" s="45" t="s">
        <v>16</v>
      </c>
      <c r="H15" s="45"/>
      <c r="I15" s="28" t="str" cm="1">
        <f t="array" ref="I15">xlFOCUS_IfError(xlFOCUS_ExpectativasAnuais($E15,$F15,I$2,$B$3-28,$B$3-28,0,$G15),"-")</f>
        <v>-</v>
      </c>
      <c r="J15" s="28" t="str" cm="1">
        <f t="array" ref="J15">xlFOCUS_IfError(xlFOCUS_ExpectativasAnuais($E15,$F15,I$2,$B$3-7,$B$3-7,0,$G15),"-")</f>
        <v>-</v>
      </c>
      <c r="K15" s="28" t="str" cm="1">
        <f t="array" ref="K15">xlFOCUS_IfError(xlFOCUS_ExpectativasAnuais($E15,$F15,I$2,$B$3,$B$3,0,$G15),"-")</f>
        <v>-</v>
      </c>
      <c r="L15" s="29" t="str" cm="1">
        <f t="array" ref="L15">xlFOCUS_IfError(xlFOCUS_ExpectativasAnuais($E15,$F15,I$2,$B$3,$B$3,0,"numeroRespondentes"),"-")</f>
        <v>-</v>
      </c>
      <c r="M15" s="28" t="str" cm="1">
        <f t="array" ref="M15">xlFOCUS_IfError(xlFOCUS_ExpectativasAnuais($E15,$F15,I$2,$B$3,$B$3,1,$G15),"-")</f>
        <v>-</v>
      </c>
      <c r="N15" s="29" t="str" cm="1">
        <f t="array" ref="N15">xlFOCUS_IfError(xlFOCUS_ExpectativasAnuais($E15,$F15,I$2,$B$3,$B$3,1,"numeroRespondentes"),"-")</f>
        <v>-</v>
      </c>
      <c r="O15" s="28"/>
      <c r="P15" s="30" t="str" cm="1">
        <f t="array" ref="P15">xlFOCUS_IfError(xlFOCUS_ExpectativasAnuais($E15,$F15,P$2,$B$3-28,$B$3-28,0,$G15),"-")</f>
        <v>-</v>
      </c>
      <c r="Q15" s="28" t="str" cm="1">
        <f t="array" ref="Q15">xlFOCUS_IfError(xlFOCUS_ExpectativasAnuais($E15,$F15,P$2,$B$3-7,$B$3-7,0,$G15),"-")</f>
        <v>-</v>
      </c>
      <c r="R15" s="28" t="str" cm="1">
        <f t="array" ref="R15">xlFOCUS_IfError(xlFOCUS_ExpectativasAnuais($E15,$F15,P$2,$B$3,$B$3,0,$G15),"-")</f>
        <v>-</v>
      </c>
      <c r="S15" s="29" t="str" cm="1">
        <f t="array" ref="S15">xlFOCUS_IfError(xlFOCUS_ExpectativasAnuais($E15,$F15,P$2,$B$3,$B$3,0,"numeroRespondentes"),"-")</f>
        <v>-</v>
      </c>
      <c r="T15" s="28" t="str" cm="1">
        <f t="array" ref="T15">xlFOCUS_IfError(xlFOCUS_ExpectativasAnuais($E15,$F15,P$2,$B$3,$B$3,1,$G15),"-")</f>
        <v>-</v>
      </c>
      <c r="U15" s="29" t="str" cm="1">
        <f t="array" ref="U15">xlFOCUS_IfError(xlFOCUS_ExpectativasAnuais($E15,$F15,P$2,$B$3,$B$3,1,"numeroRespondentes"),"-")</f>
        <v>-</v>
      </c>
    </row>
    <row r="16" spans="1:29" x14ac:dyDescent="0.2">
      <c r="D16" s="15"/>
      <c r="E16" s="15"/>
      <c r="F16" s="15"/>
      <c r="G16" s="15"/>
      <c r="H16" s="15"/>
      <c r="I16" s="16"/>
      <c r="J16" s="16"/>
      <c r="K16" s="16"/>
      <c r="L16" s="16"/>
      <c r="M16" s="16"/>
      <c r="N16" s="16"/>
      <c r="O16" s="16"/>
      <c r="P16" s="22"/>
      <c r="Q16" s="16"/>
      <c r="R16" s="16"/>
      <c r="S16" s="16"/>
      <c r="T16" s="16"/>
      <c r="U16" s="16"/>
    </row>
    <row r="18" spans="5:8" x14ac:dyDescent="0.2">
      <c r="E18" s="10"/>
      <c r="F18" s="10"/>
      <c r="G18" s="11"/>
      <c r="H18" s="11"/>
    </row>
    <row r="19" spans="5:8" x14ac:dyDescent="0.2">
      <c r="E19" s="10"/>
      <c r="F19" s="10"/>
      <c r="G19" s="11"/>
      <c r="H19" s="11"/>
    </row>
    <row r="20" spans="5:8" x14ac:dyDescent="0.2">
      <c r="E20" s="10"/>
      <c r="F20" s="10"/>
      <c r="G20" s="11"/>
      <c r="H20" s="11"/>
    </row>
    <row r="21" spans="5:8" x14ac:dyDescent="0.2">
      <c r="E21" s="10"/>
      <c r="F21" s="10"/>
      <c r="G21" s="11"/>
      <c r="H21" s="11"/>
    </row>
    <row r="22" spans="5:8" x14ac:dyDescent="0.2">
      <c r="E22" s="10"/>
      <c r="F22" s="10"/>
      <c r="G22" s="11"/>
      <c r="H22" s="11"/>
    </row>
    <row r="23" spans="5:8" x14ac:dyDescent="0.2">
      <c r="E23" s="10"/>
      <c r="F23" s="10"/>
      <c r="G23" s="11"/>
      <c r="H23" s="11"/>
    </row>
    <row r="24" spans="5:8" x14ac:dyDescent="0.2">
      <c r="E24" s="10"/>
      <c r="F24" s="10"/>
      <c r="G24" s="11"/>
      <c r="H24" s="11"/>
    </row>
    <row r="25" spans="5:8" x14ac:dyDescent="0.2">
      <c r="E25" s="10"/>
      <c r="F25" s="10"/>
      <c r="G25" s="11"/>
      <c r="H25" s="11"/>
    </row>
    <row r="26" spans="5:8" x14ac:dyDescent="0.2">
      <c r="E26" s="10"/>
      <c r="F26" s="10"/>
      <c r="G26" s="11"/>
      <c r="H26" s="11"/>
    </row>
    <row r="27" spans="5:8" x14ac:dyDescent="0.2">
      <c r="E27" s="10"/>
      <c r="F27" s="10"/>
      <c r="G27" s="11"/>
      <c r="H27" s="11"/>
    </row>
    <row r="28" spans="5:8" x14ac:dyDescent="0.2">
      <c r="E28" s="10"/>
      <c r="F28" s="10"/>
      <c r="G28" s="11"/>
      <c r="H28" s="11"/>
    </row>
    <row r="29" spans="5:8" x14ac:dyDescent="0.2">
      <c r="G29" s="17"/>
      <c r="H29" s="17"/>
    </row>
    <row r="30" spans="5:8" x14ac:dyDescent="0.2">
      <c r="G30" s="17"/>
      <c r="H30" s="17"/>
    </row>
    <row r="31" spans="5:8" x14ac:dyDescent="0.2">
      <c r="G31" s="17"/>
      <c r="H31" s="17"/>
    </row>
    <row r="32" spans="5:8" x14ac:dyDescent="0.2">
      <c r="G32" s="17"/>
      <c r="H32" s="17"/>
    </row>
    <row r="33" spans="7:8" x14ac:dyDescent="0.2">
      <c r="G33" s="17"/>
      <c r="H33" s="17"/>
    </row>
    <row r="34" spans="7:8" x14ac:dyDescent="0.2">
      <c r="G34" s="17"/>
      <c r="H34" s="17"/>
    </row>
    <row r="35" spans="7:8" x14ac:dyDescent="0.2">
      <c r="G35" s="17"/>
      <c r="H35" s="17"/>
    </row>
    <row r="36" spans="7:8" x14ac:dyDescent="0.2">
      <c r="G36" s="17"/>
      <c r="H36" s="17"/>
    </row>
    <row r="37" spans="7:8" x14ac:dyDescent="0.2">
      <c r="G37" s="17"/>
      <c r="H37" s="17"/>
    </row>
    <row r="38" spans="7:8" x14ac:dyDescent="0.2">
      <c r="G38" s="17"/>
      <c r="H38" s="17"/>
    </row>
    <row r="39" spans="7:8" x14ac:dyDescent="0.2">
      <c r="G39" s="17"/>
      <c r="H39" s="17"/>
    </row>
    <row r="40" spans="7:8" x14ac:dyDescent="0.2">
      <c r="G40" s="17"/>
      <c r="H40" s="17"/>
    </row>
    <row r="41" spans="7:8" x14ac:dyDescent="0.2">
      <c r="G41" s="17"/>
      <c r="H41" s="17"/>
    </row>
    <row r="42" spans="7:8" x14ac:dyDescent="0.2">
      <c r="G42" s="17"/>
      <c r="H42" s="17"/>
    </row>
    <row r="43" spans="7:8" x14ac:dyDescent="0.2">
      <c r="G43" s="17"/>
      <c r="H43" s="17"/>
    </row>
    <row r="44" spans="7:8" x14ac:dyDescent="0.2">
      <c r="G44" s="17"/>
      <c r="H44" s="17"/>
    </row>
    <row r="45" spans="7:8" x14ac:dyDescent="0.2">
      <c r="G45" s="17"/>
      <c r="H45" s="17"/>
    </row>
    <row r="46" spans="7:8" x14ac:dyDescent="0.2">
      <c r="G46" s="17"/>
      <c r="H46" s="17"/>
    </row>
    <row r="47" spans="7:8" x14ac:dyDescent="0.2">
      <c r="G47" s="17"/>
      <c r="H47" s="17"/>
    </row>
    <row r="48" spans="7:8" x14ac:dyDescent="0.2">
      <c r="G48" s="17"/>
      <c r="H48" s="17"/>
    </row>
    <row r="49" spans="7:8" x14ac:dyDescent="0.2">
      <c r="G49" s="17"/>
      <c r="H49" s="17"/>
    </row>
    <row r="50" spans="7:8" x14ac:dyDescent="0.2">
      <c r="G50" s="17"/>
      <c r="H50" s="17"/>
    </row>
    <row r="51" spans="7:8" x14ac:dyDescent="0.2">
      <c r="G51" s="17"/>
      <c r="H51" s="17"/>
    </row>
    <row r="52" spans="7:8" x14ac:dyDescent="0.2">
      <c r="G52" s="17"/>
      <c r="H52" s="17"/>
    </row>
    <row r="53" spans="7:8" x14ac:dyDescent="0.2">
      <c r="G53" s="17"/>
      <c r="H53" s="17"/>
    </row>
    <row r="54" spans="7:8" x14ac:dyDescent="0.2">
      <c r="G54" s="17"/>
      <c r="H54" s="17"/>
    </row>
    <row r="55" spans="7:8" x14ac:dyDescent="0.2">
      <c r="G55" s="17"/>
      <c r="H55" s="17"/>
    </row>
    <row r="56" spans="7:8" x14ac:dyDescent="0.2">
      <c r="G56" s="17"/>
      <c r="H56" s="17"/>
    </row>
    <row r="57" spans="7:8" x14ac:dyDescent="0.2">
      <c r="G57" s="17"/>
      <c r="H57" s="17"/>
    </row>
    <row r="58" spans="7:8" x14ac:dyDescent="0.2">
      <c r="G58" s="17"/>
      <c r="H58" s="17"/>
    </row>
    <row r="59" spans="7:8" x14ac:dyDescent="0.2">
      <c r="G59" s="17"/>
      <c r="H59" s="17"/>
    </row>
    <row r="60" spans="7:8" x14ac:dyDescent="0.2">
      <c r="G60" s="17"/>
      <c r="H60" s="17"/>
    </row>
    <row r="61" spans="7:8" x14ac:dyDescent="0.2">
      <c r="G61" s="17"/>
      <c r="H61" s="17"/>
    </row>
    <row r="62" spans="7:8" x14ac:dyDescent="0.2">
      <c r="G62" s="17"/>
      <c r="H62" s="17"/>
    </row>
    <row r="63" spans="7:8" x14ac:dyDescent="0.2">
      <c r="G63" s="17"/>
      <c r="H63" s="17"/>
    </row>
    <row r="64" spans="7:8" x14ac:dyDescent="0.2">
      <c r="G64" s="17"/>
      <c r="H64" s="17"/>
    </row>
    <row r="65" spans="7:8" x14ac:dyDescent="0.2">
      <c r="G65" s="17"/>
      <c r="H65" s="17"/>
    </row>
    <row r="66" spans="7:8" x14ac:dyDescent="0.2">
      <c r="G66" s="17"/>
      <c r="H66" s="17"/>
    </row>
    <row r="67" spans="7:8" x14ac:dyDescent="0.2">
      <c r="G67" s="17"/>
      <c r="H67" s="17"/>
    </row>
    <row r="68" spans="7:8" x14ac:dyDescent="0.2">
      <c r="G68" s="17"/>
      <c r="H68" s="17"/>
    </row>
    <row r="69" spans="7:8" x14ac:dyDescent="0.2">
      <c r="G69" s="17"/>
      <c r="H69" s="17"/>
    </row>
    <row r="70" spans="7:8" x14ac:dyDescent="0.2">
      <c r="G70" s="17"/>
      <c r="H70" s="17"/>
    </row>
    <row r="71" spans="7:8" x14ac:dyDescent="0.2">
      <c r="G71" s="17"/>
      <c r="H71" s="17"/>
    </row>
    <row r="72" spans="7:8" x14ac:dyDescent="0.2">
      <c r="G72" s="17"/>
      <c r="H72" s="17"/>
    </row>
    <row r="73" spans="7:8" x14ac:dyDescent="0.2">
      <c r="G73" s="17"/>
      <c r="H73" s="17"/>
    </row>
    <row r="74" spans="7:8" x14ac:dyDescent="0.2">
      <c r="G74" s="17"/>
      <c r="H74" s="17"/>
    </row>
    <row r="75" spans="7:8" x14ac:dyDescent="0.2">
      <c r="G75" s="17"/>
      <c r="H75" s="17"/>
    </row>
    <row r="76" spans="7:8" x14ac:dyDescent="0.2">
      <c r="G76" s="17"/>
      <c r="H76" s="17"/>
    </row>
    <row r="77" spans="7:8" x14ac:dyDescent="0.2">
      <c r="G77" s="17"/>
      <c r="H77" s="17"/>
    </row>
    <row r="78" spans="7:8" x14ac:dyDescent="0.2">
      <c r="G78" s="17"/>
      <c r="H78" s="17"/>
    </row>
    <row r="79" spans="7:8" x14ac:dyDescent="0.2">
      <c r="G79" s="17"/>
      <c r="H79" s="17"/>
    </row>
    <row r="80" spans="7:8" x14ac:dyDescent="0.2">
      <c r="G80" s="17"/>
      <c r="H80" s="17"/>
    </row>
    <row r="81" spans="7:8" x14ac:dyDescent="0.2">
      <c r="G81" s="17"/>
      <c r="H81" s="17"/>
    </row>
    <row r="82" spans="7:8" x14ac:dyDescent="0.2">
      <c r="G82" s="17"/>
      <c r="H82" s="17"/>
    </row>
    <row r="83" spans="7:8" x14ac:dyDescent="0.2">
      <c r="G83" s="17"/>
      <c r="H83" s="17"/>
    </row>
    <row r="84" spans="7:8" x14ac:dyDescent="0.2">
      <c r="G84" s="17"/>
      <c r="H84" s="17"/>
    </row>
    <row r="85" spans="7:8" x14ac:dyDescent="0.2">
      <c r="G85" s="17"/>
      <c r="H85" s="17"/>
    </row>
    <row r="86" spans="7:8" x14ac:dyDescent="0.2">
      <c r="G86" s="17"/>
      <c r="H86" s="17"/>
    </row>
    <row r="87" spans="7:8" x14ac:dyDescent="0.2">
      <c r="G87" s="17"/>
      <c r="H87" s="17"/>
    </row>
    <row r="88" spans="7:8" x14ac:dyDescent="0.2">
      <c r="G88" s="17"/>
      <c r="H88" s="17"/>
    </row>
    <row r="89" spans="7:8" x14ac:dyDescent="0.2">
      <c r="G89" s="17"/>
      <c r="H89" s="17"/>
    </row>
    <row r="90" spans="7:8" x14ac:dyDescent="0.2">
      <c r="G90" s="17"/>
      <c r="H90" s="17"/>
    </row>
    <row r="91" spans="7:8" x14ac:dyDescent="0.2">
      <c r="G91" s="17"/>
      <c r="H91" s="17"/>
    </row>
    <row r="92" spans="7:8" x14ac:dyDescent="0.2">
      <c r="G92" s="17"/>
      <c r="H92" s="17"/>
    </row>
    <row r="93" spans="7:8" x14ac:dyDescent="0.2">
      <c r="G93" s="17"/>
      <c r="H93" s="17"/>
    </row>
    <row r="94" spans="7:8" x14ac:dyDescent="0.2">
      <c r="G94" s="17"/>
      <c r="H94" s="17"/>
    </row>
    <row r="95" spans="7:8" x14ac:dyDescent="0.2">
      <c r="G95" s="17"/>
      <c r="H95" s="17"/>
    </row>
    <row r="96" spans="7:8" x14ac:dyDescent="0.2">
      <c r="G96" s="17"/>
      <c r="H96" s="17"/>
    </row>
    <row r="97" spans="7:8" x14ac:dyDescent="0.2">
      <c r="G97" s="17"/>
      <c r="H97" s="17"/>
    </row>
    <row r="98" spans="7:8" x14ac:dyDescent="0.2">
      <c r="G98" s="17"/>
      <c r="H98" s="17"/>
    </row>
    <row r="99" spans="7:8" x14ac:dyDescent="0.2">
      <c r="G99" s="17"/>
      <c r="H99" s="17"/>
    </row>
    <row r="100" spans="7:8" x14ac:dyDescent="0.2">
      <c r="G100" s="17"/>
      <c r="H100" s="17"/>
    </row>
    <row r="101" spans="7:8" x14ac:dyDescent="0.2">
      <c r="G101" s="17"/>
      <c r="H101" s="17"/>
    </row>
    <row r="102" spans="7:8" x14ac:dyDescent="0.2">
      <c r="G102" s="17"/>
      <c r="H102" s="17"/>
    </row>
    <row r="103" spans="7:8" x14ac:dyDescent="0.2">
      <c r="G103" s="17"/>
      <c r="H103" s="17"/>
    </row>
    <row r="104" spans="7:8" x14ac:dyDescent="0.2">
      <c r="G104" s="17"/>
      <c r="H104" s="17"/>
    </row>
    <row r="105" spans="7:8" x14ac:dyDescent="0.2">
      <c r="G105" s="17"/>
      <c r="H105" s="17"/>
    </row>
    <row r="106" spans="7:8" x14ac:dyDescent="0.2">
      <c r="G106" s="17"/>
      <c r="H106" s="17"/>
    </row>
    <row r="107" spans="7:8" x14ac:dyDescent="0.2">
      <c r="G107" s="17"/>
      <c r="H107" s="17"/>
    </row>
    <row r="108" spans="7:8" x14ac:dyDescent="0.2">
      <c r="G108" s="17"/>
      <c r="H108" s="17"/>
    </row>
    <row r="109" spans="7:8" x14ac:dyDescent="0.2">
      <c r="G109" s="17"/>
      <c r="H109" s="17"/>
    </row>
    <row r="110" spans="7:8" x14ac:dyDescent="0.2">
      <c r="G110" s="17"/>
      <c r="H110" s="17"/>
    </row>
    <row r="111" spans="7:8" x14ac:dyDescent="0.2">
      <c r="G111" s="17"/>
      <c r="H111" s="17"/>
    </row>
    <row r="112" spans="7:8" x14ac:dyDescent="0.2">
      <c r="G112" s="17"/>
      <c r="H112" s="17"/>
    </row>
    <row r="113" spans="7:8" x14ac:dyDescent="0.2">
      <c r="G113" s="17"/>
      <c r="H113" s="17"/>
    </row>
    <row r="114" spans="7:8" x14ac:dyDescent="0.2">
      <c r="G114" s="17"/>
      <c r="H114" s="17"/>
    </row>
    <row r="115" spans="7:8" x14ac:dyDescent="0.2">
      <c r="G115" s="17"/>
      <c r="H115" s="17"/>
    </row>
    <row r="116" spans="7:8" x14ac:dyDescent="0.2">
      <c r="G116" s="17"/>
      <c r="H116" s="17"/>
    </row>
    <row r="117" spans="7:8" x14ac:dyDescent="0.2">
      <c r="G117" s="17"/>
      <c r="H117" s="17"/>
    </row>
    <row r="118" spans="7:8" x14ac:dyDescent="0.2">
      <c r="G118" s="17"/>
      <c r="H118" s="17"/>
    </row>
    <row r="119" spans="7:8" x14ac:dyDescent="0.2">
      <c r="G119" s="17"/>
      <c r="H119" s="17"/>
    </row>
    <row r="120" spans="7:8" x14ac:dyDescent="0.2">
      <c r="G120" s="17"/>
      <c r="H120" s="17"/>
    </row>
    <row r="121" spans="7:8" x14ac:dyDescent="0.2">
      <c r="G121" s="17"/>
      <c r="H121" s="17"/>
    </row>
    <row r="122" spans="7:8" x14ac:dyDescent="0.2">
      <c r="G122" s="17"/>
      <c r="H122" s="17"/>
    </row>
    <row r="123" spans="7:8" x14ac:dyDescent="0.2">
      <c r="G123" s="17"/>
      <c r="H123" s="17"/>
    </row>
    <row r="124" spans="7:8" x14ac:dyDescent="0.2">
      <c r="G124" s="17"/>
      <c r="H124" s="17"/>
    </row>
    <row r="125" spans="7:8" x14ac:dyDescent="0.2">
      <c r="G125" s="17"/>
      <c r="H125" s="17"/>
    </row>
    <row r="126" spans="7:8" x14ac:dyDescent="0.2">
      <c r="G126" s="17"/>
      <c r="H126" s="17"/>
    </row>
    <row r="127" spans="7:8" x14ac:dyDescent="0.2">
      <c r="G127" s="17"/>
      <c r="H127" s="17"/>
    </row>
    <row r="128" spans="7:8" x14ac:dyDescent="0.2">
      <c r="G128" s="17"/>
      <c r="H128" s="17"/>
    </row>
    <row r="129" spans="7:8" x14ac:dyDescent="0.2">
      <c r="G129" s="17"/>
      <c r="H129" s="17"/>
    </row>
    <row r="130" spans="7:8" x14ac:dyDescent="0.2">
      <c r="G130" s="17"/>
      <c r="H130" s="17"/>
    </row>
    <row r="131" spans="7:8" x14ac:dyDescent="0.2">
      <c r="G131" s="17"/>
      <c r="H131" s="17"/>
    </row>
    <row r="132" spans="7:8" x14ac:dyDescent="0.2">
      <c r="G132" s="17"/>
      <c r="H132" s="17"/>
    </row>
    <row r="133" spans="7:8" x14ac:dyDescent="0.2">
      <c r="G133" s="17"/>
      <c r="H133" s="17"/>
    </row>
    <row r="134" spans="7:8" x14ac:dyDescent="0.2">
      <c r="G134" s="17"/>
      <c r="H134" s="17"/>
    </row>
    <row r="135" spans="7:8" x14ac:dyDescent="0.2">
      <c r="G135" s="17"/>
      <c r="H135" s="17"/>
    </row>
    <row r="136" spans="7:8" x14ac:dyDescent="0.2">
      <c r="G136" s="17"/>
      <c r="H136" s="17"/>
    </row>
    <row r="137" spans="7:8" x14ac:dyDescent="0.2">
      <c r="G137" s="17"/>
      <c r="H137" s="17"/>
    </row>
    <row r="138" spans="7:8" x14ac:dyDescent="0.2">
      <c r="G138" s="17"/>
      <c r="H138" s="17"/>
    </row>
    <row r="139" spans="7:8" x14ac:dyDescent="0.2">
      <c r="G139" s="17"/>
      <c r="H139" s="17"/>
    </row>
    <row r="140" spans="7:8" x14ac:dyDescent="0.2">
      <c r="G140" s="17"/>
      <c r="H140" s="17"/>
    </row>
    <row r="141" spans="7:8" x14ac:dyDescent="0.2">
      <c r="G141" s="17"/>
      <c r="H141" s="17"/>
    </row>
    <row r="142" spans="7:8" x14ac:dyDescent="0.2">
      <c r="G142" s="17"/>
      <c r="H142" s="17"/>
    </row>
    <row r="143" spans="7:8" x14ac:dyDescent="0.2">
      <c r="G143" s="17"/>
      <c r="H143" s="17"/>
    </row>
    <row r="144" spans="7:8" x14ac:dyDescent="0.2">
      <c r="G144" s="17"/>
      <c r="H144" s="17"/>
    </row>
    <row r="145" spans="7:8" x14ac:dyDescent="0.2">
      <c r="G145" s="17"/>
      <c r="H145" s="17"/>
    </row>
    <row r="146" spans="7:8" x14ac:dyDescent="0.2">
      <c r="G146" s="17"/>
      <c r="H146" s="17"/>
    </row>
    <row r="147" spans="7:8" x14ac:dyDescent="0.2">
      <c r="G147" s="17"/>
      <c r="H147" s="17"/>
    </row>
    <row r="148" spans="7:8" x14ac:dyDescent="0.2">
      <c r="G148" s="17"/>
      <c r="H148" s="17"/>
    </row>
    <row r="149" spans="7:8" x14ac:dyDescent="0.2">
      <c r="G149" s="17"/>
      <c r="H149" s="17"/>
    </row>
    <row r="150" spans="7:8" x14ac:dyDescent="0.2">
      <c r="G150" s="17"/>
      <c r="H150" s="17"/>
    </row>
    <row r="151" spans="7:8" x14ac:dyDescent="0.2">
      <c r="G151" s="17"/>
      <c r="H151" s="17"/>
    </row>
    <row r="152" spans="7:8" x14ac:dyDescent="0.2">
      <c r="G152" s="17"/>
      <c r="H152" s="17"/>
    </row>
    <row r="153" spans="7:8" x14ac:dyDescent="0.2">
      <c r="G153" s="17"/>
      <c r="H153" s="17"/>
    </row>
    <row r="154" spans="7:8" x14ac:dyDescent="0.2">
      <c r="G154" s="17"/>
      <c r="H154" s="17"/>
    </row>
    <row r="155" spans="7:8" x14ac:dyDescent="0.2">
      <c r="G155" s="17"/>
      <c r="H155" s="17"/>
    </row>
    <row r="156" spans="7:8" x14ac:dyDescent="0.2">
      <c r="G156" s="17"/>
      <c r="H156" s="17"/>
    </row>
    <row r="157" spans="7:8" x14ac:dyDescent="0.2">
      <c r="G157" s="17"/>
      <c r="H157" s="17"/>
    </row>
    <row r="158" spans="7:8" x14ac:dyDescent="0.2">
      <c r="G158" s="17"/>
      <c r="H158" s="17"/>
    </row>
    <row r="159" spans="7:8" x14ac:dyDescent="0.2">
      <c r="G159" s="17"/>
      <c r="H159" s="17"/>
    </row>
    <row r="160" spans="7:8" x14ac:dyDescent="0.2">
      <c r="G160" s="17"/>
      <c r="H160" s="17"/>
    </row>
    <row r="161" spans="7:8" x14ac:dyDescent="0.2">
      <c r="G161" s="17"/>
      <c r="H161" s="17"/>
    </row>
    <row r="162" spans="7:8" x14ac:dyDescent="0.2">
      <c r="G162" s="17"/>
      <c r="H162" s="17"/>
    </row>
    <row r="163" spans="7:8" x14ac:dyDescent="0.2">
      <c r="G163" s="17"/>
      <c r="H163" s="17"/>
    </row>
    <row r="164" spans="7:8" x14ac:dyDescent="0.2">
      <c r="G164" s="17"/>
      <c r="H164" s="17"/>
    </row>
    <row r="165" spans="7:8" x14ac:dyDescent="0.2">
      <c r="G165" s="17"/>
      <c r="H165" s="17"/>
    </row>
    <row r="166" spans="7:8" x14ac:dyDescent="0.2">
      <c r="G166" s="17"/>
      <c r="H166" s="17"/>
    </row>
    <row r="167" spans="7:8" x14ac:dyDescent="0.2">
      <c r="G167" s="17"/>
      <c r="H167" s="17"/>
    </row>
    <row r="168" spans="7:8" x14ac:dyDescent="0.2">
      <c r="G168" s="17"/>
      <c r="H168" s="17"/>
    </row>
    <row r="169" spans="7:8" x14ac:dyDescent="0.2">
      <c r="G169" s="17"/>
      <c r="H169" s="17"/>
    </row>
    <row r="170" spans="7:8" x14ac:dyDescent="0.2">
      <c r="G170" s="17"/>
      <c r="H170" s="17"/>
    </row>
    <row r="171" spans="7:8" x14ac:dyDescent="0.2">
      <c r="G171" s="17"/>
      <c r="H171" s="17"/>
    </row>
    <row r="172" spans="7:8" x14ac:dyDescent="0.2">
      <c r="G172" s="17"/>
      <c r="H172" s="17"/>
    </row>
    <row r="173" spans="7:8" x14ac:dyDescent="0.2">
      <c r="G173" s="17"/>
      <c r="H173" s="17"/>
    </row>
    <row r="174" spans="7:8" x14ac:dyDescent="0.2">
      <c r="G174" s="17"/>
      <c r="H174" s="17"/>
    </row>
    <row r="175" spans="7:8" x14ac:dyDescent="0.2">
      <c r="G175" s="17"/>
      <c r="H175" s="17"/>
    </row>
    <row r="176" spans="7:8" x14ac:dyDescent="0.2">
      <c r="G176" s="17"/>
      <c r="H176" s="17"/>
    </row>
    <row r="177" spans="7:8" x14ac:dyDescent="0.2">
      <c r="G177" s="17"/>
      <c r="H177" s="17"/>
    </row>
    <row r="178" spans="7:8" x14ac:dyDescent="0.2">
      <c r="G178" s="17"/>
      <c r="H178" s="17"/>
    </row>
    <row r="179" spans="7:8" x14ac:dyDescent="0.2">
      <c r="G179" s="17"/>
      <c r="H179" s="17"/>
    </row>
    <row r="180" spans="7:8" x14ac:dyDescent="0.2">
      <c r="G180" s="17"/>
      <c r="H180" s="17"/>
    </row>
    <row r="181" spans="7:8" x14ac:dyDescent="0.2">
      <c r="G181" s="17"/>
      <c r="H181" s="17"/>
    </row>
    <row r="182" spans="7:8" x14ac:dyDescent="0.2">
      <c r="G182" s="17"/>
      <c r="H182" s="17"/>
    </row>
    <row r="183" spans="7:8" x14ac:dyDescent="0.2">
      <c r="G183" s="17"/>
      <c r="H183" s="17"/>
    </row>
    <row r="184" spans="7:8" x14ac:dyDescent="0.2">
      <c r="G184" s="17"/>
      <c r="H184" s="17"/>
    </row>
    <row r="185" spans="7:8" x14ac:dyDescent="0.2">
      <c r="G185" s="17"/>
      <c r="H185" s="17"/>
    </row>
    <row r="186" spans="7:8" x14ac:dyDescent="0.2">
      <c r="G186" s="17"/>
      <c r="H186" s="17"/>
    </row>
    <row r="187" spans="7:8" x14ac:dyDescent="0.2">
      <c r="G187" s="17"/>
      <c r="H187" s="17"/>
    </row>
    <row r="188" spans="7:8" x14ac:dyDescent="0.2">
      <c r="G188" s="17"/>
      <c r="H188" s="17"/>
    </row>
    <row r="189" spans="7:8" x14ac:dyDescent="0.2">
      <c r="G189" s="17"/>
      <c r="H189" s="17"/>
    </row>
    <row r="190" spans="7:8" x14ac:dyDescent="0.2">
      <c r="G190" s="17"/>
      <c r="H190" s="17"/>
    </row>
    <row r="191" spans="7:8" x14ac:dyDescent="0.2">
      <c r="G191" s="17"/>
      <c r="H191" s="17"/>
    </row>
    <row r="192" spans="7:8" x14ac:dyDescent="0.2">
      <c r="G192" s="17"/>
      <c r="H192" s="17"/>
    </row>
    <row r="193" spans="7:8" x14ac:dyDescent="0.2">
      <c r="G193" s="17"/>
      <c r="H193" s="17"/>
    </row>
    <row r="194" spans="7:8" x14ac:dyDescent="0.2">
      <c r="G194" s="17"/>
      <c r="H194" s="17"/>
    </row>
    <row r="195" spans="7:8" x14ac:dyDescent="0.2">
      <c r="G195" s="17"/>
      <c r="H195" s="17"/>
    </row>
    <row r="196" spans="7:8" x14ac:dyDescent="0.2">
      <c r="G196" s="17"/>
      <c r="H196" s="17"/>
    </row>
    <row r="197" spans="7:8" x14ac:dyDescent="0.2">
      <c r="G197" s="17"/>
      <c r="H197" s="17"/>
    </row>
    <row r="198" spans="7:8" x14ac:dyDescent="0.2">
      <c r="G198" s="17"/>
      <c r="H198" s="17"/>
    </row>
    <row r="199" spans="7:8" x14ac:dyDescent="0.2">
      <c r="G199" s="17"/>
      <c r="H199" s="17"/>
    </row>
    <row r="200" spans="7:8" x14ac:dyDescent="0.2">
      <c r="G200" s="17"/>
      <c r="H200" s="17"/>
    </row>
    <row r="201" spans="7:8" x14ac:dyDescent="0.2">
      <c r="G201" s="17"/>
      <c r="H201" s="17"/>
    </row>
    <row r="202" spans="7:8" x14ac:dyDescent="0.2">
      <c r="G202" s="17"/>
      <c r="H202" s="17"/>
    </row>
    <row r="203" spans="7:8" x14ac:dyDescent="0.2">
      <c r="G203" s="17"/>
      <c r="H203" s="17"/>
    </row>
    <row r="204" spans="7:8" x14ac:dyDescent="0.2">
      <c r="G204" s="17"/>
      <c r="H204" s="17"/>
    </row>
    <row r="205" spans="7:8" x14ac:dyDescent="0.2">
      <c r="G205" s="17"/>
      <c r="H205" s="17"/>
    </row>
    <row r="206" spans="7:8" x14ac:dyDescent="0.2">
      <c r="G206" s="17"/>
      <c r="H206" s="17"/>
    </row>
    <row r="207" spans="7:8" x14ac:dyDescent="0.2">
      <c r="G207" s="17"/>
      <c r="H207" s="17"/>
    </row>
    <row r="208" spans="7:8" x14ac:dyDescent="0.2">
      <c r="G208" s="17"/>
      <c r="H208" s="17"/>
    </row>
    <row r="209" spans="7:8" x14ac:dyDescent="0.2">
      <c r="G209" s="17"/>
      <c r="H209" s="17"/>
    </row>
    <row r="210" spans="7:8" x14ac:dyDescent="0.2">
      <c r="G210" s="17"/>
      <c r="H210" s="17"/>
    </row>
    <row r="211" spans="7:8" x14ac:dyDescent="0.2">
      <c r="G211" s="17"/>
      <c r="H211" s="17"/>
    </row>
    <row r="212" spans="7:8" x14ac:dyDescent="0.2">
      <c r="G212" s="17"/>
      <c r="H212" s="17"/>
    </row>
    <row r="213" spans="7:8" x14ac:dyDescent="0.2">
      <c r="G213" s="17"/>
      <c r="H213" s="17"/>
    </row>
    <row r="214" spans="7:8" x14ac:dyDescent="0.2">
      <c r="G214" s="17"/>
      <c r="H214" s="17"/>
    </row>
    <row r="215" spans="7:8" x14ac:dyDescent="0.2">
      <c r="G215" s="17"/>
      <c r="H215" s="17"/>
    </row>
    <row r="216" spans="7:8" x14ac:dyDescent="0.2">
      <c r="G216" s="17"/>
      <c r="H216" s="17"/>
    </row>
    <row r="217" spans="7:8" x14ac:dyDescent="0.2">
      <c r="G217" s="17"/>
      <c r="H217" s="17"/>
    </row>
    <row r="218" spans="7:8" x14ac:dyDescent="0.2">
      <c r="G218" s="17"/>
      <c r="H218" s="17"/>
    </row>
    <row r="219" spans="7:8" x14ac:dyDescent="0.2">
      <c r="G219" s="17"/>
      <c r="H219" s="17"/>
    </row>
    <row r="220" spans="7:8" x14ac:dyDescent="0.2">
      <c r="G220" s="17"/>
      <c r="H220" s="17"/>
    </row>
    <row r="221" spans="7:8" x14ac:dyDescent="0.2">
      <c r="G221" s="17"/>
      <c r="H221" s="17"/>
    </row>
    <row r="222" spans="7:8" x14ac:dyDescent="0.2">
      <c r="G222" s="17"/>
      <c r="H222" s="17"/>
    </row>
    <row r="223" spans="7:8" x14ac:dyDescent="0.2">
      <c r="G223" s="17"/>
      <c r="H223" s="17"/>
    </row>
    <row r="224" spans="7:8" x14ac:dyDescent="0.2">
      <c r="G224" s="17"/>
      <c r="H224" s="17"/>
    </row>
    <row r="225" spans="7:8" x14ac:dyDescent="0.2">
      <c r="G225" s="17"/>
      <c r="H225" s="17"/>
    </row>
    <row r="226" spans="7:8" x14ac:dyDescent="0.2">
      <c r="G226" s="17"/>
      <c r="H226" s="17"/>
    </row>
    <row r="227" spans="7:8" x14ac:dyDescent="0.2">
      <c r="G227" s="17"/>
      <c r="H227" s="17"/>
    </row>
    <row r="228" spans="7:8" x14ac:dyDescent="0.2">
      <c r="G228" s="17"/>
      <c r="H228" s="17"/>
    </row>
    <row r="229" spans="7:8" x14ac:dyDescent="0.2">
      <c r="G229" s="17"/>
      <c r="H229" s="17"/>
    </row>
    <row r="230" spans="7:8" x14ac:dyDescent="0.2">
      <c r="G230" s="17"/>
      <c r="H230" s="17"/>
    </row>
    <row r="231" spans="7:8" x14ac:dyDescent="0.2">
      <c r="G231" s="17"/>
      <c r="H231" s="17"/>
    </row>
    <row r="232" spans="7:8" x14ac:dyDescent="0.2">
      <c r="G232" s="17"/>
      <c r="H232" s="17"/>
    </row>
    <row r="233" spans="7:8" x14ac:dyDescent="0.2">
      <c r="G233" s="17"/>
      <c r="H233" s="17"/>
    </row>
    <row r="234" spans="7:8" x14ac:dyDescent="0.2">
      <c r="G234" s="17"/>
      <c r="H234" s="17"/>
    </row>
    <row r="235" spans="7:8" x14ac:dyDescent="0.2">
      <c r="G235" s="17"/>
      <c r="H235" s="17"/>
    </row>
    <row r="236" spans="7:8" x14ac:dyDescent="0.2">
      <c r="G236" s="17"/>
      <c r="H236" s="17"/>
    </row>
    <row r="237" spans="7:8" x14ac:dyDescent="0.2">
      <c r="G237" s="17"/>
      <c r="H237" s="17"/>
    </row>
    <row r="238" spans="7:8" x14ac:dyDescent="0.2">
      <c r="G238" s="17"/>
      <c r="H238" s="17"/>
    </row>
    <row r="239" spans="7:8" x14ac:dyDescent="0.2">
      <c r="G239" s="17"/>
      <c r="H239" s="17"/>
    </row>
    <row r="240" spans="7:8" x14ac:dyDescent="0.2">
      <c r="G240" s="17"/>
      <c r="H240" s="17"/>
    </row>
    <row r="241" spans="7:8" x14ac:dyDescent="0.2">
      <c r="G241" s="17"/>
      <c r="H241" s="17"/>
    </row>
    <row r="242" spans="7:8" x14ac:dyDescent="0.2">
      <c r="G242" s="17"/>
      <c r="H242" s="17"/>
    </row>
    <row r="243" spans="7:8" x14ac:dyDescent="0.2">
      <c r="G243" s="17"/>
      <c r="H243" s="17"/>
    </row>
    <row r="244" spans="7:8" x14ac:dyDescent="0.2">
      <c r="G244" s="17"/>
      <c r="H244" s="17"/>
    </row>
    <row r="245" spans="7:8" x14ac:dyDescent="0.2">
      <c r="G245" s="17"/>
      <c r="H245" s="17"/>
    </row>
    <row r="246" spans="7:8" x14ac:dyDescent="0.2">
      <c r="G246" s="17"/>
      <c r="H246" s="17"/>
    </row>
    <row r="247" spans="7:8" x14ac:dyDescent="0.2">
      <c r="G247" s="17"/>
      <c r="H247" s="17"/>
    </row>
    <row r="248" spans="7:8" x14ac:dyDescent="0.2">
      <c r="G248" s="17"/>
      <c r="H248" s="17"/>
    </row>
    <row r="249" spans="7:8" x14ac:dyDescent="0.2">
      <c r="G249" s="17"/>
      <c r="H249" s="17"/>
    </row>
    <row r="250" spans="7:8" x14ac:dyDescent="0.2">
      <c r="G250" s="17"/>
      <c r="H250" s="17"/>
    </row>
    <row r="251" spans="7:8" x14ac:dyDescent="0.2">
      <c r="G251" s="17"/>
      <c r="H251" s="17"/>
    </row>
    <row r="252" spans="7:8" x14ac:dyDescent="0.2">
      <c r="G252" s="17"/>
      <c r="H252" s="17"/>
    </row>
    <row r="253" spans="7:8" x14ac:dyDescent="0.2">
      <c r="G253" s="17"/>
      <c r="H253" s="17"/>
    </row>
    <row r="254" spans="7:8" x14ac:dyDescent="0.2">
      <c r="G254" s="17"/>
      <c r="H254" s="17"/>
    </row>
    <row r="255" spans="7:8" x14ac:dyDescent="0.2">
      <c r="G255" s="17"/>
      <c r="H255" s="17"/>
    </row>
    <row r="256" spans="7:8" x14ac:dyDescent="0.2">
      <c r="G256" s="17"/>
      <c r="H256" s="17"/>
    </row>
    <row r="257" spans="7:8" x14ac:dyDescent="0.2">
      <c r="G257" s="17"/>
      <c r="H257" s="17"/>
    </row>
    <row r="258" spans="7:8" x14ac:dyDescent="0.2">
      <c r="G258" s="17"/>
      <c r="H258" s="17"/>
    </row>
    <row r="259" spans="7:8" x14ac:dyDescent="0.2">
      <c r="G259" s="17"/>
      <c r="H259" s="17"/>
    </row>
    <row r="260" spans="7:8" x14ac:dyDescent="0.2">
      <c r="G260" s="17"/>
      <c r="H260" s="17"/>
    </row>
    <row r="261" spans="7:8" x14ac:dyDescent="0.2">
      <c r="G261" s="17"/>
      <c r="H261" s="17"/>
    </row>
    <row r="262" spans="7:8" x14ac:dyDescent="0.2">
      <c r="G262" s="17"/>
      <c r="H262" s="17"/>
    </row>
    <row r="263" spans="7:8" x14ac:dyDescent="0.2">
      <c r="G263" s="17"/>
      <c r="H263" s="17"/>
    </row>
    <row r="264" spans="7:8" x14ac:dyDescent="0.2">
      <c r="G264" s="17"/>
      <c r="H264" s="17"/>
    </row>
    <row r="265" spans="7:8" x14ac:dyDescent="0.2">
      <c r="G265" s="17"/>
      <c r="H265" s="17"/>
    </row>
    <row r="266" spans="7:8" x14ac:dyDescent="0.2">
      <c r="G266" s="17"/>
      <c r="H266" s="17"/>
    </row>
    <row r="267" spans="7:8" x14ac:dyDescent="0.2">
      <c r="G267" s="17"/>
      <c r="H267" s="17"/>
    </row>
    <row r="268" spans="7:8" x14ac:dyDescent="0.2">
      <c r="G268" s="17"/>
      <c r="H268" s="17"/>
    </row>
    <row r="269" spans="7:8" x14ac:dyDescent="0.2">
      <c r="G269" s="17"/>
      <c r="H269" s="17"/>
    </row>
    <row r="270" spans="7:8" x14ac:dyDescent="0.2">
      <c r="G270" s="17"/>
      <c r="H270" s="17"/>
    </row>
    <row r="271" spans="7:8" x14ac:dyDescent="0.2">
      <c r="G271" s="17"/>
      <c r="H271" s="17"/>
    </row>
    <row r="272" spans="7:8" x14ac:dyDescent="0.2">
      <c r="G272" s="17"/>
      <c r="H272" s="17"/>
    </row>
    <row r="273" spans="7:8" x14ac:dyDescent="0.2">
      <c r="G273" s="17"/>
      <c r="H273" s="17"/>
    </row>
    <row r="274" spans="7:8" x14ac:dyDescent="0.2">
      <c r="G274" s="17"/>
      <c r="H274" s="17"/>
    </row>
    <row r="275" spans="7:8" x14ac:dyDescent="0.2">
      <c r="G275" s="17"/>
      <c r="H275" s="17"/>
    </row>
    <row r="276" spans="7:8" x14ac:dyDescent="0.2">
      <c r="G276" s="17"/>
      <c r="H276" s="17"/>
    </row>
    <row r="277" spans="7:8" x14ac:dyDescent="0.2">
      <c r="G277" s="17"/>
      <c r="H277" s="17"/>
    </row>
    <row r="278" spans="7:8" x14ac:dyDescent="0.2">
      <c r="G278" s="17"/>
      <c r="H278" s="17"/>
    </row>
    <row r="279" spans="7:8" x14ac:dyDescent="0.2">
      <c r="G279" s="17"/>
      <c r="H279" s="17"/>
    </row>
    <row r="280" spans="7:8" x14ac:dyDescent="0.2">
      <c r="G280" s="17"/>
      <c r="H280" s="17"/>
    </row>
    <row r="281" spans="7:8" x14ac:dyDescent="0.2">
      <c r="G281" s="17"/>
      <c r="H281" s="17"/>
    </row>
    <row r="282" spans="7:8" x14ac:dyDescent="0.2">
      <c r="G282" s="17"/>
      <c r="H282" s="17"/>
    </row>
    <row r="283" spans="7:8" x14ac:dyDescent="0.2">
      <c r="G283" s="17"/>
      <c r="H283" s="17"/>
    </row>
    <row r="284" spans="7:8" x14ac:dyDescent="0.2">
      <c r="G284" s="17"/>
      <c r="H284" s="17"/>
    </row>
    <row r="285" spans="7:8" x14ac:dyDescent="0.2">
      <c r="G285" s="17"/>
      <c r="H285" s="17"/>
    </row>
    <row r="286" spans="7:8" x14ac:dyDescent="0.2">
      <c r="G286" s="17"/>
      <c r="H286" s="17"/>
    </row>
    <row r="287" spans="7:8" x14ac:dyDescent="0.2">
      <c r="G287" s="17"/>
      <c r="H287" s="17"/>
    </row>
    <row r="288" spans="7:8" x14ac:dyDescent="0.2">
      <c r="G288" s="17"/>
      <c r="H288" s="17"/>
    </row>
    <row r="289" spans="7:8" x14ac:dyDescent="0.2">
      <c r="G289" s="17"/>
      <c r="H289" s="17"/>
    </row>
    <row r="290" spans="7:8" x14ac:dyDescent="0.2">
      <c r="G290" s="17"/>
      <c r="H290" s="17"/>
    </row>
    <row r="291" spans="7:8" x14ac:dyDescent="0.2">
      <c r="G291" s="17"/>
      <c r="H291" s="17"/>
    </row>
    <row r="292" spans="7:8" x14ac:dyDescent="0.2">
      <c r="G292" s="17"/>
      <c r="H292" s="17"/>
    </row>
    <row r="293" spans="7:8" x14ac:dyDescent="0.2">
      <c r="G293" s="17"/>
      <c r="H293" s="17"/>
    </row>
    <row r="294" spans="7:8" x14ac:dyDescent="0.2">
      <c r="G294" s="17"/>
      <c r="H294" s="17"/>
    </row>
    <row r="295" spans="7:8" x14ac:dyDescent="0.2">
      <c r="G295" s="17"/>
      <c r="H295" s="17"/>
    </row>
    <row r="296" spans="7:8" x14ac:dyDescent="0.2">
      <c r="G296" s="17"/>
      <c r="H296" s="17"/>
    </row>
    <row r="297" spans="7:8" x14ac:dyDescent="0.2">
      <c r="G297" s="17"/>
      <c r="H297" s="17"/>
    </row>
    <row r="298" spans="7:8" x14ac:dyDescent="0.2">
      <c r="G298" s="17"/>
      <c r="H298" s="17"/>
    </row>
    <row r="299" spans="7:8" x14ac:dyDescent="0.2">
      <c r="G299" s="17"/>
      <c r="H299" s="17"/>
    </row>
    <row r="300" spans="7:8" x14ac:dyDescent="0.2">
      <c r="G300" s="17"/>
      <c r="H300" s="17"/>
    </row>
    <row r="301" spans="7:8" x14ac:dyDescent="0.2">
      <c r="G301" s="17"/>
      <c r="H301" s="17"/>
    </row>
    <row r="302" spans="7:8" x14ac:dyDescent="0.2">
      <c r="G302" s="17"/>
      <c r="H302" s="17"/>
    </row>
    <row r="303" spans="7:8" x14ac:dyDescent="0.2">
      <c r="G303" s="17"/>
      <c r="H303" s="17"/>
    </row>
    <row r="304" spans="7:8" x14ac:dyDescent="0.2">
      <c r="G304" s="17"/>
      <c r="H304" s="17"/>
    </row>
    <row r="305" spans="7:8" x14ac:dyDescent="0.2">
      <c r="G305" s="17"/>
      <c r="H305" s="17"/>
    </row>
    <row r="306" spans="7:8" x14ac:dyDescent="0.2">
      <c r="G306" s="17"/>
      <c r="H306" s="17"/>
    </row>
    <row r="307" spans="7:8" x14ac:dyDescent="0.2">
      <c r="G307" s="17"/>
      <c r="H307" s="17"/>
    </row>
    <row r="308" spans="7:8" x14ac:dyDescent="0.2">
      <c r="G308" s="17"/>
      <c r="H308" s="17"/>
    </row>
    <row r="309" spans="7:8" x14ac:dyDescent="0.2">
      <c r="G309" s="17"/>
      <c r="H309" s="17"/>
    </row>
    <row r="310" spans="7:8" x14ac:dyDescent="0.2">
      <c r="G310" s="17"/>
      <c r="H310" s="17"/>
    </row>
    <row r="311" spans="7:8" x14ac:dyDescent="0.2">
      <c r="G311" s="17"/>
      <c r="H311" s="17"/>
    </row>
    <row r="312" spans="7:8" x14ac:dyDescent="0.2">
      <c r="G312" s="17"/>
      <c r="H312" s="17"/>
    </row>
    <row r="313" spans="7:8" x14ac:dyDescent="0.2">
      <c r="G313" s="17"/>
      <c r="H313" s="17"/>
    </row>
    <row r="314" spans="7:8" x14ac:dyDescent="0.2">
      <c r="G314" s="17"/>
      <c r="H314" s="17"/>
    </row>
    <row r="315" spans="7:8" x14ac:dyDescent="0.2">
      <c r="G315" s="17"/>
      <c r="H315" s="17"/>
    </row>
    <row r="316" spans="7:8" x14ac:dyDescent="0.2">
      <c r="G316" s="17"/>
      <c r="H316" s="17"/>
    </row>
    <row r="317" spans="7:8" x14ac:dyDescent="0.2">
      <c r="G317" s="17"/>
      <c r="H317" s="17"/>
    </row>
    <row r="318" spans="7:8" x14ac:dyDescent="0.2">
      <c r="G318" s="17"/>
      <c r="H318" s="17"/>
    </row>
    <row r="319" spans="7:8" x14ac:dyDescent="0.2">
      <c r="G319" s="17"/>
      <c r="H319" s="17"/>
    </row>
    <row r="320" spans="7:8" x14ac:dyDescent="0.2">
      <c r="G320" s="17"/>
      <c r="H320" s="17"/>
    </row>
    <row r="321" spans="7:8" x14ac:dyDescent="0.2">
      <c r="G321" s="17"/>
      <c r="H321" s="17"/>
    </row>
    <row r="322" spans="7:8" x14ac:dyDescent="0.2">
      <c r="G322" s="17"/>
      <c r="H322" s="17"/>
    </row>
    <row r="323" spans="7:8" x14ac:dyDescent="0.2">
      <c r="G323" s="17"/>
      <c r="H323" s="17"/>
    </row>
    <row r="324" spans="7:8" x14ac:dyDescent="0.2">
      <c r="G324" s="17"/>
      <c r="H324" s="17"/>
    </row>
    <row r="325" spans="7:8" x14ac:dyDescent="0.2">
      <c r="G325" s="17"/>
      <c r="H325" s="17"/>
    </row>
    <row r="326" spans="7:8" x14ac:dyDescent="0.2">
      <c r="G326" s="17"/>
      <c r="H326" s="17"/>
    </row>
    <row r="327" spans="7:8" x14ac:dyDescent="0.2">
      <c r="G327" s="17"/>
      <c r="H327" s="17"/>
    </row>
    <row r="328" spans="7:8" x14ac:dyDescent="0.2">
      <c r="G328" s="17"/>
      <c r="H328" s="17"/>
    </row>
    <row r="329" spans="7:8" x14ac:dyDescent="0.2">
      <c r="G329" s="17"/>
      <c r="H329" s="17"/>
    </row>
    <row r="330" spans="7:8" x14ac:dyDescent="0.2">
      <c r="G330" s="17"/>
      <c r="H330" s="17"/>
    </row>
    <row r="331" spans="7:8" x14ac:dyDescent="0.2">
      <c r="G331" s="17"/>
      <c r="H331" s="17"/>
    </row>
    <row r="332" spans="7:8" x14ac:dyDescent="0.2">
      <c r="G332" s="17"/>
      <c r="H332" s="17"/>
    </row>
    <row r="333" spans="7:8" x14ac:dyDescent="0.2">
      <c r="G333" s="17"/>
      <c r="H333" s="17"/>
    </row>
    <row r="334" spans="7:8" x14ac:dyDescent="0.2">
      <c r="G334" s="17"/>
      <c r="H334" s="17"/>
    </row>
    <row r="335" spans="7:8" x14ac:dyDescent="0.2">
      <c r="G335" s="17"/>
      <c r="H335" s="17"/>
    </row>
    <row r="336" spans="7:8" x14ac:dyDescent="0.2">
      <c r="G336" s="17"/>
      <c r="H336" s="17"/>
    </row>
    <row r="337" spans="7:8" x14ac:dyDescent="0.2">
      <c r="G337" s="17"/>
      <c r="H337" s="17"/>
    </row>
    <row r="338" spans="7:8" x14ac:dyDescent="0.2">
      <c r="G338" s="17"/>
      <c r="H338" s="17"/>
    </row>
    <row r="339" spans="7:8" x14ac:dyDescent="0.2">
      <c r="G339" s="17"/>
      <c r="H339" s="17"/>
    </row>
    <row r="340" spans="7:8" x14ac:dyDescent="0.2">
      <c r="G340" s="17"/>
      <c r="H340" s="17"/>
    </row>
    <row r="341" spans="7:8" x14ac:dyDescent="0.2">
      <c r="G341" s="17"/>
      <c r="H341" s="17"/>
    </row>
    <row r="342" spans="7:8" x14ac:dyDescent="0.2">
      <c r="G342" s="17"/>
      <c r="H342" s="17"/>
    </row>
    <row r="343" spans="7:8" x14ac:dyDescent="0.2">
      <c r="G343" s="17"/>
      <c r="H343" s="17"/>
    </row>
    <row r="344" spans="7:8" x14ac:dyDescent="0.2">
      <c r="G344" s="17"/>
      <c r="H344" s="17"/>
    </row>
    <row r="345" spans="7:8" x14ac:dyDescent="0.2">
      <c r="G345" s="17"/>
      <c r="H345" s="17"/>
    </row>
    <row r="346" spans="7:8" x14ac:dyDescent="0.2">
      <c r="G346" s="17"/>
      <c r="H346" s="17"/>
    </row>
    <row r="347" spans="7:8" x14ac:dyDescent="0.2">
      <c r="G347" s="17"/>
      <c r="H347" s="17"/>
    </row>
    <row r="348" spans="7:8" x14ac:dyDescent="0.2">
      <c r="G348" s="17"/>
      <c r="H348" s="17"/>
    </row>
    <row r="349" spans="7:8" x14ac:dyDescent="0.2">
      <c r="G349" s="17"/>
      <c r="H349" s="17"/>
    </row>
    <row r="350" spans="7:8" x14ac:dyDescent="0.2">
      <c r="G350" s="17"/>
      <c r="H350" s="17"/>
    </row>
    <row r="351" spans="7:8" x14ac:dyDescent="0.2">
      <c r="G351" s="17"/>
      <c r="H351" s="17"/>
    </row>
    <row r="352" spans="7:8" x14ac:dyDescent="0.2">
      <c r="G352" s="17"/>
      <c r="H352" s="17"/>
    </row>
    <row r="353" spans="7:8" x14ac:dyDescent="0.2">
      <c r="G353" s="17"/>
      <c r="H353" s="17"/>
    </row>
    <row r="354" spans="7:8" x14ac:dyDescent="0.2">
      <c r="G354" s="17"/>
      <c r="H354" s="17"/>
    </row>
    <row r="355" spans="7:8" x14ac:dyDescent="0.2">
      <c r="G355" s="17"/>
      <c r="H355" s="17"/>
    </row>
    <row r="356" spans="7:8" x14ac:dyDescent="0.2">
      <c r="G356" s="17"/>
      <c r="H356" s="17"/>
    </row>
    <row r="357" spans="7:8" x14ac:dyDescent="0.2">
      <c r="G357" s="17"/>
      <c r="H357" s="17"/>
    </row>
    <row r="358" spans="7:8" x14ac:dyDescent="0.2">
      <c r="G358" s="17"/>
      <c r="H358" s="17"/>
    </row>
    <row r="359" spans="7:8" x14ac:dyDescent="0.2">
      <c r="G359" s="17"/>
      <c r="H359" s="17"/>
    </row>
    <row r="360" spans="7:8" x14ac:dyDescent="0.2">
      <c r="G360" s="17"/>
      <c r="H360" s="17"/>
    </row>
    <row r="361" spans="7:8" x14ac:dyDescent="0.2">
      <c r="G361" s="17"/>
      <c r="H361" s="17"/>
    </row>
    <row r="362" spans="7:8" x14ac:dyDescent="0.2">
      <c r="G362" s="17"/>
      <c r="H362" s="17"/>
    </row>
    <row r="363" spans="7:8" x14ac:dyDescent="0.2">
      <c r="G363" s="17"/>
      <c r="H363" s="17"/>
    </row>
    <row r="364" spans="7:8" x14ac:dyDescent="0.2">
      <c r="G364" s="17"/>
      <c r="H364" s="17"/>
    </row>
    <row r="365" spans="7:8" x14ac:dyDescent="0.2">
      <c r="G365" s="17"/>
      <c r="H365" s="17"/>
    </row>
    <row r="366" spans="7:8" x14ac:dyDescent="0.2">
      <c r="G366" s="17"/>
      <c r="H366" s="17"/>
    </row>
    <row r="367" spans="7:8" x14ac:dyDescent="0.2">
      <c r="G367" s="17"/>
      <c r="H367" s="17"/>
    </row>
    <row r="368" spans="7:8" x14ac:dyDescent="0.2">
      <c r="G368" s="17"/>
      <c r="H368" s="17"/>
    </row>
    <row r="369" spans="7:8" x14ac:dyDescent="0.2">
      <c r="G369" s="17"/>
      <c r="H369" s="17"/>
    </row>
    <row r="370" spans="7:8" x14ac:dyDescent="0.2">
      <c r="G370" s="17"/>
      <c r="H370" s="17"/>
    </row>
    <row r="371" spans="7:8" x14ac:dyDescent="0.2">
      <c r="G371" s="17"/>
      <c r="H371" s="17"/>
    </row>
    <row r="372" spans="7:8" x14ac:dyDescent="0.2">
      <c r="G372" s="17"/>
      <c r="H372" s="17"/>
    </row>
    <row r="373" spans="7:8" x14ac:dyDescent="0.2">
      <c r="G373" s="17"/>
      <c r="H373" s="17"/>
    </row>
    <row r="374" spans="7:8" x14ac:dyDescent="0.2">
      <c r="G374" s="17"/>
      <c r="H374" s="17"/>
    </row>
    <row r="375" spans="7:8" x14ac:dyDescent="0.2">
      <c r="G375" s="17"/>
      <c r="H375" s="17"/>
    </row>
    <row r="376" spans="7:8" x14ac:dyDescent="0.2">
      <c r="G376" s="17"/>
      <c r="H376" s="17"/>
    </row>
    <row r="377" spans="7:8" x14ac:dyDescent="0.2">
      <c r="G377" s="17"/>
      <c r="H377" s="17"/>
    </row>
    <row r="378" spans="7:8" x14ac:dyDescent="0.2">
      <c r="G378" s="17"/>
      <c r="H378" s="17"/>
    </row>
    <row r="379" spans="7:8" x14ac:dyDescent="0.2">
      <c r="G379" s="17"/>
      <c r="H379" s="17"/>
    </row>
    <row r="380" spans="7:8" x14ac:dyDescent="0.2">
      <c r="G380" s="17"/>
      <c r="H380" s="17"/>
    </row>
    <row r="381" spans="7:8" x14ac:dyDescent="0.2">
      <c r="G381" s="17"/>
      <c r="H381" s="17"/>
    </row>
    <row r="382" spans="7:8" x14ac:dyDescent="0.2">
      <c r="G382" s="17"/>
      <c r="H382" s="17"/>
    </row>
    <row r="383" spans="7:8" x14ac:dyDescent="0.2">
      <c r="G383" s="17"/>
      <c r="H383" s="17"/>
    </row>
    <row r="384" spans="7:8" x14ac:dyDescent="0.2">
      <c r="G384" s="17"/>
      <c r="H384" s="17"/>
    </row>
    <row r="385" spans="7:8" x14ac:dyDescent="0.2">
      <c r="G385" s="17"/>
      <c r="H385" s="17"/>
    </row>
    <row r="386" spans="7:8" x14ac:dyDescent="0.2">
      <c r="G386" s="17"/>
      <c r="H386" s="17"/>
    </row>
    <row r="387" spans="7:8" x14ac:dyDescent="0.2">
      <c r="G387" s="17"/>
      <c r="H387" s="17"/>
    </row>
    <row r="388" spans="7:8" x14ac:dyDescent="0.2">
      <c r="G388" s="17"/>
      <c r="H388" s="17"/>
    </row>
    <row r="389" spans="7:8" x14ac:dyDescent="0.2">
      <c r="G389" s="17"/>
      <c r="H389" s="17"/>
    </row>
    <row r="390" spans="7:8" x14ac:dyDescent="0.2">
      <c r="G390" s="17"/>
      <c r="H390" s="17"/>
    </row>
    <row r="391" spans="7:8" x14ac:dyDescent="0.2">
      <c r="G391" s="17"/>
      <c r="H391" s="17"/>
    </row>
    <row r="392" spans="7:8" x14ac:dyDescent="0.2">
      <c r="G392" s="17"/>
      <c r="H392" s="17"/>
    </row>
    <row r="393" spans="7:8" x14ac:dyDescent="0.2">
      <c r="G393" s="17"/>
      <c r="H393" s="17"/>
    </row>
    <row r="394" spans="7:8" x14ac:dyDescent="0.2">
      <c r="G394" s="17"/>
      <c r="H394" s="17"/>
    </row>
    <row r="395" spans="7:8" x14ac:dyDescent="0.2">
      <c r="G395" s="17"/>
      <c r="H395" s="17"/>
    </row>
    <row r="396" spans="7:8" x14ac:dyDescent="0.2">
      <c r="G396" s="17"/>
      <c r="H396" s="17"/>
    </row>
    <row r="397" spans="7:8" x14ac:dyDescent="0.2">
      <c r="G397" s="17"/>
      <c r="H397" s="17"/>
    </row>
    <row r="398" spans="7:8" x14ac:dyDescent="0.2">
      <c r="G398" s="17"/>
      <c r="H398" s="17"/>
    </row>
    <row r="399" spans="7:8" x14ac:dyDescent="0.2">
      <c r="G399" s="17"/>
      <c r="H399" s="17"/>
    </row>
    <row r="400" spans="7:8" x14ac:dyDescent="0.2">
      <c r="G400" s="17"/>
      <c r="H400" s="17"/>
    </row>
    <row r="401" spans="7:8" x14ac:dyDescent="0.2">
      <c r="G401" s="17"/>
      <c r="H401" s="17"/>
    </row>
    <row r="402" spans="7:8" x14ac:dyDescent="0.2">
      <c r="G402" s="17"/>
      <c r="H402" s="17"/>
    </row>
    <row r="403" spans="7:8" x14ac:dyDescent="0.2">
      <c r="G403" s="17"/>
      <c r="H403" s="17"/>
    </row>
    <row r="404" spans="7:8" x14ac:dyDescent="0.2">
      <c r="G404" s="17"/>
      <c r="H404" s="17"/>
    </row>
    <row r="405" spans="7:8" x14ac:dyDescent="0.2">
      <c r="G405" s="17"/>
      <c r="H405" s="17"/>
    </row>
    <row r="406" spans="7:8" x14ac:dyDescent="0.2">
      <c r="G406" s="17"/>
      <c r="H406" s="17"/>
    </row>
    <row r="407" spans="7:8" x14ac:dyDescent="0.2">
      <c r="G407" s="17"/>
      <c r="H407" s="17"/>
    </row>
    <row r="408" spans="7:8" x14ac:dyDescent="0.2">
      <c r="G408" s="17"/>
      <c r="H408" s="17"/>
    </row>
    <row r="409" spans="7:8" x14ac:dyDescent="0.2">
      <c r="G409" s="17"/>
      <c r="H409" s="17"/>
    </row>
    <row r="410" spans="7:8" x14ac:dyDescent="0.2">
      <c r="G410" s="17"/>
      <c r="H410" s="17"/>
    </row>
    <row r="411" spans="7:8" x14ac:dyDescent="0.2">
      <c r="G411" s="17"/>
      <c r="H411" s="17"/>
    </row>
    <row r="412" spans="7:8" x14ac:dyDescent="0.2">
      <c r="G412" s="17"/>
      <c r="H412" s="17"/>
    </row>
    <row r="413" spans="7:8" x14ac:dyDescent="0.2">
      <c r="G413" s="17"/>
      <c r="H413" s="17"/>
    </row>
    <row r="414" spans="7:8" x14ac:dyDescent="0.2">
      <c r="G414" s="17"/>
      <c r="H414" s="17"/>
    </row>
    <row r="415" spans="7:8" x14ac:dyDescent="0.2">
      <c r="G415" s="17"/>
      <c r="H415" s="17"/>
    </row>
    <row r="416" spans="7:8" x14ac:dyDescent="0.2">
      <c r="G416" s="17"/>
      <c r="H416" s="17"/>
    </row>
    <row r="417" spans="7:8" x14ac:dyDescent="0.2">
      <c r="G417" s="17"/>
      <c r="H417" s="17"/>
    </row>
    <row r="418" spans="7:8" x14ac:dyDescent="0.2">
      <c r="G418" s="17"/>
      <c r="H418" s="17"/>
    </row>
    <row r="419" spans="7:8" x14ac:dyDescent="0.2">
      <c r="G419" s="17"/>
      <c r="H419" s="17"/>
    </row>
    <row r="420" spans="7:8" x14ac:dyDescent="0.2">
      <c r="G420" s="17"/>
      <c r="H420" s="17"/>
    </row>
    <row r="421" spans="7:8" x14ac:dyDescent="0.2">
      <c r="G421" s="17"/>
      <c r="H421" s="17"/>
    </row>
    <row r="422" spans="7:8" x14ac:dyDescent="0.2">
      <c r="G422" s="17"/>
      <c r="H422" s="17"/>
    </row>
    <row r="423" spans="7:8" x14ac:dyDescent="0.2">
      <c r="G423" s="17"/>
      <c r="H423" s="17"/>
    </row>
    <row r="424" spans="7:8" x14ac:dyDescent="0.2">
      <c r="G424" s="17"/>
      <c r="H424" s="17"/>
    </row>
    <row r="425" spans="7:8" x14ac:dyDescent="0.2">
      <c r="G425" s="17"/>
      <c r="H425" s="17"/>
    </row>
    <row r="426" spans="7:8" x14ac:dyDescent="0.2">
      <c r="G426" s="17"/>
      <c r="H426" s="17"/>
    </row>
    <row r="427" spans="7:8" x14ac:dyDescent="0.2">
      <c r="G427" s="17"/>
      <c r="H427" s="17"/>
    </row>
    <row r="428" spans="7:8" x14ac:dyDescent="0.2">
      <c r="G428" s="17"/>
      <c r="H428" s="17"/>
    </row>
    <row r="429" spans="7:8" x14ac:dyDescent="0.2">
      <c r="G429" s="17"/>
      <c r="H429" s="17"/>
    </row>
    <row r="430" spans="7:8" x14ac:dyDescent="0.2">
      <c r="G430" s="17"/>
      <c r="H430" s="17"/>
    </row>
    <row r="431" spans="7:8" x14ac:dyDescent="0.2">
      <c r="G431" s="17"/>
      <c r="H431" s="17"/>
    </row>
    <row r="432" spans="7:8" x14ac:dyDescent="0.2">
      <c r="G432" s="17"/>
      <c r="H432" s="17"/>
    </row>
    <row r="433" spans="7:8" x14ac:dyDescent="0.2">
      <c r="G433" s="17"/>
      <c r="H433" s="17"/>
    </row>
    <row r="434" spans="7:8" x14ac:dyDescent="0.2">
      <c r="G434" s="17"/>
      <c r="H434" s="17"/>
    </row>
    <row r="435" spans="7:8" x14ac:dyDescent="0.2">
      <c r="G435" s="17"/>
      <c r="H435" s="17"/>
    </row>
    <row r="436" spans="7:8" x14ac:dyDescent="0.2">
      <c r="G436" s="17"/>
      <c r="H436" s="17"/>
    </row>
    <row r="437" spans="7:8" x14ac:dyDescent="0.2">
      <c r="G437" s="17"/>
      <c r="H437" s="17"/>
    </row>
    <row r="438" spans="7:8" x14ac:dyDescent="0.2">
      <c r="G438" s="17"/>
      <c r="H438" s="17"/>
    </row>
    <row r="439" spans="7:8" x14ac:dyDescent="0.2">
      <c r="G439" s="17"/>
      <c r="H439" s="17"/>
    </row>
    <row r="440" spans="7:8" x14ac:dyDescent="0.2">
      <c r="G440" s="17"/>
      <c r="H440" s="17"/>
    </row>
    <row r="441" spans="7:8" x14ac:dyDescent="0.2">
      <c r="G441" s="17"/>
      <c r="H441" s="17"/>
    </row>
    <row r="442" spans="7:8" x14ac:dyDescent="0.2">
      <c r="G442" s="17"/>
      <c r="H442" s="17"/>
    </row>
    <row r="443" spans="7:8" x14ac:dyDescent="0.2">
      <c r="G443" s="17"/>
      <c r="H443" s="17"/>
    </row>
    <row r="444" spans="7:8" x14ac:dyDescent="0.2">
      <c r="G444" s="17"/>
      <c r="H444" s="17"/>
    </row>
    <row r="445" spans="7:8" x14ac:dyDescent="0.2">
      <c r="G445" s="17"/>
      <c r="H445" s="17"/>
    </row>
    <row r="446" spans="7:8" x14ac:dyDescent="0.2">
      <c r="G446" s="17"/>
      <c r="H446" s="17"/>
    </row>
    <row r="447" spans="7:8" x14ac:dyDescent="0.2">
      <c r="G447" s="17"/>
      <c r="H447" s="17"/>
    </row>
    <row r="448" spans="7:8" x14ac:dyDescent="0.2">
      <c r="G448" s="17"/>
      <c r="H448" s="17"/>
    </row>
    <row r="449" spans="7:8" x14ac:dyDescent="0.2">
      <c r="G449" s="17"/>
      <c r="H449" s="17"/>
    </row>
    <row r="450" spans="7:8" x14ac:dyDescent="0.2">
      <c r="G450" s="17"/>
      <c r="H450" s="17"/>
    </row>
    <row r="451" spans="7:8" x14ac:dyDescent="0.2">
      <c r="G451" s="17"/>
      <c r="H451" s="17"/>
    </row>
    <row r="452" spans="7:8" x14ac:dyDescent="0.2">
      <c r="G452" s="17"/>
      <c r="H452" s="17"/>
    </row>
    <row r="453" spans="7:8" x14ac:dyDescent="0.2">
      <c r="G453" s="17"/>
      <c r="H453" s="17"/>
    </row>
    <row r="454" spans="7:8" x14ac:dyDescent="0.2">
      <c r="G454" s="17"/>
      <c r="H454" s="17"/>
    </row>
    <row r="455" spans="7:8" x14ac:dyDescent="0.2">
      <c r="G455" s="17"/>
      <c r="H455" s="17"/>
    </row>
    <row r="456" spans="7:8" x14ac:dyDescent="0.2">
      <c r="G456" s="17"/>
      <c r="H456" s="17"/>
    </row>
    <row r="457" spans="7:8" x14ac:dyDescent="0.2">
      <c r="G457" s="17"/>
      <c r="H457" s="17"/>
    </row>
    <row r="458" spans="7:8" x14ac:dyDescent="0.2">
      <c r="G458" s="17"/>
      <c r="H458" s="17"/>
    </row>
    <row r="459" spans="7:8" x14ac:dyDescent="0.2">
      <c r="G459" s="17"/>
      <c r="H459" s="17"/>
    </row>
    <row r="460" spans="7:8" x14ac:dyDescent="0.2">
      <c r="G460" s="17"/>
      <c r="H460" s="17"/>
    </row>
    <row r="461" spans="7:8" x14ac:dyDescent="0.2">
      <c r="G461" s="17"/>
      <c r="H461" s="17"/>
    </row>
  </sheetData>
  <dataConsolidate link="1"/>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8937-93ED-4A91-B583-09D02A5CA01F}">
  <sheetPr codeName="Planilha2"/>
  <dimension ref="A1:P399"/>
  <sheetViews>
    <sheetView workbookViewId="0">
      <selection activeCell="D5" sqref="D5"/>
    </sheetView>
  </sheetViews>
  <sheetFormatPr defaultRowHeight="12.75" x14ac:dyDescent="0.2"/>
  <cols>
    <col min="1" max="1" width="37.28515625" style="1" customWidth="1"/>
    <col min="2"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80</v>
      </c>
      <c r="I1" s="3" t="s">
        <v>59</v>
      </c>
      <c r="J1" s="85" t="str">
        <f>"FOCUS forecast for "&amp;$B$3&amp;" of "&amp;PROPER(TEXT($B$5,"[$-409]mmm/aa"))</f>
        <v>FOCUS forecast for IPCA of Jan/22</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t="str" cm="1">
        <f t="array" ref="D4">xlFOCUS_ExpectativasMensais($B$3,$B$4,$B$5,$B$6,$B$7,$B$8,$D$3:$G$3)</f>
        <v># Barra de fórmulas aberta</v>
      </c>
    </row>
    <row r="5" spans="1:16" x14ac:dyDescent="0.2">
      <c r="A5" s="3" t="s">
        <v>62</v>
      </c>
      <c r="B5" s="14">
        <v>44562</v>
      </c>
      <c r="D5" s="17"/>
    </row>
    <row r="6" spans="1:16" x14ac:dyDescent="0.2">
      <c r="A6" s="3" t="s">
        <v>63</v>
      </c>
      <c r="B6" s="14">
        <v>44197</v>
      </c>
      <c r="D6" s="17"/>
    </row>
    <row r="7" spans="1:16" x14ac:dyDescent="0.2">
      <c r="A7" s="3" t="s">
        <v>64</v>
      </c>
      <c r="B7" s="14"/>
      <c r="D7" s="17"/>
    </row>
    <row r="8" spans="1:16" x14ac:dyDescent="0.2">
      <c r="A8" s="3" t="s">
        <v>65</v>
      </c>
      <c r="B8" s="18">
        <v>1</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12" x14ac:dyDescent="0.2">
      <c r="D33" s="17"/>
    </row>
    <row r="34" spans="4:12" x14ac:dyDescent="0.2">
      <c r="D34" s="17"/>
    </row>
    <row r="35" spans="4:12" x14ac:dyDescent="0.2">
      <c r="D35" s="17"/>
    </row>
    <row r="36" spans="4:12" x14ac:dyDescent="0.2">
      <c r="D36" s="17"/>
    </row>
    <row r="37" spans="4:12" x14ac:dyDescent="0.2">
      <c r="D37" s="17"/>
    </row>
    <row r="38" spans="4:12" x14ac:dyDescent="0.2">
      <c r="D38" s="17"/>
    </row>
    <row r="39" spans="4:12" x14ac:dyDescent="0.2">
      <c r="D39" s="17"/>
      <c r="L39" s="17"/>
    </row>
    <row r="40" spans="4:12" x14ac:dyDescent="0.2">
      <c r="D40" s="17"/>
    </row>
    <row r="41" spans="4:12" x14ac:dyDescent="0.2">
      <c r="D41" s="17"/>
    </row>
    <row r="42" spans="4:12" x14ac:dyDescent="0.2">
      <c r="D42" s="17"/>
    </row>
    <row r="43" spans="4:12" x14ac:dyDescent="0.2">
      <c r="D43" s="17"/>
    </row>
    <row r="44" spans="4:12" x14ac:dyDescent="0.2">
      <c r="D44" s="17"/>
    </row>
    <row r="45" spans="4:12" x14ac:dyDescent="0.2">
      <c r="D45" s="17"/>
    </row>
    <row r="46" spans="4:12" x14ac:dyDescent="0.2">
      <c r="D46" s="17"/>
    </row>
    <row r="47" spans="4:12" x14ac:dyDescent="0.2">
      <c r="D47" s="17"/>
    </row>
    <row r="48" spans="4:12"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06B19-0239-4B04-9E1D-90F1229558C8}">
  <sheetPr codeName="Planilha5"/>
  <dimension ref="A1:P399"/>
  <sheetViews>
    <sheetView workbookViewId="0">
      <selection activeCell="B14" sqref="B14"/>
    </sheetView>
  </sheetViews>
  <sheetFormatPr defaultRowHeight="12.75" x14ac:dyDescent="0.2"/>
  <cols>
    <col min="1" max="1" width="37.140625" style="1" customWidth="1"/>
    <col min="2" max="2" width="15.71093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81</v>
      </c>
      <c r="I1" s="3" t="s">
        <v>59</v>
      </c>
      <c r="J1" s="85" t="str">
        <f>"FOCUS forecast for "&amp;$B$3&amp;" of Q"&amp;$B$5</f>
        <v>FOCUS forecast for PIB Total of Q4/2021</v>
      </c>
      <c r="K1" s="86"/>
      <c r="L1" s="86"/>
      <c r="M1" s="86"/>
      <c r="N1" s="86"/>
      <c r="O1" s="86"/>
      <c r="P1" s="86"/>
    </row>
    <row r="3" spans="1:16" x14ac:dyDescent="0.2">
      <c r="A3" s="3" t="s">
        <v>60</v>
      </c>
      <c r="B3" s="18" t="s">
        <v>37</v>
      </c>
      <c r="D3" s="1" t="s">
        <v>12</v>
      </c>
      <c r="E3" s="1" t="s">
        <v>14</v>
      </c>
      <c r="F3" s="1" t="s">
        <v>16</v>
      </c>
      <c r="G3" s="1" t="s">
        <v>20</v>
      </c>
    </row>
    <row r="4" spans="1:16" x14ac:dyDescent="0.2">
      <c r="A4" s="3" t="s">
        <v>61</v>
      </c>
      <c r="B4" s="18"/>
      <c r="D4" s="17" t="str" cm="1">
        <f t="array" ref="D4">xlFOCUS_ExpectativasTrimestrais($B$3,B4,B5,B6,B7,B8,D3:G3)</f>
        <v># Barra de fórmulas aberta</v>
      </c>
    </row>
    <row r="5" spans="1:16" x14ac:dyDescent="0.2">
      <c r="A5" s="3" t="s">
        <v>62</v>
      </c>
      <c r="B5" s="59" t="s">
        <v>133</v>
      </c>
      <c r="D5" s="17"/>
    </row>
    <row r="6" spans="1:16" x14ac:dyDescent="0.2">
      <c r="A6" s="3" t="s">
        <v>63</v>
      </c>
      <c r="B6" s="14"/>
      <c r="D6" s="17"/>
    </row>
    <row r="7" spans="1:16" x14ac:dyDescent="0.2">
      <c r="A7" s="3" t="s">
        <v>64</v>
      </c>
      <c r="B7" s="14"/>
      <c r="D7" s="17"/>
    </row>
    <row r="8" spans="1:16" x14ac:dyDescent="0.2">
      <c r="A8" s="3" t="s">
        <v>65</v>
      </c>
      <c r="B8" s="18">
        <v>0</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C59E-BD83-4B5B-9C16-2CF8EE58AF3A}">
  <sheetPr codeName="Planilha4"/>
  <dimension ref="A1:P461"/>
  <sheetViews>
    <sheetView workbookViewId="0">
      <selection activeCell="D5" sqref="D5"/>
    </sheetView>
  </sheetViews>
  <sheetFormatPr defaultRowHeight="12.75" x14ac:dyDescent="0.2"/>
  <cols>
    <col min="1" max="1" width="36.57031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87</v>
      </c>
      <c r="I1" s="3" t="s">
        <v>59</v>
      </c>
      <c r="J1" s="85" t="str">
        <f>"FOCUS forecast for "&amp;$B$3&amp;" of "&amp;PROPER(TEXT($B$5,"[$-409]aaaa"))</f>
        <v>FOCUS forecast for IPCA of 2021</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t="str" cm="1">
        <f t="array" ref="D4">xlFOCUS_ExpectativasAnuais(B3,B4,B5,B6,B7,B8,D3:G3)</f>
        <v># Barra de fórmulas aberta</v>
      </c>
    </row>
    <row r="5" spans="1:16" x14ac:dyDescent="0.2">
      <c r="A5" s="3" t="s">
        <v>62</v>
      </c>
      <c r="B5" s="14">
        <v>44197</v>
      </c>
      <c r="D5" s="17"/>
    </row>
    <row r="6" spans="1:16" x14ac:dyDescent="0.2">
      <c r="A6" s="3" t="s">
        <v>63</v>
      </c>
      <c r="B6" s="14">
        <v>44013</v>
      </c>
      <c r="D6" s="17"/>
    </row>
    <row r="7" spans="1:16" x14ac:dyDescent="0.2">
      <c r="A7" s="3" t="s">
        <v>64</v>
      </c>
      <c r="B7" s="14">
        <v>44531</v>
      </c>
      <c r="D7" s="17"/>
    </row>
    <row r="8" spans="1:16" x14ac:dyDescent="0.2">
      <c r="A8" s="3" t="s">
        <v>65</v>
      </c>
      <c r="B8" s="18">
        <v>1</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D3E03-A6DE-4C04-9707-C6443C224173}">
  <sheetPr codeName="Planilha6"/>
  <dimension ref="A1:P399"/>
  <sheetViews>
    <sheetView workbookViewId="0">
      <selection activeCell="D5" sqref="D5"/>
    </sheetView>
  </sheetViews>
  <sheetFormatPr defaultRowHeight="12.75" x14ac:dyDescent="0.2"/>
  <cols>
    <col min="1" max="1" width="33.5703125" style="1" customWidth="1"/>
    <col min="2" max="2" width="12.85546875" style="1" bestFit="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88</v>
      </c>
      <c r="I1" s="3" t="s">
        <v>59</v>
      </c>
      <c r="J1" s="85" t="str">
        <f>"FOCUS forecast for "&amp;$B$3&amp;" 12 months ahead "</f>
        <v xml:space="preserve">FOCUS forecast for IGP-DI 12 months ahead </v>
      </c>
      <c r="K1" s="86"/>
      <c r="L1" s="86"/>
      <c r="M1" s="86"/>
      <c r="N1" s="86"/>
      <c r="O1" s="86"/>
      <c r="P1" s="86"/>
    </row>
    <row r="3" spans="1:16" x14ac:dyDescent="0.2">
      <c r="A3" s="3" t="s">
        <v>60</v>
      </c>
      <c r="B3" s="18" t="s">
        <v>113</v>
      </c>
      <c r="D3" s="1" t="s">
        <v>12</v>
      </c>
      <c r="E3" s="1" t="s">
        <v>14</v>
      </c>
      <c r="F3" s="1" t="s">
        <v>16</v>
      </c>
      <c r="G3" s="1" t="s">
        <v>20</v>
      </c>
    </row>
    <row r="4" spans="1:16" x14ac:dyDescent="0.2">
      <c r="A4" s="3" t="s">
        <v>61</v>
      </c>
      <c r="B4" s="18"/>
      <c r="D4" s="17" t="str" cm="1">
        <f t="array" ref="D4">xlFOCUS_Expectativas12Meses($B$3,B4,B5,B6,B7,B8,D3:G3)</f>
        <v># Barra de fórmulas aberta</v>
      </c>
    </row>
    <row r="5" spans="1:16" x14ac:dyDescent="0.2">
      <c r="A5" s="3" t="s">
        <v>66</v>
      </c>
      <c r="B5" s="18" t="s">
        <v>67</v>
      </c>
      <c r="D5" s="17"/>
    </row>
    <row r="6" spans="1:16" x14ac:dyDescent="0.2">
      <c r="A6" s="3" t="s">
        <v>63</v>
      </c>
      <c r="B6" s="14">
        <v>43861</v>
      </c>
      <c r="D6" s="17"/>
    </row>
    <row r="7" spans="1:16" x14ac:dyDescent="0.2">
      <c r="A7" s="3" t="s">
        <v>64</v>
      </c>
      <c r="B7" s="14">
        <v>44531</v>
      </c>
      <c r="D7" s="17"/>
    </row>
    <row r="8" spans="1:16" x14ac:dyDescent="0.2">
      <c r="A8" s="3" t="s">
        <v>65</v>
      </c>
      <c r="B8" s="18">
        <v>0</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0A603-5C9D-4C6A-A620-CF7213348789}">
  <sheetPr codeName="Planilha7"/>
  <dimension ref="A1:P399"/>
  <sheetViews>
    <sheetView workbookViewId="0">
      <selection activeCell="J33" sqref="J33"/>
    </sheetView>
  </sheetViews>
  <sheetFormatPr defaultRowHeight="12.75" x14ac:dyDescent="0.2"/>
  <cols>
    <col min="1" max="1" width="37.140625" style="1" customWidth="1"/>
    <col min="2" max="3" width="10.140625" style="1" bestFit="1" customWidth="1"/>
    <col min="4" max="4" width="12" style="1" customWidth="1"/>
    <col min="5" max="7" width="9.140625" style="1"/>
    <col min="8" max="8" width="12.28515625" style="1" bestFit="1" customWidth="1"/>
    <col min="9" max="9" width="15.7109375" style="1" bestFit="1" customWidth="1"/>
    <col min="10" max="16384" width="9.140625" style="1"/>
  </cols>
  <sheetData>
    <row r="1" spans="1:16" ht="15.75" x14ac:dyDescent="0.25">
      <c r="A1" s="9" t="s">
        <v>89</v>
      </c>
      <c r="I1" s="3" t="s">
        <v>59</v>
      </c>
      <c r="J1" s="85" t="str">
        <f>"FOCUS TOP 5 forecast for "&amp;$B$3&amp;" of "&amp;PROPER(TEXT($B$5,"[$-409]mmm/aa"))</f>
        <v>FOCUS TOP 5 forecast for IPCA of Oct/21</v>
      </c>
      <c r="K1" s="86"/>
      <c r="L1" s="86"/>
      <c r="M1" s="86"/>
      <c r="N1" s="86"/>
      <c r="O1" s="86"/>
      <c r="P1" s="86"/>
    </row>
    <row r="2" spans="1:16" x14ac:dyDescent="0.2">
      <c r="D2" s="1" t="s">
        <v>12</v>
      </c>
      <c r="E2" s="1" t="s">
        <v>14</v>
      </c>
      <c r="F2" s="1" t="s">
        <v>16</v>
      </c>
      <c r="G2" s="1" t="s">
        <v>20</v>
      </c>
      <c r="H2" s="1" t="s">
        <v>21</v>
      </c>
    </row>
    <row r="3" spans="1:16" x14ac:dyDescent="0.2">
      <c r="A3" s="3" t="s">
        <v>60</v>
      </c>
      <c r="B3" s="18" t="s">
        <v>35</v>
      </c>
      <c r="D3" s="1" t="s">
        <v>68</v>
      </c>
      <c r="E3" s="1" t="s">
        <v>69</v>
      </c>
      <c r="F3" s="1" t="s">
        <v>70</v>
      </c>
      <c r="G3" s="1" t="s">
        <v>71</v>
      </c>
      <c r="H3" s="1" t="s">
        <v>72</v>
      </c>
    </row>
    <row r="4" spans="1:16" x14ac:dyDescent="0.2">
      <c r="A4" s="3" t="s">
        <v>61</v>
      </c>
      <c r="B4" s="18"/>
      <c r="D4" s="17" t="str" cm="1">
        <f t="array" ref="D4">xlFOCUS_ExpectativasTop5Mensais($B$3,,B5,B6,B7,B8,D2:H2)</f>
        <v># Barra de fórmulas aberta</v>
      </c>
    </row>
    <row r="5" spans="1:16" x14ac:dyDescent="0.2">
      <c r="A5" s="3" t="s">
        <v>62</v>
      </c>
      <c r="B5" s="14">
        <v>44470</v>
      </c>
      <c r="D5" s="17"/>
    </row>
    <row r="6" spans="1:16" x14ac:dyDescent="0.2">
      <c r="A6" s="3" t="s">
        <v>63</v>
      </c>
      <c r="B6" s="14">
        <v>44378</v>
      </c>
      <c r="D6" s="17"/>
    </row>
    <row r="7" spans="1:16" x14ac:dyDescent="0.2">
      <c r="A7" s="3" t="s">
        <v>64</v>
      </c>
      <c r="B7" s="14">
        <v>44531</v>
      </c>
      <c r="D7" s="17"/>
    </row>
    <row r="8" spans="1:16" x14ac:dyDescent="0.2">
      <c r="A8" s="3" t="s">
        <v>73</v>
      </c>
      <c r="B8" s="18" t="s">
        <v>74</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A7B2-B868-4A39-8B3A-45B510D60F2A}">
  <sheetPr codeName="Planilha8"/>
  <dimension ref="A1:P461"/>
  <sheetViews>
    <sheetView workbookViewId="0">
      <selection activeCell="B15" sqref="B15"/>
    </sheetView>
  </sheetViews>
  <sheetFormatPr defaultRowHeight="12.75" x14ac:dyDescent="0.2"/>
  <cols>
    <col min="1" max="1" width="35.7109375" style="1" customWidth="1"/>
    <col min="2" max="2" width="10.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16" ht="15.75" x14ac:dyDescent="0.25">
      <c r="A1" s="9" t="s">
        <v>90</v>
      </c>
      <c r="I1" s="3" t="s">
        <v>59</v>
      </c>
      <c r="J1" s="85" t="str">
        <f>"FOCUS TOP 5 forecast for "&amp;$B$3&amp;" of "&amp;PROPER(TEXT($B$5,"[$-409]aaaa"))</f>
        <v>FOCUS TOP 5 forecast for IPCA of 2021</v>
      </c>
      <c r="K1" s="86"/>
      <c r="L1" s="86"/>
      <c r="M1" s="86"/>
      <c r="N1" s="86"/>
      <c r="O1" s="86"/>
      <c r="P1" s="86"/>
    </row>
    <row r="3" spans="1:16" x14ac:dyDescent="0.2">
      <c r="A3" s="3" t="s">
        <v>60</v>
      </c>
      <c r="B3" s="18" t="s">
        <v>35</v>
      </c>
      <c r="D3" s="1" t="s">
        <v>12</v>
      </c>
      <c r="E3" s="1" t="s">
        <v>14</v>
      </c>
      <c r="F3" s="1" t="s">
        <v>16</v>
      </c>
      <c r="G3" s="1" t="s">
        <v>20</v>
      </c>
    </row>
    <row r="4" spans="1:16" x14ac:dyDescent="0.2">
      <c r="A4" s="3" t="s">
        <v>61</v>
      </c>
      <c r="B4" s="18"/>
      <c r="D4" s="17" t="str" cm="1">
        <f t="array" ref="D4">xlFOCUS_ExpectativasTop5Anuais(B3,B4,B5,B6,B7,B8,D3:G3)</f>
        <v># Barra de fórmulas aberta</v>
      </c>
    </row>
    <row r="5" spans="1:16" x14ac:dyDescent="0.2">
      <c r="A5" s="3" t="s">
        <v>62</v>
      </c>
      <c r="B5" s="14">
        <v>44197</v>
      </c>
      <c r="D5" s="17"/>
    </row>
    <row r="6" spans="1:16" x14ac:dyDescent="0.2">
      <c r="A6" s="3" t="s">
        <v>63</v>
      </c>
      <c r="B6" s="14">
        <v>44197</v>
      </c>
      <c r="D6" s="17"/>
    </row>
    <row r="7" spans="1:16" x14ac:dyDescent="0.2">
      <c r="A7" s="3" t="s">
        <v>64</v>
      </c>
      <c r="B7" s="14">
        <v>44531</v>
      </c>
      <c r="D7" s="17"/>
    </row>
    <row r="8" spans="1:16" x14ac:dyDescent="0.2">
      <c r="A8" s="3" t="s">
        <v>73</v>
      </c>
      <c r="B8" s="18" t="s">
        <v>74</v>
      </c>
      <c r="D8" s="17"/>
    </row>
    <row r="9" spans="1:16" x14ac:dyDescent="0.2">
      <c r="D9" s="17"/>
    </row>
    <row r="10" spans="1:16" x14ac:dyDescent="0.2">
      <c r="D10" s="17"/>
    </row>
    <row r="11" spans="1:16" x14ac:dyDescent="0.2">
      <c r="D11" s="17"/>
    </row>
    <row r="12" spans="1:16" x14ac:dyDescent="0.2">
      <c r="D12" s="17"/>
    </row>
    <row r="13" spans="1:16" x14ac:dyDescent="0.2">
      <c r="D13" s="17"/>
    </row>
    <row r="14" spans="1:16" x14ac:dyDescent="0.2">
      <c r="D14" s="17"/>
    </row>
    <row r="15" spans="1:16" x14ac:dyDescent="0.2">
      <c r="D15" s="17"/>
    </row>
    <row r="16" spans="1:16"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1DDC8-FE27-485A-9A73-6891335FB357}">
  <sheetPr codeName="Planilha11"/>
  <dimension ref="A1:U461"/>
  <sheetViews>
    <sheetView workbookViewId="0">
      <selection activeCell="H33" sqref="H33"/>
    </sheetView>
  </sheetViews>
  <sheetFormatPr defaultRowHeight="12.75" x14ac:dyDescent="0.2"/>
  <cols>
    <col min="1" max="1" width="35.28515625" style="1" customWidth="1"/>
    <col min="2" max="2" width="14.28515625" style="1" customWidth="1"/>
    <col min="3" max="3" width="10.140625" style="1" bestFit="1" customWidth="1"/>
    <col min="4" max="4" width="12" style="1" customWidth="1"/>
    <col min="5" max="8" width="9.140625" style="1"/>
    <col min="9" max="9" width="15.7109375" style="1" bestFit="1" customWidth="1"/>
    <col min="10" max="16384" width="9.140625" style="1"/>
  </cols>
  <sheetData>
    <row r="1" spans="1:21" ht="15.75" x14ac:dyDescent="0.25">
      <c r="A1" s="9" t="s">
        <v>91</v>
      </c>
      <c r="I1" s="3" t="s">
        <v>59</v>
      </c>
      <c r="J1" s="85" t="str">
        <f>"FOCUS forecast by Institution " &amp; $B$6 &amp; " for "&amp;$B$3&amp;" of "&amp;PROPER(TEXT($B$7,"[$-409]aaaa"))</f>
        <v>FOCUS forecast by Institution 16 for IPCA of 2020</v>
      </c>
      <c r="K1" s="86"/>
      <c r="L1" s="86"/>
      <c r="M1" s="86"/>
      <c r="N1" s="86"/>
      <c r="O1" s="86"/>
      <c r="P1" s="86"/>
    </row>
    <row r="3" spans="1:21" x14ac:dyDescent="0.2">
      <c r="A3" s="3" t="s">
        <v>60</v>
      </c>
      <c r="B3" s="18" t="s">
        <v>35</v>
      </c>
      <c r="D3" s="1" t="s">
        <v>12</v>
      </c>
      <c r="E3" s="1" t="s">
        <v>75</v>
      </c>
      <c r="F3" s="1" t="s">
        <v>76</v>
      </c>
    </row>
    <row r="4" spans="1:21" x14ac:dyDescent="0.2">
      <c r="A4" s="3" t="s">
        <v>61</v>
      </c>
      <c r="B4" s="18"/>
      <c r="D4" s="17" t="str" cm="1">
        <f t="array" ref="D4">xlFOCUS_ExpectativasInstituicoes(B3,B4,B7,B6,B8,B9,B5,D3:F3)</f>
        <v># Barra de fórmulas aberta</v>
      </c>
    </row>
    <row r="5" spans="1:21" x14ac:dyDescent="0.2">
      <c r="A5" s="3" t="s">
        <v>110</v>
      </c>
      <c r="B5" s="18" t="s">
        <v>132</v>
      </c>
      <c r="D5" s="17"/>
    </row>
    <row r="6" spans="1:21" x14ac:dyDescent="0.2">
      <c r="A6" s="3" t="s">
        <v>75</v>
      </c>
      <c r="B6" s="18">
        <v>16</v>
      </c>
      <c r="D6" s="17"/>
      <c r="U6" s="19"/>
    </row>
    <row r="7" spans="1:21" x14ac:dyDescent="0.2">
      <c r="A7" s="3" t="s">
        <v>62</v>
      </c>
      <c r="B7" s="14">
        <v>43831</v>
      </c>
      <c r="D7" s="17"/>
    </row>
    <row r="8" spans="1:21" x14ac:dyDescent="0.2">
      <c r="A8" s="3" t="s">
        <v>63</v>
      </c>
      <c r="B8" s="14">
        <v>43800</v>
      </c>
      <c r="D8" s="17"/>
    </row>
    <row r="9" spans="1:21" x14ac:dyDescent="0.2">
      <c r="A9" s="3" t="s">
        <v>64</v>
      </c>
      <c r="B9" s="14"/>
      <c r="D9" s="17"/>
    </row>
    <row r="10" spans="1:21" x14ac:dyDescent="0.2">
      <c r="D10" s="17"/>
    </row>
    <row r="11" spans="1:21" x14ac:dyDescent="0.2">
      <c r="D11" s="17"/>
    </row>
    <row r="12" spans="1:21" x14ac:dyDescent="0.2">
      <c r="D12" s="17"/>
    </row>
    <row r="13" spans="1:21" x14ac:dyDescent="0.2">
      <c r="D13" s="17"/>
    </row>
    <row r="14" spans="1:21" x14ac:dyDescent="0.2">
      <c r="D14" s="17"/>
    </row>
    <row r="15" spans="1:21" x14ac:dyDescent="0.2">
      <c r="D15" s="17"/>
    </row>
    <row r="16" spans="1:21"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4" x14ac:dyDescent="0.2">
      <c r="D33" s="17"/>
    </row>
    <row r="34" spans="4:4" x14ac:dyDescent="0.2">
      <c r="D34" s="17"/>
    </row>
    <row r="35" spans="4:4" x14ac:dyDescent="0.2">
      <c r="D35" s="17"/>
    </row>
    <row r="36" spans="4:4" x14ac:dyDescent="0.2">
      <c r="D36" s="17"/>
    </row>
    <row r="37" spans="4:4" x14ac:dyDescent="0.2">
      <c r="D37" s="17"/>
    </row>
    <row r="38" spans="4:4" x14ac:dyDescent="0.2">
      <c r="D38" s="17"/>
    </row>
    <row r="39" spans="4:4" x14ac:dyDescent="0.2">
      <c r="D39" s="17"/>
    </row>
    <row r="40" spans="4:4" x14ac:dyDescent="0.2">
      <c r="D40" s="17"/>
    </row>
    <row r="41" spans="4:4" x14ac:dyDescent="0.2">
      <c r="D41" s="17"/>
    </row>
    <row r="42" spans="4:4" x14ac:dyDescent="0.2">
      <c r="D42" s="17"/>
    </row>
    <row r="43" spans="4:4" x14ac:dyDescent="0.2">
      <c r="D43" s="17"/>
    </row>
    <row r="44" spans="4:4" x14ac:dyDescent="0.2">
      <c r="D44" s="17"/>
    </row>
    <row r="45" spans="4:4" x14ac:dyDescent="0.2">
      <c r="D45" s="17"/>
    </row>
    <row r="46" spans="4:4" x14ac:dyDescent="0.2">
      <c r="D46" s="17"/>
    </row>
    <row r="47" spans="4:4" x14ac:dyDescent="0.2">
      <c r="D47" s="17"/>
    </row>
    <row r="48" spans="4:4"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3B961-8857-435E-825D-EB978D1AD561}">
  <sheetPr codeName="Planilha3"/>
  <dimension ref="A1:A8"/>
  <sheetViews>
    <sheetView workbookViewId="0">
      <selection activeCell="A2" sqref="A2"/>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6" width="12.28515625" style="1" bestFit="1" customWidth="1"/>
    <col min="7" max="7" width="7" style="1" bestFit="1" customWidth="1"/>
    <col min="8" max="8" width="7.5703125" style="1" bestFit="1" customWidth="1"/>
    <col min="9" max="9" width="19.28515625" style="1" bestFit="1" customWidth="1"/>
    <col min="10" max="10" width="11.140625" style="1" bestFit="1" customWidth="1"/>
    <col min="11" max="16384" width="9.140625" style="1"/>
  </cols>
  <sheetData>
    <row r="1" spans="1:1" s="8" customFormat="1" x14ac:dyDescent="0.2">
      <c r="A1" s="7" t="s">
        <v>77</v>
      </c>
    </row>
    <row r="2" spans="1:1" ht="15" x14ac:dyDescent="0.25">
      <c r="A2" s="20" t="s">
        <v>78</v>
      </c>
    </row>
    <row r="4" spans="1:1" s="8" customFormat="1" x14ac:dyDescent="0.2">
      <c r="A4" s="7" t="s">
        <v>23</v>
      </c>
    </row>
    <row r="5" spans="1:1" x14ac:dyDescent="0.2">
      <c r="A5" s="1" t="str" cm="1">
        <f t="array" ref="A5">xlFOCUS_WEBSERVICE(A2)</f>
        <v>{"@odata.context":"https://was-p.bcnet.bcb.gov.br/olinda/servico/Expectativas/versao/v1/odata$metadata#ExpectativaMercadoMensais","value":[{"Indicador":"IPCA","Data":"2000-01-03","DataReferencia":"04/2000","Media":0.6000,"Mediana":0.6000,"DesvioPadrao":0.1900,"Minimo":null,"Maximo":null,"numeroRespondentes":null,"baseCalculo":0},{"Indicador":"IPCA","Data":"2000-01-04","DataReferencia":"04/2000","Media":0.6000,"Mediana":0.6000,"DesvioPadrao":0.1900,"Minimo":null,"Maximo":null,"numeroRespondentes":null,"baseCalculo":0},{"Indicador":"IPCA","Data":"2000-01-05","DataReferencia":"04/2000","Media":0.6100,"Mediana":0.6000,"DesvioPadrao":0.1900,"Minimo":null,"Maximo":null,"numeroRespondentes":null,"baseCalculo":0},{"Indicador":"IPCA","Data":"2000-01-06","DataReferencia":"04/2000","Media":0.6000,"Mediana":0.6000,"DesvioPadrao":0.1900,"Minimo":null,"Maximo":null,"numeroRespondentes":null,"baseCalculo":0},{"Indicador":"IPCA","Data":"2000-01-07","DataReferencia":"04/2000","Media":0.6000,"Mediana":0.6000,"DesvioPadrao":0.1900,"Minimo":null,"Maximo":null,"numeroRespondentes":null,"baseCalculo":0},{"Indicador":"IPCA","Data":"2000-01-10","DataReferencia":"04/2000","Media":0.6000,"Mediana":0.6000,"DesvioPadrao":0.1900,"Minimo":null,"Maximo":null,"numeroRespondentes":null,"baseCalculo":0},{"Indicador":"IPCA","Data":"2000-01-11","DataReferencia":"04/2000","Media":0.6000,"Mediana":0.6000,"DesvioPadrao":0.1900,"Minimo":null,"Maximo":null,"numeroRespondentes":null,"baseCalculo":0},{"Indicador":"IPCA","Data":"2000-01-12","DataReferencia":"04/2000","Media":0.5800,"Mediana":0.6000,"DesvioPadrao":0.1900,"Minimo":null,"Maximo":null,"numeroRespondentes":null,"baseCalculo":0},{"Indicador":"IPCA","Data":"2000-01-13","DataReferencia":"04/2000","Media":0.5500,"Mediana":0.5000,"DesvioPadrao":0.1700,"Minimo":null,"Maximo":null,"numeroRespondentes":null,"baseCalculo":0},{"Indicador":"IPCA","Data":"2000-01-14","DataReferencia":"04/2000","Media":0.5500,"Mediana":0.5000,"DesvioPadrao":0.1700,"Minimo":null,"Maximo":null,"numeroRespondentes":null,"baseCalculo":0},{"Indicador":"IPCA","Data":"2000-01-17","DataReferencia":"04/2000","Media":0.5500,"Mediana":0.5000,"DesvioPadrao":0.1600,"Minimo":null,"Maximo":null,"numeroRespondentes":null,"baseCalculo":0},{"Indicador":"IPCA","Data":"2000-01-18","DataReferencia":"04/2000","Media":0.5400,"Mediana":0.5000,"DesvioPadrao":0.1600,"Minimo":null,"Maximo":null,"numeroRespondentes":null,"baseCalculo":0},{"Indicador":"IPCA","Data":"2000-01-19","DataReferencia":"04/2000","Media":0.5400,"Mediana":0.5000,"DesvioPadrao":0.1700,"Minimo":null,"Maximo":null,"numeroRespondentes":null,"baseCalculo":0},{"Indicador":"IPCA","Data":"2000-01-20","DataReferencia":"04/2000","Media":0.5300,"Mediana":0.5000,"DesvioPadrao":0.1700,"Minimo":null,"Maximo":null,"numeroRespondentes":null,"baseCalculo":0},{"Indicador":"IPCA","Data":"2000-01-21","DataReferencia":"04/2000","Media":0.5300,"Mediana":0.5000,"DesvioPadrao":0.1600,"Minimo":null,"Maximo":null,"numeroRespondentes":null,"baseCalculo":0},{"Indicador":"IPCA","Data":"2000-01-24","DataReferencia":"04/2000","Media":0.5300,"Mediana":0.5000,"DesvioPadrao":0.1600,"Minimo":null,"Maximo":null,"numeroRespondentes":null,"baseCalculo":0},{"Indicador":"IPCA","Data":"2000-01-25","DataReferencia":"04/2000","Media":0.5300,"Mediana":0.5000,"DesvioPadrao":0.1600,"Minimo":null,"Maximo":null,"numeroRespondentes":null,"baseCalculo":0},{"Indicador":"IPCA","Data":"2000-01-26","DataReferencia":"04/2000","Media":0.5300,"Mediana":0.5000,"DesvioPadrao":0.1600,"Minimo":null,"Maximo":null,"numeroRespondentes":null,"baseCalculo":0},{"Indicador":"IPCA","Data":"2000-01-27","DataReferencia":"04/2000","Media":0.5300,"Mediana":0.5000,"DesvioPadrao":0.1600,"Minimo":null,"Maximo":null,"numeroRespondentes":null,"baseCalculo":0},{"Indicador":"IPCA","Data":"2000-01-28","DataReferencia":"04/2000","Media":0.5300,"Mediana":0.5000,"DesvioPadrao":0.1600,"Minimo":null,"Maximo":null,"numeroRespondentes":null,"baseCalculo":0},{"Indicador":"IPCA","Data":"2000-01-31","DataReferencia":"04/2000","Media":0.5300,"Mediana":0.5000,"DesvioPadrao":0.1600,"Minimo":null,"Maximo":null,"numeroRespondentes":null,"baseCalculo":0},{"Indicador":"IPCA","Data":"2000-02-01","DataReferencia":"04/2000","Media":0.5300,"Mediana":0.5000,"DesvioPadrao":0.1600,"Minimo":null,"Maximo":null,"numeroRespondentes":null,"baseCalculo":0},{"Indicador":"IPCA","Data":"2000-02-02","DataReferencia":"04/2000","Media":0.5300,"Mediana":0.5000,"DesvioPadrao":0.1600,"Minimo":null,"Maximo":null,"numeroRespondentes":null,"baseCalculo":0},{"Indicador":"IPCA","Data":"2000-02-03","DataReferencia":"04/2000","Media":0.5300,"Mediana":0.5000,"DesvioPadrao":0.1600,"Minimo":null,"Maximo":null,"numeroRespondentes":null,"baseCalculo":0},{"Indicador":"IPCA","Data":"2000-02-04","DataReferencia":"04/2000","Media":0.5400,"Mediana":0.5000,"DesvioPadrao":0.1500,"Minimo":null,"Maximo":null,"numeroRespondentes":null,"baseCalculo":0},{"Indicador":"IPCA","Data":"2000-02-07","DataReferencia":"04/2000","Media":0.5400,"Mediana":0.5000,"DesvioPadrao":0.1500,"Minimo":null,"Maximo":null,"numeroRespondentes":null,"baseCalculo":0},{"Indicador":"IPCA","Data":"2000-02-08","DataReferencia":"04/2000","Media":0.5400,"Mediana":0.5000,"DesvioPadrao":0.1500,"Minimo":null,"Maximo":null,"numeroRespondentes":null,"baseCalculo":0},{"Indicador":"IPCA","Data":"2000-02-09","DataReferencia":"04/2000","Media":0.5300,"Mediana":0.5000,"DesvioPadrao":0.1500,"Minimo":null,"Maximo":null,"numeroRespondentes":null,"baseCalculo":0},{"Indicador":"IPCA","Data":"2000-02-10","DataReferencia":"04/2000","Media":0.5300,"Mediana":0.5000,"DesvioPadrao":0.1500,"Minimo":null,"Maximo":null,"numeroRespondentes":null,"baseCalculo":0},{"Indicador":"IPCA","Data":"2000-02-11","DataReferencia":"04/2000","Media":0.5300,"Mediana":0.5000,"DesvioPadrao":0.1500,"Minimo":null,"Maximo":null,"numeroRespondentes":null,"baseCalculo":0},{"Indicador":"IPCA","Data":"2000-02-14","DataReferencia":"04/2000","Media":0.5300,"Mediana":0.5000,"DesvioPadrao":0.1400,"Minimo":null,"Maximo":null,"numeroRespondentes":null,"baseCalculo":0},{"Indicador":"IPCA","Data":"2000-02-15","DataReferencia":"04/2000","Media":0.5300,"Mediana":0.5000,"DesvioPadrao":0.1400,"Minimo":null,"Maximo":null,"numeroRespondentes":null,"baseCalculo":0},{"Indicador":"IPCA","Data":"2000-02-16","DataReferencia":"04/2000","Media":0.5300,"Mediana":0.5000,"DesvioPadrao":0.1400,"Minimo":null,"Maximo":null,"numeroRespondentes":null,"baseCalculo":0},{"Indicador":"IPCA","Data":"2000-02-17","DataReferencia":"04/2000","Media":0.5300,"Mediana":0.5000,"DesvioPadrao":0.1500,"Minimo":null,"Maximo":null,"numeroRespondentes":null,"baseCalculo":0},{"Indicador":"IPCA","Data":"2000-02-18","DataReferencia":"04/2000","Media":0.5300,"Mediana":0.5000,"DesvioPadrao":0.1400,"Minimo":null,"Maximo":null,"numeroRespondentes":null,"baseCalculo":0},{"Indicador":"IPCA","Data":"2000-02-21","DataReferencia":"04/2000","Media":0.5400,"Mediana":0.5000,"DesvioPadrao":0.1500,"Minimo":null,"Maximo":null,"numeroRespondentes":null,"baseCalculo":0},{"Indicador":"IPCA","Data":"2000-02-22","DataReferencia":"04/2000","Media":0.5400,"Mediana":0.5000,"DesvioPadrao":0.1500,"Minimo":null,"Maximo":null,"numeroRespondentes":null,"baseCalculo":0},{"Indicador":"IPCA","Data":"2000-02-23","DataReferencia":"04/2000","Media":0.5500,"Mediana":0.5300,"DesvioPadrao":0.1400,"Minimo":null,"Maximo":null,"numeroRespondentes":null,"baseCalculo":0},{"Indicador":"IPCA","Data":"2000-02-24","DataReferencia":"04/2000","Media":0.5500,"Mediana":0.5300,"DesvioPadrao":0.1500,"Minimo":null,"Maximo":null,"numeroRespondentes":null,"baseCalculo":0},{"Indicador":"IPCA","Data":"2000-02-25","DataReferencia":"04/2000","Media":0.5500,"Mediana":0.5300,"DesvioPadrao":0.1500,"Minimo":null,"Maximo":null,"numeroRespondentes":null,"baseCalculo":0},{"Indicador":"IPCA","Data":"2000-02-28","DataReferencia":"04/2000","Media":0.5500,"Mediana":0.5300,"DesvioPadrao":0.1500,"Minimo":null,"Maximo":null,"numeroRespondentes":null,"baseCalculo":0},{"Indicador":"IPCA","Data":"2000-02-29","DataReferencia":"04/2000","Media":0.5500,"Mediana":0.5300,"DesvioPadrao":0.1500,"Minimo":null,"Maximo":null,"numeroRespondentes":null,"baseCalculo":0},{"Indicador":"IPCA","Data":"2000-03-01","DataReferencia":"04/2000","Media":0.5400,"Mediana":0.5000,"DesvioPadrao":0.1500,"Minimo":null,"Maximo":null,"numeroRespondentes":null,"baseCalculo":0},{"Indicador":"IPCA","Data":"2000-03-02","DataReferencia":"04/2000","Media":0.5300,"Mediana":0.5000,"DesvioPadrao":0.1500,"Minimo":null,"Maximo":null,"numeroRespondentes":null,"baseCalculo":0},{"Indicador":"IPCA","Data":"2000-03-03","DataReferencia":"04/2000","Media":0.5200,"Mediana":0.5200,"DesvioPadrao":0.1400,"Minimo":null,"Maximo":null,"numeroRespondentes":null,"baseCalculo":0},{"Indicador":"IPCA","Data":"2000-03-08","DataReferencia":"04/2000","Media":0.5200,"Mediana":0.5200,"DesvioPadrao":0.1400,"Minimo":null,"Maximo":null,"numeroRespondentes":null,"baseCalculo":0},{"Indicador":"IPCA","Data":"2000-03-09","DataReferencia":"04/2000","Media":0.5200,"Mediana":0.5200,"DesvioPadrao":0.1400,"Minimo":null,"Maximo":null,"numeroRespondentes":null,"baseCalculo":0},{"Indicador":"IPCA","Data":"2000-03-10","DataReferencia":"04/2000","Media":0.5200,"Mediana":0.5200,"DesvioPadrao":0.1400,"Minimo":null,"Maximo":null,"numeroRespondentes":null,"baseCalculo":0},{"Indicador":"IPCA","Data":"2000-03-13","DataReferencia":"04/2000","Media":0.5200,"Mediana":0.5400,"DesvioPadrao":0.1400,"Minimo":null,"Maximo":null,"numeroRespondentes":null,"baseCalculo":0},{"Indicador":"IPCA","Data":"2000-03-14","DataReferencia":"04/2000","Media":0.5200,"Mediana":0.5400,"DesvioPadrao":0.1400,"Minimo":null,"Maximo":null,"numeroRespondentes":null,"baseCalculo":0},{"Indicador":"IPCA","Data":"2000-03-15","DataReferencia":"04/2000","Media":0.5200,"Mediana":0.5400,"DesvioPadrao":0.1400,"Minimo":null,"Maximo":null,"numeroRespondentes":null,"baseCalculo":0},{"Indicador":"IPCA","Data":"2000-03-16","DataReferencia":"04/2000","Media":0.5100,"Mediana":0.5200,"DesvioPadrao":0.1400,"Minimo":null,"Maximo":null,"numeroRespondentes":null,"baseCalculo":0},{"Indicador":"IPCA","Data":"2000-03-17","DataReferencia":"04/2000","Media":0.4900,"Mediana":0.5000,"DesvioPadrao":0.1500,"Minimo":null,"Maximo":null,"numeroRespondentes":null,"baseCalculo":0},{"Indicador":"IPCA","Data":"2000-03-20","DataReferencia":"04/2000","Media":0.4800,"Mediana":0.4700,"DesvioPadrao":0.1400,"Minimo":null,"Maximo":null,"numeroRespondentes":null,"baseCalculo":0},{"Indicador":"IPCA","Data":"2000-03-21","DataReferencia":"04/2000","Media":0.4800,"Mediana":0.4500,"DesvioPadrao":0.1400,"Minimo":null,"Maximo":null,"numeroRespondentes":null,"baseCalculo":0},{"Indicador":"IPCA","Data":"2000-03-22","DataReferencia":"04/2000","Media":0.4800,"Mediana":0.4500,"DesvioPadrao":0.1400,"Minimo":null,"Maximo":null,"numeroRespondentes":null,"baseCalculo":0},{"Indicador":"IPCA","Data":"2000-03-23","DataReferencia":"04/2000","Media":0.4900,"Mediana":0.4900,"DesvioPadrao":0.1500,"Minimo":null,"Maximo":null,"numeroRespondentes":null,"baseCalculo":0},{"Indicador":"IPCA","Data":"2000-03-24","DataReferencia":"04/2000","Media":0.5500,"Mediana":0.5900,"DesvioPadrao":0.1500,"Minimo":null,"Maximo":null,"numeroRespondentes":null,"baseCalculo":0},{"Indicador":"IPCA","Data":"2000-03-27","DataReferencia":"04/2000","Media":0.5500,"Mediana":0.5900,"DesvioPadrao":0.1600,"Minimo":null,"Maximo":null,"numeroRespondentes":null,"baseCalculo":0},{"Indicador":"IPCA","Data":"2000-03-28","DataReferencia":"04/2000","Media":0.5500,"Mediana":0.5900,"DesvioPadrao":0.1600,"Minimo":null,"Maximo":null,"numeroRespondentes":null,"baseCalculo":0},{"Indicador":"IPCA","Data":"2000-03-29","DataReferencia":"04/2000","Media":0.5400,"Mediana":0.5500,"DesvioPadrao":0.1500,"Minimo":null,"Maximo":null,"numeroRespondentes":null,"baseCalculo":0},{"Indicador":"IPCA","Data":"2000-03-30","DataReferencia":"04/2000","Media":0.5500,"Mediana":0.5700,"DesvioPadrao":0.1500,"Minimo":null,"Maximo":null,"numeroRespondentes":null,"baseCalculo":0},{"Indicador":"IPCA","Data":"2000-03-31","DataReferencia":"04/2000","Media":0.5500,"Mediana":0.5600,"DesvioPadrao":0.1500,"Minimo":null,"Maximo":null,"numeroRespondentes":null,"baseCalculo":0},{"Indicador":"IPCA","Data":"2000-04-03","DataReferencia":"04/2000","Media":0.5500,"Mediana":0.5900,"DesvioPadrao":0.1600,"Minimo":null,"Maximo":null,"numeroRespondentes":null,"baseCalculo":0},{"Indicador":"IPCA","Data":"2000-04-04","DataReferencia":"04/2000","Media":0.5500,"Mediana":0.5900,"DesvioPadrao":0.1600,"Minimo":null,"Maximo":null,"numeroRespondentes":null,"baseCalculo":0},{"Indicador":"IPCA","Data":"2000-04-05","DataReferencia":"04/2000","Media":0.5700,"Mediana":0.6000,"DesvioPadrao":0.1600,"Minimo":null,"Maximo":null,"numeroRespondentes":null,"baseCalculo":0},{"Indicador":"IPCA","Data":"2000-04-06","DataReferencia":"04/2000","Media":0.5600,"Mediana":0.6000,"DesvioPadrao":0.1600,"Minimo":null,"Maximo":null,"numeroRespondentes":null,"baseCalculo":0},{"Indicador":"IPCA","Data":"2000-04-07","DataReferencia":"04/2000","Media":0.5600,"Mediana":0.6000,"DesvioPadrao":0.1700,"Minimo":null,"Maximo":null,"numeroRespondentes":null,"baseCalculo":0},{"Indicador":"IPCA","Data":"2000-04-10","DataReferencia":"04/2000","Media":0.5600,"Mediana":0.6000,"DesvioPadrao":0.1700,"Minimo":null,"Maximo":null,"numeroRespondentes":null,"baseCalculo":0},{"Indicador":"IPCA","Data":"2000-04-11","DataReferencia":"04/2000","Media":0.5600,"Mediana":0.6000,"DesvioPadrao":0.1700,"Minimo":null,"Maximo":null,"numeroRespondentes":null,"baseCalculo":0},{"Indicador":"IPCA","Data":"2000-04-12","DataReferencia":"04/2000","Media":0.5700,"Mediana":0.6000,"DesvioPadrao":0.1600,"Minimo":null,"Maximo":null,"numeroRespondentes":null,"baseCalculo":0},{"Indicador":"IPCA","Data":"2000-04-13","DataReferencia":"04/2000","Media":0.5700,"Mediana":0.6000,"DesvioPadrao":0.1700,"Minimo":null,"Maximo":null,"numeroRespondentes":null,"baseCalculo":0},{"Indicador":"IPCA","Data":"2000-04-14","DataReferencia":"04/2000","Media":0.5700,"Mediana":0.6000,"DesvioPadrao":0.1700,"Minimo":null,"Maximo":null,"numeroRespondentes":null,"baseCalculo":0},{"Indicador":"IPCA","Data":"2000-04-17","DataReferencia":"04/2000","Media":0.5800,"Mediana":0.6000,"DesvioPadrao":0.1600,"Minimo":null,"Maximo":null,"numeroRespondentes":null,"baseCalculo":0},{"Indicador":"IPCA","Data":"2000-04-18","DataReferencia":"04/2000","Media":0.5800,"Mediana":0.6000,"DesvioPadrao":0.1600,"Minimo":null,"Maximo":null,"numeroRespondentes":null,"baseCalculo":0},{"Indicador":"IPCA","Data":"2000-04-19","DataReferencia":"04/2000","Media":0.5700,"Mediana":0.6000,"DesvioPadrao":0.1600,"Minimo":null,"Maximo":null,"numeroRespondentes":null,"baseCalculo":0},{"Indicador":"IPCA","Data":"2000-04-20","DataReferencia":"04/2000","Media":0.5700,"Mediana":0.6000,"DesvioPadrao":0.1600,"Minimo":null,"Maximo":null,"numeroRespondentes":null,"baseCalculo":0},{"Indicador":"IPCA","Data":"2000-04-24","DataReferencia":"04/2000","Media":0.5700,"Mediana":0.6000,"DesvioPadrao":0.1600,"Minimo":null,"Maximo":null,"numeroRespondentes":null,"baseCalculo":0},{"Indicador":"IPCA","Data":"2000-04-25","DataReferencia":"04/2000","Media":0.5700,"Mediana":0.6000,"DesvioPadrao":0.1600,"Minimo":null,"Maximo":null,"numeroRespondentes":null,"baseCalculo":0},{"Indicador":"IPCA","Data":"2000-04-26","DataReferencia":"04/2000","Media":0.5700,"Mediana":0.6000,"DesvioPadrao":0.1600,"Minimo":null,"Maximo":null,"numeroRespondentes":null,"baseCalculo":0},{"Indicador":"IPCA","Data":"2000-04-27","DataReferencia":"04/2000","Media":0.5700,"Mediana":0.6000,"DesvioPadrao":0.1600,"Minimo":null,"Maximo":null,"numeroRespondentes":null,"baseCalculo":0},{"Indicador":"IPCA","Data":"2000-04-28","DataReferencia":"04/2000","Media":0.5700,"Mediana":0.6000,"DesvioPadrao":0.1600,"Minimo":null,"Maximo":null,"numeroRespondentes":null,"baseCalculo":0},{"Indicador":"IPCA","Data":"2000-05-02","DataReferencia":"04/2000","Media":0.5600,"Mediana":0.5800,"DesvioPadrao":0.1700,"Minimo":null,"Maximo":null,"numeroRespondentes":null,"baseCalculo":0},{"Indicador":"IPCA","Data":"2000-05-03","DataReferencia":"04/2000","Media":0.5600,"Mediana":0.6000,"DesvioPadrao":0.1600,"Minimo":null,"Maximo":null,"numeroRespondentes":null,"baseCalculo":0},{"Indicador":"IPCA","Data":"2000-05-04","DataReferencia":"04/2000","Media":0.5400,"Mediana":0.6000,"DesvioPadrao":0.1700,"Minimo":null,"Maximo":null,"numeroRespondentes":null,"baseCalculo":0},{"Indicador":"IPCA","Data":"2000-05-05","DataReferencia":"04/2000","Media":0.5300,"Mediana":0.5500,"DesvioPadrao":0.1600,"Minimo":null,"Maximo":null,"numeroRespondentes":null,"baseCalculo":0},{"Indicador":"IPCA","Data":"2000-05-08","DataReferencia":"04/2000","Media":0.5200,"Mediana":0.5500,"DesvioPadrao":0.1700,"Minimo":null,"Maximo":null,"numeroRespondentes":null,"baseCalculo":0},{"Indicador":"IPCA","Data":"2000-05-09","DataReferencia":"04/2000","Media":0.5100,"Mediana":0.5500,"DesvioPadrao":0.1700,"Minimo":null,"Maximo":null,"numeroRespondentes":null,"baseCalculo":0},{"Indicador":"IPCA","Data":"2000-05-10","DataReferencia":"04/2000","Media":0.5000,"Mediana":0.5000,"DesvioPadrao":0.1700,"Minimo":null,"Maximo":null,"numeroRespondentes":null,"baseCalculo":0}]}</v>
      </c>
    </row>
    <row r="7" spans="1:1" s="8" customFormat="1" x14ac:dyDescent="0.2">
      <c r="A7" s="7" t="s">
        <v>24</v>
      </c>
    </row>
    <row r="8" spans="1:1" x14ac:dyDescent="0.2">
      <c r="A8" s="1" t="str" cm="1">
        <f t="array" ref="A8">xlFOCUS_ReadJSON(A5,TRUE)</f>
        <v># Barra de fórmulas aberta</v>
      </c>
    </row>
  </sheetData>
  <hyperlinks>
    <hyperlink ref="A2" r:id="rId1" xr:uid="{AD50FF39-3FB5-48C9-84B7-21E17A53C70B}"/>
  </hyperlinks>
  <pageMargins left="0.511811024" right="0.511811024" top="0.78740157499999996" bottom="0.78740157499999996" header="0.31496062000000002" footer="0.31496062000000002"/>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E4961-5372-4738-A9D6-0319F8CD0079}">
  <sheetPr codeName="Planilha12"/>
  <dimension ref="A1:K135"/>
  <sheetViews>
    <sheetView workbookViewId="0">
      <selection activeCell="A5" sqref="A5"/>
    </sheetView>
  </sheetViews>
  <sheetFormatPr defaultRowHeight="12.75" x14ac:dyDescent="0.2"/>
  <cols>
    <col min="1" max="1" width="9.140625" style="1"/>
    <col min="2" max="2" width="10.140625" style="1" bestFit="1" customWidth="1"/>
    <col min="3" max="3" width="13.7109375" style="1" bestFit="1" customWidth="1"/>
    <col min="4" max="4" width="6" style="1" bestFit="1" customWidth="1"/>
    <col min="5" max="5" width="8" style="1" bestFit="1" customWidth="1"/>
    <col min="6" max="11" width="10.7109375" style="1" bestFit="1" customWidth="1"/>
    <col min="12" max="16384" width="9.140625" style="1"/>
  </cols>
  <sheetData>
    <row r="1" spans="1:11" s="8" customFormat="1" x14ac:dyDescent="0.2">
      <c r="A1" s="7" t="s">
        <v>139</v>
      </c>
    </row>
    <row r="2" spans="1:11" ht="15" x14ac:dyDescent="0.25">
      <c r="A2" s="20" t="s">
        <v>574</v>
      </c>
    </row>
    <row r="4" spans="1:11" s="8" customFormat="1" x14ac:dyDescent="0.2">
      <c r="A4" s="7" t="s">
        <v>24</v>
      </c>
    </row>
    <row r="5" spans="1:11" ht="15" x14ac:dyDescent="0.25">
      <c r="A5" s="1" t="str" cm="1">
        <f t="array" ref="A5">xlFOCUS_ReadJSONFile(A2,TRUE)</f>
        <v># Barra de fórmulas aberta</v>
      </c>
      <c r="F5"/>
      <c r="G5"/>
      <c r="H5"/>
      <c r="I5"/>
      <c r="J5"/>
      <c r="K5"/>
    </row>
    <row r="6" spans="1:11" ht="15" x14ac:dyDescent="0.25">
      <c r="F6"/>
      <c r="G6"/>
      <c r="H6"/>
      <c r="I6"/>
      <c r="J6"/>
      <c r="K6"/>
    </row>
    <row r="7" spans="1:11" ht="15" x14ac:dyDescent="0.25">
      <c r="F7"/>
      <c r="G7"/>
      <c r="H7"/>
      <c r="I7"/>
      <c r="J7"/>
      <c r="K7"/>
    </row>
    <row r="8" spans="1:11" ht="15" x14ac:dyDescent="0.25">
      <c r="F8"/>
      <c r="G8"/>
      <c r="H8"/>
      <c r="I8"/>
      <c r="J8"/>
      <c r="K8"/>
    </row>
    <row r="9" spans="1:11" ht="15" x14ac:dyDescent="0.25">
      <c r="F9"/>
      <c r="G9"/>
      <c r="H9"/>
      <c r="I9"/>
      <c r="J9"/>
      <c r="K9"/>
    </row>
    <row r="10" spans="1:11" ht="15" x14ac:dyDescent="0.25">
      <c r="F10"/>
      <c r="G10"/>
      <c r="H10"/>
      <c r="I10"/>
      <c r="J10"/>
      <c r="K10"/>
    </row>
    <row r="11" spans="1:11" ht="15" x14ac:dyDescent="0.25">
      <c r="F11"/>
      <c r="G11"/>
      <c r="H11"/>
      <c r="I11"/>
      <c r="J11"/>
      <c r="K11"/>
    </row>
    <row r="12" spans="1:11" ht="15" x14ac:dyDescent="0.25">
      <c r="F12"/>
      <c r="G12"/>
      <c r="H12"/>
      <c r="I12"/>
      <c r="J12"/>
      <c r="K12"/>
    </row>
    <row r="13" spans="1:11" ht="15" x14ac:dyDescent="0.25">
      <c r="F13"/>
      <c r="G13"/>
      <c r="H13"/>
      <c r="I13"/>
      <c r="J13"/>
      <c r="K13"/>
    </row>
    <row r="14" spans="1:11" ht="15" x14ac:dyDescent="0.25">
      <c r="F14"/>
      <c r="G14"/>
      <c r="H14"/>
      <c r="I14"/>
      <c r="J14"/>
      <c r="K14"/>
    </row>
    <row r="15" spans="1:11" ht="15" x14ac:dyDescent="0.25">
      <c r="F15"/>
      <c r="G15"/>
      <c r="H15"/>
      <c r="I15"/>
      <c r="J15"/>
      <c r="K15"/>
    </row>
    <row r="16" spans="1:11" ht="15" x14ac:dyDescent="0.25">
      <c r="F16"/>
      <c r="G16"/>
      <c r="H16"/>
      <c r="I16"/>
      <c r="J16"/>
      <c r="K16"/>
    </row>
    <row r="17" spans="6:11" ht="15" x14ac:dyDescent="0.25">
      <c r="F17"/>
      <c r="G17"/>
      <c r="H17"/>
      <c r="I17"/>
      <c r="J17"/>
      <c r="K17"/>
    </row>
    <row r="18" spans="6:11" ht="15" x14ac:dyDescent="0.25">
      <c r="F18"/>
      <c r="G18"/>
      <c r="H18"/>
      <c r="I18"/>
      <c r="J18"/>
      <c r="K18"/>
    </row>
    <row r="19" spans="6:11" ht="15" x14ac:dyDescent="0.25">
      <c r="F19"/>
      <c r="G19"/>
      <c r="H19"/>
      <c r="I19"/>
      <c r="J19"/>
      <c r="K19"/>
    </row>
    <row r="20" spans="6:11" ht="15" x14ac:dyDescent="0.25">
      <c r="F20"/>
      <c r="G20"/>
      <c r="H20"/>
      <c r="I20"/>
      <c r="J20"/>
      <c r="K20"/>
    </row>
    <row r="21" spans="6:11" ht="15" x14ac:dyDescent="0.25">
      <c r="F21"/>
      <c r="G21"/>
      <c r="H21"/>
      <c r="I21"/>
      <c r="J21"/>
      <c r="K21"/>
    </row>
    <row r="22" spans="6:11" ht="15" x14ac:dyDescent="0.25">
      <c r="F22"/>
      <c r="G22"/>
      <c r="H22"/>
      <c r="I22"/>
      <c r="J22"/>
      <c r="K22"/>
    </row>
    <row r="23" spans="6:11" ht="15" x14ac:dyDescent="0.25">
      <c r="F23"/>
      <c r="G23"/>
      <c r="H23"/>
      <c r="I23"/>
      <c r="J23"/>
      <c r="K23"/>
    </row>
    <row r="24" spans="6:11" ht="15" x14ac:dyDescent="0.25">
      <c r="F24"/>
      <c r="G24"/>
      <c r="H24"/>
      <c r="I24"/>
      <c r="J24"/>
      <c r="K24"/>
    </row>
    <row r="25" spans="6:11" ht="15" x14ac:dyDescent="0.25">
      <c r="F25"/>
      <c r="G25"/>
      <c r="H25"/>
      <c r="I25"/>
      <c r="J25"/>
      <c r="K25"/>
    </row>
    <row r="26" spans="6:11" ht="15" x14ac:dyDescent="0.25">
      <c r="F26"/>
      <c r="G26"/>
      <c r="H26"/>
      <c r="I26"/>
      <c r="J26"/>
      <c r="K26"/>
    </row>
    <row r="27" spans="6:11" ht="15" x14ac:dyDescent="0.25">
      <c r="F27"/>
      <c r="G27"/>
      <c r="H27"/>
      <c r="I27"/>
      <c r="J27"/>
      <c r="K27"/>
    </row>
    <row r="28" spans="6:11" ht="15" x14ac:dyDescent="0.25">
      <c r="F28"/>
      <c r="G28"/>
      <c r="H28"/>
      <c r="I28"/>
      <c r="J28"/>
      <c r="K28"/>
    </row>
    <row r="29" spans="6:11" ht="15" x14ac:dyDescent="0.25">
      <c r="F29"/>
      <c r="G29"/>
      <c r="H29"/>
      <c r="I29"/>
      <c r="J29"/>
      <c r="K29"/>
    </row>
    <row r="30" spans="6:11" ht="15" x14ac:dyDescent="0.25">
      <c r="F30"/>
      <c r="G30"/>
      <c r="H30"/>
      <c r="I30"/>
      <c r="J30"/>
      <c r="K30"/>
    </row>
    <row r="31" spans="6:11" ht="15" x14ac:dyDescent="0.25">
      <c r="F31"/>
      <c r="G31"/>
      <c r="H31"/>
      <c r="I31"/>
      <c r="J31"/>
      <c r="K31"/>
    </row>
    <row r="32" spans="6:11" ht="15" x14ac:dyDescent="0.25">
      <c r="F32"/>
      <c r="G32"/>
      <c r="H32"/>
      <c r="I32"/>
      <c r="J32"/>
      <c r="K32"/>
    </row>
    <row r="33" spans="6:11" ht="15" x14ac:dyDescent="0.25">
      <c r="F33"/>
      <c r="G33"/>
      <c r="H33"/>
      <c r="I33"/>
      <c r="J33"/>
      <c r="K33"/>
    </row>
    <row r="34" spans="6:11" ht="15" x14ac:dyDescent="0.25">
      <c r="F34"/>
      <c r="G34"/>
      <c r="H34"/>
      <c r="I34"/>
      <c r="J34"/>
      <c r="K34"/>
    </row>
    <row r="35" spans="6:11" ht="15" x14ac:dyDescent="0.25">
      <c r="F35"/>
      <c r="G35"/>
      <c r="H35"/>
      <c r="I35"/>
      <c r="J35"/>
      <c r="K35"/>
    </row>
    <row r="36" spans="6:11" ht="15" x14ac:dyDescent="0.25">
      <c r="F36"/>
      <c r="G36"/>
      <c r="H36"/>
      <c r="I36"/>
      <c r="J36"/>
      <c r="K36"/>
    </row>
    <row r="37" spans="6:11" ht="15" x14ac:dyDescent="0.25">
      <c r="F37"/>
      <c r="G37"/>
      <c r="H37"/>
      <c r="I37"/>
      <c r="J37"/>
      <c r="K37"/>
    </row>
    <row r="38" spans="6:11" ht="15" x14ac:dyDescent="0.25">
      <c r="F38"/>
      <c r="G38"/>
      <c r="H38"/>
      <c r="I38"/>
      <c r="J38"/>
      <c r="K38"/>
    </row>
    <row r="39" spans="6:11" ht="15" x14ac:dyDescent="0.25">
      <c r="F39"/>
      <c r="G39"/>
      <c r="H39"/>
      <c r="I39"/>
      <c r="J39"/>
      <c r="K39"/>
    </row>
    <row r="40" spans="6:11" ht="15" x14ac:dyDescent="0.25">
      <c r="F40"/>
      <c r="G40"/>
      <c r="H40"/>
      <c r="I40"/>
      <c r="J40"/>
      <c r="K40"/>
    </row>
    <row r="41" spans="6:11" ht="15" x14ac:dyDescent="0.25">
      <c r="F41"/>
      <c r="G41"/>
      <c r="H41"/>
      <c r="I41"/>
      <c r="J41"/>
      <c r="K41"/>
    </row>
    <row r="42" spans="6:11" ht="15" x14ac:dyDescent="0.25">
      <c r="F42"/>
      <c r="G42"/>
      <c r="H42"/>
      <c r="I42"/>
      <c r="J42"/>
      <c r="K42"/>
    </row>
    <row r="43" spans="6:11" ht="15" x14ac:dyDescent="0.25">
      <c r="F43"/>
      <c r="G43"/>
      <c r="H43"/>
      <c r="I43"/>
      <c r="J43"/>
      <c r="K43"/>
    </row>
    <row r="44" spans="6:11" ht="15" x14ac:dyDescent="0.25">
      <c r="F44"/>
      <c r="G44"/>
      <c r="H44"/>
      <c r="I44"/>
      <c r="J44"/>
      <c r="K44"/>
    </row>
    <row r="45" spans="6:11" ht="15" x14ac:dyDescent="0.25">
      <c r="F45"/>
      <c r="G45"/>
      <c r="H45"/>
      <c r="I45"/>
      <c r="J45"/>
      <c r="K45"/>
    </row>
    <row r="46" spans="6:11" ht="15" x14ac:dyDescent="0.25">
      <c r="F46"/>
      <c r="G46"/>
      <c r="H46"/>
      <c r="I46"/>
      <c r="J46"/>
      <c r="K46"/>
    </row>
    <row r="47" spans="6:11" ht="15" x14ac:dyDescent="0.25">
      <c r="F47"/>
      <c r="G47"/>
      <c r="H47"/>
      <c r="I47"/>
      <c r="J47"/>
      <c r="K47"/>
    </row>
    <row r="48" spans="6:11" ht="15" x14ac:dyDescent="0.25">
      <c r="F48"/>
      <c r="G48"/>
      <c r="H48"/>
      <c r="I48"/>
      <c r="J48"/>
      <c r="K48"/>
    </row>
    <row r="49" spans="6:11" ht="15" x14ac:dyDescent="0.25">
      <c r="F49"/>
      <c r="G49"/>
      <c r="H49"/>
      <c r="I49"/>
      <c r="J49"/>
      <c r="K49"/>
    </row>
    <row r="50" spans="6:11" ht="15" x14ac:dyDescent="0.25">
      <c r="F50"/>
      <c r="G50"/>
      <c r="H50"/>
      <c r="I50"/>
      <c r="J50"/>
      <c r="K50"/>
    </row>
    <row r="51" spans="6:11" ht="15" x14ac:dyDescent="0.25">
      <c r="F51"/>
      <c r="G51"/>
      <c r="H51"/>
      <c r="I51"/>
      <c r="J51"/>
      <c r="K51"/>
    </row>
    <row r="52" spans="6:11" ht="15" x14ac:dyDescent="0.25">
      <c r="F52"/>
      <c r="G52"/>
      <c r="H52"/>
      <c r="I52"/>
      <c r="J52"/>
      <c r="K52"/>
    </row>
    <row r="53" spans="6:11" ht="15" x14ac:dyDescent="0.25">
      <c r="F53"/>
      <c r="G53"/>
      <c r="H53"/>
      <c r="I53"/>
      <c r="J53"/>
      <c r="K53"/>
    </row>
    <row r="54" spans="6:11" ht="15" x14ac:dyDescent="0.25">
      <c r="F54"/>
      <c r="G54"/>
      <c r="H54"/>
      <c r="I54"/>
      <c r="J54"/>
      <c r="K54"/>
    </row>
    <row r="55" spans="6:11" ht="15" x14ac:dyDescent="0.25">
      <c r="F55"/>
      <c r="G55"/>
      <c r="H55"/>
      <c r="I55"/>
      <c r="J55"/>
      <c r="K55"/>
    </row>
    <row r="56" spans="6:11" ht="15" x14ac:dyDescent="0.25">
      <c r="F56"/>
      <c r="G56"/>
      <c r="H56"/>
      <c r="I56"/>
      <c r="J56"/>
      <c r="K56"/>
    </row>
    <row r="57" spans="6:11" ht="15" x14ac:dyDescent="0.25">
      <c r="F57"/>
      <c r="G57"/>
      <c r="H57"/>
      <c r="I57"/>
      <c r="J57"/>
      <c r="K57"/>
    </row>
    <row r="58" spans="6:11" ht="15" x14ac:dyDescent="0.25">
      <c r="F58"/>
      <c r="G58"/>
      <c r="H58"/>
      <c r="I58"/>
      <c r="J58"/>
      <c r="K58"/>
    </row>
    <row r="59" spans="6:11" ht="15" x14ac:dyDescent="0.25">
      <c r="F59"/>
      <c r="G59"/>
      <c r="H59"/>
      <c r="I59"/>
      <c r="J59"/>
      <c r="K59"/>
    </row>
    <row r="60" spans="6:11" ht="15" x14ac:dyDescent="0.25">
      <c r="F60"/>
      <c r="G60"/>
      <c r="H60"/>
      <c r="I60"/>
      <c r="J60"/>
      <c r="K60"/>
    </row>
    <row r="61" spans="6:11" ht="15" x14ac:dyDescent="0.25">
      <c r="F61"/>
      <c r="G61"/>
      <c r="H61"/>
      <c r="I61"/>
      <c r="J61"/>
      <c r="K61"/>
    </row>
    <row r="62" spans="6:11" ht="15" x14ac:dyDescent="0.25">
      <c r="F62"/>
      <c r="G62"/>
      <c r="H62"/>
      <c r="I62"/>
      <c r="J62"/>
      <c r="K62"/>
    </row>
    <row r="63" spans="6:11" ht="15" x14ac:dyDescent="0.25">
      <c r="F63"/>
      <c r="G63"/>
      <c r="H63"/>
      <c r="I63"/>
      <c r="J63"/>
      <c r="K63"/>
    </row>
    <row r="64" spans="6:11" ht="15" x14ac:dyDescent="0.25">
      <c r="F64"/>
      <c r="G64"/>
      <c r="H64"/>
      <c r="I64"/>
      <c r="J64"/>
      <c r="K64"/>
    </row>
    <row r="65" spans="6:11" ht="15" x14ac:dyDescent="0.25">
      <c r="F65"/>
      <c r="G65"/>
      <c r="H65"/>
      <c r="I65"/>
      <c r="J65"/>
      <c r="K65"/>
    </row>
    <row r="66" spans="6:11" ht="15" x14ac:dyDescent="0.25">
      <c r="F66"/>
      <c r="G66"/>
      <c r="H66"/>
      <c r="I66"/>
      <c r="J66"/>
      <c r="K66"/>
    </row>
    <row r="67" spans="6:11" ht="15" x14ac:dyDescent="0.25">
      <c r="F67"/>
      <c r="G67"/>
      <c r="H67"/>
      <c r="I67"/>
      <c r="J67"/>
      <c r="K67"/>
    </row>
    <row r="68" spans="6:11" ht="15" x14ac:dyDescent="0.25">
      <c r="F68"/>
      <c r="G68"/>
      <c r="H68"/>
      <c r="I68"/>
      <c r="J68"/>
      <c r="K68"/>
    </row>
    <row r="69" spans="6:11" ht="15" x14ac:dyDescent="0.25">
      <c r="F69"/>
      <c r="G69"/>
      <c r="H69"/>
      <c r="I69"/>
      <c r="J69"/>
      <c r="K69"/>
    </row>
    <row r="70" spans="6:11" ht="15" x14ac:dyDescent="0.25">
      <c r="F70"/>
      <c r="G70"/>
      <c r="H70"/>
      <c r="I70"/>
      <c r="J70"/>
      <c r="K70"/>
    </row>
    <row r="71" spans="6:11" ht="15" x14ac:dyDescent="0.25">
      <c r="F71"/>
      <c r="G71"/>
      <c r="H71"/>
      <c r="I71"/>
      <c r="J71"/>
      <c r="K71"/>
    </row>
    <row r="72" spans="6:11" ht="15" x14ac:dyDescent="0.25">
      <c r="F72"/>
      <c r="G72"/>
      <c r="H72"/>
      <c r="I72"/>
      <c r="J72"/>
      <c r="K72"/>
    </row>
    <row r="73" spans="6:11" ht="15" x14ac:dyDescent="0.25">
      <c r="F73"/>
      <c r="G73"/>
      <c r="H73"/>
      <c r="I73"/>
      <c r="J73"/>
      <c r="K73"/>
    </row>
    <row r="74" spans="6:11" ht="15" x14ac:dyDescent="0.25">
      <c r="F74"/>
      <c r="G74"/>
      <c r="H74"/>
      <c r="I74"/>
      <c r="J74"/>
      <c r="K74"/>
    </row>
    <row r="75" spans="6:11" ht="15" x14ac:dyDescent="0.25">
      <c r="F75"/>
      <c r="G75"/>
      <c r="H75"/>
      <c r="I75"/>
      <c r="J75"/>
      <c r="K75"/>
    </row>
    <row r="76" spans="6:11" ht="15" x14ac:dyDescent="0.25">
      <c r="F76"/>
      <c r="G76"/>
      <c r="H76"/>
      <c r="I76"/>
      <c r="J76"/>
      <c r="K76"/>
    </row>
    <row r="77" spans="6:11" ht="15" x14ac:dyDescent="0.25">
      <c r="F77"/>
      <c r="G77"/>
      <c r="H77"/>
      <c r="I77"/>
      <c r="J77"/>
      <c r="K77"/>
    </row>
    <row r="78" spans="6:11" ht="15" x14ac:dyDescent="0.25">
      <c r="F78"/>
      <c r="G78"/>
      <c r="H78"/>
      <c r="I78"/>
      <c r="J78"/>
      <c r="K78"/>
    </row>
    <row r="79" spans="6:11" ht="15" x14ac:dyDescent="0.25">
      <c r="F79"/>
      <c r="G79"/>
      <c r="H79"/>
      <c r="I79"/>
      <c r="J79"/>
      <c r="K79"/>
    </row>
    <row r="80" spans="6:11" ht="15" x14ac:dyDescent="0.25">
      <c r="F80"/>
      <c r="G80"/>
      <c r="H80"/>
      <c r="I80"/>
      <c r="J80"/>
      <c r="K80"/>
    </row>
    <row r="81" spans="6:11" ht="15" x14ac:dyDescent="0.25">
      <c r="F81"/>
      <c r="G81"/>
      <c r="H81"/>
      <c r="I81"/>
      <c r="J81"/>
      <c r="K81"/>
    </row>
    <row r="82" spans="6:11" ht="15" x14ac:dyDescent="0.25">
      <c r="F82"/>
      <c r="G82"/>
      <c r="H82"/>
      <c r="I82"/>
      <c r="J82"/>
      <c r="K82"/>
    </row>
    <row r="83" spans="6:11" ht="15" x14ac:dyDescent="0.25">
      <c r="F83"/>
      <c r="G83"/>
      <c r="H83"/>
      <c r="I83"/>
      <c r="J83"/>
      <c r="K83"/>
    </row>
    <row r="84" spans="6:11" ht="15" x14ac:dyDescent="0.25">
      <c r="F84"/>
      <c r="G84"/>
      <c r="H84"/>
      <c r="I84"/>
      <c r="J84"/>
      <c r="K84"/>
    </row>
    <row r="85" spans="6:11" ht="15" x14ac:dyDescent="0.25">
      <c r="F85"/>
      <c r="G85"/>
      <c r="H85"/>
      <c r="I85"/>
      <c r="J85"/>
      <c r="K85"/>
    </row>
    <row r="86" spans="6:11" ht="15" x14ac:dyDescent="0.25">
      <c r="F86"/>
      <c r="G86"/>
      <c r="H86"/>
      <c r="I86"/>
      <c r="J86"/>
      <c r="K86"/>
    </row>
    <row r="87" spans="6:11" ht="15" x14ac:dyDescent="0.25">
      <c r="F87"/>
      <c r="G87"/>
      <c r="H87"/>
      <c r="I87"/>
      <c r="J87"/>
      <c r="K87"/>
    </row>
    <row r="88" spans="6:11" ht="15" x14ac:dyDescent="0.25">
      <c r="F88"/>
      <c r="G88"/>
      <c r="H88"/>
      <c r="I88"/>
      <c r="J88"/>
      <c r="K88"/>
    </row>
    <row r="89" spans="6:11" ht="15" x14ac:dyDescent="0.25">
      <c r="F89"/>
      <c r="G89"/>
      <c r="H89"/>
      <c r="I89"/>
      <c r="J89"/>
      <c r="K89"/>
    </row>
    <row r="90" spans="6:11" ht="15" x14ac:dyDescent="0.25">
      <c r="F90"/>
      <c r="G90"/>
      <c r="H90"/>
      <c r="I90"/>
      <c r="J90"/>
      <c r="K90"/>
    </row>
    <row r="91" spans="6:11" ht="15" x14ac:dyDescent="0.25">
      <c r="F91"/>
      <c r="G91"/>
      <c r="H91"/>
      <c r="I91"/>
      <c r="J91"/>
      <c r="K91"/>
    </row>
    <row r="92" spans="6:11" ht="15" x14ac:dyDescent="0.25">
      <c r="F92"/>
      <c r="G92"/>
      <c r="H92"/>
      <c r="I92"/>
      <c r="J92"/>
      <c r="K92"/>
    </row>
    <row r="93" spans="6:11" ht="15" x14ac:dyDescent="0.25">
      <c r="F93"/>
      <c r="G93"/>
      <c r="H93"/>
      <c r="I93"/>
      <c r="J93"/>
      <c r="K93"/>
    </row>
    <row r="94" spans="6:11" ht="15" x14ac:dyDescent="0.25">
      <c r="F94"/>
      <c r="G94"/>
      <c r="H94"/>
      <c r="I94"/>
      <c r="J94"/>
      <c r="K94"/>
    </row>
    <row r="95" spans="6:11" ht="15" x14ac:dyDescent="0.25">
      <c r="F95"/>
      <c r="G95"/>
      <c r="H95"/>
      <c r="I95"/>
      <c r="J95"/>
      <c r="K95"/>
    </row>
    <row r="96" spans="6:11" ht="15" x14ac:dyDescent="0.25">
      <c r="F96"/>
      <c r="G96"/>
      <c r="H96"/>
      <c r="I96"/>
      <c r="J96"/>
      <c r="K96"/>
    </row>
    <row r="97" spans="6:11" ht="15" x14ac:dyDescent="0.25">
      <c r="F97"/>
      <c r="G97"/>
      <c r="H97"/>
      <c r="I97"/>
      <c r="J97"/>
      <c r="K97"/>
    </row>
    <row r="98" spans="6:11" ht="15" x14ac:dyDescent="0.25">
      <c r="F98"/>
      <c r="G98"/>
      <c r="H98"/>
      <c r="I98"/>
      <c r="J98"/>
      <c r="K98"/>
    </row>
    <row r="99" spans="6:11" ht="15" x14ac:dyDescent="0.25">
      <c r="F99"/>
      <c r="G99"/>
      <c r="H99"/>
      <c r="I99"/>
      <c r="J99"/>
      <c r="K99"/>
    </row>
    <row r="100" spans="6:11" ht="15" x14ac:dyDescent="0.25">
      <c r="F100"/>
      <c r="G100"/>
      <c r="H100"/>
      <c r="I100"/>
      <c r="J100"/>
      <c r="K100"/>
    </row>
    <row r="101" spans="6:11" ht="15" x14ac:dyDescent="0.25">
      <c r="F101"/>
      <c r="G101"/>
      <c r="H101"/>
      <c r="I101"/>
      <c r="J101"/>
      <c r="K101"/>
    </row>
    <row r="102" spans="6:11" ht="15" x14ac:dyDescent="0.25">
      <c r="F102"/>
      <c r="G102"/>
      <c r="H102"/>
      <c r="I102"/>
      <c r="J102"/>
      <c r="K102"/>
    </row>
    <row r="103" spans="6:11" ht="15" x14ac:dyDescent="0.25">
      <c r="F103"/>
      <c r="G103"/>
      <c r="H103"/>
      <c r="I103"/>
      <c r="J103"/>
      <c r="K103"/>
    </row>
    <row r="104" spans="6:11" ht="15" x14ac:dyDescent="0.25">
      <c r="F104"/>
      <c r="G104"/>
      <c r="H104"/>
      <c r="I104"/>
      <c r="J104"/>
      <c r="K104"/>
    </row>
    <row r="105" spans="6:11" ht="15" x14ac:dyDescent="0.25">
      <c r="F105"/>
      <c r="G105"/>
      <c r="H105"/>
      <c r="I105"/>
      <c r="J105"/>
      <c r="K105"/>
    </row>
    <row r="106" spans="6:11" ht="15" x14ac:dyDescent="0.25">
      <c r="F106"/>
      <c r="G106"/>
      <c r="H106"/>
      <c r="I106"/>
      <c r="J106"/>
      <c r="K106"/>
    </row>
    <row r="107" spans="6:11" ht="15" x14ac:dyDescent="0.25">
      <c r="F107"/>
      <c r="G107"/>
      <c r="H107"/>
      <c r="I107"/>
      <c r="J107"/>
      <c r="K107"/>
    </row>
    <row r="108" spans="6:11" ht="15" x14ac:dyDescent="0.25">
      <c r="F108"/>
      <c r="G108"/>
      <c r="H108"/>
      <c r="I108"/>
      <c r="J108"/>
      <c r="K108"/>
    </row>
    <row r="109" spans="6:11" ht="15" x14ac:dyDescent="0.25">
      <c r="F109"/>
      <c r="G109"/>
      <c r="H109"/>
      <c r="I109"/>
      <c r="J109"/>
      <c r="K109"/>
    </row>
    <row r="110" spans="6:11" ht="15" x14ac:dyDescent="0.25">
      <c r="F110"/>
      <c r="G110"/>
      <c r="H110"/>
      <c r="I110"/>
      <c r="J110"/>
      <c r="K110"/>
    </row>
    <row r="111" spans="6:11" ht="15" x14ac:dyDescent="0.25">
      <c r="F111"/>
      <c r="G111"/>
      <c r="H111"/>
      <c r="I111"/>
      <c r="J111"/>
      <c r="K111"/>
    </row>
    <row r="112" spans="6:11" ht="15" x14ac:dyDescent="0.25">
      <c r="F112"/>
      <c r="G112"/>
      <c r="H112"/>
      <c r="I112"/>
      <c r="J112"/>
      <c r="K112"/>
    </row>
    <row r="113" spans="6:11" ht="15" x14ac:dyDescent="0.25">
      <c r="F113"/>
      <c r="G113"/>
      <c r="H113"/>
      <c r="I113"/>
      <c r="J113"/>
      <c r="K113"/>
    </row>
    <row r="114" spans="6:11" ht="15" x14ac:dyDescent="0.25">
      <c r="F114"/>
      <c r="G114"/>
      <c r="H114"/>
      <c r="I114"/>
      <c r="J114"/>
      <c r="K114"/>
    </row>
    <row r="115" spans="6:11" ht="15" x14ac:dyDescent="0.25">
      <c r="F115"/>
      <c r="G115"/>
      <c r="H115"/>
      <c r="I115"/>
      <c r="J115"/>
      <c r="K115"/>
    </row>
    <row r="116" spans="6:11" ht="15" x14ac:dyDescent="0.25">
      <c r="F116"/>
      <c r="G116"/>
      <c r="H116"/>
      <c r="I116"/>
      <c r="J116"/>
      <c r="K116"/>
    </row>
    <row r="117" spans="6:11" ht="15" x14ac:dyDescent="0.25">
      <c r="F117"/>
      <c r="G117"/>
      <c r="H117"/>
      <c r="I117"/>
      <c r="J117"/>
      <c r="K117"/>
    </row>
    <row r="118" spans="6:11" ht="15" x14ac:dyDescent="0.25">
      <c r="F118"/>
      <c r="G118"/>
      <c r="H118"/>
      <c r="I118"/>
      <c r="J118"/>
      <c r="K118"/>
    </row>
    <row r="119" spans="6:11" ht="15" x14ac:dyDescent="0.25">
      <c r="F119"/>
      <c r="G119"/>
      <c r="H119"/>
      <c r="I119"/>
      <c r="J119"/>
      <c r="K119"/>
    </row>
    <row r="120" spans="6:11" ht="15" x14ac:dyDescent="0.25">
      <c r="F120"/>
      <c r="G120"/>
      <c r="H120"/>
      <c r="I120"/>
      <c r="J120"/>
      <c r="K120"/>
    </row>
    <row r="121" spans="6:11" ht="15" x14ac:dyDescent="0.25">
      <c r="F121"/>
      <c r="G121"/>
      <c r="H121"/>
      <c r="I121"/>
      <c r="J121"/>
      <c r="K121"/>
    </row>
    <row r="122" spans="6:11" ht="15" x14ac:dyDescent="0.25">
      <c r="F122"/>
      <c r="G122"/>
      <c r="H122"/>
      <c r="I122"/>
      <c r="J122"/>
      <c r="K122"/>
    </row>
    <row r="123" spans="6:11" ht="15" x14ac:dyDescent="0.25">
      <c r="F123"/>
      <c r="G123"/>
      <c r="H123"/>
      <c r="I123"/>
      <c r="J123"/>
      <c r="K123"/>
    </row>
    <row r="124" spans="6:11" ht="15" x14ac:dyDescent="0.25">
      <c r="F124"/>
      <c r="G124"/>
      <c r="H124"/>
      <c r="I124"/>
      <c r="J124"/>
      <c r="K124"/>
    </row>
    <row r="125" spans="6:11" ht="15" x14ac:dyDescent="0.25">
      <c r="F125"/>
      <c r="G125"/>
      <c r="H125"/>
      <c r="I125"/>
      <c r="J125"/>
      <c r="K125"/>
    </row>
    <row r="126" spans="6:11" ht="15" x14ac:dyDescent="0.25">
      <c r="F126"/>
      <c r="G126"/>
      <c r="H126"/>
      <c r="I126"/>
      <c r="J126"/>
      <c r="K126"/>
    </row>
    <row r="127" spans="6:11" ht="15" x14ac:dyDescent="0.25">
      <c r="F127"/>
      <c r="G127"/>
      <c r="H127"/>
      <c r="I127"/>
      <c r="J127"/>
      <c r="K127"/>
    </row>
    <row r="128" spans="6:11" ht="15" x14ac:dyDescent="0.25">
      <c r="F128"/>
      <c r="G128"/>
      <c r="H128"/>
      <c r="I128"/>
      <c r="J128"/>
      <c r="K128"/>
    </row>
    <row r="129" spans="6:11" ht="15" x14ac:dyDescent="0.25">
      <c r="F129"/>
      <c r="G129"/>
      <c r="H129"/>
      <c r="I129"/>
      <c r="J129"/>
      <c r="K129"/>
    </row>
    <row r="130" spans="6:11" ht="15" x14ac:dyDescent="0.25">
      <c r="F130"/>
      <c r="G130"/>
      <c r="H130"/>
      <c r="I130"/>
      <c r="J130"/>
      <c r="K130"/>
    </row>
    <row r="131" spans="6:11" ht="15" x14ac:dyDescent="0.25">
      <c r="F131"/>
      <c r="G131"/>
      <c r="H131"/>
      <c r="I131"/>
      <c r="J131"/>
      <c r="K131"/>
    </row>
    <row r="132" spans="6:11" ht="15" x14ac:dyDescent="0.25">
      <c r="F132"/>
      <c r="G132"/>
      <c r="H132"/>
      <c r="I132"/>
      <c r="J132"/>
      <c r="K132"/>
    </row>
    <row r="133" spans="6:11" ht="15" x14ac:dyDescent="0.25">
      <c r="F133"/>
      <c r="G133"/>
      <c r="H133"/>
      <c r="I133"/>
      <c r="J133"/>
      <c r="K133"/>
    </row>
    <row r="134" spans="6:11" ht="15" x14ac:dyDescent="0.25">
      <c r="F134"/>
      <c r="G134"/>
      <c r="H134"/>
      <c r="I134"/>
      <c r="J134"/>
      <c r="K134"/>
    </row>
    <row r="135" spans="6:11" ht="15" x14ac:dyDescent="0.25">
      <c r="F135"/>
      <c r="G135"/>
      <c r="H135"/>
      <c r="I135"/>
      <c r="J135"/>
      <c r="K135"/>
    </row>
  </sheetData>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DC2E9-F084-4798-B0FB-20C31835BA2C}">
  <sheetPr codeName="Planilha13"/>
  <dimension ref="A1:P507"/>
  <sheetViews>
    <sheetView workbookViewId="0">
      <selection activeCell="D6" sqref="D6"/>
    </sheetView>
  </sheetViews>
  <sheetFormatPr defaultRowHeight="12.75" x14ac:dyDescent="0.2"/>
  <cols>
    <col min="1" max="1" width="37.28515625" style="1" customWidth="1"/>
    <col min="2" max="2" width="13.28515625" style="1" bestFit="1" customWidth="1"/>
    <col min="3" max="3" width="10.140625" style="1" bestFit="1" customWidth="1"/>
    <col min="4" max="4" width="12" style="1" customWidth="1"/>
    <col min="5"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146</v>
      </c>
      <c r="I1" s="3" t="s">
        <v>59</v>
      </c>
      <c r="J1" s="85" t="str">
        <f>"Indicator values for SGS series "&amp;$B$4</f>
        <v>Indicator values for SGS series 433</v>
      </c>
      <c r="K1" s="86"/>
      <c r="L1" s="86"/>
      <c r="M1" s="86"/>
      <c r="N1" s="86"/>
      <c r="O1" s="86"/>
      <c r="P1" s="86"/>
    </row>
    <row r="3" spans="1:16" x14ac:dyDescent="0.2">
      <c r="A3" s="3" t="s">
        <v>512</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16" x14ac:dyDescent="0.2">
      <c r="A4" s="3" t="s">
        <v>60</v>
      </c>
      <c r="B4" s="18">
        <v>433</v>
      </c>
      <c r="D4" s="1" t="s">
        <v>68</v>
      </c>
      <c r="E4" s="1" t="s">
        <v>112</v>
      </c>
    </row>
    <row r="5" spans="1:16" x14ac:dyDescent="0.2">
      <c r="A5" s="3" t="s">
        <v>63</v>
      </c>
      <c r="B5" s="14"/>
      <c r="D5" s="17" t="str" cm="1">
        <f t="array" ref="D5">xlFOCUS_SGS($B$4,B5,B6,B7,B8)</f>
        <v># Barra de fórmulas aberta</v>
      </c>
      <c r="E5" s="11"/>
    </row>
    <row r="6" spans="1:16" x14ac:dyDescent="0.2">
      <c r="A6" s="3" t="s">
        <v>64</v>
      </c>
      <c r="B6" s="14"/>
      <c r="D6" s="17"/>
      <c r="E6" s="11"/>
    </row>
    <row r="7" spans="1:16" x14ac:dyDescent="0.2">
      <c r="A7" s="3" t="s">
        <v>148</v>
      </c>
      <c r="B7" s="18"/>
      <c r="D7" s="17"/>
      <c r="E7" s="11"/>
    </row>
    <row r="8" spans="1:16" x14ac:dyDescent="0.2">
      <c r="A8" s="3" t="s">
        <v>147</v>
      </c>
      <c r="B8" s="18">
        <v>2</v>
      </c>
      <c r="D8" s="17"/>
      <c r="E8" s="11"/>
    </row>
    <row r="9" spans="1:16" x14ac:dyDescent="0.2">
      <c r="D9" s="17"/>
      <c r="E9" s="11"/>
    </row>
    <row r="10" spans="1:16" x14ac:dyDescent="0.2">
      <c r="D10" s="17"/>
      <c r="E10" s="11"/>
    </row>
    <row r="11" spans="1:16" x14ac:dyDescent="0.2">
      <c r="D11" s="17"/>
      <c r="E11" s="11"/>
    </row>
    <row r="12" spans="1:16" x14ac:dyDescent="0.2">
      <c r="D12" s="17"/>
      <c r="E12" s="11"/>
    </row>
    <row r="13" spans="1:16" x14ac:dyDescent="0.2">
      <c r="D13" s="17"/>
      <c r="E13" s="11"/>
    </row>
    <row r="14" spans="1:16" x14ac:dyDescent="0.2">
      <c r="D14" s="17"/>
      <c r="E14" s="11"/>
    </row>
    <row r="15" spans="1:16" x14ac:dyDescent="0.2">
      <c r="D15" s="17"/>
      <c r="E15" s="11"/>
    </row>
    <row r="16" spans="1:16" x14ac:dyDescent="0.2">
      <c r="D16" s="17"/>
      <c r="E16" s="11"/>
    </row>
    <row r="17" spans="4:5" x14ac:dyDescent="0.2">
      <c r="D17" s="17"/>
      <c r="E17" s="11"/>
    </row>
    <row r="18" spans="4:5" x14ac:dyDescent="0.2">
      <c r="D18" s="17"/>
      <c r="E18" s="11"/>
    </row>
    <row r="19" spans="4:5" x14ac:dyDescent="0.2">
      <c r="D19" s="17"/>
      <c r="E19" s="11"/>
    </row>
    <row r="20" spans="4:5" x14ac:dyDescent="0.2">
      <c r="D20" s="17"/>
      <c r="E20" s="11"/>
    </row>
    <row r="21" spans="4:5" x14ac:dyDescent="0.2">
      <c r="D21" s="17"/>
      <c r="E21" s="11"/>
    </row>
    <row r="22" spans="4:5" x14ac:dyDescent="0.2">
      <c r="D22" s="17"/>
      <c r="E22" s="11"/>
    </row>
    <row r="23" spans="4:5" x14ac:dyDescent="0.2">
      <c r="D23" s="17"/>
      <c r="E23" s="11"/>
    </row>
    <row r="24" spans="4:5" x14ac:dyDescent="0.2">
      <c r="D24" s="17"/>
      <c r="E24" s="11"/>
    </row>
    <row r="25" spans="4:5" x14ac:dyDescent="0.2">
      <c r="D25" s="17"/>
      <c r="E25" s="11"/>
    </row>
    <row r="26" spans="4:5" x14ac:dyDescent="0.2">
      <c r="D26" s="17"/>
      <c r="E26" s="11"/>
    </row>
    <row r="27" spans="4:5" x14ac:dyDescent="0.2">
      <c r="D27" s="17"/>
      <c r="E27" s="11"/>
    </row>
    <row r="28" spans="4:5" x14ac:dyDescent="0.2">
      <c r="D28" s="17"/>
      <c r="E28" s="11"/>
    </row>
    <row r="29" spans="4:5" x14ac:dyDescent="0.2">
      <c r="D29" s="17"/>
      <c r="E29" s="11"/>
    </row>
    <row r="30" spans="4:5" x14ac:dyDescent="0.2">
      <c r="D30" s="17"/>
      <c r="E30" s="11"/>
    </row>
    <row r="31" spans="4:5" x14ac:dyDescent="0.2">
      <c r="D31" s="17"/>
      <c r="E31" s="11"/>
    </row>
    <row r="32" spans="4:5" x14ac:dyDescent="0.2">
      <c r="D32" s="17"/>
      <c r="E32" s="11"/>
    </row>
    <row r="33" spans="4:12" x14ac:dyDescent="0.2">
      <c r="D33" s="17"/>
      <c r="E33" s="11"/>
    </row>
    <row r="34" spans="4:12" x14ac:dyDescent="0.2">
      <c r="D34" s="17"/>
      <c r="E34" s="11"/>
    </row>
    <row r="35" spans="4:12" x14ac:dyDescent="0.2">
      <c r="D35" s="17"/>
      <c r="E35" s="11"/>
    </row>
    <row r="36" spans="4:12" x14ac:dyDescent="0.2">
      <c r="D36" s="17"/>
      <c r="E36" s="11"/>
    </row>
    <row r="37" spans="4:12" x14ac:dyDescent="0.2">
      <c r="D37" s="17"/>
      <c r="E37" s="11"/>
    </row>
    <row r="38" spans="4:12" x14ac:dyDescent="0.2">
      <c r="D38" s="17"/>
      <c r="E38" s="11"/>
    </row>
    <row r="39" spans="4:12" x14ac:dyDescent="0.2">
      <c r="D39" s="17"/>
      <c r="E39" s="11"/>
    </row>
    <row r="40" spans="4:12" x14ac:dyDescent="0.2">
      <c r="D40" s="17"/>
      <c r="E40" s="11"/>
      <c r="L40" s="17"/>
    </row>
    <row r="41" spans="4:12" x14ac:dyDescent="0.2">
      <c r="D41" s="17"/>
      <c r="E41" s="11"/>
    </row>
    <row r="42" spans="4:12" x14ac:dyDescent="0.2">
      <c r="D42" s="17"/>
      <c r="E42" s="11"/>
    </row>
    <row r="43" spans="4:12" x14ac:dyDescent="0.2">
      <c r="D43" s="17"/>
      <c r="E43" s="11"/>
    </row>
    <row r="44" spans="4:12" x14ac:dyDescent="0.2">
      <c r="D44" s="17"/>
      <c r="E44" s="11"/>
    </row>
    <row r="45" spans="4:12" x14ac:dyDescent="0.2">
      <c r="D45" s="17"/>
      <c r="E45" s="11"/>
    </row>
    <row r="46" spans="4:12" x14ac:dyDescent="0.2">
      <c r="D46" s="17"/>
      <c r="E46" s="11"/>
    </row>
    <row r="47" spans="4:12" x14ac:dyDescent="0.2">
      <c r="D47" s="17"/>
      <c r="E47" s="11"/>
    </row>
    <row r="48" spans="4:12" x14ac:dyDescent="0.2">
      <c r="D48" s="17"/>
      <c r="E48" s="11"/>
    </row>
    <row r="49" spans="4:5" x14ac:dyDescent="0.2">
      <c r="D49" s="17"/>
      <c r="E49" s="11"/>
    </row>
    <row r="50" spans="4:5" x14ac:dyDescent="0.2">
      <c r="D50" s="17"/>
      <c r="E50" s="11"/>
    </row>
    <row r="51" spans="4:5" x14ac:dyDescent="0.2">
      <c r="D51" s="17"/>
      <c r="E51" s="11"/>
    </row>
    <row r="52" spans="4:5" x14ac:dyDescent="0.2">
      <c r="D52" s="17"/>
      <c r="E52" s="11"/>
    </row>
    <row r="53" spans="4:5" x14ac:dyDescent="0.2">
      <c r="D53" s="17"/>
      <c r="E53" s="11"/>
    </row>
    <row r="54" spans="4:5" x14ac:dyDescent="0.2">
      <c r="D54" s="17"/>
      <c r="E54" s="11"/>
    </row>
    <row r="55" spans="4:5" x14ac:dyDescent="0.2">
      <c r="D55" s="17"/>
      <c r="E55" s="11"/>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00CA6-DF3A-42D7-B5BF-24A26B6B48C7}">
  <sheetPr codeName="Planilha16"/>
  <dimension ref="A1:AC135"/>
  <sheetViews>
    <sheetView topLeftCell="D1" workbookViewId="0">
      <selection activeCell="L3" sqref="L3"/>
    </sheetView>
  </sheetViews>
  <sheetFormatPr defaultRowHeight="12.75" x14ac:dyDescent="0.2"/>
  <cols>
    <col min="1" max="1" width="9.140625" style="1"/>
    <col min="2" max="2" width="46.28515625" style="1" customWidth="1"/>
    <col min="3" max="3" width="13.7109375" style="1" bestFit="1" customWidth="1"/>
    <col min="4" max="4" width="13.7109375" style="1" customWidth="1"/>
    <col min="5" max="5" width="8" style="1" bestFit="1" customWidth="1"/>
    <col min="6" max="10" width="10.7109375" style="1" bestFit="1" customWidth="1"/>
    <col min="11" max="11" width="23.5703125" style="1" bestFit="1" customWidth="1"/>
    <col min="12" max="12" width="88" style="1" bestFit="1" customWidth="1"/>
    <col min="13" max="13" width="28.28515625" style="1" bestFit="1" customWidth="1"/>
    <col min="14" max="14" width="19.7109375" style="1" bestFit="1" customWidth="1"/>
    <col min="15" max="17" width="10.7109375" style="1" bestFit="1" customWidth="1"/>
    <col min="18" max="18" width="21.140625" style="1" bestFit="1" customWidth="1"/>
    <col min="19" max="19" width="22.140625" style="1" bestFit="1" customWidth="1"/>
    <col min="20" max="20" width="25.28515625" style="1" bestFit="1" customWidth="1"/>
    <col min="21" max="21" width="29.42578125" style="1" bestFit="1" customWidth="1"/>
    <col min="22" max="22" width="14.85546875" style="1" bestFit="1" customWidth="1"/>
    <col min="23" max="23" width="28.28515625" style="1" bestFit="1" customWidth="1"/>
    <col min="24" max="24" width="25" style="1" bestFit="1" customWidth="1"/>
    <col min="25" max="25" width="26.7109375" style="1" bestFit="1" customWidth="1"/>
    <col min="26" max="26" width="20.42578125" style="1" bestFit="1" customWidth="1"/>
    <col min="27" max="27" width="10.7109375" style="1" bestFit="1" customWidth="1"/>
    <col min="28" max="28" width="13.28515625" style="1" bestFit="1" customWidth="1"/>
    <col min="29" max="29" width="10.7109375" style="1" bestFit="1" customWidth="1"/>
    <col min="30" max="16384" width="9.140625" style="1"/>
  </cols>
  <sheetData>
    <row r="1" spans="1:29" s="8" customFormat="1" x14ac:dyDescent="0.2">
      <c r="A1" s="7" t="s">
        <v>139</v>
      </c>
    </row>
    <row r="2" spans="1:29" ht="15" x14ac:dyDescent="0.25">
      <c r="A2" s="20" t="s">
        <v>575</v>
      </c>
    </row>
    <row r="3" spans="1:29" ht="15" x14ac:dyDescent="0.25">
      <c r="K3" s="60" t="s">
        <v>276</v>
      </c>
      <c r="L3" t="s">
        <v>511</v>
      </c>
    </row>
    <row r="4" spans="1:29" s="8" customFormat="1" x14ac:dyDescent="0.2">
      <c r="A4" s="7" t="s">
        <v>24</v>
      </c>
    </row>
    <row r="5" spans="1:29" ht="15" x14ac:dyDescent="0.25">
      <c r="A5" s="1" t="str" cm="1">
        <f t="array" ref="A5">xlFOCUS_ReadJSONFile(A2,TRUE)</f>
        <v># Barra de fórmulas aberta</v>
      </c>
      <c r="F5"/>
      <c r="G5"/>
      <c r="H5"/>
      <c r="I5"/>
      <c r="J5"/>
      <c r="K5" s="60" t="s">
        <v>275</v>
      </c>
      <c r="L5" s="60" t="s">
        <v>175</v>
      </c>
      <c r="M5"/>
      <c r="N5"/>
      <c r="O5"/>
      <c r="P5"/>
      <c r="Q5"/>
      <c r="R5"/>
      <c r="S5"/>
      <c r="T5"/>
      <c r="U5"/>
      <c r="V5"/>
      <c r="W5"/>
      <c r="X5"/>
      <c r="Y5"/>
      <c r="Z5"/>
      <c r="AA5"/>
      <c r="AB5"/>
      <c r="AC5"/>
    </row>
    <row r="6" spans="1:29" ht="15" x14ac:dyDescent="0.25">
      <c r="F6"/>
      <c r="G6"/>
      <c r="H6"/>
      <c r="I6"/>
      <c r="J6"/>
      <c r="K6" s="60" t="s">
        <v>149</v>
      </c>
      <c r="L6" t="s">
        <v>176</v>
      </c>
      <c r="M6" t="s">
        <v>178</v>
      </c>
      <c r="N6" t="s">
        <v>510</v>
      </c>
      <c r="O6" t="s">
        <v>173</v>
      </c>
      <c r="P6"/>
      <c r="Q6"/>
      <c r="R6"/>
      <c r="S6"/>
      <c r="T6"/>
      <c r="U6"/>
      <c r="V6"/>
      <c r="W6"/>
      <c r="X6"/>
      <c r="Y6"/>
      <c r="Z6"/>
      <c r="AA6"/>
      <c r="AB6"/>
      <c r="AC6"/>
    </row>
    <row r="7" spans="1:29" ht="15" x14ac:dyDescent="0.25">
      <c r="F7"/>
      <c r="G7"/>
      <c r="H7"/>
      <c r="I7"/>
      <c r="J7"/>
      <c r="K7" s="61" t="s">
        <v>179</v>
      </c>
      <c r="L7" s="62">
        <v>10.38</v>
      </c>
      <c r="M7" s="62">
        <v>9.7899999999999991</v>
      </c>
      <c r="N7" s="62"/>
      <c r="O7" s="62">
        <v>10.38</v>
      </c>
      <c r="P7"/>
      <c r="Q7"/>
      <c r="R7"/>
      <c r="S7"/>
      <c r="T7"/>
      <c r="U7"/>
      <c r="V7"/>
      <c r="W7"/>
      <c r="X7"/>
      <c r="Y7"/>
      <c r="Z7"/>
      <c r="AA7"/>
      <c r="AB7"/>
      <c r="AC7"/>
    </row>
    <row r="8" spans="1:29" ht="15" x14ac:dyDescent="0.25">
      <c r="F8"/>
      <c r="G8"/>
      <c r="H8"/>
      <c r="I8"/>
      <c r="J8"/>
      <c r="K8" s="61" t="s">
        <v>180</v>
      </c>
      <c r="L8" s="62">
        <v>10.16</v>
      </c>
      <c r="M8" s="62">
        <v>9.7100000000000009</v>
      </c>
      <c r="N8" s="62"/>
      <c r="O8" s="62">
        <v>10.16</v>
      </c>
      <c r="P8"/>
      <c r="Q8"/>
      <c r="R8"/>
      <c r="S8"/>
      <c r="T8"/>
      <c r="U8"/>
      <c r="V8"/>
      <c r="W8"/>
      <c r="X8"/>
      <c r="Y8"/>
      <c r="Z8"/>
      <c r="AA8"/>
      <c r="AB8"/>
      <c r="AC8"/>
    </row>
    <row r="9" spans="1:29" ht="15" x14ac:dyDescent="0.25">
      <c r="F9"/>
      <c r="G9"/>
      <c r="H9"/>
      <c r="I9"/>
      <c r="J9"/>
      <c r="K9" s="61" t="s">
        <v>181</v>
      </c>
      <c r="L9" s="62">
        <v>10.06</v>
      </c>
      <c r="M9" s="62">
        <v>9.75</v>
      </c>
      <c r="N9" s="62"/>
      <c r="O9" s="62">
        <v>10.06</v>
      </c>
      <c r="P9"/>
      <c r="Q9"/>
      <c r="R9"/>
      <c r="S9"/>
      <c r="T9"/>
      <c r="U9"/>
      <c r="V9"/>
      <c r="W9"/>
      <c r="X9"/>
      <c r="Y9"/>
      <c r="Z9"/>
      <c r="AA9"/>
      <c r="AB9"/>
      <c r="AC9"/>
    </row>
    <row r="10" spans="1:29" ht="15" x14ac:dyDescent="0.25">
      <c r="F10"/>
      <c r="G10"/>
      <c r="H10"/>
      <c r="I10"/>
      <c r="J10"/>
      <c r="K10" s="61" t="s">
        <v>182</v>
      </c>
      <c r="L10" s="62">
        <v>10.17</v>
      </c>
      <c r="M10" s="62">
        <v>9.66</v>
      </c>
      <c r="N10" s="62"/>
      <c r="O10" s="62">
        <v>10.17</v>
      </c>
      <c r="P10"/>
      <c r="Q10"/>
      <c r="R10"/>
      <c r="S10"/>
      <c r="T10"/>
      <c r="U10"/>
      <c r="V10"/>
      <c r="W10"/>
      <c r="X10"/>
      <c r="Y10"/>
      <c r="Z10"/>
      <c r="AA10"/>
      <c r="AB10"/>
      <c r="AC10"/>
    </row>
    <row r="11" spans="1:29" ht="15" x14ac:dyDescent="0.25">
      <c r="F11"/>
      <c r="G11"/>
      <c r="H11"/>
      <c r="I11"/>
      <c r="J11"/>
      <c r="K11" s="61" t="s">
        <v>183</v>
      </c>
      <c r="L11" s="62">
        <v>10.25</v>
      </c>
      <c r="M11" s="62">
        <v>9.67</v>
      </c>
      <c r="N11" s="62"/>
      <c r="O11" s="62">
        <v>10.25</v>
      </c>
      <c r="P11"/>
      <c r="Q11"/>
      <c r="R11"/>
      <c r="S11"/>
      <c r="T11"/>
      <c r="U11"/>
      <c r="V11"/>
      <c r="W11"/>
      <c r="X11"/>
      <c r="Y11"/>
      <c r="Z11"/>
      <c r="AA11"/>
      <c r="AB11"/>
      <c r="AC11"/>
    </row>
    <row r="12" spans="1:29" ht="15" x14ac:dyDescent="0.25">
      <c r="F12"/>
      <c r="G12"/>
      <c r="H12"/>
      <c r="I12"/>
      <c r="J12"/>
      <c r="K12" s="61" t="s">
        <v>184</v>
      </c>
      <c r="L12" s="62">
        <v>9.99</v>
      </c>
      <c r="M12" s="62">
        <v>9.44</v>
      </c>
      <c r="N12" s="62"/>
      <c r="O12" s="62">
        <v>9.99</v>
      </c>
      <c r="P12"/>
      <c r="Q12"/>
      <c r="R12"/>
      <c r="S12"/>
      <c r="T12"/>
      <c r="U12"/>
      <c r="V12"/>
      <c r="W12"/>
      <c r="X12"/>
      <c r="Y12"/>
      <c r="Z12"/>
      <c r="AA12"/>
      <c r="AB12"/>
      <c r="AC12"/>
    </row>
    <row r="13" spans="1:29" ht="15" x14ac:dyDescent="0.25">
      <c r="F13"/>
      <c r="G13"/>
      <c r="H13"/>
      <c r="I13"/>
      <c r="J13"/>
      <c r="K13" s="61" t="s">
        <v>185</v>
      </c>
      <c r="L13" s="62">
        <v>9.9</v>
      </c>
      <c r="M13" s="62">
        <v>9.34</v>
      </c>
      <c r="N13" s="62"/>
      <c r="O13" s="62">
        <v>9.9</v>
      </c>
      <c r="P13"/>
      <c r="Q13"/>
      <c r="R13"/>
      <c r="S13"/>
      <c r="T13"/>
      <c r="U13"/>
      <c r="V13"/>
      <c r="W13"/>
      <c r="X13"/>
      <c r="Y13"/>
      <c r="Z13"/>
      <c r="AA13"/>
      <c r="AB13"/>
      <c r="AC13"/>
    </row>
    <row r="14" spans="1:29" ht="15" x14ac:dyDescent="0.25">
      <c r="F14"/>
      <c r="G14"/>
      <c r="H14"/>
      <c r="I14"/>
      <c r="J14"/>
      <c r="K14" s="61" t="s">
        <v>186</v>
      </c>
      <c r="L14" s="62">
        <v>9.83</v>
      </c>
      <c r="M14" s="62">
        <v>9.18</v>
      </c>
      <c r="N14" s="62"/>
      <c r="O14" s="62">
        <v>9.83</v>
      </c>
      <c r="P14"/>
      <c r="Q14"/>
      <c r="R14"/>
      <c r="S14"/>
      <c r="T14"/>
      <c r="U14"/>
      <c r="V14"/>
      <c r="W14"/>
      <c r="X14"/>
      <c r="Y14"/>
      <c r="Z14"/>
      <c r="AA14"/>
      <c r="AB14"/>
      <c r="AC14"/>
    </row>
    <row r="15" spans="1:29" ht="15" x14ac:dyDescent="0.25">
      <c r="F15"/>
      <c r="G15"/>
      <c r="H15"/>
      <c r="I15"/>
      <c r="J15"/>
      <c r="K15" s="61" t="s">
        <v>187</v>
      </c>
      <c r="L15" s="62">
        <v>9.6199999999999992</v>
      </c>
      <c r="M15" s="62">
        <v>9.25</v>
      </c>
      <c r="N15" s="62"/>
      <c r="O15" s="62">
        <v>9.6199999999999992</v>
      </c>
      <c r="P15"/>
      <c r="Q15"/>
      <c r="R15"/>
      <c r="S15"/>
      <c r="T15"/>
      <c r="U15"/>
      <c r="V15"/>
      <c r="W15"/>
      <c r="X15"/>
      <c r="Y15"/>
      <c r="Z15"/>
      <c r="AA15"/>
      <c r="AB15"/>
      <c r="AC15"/>
    </row>
    <row r="16" spans="1:29" ht="15" x14ac:dyDescent="0.25">
      <c r="F16"/>
      <c r="G16"/>
      <c r="H16"/>
      <c r="I16"/>
      <c r="J16"/>
      <c r="K16" s="61" t="s">
        <v>188</v>
      </c>
      <c r="L16" s="62">
        <v>9.6199999999999992</v>
      </c>
      <c r="M16" s="62">
        <v>9.07</v>
      </c>
      <c r="N16" s="62"/>
      <c r="O16" s="62">
        <v>9.6199999999999992</v>
      </c>
      <c r="P16"/>
      <c r="Q16"/>
      <c r="R16"/>
      <c r="S16"/>
      <c r="T16"/>
      <c r="U16"/>
      <c r="V16"/>
      <c r="W16"/>
      <c r="X16"/>
      <c r="Y16"/>
      <c r="Z16"/>
      <c r="AA16"/>
      <c r="AB16"/>
      <c r="AC16"/>
    </row>
    <row r="17" spans="6:29" ht="15" x14ac:dyDescent="0.25">
      <c r="F17"/>
      <c r="G17"/>
      <c r="H17"/>
      <c r="I17"/>
      <c r="J17"/>
      <c r="K17" s="61" t="s">
        <v>189</v>
      </c>
      <c r="L17" s="62">
        <v>9.51</v>
      </c>
      <c r="M17" s="62">
        <v>9.18</v>
      </c>
      <c r="N17" s="62"/>
      <c r="O17" s="62">
        <v>9.51</v>
      </c>
      <c r="P17"/>
      <c r="Q17"/>
      <c r="R17"/>
      <c r="S17"/>
      <c r="T17"/>
      <c r="U17"/>
      <c r="V17"/>
      <c r="W17"/>
      <c r="X17"/>
      <c r="Y17"/>
      <c r="Z17"/>
      <c r="AA17"/>
      <c r="AB17"/>
      <c r="AC17"/>
    </row>
    <row r="18" spans="6:29" ht="15" x14ac:dyDescent="0.25">
      <c r="F18"/>
      <c r="G18"/>
      <c r="H18"/>
      <c r="I18"/>
      <c r="J18"/>
      <c r="K18" s="61" t="s">
        <v>190</v>
      </c>
      <c r="L18" s="62">
        <v>9.5500000000000007</v>
      </c>
      <c r="M18" s="62">
        <v>9.0399999999999991</v>
      </c>
      <c r="N18" s="62"/>
      <c r="O18" s="62">
        <v>9.5500000000000007</v>
      </c>
      <c r="P18"/>
      <c r="Q18"/>
      <c r="R18"/>
      <c r="S18"/>
      <c r="T18"/>
      <c r="U18"/>
      <c r="V18"/>
      <c r="W18"/>
      <c r="X18"/>
      <c r="Y18"/>
      <c r="Z18"/>
      <c r="AA18"/>
      <c r="AB18"/>
      <c r="AC18"/>
    </row>
    <row r="19" spans="6:29" ht="15" x14ac:dyDescent="0.25">
      <c r="F19"/>
      <c r="G19"/>
      <c r="H19"/>
      <c r="I19"/>
      <c r="J19"/>
      <c r="K19" s="61" t="s">
        <v>191</v>
      </c>
      <c r="L19" s="62">
        <v>9.25</v>
      </c>
      <c r="M19" s="62">
        <v>8.9600000000000009</v>
      </c>
      <c r="N19" s="62"/>
      <c r="O19" s="62">
        <v>9.25</v>
      </c>
      <c r="P19"/>
      <c r="Q19"/>
      <c r="R19"/>
      <c r="S19"/>
      <c r="T19"/>
      <c r="U19"/>
      <c r="V19"/>
      <c r="W19"/>
      <c r="X19"/>
      <c r="Y19"/>
      <c r="Z19"/>
      <c r="AA19"/>
      <c r="AB19"/>
      <c r="AC19"/>
    </row>
    <row r="20" spans="6:29" ht="15" x14ac:dyDescent="0.25">
      <c r="F20"/>
      <c r="G20"/>
      <c r="H20"/>
      <c r="I20"/>
      <c r="J20"/>
      <c r="K20" s="61" t="s">
        <v>192</v>
      </c>
      <c r="L20" s="62">
        <v>9.4</v>
      </c>
      <c r="M20" s="62">
        <v>8.81</v>
      </c>
      <c r="N20" s="62"/>
      <c r="O20" s="62">
        <v>9.4</v>
      </c>
      <c r="P20"/>
      <c r="Q20"/>
      <c r="R20"/>
      <c r="S20"/>
      <c r="T20"/>
      <c r="U20"/>
      <c r="V20"/>
      <c r="W20"/>
      <c r="X20"/>
      <c r="Y20"/>
      <c r="Z20"/>
      <c r="AA20"/>
      <c r="AB20"/>
      <c r="AC20"/>
    </row>
    <row r="21" spans="6:29" ht="15" x14ac:dyDescent="0.25">
      <c r="F21"/>
      <c r="G21"/>
      <c r="H21"/>
      <c r="I21"/>
      <c r="J21"/>
      <c r="K21" s="61" t="s">
        <v>193</v>
      </c>
      <c r="L21" s="62">
        <v>9.07</v>
      </c>
      <c r="M21" s="62">
        <v>8.75</v>
      </c>
      <c r="N21" s="62"/>
      <c r="O21" s="62">
        <v>9.07</v>
      </c>
      <c r="P21"/>
      <c r="Q21"/>
      <c r="R21"/>
      <c r="S21"/>
      <c r="T21"/>
      <c r="U21"/>
      <c r="V21"/>
      <c r="W21"/>
      <c r="X21"/>
      <c r="Y21"/>
      <c r="Z21"/>
      <c r="AA21"/>
      <c r="AB21"/>
      <c r="AC21"/>
    </row>
    <row r="22" spans="6:29" ht="15" x14ac:dyDescent="0.25">
      <c r="F22"/>
      <c r="G22"/>
      <c r="H22"/>
      <c r="I22"/>
      <c r="J22"/>
      <c r="K22" s="61" t="s">
        <v>194</v>
      </c>
      <c r="L22" s="62">
        <v>8.83</v>
      </c>
      <c r="M22" s="62">
        <v>8.7100000000000009</v>
      </c>
      <c r="N22" s="62"/>
      <c r="O22" s="62">
        <v>8.83</v>
      </c>
      <c r="P22"/>
      <c r="Q22"/>
      <c r="R22"/>
      <c r="S22"/>
      <c r="T22"/>
      <c r="U22"/>
      <c r="V22"/>
      <c r="W22"/>
      <c r="X22"/>
      <c r="Y22"/>
      <c r="Z22"/>
      <c r="AA22"/>
      <c r="AB22"/>
      <c r="AC22"/>
    </row>
    <row r="23" spans="6:29" ht="15" x14ac:dyDescent="0.25">
      <c r="F23"/>
      <c r="G23"/>
      <c r="H23"/>
      <c r="I23"/>
      <c r="J23"/>
      <c r="K23" s="61" t="s">
        <v>195</v>
      </c>
      <c r="L23" s="62">
        <v>8.7200000000000006</v>
      </c>
      <c r="M23" s="62">
        <v>8.67</v>
      </c>
      <c r="N23" s="62"/>
      <c r="O23" s="62">
        <v>8.7200000000000006</v>
      </c>
      <c r="P23"/>
      <c r="Q23"/>
      <c r="R23"/>
      <c r="S23"/>
      <c r="T23"/>
      <c r="U23"/>
      <c r="V23"/>
      <c r="W23"/>
      <c r="X23"/>
      <c r="Y23"/>
      <c r="Z23"/>
      <c r="AA23"/>
      <c r="AB23"/>
      <c r="AC23"/>
    </row>
    <row r="24" spans="6:29" ht="15" x14ac:dyDescent="0.25">
      <c r="F24"/>
      <c r="G24"/>
      <c r="H24"/>
      <c r="I24"/>
      <c r="J24"/>
      <c r="K24" s="61" t="s">
        <v>196</v>
      </c>
      <c r="L24" s="62">
        <v>8.64</v>
      </c>
      <c r="M24" s="62">
        <v>8.67</v>
      </c>
      <c r="N24" s="62"/>
      <c r="O24" s="62">
        <v>8.67</v>
      </c>
      <c r="P24"/>
      <c r="Q24"/>
      <c r="R24"/>
      <c r="S24"/>
      <c r="T24"/>
      <c r="U24"/>
      <c r="V24"/>
      <c r="W24"/>
      <c r="X24"/>
      <c r="Y24"/>
      <c r="Z24"/>
      <c r="AA24"/>
      <c r="AB24"/>
      <c r="AC24"/>
    </row>
    <row r="25" spans="6:29" ht="15" x14ac:dyDescent="0.25">
      <c r="F25"/>
      <c r="G25"/>
      <c r="H25"/>
      <c r="I25"/>
      <c r="J25"/>
      <c r="K25" s="61" t="s">
        <v>197</v>
      </c>
      <c r="L25" s="62">
        <v>8.6999999999999993</v>
      </c>
      <c r="M25" s="62">
        <v>8.57</v>
      </c>
      <c r="N25" s="62"/>
      <c r="O25" s="62">
        <v>8.6999999999999993</v>
      </c>
      <c r="P25"/>
      <c r="Q25"/>
      <c r="R25"/>
      <c r="S25"/>
      <c r="T25"/>
      <c r="U25"/>
      <c r="V25"/>
      <c r="W25"/>
      <c r="X25"/>
      <c r="Y25"/>
      <c r="Z25"/>
      <c r="AA25"/>
      <c r="AB25"/>
      <c r="AC25"/>
    </row>
    <row r="26" spans="6:29" ht="15" x14ac:dyDescent="0.25">
      <c r="F26"/>
      <c r="G26"/>
      <c r="H26"/>
      <c r="I26"/>
      <c r="J26"/>
      <c r="K26" s="61" t="s">
        <v>198</v>
      </c>
      <c r="L26" s="62">
        <v>8.7799999999999994</v>
      </c>
      <c r="M26" s="62">
        <v>8.49</v>
      </c>
      <c r="N26" s="62"/>
      <c r="O26" s="62">
        <v>8.7799999999999994</v>
      </c>
      <c r="P26"/>
      <c r="Q26"/>
      <c r="R26"/>
      <c r="S26"/>
      <c r="T26"/>
      <c r="U26"/>
      <c r="V26"/>
      <c r="W26"/>
      <c r="X26"/>
      <c r="Y26"/>
      <c r="Z26"/>
      <c r="AA26"/>
      <c r="AB26"/>
      <c r="AC26"/>
    </row>
    <row r="27" spans="6:29" ht="15" x14ac:dyDescent="0.25">
      <c r="F27"/>
      <c r="G27"/>
      <c r="H27"/>
      <c r="I27"/>
      <c r="J27"/>
      <c r="K27" s="61" t="s">
        <v>199</v>
      </c>
      <c r="L27" s="62">
        <v>8.74</v>
      </c>
      <c r="M27" s="62">
        <v>8.6199999999999992</v>
      </c>
      <c r="N27" s="62"/>
      <c r="O27" s="62">
        <v>8.74</v>
      </c>
      <c r="P27"/>
      <c r="Q27"/>
      <c r="R27"/>
      <c r="S27"/>
      <c r="T27"/>
      <c r="U27"/>
      <c r="V27"/>
      <c r="W27"/>
      <c r="X27"/>
      <c r="Y27"/>
      <c r="Z27"/>
      <c r="AA27"/>
      <c r="AB27"/>
      <c r="AC27"/>
    </row>
    <row r="28" spans="6:29" ht="15" x14ac:dyDescent="0.25">
      <c r="F28"/>
      <c r="G28"/>
      <c r="H28"/>
      <c r="I28"/>
      <c r="J28"/>
      <c r="K28" s="61" t="s">
        <v>200</v>
      </c>
      <c r="L28" s="62">
        <v>8.69</v>
      </c>
      <c r="M28" s="62">
        <v>8.5</v>
      </c>
      <c r="N28" s="62"/>
      <c r="O28" s="62">
        <v>8.69</v>
      </c>
      <c r="P28"/>
      <c r="Q28"/>
      <c r="R28"/>
      <c r="S28"/>
      <c r="T28"/>
      <c r="U28"/>
      <c r="V28"/>
      <c r="W28"/>
      <c r="X28"/>
      <c r="Y28"/>
      <c r="Z28"/>
      <c r="AA28"/>
      <c r="AB28"/>
      <c r="AC28"/>
    </row>
    <row r="29" spans="6:29" ht="15" x14ac:dyDescent="0.25">
      <c r="F29"/>
      <c r="G29"/>
      <c r="H29"/>
      <c r="I29"/>
      <c r="J29"/>
      <c r="K29" s="61" t="s">
        <v>201</v>
      </c>
      <c r="L29" s="62">
        <v>8.76</v>
      </c>
      <c r="M29" s="62">
        <v>8.59</v>
      </c>
      <c r="N29" s="62"/>
      <c r="O29" s="62">
        <v>8.76</v>
      </c>
      <c r="P29"/>
      <c r="Q29"/>
      <c r="R29"/>
      <c r="S29"/>
      <c r="T29"/>
      <c r="U29"/>
      <c r="V29"/>
      <c r="W29"/>
      <c r="X29"/>
      <c r="Y29"/>
      <c r="Z29"/>
      <c r="AA29"/>
      <c r="AB29"/>
      <c r="AC29"/>
    </row>
    <row r="30" spans="6:29" ht="15" x14ac:dyDescent="0.25">
      <c r="F30"/>
      <c r="G30"/>
      <c r="H30"/>
      <c r="I30"/>
      <c r="J30"/>
      <c r="K30" s="61" t="s">
        <v>202</v>
      </c>
      <c r="L30" s="62">
        <v>8.8800000000000008</v>
      </c>
      <c r="M30" s="62">
        <v>8.51</v>
      </c>
      <c r="N30" s="62"/>
      <c r="O30" s="62">
        <v>8.8800000000000008</v>
      </c>
      <c r="P30"/>
      <c r="Q30"/>
      <c r="R30"/>
      <c r="S30"/>
      <c r="T30"/>
      <c r="U30"/>
      <c r="V30"/>
      <c r="W30"/>
      <c r="X30"/>
      <c r="Y30"/>
      <c r="Z30"/>
      <c r="AA30"/>
      <c r="AB30"/>
      <c r="AC30"/>
    </row>
    <row r="31" spans="6:29" ht="15" x14ac:dyDescent="0.25">
      <c r="F31"/>
      <c r="G31"/>
      <c r="H31"/>
      <c r="I31"/>
      <c r="J31"/>
      <c r="K31" s="61" t="s">
        <v>203</v>
      </c>
      <c r="L31" s="62">
        <v>8.85</v>
      </c>
      <c r="M31" s="62">
        <v>8.6300000000000008</v>
      </c>
      <c r="N31" s="62"/>
      <c r="O31" s="62">
        <v>8.85</v>
      </c>
      <c r="P31"/>
      <c r="Q31"/>
      <c r="R31"/>
      <c r="S31"/>
      <c r="T31"/>
      <c r="U31"/>
      <c r="V31"/>
      <c r="W31"/>
      <c r="X31"/>
      <c r="Y31"/>
      <c r="Z31"/>
      <c r="AA31"/>
      <c r="AB31"/>
      <c r="AC31"/>
    </row>
    <row r="32" spans="6:29" ht="15" x14ac:dyDescent="0.25">
      <c r="F32"/>
      <c r="G32"/>
      <c r="H32"/>
      <c r="I32"/>
      <c r="J32"/>
      <c r="K32" s="61" t="s">
        <v>204</v>
      </c>
      <c r="L32" s="62">
        <v>8.8699999999999992</v>
      </c>
      <c r="M32" s="62">
        <v>8.58</v>
      </c>
      <c r="N32" s="62"/>
      <c r="O32" s="62">
        <v>8.8699999999999992</v>
      </c>
      <c r="P32"/>
      <c r="Q32"/>
      <c r="R32"/>
      <c r="S32"/>
      <c r="T32"/>
      <c r="U32"/>
      <c r="V32"/>
      <c r="W32"/>
      <c r="X32"/>
      <c r="Y32"/>
      <c r="Z32"/>
      <c r="AA32"/>
      <c r="AB32"/>
      <c r="AC32"/>
    </row>
    <row r="33" spans="6:29" ht="15" x14ac:dyDescent="0.25">
      <c r="F33"/>
      <c r="G33"/>
      <c r="H33"/>
      <c r="I33"/>
      <c r="J33"/>
      <c r="K33" s="61" t="s">
        <v>205</v>
      </c>
      <c r="L33" s="62">
        <v>8.81</v>
      </c>
      <c r="M33" s="62">
        <v>8.59</v>
      </c>
      <c r="N33" s="62"/>
      <c r="O33" s="62">
        <v>8.81</v>
      </c>
      <c r="P33"/>
      <c r="Q33"/>
      <c r="R33"/>
      <c r="S33"/>
      <c r="T33"/>
      <c r="U33"/>
      <c r="V33"/>
      <c r="W33"/>
      <c r="X33"/>
      <c r="Y33"/>
      <c r="Z33"/>
      <c r="AA33"/>
      <c r="AB33"/>
      <c r="AC33"/>
    </row>
    <row r="34" spans="6:29" ht="15" x14ac:dyDescent="0.25">
      <c r="F34"/>
      <c r="G34"/>
      <c r="H34"/>
      <c r="I34"/>
      <c r="J34"/>
      <c r="K34" s="61" t="s">
        <v>206</v>
      </c>
      <c r="L34" s="62">
        <v>8.8800000000000008</v>
      </c>
      <c r="M34" s="62">
        <v>8.58</v>
      </c>
      <c r="N34" s="62"/>
      <c r="O34" s="62">
        <v>8.8800000000000008</v>
      </c>
      <c r="P34"/>
      <c r="Q34"/>
      <c r="R34"/>
      <c r="S34"/>
      <c r="T34"/>
      <c r="U34"/>
      <c r="V34"/>
      <c r="W34"/>
      <c r="X34"/>
      <c r="Y34"/>
      <c r="Z34"/>
      <c r="AA34"/>
      <c r="AB34"/>
      <c r="AC34"/>
    </row>
    <row r="35" spans="6:29" ht="15" x14ac:dyDescent="0.25">
      <c r="F35"/>
      <c r="G35"/>
      <c r="H35"/>
      <c r="I35"/>
      <c r="J35"/>
      <c r="K35" s="61" t="s">
        <v>207</v>
      </c>
      <c r="L35" s="62">
        <v>8.85</v>
      </c>
      <c r="M35" s="62">
        <v>8.7200000000000006</v>
      </c>
      <c r="N35" s="62">
        <v>9.4700000000000006</v>
      </c>
      <c r="O35" s="62">
        <v>9.4700000000000006</v>
      </c>
      <c r="P35"/>
      <c r="Q35"/>
      <c r="R35"/>
      <c r="S35"/>
      <c r="T35"/>
      <c r="U35"/>
      <c r="V35"/>
      <c r="W35"/>
      <c r="X35"/>
      <c r="Y35"/>
      <c r="Z35"/>
      <c r="AA35"/>
      <c r="AB35"/>
      <c r="AC35"/>
    </row>
    <row r="36" spans="6:29" ht="15" x14ac:dyDescent="0.25">
      <c r="F36"/>
      <c r="G36"/>
      <c r="H36"/>
      <c r="I36"/>
      <c r="J36"/>
      <c r="K36" s="61" t="s">
        <v>208</v>
      </c>
      <c r="L36" s="62">
        <v>8.9700000000000006</v>
      </c>
      <c r="M36" s="62">
        <v>8.6999999999999993</v>
      </c>
      <c r="N36" s="62">
        <v>9.49</v>
      </c>
      <c r="O36" s="62">
        <v>9.49</v>
      </c>
      <c r="P36"/>
      <c r="Q36"/>
      <c r="R36"/>
      <c r="S36"/>
      <c r="T36"/>
      <c r="U36"/>
      <c r="V36"/>
      <c r="W36"/>
      <c r="X36"/>
      <c r="Y36"/>
      <c r="Z36"/>
      <c r="AA36"/>
      <c r="AB36"/>
      <c r="AC36"/>
    </row>
    <row r="37" spans="6:29" ht="15" x14ac:dyDescent="0.25">
      <c r="F37"/>
      <c r="G37"/>
      <c r="H37"/>
      <c r="I37"/>
      <c r="J37"/>
      <c r="K37" s="61" t="s">
        <v>209</v>
      </c>
      <c r="L37" s="62">
        <v>9.08</v>
      </c>
      <c r="M37" s="62">
        <v>8.7100000000000009</v>
      </c>
      <c r="N37" s="62">
        <v>9.4499999999999993</v>
      </c>
      <c r="O37" s="62">
        <v>9.4499999999999993</v>
      </c>
      <c r="P37"/>
      <c r="Q37"/>
      <c r="R37"/>
      <c r="S37"/>
      <c r="T37"/>
      <c r="U37"/>
      <c r="V37"/>
      <c r="W37"/>
      <c r="X37"/>
      <c r="Y37"/>
      <c r="Z37"/>
      <c r="AA37"/>
      <c r="AB37"/>
      <c r="AC37"/>
    </row>
    <row r="38" spans="6:29" ht="15" x14ac:dyDescent="0.25">
      <c r="F38"/>
      <c r="G38"/>
      <c r="H38"/>
      <c r="I38"/>
      <c r="J38"/>
      <c r="K38" s="61" t="s">
        <v>210</v>
      </c>
      <c r="L38" s="62">
        <v>9</v>
      </c>
      <c r="M38" s="62">
        <v>8.73</v>
      </c>
      <c r="N38" s="62">
        <v>9.48</v>
      </c>
      <c r="O38" s="62">
        <v>9.48</v>
      </c>
      <c r="P38"/>
      <c r="Q38"/>
      <c r="R38"/>
      <c r="S38"/>
      <c r="T38"/>
      <c r="U38"/>
      <c r="V38"/>
      <c r="W38"/>
      <c r="X38"/>
      <c r="Y38"/>
      <c r="Z38"/>
      <c r="AA38"/>
      <c r="AB38"/>
      <c r="AC38"/>
    </row>
    <row r="39" spans="6:29" ht="15" x14ac:dyDescent="0.25">
      <c r="F39"/>
      <c r="G39"/>
      <c r="H39"/>
      <c r="I39"/>
      <c r="J39"/>
      <c r="K39" s="61" t="s">
        <v>211</v>
      </c>
      <c r="L39" s="62">
        <v>8.92</v>
      </c>
      <c r="M39" s="62">
        <v>8.73</v>
      </c>
      <c r="N39" s="62">
        <v>9.3800000000000008</v>
      </c>
      <c r="O39" s="62">
        <v>9.3800000000000008</v>
      </c>
      <c r="P39"/>
      <c r="Q39"/>
      <c r="R39"/>
      <c r="S39"/>
      <c r="T39"/>
      <c r="U39"/>
      <c r="V39"/>
      <c r="W39"/>
      <c r="X39"/>
      <c r="Y39"/>
      <c r="Z39"/>
      <c r="AA39"/>
      <c r="AB39"/>
      <c r="AC39"/>
    </row>
    <row r="40" spans="6:29" ht="15" x14ac:dyDescent="0.25">
      <c r="F40"/>
      <c r="G40"/>
      <c r="H40"/>
      <c r="I40"/>
      <c r="J40"/>
      <c r="K40" s="61" t="s">
        <v>212</v>
      </c>
      <c r="L40" s="62">
        <v>8.91</v>
      </c>
      <c r="M40" s="62">
        <v>8.9700000000000006</v>
      </c>
      <c r="N40" s="62">
        <v>9.36</v>
      </c>
      <c r="O40" s="62">
        <v>9.36</v>
      </c>
      <c r="P40"/>
      <c r="Q40"/>
      <c r="R40"/>
      <c r="S40"/>
      <c r="T40"/>
      <c r="U40"/>
      <c r="V40"/>
      <c r="W40"/>
      <c r="X40"/>
      <c r="Y40"/>
      <c r="Z40"/>
      <c r="AA40"/>
      <c r="AB40"/>
      <c r="AC40"/>
    </row>
    <row r="41" spans="6:29" ht="15" x14ac:dyDescent="0.25">
      <c r="F41"/>
      <c r="G41"/>
      <c r="H41"/>
      <c r="I41"/>
      <c r="J41"/>
      <c r="K41" s="61" t="s">
        <v>213</v>
      </c>
      <c r="L41" s="62">
        <v>9.01</v>
      </c>
      <c r="M41" s="62">
        <v>9.08</v>
      </c>
      <c r="N41" s="62">
        <v>9.36</v>
      </c>
      <c r="O41" s="62">
        <v>9.36</v>
      </c>
      <c r="P41"/>
      <c r="Q41"/>
      <c r="R41"/>
      <c r="S41"/>
      <c r="T41"/>
      <c r="U41"/>
      <c r="V41"/>
      <c r="W41"/>
      <c r="X41"/>
      <c r="Y41"/>
      <c r="Z41"/>
      <c r="AA41"/>
      <c r="AB41"/>
      <c r="AC41"/>
    </row>
    <row r="42" spans="6:29" ht="15" x14ac:dyDescent="0.25">
      <c r="F42"/>
      <c r="G42"/>
      <c r="H42"/>
      <c r="I42"/>
      <c r="J42"/>
      <c r="K42" s="61" t="s">
        <v>214</v>
      </c>
      <c r="L42" s="62">
        <v>8.9499999999999993</v>
      </c>
      <c r="M42" s="62">
        <v>9.0399999999999991</v>
      </c>
      <c r="N42" s="62">
        <v>9.4</v>
      </c>
      <c r="O42" s="62">
        <v>9.4</v>
      </c>
      <c r="P42"/>
      <c r="Q42"/>
      <c r="R42"/>
      <c r="S42"/>
      <c r="T42"/>
      <c r="U42"/>
      <c r="V42"/>
      <c r="W42"/>
      <c r="X42"/>
      <c r="Y42"/>
      <c r="Z42"/>
      <c r="AA42"/>
      <c r="AB42"/>
      <c r="AC42"/>
    </row>
    <row r="43" spans="6:29" ht="15" x14ac:dyDescent="0.25">
      <c r="F43"/>
      <c r="G43"/>
      <c r="H43"/>
      <c r="I43"/>
      <c r="J43"/>
      <c r="K43" s="61" t="s">
        <v>215</v>
      </c>
      <c r="L43" s="62">
        <v>8.9499999999999993</v>
      </c>
      <c r="M43" s="62">
        <v>9.14</v>
      </c>
      <c r="N43" s="62">
        <v>9.36</v>
      </c>
      <c r="O43" s="62">
        <v>9.36</v>
      </c>
      <c r="P43"/>
      <c r="Q43"/>
      <c r="R43"/>
      <c r="S43"/>
      <c r="T43"/>
      <c r="U43"/>
      <c r="V43"/>
      <c r="W43"/>
      <c r="X43"/>
      <c r="Y43"/>
      <c r="Z43"/>
      <c r="AA43"/>
      <c r="AB43"/>
      <c r="AC43"/>
    </row>
    <row r="44" spans="6:29" ht="15" x14ac:dyDescent="0.25">
      <c r="F44"/>
      <c r="G44"/>
      <c r="H44"/>
      <c r="I44"/>
      <c r="J44"/>
      <c r="K44" s="61" t="s">
        <v>216</v>
      </c>
      <c r="L44" s="62">
        <v>9.08</v>
      </c>
      <c r="M44" s="62">
        <v>9.02</v>
      </c>
      <c r="N44" s="62">
        <v>9.3800000000000008</v>
      </c>
      <c r="O44" s="62">
        <v>9.3800000000000008</v>
      </c>
      <c r="P44"/>
      <c r="Q44"/>
      <c r="R44"/>
      <c r="S44"/>
      <c r="T44"/>
      <c r="U44"/>
      <c r="V44"/>
      <c r="W44"/>
      <c r="X44"/>
      <c r="Y44"/>
      <c r="Z44"/>
      <c r="AA44"/>
      <c r="AB44"/>
      <c r="AC44"/>
    </row>
    <row r="45" spans="6:29" ht="15" x14ac:dyDescent="0.25">
      <c r="F45"/>
      <c r="G45"/>
      <c r="H45"/>
      <c r="I45"/>
      <c r="J45"/>
      <c r="K45" s="61" t="s">
        <v>217</v>
      </c>
      <c r="L45" s="62">
        <v>9.42</v>
      </c>
      <c r="M45" s="62">
        <v>9.25</v>
      </c>
      <c r="N45" s="62">
        <v>9.51</v>
      </c>
      <c r="O45" s="62">
        <v>9.51</v>
      </c>
      <c r="P45"/>
      <c r="Q45"/>
      <c r="R45"/>
      <c r="S45"/>
      <c r="T45"/>
      <c r="U45"/>
      <c r="V45"/>
      <c r="W45"/>
      <c r="X45"/>
      <c r="Y45"/>
      <c r="Z45"/>
      <c r="AA45"/>
      <c r="AB45"/>
      <c r="AC45"/>
    </row>
    <row r="46" spans="6:29" ht="15" x14ac:dyDescent="0.25">
      <c r="F46"/>
      <c r="G46"/>
      <c r="H46"/>
      <c r="I46"/>
      <c r="J46"/>
      <c r="K46" s="61" t="s">
        <v>218</v>
      </c>
      <c r="L46" s="62">
        <v>9.64</v>
      </c>
      <c r="M46" s="62">
        <v>9.5299999999999994</v>
      </c>
      <c r="N46" s="62">
        <v>9.6</v>
      </c>
      <c r="O46" s="62">
        <v>9.64</v>
      </c>
      <c r="P46"/>
      <c r="Q46"/>
      <c r="R46"/>
      <c r="S46"/>
      <c r="T46"/>
      <c r="U46"/>
      <c r="V46"/>
      <c r="W46"/>
      <c r="X46"/>
      <c r="Y46"/>
      <c r="Z46"/>
      <c r="AA46"/>
      <c r="AB46"/>
      <c r="AC46"/>
    </row>
    <row r="47" spans="6:29" ht="15" x14ac:dyDescent="0.25">
      <c r="F47"/>
      <c r="G47"/>
      <c r="H47"/>
      <c r="I47"/>
      <c r="J47"/>
      <c r="K47" s="61" t="s">
        <v>219</v>
      </c>
      <c r="L47" s="62">
        <v>9.75</v>
      </c>
      <c r="M47" s="62">
        <v>9.75</v>
      </c>
      <c r="N47" s="62">
        <v>9.6999999999999993</v>
      </c>
      <c r="O47" s="62">
        <v>9.75</v>
      </c>
      <c r="P47"/>
      <c r="Q47"/>
      <c r="R47"/>
      <c r="S47"/>
      <c r="T47"/>
      <c r="U47"/>
      <c r="V47"/>
      <c r="W47"/>
      <c r="X47"/>
      <c r="Y47"/>
      <c r="Z47"/>
      <c r="AA47"/>
      <c r="AB47"/>
      <c r="AC47"/>
    </row>
    <row r="48" spans="6:29" ht="15" x14ac:dyDescent="0.25">
      <c r="F48"/>
      <c r="G48"/>
      <c r="H48"/>
      <c r="I48"/>
      <c r="J48"/>
      <c r="K48" s="61" t="s">
        <v>220</v>
      </c>
      <c r="L48" s="62">
        <v>10.119999999999999</v>
      </c>
      <c r="M48" s="62">
        <v>10.31</v>
      </c>
      <c r="N48" s="62">
        <v>10.039999999999999</v>
      </c>
      <c r="O48" s="62">
        <v>10.31</v>
      </c>
      <c r="P48"/>
      <c r="Q48"/>
      <c r="R48"/>
      <c r="S48"/>
      <c r="T48"/>
      <c r="U48"/>
      <c r="V48"/>
      <c r="W48"/>
      <c r="X48"/>
      <c r="Y48"/>
      <c r="Z48"/>
      <c r="AA48"/>
      <c r="AB48"/>
      <c r="AC48"/>
    </row>
    <row r="49" spans="6:29" ht="15" x14ac:dyDescent="0.25">
      <c r="F49"/>
      <c r="G49"/>
      <c r="H49"/>
      <c r="I49"/>
      <c r="J49"/>
      <c r="K49" s="61" t="s">
        <v>221</v>
      </c>
      <c r="L49" s="62">
        <v>10.25</v>
      </c>
      <c r="M49" s="62">
        <v>10.95</v>
      </c>
      <c r="N49" s="62">
        <v>10.119999999999999</v>
      </c>
      <c r="O49" s="62">
        <v>10.95</v>
      </c>
      <c r="P49"/>
      <c r="Q49"/>
      <c r="R49"/>
      <c r="S49"/>
      <c r="T49"/>
      <c r="U49"/>
      <c r="V49"/>
      <c r="W49"/>
      <c r="X49"/>
      <c r="Y49"/>
      <c r="Z49"/>
      <c r="AA49"/>
      <c r="AB49"/>
      <c r="AC49"/>
    </row>
    <row r="50" spans="6:29" ht="15" x14ac:dyDescent="0.25">
      <c r="F50"/>
      <c r="G50"/>
      <c r="H50"/>
      <c r="I50"/>
      <c r="J50"/>
      <c r="K50" s="61" t="s">
        <v>222</v>
      </c>
      <c r="L50" s="62">
        <v>10.39</v>
      </c>
      <c r="M50" s="62">
        <v>11.34</v>
      </c>
      <c r="N50" s="62">
        <v>10.210000000000001</v>
      </c>
      <c r="O50" s="62">
        <v>11.34</v>
      </c>
      <c r="P50"/>
      <c r="Q50"/>
      <c r="R50"/>
      <c r="S50"/>
      <c r="T50"/>
      <c r="U50"/>
      <c r="V50"/>
      <c r="W50"/>
      <c r="X50"/>
      <c r="Y50"/>
      <c r="Z50"/>
      <c r="AA50"/>
      <c r="AB50"/>
      <c r="AC50"/>
    </row>
    <row r="51" spans="6:29" ht="15" x14ac:dyDescent="0.25">
      <c r="F51"/>
      <c r="G51"/>
      <c r="H51"/>
      <c r="I51"/>
      <c r="J51"/>
      <c r="K51" s="61" t="s">
        <v>223</v>
      </c>
      <c r="L51" s="62">
        <v>10.4</v>
      </c>
      <c r="M51" s="62">
        <v>11.39</v>
      </c>
      <c r="N51" s="62">
        <v>10.31</v>
      </c>
      <c r="O51" s="62">
        <v>11.39</v>
      </c>
      <c r="P51"/>
      <c r="Q51"/>
      <c r="R51"/>
      <c r="S51"/>
      <c r="T51"/>
      <c r="U51"/>
      <c r="V51"/>
      <c r="W51"/>
      <c r="X51"/>
      <c r="Y51"/>
      <c r="Z51"/>
      <c r="AA51"/>
      <c r="AB51"/>
      <c r="AC51"/>
    </row>
    <row r="52" spans="6:29" ht="15" x14ac:dyDescent="0.25">
      <c r="F52"/>
      <c r="G52"/>
      <c r="H52"/>
      <c r="I52"/>
      <c r="J52"/>
      <c r="K52" s="61" t="s">
        <v>224</v>
      </c>
      <c r="L52" s="62">
        <v>10.68</v>
      </c>
      <c r="M52" s="62">
        <v>11.42</v>
      </c>
      <c r="N52" s="62">
        <v>10.62</v>
      </c>
      <c r="O52" s="62">
        <v>11.42</v>
      </c>
      <c r="P52"/>
      <c r="Q52"/>
      <c r="R52"/>
      <c r="S52"/>
      <c r="T52"/>
      <c r="U52"/>
      <c r="V52"/>
      <c r="W52"/>
      <c r="X52"/>
      <c r="Y52"/>
      <c r="Z52"/>
      <c r="AA52"/>
      <c r="AB52"/>
      <c r="AC52"/>
    </row>
    <row r="53" spans="6:29" ht="15" x14ac:dyDescent="0.25">
      <c r="F53"/>
      <c r="G53"/>
      <c r="H53"/>
      <c r="I53"/>
      <c r="J53"/>
      <c r="K53" s="61" t="s">
        <v>225</v>
      </c>
      <c r="L53" s="62">
        <v>10.62</v>
      </c>
      <c r="M53" s="62">
        <v>11.43</v>
      </c>
      <c r="N53" s="62">
        <v>10.93</v>
      </c>
      <c r="O53" s="62">
        <v>11.43</v>
      </c>
      <c r="P53"/>
      <c r="Q53"/>
      <c r="R53"/>
      <c r="S53"/>
      <c r="T53"/>
      <c r="U53"/>
      <c r="V53"/>
      <c r="W53"/>
      <c r="X53"/>
      <c r="Y53"/>
      <c r="Z53"/>
      <c r="AA53"/>
      <c r="AB53"/>
      <c r="AC53"/>
    </row>
    <row r="54" spans="6:29" ht="15" x14ac:dyDescent="0.25">
      <c r="F54"/>
      <c r="G54"/>
      <c r="H54"/>
      <c r="I54"/>
      <c r="J54"/>
      <c r="K54" s="61" t="s">
        <v>226</v>
      </c>
      <c r="L54" s="62">
        <v>11.01</v>
      </c>
      <c r="M54" s="62">
        <v>11.29</v>
      </c>
      <c r="N54" s="62">
        <v>11.07</v>
      </c>
      <c r="O54" s="62">
        <v>11.29</v>
      </c>
      <c r="P54"/>
      <c r="Q54"/>
      <c r="R54"/>
      <c r="S54"/>
      <c r="T54"/>
      <c r="U54"/>
      <c r="V54"/>
      <c r="W54"/>
      <c r="X54"/>
      <c r="Y54"/>
      <c r="Z54"/>
      <c r="AA54"/>
      <c r="AB54"/>
      <c r="AC54"/>
    </row>
    <row r="55" spans="6:29" ht="15" x14ac:dyDescent="0.25">
      <c r="F55"/>
      <c r="G55"/>
      <c r="H55"/>
      <c r="I55"/>
      <c r="J55"/>
      <c r="K55" s="61" t="s">
        <v>227</v>
      </c>
      <c r="L55" s="62">
        <v>11.31</v>
      </c>
      <c r="M55" s="62">
        <v>11.4</v>
      </c>
      <c r="N55" s="62">
        <v>11.29</v>
      </c>
      <c r="O55" s="62">
        <v>11.4</v>
      </c>
      <c r="P55"/>
      <c r="Q55"/>
      <c r="R55"/>
      <c r="S55"/>
      <c r="T55"/>
      <c r="U55"/>
      <c r="V55"/>
      <c r="W55"/>
      <c r="X55"/>
      <c r="Y55"/>
      <c r="Z55"/>
      <c r="AA55"/>
      <c r="AB55"/>
      <c r="AC55"/>
    </row>
    <row r="56" spans="6:29" ht="15" x14ac:dyDescent="0.25">
      <c r="F56"/>
      <c r="G56"/>
      <c r="H56"/>
      <c r="I56"/>
      <c r="J56"/>
      <c r="K56" s="61" t="s">
        <v>228</v>
      </c>
      <c r="L56" s="62">
        <v>11.38</v>
      </c>
      <c r="M56" s="62">
        <v>11.43</v>
      </c>
      <c r="N56" s="62">
        <v>10.88</v>
      </c>
      <c r="O56" s="62">
        <v>11.43</v>
      </c>
      <c r="P56"/>
      <c r="Q56"/>
      <c r="R56"/>
      <c r="S56"/>
      <c r="T56"/>
      <c r="U56"/>
      <c r="V56"/>
      <c r="W56"/>
      <c r="X56"/>
      <c r="Y56"/>
      <c r="Z56"/>
      <c r="AA56"/>
      <c r="AB56"/>
      <c r="AC56"/>
    </row>
    <row r="57" spans="6:29" ht="15" x14ac:dyDescent="0.25">
      <c r="F57"/>
      <c r="G57"/>
      <c r="H57"/>
      <c r="I57"/>
      <c r="J57"/>
      <c r="K57" s="61" t="s">
        <v>229</v>
      </c>
      <c r="L57" s="62">
        <v>11.64</v>
      </c>
      <c r="M57" s="62">
        <v>11.36</v>
      </c>
      <c r="N57" s="62">
        <v>11.58</v>
      </c>
      <c r="O57" s="62">
        <v>11.64</v>
      </c>
      <c r="P57"/>
      <c r="Q57"/>
      <c r="R57"/>
      <c r="S57"/>
      <c r="T57"/>
      <c r="U57"/>
      <c r="V57"/>
      <c r="W57"/>
      <c r="X57"/>
      <c r="Y57"/>
      <c r="Z57"/>
      <c r="AA57"/>
      <c r="AB57"/>
      <c r="AC57"/>
    </row>
    <row r="58" spans="6:29" ht="15" x14ac:dyDescent="0.25">
      <c r="F58"/>
      <c r="G58"/>
      <c r="H58"/>
      <c r="I58"/>
      <c r="J58"/>
      <c r="K58" s="61" t="s">
        <v>230</v>
      </c>
      <c r="L58" s="62">
        <v>11.81</v>
      </c>
      <c r="M58" s="62">
        <v>11.36</v>
      </c>
      <c r="N58" s="62">
        <v>11.73</v>
      </c>
      <c r="O58" s="62">
        <v>11.81</v>
      </c>
      <c r="P58"/>
      <c r="Q58"/>
      <c r="R58"/>
      <c r="S58"/>
      <c r="T58"/>
      <c r="U58"/>
      <c r="V58"/>
      <c r="W58"/>
      <c r="X58"/>
      <c r="Y58"/>
      <c r="Z58"/>
      <c r="AA58"/>
      <c r="AB58"/>
      <c r="AC58"/>
    </row>
    <row r="59" spans="6:29" ht="15" x14ac:dyDescent="0.25">
      <c r="F59"/>
      <c r="G59"/>
      <c r="H59"/>
      <c r="I59"/>
      <c r="J59"/>
      <c r="K59" s="61" t="s">
        <v>231</v>
      </c>
      <c r="L59" s="62">
        <v>11.8</v>
      </c>
      <c r="M59" s="62">
        <v>11.49</v>
      </c>
      <c r="N59" s="62">
        <v>11.72</v>
      </c>
      <c r="O59" s="62">
        <v>11.8</v>
      </c>
      <c r="P59"/>
      <c r="Q59"/>
      <c r="R59"/>
      <c r="S59"/>
      <c r="T59"/>
      <c r="U59"/>
      <c r="V59"/>
      <c r="W59"/>
      <c r="X59"/>
      <c r="Y59"/>
      <c r="Z59"/>
      <c r="AA59"/>
      <c r="AB59"/>
      <c r="AC59"/>
    </row>
    <row r="60" spans="6:29" ht="15" x14ac:dyDescent="0.25">
      <c r="F60"/>
      <c r="G60"/>
      <c r="H60"/>
      <c r="I60"/>
      <c r="J60"/>
      <c r="K60" s="61" t="s">
        <v>232</v>
      </c>
      <c r="L60" s="62">
        <v>11.89</v>
      </c>
      <c r="M60" s="62">
        <v>11.59</v>
      </c>
      <c r="N60" s="62">
        <v>11.83</v>
      </c>
      <c r="O60" s="62">
        <v>11.89</v>
      </c>
      <c r="P60"/>
      <c r="Q60"/>
      <c r="R60"/>
      <c r="S60"/>
      <c r="T60"/>
      <c r="U60"/>
      <c r="V60"/>
      <c r="W60"/>
      <c r="X60"/>
      <c r="Y60"/>
      <c r="Z60"/>
      <c r="AA60"/>
      <c r="AB60"/>
      <c r="AC60"/>
    </row>
    <row r="61" spans="6:29" ht="15" x14ac:dyDescent="0.25">
      <c r="F61"/>
      <c r="G61"/>
      <c r="H61"/>
      <c r="I61"/>
      <c r="J61"/>
      <c r="K61" s="61" t="s">
        <v>233</v>
      </c>
      <c r="L61" s="62">
        <v>12.1</v>
      </c>
      <c r="M61" s="62">
        <v>11.95</v>
      </c>
      <c r="N61" s="62">
        <v>11.76</v>
      </c>
      <c r="O61" s="62">
        <v>12.1</v>
      </c>
      <c r="P61"/>
      <c r="Q61"/>
      <c r="R61"/>
      <c r="S61"/>
      <c r="T61"/>
      <c r="U61"/>
      <c r="V61"/>
      <c r="W61"/>
      <c r="X61"/>
      <c r="Y61"/>
      <c r="Z61"/>
      <c r="AA61"/>
      <c r="AB61"/>
      <c r="AC61"/>
    </row>
    <row r="62" spans="6:29" ht="15" x14ac:dyDescent="0.25">
      <c r="F62"/>
      <c r="G62"/>
      <c r="H62"/>
      <c r="I62"/>
      <c r="J62"/>
      <c r="K62" s="61" t="s">
        <v>234</v>
      </c>
      <c r="L62" s="62">
        <v>12.13</v>
      </c>
      <c r="M62" s="62">
        <v>11.92</v>
      </c>
      <c r="N62" s="62">
        <v>11.78</v>
      </c>
      <c r="O62" s="62">
        <v>12.13</v>
      </c>
      <c r="P62"/>
      <c r="Q62"/>
      <c r="R62"/>
      <c r="S62"/>
      <c r="T62"/>
      <c r="U62"/>
      <c r="V62"/>
      <c r="W62"/>
      <c r="X62"/>
      <c r="Y62"/>
      <c r="Z62"/>
      <c r="AA62"/>
      <c r="AB62"/>
      <c r="AC62"/>
    </row>
    <row r="63" spans="6:29" ht="15" x14ac:dyDescent="0.25">
      <c r="F63"/>
      <c r="G63"/>
      <c r="H63"/>
      <c r="I63"/>
      <c r="J63"/>
      <c r="K63" s="61" t="s">
        <v>235</v>
      </c>
      <c r="L63" s="62">
        <v>12.07</v>
      </c>
      <c r="M63" s="62">
        <v>11.94</v>
      </c>
      <c r="N63" s="62">
        <v>11.81</v>
      </c>
      <c r="O63" s="62">
        <v>12.07</v>
      </c>
      <c r="P63"/>
      <c r="Q63"/>
      <c r="R63"/>
      <c r="S63"/>
      <c r="T63"/>
      <c r="U63"/>
      <c r="V63"/>
      <c r="W63"/>
      <c r="X63"/>
      <c r="Y63"/>
      <c r="Z63"/>
      <c r="AA63"/>
      <c r="AB63"/>
      <c r="AC63"/>
    </row>
    <row r="64" spans="6:29" ht="15" x14ac:dyDescent="0.25">
      <c r="F64"/>
      <c r="G64"/>
      <c r="H64"/>
      <c r="I64"/>
      <c r="J64"/>
      <c r="K64" s="61" t="s">
        <v>236</v>
      </c>
      <c r="L64" s="62">
        <v>11.65</v>
      </c>
      <c r="M64" s="62">
        <v>11.69</v>
      </c>
      <c r="N64" s="62">
        <v>11.78</v>
      </c>
      <c r="O64" s="62">
        <v>11.78</v>
      </c>
      <c r="P64"/>
      <c r="Q64"/>
      <c r="R64"/>
      <c r="S64"/>
      <c r="T64"/>
      <c r="U64"/>
      <c r="V64"/>
      <c r="W64"/>
      <c r="X64"/>
      <c r="Y64"/>
      <c r="Z64"/>
      <c r="AA64"/>
      <c r="AB64"/>
      <c r="AC64"/>
    </row>
    <row r="65" spans="6:29" ht="15" x14ac:dyDescent="0.25">
      <c r="F65"/>
      <c r="G65"/>
      <c r="H65"/>
      <c r="I65"/>
      <c r="J65"/>
      <c r="K65" s="61" t="s">
        <v>237</v>
      </c>
      <c r="L65" s="62">
        <v>11.73</v>
      </c>
      <c r="M65" s="62">
        <v>11.73</v>
      </c>
      <c r="N65" s="62">
        <v>11.8</v>
      </c>
      <c r="O65" s="62">
        <v>11.8</v>
      </c>
      <c r="P65"/>
      <c r="Q65"/>
      <c r="R65"/>
      <c r="S65"/>
      <c r="T65"/>
      <c r="U65"/>
      <c r="V65"/>
      <c r="W65"/>
      <c r="X65"/>
      <c r="Y65"/>
      <c r="Z65"/>
      <c r="AA65"/>
      <c r="AB65"/>
      <c r="AC65"/>
    </row>
    <row r="66" spans="6:29" ht="15" x14ac:dyDescent="0.25">
      <c r="F66"/>
      <c r="G66"/>
      <c r="H66"/>
      <c r="I66"/>
      <c r="J66"/>
      <c r="K66" s="61" t="s">
        <v>238</v>
      </c>
      <c r="L66" s="62">
        <v>11.57</v>
      </c>
      <c r="M66" s="62">
        <v>11.59</v>
      </c>
      <c r="N66" s="62">
        <v>11.78</v>
      </c>
      <c r="O66" s="62">
        <v>11.78</v>
      </c>
      <c r="P66"/>
      <c r="Q66"/>
      <c r="R66"/>
      <c r="S66"/>
      <c r="T66"/>
      <c r="U66"/>
      <c r="V66"/>
      <c r="W66"/>
      <c r="X66"/>
      <c r="Y66"/>
      <c r="Z66"/>
      <c r="AA66"/>
      <c r="AB66"/>
      <c r="AC66"/>
    </row>
    <row r="67" spans="6:29" ht="15" x14ac:dyDescent="0.25">
      <c r="F67"/>
      <c r="G67"/>
      <c r="H67"/>
      <c r="I67"/>
      <c r="J67"/>
      <c r="K67" s="61" t="s">
        <v>239</v>
      </c>
      <c r="L67" s="62">
        <v>11.73</v>
      </c>
      <c r="M67" s="62">
        <v>11.64</v>
      </c>
      <c r="N67" s="62">
        <v>11.8</v>
      </c>
      <c r="O67" s="62">
        <v>11.8</v>
      </c>
      <c r="P67"/>
      <c r="Q67"/>
      <c r="R67"/>
      <c r="S67"/>
      <c r="T67"/>
      <c r="U67"/>
      <c r="V67"/>
      <c r="W67"/>
      <c r="X67"/>
      <c r="Y67"/>
      <c r="Z67"/>
      <c r="AA67"/>
      <c r="AB67"/>
      <c r="AC67"/>
    </row>
    <row r="68" spans="6:29" ht="15" x14ac:dyDescent="0.25">
      <c r="F68"/>
      <c r="G68"/>
      <c r="H68"/>
      <c r="I68"/>
      <c r="J68"/>
      <c r="K68" s="61" t="s">
        <v>240</v>
      </c>
      <c r="L68" s="62">
        <v>11.6</v>
      </c>
      <c r="M68" s="62">
        <v>11.68</v>
      </c>
      <c r="N68" s="62">
        <v>11.8</v>
      </c>
      <c r="O68" s="62">
        <v>11.8</v>
      </c>
      <c r="P68"/>
      <c r="Q68"/>
      <c r="R68"/>
      <c r="S68"/>
      <c r="T68"/>
      <c r="U68"/>
      <c r="V68"/>
      <c r="W68"/>
      <c r="X68"/>
      <c r="Y68"/>
      <c r="Z68"/>
      <c r="AA68"/>
      <c r="AB68"/>
      <c r="AC68"/>
    </row>
    <row r="69" spans="6:29" ht="15" x14ac:dyDescent="0.25">
      <c r="F69"/>
      <c r="G69"/>
      <c r="H69"/>
      <c r="I69"/>
      <c r="J69"/>
      <c r="K69" s="61" t="s">
        <v>241</v>
      </c>
      <c r="L69" s="62">
        <v>11.48</v>
      </c>
      <c r="M69" s="62">
        <v>11.35</v>
      </c>
      <c r="N69" s="62">
        <v>11.63</v>
      </c>
      <c r="O69" s="62">
        <v>11.63</v>
      </c>
      <c r="P69"/>
      <c r="Q69"/>
      <c r="R69"/>
      <c r="S69"/>
      <c r="T69"/>
      <c r="U69"/>
      <c r="V69"/>
      <c r="W69"/>
      <c r="X69"/>
      <c r="Y69"/>
      <c r="Z69"/>
      <c r="AA69"/>
      <c r="AB69"/>
      <c r="AC69"/>
    </row>
    <row r="70" spans="6:29" ht="15" x14ac:dyDescent="0.25">
      <c r="F70"/>
      <c r="G70"/>
      <c r="H70"/>
      <c r="I70"/>
      <c r="J70"/>
      <c r="K70" s="61" t="s">
        <v>242</v>
      </c>
      <c r="L70" s="62">
        <v>11.38</v>
      </c>
      <c r="M70" s="62">
        <v>11.67</v>
      </c>
      <c r="N70" s="62">
        <v>11.5</v>
      </c>
      <c r="O70" s="62">
        <v>11.67</v>
      </c>
      <c r="P70"/>
      <c r="Q70"/>
      <c r="R70"/>
      <c r="S70"/>
      <c r="T70"/>
      <c r="U70"/>
      <c r="V70"/>
      <c r="W70"/>
      <c r="X70"/>
      <c r="Y70"/>
      <c r="Z70"/>
      <c r="AA70"/>
      <c r="AB70"/>
      <c r="AC70"/>
    </row>
    <row r="71" spans="6:29" ht="15" x14ac:dyDescent="0.25">
      <c r="F71"/>
      <c r="G71"/>
      <c r="H71"/>
      <c r="I71"/>
      <c r="J71"/>
      <c r="K71" s="61" t="s">
        <v>243</v>
      </c>
      <c r="L71" s="62">
        <v>11.33</v>
      </c>
      <c r="M71" s="62">
        <v>11.45</v>
      </c>
      <c r="N71" s="62">
        <v>11.62</v>
      </c>
      <c r="O71" s="62">
        <v>11.62</v>
      </c>
      <c r="P71"/>
      <c r="Q71"/>
      <c r="R71"/>
      <c r="S71"/>
      <c r="T71"/>
      <c r="U71"/>
      <c r="V71"/>
      <c r="W71"/>
      <c r="X71"/>
      <c r="Y71"/>
      <c r="Z71"/>
      <c r="AA71"/>
      <c r="AB71"/>
      <c r="AC71"/>
    </row>
    <row r="72" spans="6:29" ht="15" x14ac:dyDescent="0.25">
      <c r="F72"/>
      <c r="G72"/>
      <c r="H72"/>
      <c r="I72"/>
      <c r="J72"/>
      <c r="K72" s="61" t="s">
        <v>244</v>
      </c>
      <c r="L72" s="62">
        <v>11.43</v>
      </c>
      <c r="M72" s="62">
        <v>11.33</v>
      </c>
      <c r="N72" s="62">
        <v>11.52</v>
      </c>
      <c r="O72" s="62">
        <v>11.52</v>
      </c>
      <c r="P72"/>
      <c r="Q72"/>
      <c r="R72"/>
      <c r="S72"/>
      <c r="T72"/>
      <c r="U72"/>
      <c r="V72"/>
      <c r="W72"/>
      <c r="X72"/>
      <c r="Y72"/>
      <c r="Z72"/>
      <c r="AA72"/>
      <c r="AB72"/>
      <c r="AC72"/>
    </row>
    <row r="73" spans="6:29" ht="15" x14ac:dyDescent="0.25">
      <c r="F73"/>
      <c r="G73"/>
      <c r="H73"/>
      <c r="I73"/>
      <c r="J73"/>
      <c r="K73" s="61" t="s">
        <v>245</v>
      </c>
      <c r="L73" s="62">
        <v>11.51</v>
      </c>
      <c r="M73" s="62">
        <v>10.97</v>
      </c>
      <c r="N73" s="62">
        <v>11.42</v>
      </c>
      <c r="O73" s="62">
        <v>11.51</v>
      </c>
      <c r="P73"/>
      <c r="Q73"/>
      <c r="R73"/>
      <c r="S73"/>
      <c r="T73"/>
      <c r="U73"/>
      <c r="V73"/>
      <c r="W73"/>
      <c r="X73"/>
      <c r="Y73"/>
      <c r="Z73"/>
      <c r="AA73"/>
      <c r="AB73"/>
      <c r="AC73"/>
    </row>
    <row r="74" spans="6:29" ht="15" x14ac:dyDescent="0.25">
      <c r="F74"/>
      <c r="G74"/>
      <c r="H74"/>
      <c r="I74"/>
      <c r="J74"/>
      <c r="K74" s="61" t="s">
        <v>246</v>
      </c>
      <c r="L74" s="62">
        <v>11.31</v>
      </c>
      <c r="M74" s="62">
        <v>10.38</v>
      </c>
      <c r="N74" s="62">
        <v>10.85</v>
      </c>
      <c r="O74" s="62">
        <v>11.31</v>
      </c>
      <c r="P74"/>
      <c r="Q74"/>
      <c r="R74"/>
      <c r="S74"/>
      <c r="T74"/>
      <c r="U74"/>
      <c r="V74"/>
      <c r="W74"/>
      <c r="X74"/>
      <c r="Y74"/>
      <c r="Z74"/>
      <c r="AA74"/>
      <c r="AB74"/>
      <c r="AC74"/>
    </row>
    <row r="75" spans="6:29" ht="15" x14ac:dyDescent="0.25">
      <c r="F75"/>
      <c r="G75"/>
      <c r="H75"/>
      <c r="I75"/>
      <c r="J75"/>
      <c r="K75" s="61" t="s">
        <v>247</v>
      </c>
      <c r="L75" s="62">
        <v>11.2</v>
      </c>
      <c r="M75" s="62">
        <v>10.26</v>
      </c>
      <c r="N75" s="62">
        <v>10.59</v>
      </c>
      <c r="O75" s="62">
        <v>11.2</v>
      </c>
      <c r="P75"/>
      <c r="Q75"/>
      <c r="R75"/>
      <c r="S75"/>
      <c r="T75"/>
      <c r="U75"/>
      <c r="V75"/>
      <c r="W75"/>
      <c r="X75"/>
      <c r="Y75"/>
      <c r="Z75"/>
      <c r="AA75"/>
      <c r="AB75"/>
      <c r="AC75"/>
    </row>
    <row r="76" spans="6:29" ht="15" x14ac:dyDescent="0.25">
      <c r="F76"/>
      <c r="G76"/>
      <c r="H76"/>
      <c r="I76"/>
      <c r="J76"/>
      <c r="K76" s="61" t="s">
        <v>248</v>
      </c>
      <c r="L76" s="62">
        <v>10.74</v>
      </c>
      <c r="M76" s="62">
        <v>10.19</v>
      </c>
      <c r="N76" s="62">
        <v>10.51</v>
      </c>
      <c r="O76" s="62">
        <v>10.74</v>
      </c>
      <c r="P76"/>
      <c r="Q76"/>
      <c r="R76"/>
      <c r="S76"/>
      <c r="T76"/>
      <c r="U76"/>
      <c r="V76"/>
      <c r="W76"/>
      <c r="X76"/>
      <c r="Y76"/>
      <c r="Z76"/>
      <c r="AA76"/>
      <c r="AB76"/>
      <c r="AC76"/>
    </row>
    <row r="77" spans="6:29" ht="15" x14ac:dyDescent="0.25">
      <c r="F77"/>
      <c r="G77"/>
      <c r="H77"/>
      <c r="I77"/>
      <c r="J77"/>
      <c r="K77" s="61" t="s">
        <v>249</v>
      </c>
      <c r="L77" s="62">
        <v>10.73</v>
      </c>
      <c r="M77" s="62">
        <v>10.16</v>
      </c>
      <c r="N77" s="62">
        <v>10.49</v>
      </c>
      <c r="O77" s="62">
        <v>10.73</v>
      </c>
      <c r="P77"/>
      <c r="Q77"/>
      <c r="R77"/>
      <c r="S77"/>
      <c r="T77"/>
      <c r="U77"/>
      <c r="V77"/>
      <c r="W77"/>
      <c r="X77"/>
      <c r="Y77"/>
      <c r="Z77"/>
      <c r="AA77"/>
      <c r="AB77"/>
      <c r="AC77"/>
    </row>
    <row r="78" spans="6:29" ht="15" x14ac:dyDescent="0.25">
      <c r="F78"/>
      <c r="G78"/>
      <c r="H78"/>
      <c r="I78"/>
      <c r="J78"/>
      <c r="K78" s="61" t="s">
        <v>250</v>
      </c>
      <c r="L78" s="62">
        <v>10.46</v>
      </c>
      <c r="M78" s="62">
        <v>10.07</v>
      </c>
      <c r="N78" s="62">
        <v>9.98</v>
      </c>
      <c r="O78" s="62">
        <v>10.46</v>
      </c>
      <c r="P78"/>
      <c r="Q78"/>
      <c r="R78"/>
      <c r="S78"/>
      <c r="T78"/>
      <c r="U78"/>
      <c r="V78"/>
      <c r="W78"/>
      <c r="X78"/>
      <c r="Y78"/>
      <c r="Z78"/>
      <c r="AA78"/>
      <c r="AB78"/>
      <c r="AC78"/>
    </row>
    <row r="79" spans="6:29" ht="15" x14ac:dyDescent="0.25">
      <c r="F79"/>
      <c r="G79"/>
      <c r="H79"/>
      <c r="I79"/>
      <c r="J79"/>
      <c r="K79" s="61" t="s">
        <v>251</v>
      </c>
      <c r="L79" s="62">
        <v>10.36</v>
      </c>
      <c r="M79" s="62">
        <v>10</v>
      </c>
      <c r="N79" s="62">
        <v>9.83</v>
      </c>
      <c r="O79" s="62">
        <v>10.36</v>
      </c>
      <c r="P79"/>
      <c r="Q79"/>
      <c r="R79"/>
      <c r="S79"/>
      <c r="T79"/>
      <c r="U79"/>
      <c r="V79"/>
      <c r="W79"/>
      <c r="X79"/>
      <c r="Y79"/>
      <c r="Z79"/>
      <c r="AA79"/>
      <c r="AB79"/>
      <c r="AC79"/>
    </row>
    <row r="80" spans="6:29" ht="15" x14ac:dyDescent="0.25">
      <c r="F80"/>
      <c r="G80"/>
      <c r="H80"/>
      <c r="I80"/>
      <c r="J80"/>
      <c r="K80" s="61" t="s">
        <v>252</v>
      </c>
      <c r="L80" s="62">
        <v>10.17</v>
      </c>
      <c r="M80" s="62">
        <v>10.02</v>
      </c>
      <c r="N80" s="62">
        <v>9.81</v>
      </c>
      <c r="O80" s="62">
        <v>10.17</v>
      </c>
      <c r="P80"/>
      <c r="Q80"/>
      <c r="R80"/>
      <c r="S80"/>
      <c r="T80"/>
      <c r="U80"/>
      <c r="V80"/>
      <c r="W80"/>
      <c r="X80"/>
      <c r="Y80"/>
      <c r="Z80"/>
      <c r="AA80"/>
      <c r="AB80"/>
      <c r="AC80"/>
    </row>
    <row r="81" spans="6:29" ht="15" x14ac:dyDescent="0.25">
      <c r="F81"/>
      <c r="G81"/>
      <c r="H81"/>
      <c r="I81"/>
      <c r="J81"/>
      <c r="K81" s="61" t="s">
        <v>253</v>
      </c>
      <c r="L81" s="62">
        <v>10.119999999999999</v>
      </c>
      <c r="M81" s="62">
        <v>10.11</v>
      </c>
      <c r="N81" s="62">
        <v>9.6199999999999992</v>
      </c>
      <c r="O81" s="62">
        <v>10.119999999999999</v>
      </c>
      <c r="P81"/>
      <c r="Q81"/>
      <c r="R81"/>
      <c r="S81"/>
      <c r="T81"/>
      <c r="U81"/>
      <c r="V81"/>
      <c r="W81"/>
      <c r="X81"/>
      <c r="Y81"/>
      <c r="Z81"/>
      <c r="AA81"/>
      <c r="AB81"/>
      <c r="AC81"/>
    </row>
    <row r="82" spans="6:29" ht="15" x14ac:dyDescent="0.25">
      <c r="F82"/>
      <c r="G82"/>
      <c r="H82"/>
      <c r="I82"/>
      <c r="J82"/>
      <c r="K82" s="61" t="s">
        <v>254</v>
      </c>
      <c r="L82" s="62">
        <v>9.94</v>
      </c>
      <c r="M82" s="62">
        <v>9.98</v>
      </c>
      <c r="N82" s="62">
        <v>9.5299999999999994</v>
      </c>
      <c r="O82" s="62">
        <v>9.98</v>
      </c>
      <c r="P82"/>
      <c r="Q82"/>
      <c r="R82"/>
      <c r="S82"/>
      <c r="T82"/>
      <c r="U82"/>
      <c r="V82"/>
      <c r="W82"/>
      <c r="X82"/>
      <c r="Y82"/>
      <c r="Z82"/>
      <c r="AA82"/>
      <c r="AB82"/>
      <c r="AC82"/>
    </row>
    <row r="83" spans="6:29" ht="15" x14ac:dyDescent="0.25">
      <c r="F83"/>
      <c r="G83"/>
      <c r="H83"/>
      <c r="I83"/>
      <c r="J83"/>
      <c r="K83" s="61" t="s">
        <v>255</v>
      </c>
      <c r="L83" s="62">
        <v>9.9</v>
      </c>
      <c r="M83" s="62">
        <v>9.74</v>
      </c>
      <c r="N83" s="62">
        <v>9.4700000000000006</v>
      </c>
      <c r="O83" s="62">
        <v>9.9</v>
      </c>
      <c r="P83"/>
      <c r="Q83"/>
      <c r="R83"/>
      <c r="S83"/>
      <c r="T83"/>
      <c r="U83"/>
      <c r="V83"/>
      <c r="W83"/>
      <c r="X83"/>
      <c r="Y83"/>
      <c r="Z83"/>
      <c r="AA83"/>
      <c r="AB83"/>
      <c r="AC83"/>
    </row>
    <row r="84" spans="6:29" ht="15" x14ac:dyDescent="0.25">
      <c r="F84"/>
      <c r="G84"/>
      <c r="H84"/>
      <c r="I84"/>
      <c r="J84"/>
      <c r="K84" s="61" t="s">
        <v>256</v>
      </c>
      <c r="L84" s="62">
        <v>9.75</v>
      </c>
      <c r="M84" s="62">
        <v>9.57</v>
      </c>
      <c r="N84" s="62">
        <v>9.33</v>
      </c>
      <c r="O84" s="62">
        <v>9.75</v>
      </c>
      <c r="P84"/>
      <c r="Q84"/>
      <c r="R84"/>
      <c r="S84"/>
      <c r="T84"/>
      <c r="U84"/>
      <c r="V84"/>
      <c r="W84"/>
      <c r="X84"/>
      <c r="Y84"/>
      <c r="Z84"/>
      <c r="AA84"/>
      <c r="AB84"/>
      <c r="AC84"/>
    </row>
    <row r="85" spans="6:29" ht="15" x14ac:dyDescent="0.25">
      <c r="F85"/>
      <c r="G85"/>
      <c r="H85"/>
      <c r="I85"/>
      <c r="J85"/>
      <c r="K85" s="61" t="s">
        <v>257</v>
      </c>
      <c r="L85" s="62">
        <v>9.6300000000000008</v>
      </c>
      <c r="M85" s="62">
        <v>9.59</v>
      </c>
      <c r="N85" s="62">
        <v>9.3000000000000007</v>
      </c>
      <c r="O85" s="62">
        <v>9.6300000000000008</v>
      </c>
      <c r="P85"/>
      <c r="Q85"/>
      <c r="R85"/>
      <c r="S85"/>
      <c r="T85"/>
      <c r="U85"/>
      <c r="V85"/>
      <c r="W85"/>
      <c r="X85"/>
      <c r="Y85"/>
      <c r="Z85"/>
      <c r="AA85"/>
      <c r="AB85"/>
      <c r="AC85"/>
    </row>
    <row r="86" spans="6:29" ht="15" x14ac:dyDescent="0.25">
      <c r="F86"/>
      <c r="G86"/>
      <c r="H86"/>
      <c r="I86"/>
      <c r="J86"/>
      <c r="K86" s="61" t="s">
        <v>258</v>
      </c>
      <c r="L86" s="62">
        <v>9.61</v>
      </c>
      <c r="M86" s="62">
        <v>9.6</v>
      </c>
      <c r="N86" s="62">
        <v>9.1</v>
      </c>
      <c r="O86" s="62">
        <v>9.61</v>
      </c>
      <c r="P86"/>
      <c r="Q86"/>
      <c r="R86"/>
      <c r="S86"/>
      <c r="T86"/>
      <c r="U86"/>
      <c r="V86"/>
      <c r="W86"/>
      <c r="X86"/>
      <c r="Y86"/>
      <c r="Z86"/>
      <c r="AA86"/>
      <c r="AB86"/>
      <c r="AC86"/>
    </row>
    <row r="87" spans="6:29" ht="15" x14ac:dyDescent="0.25">
      <c r="F87"/>
      <c r="G87"/>
      <c r="H87"/>
      <c r="I87"/>
      <c r="J87"/>
      <c r="K87" s="61" t="s">
        <v>259</v>
      </c>
      <c r="L87" s="62">
        <v>9.49</v>
      </c>
      <c r="M87" s="62">
        <v>9.56</v>
      </c>
      <c r="N87" s="62">
        <v>8.9600000000000009</v>
      </c>
      <c r="O87" s="62">
        <v>9.56</v>
      </c>
      <c r="P87"/>
      <c r="Q87"/>
      <c r="R87"/>
      <c r="S87"/>
      <c r="T87"/>
      <c r="U87"/>
      <c r="V87"/>
      <c r="W87"/>
      <c r="X87"/>
      <c r="Y87"/>
      <c r="Z87"/>
      <c r="AA87"/>
      <c r="AB87"/>
      <c r="AC87"/>
    </row>
    <row r="88" spans="6:29" ht="15" x14ac:dyDescent="0.25">
      <c r="F88"/>
      <c r="G88"/>
      <c r="H88"/>
      <c r="I88"/>
      <c r="J88"/>
      <c r="K88" s="61" t="s">
        <v>260</v>
      </c>
      <c r="L88" s="62">
        <v>9.3699999999999992</v>
      </c>
      <c r="M88" s="62">
        <v>9.5500000000000007</v>
      </c>
      <c r="N88" s="62">
        <v>8.84</v>
      </c>
      <c r="O88" s="62">
        <v>9.5500000000000007</v>
      </c>
      <c r="P88"/>
      <c r="Q88"/>
      <c r="R88"/>
      <c r="S88"/>
      <c r="T88"/>
      <c r="U88"/>
      <c r="V88"/>
      <c r="W88"/>
      <c r="X88"/>
      <c r="Y88"/>
      <c r="Z88"/>
      <c r="AA88"/>
      <c r="AB88"/>
      <c r="AC88"/>
    </row>
    <row r="89" spans="6:29" ht="15" x14ac:dyDescent="0.25">
      <c r="F89"/>
      <c r="G89"/>
      <c r="H89"/>
      <c r="I89"/>
      <c r="J89"/>
      <c r="K89" s="61" t="s">
        <v>261</v>
      </c>
      <c r="L89" s="62">
        <v>9.34</v>
      </c>
      <c r="M89" s="62">
        <v>9.3800000000000008</v>
      </c>
      <c r="N89" s="62">
        <v>8.66</v>
      </c>
      <c r="O89" s="62">
        <v>9.3800000000000008</v>
      </c>
      <c r="P89"/>
      <c r="Q89"/>
      <c r="R89"/>
      <c r="S89"/>
      <c r="T89"/>
      <c r="U89"/>
      <c r="V89"/>
      <c r="W89"/>
      <c r="X89"/>
      <c r="Y89"/>
      <c r="Z89"/>
      <c r="AA89"/>
      <c r="AB89"/>
      <c r="AC89"/>
    </row>
    <row r="90" spans="6:29" ht="15" x14ac:dyDescent="0.25">
      <c r="F90"/>
      <c r="G90"/>
      <c r="H90"/>
      <c r="I90"/>
      <c r="J90"/>
      <c r="K90" s="61" t="s">
        <v>262</v>
      </c>
      <c r="L90" s="62">
        <v>9.26</v>
      </c>
      <c r="M90" s="62">
        <v>9.36</v>
      </c>
      <c r="N90" s="62">
        <v>8.6999999999999993</v>
      </c>
      <c r="O90" s="62">
        <v>9.36</v>
      </c>
      <c r="P90"/>
      <c r="Q90"/>
      <c r="R90"/>
      <c r="S90"/>
      <c r="T90"/>
      <c r="U90"/>
      <c r="V90"/>
      <c r="W90"/>
      <c r="X90"/>
      <c r="Y90"/>
      <c r="Z90"/>
      <c r="AA90"/>
      <c r="AB90"/>
      <c r="AC90"/>
    </row>
    <row r="91" spans="6:29" ht="15" x14ac:dyDescent="0.25">
      <c r="F91"/>
      <c r="G91"/>
      <c r="H91"/>
      <c r="I91"/>
      <c r="J91"/>
      <c r="K91" s="61" t="s">
        <v>263</v>
      </c>
      <c r="L91" s="62">
        <v>9.3699999999999992</v>
      </c>
      <c r="M91" s="62">
        <v>9.35</v>
      </c>
      <c r="N91" s="62">
        <v>8.66</v>
      </c>
      <c r="O91" s="62">
        <v>9.3699999999999992</v>
      </c>
      <c r="P91"/>
      <c r="Q91"/>
      <c r="R91"/>
      <c r="S91"/>
      <c r="T91"/>
      <c r="U91"/>
      <c r="V91"/>
      <c r="W91"/>
      <c r="X91"/>
      <c r="Y91"/>
      <c r="Z91"/>
      <c r="AA91"/>
      <c r="AB91"/>
      <c r="AC91"/>
    </row>
    <row r="92" spans="6:29" ht="15" x14ac:dyDescent="0.25">
      <c r="F92"/>
      <c r="G92"/>
      <c r="H92"/>
      <c r="I92"/>
      <c r="J92"/>
      <c r="K92" s="61" t="s">
        <v>264</v>
      </c>
      <c r="L92" s="62">
        <v>9.4</v>
      </c>
      <c r="M92" s="62">
        <v>9.23</v>
      </c>
      <c r="N92" s="62">
        <v>8.57</v>
      </c>
      <c r="O92" s="62">
        <v>9.4</v>
      </c>
      <c r="P92"/>
      <c r="Q92"/>
      <c r="R92"/>
      <c r="S92"/>
      <c r="T92"/>
      <c r="U92"/>
      <c r="V92"/>
      <c r="W92"/>
      <c r="X92"/>
      <c r="Y92"/>
      <c r="Z92"/>
      <c r="AA92"/>
      <c r="AB92"/>
      <c r="AC92"/>
    </row>
    <row r="93" spans="6:29" ht="15" x14ac:dyDescent="0.25">
      <c r="F93"/>
      <c r="G93"/>
      <c r="H93"/>
      <c r="I93"/>
      <c r="J93"/>
      <c r="K93" s="61" t="s">
        <v>265</v>
      </c>
      <c r="L93" s="62">
        <v>9.35</v>
      </c>
      <c r="M93" s="62">
        <v>9.2100000000000009</v>
      </c>
      <c r="N93" s="62">
        <v>8.48</v>
      </c>
      <c r="O93" s="62">
        <v>9.35</v>
      </c>
      <c r="P93"/>
      <c r="Q93"/>
      <c r="R93"/>
      <c r="S93"/>
      <c r="T93"/>
      <c r="U93"/>
      <c r="V93"/>
      <c r="W93"/>
      <c r="X93"/>
      <c r="Y93"/>
      <c r="Z93"/>
      <c r="AA93"/>
      <c r="AB93"/>
      <c r="AC93"/>
    </row>
    <row r="94" spans="6:29" ht="15" x14ac:dyDescent="0.25">
      <c r="F94"/>
      <c r="G94"/>
      <c r="H94"/>
      <c r="I94"/>
      <c r="J94"/>
      <c r="K94" s="61" t="s">
        <v>266</v>
      </c>
      <c r="L94" s="62">
        <v>9.2100000000000009</v>
      </c>
      <c r="M94" s="62">
        <v>9.15</v>
      </c>
      <c r="N94" s="62">
        <v>8.5</v>
      </c>
      <c r="O94" s="62">
        <v>9.2100000000000009</v>
      </c>
      <c r="P94"/>
      <c r="Q94"/>
      <c r="R94"/>
      <c r="S94"/>
      <c r="T94"/>
      <c r="U94"/>
      <c r="V94"/>
      <c r="W94"/>
      <c r="X94"/>
      <c r="Y94"/>
      <c r="Z94"/>
      <c r="AA94"/>
      <c r="AB94"/>
      <c r="AC94"/>
    </row>
    <row r="95" spans="6:29" ht="15" x14ac:dyDescent="0.25">
      <c r="F95"/>
      <c r="G95"/>
      <c r="H95"/>
      <c r="I95"/>
      <c r="J95"/>
      <c r="K95" s="61" t="s">
        <v>267</v>
      </c>
      <c r="L95" s="62">
        <v>8.9600000000000009</v>
      </c>
      <c r="M95" s="62">
        <v>8.8800000000000008</v>
      </c>
      <c r="N95" s="62">
        <v>8.56</v>
      </c>
      <c r="O95" s="62">
        <v>8.9600000000000009</v>
      </c>
      <c r="P95"/>
      <c r="Q95"/>
      <c r="R95"/>
      <c r="S95"/>
      <c r="T95"/>
      <c r="U95"/>
      <c r="V95"/>
      <c r="W95"/>
      <c r="X95"/>
      <c r="Y95"/>
      <c r="Z95"/>
      <c r="AA95"/>
      <c r="AB95"/>
      <c r="AC95"/>
    </row>
    <row r="96" spans="6:29" ht="15" x14ac:dyDescent="0.25">
      <c r="F96"/>
      <c r="G96"/>
      <c r="H96"/>
      <c r="I96"/>
      <c r="J96"/>
      <c r="K96" s="61" t="s">
        <v>268</v>
      </c>
      <c r="L96" s="62">
        <v>8.9600000000000009</v>
      </c>
      <c r="M96" s="62">
        <v>9.27</v>
      </c>
      <c r="N96" s="62">
        <v>8.48</v>
      </c>
      <c r="O96" s="62">
        <v>9.27</v>
      </c>
      <c r="P96"/>
      <c r="Q96"/>
      <c r="R96"/>
      <c r="S96"/>
      <c r="T96"/>
      <c r="U96"/>
      <c r="V96"/>
      <c r="W96"/>
      <c r="X96"/>
      <c r="Y96"/>
      <c r="Z96"/>
      <c r="AA96"/>
      <c r="AB96"/>
      <c r="AC96"/>
    </row>
    <row r="97" spans="6:29" ht="15" x14ac:dyDescent="0.25">
      <c r="F97"/>
      <c r="G97"/>
      <c r="H97"/>
      <c r="I97"/>
      <c r="J97"/>
      <c r="K97" s="61" t="s">
        <v>269</v>
      </c>
      <c r="L97" s="62">
        <v>8.7899999999999991</v>
      </c>
      <c r="M97" s="62">
        <v>9.15</v>
      </c>
      <c r="N97" s="62">
        <v>8.48</v>
      </c>
      <c r="O97" s="62">
        <v>9.15</v>
      </c>
      <c r="P97"/>
      <c r="Q97"/>
      <c r="R97"/>
      <c r="S97"/>
      <c r="T97"/>
      <c r="U97"/>
      <c r="V97"/>
      <c r="W97"/>
      <c r="X97"/>
      <c r="Y97"/>
      <c r="Z97"/>
      <c r="AA97"/>
      <c r="AB97"/>
      <c r="AC97"/>
    </row>
    <row r="98" spans="6:29" ht="15" x14ac:dyDescent="0.25">
      <c r="F98"/>
      <c r="G98"/>
      <c r="H98"/>
      <c r="I98"/>
      <c r="J98"/>
      <c r="K98" s="61" t="s">
        <v>270</v>
      </c>
      <c r="L98" s="62">
        <v>8.7100000000000009</v>
      </c>
      <c r="M98" s="62">
        <v>8.9600000000000009</v>
      </c>
      <c r="N98" s="62">
        <v>8.34</v>
      </c>
      <c r="O98" s="62">
        <v>8.9600000000000009</v>
      </c>
      <c r="P98"/>
      <c r="Q98"/>
      <c r="R98"/>
      <c r="S98"/>
      <c r="T98"/>
      <c r="U98"/>
      <c r="V98"/>
      <c r="W98"/>
      <c r="X98"/>
      <c r="Y98"/>
      <c r="Z98"/>
      <c r="AA98"/>
      <c r="AB98"/>
      <c r="AC98"/>
    </row>
    <row r="99" spans="6:29" ht="15" x14ac:dyDescent="0.25">
      <c r="F99"/>
      <c r="G99"/>
      <c r="H99"/>
      <c r="I99"/>
      <c r="J99"/>
      <c r="K99" s="61" t="s">
        <v>271</v>
      </c>
      <c r="L99" s="62">
        <v>8.65</v>
      </c>
      <c r="M99" s="62">
        <v>8.2899999999999991</v>
      </c>
      <c r="N99" s="62">
        <v>8.31</v>
      </c>
      <c r="O99" s="62">
        <v>8.65</v>
      </c>
      <c r="P99"/>
      <c r="Q99"/>
      <c r="R99"/>
      <c r="S99"/>
      <c r="T99"/>
      <c r="U99"/>
      <c r="V99"/>
      <c r="W99"/>
      <c r="X99"/>
      <c r="Y99"/>
      <c r="Z99"/>
      <c r="AA99"/>
      <c r="AB99"/>
      <c r="AC99"/>
    </row>
    <row r="100" spans="6:29" ht="15" x14ac:dyDescent="0.25">
      <c r="F100"/>
      <c r="G100"/>
      <c r="H100"/>
      <c r="I100"/>
      <c r="J100"/>
      <c r="K100" s="61" t="s">
        <v>272</v>
      </c>
      <c r="L100" s="62">
        <v>8.57</v>
      </c>
      <c r="M100" s="62">
        <v>8.26</v>
      </c>
      <c r="N100" s="62">
        <v>7.81</v>
      </c>
      <c r="O100" s="62">
        <v>8.57</v>
      </c>
      <c r="P100"/>
      <c r="Q100"/>
      <c r="R100"/>
      <c r="S100"/>
      <c r="T100"/>
      <c r="U100"/>
      <c r="V100"/>
      <c r="W100"/>
      <c r="X100"/>
      <c r="Y100"/>
      <c r="Z100"/>
      <c r="AA100"/>
      <c r="AB100"/>
      <c r="AC100"/>
    </row>
    <row r="101" spans="6:29" ht="15" x14ac:dyDescent="0.25">
      <c r="F101"/>
      <c r="G101"/>
      <c r="H101"/>
      <c r="I101"/>
      <c r="J101"/>
      <c r="K101" s="61" t="s">
        <v>273</v>
      </c>
      <c r="L101" s="62">
        <v>8.17</v>
      </c>
      <c r="M101" s="62">
        <v>8.41</v>
      </c>
      <c r="N101" s="62">
        <v>7.7</v>
      </c>
      <c r="O101" s="62">
        <v>8.41</v>
      </c>
      <c r="P101"/>
      <c r="Q101"/>
      <c r="R101"/>
      <c r="S101"/>
      <c r="T101"/>
      <c r="U101"/>
      <c r="V101"/>
      <c r="W101"/>
      <c r="X101"/>
      <c r="Y101"/>
      <c r="Z101"/>
      <c r="AA101"/>
      <c r="AB101"/>
      <c r="AC101"/>
    </row>
    <row r="102" spans="6:29" ht="15" x14ac:dyDescent="0.25">
      <c r="F102"/>
      <c r="G102"/>
      <c r="H102"/>
      <c r="I102"/>
      <c r="J102"/>
      <c r="K102" s="61" t="s">
        <v>274</v>
      </c>
      <c r="L102" s="62">
        <v>7.89</v>
      </c>
      <c r="M102" s="62">
        <v>8.36</v>
      </c>
      <c r="N102" s="62">
        <v>7.7</v>
      </c>
      <c r="O102" s="62">
        <v>8.36</v>
      </c>
      <c r="P102"/>
      <c r="Q102"/>
      <c r="R102"/>
      <c r="S102"/>
      <c r="T102"/>
      <c r="U102"/>
      <c r="V102"/>
      <c r="W102"/>
      <c r="X102"/>
      <c r="Y102"/>
      <c r="Z102"/>
      <c r="AA102"/>
      <c r="AB102"/>
      <c r="AC102"/>
    </row>
    <row r="103" spans="6:29" ht="15" x14ac:dyDescent="0.25">
      <c r="F103"/>
      <c r="G103"/>
      <c r="H103"/>
      <c r="I103"/>
      <c r="J103"/>
      <c r="K103" s="61" t="s">
        <v>150</v>
      </c>
      <c r="L103" s="62">
        <v>7.76</v>
      </c>
      <c r="M103" s="62">
        <v>8.35</v>
      </c>
      <c r="N103" s="62">
        <v>7.63</v>
      </c>
      <c r="O103" s="62">
        <v>8.35</v>
      </c>
      <c r="P103"/>
      <c r="Q103"/>
      <c r="R103"/>
      <c r="S103"/>
      <c r="T103"/>
      <c r="U103"/>
      <c r="V103"/>
      <c r="W103"/>
      <c r="X103"/>
      <c r="Y103"/>
      <c r="Z103"/>
      <c r="AA103"/>
      <c r="AB103"/>
      <c r="AC103"/>
    </row>
    <row r="104" spans="6:29" ht="15" x14ac:dyDescent="0.25">
      <c r="F104"/>
      <c r="G104"/>
      <c r="H104"/>
      <c r="I104"/>
      <c r="J104"/>
      <c r="K104" s="61" t="s">
        <v>151</v>
      </c>
      <c r="L104" s="62">
        <v>7.64</v>
      </c>
      <c r="M104" s="62">
        <v>8.14</v>
      </c>
      <c r="N104" s="62">
        <v>7.53</v>
      </c>
      <c r="O104" s="62">
        <v>8.14</v>
      </c>
      <c r="P104"/>
      <c r="Q104"/>
      <c r="R104"/>
      <c r="S104"/>
      <c r="T104"/>
      <c r="U104"/>
      <c r="V104"/>
      <c r="W104"/>
      <c r="X104"/>
      <c r="Y104"/>
      <c r="Z104"/>
      <c r="AA104"/>
      <c r="AB104"/>
      <c r="AC104"/>
    </row>
    <row r="105" spans="6:29" ht="15" x14ac:dyDescent="0.25">
      <c r="F105"/>
      <c r="G105"/>
      <c r="H105"/>
      <c r="I105"/>
      <c r="J105"/>
      <c r="K105" s="61" t="s">
        <v>152</v>
      </c>
      <c r="L105" s="62">
        <v>7.68</v>
      </c>
      <c r="M105" s="62">
        <v>8.36</v>
      </c>
      <c r="N105" s="62">
        <v>7.56</v>
      </c>
      <c r="O105" s="62">
        <v>8.36</v>
      </c>
      <c r="P105"/>
      <c r="Q105"/>
      <c r="R105"/>
      <c r="S105"/>
      <c r="T105"/>
      <c r="U105"/>
      <c r="V105"/>
      <c r="W105"/>
      <c r="X105"/>
      <c r="Y105"/>
      <c r="Z105"/>
      <c r="AA105"/>
      <c r="AB105"/>
      <c r="AC105"/>
    </row>
    <row r="106" spans="6:29" ht="15" x14ac:dyDescent="0.25">
      <c r="F106"/>
      <c r="G106"/>
      <c r="H106"/>
      <c r="I106"/>
      <c r="J106"/>
      <c r="K106" s="61" t="s">
        <v>153</v>
      </c>
      <c r="L106" s="62">
        <v>7.44</v>
      </c>
      <c r="M106" s="62">
        <v>8.17</v>
      </c>
      <c r="N106" s="62">
        <v>7.4</v>
      </c>
      <c r="O106" s="62">
        <v>8.17</v>
      </c>
      <c r="P106"/>
      <c r="Q106"/>
      <c r="R106"/>
      <c r="S106"/>
      <c r="T106"/>
      <c r="U106"/>
      <c r="V106"/>
      <c r="W106"/>
      <c r="X106"/>
      <c r="Y106"/>
      <c r="Z106"/>
      <c r="AA106"/>
      <c r="AB106"/>
      <c r="AC106"/>
    </row>
    <row r="107" spans="6:29" ht="15" x14ac:dyDescent="0.25">
      <c r="F107"/>
      <c r="G107"/>
      <c r="H107"/>
      <c r="I107"/>
      <c r="J107"/>
      <c r="K107" s="61" t="s">
        <v>154</v>
      </c>
      <c r="L107" s="62">
        <v>7.66</v>
      </c>
      <c r="M107" s="62">
        <v>8.14</v>
      </c>
      <c r="N107" s="62">
        <v>7.44</v>
      </c>
      <c r="O107" s="62">
        <v>8.14</v>
      </c>
      <c r="P107"/>
      <c r="Q107"/>
      <c r="R107"/>
      <c r="S107"/>
      <c r="T107"/>
      <c r="U107"/>
      <c r="V107"/>
      <c r="W107"/>
      <c r="X107"/>
      <c r="Y107"/>
      <c r="Z107"/>
      <c r="AA107"/>
      <c r="AB107"/>
      <c r="AC107"/>
    </row>
    <row r="108" spans="6:29" ht="15" x14ac:dyDescent="0.25">
      <c r="F108"/>
      <c r="G108"/>
      <c r="H108"/>
      <c r="I108"/>
      <c r="J108"/>
      <c r="K108" s="61" t="s">
        <v>155</v>
      </c>
      <c r="L108" s="62">
        <v>7.45</v>
      </c>
      <c r="M108" s="62">
        <v>8.09</v>
      </c>
      <c r="N108" s="62">
        <v>7.38</v>
      </c>
      <c r="O108" s="62">
        <v>8.09</v>
      </c>
      <c r="P108"/>
      <c r="Q108"/>
      <c r="R108"/>
      <c r="S108"/>
      <c r="T108"/>
      <c r="U108"/>
      <c r="V108"/>
      <c r="W108"/>
      <c r="X108"/>
      <c r="Y108"/>
      <c r="Z108"/>
      <c r="AA108"/>
      <c r="AB108"/>
      <c r="AC108"/>
    </row>
    <row r="109" spans="6:29" ht="15" x14ac:dyDescent="0.25">
      <c r="F109"/>
      <c r="G109"/>
      <c r="H109"/>
      <c r="I109"/>
      <c r="J109"/>
      <c r="K109" s="61" t="s">
        <v>156</v>
      </c>
      <c r="L109" s="62">
        <v>7.48</v>
      </c>
      <c r="M109" s="62">
        <v>7.36</v>
      </c>
      <c r="N109" s="62">
        <v>7.36</v>
      </c>
      <c r="O109" s="62">
        <v>7.48</v>
      </c>
      <c r="P109"/>
      <c r="Q109"/>
      <c r="R109"/>
      <c r="S109"/>
      <c r="T109"/>
      <c r="U109"/>
      <c r="V109"/>
      <c r="W109"/>
      <c r="X109"/>
      <c r="Y109"/>
      <c r="Z109"/>
      <c r="AA109"/>
      <c r="AB109"/>
      <c r="AC109"/>
    </row>
    <row r="110" spans="6:29" ht="15" x14ac:dyDescent="0.25">
      <c r="F110"/>
      <c r="G110"/>
      <c r="H110"/>
      <c r="I110"/>
      <c r="J110"/>
      <c r="K110" s="61" t="s">
        <v>157</v>
      </c>
      <c r="L110" s="62">
        <v>7.27</v>
      </c>
      <c r="M110" s="62">
        <v>7.36</v>
      </c>
      <c r="N110" s="62">
        <v>7.25</v>
      </c>
      <c r="O110" s="62">
        <v>7.36</v>
      </c>
      <c r="P110"/>
      <c r="Q110"/>
      <c r="R110"/>
      <c r="S110"/>
      <c r="T110"/>
      <c r="U110"/>
      <c r="V110"/>
      <c r="W110"/>
      <c r="X110"/>
      <c r="Y110"/>
      <c r="Z110"/>
      <c r="AA110"/>
      <c r="AB110"/>
      <c r="AC110"/>
    </row>
    <row r="111" spans="6:29" ht="15" x14ac:dyDescent="0.25">
      <c r="F111"/>
      <c r="G111"/>
      <c r="H111"/>
      <c r="I111"/>
      <c r="J111"/>
      <c r="K111" s="61" t="s">
        <v>158</v>
      </c>
      <c r="L111" s="62">
        <v>7.17</v>
      </c>
      <c r="M111" s="62">
        <v>7.31</v>
      </c>
      <c r="N111" s="62">
        <v>7.15</v>
      </c>
      <c r="O111" s="62">
        <v>7.31</v>
      </c>
      <c r="P111"/>
      <c r="Q111"/>
      <c r="R111"/>
      <c r="S111"/>
      <c r="T111"/>
      <c r="U111"/>
      <c r="V111"/>
      <c r="W111"/>
      <c r="X111"/>
      <c r="Y111"/>
      <c r="Z111"/>
      <c r="AA111"/>
      <c r="AB111"/>
      <c r="AC111"/>
    </row>
    <row r="112" spans="6:29" ht="15" x14ac:dyDescent="0.25">
      <c r="F112"/>
      <c r="G112"/>
      <c r="H112"/>
      <c r="I112"/>
      <c r="J112"/>
      <c r="K112" s="61" t="s">
        <v>159</v>
      </c>
      <c r="L112" s="62">
        <v>7.23</v>
      </c>
      <c r="M112" s="62">
        <v>7.32</v>
      </c>
      <c r="N112" s="62">
        <v>7.13</v>
      </c>
      <c r="O112" s="62">
        <v>7.32</v>
      </c>
      <c r="P112"/>
      <c r="Q112"/>
      <c r="R112"/>
      <c r="S112"/>
      <c r="T112"/>
      <c r="U112"/>
      <c r="V112"/>
      <c r="W112"/>
      <c r="X112"/>
      <c r="Y112"/>
      <c r="Z112"/>
      <c r="AA112"/>
      <c r="AB112"/>
      <c r="AC112"/>
    </row>
    <row r="113" spans="6:29" ht="15" x14ac:dyDescent="0.25">
      <c r="F113"/>
      <c r="G113"/>
      <c r="H113"/>
      <c r="I113"/>
      <c r="J113"/>
      <c r="K113" s="61" t="s">
        <v>160</v>
      </c>
      <c r="L113" s="62">
        <v>7.19</v>
      </c>
      <c r="M113" s="62">
        <v>7.25</v>
      </c>
      <c r="N113" s="62">
        <v>7.19</v>
      </c>
      <c r="O113" s="62">
        <v>7.25</v>
      </c>
      <c r="P113"/>
      <c r="Q113"/>
      <c r="R113"/>
      <c r="S113"/>
      <c r="T113"/>
      <c r="U113"/>
      <c r="V113"/>
      <c r="W113"/>
      <c r="X113"/>
      <c r="Y113"/>
      <c r="Z113"/>
      <c r="AA113"/>
      <c r="AB113"/>
      <c r="AC113"/>
    </row>
    <row r="114" spans="6:29" ht="15" x14ac:dyDescent="0.25">
      <c r="F114"/>
      <c r="G114"/>
      <c r="H114"/>
      <c r="I114"/>
      <c r="J114"/>
      <c r="K114" s="61" t="s">
        <v>161</v>
      </c>
      <c r="L114" s="62">
        <v>7.12</v>
      </c>
      <c r="M114" s="62">
        <v>7.38</v>
      </c>
      <c r="N114" s="62">
        <v>7.14</v>
      </c>
      <c r="O114" s="62">
        <v>7.38</v>
      </c>
      <c r="P114"/>
      <c r="Q114"/>
      <c r="R114"/>
      <c r="S114"/>
      <c r="T114"/>
      <c r="U114"/>
      <c r="V114"/>
      <c r="W114"/>
      <c r="X114"/>
      <c r="Y114"/>
      <c r="Z114"/>
      <c r="AA114"/>
      <c r="AB114"/>
      <c r="AC114"/>
    </row>
    <row r="115" spans="6:29" ht="15" x14ac:dyDescent="0.25">
      <c r="F115"/>
      <c r="G115"/>
      <c r="H115"/>
      <c r="I115"/>
      <c r="J115"/>
      <c r="K115" s="61" t="s">
        <v>162</v>
      </c>
      <c r="L115" s="62">
        <v>6.94</v>
      </c>
      <c r="M115" s="62">
        <v>7.38</v>
      </c>
      <c r="N115" s="62">
        <v>7.08</v>
      </c>
      <c r="O115" s="62">
        <v>7.38</v>
      </c>
      <c r="P115"/>
      <c r="Q115"/>
      <c r="R115"/>
      <c r="S115"/>
      <c r="T115"/>
      <c r="U115"/>
      <c r="V115"/>
      <c r="W115"/>
      <c r="X115"/>
      <c r="Y115"/>
      <c r="Z115"/>
      <c r="AA115"/>
      <c r="AB115"/>
      <c r="AC115"/>
    </row>
    <row r="116" spans="6:29" ht="15" x14ac:dyDescent="0.25">
      <c r="F116"/>
      <c r="G116"/>
      <c r="H116"/>
      <c r="I116"/>
      <c r="J116"/>
      <c r="K116" s="61" t="s">
        <v>163</v>
      </c>
      <c r="L116" s="62">
        <v>6.96</v>
      </c>
      <c r="M116" s="62">
        <v>7.44</v>
      </c>
      <c r="N116" s="62">
        <v>7.08</v>
      </c>
      <c r="O116" s="62">
        <v>7.44</v>
      </c>
      <c r="P116"/>
      <c r="Q116"/>
      <c r="R116"/>
      <c r="S116"/>
      <c r="T116"/>
      <c r="U116"/>
      <c r="V116"/>
      <c r="W116"/>
      <c r="X116"/>
      <c r="Y116"/>
      <c r="Z116"/>
      <c r="AA116"/>
      <c r="AB116"/>
      <c r="AC116"/>
    </row>
    <row r="117" spans="6:29" ht="15" x14ac:dyDescent="0.25">
      <c r="F117"/>
      <c r="G117"/>
      <c r="H117"/>
      <c r="I117"/>
      <c r="J117"/>
      <c r="K117" s="61" t="s">
        <v>164</v>
      </c>
      <c r="L117" s="62">
        <v>6.92</v>
      </c>
      <c r="M117" s="62">
        <v>7.34</v>
      </c>
      <c r="N117" s="62">
        <v>7.08</v>
      </c>
      <c r="O117" s="62">
        <v>7.34</v>
      </c>
      <c r="P117"/>
      <c r="Q117"/>
      <c r="R117"/>
      <c r="S117"/>
      <c r="T117"/>
      <c r="U117"/>
      <c r="V117"/>
      <c r="W117"/>
      <c r="X117"/>
      <c r="Y117"/>
      <c r="Z117"/>
      <c r="AA117"/>
      <c r="AB117"/>
      <c r="AC117"/>
    </row>
    <row r="118" spans="6:29" ht="15" x14ac:dyDescent="0.25">
      <c r="F118"/>
      <c r="G118"/>
      <c r="H118"/>
      <c r="I118"/>
      <c r="J118"/>
      <c r="K118" s="61" t="s">
        <v>165</v>
      </c>
      <c r="L118" s="62">
        <v>6.84</v>
      </c>
      <c r="M118" s="62">
        <v>7.36</v>
      </c>
      <c r="N118" s="62">
        <v>6.97</v>
      </c>
      <c r="O118" s="62">
        <v>7.36</v>
      </c>
      <c r="P118"/>
      <c r="Q118"/>
      <c r="R118"/>
      <c r="S118"/>
      <c r="T118"/>
      <c r="U118"/>
      <c r="V118"/>
      <c r="W118"/>
      <c r="X118"/>
      <c r="Y118"/>
      <c r="Z118"/>
      <c r="AA118"/>
      <c r="AB118"/>
      <c r="AC118"/>
    </row>
    <row r="119" spans="6:29" ht="15" x14ac:dyDescent="0.25">
      <c r="F119"/>
      <c r="G119"/>
      <c r="H119"/>
      <c r="I119"/>
      <c r="J119"/>
      <c r="K119" s="61" t="s">
        <v>166</v>
      </c>
      <c r="L119" s="62">
        <v>6.85</v>
      </c>
      <c r="M119" s="62">
        <v>7.43</v>
      </c>
      <c r="N119" s="62">
        <v>7</v>
      </c>
      <c r="O119" s="62">
        <v>7.43</v>
      </c>
      <c r="P119"/>
      <c r="Q119"/>
      <c r="R119"/>
      <c r="S119"/>
      <c r="T119"/>
      <c r="U119"/>
      <c r="V119"/>
      <c r="W119"/>
      <c r="X119"/>
      <c r="Y119"/>
      <c r="Z119"/>
      <c r="AA119"/>
      <c r="AB119"/>
      <c r="AC119"/>
    </row>
    <row r="120" spans="6:29" ht="15" x14ac:dyDescent="0.25">
      <c r="F120"/>
      <c r="G120"/>
      <c r="H120"/>
      <c r="I120"/>
      <c r="J120"/>
      <c r="K120" s="61" t="s">
        <v>167</v>
      </c>
      <c r="L120" s="62">
        <v>6.93</v>
      </c>
      <c r="M120" s="62">
        <v>7.56</v>
      </c>
      <c r="N120" s="62">
        <v>6.93</v>
      </c>
      <c r="O120" s="62">
        <v>7.56</v>
      </c>
      <c r="P120"/>
      <c r="Q120"/>
      <c r="R120"/>
      <c r="S120"/>
      <c r="T120"/>
      <c r="U120"/>
      <c r="V120"/>
      <c r="W120"/>
      <c r="X120"/>
      <c r="Y120"/>
      <c r="Z120"/>
      <c r="AA120"/>
      <c r="AB120"/>
      <c r="AC120"/>
    </row>
    <row r="121" spans="6:29" ht="15" x14ac:dyDescent="0.25">
      <c r="F121"/>
      <c r="G121"/>
      <c r="H121"/>
      <c r="I121"/>
      <c r="J121"/>
      <c r="K121" s="61" t="s">
        <v>168</v>
      </c>
      <c r="L121" s="62">
        <v>6.88</v>
      </c>
      <c r="M121" s="62">
        <v>7.51</v>
      </c>
      <c r="N121" s="62">
        <v>6.95</v>
      </c>
      <c r="O121" s="62">
        <v>7.51</v>
      </c>
      <c r="P121"/>
      <c r="Q121"/>
      <c r="R121"/>
      <c r="S121"/>
      <c r="T121"/>
      <c r="U121"/>
      <c r="V121"/>
      <c r="W121"/>
      <c r="X121"/>
      <c r="Y121"/>
      <c r="Z121"/>
      <c r="AA121"/>
      <c r="AB121"/>
      <c r="AC121"/>
    </row>
    <row r="122" spans="6:29" ht="15" x14ac:dyDescent="0.25">
      <c r="F122"/>
      <c r="G122"/>
      <c r="H122"/>
      <c r="I122"/>
      <c r="J122"/>
      <c r="K122" s="61" t="s">
        <v>169</v>
      </c>
      <c r="L122" s="62">
        <v>6.89</v>
      </c>
      <c r="M122" s="62">
        <v>7.66</v>
      </c>
      <c r="N122" s="62">
        <v>7.01</v>
      </c>
      <c r="O122" s="62">
        <v>7.66</v>
      </c>
      <c r="P122"/>
      <c r="Q122"/>
      <c r="R122"/>
      <c r="S122"/>
      <c r="T122"/>
      <c r="U122"/>
      <c r="V122"/>
      <c r="W122"/>
      <c r="X122"/>
      <c r="Y122"/>
      <c r="Z122"/>
      <c r="AA122"/>
      <c r="AB122"/>
      <c r="AC122"/>
    </row>
    <row r="123" spans="6:29" ht="15" x14ac:dyDescent="0.25">
      <c r="F123"/>
      <c r="G123"/>
      <c r="H123"/>
      <c r="I123"/>
      <c r="J123"/>
      <c r="K123" s="61" t="s">
        <v>170</v>
      </c>
      <c r="L123" s="62">
        <v>6.95</v>
      </c>
      <c r="M123" s="62">
        <v>7.83</v>
      </c>
      <c r="N123" s="62">
        <v>7.19</v>
      </c>
      <c r="O123" s="62">
        <v>7.83</v>
      </c>
      <c r="P123"/>
      <c r="Q123"/>
      <c r="R123"/>
      <c r="S123"/>
      <c r="T123"/>
      <c r="U123"/>
      <c r="V123"/>
      <c r="W123"/>
      <c r="X123"/>
      <c r="Y123"/>
      <c r="Z123"/>
      <c r="AA123"/>
      <c r="AB123"/>
      <c r="AC123"/>
    </row>
    <row r="124" spans="6:29" ht="15" x14ac:dyDescent="0.25">
      <c r="F124"/>
      <c r="G124"/>
      <c r="H124"/>
      <c r="I124"/>
      <c r="J124"/>
      <c r="K124" s="61" t="s">
        <v>171</v>
      </c>
      <c r="L124" s="62">
        <v>7.85</v>
      </c>
      <c r="M124" s="62">
        <v>8.35</v>
      </c>
      <c r="N124" s="62">
        <v>7.47</v>
      </c>
      <c r="O124" s="62">
        <v>8.35</v>
      </c>
      <c r="P124"/>
      <c r="Q124"/>
      <c r="R124"/>
      <c r="S124"/>
      <c r="T124"/>
      <c r="U124"/>
      <c r="V124"/>
      <c r="W124"/>
      <c r="X124"/>
      <c r="Y124"/>
      <c r="Z124"/>
      <c r="AA124"/>
      <c r="AB124"/>
      <c r="AC124"/>
    </row>
    <row r="125" spans="6:29" ht="15" x14ac:dyDescent="0.25">
      <c r="F125"/>
      <c r="G125"/>
      <c r="H125"/>
      <c r="I125"/>
      <c r="J125"/>
      <c r="K125" s="61" t="s">
        <v>172</v>
      </c>
      <c r="L125" s="62">
        <v>8.31</v>
      </c>
      <c r="M125" s="62">
        <v>8.73</v>
      </c>
      <c r="N125" s="62">
        <v>8</v>
      </c>
      <c r="O125" s="62">
        <v>8.73</v>
      </c>
      <c r="P125"/>
      <c r="Q125"/>
      <c r="R125"/>
      <c r="S125"/>
      <c r="T125"/>
      <c r="U125"/>
      <c r="V125"/>
      <c r="W125"/>
      <c r="X125"/>
      <c r="Y125"/>
      <c r="Z125"/>
      <c r="AA125"/>
      <c r="AB125"/>
      <c r="AC125"/>
    </row>
    <row r="126" spans="6:29" ht="15" x14ac:dyDescent="0.25">
      <c r="F126"/>
      <c r="G126"/>
      <c r="H126"/>
      <c r="I126"/>
      <c r="J126"/>
      <c r="K126"/>
      <c r="L126"/>
      <c r="M126"/>
      <c r="N126"/>
      <c r="O126"/>
      <c r="P126"/>
      <c r="Q126"/>
      <c r="R126"/>
      <c r="S126"/>
      <c r="T126"/>
      <c r="U126"/>
      <c r="V126"/>
      <c r="W126"/>
      <c r="X126"/>
      <c r="Y126"/>
      <c r="Z126"/>
      <c r="AA126"/>
      <c r="AB126"/>
      <c r="AC126"/>
    </row>
    <row r="127" spans="6:29" ht="15" x14ac:dyDescent="0.25">
      <c r="F127"/>
      <c r="G127"/>
      <c r="H127"/>
      <c r="I127"/>
      <c r="J127"/>
      <c r="K127"/>
    </row>
    <row r="128" spans="6:29" ht="15" x14ac:dyDescent="0.25">
      <c r="F128"/>
      <c r="G128"/>
      <c r="H128"/>
      <c r="I128"/>
      <c r="J128"/>
      <c r="K128"/>
    </row>
    <row r="129" spans="6:11" ht="15" x14ac:dyDescent="0.25">
      <c r="F129"/>
      <c r="G129"/>
      <c r="H129"/>
      <c r="I129"/>
      <c r="J129"/>
      <c r="K129"/>
    </row>
    <row r="130" spans="6:11" ht="15" x14ac:dyDescent="0.25">
      <c r="F130"/>
      <c r="G130"/>
      <c r="H130"/>
      <c r="I130"/>
      <c r="J130"/>
      <c r="K130"/>
    </row>
    <row r="131" spans="6:11" ht="15" x14ac:dyDescent="0.25">
      <c r="F131"/>
      <c r="G131"/>
      <c r="H131"/>
      <c r="I131"/>
      <c r="J131"/>
      <c r="K131"/>
    </row>
    <row r="132" spans="6:11" ht="15" x14ac:dyDescent="0.25">
      <c r="F132"/>
      <c r="G132"/>
      <c r="H132"/>
      <c r="I132"/>
      <c r="J132"/>
      <c r="K132"/>
    </row>
    <row r="133" spans="6:11" ht="15" x14ac:dyDescent="0.25">
      <c r="F133"/>
      <c r="G133"/>
      <c r="H133"/>
      <c r="I133"/>
      <c r="J133"/>
      <c r="K133"/>
    </row>
    <row r="134" spans="6:11" ht="15" x14ac:dyDescent="0.25">
      <c r="F134"/>
      <c r="G134"/>
      <c r="H134"/>
      <c r="I134"/>
      <c r="J134"/>
      <c r="K134"/>
    </row>
    <row r="135" spans="6:11" ht="15" x14ac:dyDescent="0.25">
      <c r="F135"/>
      <c r="G135"/>
      <c r="H135"/>
      <c r="I135"/>
      <c r="J135"/>
      <c r="K135"/>
    </row>
  </sheetData>
  <pageMargins left="0.511811024" right="0.511811024" top="0.78740157499999996" bottom="0.78740157499999996" header="0.31496062000000002" footer="0.31496062000000002"/>
  <pageSetup paperSize="9"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E8BDC-50DE-4374-BD27-B99F625A6720}">
  <sheetPr codeName="Planilha17"/>
  <dimension ref="A1:BN238"/>
  <sheetViews>
    <sheetView workbookViewId="0">
      <selection activeCell="A3" sqref="A3"/>
    </sheetView>
  </sheetViews>
  <sheetFormatPr defaultRowHeight="12.75" x14ac:dyDescent="0.2"/>
  <cols>
    <col min="1" max="1" width="9.140625" style="1"/>
    <col min="2" max="2" width="10.140625" style="1" customWidth="1"/>
    <col min="3" max="3" width="13.7109375" style="1" bestFit="1" customWidth="1"/>
    <col min="4" max="4" width="6" style="1" bestFit="1" customWidth="1"/>
    <col min="5" max="5" width="8" style="1" bestFit="1" customWidth="1"/>
    <col min="6" max="6" width="17" style="1" customWidth="1"/>
    <col min="7" max="10" width="10.7109375" style="1" bestFit="1" customWidth="1"/>
    <col min="11" max="11" width="24" style="1" bestFit="1" customWidth="1"/>
    <col min="12" max="12" width="38.140625" style="1" bestFit="1" customWidth="1"/>
    <col min="13" max="13" width="18.42578125" style="1" bestFit="1" customWidth="1"/>
    <col min="14" max="14" width="28.28515625" style="1" bestFit="1" customWidth="1"/>
    <col min="15" max="15" width="19.7109375" style="1" bestFit="1" customWidth="1"/>
    <col min="16" max="16" width="14.85546875" style="1" bestFit="1" customWidth="1"/>
    <col min="17" max="17" width="28.28515625" style="1" bestFit="1" customWidth="1"/>
    <col min="18" max="18" width="26.7109375" style="1" bestFit="1" customWidth="1"/>
    <col min="19" max="19" width="20.42578125" style="1" bestFit="1" customWidth="1"/>
    <col min="20" max="20" width="19.140625" style="1" bestFit="1" customWidth="1"/>
    <col min="21" max="21" width="24.7109375" style="1" bestFit="1" customWidth="1"/>
    <col min="22" max="22" width="17.28515625" style="1" bestFit="1" customWidth="1"/>
    <col min="23" max="23" width="20.140625" style="1" bestFit="1" customWidth="1"/>
    <col min="24" max="24" width="12.140625" style="1" bestFit="1" customWidth="1"/>
    <col min="25" max="25" width="51.7109375" style="1" bestFit="1" customWidth="1"/>
    <col min="26" max="26" width="18.42578125" style="1" bestFit="1" customWidth="1"/>
    <col min="27" max="27" width="12.7109375" style="1" bestFit="1" customWidth="1"/>
    <col min="28" max="28" width="16.7109375" style="1" bestFit="1" customWidth="1"/>
    <col min="29" max="29" width="17.85546875" style="1" bestFit="1" customWidth="1"/>
    <col min="30" max="30" width="11.7109375" style="1" bestFit="1" customWidth="1"/>
    <col min="31" max="31" width="16.7109375" style="1" bestFit="1" customWidth="1"/>
    <col min="32" max="32" width="24.85546875" style="1" bestFit="1" customWidth="1"/>
    <col min="33" max="33" width="15.85546875" style="1" bestFit="1" customWidth="1"/>
    <col min="34" max="34" width="17.85546875" style="1" bestFit="1" customWidth="1"/>
    <col min="35" max="35" width="18.7109375" style="1" bestFit="1" customWidth="1"/>
    <col min="36" max="36" width="21.85546875" style="1" bestFit="1" customWidth="1"/>
    <col min="37" max="37" width="26.85546875" style="1" bestFit="1" customWidth="1"/>
    <col min="38" max="38" width="16" style="1" bestFit="1" customWidth="1"/>
    <col min="39" max="39" width="18.42578125" style="1" bestFit="1" customWidth="1"/>
    <col min="40" max="40" width="16.7109375" style="1" bestFit="1" customWidth="1"/>
    <col min="41" max="41" width="15.85546875" style="1" bestFit="1" customWidth="1"/>
    <col min="42" max="42" width="26.42578125" style="1" bestFit="1" customWidth="1"/>
    <col min="43" max="43" width="21.140625" style="1" bestFit="1" customWidth="1"/>
    <col min="44" max="44" width="12.28515625" style="1" bestFit="1" customWidth="1"/>
    <col min="45" max="45" width="31.140625" style="1" bestFit="1" customWidth="1"/>
    <col min="46" max="46" width="27.7109375" style="1" bestFit="1" customWidth="1"/>
    <col min="47" max="47" width="20" style="1" bestFit="1" customWidth="1"/>
    <col min="48" max="48" width="18.5703125" style="1" bestFit="1" customWidth="1"/>
    <col min="49" max="49" width="21.7109375" style="1" bestFit="1" customWidth="1"/>
    <col min="50" max="50" width="12.28515625" style="1" bestFit="1" customWidth="1"/>
    <col min="51" max="51" width="26" style="1" bestFit="1" customWidth="1"/>
    <col min="52" max="52" width="24.140625" style="1" bestFit="1" customWidth="1"/>
    <col min="53" max="53" width="22.5703125" style="1" bestFit="1" customWidth="1"/>
    <col min="54" max="54" width="34.5703125" style="1" bestFit="1" customWidth="1"/>
    <col min="55" max="55" width="26.42578125" style="1" bestFit="1" customWidth="1"/>
    <col min="56" max="56" width="16.140625" style="1" bestFit="1" customWidth="1"/>
    <col min="57" max="57" width="19.140625" style="1" bestFit="1" customWidth="1"/>
    <col min="58" max="58" width="22.140625" style="1" bestFit="1" customWidth="1"/>
    <col min="59" max="59" width="28.7109375" style="1" bestFit="1" customWidth="1"/>
    <col min="60" max="60" width="19.5703125" style="1" bestFit="1" customWidth="1"/>
    <col min="61" max="61" width="16.28515625" style="1" bestFit="1" customWidth="1"/>
    <col min="62" max="62" width="11.140625" style="1" bestFit="1" customWidth="1"/>
    <col min="63" max="63" width="21" style="1" bestFit="1" customWidth="1"/>
    <col min="64" max="64" width="12.28515625" style="1" bestFit="1" customWidth="1"/>
    <col min="65" max="65" width="11.140625" style="1" bestFit="1" customWidth="1"/>
    <col min="66" max="66" width="10.7109375" style="1" bestFit="1" customWidth="1"/>
    <col min="67" max="16384" width="9.140625" style="1"/>
  </cols>
  <sheetData>
    <row r="1" spans="1:66" s="8" customFormat="1" x14ac:dyDescent="0.2">
      <c r="A1" s="7" t="s">
        <v>139</v>
      </c>
    </row>
    <row r="2" spans="1:66" ht="15" x14ac:dyDescent="0.25">
      <c r="A2" s="20" t="s">
        <v>576</v>
      </c>
      <c r="K2" s="60" t="s">
        <v>513</v>
      </c>
      <c r="L2" t="s">
        <v>514</v>
      </c>
    </row>
    <row r="3" spans="1:66" ht="15" x14ac:dyDescent="0.25">
      <c r="K3" s="60" t="s">
        <v>276</v>
      </c>
      <c r="L3" t="s">
        <v>509</v>
      </c>
    </row>
    <row r="4" spans="1:66" s="8" customFormat="1" x14ac:dyDescent="0.2">
      <c r="A4" s="7" t="s">
        <v>24</v>
      </c>
    </row>
    <row r="5" spans="1:66" ht="15" x14ac:dyDescent="0.25">
      <c r="A5" s="1" t="str" cm="1">
        <f t="array" ref="A5">xlFOCUS_ReadJSONFile(A2,TRUE)</f>
        <v># Barra de fórmulas aberta</v>
      </c>
      <c r="F5"/>
      <c r="G5"/>
      <c r="H5"/>
      <c r="I5"/>
      <c r="J5"/>
      <c r="K5" s="60" t="s">
        <v>174</v>
      </c>
      <c r="L5" s="60" t="s">
        <v>175</v>
      </c>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row>
    <row r="6" spans="1:66" ht="15" x14ac:dyDescent="0.25">
      <c r="F6"/>
      <c r="G6"/>
      <c r="H6"/>
      <c r="I6"/>
      <c r="J6"/>
      <c r="K6" s="60" t="s">
        <v>149</v>
      </c>
      <c r="L6" t="s">
        <v>176</v>
      </c>
      <c r="M6" t="s">
        <v>177</v>
      </c>
      <c r="N6" t="s">
        <v>178</v>
      </c>
      <c r="O6" t="s">
        <v>510</v>
      </c>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row>
    <row r="7" spans="1:66" ht="15" x14ac:dyDescent="0.25">
      <c r="F7"/>
      <c r="G7"/>
      <c r="H7"/>
      <c r="I7"/>
      <c r="J7"/>
      <c r="K7" s="61" t="s">
        <v>277</v>
      </c>
      <c r="L7" s="62">
        <v>15.55</v>
      </c>
      <c r="M7" s="62">
        <v>15.97</v>
      </c>
      <c r="N7" s="62">
        <v>15.63</v>
      </c>
      <c r="O7" s="62">
        <v>15.37</v>
      </c>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row>
    <row r="8" spans="1:66" ht="15" x14ac:dyDescent="0.25">
      <c r="F8"/>
      <c r="G8"/>
      <c r="H8"/>
      <c r="I8"/>
      <c r="J8"/>
      <c r="K8" s="61" t="s">
        <v>278</v>
      </c>
      <c r="L8" s="62">
        <v>15.36</v>
      </c>
      <c r="M8" s="62">
        <v>15.77</v>
      </c>
      <c r="N8" s="62">
        <v>15.57</v>
      </c>
      <c r="O8" s="62">
        <v>15.51</v>
      </c>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row>
    <row r="9" spans="1:66" ht="15" x14ac:dyDescent="0.25">
      <c r="F9"/>
      <c r="G9"/>
      <c r="H9"/>
      <c r="I9"/>
      <c r="J9"/>
      <c r="K9" s="61" t="s">
        <v>279</v>
      </c>
      <c r="L9" s="62">
        <v>15.49</v>
      </c>
      <c r="M9" s="62">
        <v>15.65</v>
      </c>
      <c r="N9" s="62">
        <v>15.46</v>
      </c>
      <c r="O9" s="62">
        <v>15.61</v>
      </c>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row>
    <row r="10" spans="1:66" ht="15" x14ac:dyDescent="0.25">
      <c r="F10"/>
      <c r="G10"/>
      <c r="H10"/>
      <c r="I10"/>
      <c r="J10"/>
      <c r="K10" s="61" t="s">
        <v>280</v>
      </c>
      <c r="L10" s="62">
        <v>15.34</v>
      </c>
      <c r="M10" s="62">
        <v>15.67</v>
      </c>
      <c r="N10" s="62">
        <v>15.52</v>
      </c>
      <c r="O10" s="62">
        <v>15.61</v>
      </c>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row>
    <row r="11" spans="1:66" ht="15" x14ac:dyDescent="0.25">
      <c r="F11"/>
      <c r="G11"/>
      <c r="H11"/>
      <c r="I11"/>
      <c r="J11"/>
      <c r="K11" s="61" t="s">
        <v>281</v>
      </c>
      <c r="L11" s="62">
        <v>15.27</v>
      </c>
      <c r="M11" s="62">
        <v>15.89</v>
      </c>
      <c r="N11" s="62">
        <v>15.65</v>
      </c>
      <c r="O11" s="62">
        <v>15.69</v>
      </c>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row>
    <row r="12" spans="1:66" ht="15" x14ac:dyDescent="0.25">
      <c r="F12"/>
      <c r="G12"/>
      <c r="H12"/>
      <c r="I12"/>
      <c r="J12"/>
      <c r="K12" s="61" t="s">
        <v>282</v>
      </c>
      <c r="L12" s="62">
        <v>15.11</v>
      </c>
      <c r="M12" s="62">
        <v>15.75</v>
      </c>
      <c r="N12" s="62">
        <v>15.85</v>
      </c>
      <c r="O12" s="62">
        <v>15.95</v>
      </c>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row>
    <row r="13" spans="1:66" ht="15" x14ac:dyDescent="0.25">
      <c r="F13"/>
      <c r="G13"/>
      <c r="H13"/>
      <c r="I13"/>
      <c r="J13"/>
      <c r="K13" s="61" t="s">
        <v>283</v>
      </c>
      <c r="L13" s="62">
        <v>15.04</v>
      </c>
      <c r="M13" s="62">
        <v>15.86</v>
      </c>
      <c r="N13" s="62">
        <v>15.96</v>
      </c>
      <c r="O13" s="62">
        <v>15.98</v>
      </c>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row>
    <row r="14" spans="1:66" ht="15" x14ac:dyDescent="0.25">
      <c r="F14"/>
      <c r="G14"/>
      <c r="H14"/>
      <c r="I14"/>
      <c r="J14"/>
      <c r="K14" s="61" t="s">
        <v>284</v>
      </c>
      <c r="L14" s="62">
        <v>14.88</v>
      </c>
      <c r="M14" s="62">
        <v>15.92</v>
      </c>
      <c r="N14" s="62">
        <v>15.98</v>
      </c>
      <c r="O14" s="62">
        <v>15.91</v>
      </c>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row>
    <row r="15" spans="1:66" ht="15" x14ac:dyDescent="0.25">
      <c r="F15"/>
      <c r="G15"/>
      <c r="H15"/>
      <c r="I15"/>
      <c r="J15"/>
      <c r="K15" s="61" t="s">
        <v>285</v>
      </c>
      <c r="L15" s="62">
        <v>15.01</v>
      </c>
      <c r="M15" s="62">
        <v>15.88</v>
      </c>
      <c r="N15" s="62">
        <v>15.88</v>
      </c>
      <c r="O15" s="62">
        <v>15.84</v>
      </c>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row>
    <row r="16" spans="1:66" ht="15" x14ac:dyDescent="0.25">
      <c r="F16"/>
      <c r="G16"/>
      <c r="H16"/>
      <c r="I16"/>
      <c r="J16"/>
      <c r="K16" s="61" t="s">
        <v>286</v>
      </c>
      <c r="L16" s="62">
        <v>15.03</v>
      </c>
      <c r="M16" s="62">
        <v>15.71</v>
      </c>
      <c r="N16" s="62">
        <v>15.92</v>
      </c>
      <c r="O16" s="62">
        <v>15.81</v>
      </c>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row>
    <row r="17" spans="6:66" ht="15" x14ac:dyDescent="0.25">
      <c r="F17"/>
      <c r="G17"/>
      <c r="H17"/>
      <c r="I17"/>
      <c r="J17"/>
      <c r="K17" s="61" t="s">
        <v>287</v>
      </c>
      <c r="L17" s="62">
        <v>15.13</v>
      </c>
      <c r="M17" s="62">
        <v>15.7</v>
      </c>
      <c r="N17" s="62">
        <v>15.96</v>
      </c>
      <c r="O17" s="62">
        <v>15.76</v>
      </c>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row>
    <row r="18" spans="6:66" ht="15" x14ac:dyDescent="0.25">
      <c r="F18"/>
      <c r="G18"/>
      <c r="H18"/>
      <c r="I18"/>
      <c r="J18"/>
      <c r="K18" s="61" t="s">
        <v>288</v>
      </c>
      <c r="L18" s="62">
        <v>15.2</v>
      </c>
      <c r="M18" s="62">
        <v>15.59</v>
      </c>
      <c r="N18" s="62">
        <v>15.9</v>
      </c>
      <c r="O18" s="62">
        <v>15.69</v>
      </c>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row>
    <row r="19" spans="6:66" ht="15" x14ac:dyDescent="0.25">
      <c r="F19"/>
      <c r="G19"/>
      <c r="H19"/>
      <c r="I19"/>
      <c r="J19"/>
      <c r="K19" s="61" t="s">
        <v>289</v>
      </c>
      <c r="L19" s="62">
        <v>15.28</v>
      </c>
      <c r="M19" s="62">
        <v>15.5</v>
      </c>
      <c r="N19" s="62">
        <v>15.84</v>
      </c>
      <c r="O19" s="62">
        <v>15.72</v>
      </c>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row>
    <row r="20" spans="6:66" ht="15" x14ac:dyDescent="0.25">
      <c r="F20"/>
      <c r="G20"/>
      <c r="H20"/>
      <c r="I20"/>
      <c r="J20"/>
      <c r="K20" s="61" t="s">
        <v>290</v>
      </c>
      <c r="L20" s="62">
        <v>15.22</v>
      </c>
      <c r="M20" s="62">
        <v>15.06</v>
      </c>
      <c r="N20" s="62">
        <v>16.04</v>
      </c>
      <c r="O20" s="62">
        <v>15.8</v>
      </c>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row>
    <row r="21" spans="6:66" ht="15" x14ac:dyDescent="0.25">
      <c r="F21"/>
      <c r="G21"/>
      <c r="H21"/>
      <c r="I21"/>
      <c r="J21"/>
      <c r="K21" s="61" t="s">
        <v>291</v>
      </c>
      <c r="L21" s="62">
        <v>15.1</v>
      </c>
      <c r="M21" s="62">
        <v>14.89</v>
      </c>
      <c r="N21" s="62">
        <v>16.03</v>
      </c>
      <c r="O21" s="62">
        <v>15.54</v>
      </c>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row>
    <row r="22" spans="6:66" ht="15" x14ac:dyDescent="0.25">
      <c r="F22"/>
      <c r="G22"/>
      <c r="H22"/>
      <c r="I22"/>
      <c r="J22"/>
      <c r="K22" s="61" t="s">
        <v>292</v>
      </c>
      <c r="L22" s="62">
        <v>15.09</v>
      </c>
      <c r="M22" s="62">
        <v>14.61</v>
      </c>
      <c r="N22" s="62">
        <v>16.190000000000001</v>
      </c>
      <c r="O22" s="62">
        <v>15.36</v>
      </c>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row>
    <row r="23" spans="6:66" ht="15" x14ac:dyDescent="0.25">
      <c r="F23"/>
      <c r="G23"/>
      <c r="H23"/>
      <c r="I23"/>
      <c r="J23"/>
      <c r="K23" s="61" t="s">
        <v>293</v>
      </c>
      <c r="L23" s="62">
        <v>14.83</v>
      </c>
      <c r="M23" s="62">
        <v>14.55</v>
      </c>
      <c r="N23" s="62">
        <v>16.37</v>
      </c>
      <c r="O23" s="62">
        <v>15.23</v>
      </c>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row>
    <row r="24" spans="6:66" ht="15" x14ac:dyDescent="0.25">
      <c r="F24"/>
      <c r="G24"/>
      <c r="H24"/>
      <c r="I24"/>
      <c r="J24"/>
      <c r="K24" s="61" t="s">
        <v>294</v>
      </c>
      <c r="L24" s="62">
        <v>14.79</v>
      </c>
      <c r="M24" s="62">
        <v>14.47</v>
      </c>
      <c r="N24" s="62">
        <v>16.260000000000002</v>
      </c>
      <c r="O24" s="62">
        <v>15.04</v>
      </c>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row>
    <row r="25" spans="6:66" ht="15" x14ac:dyDescent="0.25">
      <c r="F25"/>
      <c r="G25"/>
      <c r="H25"/>
      <c r="I25"/>
      <c r="J25"/>
      <c r="K25" s="61" t="s">
        <v>295</v>
      </c>
      <c r="L25" s="62">
        <v>14.67</v>
      </c>
      <c r="M25" s="62">
        <v>14.73</v>
      </c>
      <c r="N25" s="62">
        <v>16.260000000000002</v>
      </c>
      <c r="O25" s="62">
        <v>14.89</v>
      </c>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row>
    <row r="26" spans="6:66" ht="15" x14ac:dyDescent="0.25">
      <c r="F26"/>
      <c r="G26"/>
      <c r="H26"/>
      <c r="I26"/>
      <c r="J26"/>
      <c r="K26" s="61" t="s">
        <v>296</v>
      </c>
      <c r="L26" s="62">
        <v>14.69</v>
      </c>
      <c r="M26" s="62">
        <v>14.73</v>
      </c>
      <c r="N26" s="62">
        <v>16.329999999999998</v>
      </c>
      <c r="O26" s="62">
        <v>15.05</v>
      </c>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row>
    <row r="27" spans="6:66" ht="15" x14ac:dyDescent="0.25">
      <c r="F27"/>
      <c r="G27"/>
      <c r="H27"/>
      <c r="I27"/>
      <c r="J27"/>
      <c r="K27" s="61" t="s">
        <v>297</v>
      </c>
      <c r="L27" s="62">
        <v>14.56</v>
      </c>
      <c r="M27" s="62">
        <v>14.81</v>
      </c>
      <c r="N27" s="62">
        <v>16.18</v>
      </c>
      <c r="O27" s="62">
        <v>15.21</v>
      </c>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row>
    <row r="28" spans="6:66" ht="15" x14ac:dyDescent="0.25">
      <c r="F28"/>
      <c r="G28"/>
      <c r="H28"/>
      <c r="I28"/>
      <c r="J28"/>
      <c r="K28" s="61" t="s">
        <v>298</v>
      </c>
      <c r="L28" s="62">
        <v>14.73</v>
      </c>
      <c r="M28" s="62">
        <v>14.72</v>
      </c>
      <c r="N28" s="62">
        <v>16.420000000000002</v>
      </c>
      <c r="O28" s="62">
        <v>15.36</v>
      </c>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row>
    <row r="29" spans="6:66" ht="15" x14ac:dyDescent="0.25">
      <c r="F29"/>
      <c r="G29"/>
      <c r="H29"/>
      <c r="I29"/>
      <c r="J29"/>
      <c r="K29" s="61" t="s">
        <v>299</v>
      </c>
      <c r="L29" s="62">
        <v>14.66</v>
      </c>
      <c r="M29" s="62">
        <v>14.7</v>
      </c>
      <c r="N29" s="62">
        <v>16.350000000000001</v>
      </c>
      <c r="O29" s="62">
        <v>15.43</v>
      </c>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row>
    <row r="30" spans="6:66" ht="15" x14ac:dyDescent="0.25">
      <c r="F30"/>
      <c r="G30"/>
      <c r="H30"/>
      <c r="I30"/>
      <c r="J30"/>
      <c r="K30" s="61" t="s">
        <v>300</v>
      </c>
      <c r="L30" s="62">
        <v>14.6</v>
      </c>
      <c r="M30" s="62">
        <v>14.47</v>
      </c>
      <c r="N30" s="62">
        <v>16.440000000000001</v>
      </c>
      <c r="O30" s="62">
        <v>15.48</v>
      </c>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row>
    <row r="31" spans="6:66" ht="15" x14ac:dyDescent="0.25">
      <c r="F31"/>
      <c r="G31"/>
      <c r="H31"/>
      <c r="I31"/>
      <c r="J31"/>
      <c r="K31" s="61" t="s">
        <v>301</v>
      </c>
      <c r="L31" s="62">
        <v>14.68</v>
      </c>
      <c r="M31" s="62">
        <v>14.42</v>
      </c>
      <c r="N31" s="62">
        <v>16.55</v>
      </c>
      <c r="O31" s="62">
        <v>15.56</v>
      </c>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row>
    <row r="32" spans="6:66" ht="15" x14ac:dyDescent="0.25">
      <c r="F32"/>
      <c r="G32"/>
      <c r="H32"/>
      <c r="I32"/>
      <c r="J32"/>
      <c r="K32" s="61" t="s">
        <v>302</v>
      </c>
      <c r="L32" s="62">
        <v>14.67</v>
      </c>
      <c r="M32" s="62">
        <v>14.38</v>
      </c>
      <c r="N32" s="62">
        <v>16.420000000000002</v>
      </c>
      <c r="O32" s="62">
        <v>15.52</v>
      </c>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row>
    <row r="33" spans="6:66" ht="15" x14ac:dyDescent="0.25">
      <c r="F33"/>
      <c r="G33"/>
      <c r="H33"/>
      <c r="I33"/>
      <c r="J33"/>
      <c r="K33" s="61" t="s">
        <v>303</v>
      </c>
      <c r="L33" s="62">
        <v>14.65</v>
      </c>
      <c r="M33" s="62">
        <v>14.34</v>
      </c>
      <c r="N33" s="62">
        <v>16.440000000000001</v>
      </c>
      <c r="O33" s="62">
        <v>15.57</v>
      </c>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row>
    <row r="34" spans="6:66" ht="15" x14ac:dyDescent="0.25">
      <c r="F34"/>
      <c r="G34"/>
      <c r="H34"/>
      <c r="I34"/>
      <c r="J34"/>
      <c r="K34" s="61" t="s">
        <v>304</v>
      </c>
      <c r="L34" s="62">
        <v>14.72</v>
      </c>
      <c r="M34" s="62">
        <v>14.25</v>
      </c>
      <c r="N34" s="62">
        <v>16.5</v>
      </c>
      <c r="O34" s="62">
        <v>15.7</v>
      </c>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row>
    <row r="35" spans="6:66" ht="15" x14ac:dyDescent="0.25">
      <c r="F35"/>
      <c r="G35"/>
      <c r="H35"/>
      <c r="I35"/>
      <c r="J35"/>
      <c r="K35" s="61" t="s">
        <v>305</v>
      </c>
      <c r="L35" s="62">
        <v>14.82</v>
      </c>
      <c r="M35" s="62">
        <v>14.27</v>
      </c>
      <c r="N35" s="62">
        <v>16.45</v>
      </c>
      <c r="O35" s="62">
        <v>15.85</v>
      </c>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row>
    <row r="36" spans="6:66" ht="15" x14ac:dyDescent="0.25">
      <c r="F36"/>
      <c r="G36"/>
      <c r="H36"/>
      <c r="I36"/>
      <c r="J36"/>
      <c r="K36" s="61" t="s">
        <v>306</v>
      </c>
      <c r="L36" s="62">
        <v>14.81</v>
      </c>
      <c r="M36" s="62">
        <v>14.28</v>
      </c>
      <c r="N36" s="62">
        <v>16.34</v>
      </c>
      <c r="O36" s="62">
        <v>15.85</v>
      </c>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6:66" ht="15" x14ac:dyDescent="0.25">
      <c r="F37"/>
      <c r="G37"/>
      <c r="H37"/>
      <c r="I37"/>
      <c r="J37"/>
      <c r="K37" s="61" t="s">
        <v>307</v>
      </c>
      <c r="L37" s="62">
        <v>14.93</v>
      </c>
      <c r="M37" s="62">
        <v>14.16</v>
      </c>
      <c r="N37" s="62">
        <v>16.579999999999998</v>
      </c>
      <c r="O37" s="62">
        <v>16.079999999999998</v>
      </c>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6:66" ht="15" x14ac:dyDescent="0.25">
      <c r="F38"/>
      <c r="G38"/>
      <c r="H38"/>
      <c r="I38"/>
      <c r="J38"/>
      <c r="K38" s="61" t="s">
        <v>308</v>
      </c>
      <c r="L38" s="62">
        <v>14.89</v>
      </c>
      <c r="M38" s="62">
        <v>14.17</v>
      </c>
      <c r="N38" s="62">
        <v>16.52</v>
      </c>
      <c r="O38" s="62">
        <v>15.82</v>
      </c>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6:66" ht="15" x14ac:dyDescent="0.25">
      <c r="F39"/>
      <c r="G39"/>
      <c r="H39"/>
      <c r="I39"/>
      <c r="J39"/>
      <c r="K39" s="61" t="s">
        <v>309</v>
      </c>
      <c r="L39" s="62">
        <v>15.06</v>
      </c>
      <c r="M39" s="62">
        <v>14.29</v>
      </c>
      <c r="N39" s="62">
        <v>16.600000000000001</v>
      </c>
      <c r="O39" s="62">
        <v>16.12</v>
      </c>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6:66" ht="15" x14ac:dyDescent="0.25">
      <c r="F40"/>
      <c r="G40"/>
      <c r="H40"/>
      <c r="I40"/>
      <c r="J40"/>
      <c r="K40" s="61" t="s">
        <v>310</v>
      </c>
      <c r="L40" s="62">
        <v>15.17</v>
      </c>
      <c r="M40" s="62">
        <v>14.22</v>
      </c>
      <c r="N40" s="62">
        <v>16.48</v>
      </c>
      <c r="O40" s="62">
        <v>15.68</v>
      </c>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6:66" ht="15" x14ac:dyDescent="0.25">
      <c r="F41"/>
      <c r="G41"/>
      <c r="H41"/>
      <c r="I41"/>
      <c r="J41"/>
      <c r="K41" s="61" t="s">
        <v>311</v>
      </c>
      <c r="L41" s="62">
        <v>15.13</v>
      </c>
      <c r="M41" s="62">
        <v>14.09</v>
      </c>
      <c r="N41" s="62">
        <v>16.579999999999998</v>
      </c>
      <c r="O41" s="62">
        <v>15.63</v>
      </c>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6:66" ht="15" x14ac:dyDescent="0.25">
      <c r="F42"/>
      <c r="G42"/>
      <c r="H42"/>
      <c r="I42"/>
      <c r="J42"/>
      <c r="K42" s="61" t="s">
        <v>312</v>
      </c>
      <c r="L42" s="62">
        <v>15.17</v>
      </c>
      <c r="M42" s="62">
        <v>14.01</v>
      </c>
      <c r="N42" s="62">
        <v>16.149999999999999</v>
      </c>
      <c r="O42" s="62">
        <v>15.46</v>
      </c>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6:66" ht="15" x14ac:dyDescent="0.25">
      <c r="F43"/>
      <c r="G43"/>
      <c r="H43"/>
      <c r="I43"/>
      <c r="J43"/>
      <c r="K43" s="61" t="s">
        <v>313</v>
      </c>
      <c r="L43" s="62">
        <v>15.42</v>
      </c>
      <c r="M43" s="62">
        <v>13.91</v>
      </c>
      <c r="N43" s="62">
        <v>16.14</v>
      </c>
      <c r="O43" s="62">
        <v>15.71</v>
      </c>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6:66" ht="15" x14ac:dyDescent="0.25">
      <c r="F44"/>
      <c r="G44"/>
      <c r="H44"/>
      <c r="I44"/>
      <c r="J44"/>
      <c r="K44" s="61" t="s">
        <v>314</v>
      </c>
      <c r="L44" s="62">
        <v>15.53</v>
      </c>
      <c r="M44" s="62">
        <v>13.95</v>
      </c>
      <c r="N44" s="62">
        <v>16.079999999999998</v>
      </c>
      <c r="O44" s="62">
        <v>15.62</v>
      </c>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6:66" ht="15" x14ac:dyDescent="0.25">
      <c r="F45"/>
      <c r="G45"/>
      <c r="H45"/>
      <c r="I45"/>
      <c r="J45"/>
      <c r="K45" s="61" t="s">
        <v>315</v>
      </c>
      <c r="L45" s="62">
        <v>15.7</v>
      </c>
      <c r="M45" s="62">
        <v>14.08</v>
      </c>
      <c r="N45" s="62">
        <v>16.11</v>
      </c>
      <c r="O45" s="62">
        <v>16.440000000000001</v>
      </c>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6:66" ht="15" x14ac:dyDescent="0.25">
      <c r="F46"/>
      <c r="G46"/>
      <c r="H46"/>
      <c r="I46"/>
      <c r="J46"/>
      <c r="K46" s="61" t="s">
        <v>316</v>
      </c>
      <c r="L46" s="62">
        <v>15.92</v>
      </c>
      <c r="M46" s="62">
        <v>14.33</v>
      </c>
      <c r="N46" s="62">
        <v>16.23</v>
      </c>
      <c r="O46" s="62">
        <v>16.899999999999999</v>
      </c>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6:66" ht="15" x14ac:dyDescent="0.25">
      <c r="F47"/>
      <c r="G47"/>
      <c r="H47"/>
      <c r="I47"/>
      <c r="J47"/>
      <c r="K47" s="61" t="s">
        <v>317</v>
      </c>
      <c r="L47" s="62">
        <v>15.98</v>
      </c>
      <c r="M47" s="62">
        <v>14.7</v>
      </c>
      <c r="N47" s="62">
        <v>16.36</v>
      </c>
      <c r="O47" s="62">
        <v>17.23</v>
      </c>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6:66" ht="15" x14ac:dyDescent="0.25">
      <c r="F48"/>
      <c r="G48"/>
      <c r="H48"/>
      <c r="I48"/>
      <c r="J48"/>
      <c r="K48" s="61" t="s">
        <v>318</v>
      </c>
      <c r="L48" s="62">
        <v>16.02</v>
      </c>
      <c r="M48" s="62">
        <v>14.95</v>
      </c>
      <c r="N48" s="62">
        <v>16.21</v>
      </c>
      <c r="O48" s="62">
        <v>17.5</v>
      </c>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6:66" ht="15" x14ac:dyDescent="0.25">
      <c r="F49"/>
      <c r="G49"/>
      <c r="H49"/>
      <c r="I49"/>
      <c r="J49"/>
      <c r="K49" s="61" t="s">
        <v>319</v>
      </c>
      <c r="L49" s="62">
        <v>15.98</v>
      </c>
      <c r="M49" s="62">
        <v>14.71</v>
      </c>
      <c r="N49" s="62">
        <v>16.38</v>
      </c>
      <c r="O49" s="62">
        <v>17.7</v>
      </c>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6:66" ht="15" x14ac:dyDescent="0.25">
      <c r="F50"/>
      <c r="G50"/>
      <c r="H50"/>
      <c r="I50"/>
      <c r="J50"/>
      <c r="K50" s="61" t="s">
        <v>320</v>
      </c>
      <c r="L50" s="62">
        <v>15.9</v>
      </c>
      <c r="M50" s="62">
        <v>14.71</v>
      </c>
      <c r="N50" s="62">
        <v>16.34</v>
      </c>
      <c r="O50" s="62">
        <v>17.71</v>
      </c>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6:66" ht="15" x14ac:dyDescent="0.25">
      <c r="F51"/>
      <c r="G51"/>
      <c r="H51"/>
      <c r="I51"/>
      <c r="J51"/>
      <c r="K51" s="61" t="s">
        <v>321</v>
      </c>
      <c r="L51" s="62">
        <v>16.05</v>
      </c>
      <c r="M51" s="62">
        <v>14.47</v>
      </c>
      <c r="N51" s="62">
        <v>16.53</v>
      </c>
      <c r="O51" s="62">
        <v>17.8</v>
      </c>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6:66" ht="15" x14ac:dyDescent="0.25">
      <c r="F52"/>
      <c r="G52"/>
      <c r="H52"/>
      <c r="I52"/>
      <c r="J52"/>
      <c r="K52" s="61" t="s">
        <v>322</v>
      </c>
      <c r="L52" s="62">
        <v>16.12</v>
      </c>
      <c r="M52" s="62">
        <v>14.31</v>
      </c>
      <c r="N52" s="62">
        <v>16.510000000000002</v>
      </c>
      <c r="O52" s="62">
        <v>17.91</v>
      </c>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6:66" ht="15" x14ac:dyDescent="0.25">
      <c r="F53"/>
      <c r="G53"/>
      <c r="H53"/>
      <c r="I53"/>
      <c r="J53"/>
      <c r="K53" s="61" t="s">
        <v>323</v>
      </c>
      <c r="L53" s="62">
        <v>16.059999999999999</v>
      </c>
      <c r="M53" s="62">
        <v>14.15</v>
      </c>
      <c r="N53" s="62">
        <v>16.350000000000001</v>
      </c>
      <c r="O53" s="62">
        <v>17.78</v>
      </c>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6:66" ht="15" x14ac:dyDescent="0.25">
      <c r="F54"/>
      <c r="G54"/>
      <c r="H54"/>
      <c r="I54"/>
      <c r="J54"/>
      <c r="K54" s="61" t="s">
        <v>324</v>
      </c>
      <c r="L54" s="62">
        <v>16.05</v>
      </c>
      <c r="M54" s="62">
        <v>14.2</v>
      </c>
      <c r="N54" s="62">
        <v>16.27</v>
      </c>
      <c r="O54" s="62">
        <v>17.690000000000001</v>
      </c>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6:66" ht="15" x14ac:dyDescent="0.25">
      <c r="F55"/>
      <c r="G55"/>
      <c r="H55"/>
      <c r="I55"/>
      <c r="J55"/>
      <c r="K55" s="61" t="s">
        <v>325</v>
      </c>
      <c r="L55" s="62">
        <v>16.010000000000002</v>
      </c>
      <c r="M55" s="62">
        <v>14.04</v>
      </c>
      <c r="N55" s="62">
        <v>16.32</v>
      </c>
      <c r="O55" s="62">
        <v>17.690000000000001</v>
      </c>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6:66" ht="15" x14ac:dyDescent="0.25">
      <c r="F56"/>
      <c r="G56"/>
      <c r="H56"/>
      <c r="I56"/>
      <c r="J56"/>
      <c r="K56" s="61" t="s">
        <v>326</v>
      </c>
      <c r="L56" s="62">
        <v>15.84</v>
      </c>
      <c r="M56" s="62">
        <v>14.06</v>
      </c>
      <c r="N56" s="62">
        <v>16.2</v>
      </c>
      <c r="O56" s="62">
        <v>17.54</v>
      </c>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6:66" ht="15" x14ac:dyDescent="0.25">
      <c r="F57"/>
      <c r="G57"/>
      <c r="H57"/>
      <c r="I57"/>
      <c r="J57"/>
      <c r="K57" s="61" t="s">
        <v>327</v>
      </c>
      <c r="L57" s="62">
        <v>15.69</v>
      </c>
      <c r="M57" s="62">
        <v>14.07</v>
      </c>
      <c r="N57" s="62">
        <v>16.23</v>
      </c>
      <c r="O57" s="62">
        <v>17.45</v>
      </c>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6:66" ht="15" x14ac:dyDescent="0.25">
      <c r="F58"/>
      <c r="G58"/>
      <c r="H58"/>
      <c r="I58"/>
      <c r="J58"/>
      <c r="K58" s="61" t="s">
        <v>328</v>
      </c>
      <c r="L58" s="62">
        <v>15.76</v>
      </c>
      <c r="M58" s="62">
        <v>14.19</v>
      </c>
      <c r="N58" s="62">
        <v>16.239999999999998</v>
      </c>
      <c r="O58" s="62">
        <v>17.25</v>
      </c>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6:66" ht="15" x14ac:dyDescent="0.25">
      <c r="F59"/>
      <c r="G59"/>
      <c r="H59"/>
      <c r="I59"/>
      <c r="J59"/>
      <c r="K59" s="61" t="s">
        <v>329</v>
      </c>
      <c r="L59" s="62">
        <v>15.73</v>
      </c>
      <c r="M59" s="62">
        <v>14.5</v>
      </c>
      <c r="N59" s="62">
        <v>16.170000000000002</v>
      </c>
      <c r="O59" s="62">
        <v>17.18</v>
      </c>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6:66" ht="15" x14ac:dyDescent="0.25">
      <c r="F60"/>
      <c r="G60"/>
      <c r="H60"/>
      <c r="I60"/>
      <c r="J60"/>
      <c r="K60" s="61" t="s">
        <v>330</v>
      </c>
      <c r="L60" s="62">
        <v>15.8</v>
      </c>
      <c r="M60" s="62">
        <v>14.54</v>
      </c>
      <c r="N60" s="62"/>
      <c r="O60" s="62">
        <v>16.93</v>
      </c>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6:66" ht="15" x14ac:dyDescent="0.25">
      <c r="F61"/>
      <c r="G61"/>
      <c r="H61"/>
      <c r="I61"/>
      <c r="J61"/>
      <c r="K61" s="61" t="s">
        <v>331</v>
      </c>
      <c r="L61" s="62">
        <v>15.93</v>
      </c>
      <c r="M61" s="62">
        <v>14.85</v>
      </c>
      <c r="N61" s="62">
        <v>15.99</v>
      </c>
      <c r="O61" s="62">
        <v>16.79</v>
      </c>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6:66" ht="15" x14ac:dyDescent="0.25">
      <c r="F62"/>
      <c r="G62"/>
      <c r="H62"/>
      <c r="I62"/>
      <c r="J62"/>
      <c r="K62" s="61" t="s">
        <v>332</v>
      </c>
      <c r="L62" s="62">
        <v>16.05</v>
      </c>
      <c r="M62" s="62">
        <v>14.87</v>
      </c>
      <c r="N62" s="62">
        <v>16.02</v>
      </c>
      <c r="O62" s="62">
        <v>16.73</v>
      </c>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6:66" ht="15" x14ac:dyDescent="0.25">
      <c r="F63"/>
      <c r="G63"/>
      <c r="H63"/>
      <c r="I63"/>
      <c r="J63"/>
      <c r="K63" s="61" t="s">
        <v>333</v>
      </c>
      <c r="L63" s="62">
        <v>16.059999999999999</v>
      </c>
      <c r="M63" s="62">
        <v>14.69</v>
      </c>
      <c r="N63" s="62">
        <v>16.059999999999999</v>
      </c>
      <c r="O63" s="62">
        <v>16.53</v>
      </c>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6:66" ht="15" x14ac:dyDescent="0.25">
      <c r="F64"/>
      <c r="G64"/>
      <c r="H64"/>
      <c r="I64"/>
      <c r="J64"/>
      <c r="K64" s="61" t="s">
        <v>334</v>
      </c>
      <c r="L64" s="62">
        <v>16.05</v>
      </c>
      <c r="M64" s="62">
        <v>14.49</v>
      </c>
      <c r="N64" s="62">
        <v>16.12</v>
      </c>
      <c r="O64" s="62">
        <v>16.48</v>
      </c>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6:66" ht="15" x14ac:dyDescent="0.25">
      <c r="F65"/>
      <c r="G65"/>
      <c r="H65"/>
      <c r="I65"/>
      <c r="J65"/>
      <c r="K65" s="61" t="s">
        <v>335</v>
      </c>
      <c r="L65" s="62">
        <v>16.11</v>
      </c>
      <c r="M65" s="62">
        <v>14.64</v>
      </c>
      <c r="N65" s="62">
        <v>16.05</v>
      </c>
      <c r="O65" s="62">
        <v>16.579999999999998</v>
      </c>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6:66" ht="15" x14ac:dyDescent="0.25">
      <c r="F66"/>
      <c r="G66"/>
      <c r="H66"/>
      <c r="I66"/>
      <c r="J66"/>
      <c r="K66" s="61" t="s">
        <v>336</v>
      </c>
      <c r="L66" s="62">
        <v>16.07</v>
      </c>
      <c r="M66" s="62">
        <v>14.66</v>
      </c>
      <c r="N66" s="62">
        <v>16.170000000000002</v>
      </c>
      <c r="O66" s="62">
        <v>16.82</v>
      </c>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6:66" ht="15" x14ac:dyDescent="0.25">
      <c r="F67"/>
      <c r="G67"/>
      <c r="H67"/>
      <c r="I67"/>
      <c r="J67"/>
      <c r="K67" s="61" t="s">
        <v>337</v>
      </c>
      <c r="L67" s="62">
        <v>16.25</v>
      </c>
      <c r="M67" s="62">
        <v>14.92</v>
      </c>
      <c r="N67" s="62">
        <v>16.45</v>
      </c>
      <c r="O67" s="62">
        <v>16.86</v>
      </c>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6:66" ht="15" x14ac:dyDescent="0.25">
      <c r="F68"/>
      <c r="G68"/>
      <c r="H68"/>
      <c r="I68"/>
      <c r="J68"/>
      <c r="K68" s="61" t="s">
        <v>338</v>
      </c>
      <c r="L68" s="62">
        <v>16.3</v>
      </c>
      <c r="M68" s="62">
        <v>15.2</v>
      </c>
      <c r="N68" s="62">
        <v>16.38</v>
      </c>
      <c r="O68" s="62">
        <v>17.32</v>
      </c>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6:66" ht="15" x14ac:dyDescent="0.25">
      <c r="F69"/>
      <c r="G69"/>
      <c r="H69"/>
      <c r="I69"/>
      <c r="J69"/>
      <c r="K69" s="61" t="s">
        <v>339</v>
      </c>
      <c r="L69" s="62">
        <v>16.54</v>
      </c>
      <c r="M69" s="62">
        <v>15.35</v>
      </c>
      <c r="N69" s="62">
        <v>16.5</v>
      </c>
      <c r="O69" s="62">
        <v>17.46</v>
      </c>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6:66" ht="15" x14ac:dyDescent="0.25">
      <c r="F70"/>
      <c r="G70"/>
      <c r="H70"/>
      <c r="I70"/>
      <c r="J70"/>
      <c r="K70" s="61" t="s">
        <v>340</v>
      </c>
      <c r="L70" s="62">
        <v>16.579999999999998</v>
      </c>
      <c r="M70" s="62">
        <v>15.45</v>
      </c>
      <c r="N70" s="62">
        <v>16.63</v>
      </c>
      <c r="O70" s="62">
        <v>17.5</v>
      </c>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6:66" ht="15" x14ac:dyDescent="0.25">
      <c r="F71"/>
      <c r="G71"/>
      <c r="H71"/>
      <c r="I71"/>
      <c r="J71"/>
      <c r="K71" s="61" t="s">
        <v>341</v>
      </c>
      <c r="L71" s="62">
        <v>16.71</v>
      </c>
      <c r="M71" s="62">
        <v>15.25</v>
      </c>
      <c r="N71" s="62">
        <v>16.46</v>
      </c>
      <c r="O71" s="62">
        <v>17.25</v>
      </c>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6:66" ht="15" x14ac:dyDescent="0.25">
      <c r="F72"/>
      <c r="G72"/>
      <c r="H72"/>
      <c r="I72"/>
      <c r="J72"/>
      <c r="K72" s="61" t="s">
        <v>342</v>
      </c>
      <c r="L72" s="62">
        <v>16.71</v>
      </c>
      <c r="M72" s="62">
        <v>15.21</v>
      </c>
      <c r="N72" s="62">
        <v>16.350000000000001</v>
      </c>
      <c r="O72" s="62">
        <v>17.399999999999999</v>
      </c>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6:66" ht="15" x14ac:dyDescent="0.25">
      <c r="F73"/>
      <c r="G73"/>
      <c r="H73"/>
      <c r="I73"/>
      <c r="J73"/>
      <c r="K73" s="61" t="s">
        <v>343</v>
      </c>
      <c r="L73" s="62">
        <v>16.760000000000002</v>
      </c>
      <c r="M73" s="62">
        <v>15.41</v>
      </c>
      <c r="N73" s="62">
        <v>16.37</v>
      </c>
      <c r="O73" s="62">
        <v>17.13</v>
      </c>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6:66" ht="15" x14ac:dyDescent="0.25">
      <c r="F74"/>
      <c r="G74"/>
      <c r="H74"/>
      <c r="I74"/>
      <c r="J74"/>
      <c r="K74" s="61" t="s">
        <v>344</v>
      </c>
      <c r="L74" s="62">
        <v>16.760000000000002</v>
      </c>
      <c r="M74" s="62">
        <v>15.53</v>
      </c>
      <c r="N74" s="62">
        <v>16.23</v>
      </c>
      <c r="O74" s="62">
        <v>17.13</v>
      </c>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6:66" ht="15" x14ac:dyDescent="0.25">
      <c r="F75"/>
      <c r="G75"/>
      <c r="H75"/>
      <c r="I75"/>
      <c r="J75"/>
      <c r="K75" s="61" t="s">
        <v>345</v>
      </c>
      <c r="L75" s="62">
        <v>16.77</v>
      </c>
      <c r="M75" s="62">
        <v>15.28</v>
      </c>
      <c r="N75" s="62">
        <v>16.2</v>
      </c>
      <c r="O75" s="62">
        <v>17.100000000000001</v>
      </c>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6:66" ht="15" x14ac:dyDescent="0.25">
      <c r="F76"/>
      <c r="G76"/>
      <c r="H76"/>
      <c r="I76"/>
      <c r="J76"/>
      <c r="K76" s="61" t="s">
        <v>346</v>
      </c>
      <c r="L76" s="62">
        <v>16.690000000000001</v>
      </c>
      <c r="M76" s="62">
        <v>15.44</v>
      </c>
      <c r="N76" s="62">
        <v>16.38</v>
      </c>
      <c r="O76" s="62">
        <v>17.13</v>
      </c>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6:66" ht="15" x14ac:dyDescent="0.25">
      <c r="F77"/>
      <c r="G77"/>
      <c r="H77"/>
      <c r="I77"/>
      <c r="J77"/>
      <c r="K77" s="61" t="s">
        <v>347</v>
      </c>
      <c r="L77" s="62">
        <v>16.62</v>
      </c>
      <c r="M77" s="62">
        <v>15.35</v>
      </c>
      <c r="N77" s="62">
        <v>16.25</v>
      </c>
      <c r="O77" s="62">
        <v>16.850000000000001</v>
      </c>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row>
    <row r="78" spans="6:66" ht="15" x14ac:dyDescent="0.25">
      <c r="F78"/>
      <c r="G78"/>
      <c r="H78"/>
      <c r="I78"/>
      <c r="J78"/>
      <c r="K78" s="61" t="s">
        <v>348</v>
      </c>
      <c r="L78" s="62">
        <v>16.62</v>
      </c>
      <c r="M78" s="62">
        <v>15.19</v>
      </c>
      <c r="N78" s="62">
        <v>16.18</v>
      </c>
      <c r="O78" s="62">
        <v>16.940000000000001</v>
      </c>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row>
    <row r="79" spans="6:66" ht="15" x14ac:dyDescent="0.25">
      <c r="F79"/>
      <c r="G79"/>
      <c r="H79"/>
      <c r="I79"/>
      <c r="J79"/>
      <c r="K79" s="61" t="s">
        <v>349</v>
      </c>
      <c r="L79" s="62">
        <v>16.43</v>
      </c>
      <c r="M79" s="62">
        <v>15</v>
      </c>
      <c r="N79" s="62">
        <v>16.190000000000001</v>
      </c>
      <c r="O79" s="62">
        <v>17.100000000000001</v>
      </c>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row>
    <row r="80" spans="6:66" ht="15" x14ac:dyDescent="0.25">
      <c r="F80"/>
      <c r="G80"/>
      <c r="H80"/>
      <c r="I80"/>
      <c r="J80"/>
      <c r="K80" s="61" t="s">
        <v>350</v>
      </c>
      <c r="L80" s="62">
        <v>16.36</v>
      </c>
      <c r="M80" s="62">
        <v>15.09</v>
      </c>
      <c r="N80" s="62">
        <v>15.99</v>
      </c>
      <c r="O80" s="62">
        <v>17.010000000000002</v>
      </c>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row>
    <row r="81" spans="6:66" ht="15" x14ac:dyDescent="0.25">
      <c r="F81"/>
      <c r="G81"/>
      <c r="H81"/>
      <c r="I81"/>
      <c r="J81"/>
      <c r="K81" s="61" t="s">
        <v>351</v>
      </c>
      <c r="L81" s="62">
        <v>16.22</v>
      </c>
      <c r="M81" s="62">
        <v>15.09</v>
      </c>
      <c r="N81" s="62">
        <v>15.92</v>
      </c>
      <c r="O81" s="62">
        <v>17.03</v>
      </c>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row>
    <row r="82" spans="6:66" ht="15" x14ac:dyDescent="0.25">
      <c r="F82"/>
      <c r="G82"/>
      <c r="H82"/>
      <c r="I82"/>
      <c r="J82"/>
      <c r="K82" s="61" t="s">
        <v>352</v>
      </c>
      <c r="L82" s="62">
        <v>16.100000000000001</v>
      </c>
      <c r="M82" s="62">
        <v>15.11</v>
      </c>
      <c r="N82" s="62">
        <v>15.97</v>
      </c>
      <c r="O82" s="62">
        <v>17.12</v>
      </c>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row>
    <row r="83" spans="6:66" ht="15" x14ac:dyDescent="0.25">
      <c r="F83"/>
      <c r="G83"/>
      <c r="H83"/>
      <c r="I83"/>
      <c r="J83"/>
      <c r="K83" s="61" t="s">
        <v>353</v>
      </c>
      <c r="L83" s="62">
        <v>16.02</v>
      </c>
      <c r="M83" s="62">
        <v>15.12</v>
      </c>
      <c r="N83" s="62">
        <v>15.94</v>
      </c>
      <c r="O83" s="62">
        <v>17.059999999999999</v>
      </c>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row>
    <row r="84" spans="6:66" ht="15" x14ac:dyDescent="0.25">
      <c r="F84"/>
      <c r="G84"/>
      <c r="H84"/>
      <c r="I84"/>
      <c r="J84"/>
      <c r="K84" s="61" t="s">
        <v>354</v>
      </c>
      <c r="L84" s="62">
        <v>16.059999999999999</v>
      </c>
      <c r="M84" s="62">
        <v>15.31</v>
      </c>
      <c r="N84" s="62">
        <v>15.89</v>
      </c>
      <c r="O84" s="62">
        <v>16.809999999999999</v>
      </c>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row>
    <row r="85" spans="6:66" ht="15" x14ac:dyDescent="0.25">
      <c r="F85"/>
      <c r="G85"/>
      <c r="H85"/>
      <c r="I85"/>
      <c r="J85"/>
      <c r="K85" s="61" t="s">
        <v>355</v>
      </c>
      <c r="L85" s="62">
        <v>16.05</v>
      </c>
      <c r="M85" s="62">
        <v>15.36</v>
      </c>
      <c r="N85" s="62">
        <v>15.82</v>
      </c>
      <c r="O85" s="62">
        <v>16.91</v>
      </c>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row>
    <row r="86" spans="6:66" ht="15" x14ac:dyDescent="0.25">
      <c r="F86"/>
      <c r="G86"/>
      <c r="H86"/>
      <c r="I86"/>
      <c r="J86"/>
      <c r="K86" s="61" t="s">
        <v>356</v>
      </c>
      <c r="L86" s="62">
        <v>16.190000000000001</v>
      </c>
      <c r="M86" s="62">
        <v>15.56</v>
      </c>
      <c r="N86" s="62">
        <v>16.03</v>
      </c>
      <c r="O86" s="62">
        <v>16.96</v>
      </c>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row>
    <row r="87" spans="6:66" ht="15" x14ac:dyDescent="0.25">
      <c r="F87"/>
      <c r="G87"/>
      <c r="H87"/>
      <c r="I87"/>
      <c r="J87"/>
      <c r="K87" s="61" t="s">
        <v>357</v>
      </c>
      <c r="L87" s="62">
        <v>16.350000000000001</v>
      </c>
      <c r="M87" s="62">
        <v>15.61</v>
      </c>
      <c r="N87" s="62">
        <v>16.18</v>
      </c>
      <c r="O87" s="62">
        <v>16.95</v>
      </c>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row>
    <row r="88" spans="6:66" ht="15" x14ac:dyDescent="0.25">
      <c r="F88"/>
      <c r="G88"/>
      <c r="H88"/>
      <c r="I88"/>
      <c r="J88"/>
      <c r="K88" s="61" t="s">
        <v>358</v>
      </c>
      <c r="L88" s="62">
        <v>16.53</v>
      </c>
      <c r="M88" s="62">
        <v>15.81</v>
      </c>
      <c r="N88" s="62">
        <v>16.510000000000002</v>
      </c>
      <c r="O88" s="62">
        <v>17.23</v>
      </c>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row>
    <row r="89" spans="6:66" ht="15" x14ac:dyDescent="0.25">
      <c r="F89"/>
      <c r="G89"/>
      <c r="H89"/>
      <c r="I89"/>
      <c r="J89"/>
      <c r="K89" s="61" t="s">
        <v>359</v>
      </c>
      <c r="L89" s="62">
        <v>16.63</v>
      </c>
      <c r="M89" s="62">
        <v>15.82</v>
      </c>
      <c r="N89" s="62">
        <v>16.88</v>
      </c>
      <c r="O89" s="62">
        <v>17.34</v>
      </c>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row>
    <row r="90" spans="6:66" ht="15" x14ac:dyDescent="0.25">
      <c r="F90"/>
      <c r="G90"/>
      <c r="H90"/>
      <c r="I90"/>
      <c r="J90"/>
      <c r="K90" s="61" t="s">
        <v>360</v>
      </c>
      <c r="L90" s="62">
        <v>16.72</v>
      </c>
      <c r="M90" s="62">
        <v>15.87</v>
      </c>
      <c r="N90" s="62">
        <v>17.3</v>
      </c>
      <c r="O90" s="62">
        <v>17.32</v>
      </c>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row>
    <row r="91" spans="6:66" ht="15" x14ac:dyDescent="0.25">
      <c r="F91"/>
      <c r="G91"/>
      <c r="H91"/>
      <c r="I91"/>
      <c r="J91"/>
      <c r="K91" s="61" t="s">
        <v>361</v>
      </c>
      <c r="L91" s="62">
        <v>16.78</v>
      </c>
      <c r="M91" s="62">
        <v>15.58</v>
      </c>
      <c r="N91" s="62">
        <v>17.3</v>
      </c>
      <c r="O91" s="62">
        <v>17.440000000000001</v>
      </c>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row>
    <row r="92" spans="6:66" ht="15" x14ac:dyDescent="0.25">
      <c r="F92"/>
      <c r="G92"/>
      <c r="H92"/>
      <c r="I92"/>
      <c r="J92"/>
      <c r="K92" s="61" t="s">
        <v>362</v>
      </c>
      <c r="L92" s="62">
        <v>16.77</v>
      </c>
      <c r="M92" s="62">
        <v>15.71</v>
      </c>
      <c r="N92" s="62">
        <v>17.52</v>
      </c>
      <c r="O92" s="62">
        <v>17.55</v>
      </c>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row>
    <row r="93" spans="6:66" ht="15" x14ac:dyDescent="0.25">
      <c r="F93"/>
      <c r="G93"/>
      <c r="H93"/>
      <c r="I93"/>
      <c r="J93"/>
      <c r="K93" s="61" t="s">
        <v>363</v>
      </c>
      <c r="L93" s="62">
        <v>16.809999999999999</v>
      </c>
      <c r="M93" s="62">
        <v>15.58</v>
      </c>
      <c r="N93" s="62">
        <v>17.59</v>
      </c>
      <c r="O93" s="62">
        <v>17.48</v>
      </c>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row>
    <row r="94" spans="6:66" ht="15" x14ac:dyDescent="0.25">
      <c r="F94"/>
      <c r="G94"/>
      <c r="H94"/>
      <c r="I94"/>
      <c r="J94"/>
      <c r="K94" s="61" t="s">
        <v>364</v>
      </c>
      <c r="L94" s="62">
        <v>16.899999999999999</v>
      </c>
      <c r="M94" s="62">
        <v>15.46</v>
      </c>
      <c r="N94" s="62">
        <v>17.43</v>
      </c>
      <c r="O94" s="62">
        <v>17.61</v>
      </c>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row>
    <row r="95" spans="6:66" ht="15" x14ac:dyDescent="0.25">
      <c r="F95"/>
      <c r="G95"/>
      <c r="H95"/>
      <c r="I95"/>
      <c r="J95"/>
      <c r="K95" s="61" t="s">
        <v>365</v>
      </c>
      <c r="L95" s="62">
        <v>16.88</v>
      </c>
      <c r="M95" s="62">
        <v>15.65</v>
      </c>
      <c r="N95" s="62">
        <v>17.66</v>
      </c>
      <c r="O95" s="62">
        <v>17.579999999999998</v>
      </c>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row>
    <row r="96" spans="6:66" ht="15" x14ac:dyDescent="0.25">
      <c r="F96"/>
      <c r="G96"/>
      <c r="H96"/>
      <c r="I96"/>
      <c r="J96"/>
      <c r="K96" s="61" t="s">
        <v>366</v>
      </c>
      <c r="L96" s="62">
        <v>16.71</v>
      </c>
      <c r="M96" s="62">
        <v>15.67</v>
      </c>
      <c r="N96" s="62">
        <v>17.59</v>
      </c>
      <c r="O96" s="62">
        <v>17.53</v>
      </c>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row>
    <row r="97" spans="6:66" ht="15" x14ac:dyDescent="0.25">
      <c r="F97"/>
      <c r="G97"/>
      <c r="H97"/>
      <c r="I97"/>
      <c r="J97"/>
      <c r="K97" s="61" t="s">
        <v>367</v>
      </c>
      <c r="L97" s="62">
        <v>16.760000000000002</v>
      </c>
      <c r="M97" s="62">
        <v>15.68</v>
      </c>
      <c r="N97" s="62">
        <v>17.510000000000002</v>
      </c>
      <c r="O97" s="62">
        <v>17.510000000000002</v>
      </c>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row>
    <row r="98" spans="6:66" ht="15" x14ac:dyDescent="0.25">
      <c r="F98"/>
      <c r="G98"/>
      <c r="H98"/>
      <c r="I98"/>
      <c r="J98"/>
      <c r="K98" s="61" t="s">
        <v>368</v>
      </c>
      <c r="L98" s="62">
        <v>16.64</v>
      </c>
      <c r="M98" s="62">
        <v>15.67</v>
      </c>
      <c r="N98" s="62">
        <v>17.47</v>
      </c>
      <c r="O98" s="62">
        <v>17.510000000000002</v>
      </c>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row>
    <row r="99" spans="6:66" ht="15" x14ac:dyDescent="0.25">
      <c r="F99"/>
      <c r="G99"/>
      <c r="H99"/>
      <c r="I99"/>
      <c r="J99"/>
      <c r="K99" s="61" t="s">
        <v>369</v>
      </c>
      <c r="L99" s="62">
        <v>16.579999999999998</v>
      </c>
      <c r="M99" s="62">
        <v>15.79</v>
      </c>
      <c r="N99" s="62">
        <v>17.559999999999999</v>
      </c>
      <c r="O99" s="62">
        <v>17.61</v>
      </c>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row>
    <row r="100" spans="6:66" ht="15" x14ac:dyDescent="0.25">
      <c r="F100"/>
      <c r="G100"/>
      <c r="H100"/>
      <c r="I100"/>
      <c r="J100"/>
      <c r="K100" s="61" t="s">
        <v>370</v>
      </c>
      <c r="L100" s="62">
        <v>16.68</v>
      </c>
      <c r="M100" s="62">
        <v>15.69</v>
      </c>
      <c r="N100" s="62">
        <v>17.45</v>
      </c>
      <c r="O100" s="62">
        <v>17.64</v>
      </c>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row>
    <row r="101" spans="6:66" ht="15" x14ac:dyDescent="0.25">
      <c r="F101"/>
      <c r="G101"/>
      <c r="H101"/>
      <c r="I101"/>
      <c r="J101"/>
      <c r="K101" s="61" t="s">
        <v>371</v>
      </c>
      <c r="L101" s="62">
        <v>16.829999999999998</v>
      </c>
      <c r="M101" s="62">
        <v>15.72</v>
      </c>
      <c r="N101" s="62">
        <v>17.59</v>
      </c>
      <c r="O101" s="62">
        <v>17.66</v>
      </c>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row>
    <row r="102" spans="6:66" ht="15" x14ac:dyDescent="0.25">
      <c r="F102"/>
      <c r="G102"/>
      <c r="H102"/>
      <c r="I102"/>
      <c r="J102"/>
      <c r="K102" s="61" t="s">
        <v>372</v>
      </c>
      <c r="L102" s="62">
        <v>16.78</v>
      </c>
      <c r="M102" s="62">
        <v>15.68</v>
      </c>
      <c r="N102" s="62">
        <v>17.63</v>
      </c>
      <c r="O102" s="62">
        <v>17.57</v>
      </c>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row>
    <row r="103" spans="6:66" ht="15" x14ac:dyDescent="0.25">
      <c r="F103"/>
      <c r="G103"/>
      <c r="H103"/>
      <c r="I103"/>
      <c r="J103"/>
      <c r="K103" s="61" t="s">
        <v>373</v>
      </c>
      <c r="L103" s="62">
        <v>16.72</v>
      </c>
      <c r="M103" s="62">
        <v>15.71</v>
      </c>
      <c r="N103" s="62">
        <v>17.440000000000001</v>
      </c>
      <c r="O103" s="62">
        <v>17.670000000000002</v>
      </c>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row>
    <row r="104" spans="6:66" ht="15" x14ac:dyDescent="0.25">
      <c r="F104"/>
      <c r="G104"/>
      <c r="H104"/>
      <c r="I104"/>
      <c r="J104"/>
      <c r="K104" s="61" t="s">
        <v>374</v>
      </c>
      <c r="L104" s="62">
        <v>16.670000000000002</v>
      </c>
      <c r="M104" s="62">
        <v>15.58</v>
      </c>
      <c r="N104" s="62">
        <v>17.45</v>
      </c>
      <c r="O104" s="62">
        <v>17.41</v>
      </c>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row>
    <row r="105" spans="6:66" ht="15" x14ac:dyDescent="0.25">
      <c r="F105"/>
      <c r="G105"/>
      <c r="H105"/>
      <c r="I105"/>
      <c r="J105"/>
      <c r="K105" s="61" t="s">
        <v>375</v>
      </c>
      <c r="L105" s="62">
        <v>16.600000000000001</v>
      </c>
      <c r="M105" s="62">
        <v>15.53</v>
      </c>
      <c r="N105" s="62">
        <v>17.34</v>
      </c>
      <c r="O105" s="62">
        <v>17.36</v>
      </c>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row>
    <row r="106" spans="6:66" ht="15" x14ac:dyDescent="0.25">
      <c r="F106"/>
      <c r="G106"/>
      <c r="H106"/>
      <c r="I106"/>
      <c r="J106"/>
      <c r="K106" s="61" t="s">
        <v>376</v>
      </c>
      <c r="L106" s="62">
        <v>16.57</v>
      </c>
      <c r="M106" s="62">
        <v>15.73</v>
      </c>
      <c r="N106" s="62">
        <v>17.260000000000002</v>
      </c>
      <c r="O106" s="62">
        <v>17.43</v>
      </c>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row>
    <row r="107" spans="6:66" ht="15" x14ac:dyDescent="0.25">
      <c r="F107"/>
      <c r="G107"/>
      <c r="H107"/>
      <c r="I107"/>
      <c r="J107"/>
      <c r="K107" s="61" t="s">
        <v>377</v>
      </c>
      <c r="L107" s="62">
        <v>16.5</v>
      </c>
      <c r="M107" s="62">
        <v>15.7</v>
      </c>
      <c r="N107" s="62">
        <v>17.309999999999999</v>
      </c>
      <c r="O107" s="62">
        <v>17.72</v>
      </c>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row>
    <row r="108" spans="6:66" ht="15" x14ac:dyDescent="0.25">
      <c r="F108"/>
      <c r="G108"/>
      <c r="H108"/>
      <c r="I108"/>
      <c r="J108"/>
      <c r="K108" s="61" t="s">
        <v>378</v>
      </c>
      <c r="L108" s="62">
        <v>16.62</v>
      </c>
      <c r="M108" s="62">
        <v>15.71</v>
      </c>
      <c r="N108" s="62">
        <v>17.61</v>
      </c>
      <c r="O108" s="62">
        <v>17.739999999999998</v>
      </c>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row>
    <row r="109" spans="6:66" ht="15" x14ac:dyDescent="0.25">
      <c r="F109"/>
      <c r="G109"/>
      <c r="H109"/>
      <c r="I109"/>
      <c r="J109"/>
      <c r="K109" s="61" t="s">
        <v>379</v>
      </c>
      <c r="L109" s="62">
        <v>16.63</v>
      </c>
      <c r="M109" s="62">
        <v>15.88</v>
      </c>
      <c r="N109" s="62">
        <v>17.739999999999998</v>
      </c>
      <c r="O109" s="62">
        <v>17.96</v>
      </c>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row>
    <row r="110" spans="6:66" ht="15" x14ac:dyDescent="0.25">
      <c r="F110"/>
      <c r="G110"/>
      <c r="H110"/>
      <c r="I110"/>
      <c r="J110"/>
      <c r="K110" s="61" t="s">
        <v>380</v>
      </c>
      <c r="L110" s="62">
        <v>16.72</v>
      </c>
      <c r="M110" s="62">
        <v>16.05</v>
      </c>
      <c r="N110" s="62">
        <v>17.899999999999999</v>
      </c>
      <c r="O110" s="62">
        <v>18.13</v>
      </c>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row>
    <row r="111" spans="6:66" ht="15" x14ac:dyDescent="0.25">
      <c r="F111"/>
      <c r="G111"/>
      <c r="H111"/>
      <c r="I111"/>
      <c r="J111"/>
      <c r="K111" s="61" t="s">
        <v>381</v>
      </c>
      <c r="L111" s="62">
        <v>16.7</v>
      </c>
      <c r="M111" s="62">
        <v>15.86</v>
      </c>
      <c r="N111" s="62">
        <v>18.27</v>
      </c>
      <c r="O111" s="62">
        <v>18.16</v>
      </c>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row>
    <row r="112" spans="6:66" ht="15" x14ac:dyDescent="0.25">
      <c r="F112"/>
      <c r="G112"/>
      <c r="H112"/>
      <c r="I112"/>
      <c r="J112"/>
      <c r="K112" s="61" t="s">
        <v>382</v>
      </c>
      <c r="L112" s="62">
        <v>16.78</v>
      </c>
      <c r="M112" s="62">
        <v>15.86</v>
      </c>
      <c r="N112" s="62">
        <v>18.22</v>
      </c>
      <c r="O112" s="62">
        <v>18.100000000000001</v>
      </c>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row>
    <row r="113" spans="6:66" ht="15" x14ac:dyDescent="0.25">
      <c r="F113"/>
      <c r="G113"/>
      <c r="H113"/>
      <c r="I113"/>
      <c r="J113"/>
      <c r="K113" s="61" t="s">
        <v>383</v>
      </c>
      <c r="L113" s="62">
        <v>16.760000000000002</v>
      </c>
      <c r="M113" s="62">
        <v>15.86</v>
      </c>
      <c r="N113" s="62">
        <v>18.309999999999999</v>
      </c>
      <c r="O113" s="62">
        <v>18.09</v>
      </c>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row>
    <row r="114" spans="6:66" ht="15" x14ac:dyDescent="0.25">
      <c r="F114"/>
      <c r="G114"/>
      <c r="H114"/>
      <c r="I114"/>
      <c r="J114"/>
      <c r="K114" s="61" t="s">
        <v>384</v>
      </c>
      <c r="L114" s="62">
        <v>16.95</v>
      </c>
      <c r="M114" s="62">
        <v>15.81</v>
      </c>
      <c r="N114" s="62">
        <v>18.579999999999998</v>
      </c>
      <c r="O114" s="62">
        <v>17.899999999999999</v>
      </c>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row>
    <row r="115" spans="6:66" ht="15" x14ac:dyDescent="0.25">
      <c r="F115"/>
      <c r="G115"/>
      <c r="H115"/>
      <c r="I115"/>
      <c r="J115"/>
      <c r="K115" s="61" t="s">
        <v>385</v>
      </c>
      <c r="L115" s="62">
        <v>16.809999999999999</v>
      </c>
      <c r="M115" s="62">
        <v>15.55</v>
      </c>
      <c r="N115" s="62">
        <v>18.600000000000001</v>
      </c>
      <c r="O115" s="62">
        <v>17.82</v>
      </c>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row>
    <row r="116" spans="6:66" ht="15" x14ac:dyDescent="0.25">
      <c r="F116"/>
      <c r="G116"/>
      <c r="H116"/>
      <c r="I116"/>
      <c r="J116"/>
      <c r="K116" s="61" t="s">
        <v>386</v>
      </c>
      <c r="L116" s="62">
        <v>16.91</v>
      </c>
      <c r="M116" s="62">
        <v>15.53</v>
      </c>
      <c r="N116" s="62">
        <v>18.53</v>
      </c>
      <c r="O116" s="62">
        <v>17.68</v>
      </c>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row>
    <row r="117" spans="6:66" ht="15" x14ac:dyDescent="0.25">
      <c r="F117"/>
      <c r="G117"/>
      <c r="H117"/>
      <c r="I117"/>
      <c r="J117"/>
      <c r="K117" s="61" t="s">
        <v>387</v>
      </c>
      <c r="L117" s="62">
        <v>16.91</v>
      </c>
      <c r="M117" s="62">
        <v>15.46</v>
      </c>
      <c r="N117" s="62">
        <v>18.73</v>
      </c>
      <c r="O117" s="62">
        <v>17.670000000000002</v>
      </c>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row>
    <row r="118" spans="6:66" ht="15" x14ac:dyDescent="0.25">
      <c r="F118"/>
      <c r="G118"/>
      <c r="H118"/>
      <c r="I118"/>
      <c r="J118"/>
      <c r="K118" s="61" t="s">
        <v>388</v>
      </c>
      <c r="L118" s="62">
        <v>17.02</v>
      </c>
      <c r="M118" s="62">
        <v>15.26</v>
      </c>
      <c r="N118" s="62">
        <v>18.63</v>
      </c>
      <c r="O118" s="62">
        <v>17.66</v>
      </c>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row>
    <row r="119" spans="6:66" ht="15" x14ac:dyDescent="0.25">
      <c r="F119"/>
      <c r="G119"/>
      <c r="H119"/>
      <c r="I119"/>
      <c r="J119"/>
      <c r="K119" s="61" t="s">
        <v>389</v>
      </c>
      <c r="L119" s="62">
        <v>16.899999999999999</v>
      </c>
      <c r="M119" s="62">
        <v>15.17</v>
      </c>
      <c r="N119" s="62">
        <v>18.28</v>
      </c>
      <c r="O119" s="62">
        <v>17.89</v>
      </c>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row>
    <row r="120" spans="6:66" ht="15" x14ac:dyDescent="0.25">
      <c r="F120"/>
      <c r="G120"/>
      <c r="H120"/>
      <c r="I120"/>
      <c r="J120"/>
      <c r="K120" s="61" t="s">
        <v>390</v>
      </c>
      <c r="L120" s="62">
        <v>17.170000000000002</v>
      </c>
      <c r="M120" s="62">
        <v>15.24</v>
      </c>
      <c r="N120" s="62">
        <v>18.34</v>
      </c>
      <c r="O120" s="62">
        <v>17.940000000000001</v>
      </c>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row>
    <row r="121" spans="6:66" ht="15" x14ac:dyDescent="0.25">
      <c r="F121"/>
      <c r="G121"/>
      <c r="H121"/>
      <c r="I121"/>
      <c r="J121"/>
      <c r="K121" s="61" t="s">
        <v>391</v>
      </c>
      <c r="L121" s="62">
        <v>17.21</v>
      </c>
      <c r="M121" s="62">
        <v>15.2</v>
      </c>
      <c r="N121" s="62">
        <v>18.309999999999999</v>
      </c>
      <c r="O121" s="62">
        <v>17.95</v>
      </c>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row>
    <row r="122" spans="6:66" ht="15" x14ac:dyDescent="0.25">
      <c r="F122"/>
      <c r="G122"/>
      <c r="H122"/>
      <c r="I122"/>
      <c r="J122"/>
      <c r="K122" s="61" t="s">
        <v>392</v>
      </c>
      <c r="L122" s="62">
        <v>17.420000000000002</v>
      </c>
      <c r="M122" s="62">
        <v>15.21</v>
      </c>
      <c r="N122" s="62">
        <v>18.28</v>
      </c>
      <c r="O122" s="62">
        <v>17.88</v>
      </c>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row>
    <row r="123" spans="6:66" ht="15" x14ac:dyDescent="0.25">
      <c r="F123"/>
      <c r="G123"/>
      <c r="H123"/>
      <c r="I123"/>
      <c r="J123"/>
      <c r="K123" s="61" t="s">
        <v>393</v>
      </c>
      <c r="L123" s="62">
        <v>17.37</v>
      </c>
      <c r="M123" s="62">
        <v>15.27</v>
      </c>
      <c r="N123" s="62">
        <v>18.21</v>
      </c>
      <c r="O123" s="62">
        <v>17.88</v>
      </c>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row>
    <row r="124" spans="6:66" ht="15" x14ac:dyDescent="0.25">
      <c r="F124"/>
      <c r="G124"/>
      <c r="H124"/>
      <c r="I124"/>
      <c r="J124"/>
      <c r="K124" s="61" t="s">
        <v>394</v>
      </c>
      <c r="L124" s="62">
        <v>17.440000000000001</v>
      </c>
      <c r="M124" s="62">
        <v>15.25</v>
      </c>
      <c r="N124" s="62">
        <v>18.36</v>
      </c>
      <c r="O124" s="62">
        <v>17.690000000000001</v>
      </c>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row>
    <row r="125" spans="6:66" ht="15" x14ac:dyDescent="0.25">
      <c r="F125"/>
      <c r="G125"/>
      <c r="H125"/>
      <c r="I125"/>
      <c r="J125"/>
      <c r="K125" s="61" t="s">
        <v>395</v>
      </c>
      <c r="L125" s="62">
        <v>17.27</v>
      </c>
      <c r="M125" s="62">
        <v>15.26</v>
      </c>
      <c r="N125" s="62">
        <v>18.53</v>
      </c>
      <c r="O125" s="62">
        <v>17.62</v>
      </c>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row>
    <row r="126" spans="6:66" ht="15" x14ac:dyDescent="0.25">
      <c r="F126"/>
      <c r="G126"/>
      <c r="H126"/>
      <c r="I126"/>
      <c r="J126"/>
      <c r="K126" s="61" t="s">
        <v>396</v>
      </c>
      <c r="L126" s="62">
        <v>17.37</v>
      </c>
      <c r="M126" s="62">
        <v>15.12</v>
      </c>
      <c r="N126" s="62">
        <v>18.32</v>
      </c>
      <c r="O126" s="62">
        <v>17.63</v>
      </c>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row>
    <row r="127" spans="6:66" ht="15" x14ac:dyDescent="0.25">
      <c r="F127"/>
      <c r="G127"/>
      <c r="H127"/>
      <c r="I127"/>
      <c r="J127"/>
      <c r="K127" s="61" t="s">
        <v>397</v>
      </c>
      <c r="L127" s="62">
        <v>17.260000000000002</v>
      </c>
      <c r="M127" s="62">
        <v>15.18</v>
      </c>
      <c r="N127" s="62">
        <v>18.39</v>
      </c>
      <c r="O127" s="62">
        <v>17.87</v>
      </c>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row>
    <row r="128" spans="6:66" ht="15" x14ac:dyDescent="0.25">
      <c r="F128"/>
      <c r="G128"/>
      <c r="H128"/>
      <c r="I128"/>
      <c r="J128"/>
      <c r="K128" s="61" t="s">
        <v>398</v>
      </c>
      <c r="L128" s="62">
        <v>17.34</v>
      </c>
      <c r="M128" s="62">
        <v>15.21</v>
      </c>
      <c r="N128" s="62">
        <v>18.579999999999998</v>
      </c>
      <c r="O128" s="62">
        <v>17.97</v>
      </c>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row>
    <row r="129" spans="6:66" ht="15" x14ac:dyDescent="0.25">
      <c r="F129"/>
      <c r="G129"/>
      <c r="H129"/>
      <c r="I129"/>
      <c r="J129"/>
      <c r="K129" s="61" t="s">
        <v>399</v>
      </c>
      <c r="L129" s="62">
        <v>17.489999999999998</v>
      </c>
      <c r="M129" s="62">
        <v>15.23</v>
      </c>
      <c r="N129" s="62">
        <v>18.48</v>
      </c>
      <c r="O129" s="62">
        <v>18.260000000000002</v>
      </c>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row>
    <row r="130" spans="6:66" ht="15" x14ac:dyDescent="0.25">
      <c r="F130"/>
      <c r="G130"/>
      <c r="H130"/>
      <c r="I130"/>
      <c r="J130"/>
      <c r="K130" s="61" t="s">
        <v>400</v>
      </c>
      <c r="L130" s="62">
        <v>17.73</v>
      </c>
      <c r="M130" s="62">
        <v>15.19</v>
      </c>
      <c r="N130" s="62">
        <v>18.38</v>
      </c>
      <c r="O130" s="62">
        <v>18.53</v>
      </c>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row>
    <row r="131" spans="6:66" ht="15" x14ac:dyDescent="0.25">
      <c r="F131"/>
      <c r="G131"/>
      <c r="H131"/>
      <c r="I131"/>
      <c r="J131"/>
      <c r="K131" s="61" t="s">
        <v>401</v>
      </c>
      <c r="L131" s="62">
        <v>17.84</v>
      </c>
      <c r="M131" s="62">
        <v>15.58</v>
      </c>
      <c r="N131" s="62">
        <v>18.88</v>
      </c>
      <c r="O131" s="62">
        <v>18.760000000000002</v>
      </c>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row>
    <row r="132" spans="6:66" ht="15" x14ac:dyDescent="0.25">
      <c r="F132"/>
      <c r="G132"/>
      <c r="H132"/>
      <c r="I132"/>
      <c r="J132"/>
      <c r="K132" s="61" t="s">
        <v>402</v>
      </c>
      <c r="L132" s="62">
        <v>18.100000000000001</v>
      </c>
      <c r="M132" s="62">
        <v>15.99</v>
      </c>
      <c r="N132" s="62">
        <v>18.62</v>
      </c>
      <c r="O132" s="62">
        <v>18.75</v>
      </c>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row>
    <row r="133" spans="6:66" ht="15" x14ac:dyDescent="0.25">
      <c r="F133"/>
      <c r="G133"/>
      <c r="H133"/>
      <c r="I133"/>
      <c r="J133"/>
      <c r="K133" s="61" t="s">
        <v>403</v>
      </c>
      <c r="L133" s="62">
        <v>18.2</v>
      </c>
      <c r="M133" s="62">
        <v>15.86</v>
      </c>
      <c r="N133" s="62">
        <v>18.600000000000001</v>
      </c>
      <c r="O133" s="62">
        <v>18.75</v>
      </c>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row>
    <row r="134" spans="6:66" ht="15" x14ac:dyDescent="0.25">
      <c r="F134"/>
      <c r="G134"/>
      <c r="H134"/>
      <c r="I134"/>
      <c r="J134"/>
      <c r="K134" s="61" t="s">
        <v>404</v>
      </c>
      <c r="L134" s="62">
        <v>18.22</v>
      </c>
      <c r="M134" s="62">
        <v>15.9</v>
      </c>
      <c r="N134" s="62">
        <v>18.73</v>
      </c>
      <c r="O134" s="62">
        <v>18.63</v>
      </c>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row>
    <row r="135" spans="6:66" ht="15" x14ac:dyDescent="0.25">
      <c r="F135"/>
      <c r="G135"/>
      <c r="H135"/>
      <c r="I135"/>
      <c r="J135"/>
      <c r="K135" s="61" t="s">
        <v>405</v>
      </c>
      <c r="L135" s="62">
        <v>18.190000000000001</v>
      </c>
      <c r="M135" s="62">
        <v>15.91</v>
      </c>
      <c r="N135" s="62">
        <v>18.850000000000001</v>
      </c>
      <c r="O135" s="62">
        <v>18.61</v>
      </c>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row>
    <row r="136" spans="6:66" ht="15" x14ac:dyDescent="0.25">
      <c r="K136" s="61" t="s">
        <v>406</v>
      </c>
      <c r="L136" s="62">
        <v>18.350000000000001</v>
      </c>
      <c r="M136" s="62">
        <v>15.92</v>
      </c>
      <c r="N136" s="62">
        <v>16.91</v>
      </c>
      <c r="O136" s="62">
        <v>18.73</v>
      </c>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row>
    <row r="137" spans="6:66" ht="15" x14ac:dyDescent="0.25">
      <c r="K137" s="61" t="s">
        <v>407</v>
      </c>
      <c r="L137" s="62">
        <v>18.309999999999999</v>
      </c>
      <c r="M137" s="62">
        <v>15.77</v>
      </c>
      <c r="N137" s="62"/>
      <c r="O137" s="62">
        <v>18.559999999999999</v>
      </c>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row>
    <row r="138" spans="6:66" ht="15" x14ac:dyDescent="0.25">
      <c r="K138" s="61" t="s">
        <v>408</v>
      </c>
      <c r="L138" s="62">
        <v>18.41</v>
      </c>
      <c r="M138" s="62">
        <v>15.84</v>
      </c>
      <c r="N138" s="62"/>
      <c r="O138" s="62">
        <v>18.579999999999998</v>
      </c>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row>
    <row r="139" spans="6:66" ht="15" x14ac:dyDescent="0.25">
      <c r="K139" s="61" t="s">
        <v>409</v>
      </c>
      <c r="L139" s="62">
        <v>18.3</v>
      </c>
      <c r="M139" s="62">
        <v>15.85</v>
      </c>
      <c r="N139" s="62"/>
      <c r="O139" s="62">
        <v>18.690000000000001</v>
      </c>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row>
    <row r="140" spans="6:66" ht="15" x14ac:dyDescent="0.25">
      <c r="K140" s="61" t="s">
        <v>410</v>
      </c>
      <c r="L140" s="62">
        <v>18.350000000000001</v>
      </c>
      <c r="M140" s="62">
        <v>15.73</v>
      </c>
      <c r="N140" s="62">
        <v>18.260000000000002</v>
      </c>
      <c r="O140" s="62">
        <v>18.63</v>
      </c>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row>
    <row r="141" spans="6:66" ht="15" x14ac:dyDescent="0.25">
      <c r="K141" s="61" t="s">
        <v>411</v>
      </c>
      <c r="L141" s="62">
        <v>18.14</v>
      </c>
      <c r="M141" s="62">
        <v>15.8</v>
      </c>
      <c r="N141" s="62">
        <v>18.61</v>
      </c>
      <c r="O141" s="62">
        <v>18.559999999999999</v>
      </c>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row>
    <row r="142" spans="6:66" ht="15" x14ac:dyDescent="0.25">
      <c r="K142" s="61" t="s">
        <v>412</v>
      </c>
      <c r="L142" s="62">
        <v>18.13</v>
      </c>
      <c r="M142" s="62">
        <v>15.83</v>
      </c>
      <c r="N142" s="62">
        <v>18.68</v>
      </c>
      <c r="O142" s="62">
        <v>18.66</v>
      </c>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row>
    <row r="143" spans="6:66" ht="15" x14ac:dyDescent="0.25">
      <c r="K143" s="61" t="s">
        <v>413</v>
      </c>
      <c r="L143" s="62">
        <v>17.989999999999998</v>
      </c>
      <c r="M143" s="62">
        <v>15.77</v>
      </c>
      <c r="N143" s="62">
        <v>18.809999999999999</v>
      </c>
      <c r="O143" s="62">
        <v>18.690000000000001</v>
      </c>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row>
    <row r="144" spans="6:66" ht="15" x14ac:dyDescent="0.25">
      <c r="K144" s="61" t="s">
        <v>414</v>
      </c>
      <c r="L144" s="62">
        <v>18.11</v>
      </c>
      <c r="M144" s="62">
        <v>15.7</v>
      </c>
      <c r="N144" s="62">
        <v>19.2</v>
      </c>
      <c r="O144" s="62">
        <v>18.64</v>
      </c>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row>
    <row r="145" spans="11:66" ht="15" x14ac:dyDescent="0.25">
      <c r="K145" s="61" t="s">
        <v>415</v>
      </c>
      <c r="L145" s="62">
        <v>18.04</v>
      </c>
      <c r="M145" s="62">
        <v>15.91</v>
      </c>
      <c r="N145" s="62">
        <v>18.84</v>
      </c>
      <c r="O145" s="62">
        <v>18.52</v>
      </c>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row>
    <row r="146" spans="11:66" ht="15" x14ac:dyDescent="0.25">
      <c r="K146" s="61" t="s">
        <v>416</v>
      </c>
      <c r="L146" s="62">
        <v>18.03</v>
      </c>
      <c r="M146" s="62">
        <v>15.73</v>
      </c>
      <c r="N146" s="62">
        <v>18.2</v>
      </c>
      <c r="O146" s="62">
        <v>18.46</v>
      </c>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row>
    <row r="147" spans="11:66" ht="15" x14ac:dyDescent="0.25">
      <c r="K147" s="61" t="s">
        <v>417</v>
      </c>
      <c r="L147" s="62">
        <v>17.87</v>
      </c>
      <c r="M147" s="62">
        <v>15.77</v>
      </c>
      <c r="N147" s="62">
        <v>18.600000000000001</v>
      </c>
      <c r="O147" s="62">
        <v>18.309999999999999</v>
      </c>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row>
    <row r="148" spans="11:66" ht="15" x14ac:dyDescent="0.25">
      <c r="K148" s="61" t="s">
        <v>418</v>
      </c>
      <c r="L148" s="62">
        <v>17.89</v>
      </c>
      <c r="M148" s="62">
        <v>15.63</v>
      </c>
      <c r="N148" s="62">
        <v>18.47</v>
      </c>
      <c r="O148" s="62">
        <v>18.21</v>
      </c>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row>
    <row r="149" spans="11:66" ht="15" x14ac:dyDescent="0.25">
      <c r="K149" s="61" t="s">
        <v>419</v>
      </c>
      <c r="L149" s="62">
        <v>17.809999999999999</v>
      </c>
      <c r="M149" s="62">
        <v>15.46</v>
      </c>
      <c r="N149" s="62">
        <v>19.09</v>
      </c>
      <c r="O149" s="62">
        <v>18.23</v>
      </c>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row>
    <row r="150" spans="11:66" ht="15" x14ac:dyDescent="0.25">
      <c r="K150" s="61" t="s">
        <v>420</v>
      </c>
      <c r="L150" s="62">
        <v>17.899999999999999</v>
      </c>
      <c r="M150" s="62">
        <v>15.26</v>
      </c>
      <c r="N150" s="62">
        <v>19.309999999999999</v>
      </c>
      <c r="O150" s="62">
        <v>18.440000000000001</v>
      </c>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row>
    <row r="151" spans="11:66" ht="15" x14ac:dyDescent="0.25">
      <c r="K151" s="61" t="s">
        <v>421</v>
      </c>
      <c r="L151" s="62">
        <v>17.98</v>
      </c>
      <c r="M151" s="62">
        <v>15.27</v>
      </c>
      <c r="N151" s="62">
        <v>18.88</v>
      </c>
      <c r="O151" s="62">
        <v>18.62</v>
      </c>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row>
    <row r="152" spans="11:66" ht="15" x14ac:dyDescent="0.25">
      <c r="K152" s="61" t="s">
        <v>422</v>
      </c>
      <c r="L152" s="62">
        <v>18.260000000000002</v>
      </c>
      <c r="M152" s="62">
        <v>15.34</v>
      </c>
      <c r="N152" s="62">
        <v>20.05</v>
      </c>
      <c r="O152" s="62">
        <v>18.96</v>
      </c>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row>
    <row r="153" spans="11:66" ht="15" x14ac:dyDescent="0.25">
      <c r="K153" s="61" t="s">
        <v>423</v>
      </c>
      <c r="L153" s="62">
        <v>18.329999999999998</v>
      </c>
      <c r="M153" s="62">
        <v>15.74</v>
      </c>
      <c r="N153" s="62">
        <v>20.38</v>
      </c>
      <c r="O153" s="62">
        <v>19.079999999999998</v>
      </c>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row>
    <row r="154" spans="11:66" ht="15" x14ac:dyDescent="0.25">
      <c r="K154" s="61" t="s">
        <v>424</v>
      </c>
      <c r="L154" s="62">
        <v>18.46</v>
      </c>
      <c r="M154" s="62">
        <v>16.14</v>
      </c>
      <c r="N154" s="62">
        <v>20.03</v>
      </c>
      <c r="O154" s="62">
        <v>19.22</v>
      </c>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row>
    <row r="155" spans="11:66" ht="15" x14ac:dyDescent="0.25">
      <c r="K155" s="61" t="s">
        <v>425</v>
      </c>
      <c r="L155" s="62">
        <v>18.54</v>
      </c>
      <c r="M155" s="62">
        <v>16.32</v>
      </c>
      <c r="N155" s="62">
        <v>21.24</v>
      </c>
      <c r="O155" s="62">
        <v>19.350000000000001</v>
      </c>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row>
    <row r="156" spans="11:66" ht="15" x14ac:dyDescent="0.25">
      <c r="K156" s="61" t="s">
        <v>426</v>
      </c>
      <c r="L156" s="62">
        <v>18.68</v>
      </c>
      <c r="M156" s="62">
        <v>16.46</v>
      </c>
      <c r="N156" s="62">
        <v>22.73</v>
      </c>
      <c r="O156" s="62">
        <v>19.55</v>
      </c>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row>
    <row r="157" spans="11:66" ht="15" x14ac:dyDescent="0.25">
      <c r="K157" s="61" t="s">
        <v>427</v>
      </c>
      <c r="L157" s="62">
        <v>18.72</v>
      </c>
      <c r="M157" s="62">
        <v>16.489999999999998</v>
      </c>
      <c r="N157" s="62">
        <v>22.99</v>
      </c>
      <c r="O157" s="62">
        <v>19.54</v>
      </c>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row>
    <row r="158" spans="11:66" ht="15" x14ac:dyDescent="0.25">
      <c r="K158" s="61" t="s">
        <v>428</v>
      </c>
      <c r="L158" s="62">
        <v>18.829999999999998</v>
      </c>
      <c r="M158" s="62">
        <v>16.45</v>
      </c>
      <c r="N158" s="62">
        <v>23.73</v>
      </c>
      <c r="O158" s="62">
        <v>19.53</v>
      </c>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row>
    <row r="159" spans="11:66" ht="15" x14ac:dyDescent="0.25">
      <c r="K159" s="61" t="s">
        <v>429</v>
      </c>
      <c r="L159" s="62">
        <v>18.98</v>
      </c>
      <c r="M159" s="62">
        <v>16.45</v>
      </c>
      <c r="N159" s="62">
        <v>24.21</v>
      </c>
      <c r="O159" s="62">
        <v>19.420000000000002</v>
      </c>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row>
    <row r="160" spans="11:66" ht="15" x14ac:dyDescent="0.25">
      <c r="K160" s="61" t="s">
        <v>430</v>
      </c>
      <c r="L160" s="62">
        <v>19.02</v>
      </c>
      <c r="M160" s="62">
        <v>16.47</v>
      </c>
      <c r="N160" s="62">
        <v>23.18</v>
      </c>
      <c r="O160" s="62">
        <v>19.41</v>
      </c>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row>
    <row r="161" spans="11:66" ht="15" x14ac:dyDescent="0.25">
      <c r="K161" s="61" t="s">
        <v>431</v>
      </c>
      <c r="L161" s="62">
        <v>18.8</v>
      </c>
      <c r="M161" s="62">
        <v>16.66</v>
      </c>
      <c r="N161" s="62">
        <v>22.73</v>
      </c>
      <c r="O161" s="62">
        <v>19.32</v>
      </c>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row>
    <row r="162" spans="11:66" ht="15" x14ac:dyDescent="0.25">
      <c r="K162" s="61" t="s">
        <v>432</v>
      </c>
      <c r="L162" s="62">
        <v>18.829999999999998</v>
      </c>
      <c r="M162" s="62">
        <v>16.649999999999999</v>
      </c>
      <c r="N162" s="62">
        <v>22.93</v>
      </c>
      <c r="O162" s="62">
        <v>19.5</v>
      </c>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row>
    <row r="163" spans="11:66" ht="15" x14ac:dyDescent="0.25">
      <c r="K163" s="61" t="s">
        <v>433</v>
      </c>
      <c r="L163" s="62">
        <v>18.649999999999999</v>
      </c>
      <c r="M163" s="62">
        <v>16.5</v>
      </c>
      <c r="N163" s="62">
        <v>23.3</v>
      </c>
      <c r="O163" s="62">
        <v>19.68</v>
      </c>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row>
    <row r="164" spans="11:66" ht="15" x14ac:dyDescent="0.25">
      <c r="K164" s="61" t="s">
        <v>434</v>
      </c>
      <c r="L164" s="62">
        <v>18.670000000000002</v>
      </c>
      <c r="M164" s="62">
        <v>16.48</v>
      </c>
      <c r="N164" s="62">
        <v>23.03</v>
      </c>
      <c r="O164" s="62">
        <v>19.8</v>
      </c>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row>
    <row r="165" spans="11:66" ht="15" x14ac:dyDescent="0.25">
      <c r="K165" s="61" t="s">
        <v>435</v>
      </c>
      <c r="L165" s="62">
        <v>18.760000000000002</v>
      </c>
      <c r="M165" s="62">
        <v>16.600000000000001</v>
      </c>
      <c r="N165" s="62">
        <v>24.5</v>
      </c>
      <c r="O165" s="62">
        <v>19.72</v>
      </c>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row>
    <row r="166" spans="11:66" ht="15" x14ac:dyDescent="0.25">
      <c r="K166" s="61" t="s">
        <v>436</v>
      </c>
      <c r="L166" s="62">
        <v>18.899999999999999</v>
      </c>
      <c r="M166" s="62">
        <v>16.510000000000002</v>
      </c>
      <c r="N166" s="62">
        <v>23.5</v>
      </c>
      <c r="O166" s="62">
        <v>19.82</v>
      </c>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row>
    <row r="167" spans="11:66" ht="15" x14ac:dyDescent="0.25">
      <c r="K167" s="61" t="s">
        <v>437</v>
      </c>
      <c r="L167" s="62">
        <v>18.89</v>
      </c>
      <c r="M167" s="62">
        <v>16.53</v>
      </c>
      <c r="N167" s="62">
        <v>24.15</v>
      </c>
      <c r="O167" s="62">
        <v>19.88</v>
      </c>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row>
    <row r="168" spans="11:66" ht="15" x14ac:dyDescent="0.25">
      <c r="K168" s="61" t="s">
        <v>438</v>
      </c>
      <c r="L168" s="62">
        <v>19.07</v>
      </c>
      <c r="M168" s="62">
        <v>16.68</v>
      </c>
      <c r="N168" s="62">
        <v>24.24</v>
      </c>
      <c r="O168" s="62">
        <v>19.850000000000001</v>
      </c>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row>
    <row r="169" spans="11:66" ht="15" x14ac:dyDescent="0.25">
      <c r="K169" s="61" t="s">
        <v>439</v>
      </c>
      <c r="L169" s="62">
        <v>18.88</v>
      </c>
      <c r="M169" s="62">
        <v>16.55</v>
      </c>
      <c r="N169" s="62">
        <v>23.98</v>
      </c>
      <c r="O169" s="62">
        <v>19.82</v>
      </c>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row>
    <row r="170" spans="11:66" ht="15" x14ac:dyDescent="0.25">
      <c r="K170" s="61" t="s">
        <v>440</v>
      </c>
      <c r="L170" s="62">
        <v>18.760000000000002</v>
      </c>
      <c r="M170" s="62">
        <v>16.38</v>
      </c>
      <c r="N170" s="62">
        <v>23.13</v>
      </c>
      <c r="O170" s="62">
        <v>20</v>
      </c>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row>
    <row r="171" spans="11:66" ht="15" x14ac:dyDescent="0.25">
      <c r="K171" s="61" t="s">
        <v>441</v>
      </c>
      <c r="L171" s="62">
        <v>18.829999999999998</v>
      </c>
      <c r="M171" s="62">
        <v>16.45</v>
      </c>
      <c r="N171" s="62">
        <v>23.95</v>
      </c>
      <c r="O171" s="62">
        <v>19.899999999999999</v>
      </c>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row>
    <row r="172" spans="11:66" ht="15" x14ac:dyDescent="0.25">
      <c r="K172" s="61" t="s">
        <v>442</v>
      </c>
      <c r="L172" s="62">
        <v>18.78</v>
      </c>
      <c r="M172" s="62">
        <v>16.420000000000002</v>
      </c>
      <c r="N172" s="62">
        <v>22.75</v>
      </c>
      <c r="O172" s="62">
        <v>19.8</v>
      </c>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row>
    <row r="173" spans="11:66" ht="15" x14ac:dyDescent="0.25">
      <c r="K173" s="61" t="s">
        <v>443</v>
      </c>
      <c r="L173" s="62">
        <v>18.73</v>
      </c>
      <c r="M173" s="62">
        <v>16.57</v>
      </c>
      <c r="N173" s="62">
        <v>22.67</v>
      </c>
      <c r="O173" s="62">
        <v>19.84</v>
      </c>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row>
    <row r="174" spans="11:66" ht="15" x14ac:dyDescent="0.25">
      <c r="K174" s="61" t="s">
        <v>444</v>
      </c>
      <c r="L174" s="62">
        <v>18.899999999999999</v>
      </c>
      <c r="M174" s="62">
        <v>16.71</v>
      </c>
      <c r="N174" s="62">
        <v>22.69</v>
      </c>
      <c r="O174" s="62">
        <v>20.04</v>
      </c>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row>
    <row r="175" spans="11:66" ht="15" x14ac:dyDescent="0.25">
      <c r="K175" s="61" t="s">
        <v>445</v>
      </c>
      <c r="L175" s="62">
        <v>18.98</v>
      </c>
      <c r="M175" s="62">
        <v>16.89</v>
      </c>
      <c r="N175" s="62">
        <v>22.26</v>
      </c>
      <c r="O175" s="62">
        <v>20.059999999999999</v>
      </c>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row>
    <row r="176" spans="11:66" ht="15" x14ac:dyDescent="0.25">
      <c r="K176" s="61" t="s">
        <v>446</v>
      </c>
      <c r="L176" s="62">
        <v>19.100000000000001</v>
      </c>
      <c r="M176" s="62">
        <v>16.989999999999998</v>
      </c>
      <c r="N176" s="62">
        <v>21.9</v>
      </c>
      <c r="O176" s="62">
        <v>20.05</v>
      </c>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row>
    <row r="177" spans="11:66" ht="15" x14ac:dyDescent="0.25">
      <c r="K177" s="61" t="s">
        <v>447</v>
      </c>
      <c r="L177" s="62">
        <v>19.32</v>
      </c>
      <c r="M177" s="62">
        <v>16.95</v>
      </c>
      <c r="N177" s="62">
        <v>21.87</v>
      </c>
      <c r="O177" s="62">
        <v>20.239999999999998</v>
      </c>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row>
    <row r="178" spans="11:66" ht="15" x14ac:dyDescent="0.25">
      <c r="K178" s="61" t="s">
        <v>448</v>
      </c>
      <c r="L178" s="62">
        <v>19.600000000000001</v>
      </c>
      <c r="M178" s="62">
        <v>16.66</v>
      </c>
      <c r="N178" s="62">
        <v>22.09</v>
      </c>
      <c r="O178" s="62">
        <v>20.100000000000001</v>
      </c>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row>
    <row r="179" spans="11:66" ht="15" x14ac:dyDescent="0.25">
      <c r="K179" s="61" t="s">
        <v>449</v>
      </c>
      <c r="L179" s="62">
        <v>19.71</v>
      </c>
      <c r="M179" s="62">
        <v>16.73</v>
      </c>
      <c r="N179" s="62">
        <v>22.17</v>
      </c>
      <c r="O179" s="62">
        <v>20.11</v>
      </c>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row>
    <row r="180" spans="11:66" ht="15" x14ac:dyDescent="0.25">
      <c r="K180" s="61" t="s">
        <v>450</v>
      </c>
      <c r="L180" s="62">
        <v>19.89</v>
      </c>
      <c r="M180" s="62">
        <v>16.66</v>
      </c>
      <c r="N180" s="62">
        <v>22.63</v>
      </c>
      <c r="O180" s="62">
        <v>20.14</v>
      </c>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row>
    <row r="181" spans="11:66" ht="15" x14ac:dyDescent="0.25">
      <c r="K181" s="61" t="s">
        <v>451</v>
      </c>
      <c r="L181" s="62">
        <v>19.8</v>
      </c>
      <c r="M181" s="62">
        <v>16.48</v>
      </c>
      <c r="N181" s="62">
        <v>22.64</v>
      </c>
      <c r="O181" s="62">
        <v>20.100000000000001</v>
      </c>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row>
    <row r="182" spans="11:66" ht="15" x14ac:dyDescent="0.25">
      <c r="K182" s="61" t="s">
        <v>452</v>
      </c>
      <c r="L182" s="62">
        <v>19.95</v>
      </c>
      <c r="M182" s="62">
        <v>16.46</v>
      </c>
      <c r="N182" s="62">
        <v>23.06</v>
      </c>
      <c r="O182" s="62">
        <v>20.14</v>
      </c>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row>
    <row r="183" spans="11:66" ht="15" x14ac:dyDescent="0.25">
      <c r="K183" s="61" t="s">
        <v>453</v>
      </c>
      <c r="L183" s="62">
        <v>19.88</v>
      </c>
      <c r="M183" s="62">
        <v>16.54</v>
      </c>
      <c r="N183" s="62">
        <v>23.39</v>
      </c>
      <c r="O183" s="62">
        <v>20.34</v>
      </c>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row>
    <row r="184" spans="11:66" ht="15" x14ac:dyDescent="0.25">
      <c r="K184" s="61" t="s">
        <v>454</v>
      </c>
      <c r="L184" s="62">
        <v>19.95</v>
      </c>
      <c r="M184" s="62">
        <v>16.54</v>
      </c>
      <c r="N184" s="62">
        <v>23.95</v>
      </c>
      <c r="O184" s="62">
        <v>20.399999999999999</v>
      </c>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row>
    <row r="185" spans="11:66" ht="15" x14ac:dyDescent="0.25">
      <c r="K185" s="61" t="s">
        <v>455</v>
      </c>
      <c r="L185" s="62">
        <v>20</v>
      </c>
      <c r="M185" s="62">
        <v>16.63</v>
      </c>
      <c r="N185" s="62">
        <v>23.92</v>
      </c>
      <c r="O185" s="62">
        <v>20.350000000000001</v>
      </c>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row>
    <row r="186" spans="11:66" ht="15" x14ac:dyDescent="0.25">
      <c r="K186" s="61" t="s">
        <v>456</v>
      </c>
      <c r="L186" s="62">
        <v>20.29</v>
      </c>
      <c r="M186" s="62">
        <v>16.79</v>
      </c>
      <c r="N186" s="62">
        <v>24.54</v>
      </c>
      <c r="O186" s="62">
        <v>20.56</v>
      </c>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row>
    <row r="187" spans="11:66" ht="15" x14ac:dyDescent="0.25">
      <c r="K187" s="61" t="s">
        <v>457</v>
      </c>
      <c r="L187" s="62">
        <v>20.28</v>
      </c>
      <c r="M187" s="62">
        <v>17.010000000000002</v>
      </c>
      <c r="N187" s="62">
        <v>24.56</v>
      </c>
      <c r="O187" s="62">
        <v>20.440000000000001</v>
      </c>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row>
    <row r="188" spans="11:66" ht="15" x14ac:dyDescent="0.25">
      <c r="K188" s="61" t="s">
        <v>458</v>
      </c>
      <c r="L188" s="62">
        <v>20.66</v>
      </c>
      <c r="M188" s="62">
        <v>17.149999999999999</v>
      </c>
      <c r="N188" s="62">
        <v>24.3</v>
      </c>
      <c r="O188" s="62">
        <v>20.309999999999999</v>
      </c>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row>
    <row r="189" spans="11:66" ht="15" x14ac:dyDescent="0.25">
      <c r="K189" s="61" t="s">
        <v>459</v>
      </c>
      <c r="L189" s="62">
        <v>20.7</v>
      </c>
      <c r="M189" s="62">
        <v>17.239999999999998</v>
      </c>
      <c r="N189" s="62">
        <v>24.3</v>
      </c>
      <c r="O189" s="62">
        <v>20.28</v>
      </c>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row>
    <row r="190" spans="11:66" ht="15" x14ac:dyDescent="0.25">
      <c r="K190" s="61" t="s">
        <v>460</v>
      </c>
      <c r="L190" s="62">
        <v>20.88</v>
      </c>
      <c r="M190" s="62">
        <v>17.21</v>
      </c>
      <c r="N190" s="62">
        <v>24.66</v>
      </c>
      <c r="O190" s="62">
        <v>20.190000000000001</v>
      </c>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row>
    <row r="191" spans="11:66" ht="15" x14ac:dyDescent="0.25">
      <c r="K191" s="61" t="s">
        <v>461</v>
      </c>
      <c r="L191" s="62">
        <v>21.01</v>
      </c>
      <c r="M191" s="62">
        <v>17.329999999999998</v>
      </c>
      <c r="N191" s="62">
        <v>24.94</v>
      </c>
      <c r="O191" s="62">
        <v>20.239999999999998</v>
      </c>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row>
    <row r="192" spans="11:66" ht="15" x14ac:dyDescent="0.25">
      <c r="K192" s="61" t="s">
        <v>462</v>
      </c>
      <c r="L192" s="62">
        <v>21.1</v>
      </c>
      <c r="M192" s="62">
        <v>17.420000000000002</v>
      </c>
      <c r="N192" s="62">
        <v>25.1</v>
      </c>
      <c r="O192" s="62">
        <v>20.21</v>
      </c>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row>
    <row r="193" spans="11:66" ht="15" x14ac:dyDescent="0.25">
      <c r="K193" s="61" t="s">
        <v>463</v>
      </c>
      <c r="L193" s="62">
        <v>21.18</v>
      </c>
      <c r="M193" s="62">
        <v>17.53</v>
      </c>
      <c r="N193" s="62">
        <v>24.71</v>
      </c>
      <c r="O193" s="62">
        <v>20.309999999999999</v>
      </c>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row>
    <row r="194" spans="11:66" ht="15" x14ac:dyDescent="0.25">
      <c r="K194" s="61" t="s">
        <v>464</v>
      </c>
      <c r="L194" s="62">
        <v>21.46</v>
      </c>
      <c r="M194" s="62">
        <v>17.68</v>
      </c>
      <c r="N194" s="62">
        <v>24.5</v>
      </c>
      <c r="O194" s="62">
        <v>20.55</v>
      </c>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row>
    <row r="195" spans="11:66" ht="15" x14ac:dyDescent="0.25">
      <c r="K195" s="61" t="s">
        <v>465</v>
      </c>
      <c r="L195" s="62">
        <v>21.64</v>
      </c>
      <c r="M195" s="62">
        <v>17.940000000000001</v>
      </c>
      <c r="N195" s="62">
        <v>24.51</v>
      </c>
      <c r="O195" s="62">
        <v>20.95</v>
      </c>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row>
    <row r="196" spans="11:66" ht="15" x14ac:dyDescent="0.25">
      <c r="K196" s="61" t="s">
        <v>466</v>
      </c>
      <c r="L196" s="62">
        <v>21.73</v>
      </c>
      <c r="M196" s="62">
        <v>18.13</v>
      </c>
      <c r="N196" s="62">
        <v>24.02</v>
      </c>
      <c r="O196" s="62">
        <v>21.13</v>
      </c>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row>
    <row r="197" spans="11:66" ht="15" x14ac:dyDescent="0.25">
      <c r="K197" s="61" t="s">
        <v>467</v>
      </c>
      <c r="L197" s="62">
        <v>21.84</v>
      </c>
      <c r="M197" s="62">
        <v>18.37</v>
      </c>
      <c r="N197" s="62">
        <v>24.07</v>
      </c>
      <c r="O197" s="62">
        <v>21.33</v>
      </c>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row>
    <row r="198" spans="11:66" ht="15" x14ac:dyDescent="0.25">
      <c r="K198" s="61" t="s">
        <v>468</v>
      </c>
      <c r="L198" s="62">
        <v>21.5</v>
      </c>
      <c r="M198" s="62">
        <v>18.5</v>
      </c>
      <c r="N198" s="62">
        <v>24.76</v>
      </c>
      <c r="O198" s="62">
        <v>21.26</v>
      </c>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row>
    <row r="199" spans="11:66" ht="15" x14ac:dyDescent="0.25">
      <c r="K199" s="61" t="s">
        <v>469</v>
      </c>
      <c r="L199" s="62">
        <v>21.3</v>
      </c>
      <c r="M199" s="62">
        <v>18.579999999999998</v>
      </c>
      <c r="N199" s="62">
        <v>24.4</v>
      </c>
      <c r="O199" s="62">
        <v>21</v>
      </c>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row>
    <row r="200" spans="11:66" ht="15" x14ac:dyDescent="0.25">
      <c r="K200" s="61" t="s">
        <v>470</v>
      </c>
      <c r="L200" s="62">
        <v>21.3</v>
      </c>
      <c r="M200" s="62">
        <v>18.829999999999998</v>
      </c>
      <c r="N200" s="62">
        <v>23.98</v>
      </c>
      <c r="O200" s="62">
        <v>21.12</v>
      </c>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row>
    <row r="201" spans="11:66" ht="15" x14ac:dyDescent="0.25">
      <c r="K201" s="61" t="s">
        <v>471</v>
      </c>
      <c r="L201" s="62">
        <v>21.29</v>
      </c>
      <c r="M201" s="62">
        <v>19.079999999999998</v>
      </c>
      <c r="N201" s="62">
        <v>23.85</v>
      </c>
      <c r="O201" s="62">
        <v>20.91</v>
      </c>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row>
    <row r="202" spans="11:66" ht="15" x14ac:dyDescent="0.25">
      <c r="K202" s="61" t="s">
        <v>472</v>
      </c>
      <c r="L202" s="62">
        <v>21.23</v>
      </c>
      <c r="M202" s="62">
        <v>18.899999999999999</v>
      </c>
      <c r="N202" s="62">
        <v>24.59</v>
      </c>
      <c r="O202" s="62">
        <v>20.87</v>
      </c>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row>
    <row r="203" spans="11:66" ht="15" x14ac:dyDescent="0.25">
      <c r="K203" s="61" t="s">
        <v>473</v>
      </c>
      <c r="L203" s="62">
        <v>21.49</v>
      </c>
      <c r="M203" s="62">
        <v>18.989999999999998</v>
      </c>
      <c r="N203" s="62">
        <v>23.78</v>
      </c>
      <c r="O203" s="62">
        <v>20.74</v>
      </c>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row>
    <row r="204" spans="11:66" ht="15" x14ac:dyDescent="0.25">
      <c r="K204" s="61" t="s">
        <v>474</v>
      </c>
      <c r="L204" s="62">
        <v>21.5</v>
      </c>
      <c r="M204" s="62">
        <v>19.149999999999999</v>
      </c>
      <c r="N204" s="62">
        <v>24.97</v>
      </c>
      <c r="O204" s="62">
        <v>21.06</v>
      </c>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row>
    <row r="205" spans="11:66" ht="15" x14ac:dyDescent="0.25">
      <c r="K205" s="61" t="s">
        <v>475</v>
      </c>
      <c r="L205" s="62">
        <v>21.79</v>
      </c>
      <c r="M205" s="62">
        <v>19.03</v>
      </c>
      <c r="N205" s="62">
        <v>25.43</v>
      </c>
      <c r="O205" s="62">
        <v>21.05</v>
      </c>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row>
    <row r="206" spans="11:66" ht="15" x14ac:dyDescent="0.25">
      <c r="K206" s="61" t="s">
        <v>476</v>
      </c>
      <c r="L206" s="62">
        <v>21.75</v>
      </c>
      <c r="M206" s="62">
        <v>18.850000000000001</v>
      </c>
      <c r="N206" s="62">
        <v>26.25</v>
      </c>
      <c r="O206" s="62">
        <v>21.11</v>
      </c>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row>
    <row r="207" spans="11:66" ht="15" x14ac:dyDescent="0.25">
      <c r="K207" s="61" t="s">
        <v>477</v>
      </c>
      <c r="L207" s="62">
        <v>22.04</v>
      </c>
      <c r="M207" s="62">
        <v>18.89</v>
      </c>
      <c r="N207" s="62">
        <v>25.93</v>
      </c>
      <c r="O207" s="62">
        <v>21.22</v>
      </c>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row>
    <row r="208" spans="11:66" ht="15" x14ac:dyDescent="0.25">
      <c r="K208" s="61" t="s">
        <v>478</v>
      </c>
      <c r="L208" s="62">
        <v>21.99</v>
      </c>
      <c r="M208" s="62">
        <v>18.82</v>
      </c>
      <c r="N208" s="62">
        <v>25.05</v>
      </c>
      <c r="O208" s="62">
        <v>21.91</v>
      </c>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row>
    <row r="209" spans="11:66" ht="15" x14ac:dyDescent="0.25">
      <c r="K209" s="61" t="s">
        <v>479</v>
      </c>
      <c r="L209" s="62">
        <v>22.53</v>
      </c>
      <c r="M209" s="62">
        <v>18.78</v>
      </c>
      <c r="N209" s="62">
        <v>23.99</v>
      </c>
      <c r="O209" s="62">
        <v>21.97</v>
      </c>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row>
    <row r="210" spans="11:66" ht="15" x14ac:dyDescent="0.25">
      <c r="K210" s="61" t="s">
        <v>480</v>
      </c>
      <c r="L210" s="62">
        <v>22.42</v>
      </c>
      <c r="M210" s="62">
        <v>18.899999999999999</v>
      </c>
      <c r="N210" s="62">
        <v>24.74</v>
      </c>
      <c r="O210" s="62">
        <v>22.26</v>
      </c>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row>
    <row r="211" spans="11:66" ht="15" x14ac:dyDescent="0.25">
      <c r="K211" s="61" t="s">
        <v>481</v>
      </c>
      <c r="L211" s="62">
        <v>22.76</v>
      </c>
      <c r="M211" s="62">
        <v>18.920000000000002</v>
      </c>
      <c r="N211" s="62">
        <v>25.28</v>
      </c>
      <c r="O211" s="62">
        <v>22.74</v>
      </c>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row>
    <row r="212" spans="11:66" ht="15" x14ac:dyDescent="0.25">
      <c r="K212" s="61" t="s">
        <v>482</v>
      </c>
      <c r="L212" s="62">
        <v>22.78</v>
      </c>
      <c r="M212" s="62">
        <v>19.04</v>
      </c>
      <c r="N212" s="62">
        <v>25.04</v>
      </c>
      <c r="O212" s="62">
        <v>23.31</v>
      </c>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row>
    <row r="213" spans="11:66" ht="15" x14ac:dyDescent="0.25">
      <c r="K213" s="61" t="s">
        <v>483</v>
      </c>
      <c r="L213" s="62">
        <v>23.25</v>
      </c>
      <c r="M213" s="62">
        <v>19.09</v>
      </c>
      <c r="N213" s="62">
        <v>24.57</v>
      </c>
      <c r="O213" s="62">
        <v>23.63</v>
      </c>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row>
    <row r="214" spans="11:66" ht="15" x14ac:dyDescent="0.25">
      <c r="K214" s="61" t="s">
        <v>484</v>
      </c>
      <c r="L214" s="62">
        <v>23.23</v>
      </c>
      <c r="M214" s="62">
        <v>19.489999999999998</v>
      </c>
      <c r="N214" s="62">
        <v>24.27</v>
      </c>
      <c r="O214" s="62">
        <v>24.1</v>
      </c>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row>
    <row r="215" spans="11:66" ht="15" x14ac:dyDescent="0.25">
      <c r="K215" s="61" t="s">
        <v>485</v>
      </c>
      <c r="L215" s="62">
        <v>23.48</v>
      </c>
      <c r="M215" s="62">
        <v>19.670000000000002</v>
      </c>
      <c r="N215" s="62">
        <v>23.59</v>
      </c>
      <c r="O215" s="62">
        <v>24.54</v>
      </c>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row>
    <row r="216" spans="11:66" ht="15" x14ac:dyDescent="0.25">
      <c r="K216" s="61" t="s">
        <v>486</v>
      </c>
      <c r="L216" s="62">
        <v>23.64</v>
      </c>
      <c r="M216" s="62">
        <v>19.940000000000001</v>
      </c>
      <c r="N216" s="62">
        <v>23.32</v>
      </c>
      <c r="O216" s="62">
        <v>24.7</v>
      </c>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row>
    <row r="217" spans="11:66" ht="15" x14ac:dyDescent="0.25">
      <c r="K217" s="61" t="s">
        <v>487</v>
      </c>
      <c r="L217" s="62">
        <v>23.64</v>
      </c>
      <c r="M217" s="62">
        <v>20.51</v>
      </c>
      <c r="N217" s="62">
        <v>26.24</v>
      </c>
      <c r="O217" s="62">
        <v>25.14</v>
      </c>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row>
    <row r="218" spans="11:66" ht="15" x14ac:dyDescent="0.25">
      <c r="K218" s="61" t="s">
        <v>488</v>
      </c>
      <c r="L218" s="62">
        <v>23.52</v>
      </c>
      <c r="M218" s="62">
        <v>20.73</v>
      </c>
      <c r="N218" s="62">
        <v>26.12</v>
      </c>
      <c r="O218" s="62">
        <v>25.35</v>
      </c>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row>
    <row r="219" spans="11:66" ht="15" x14ac:dyDescent="0.25">
      <c r="K219" s="61" t="s">
        <v>489</v>
      </c>
      <c r="L219" s="62">
        <v>23.56</v>
      </c>
      <c r="M219" s="62">
        <v>20.73</v>
      </c>
      <c r="N219" s="62">
        <v>27.75</v>
      </c>
      <c r="O219" s="62">
        <v>25.44</v>
      </c>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row>
    <row r="220" spans="11:66" ht="15" x14ac:dyDescent="0.25">
      <c r="K220" s="61" t="s">
        <v>490</v>
      </c>
      <c r="L220" s="62">
        <v>23.64</v>
      </c>
      <c r="M220" s="62">
        <v>20.83</v>
      </c>
      <c r="N220" s="62">
        <v>27.98</v>
      </c>
      <c r="O220" s="62">
        <v>25.39</v>
      </c>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row>
    <row r="221" spans="11:66" ht="15" x14ac:dyDescent="0.25">
      <c r="K221" s="61" t="s">
        <v>491</v>
      </c>
      <c r="L221" s="62">
        <v>23.84</v>
      </c>
      <c r="M221" s="62">
        <v>20.55</v>
      </c>
      <c r="N221" s="62">
        <v>28.5</v>
      </c>
      <c r="O221" s="62">
        <v>25.29</v>
      </c>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row>
    <row r="222" spans="11:66" ht="15" x14ac:dyDescent="0.25">
      <c r="K222" s="61" t="s">
        <v>492</v>
      </c>
      <c r="L222" s="62">
        <v>23.82</v>
      </c>
      <c r="M222" s="62">
        <v>20.350000000000001</v>
      </c>
      <c r="N222" s="62">
        <v>27.34</v>
      </c>
      <c r="O222" s="62">
        <v>25.04</v>
      </c>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row>
    <row r="223" spans="11:66" ht="15" x14ac:dyDescent="0.25">
      <c r="K223" s="61" t="s">
        <v>493</v>
      </c>
      <c r="L223" s="62">
        <v>23.86</v>
      </c>
      <c r="M223" s="62">
        <v>20.32</v>
      </c>
      <c r="N223" s="62">
        <v>28.38</v>
      </c>
      <c r="O223" s="62">
        <v>24.91</v>
      </c>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row>
    <row r="224" spans="11:66" ht="15" x14ac:dyDescent="0.25">
      <c r="K224" s="61" t="s">
        <v>494</v>
      </c>
      <c r="L224" s="62">
        <v>23.94</v>
      </c>
      <c r="M224" s="62">
        <v>20.079999999999998</v>
      </c>
      <c r="N224" s="62">
        <v>27.93</v>
      </c>
      <c r="O224" s="62">
        <v>24.72</v>
      </c>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row>
    <row r="225" spans="11:66" ht="15" x14ac:dyDescent="0.25">
      <c r="K225" s="61" t="s">
        <v>495</v>
      </c>
      <c r="L225" s="62">
        <v>24.02</v>
      </c>
      <c r="M225" s="62">
        <v>19.809999999999999</v>
      </c>
      <c r="N225" s="62">
        <v>27.83</v>
      </c>
      <c r="O225" s="62">
        <v>24.6</v>
      </c>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row>
    <row r="226" spans="11:66" ht="15" x14ac:dyDescent="0.25">
      <c r="K226" s="61" t="s">
        <v>496</v>
      </c>
      <c r="L226" s="62">
        <v>23.96</v>
      </c>
      <c r="M226" s="62">
        <v>19.86</v>
      </c>
      <c r="N226" s="62">
        <v>26.46</v>
      </c>
      <c r="O226" s="62">
        <v>24.52</v>
      </c>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row>
    <row r="227" spans="11:66" ht="15" x14ac:dyDescent="0.25">
      <c r="K227" s="61" t="s">
        <v>497</v>
      </c>
      <c r="L227" s="62">
        <v>23.92</v>
      </c>
      <c r="M227" s="62">
        <v>19.760000000000002</v>
      </c>
      <c r="N227" s="62">
        <v>27.1</v>
      </c>
      <c r="O227" s="62">
        <v>24.3</v>
      </c>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row>
    <row r="228" spans="11:66" ht="15" x14ac:dyDescent="0.25">
      <c r="K228" s="61" t="s">
        <v>498</v>
      </c>
      <c r="L228" s="62">
        <v>23.84</v>
      </c>
      <c r="M228" s="62">
        <v>19.75</v>
      </c>
      <c r="N228" s="62">
        <v>28.21</v>
      </c>
      <c r="O228" s="62">
        <v>24</v>
      </c>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row>
    <row r="229" spans="11:66" ht="15" x14ac:dyDescent="0.25">
      <c r="K229" s="61" t="s">
        <v>499</v>
      </c>
      <c r="L229" s="62">
        <v>23.63</v>
      </c>
      <c r="M229" s="62">
        <v>19.829999999999998</v>
      </c>
      <c r="N229" s="62">
        <v>26.51</v>
      </c>
      <c r="O229" s="62">
        <v>23.83</v>
      </c>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row>
    <row r="230" spans="11:66" ht="15" x14ac:dyDescent="0.25">
      <c r="K230" s="61" t="s">
        <v>500</v>
      </c>
      <c r="L230" s="62">
        <v>23.49</v>
      </c>
      <c r="M230" s="62">
        <v>19.89</v>
      </c>
      <c r="N230" s="62">
        <v>26.59</v>
      </c>
      <c r="O230" s="62">
        <v>23.64</v>
      </c>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row>
    <row r="231" spans="11:66" ht="15" x14ac:dyDescent="0.25">
      <c r="K231" s="61" t="s">
        <v>501</v>
      </c>
      <c r="L231" s="62">
        <v>23.35</v>
      </c>
      <c r="M231" s="62">
        <v>19.88</v>
      </c>
      <c r="N231" s="62">
        <v>27.52</v>
      </c>
      <c r="O231" s="62">
        <v>23.42</v>
      </c>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row>
    <row r="232" spans="11:66" ht="15" x14ac:dyDescent="0.25">
      <c r="K232" s="61" t="s">
        <v>502</v>
      </c>
      <c r="L232" s="62">
        <v>23.18</v>
      </c>
      <c r="M232" s="62">
        <v>19.96</v>
      </c>
      <c r="N232" s="62">
        <v>27.46</v>
      </c>
      <c r="O232" s="62">
        <v>23.47</v>
      </c>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row>
    <row r="233" spans="11:66" ht="15" x14ac:dyDescent="0.25">
      <c r="K233" s="61" t="s">
        <v>503</v>
      </c>
      <c r="L233" s="62">
        <v>23</v>
      </c>
      <c r="M233" s="62">
        <v>20</v>
      </c>
      <c r="N233" s="62">
        <v>27.32</v>
      </c>
      <c r="O233" s="62">
        <v>23.81</v>
      </c>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row>
    <row r="234" spans="11:66" ht="15" x14ac:dyDescent="0.25">
      <c r="K234" s="61" t="s">
        <v>504</v>
      </c>
      <c r="L234" s="62">
        <v>22.93</v>
      </c>
      <c r="M234" s="62">
        <v>20.04</v>
      </c>
      <c r="N234" s="62">
        <v>29.73</v>
      </c>
      <c r="O234" s="62">
        <v>24.05</v>
      </c>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row>
    <row r="235" spans="11:66" ht="15" x14ac:dyDescent="0.25">
      <c r="K235" s="61" t="s">
        <v>505</v>
      </c>
      <c r="L235" s="62">
        <v>22.91</v>
      </c>
      <c r="M235" s="62">
        <v>20.07</v>
      </c>
      <c r="N235" s="62">
        <v>28.15</v>
      </c>
      <c r="O235" s="62">
        <v>24.19</v>
      </c>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row>
    <row r="236" spans="11:66" ht="15" x14ac:dyDescent="0.25">
      <c r="K236" s="61" t="s">
        <v>506</v>
      </c>
      <c r="L236" s="62">
        <v>22.88</v>
      </c>
      <c r="M236" s="62">
        <v>20.05</v>
      </c>
      <c r="N236" s="62">
        <v>28.35</v>
      </c>
      <c r="O236" s="62">
        <v>24.24</v>
      </c>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row>
    <row r="237" spans="11:66" ht="15" x14ac:dyDescent="0.25">
      <c r="K237" s="61" t="s">
        <v>507</v>
      </c>
      <c r="L237" s="62">
        <v>22.92</v>
      </c>
      <c r="M237" s="62">
        <v>20.190000000000001</v>
      </c>
      <c r="N237" s="62">
        <v>27.85</v>
      </c>
      <c r="O237" s="62">
        <v>24.32</v>
      </c>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row>
    <row r="238" spans="11:66" ht="15" x14ac:dyDescent="0.25">
      <c r="K238" s="61" t="s">
        <v>508</v>
      </c>
      <c r="L238" s="62">
        <v>22.86</v>
      </c>
      <c r="M238" s="62">
        <v>20.07</v>
      </c>
      <c r="N238" s="62">
        <v>27.67</v>
      </c>
      <c r="O238" s="62">
        <v>23.99</v>
      </c>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row>
  </sheetData>
  <pageMargins left="0.511811024" right="0.511811024" top="0.78740157499999996" bottom="0.78740157499999996" header="0.31496062000000002" footer="0.31496062000000002"/>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8A9FB-E6A3-4483-B9BA-91178BCC951E}">
  <sheetPr codeName="Planilha15"/>
  <dimension ref="A1:N399"/>
  <sheetViews>
    <sheetView workbookViewId="0">
      <selection activeCell="D5" sqref="D5"/>
    </sheetView>
  </sheetViews>
  <sheetFormatPr defaultRowHeight="12.75" x14ac:dyDescent="0.2"/>
  <cols>
    <col min="1" max="1" width="37.28515625" style="1" customWidth="1"/>
    <col min="2" max="2" width="54.140625" style="1" bestFit="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520</v>
      </c>
      <c r="G1" s="3" t="s">
        <v>59</v>
      </c>
      <c r="H1" s="85" t="str">
        <f>"Interest rate for "&amp;$B$3&amp;""&amp;" of "&amp;$B$8</f>
        <v>Interest rate for CRÉDITO PESSOAL CONSIGNADO PÚBLICO - PRÉ-FIXADO of BCO BRADESCO S.A.</v>
      </c>
      <c r="I1" s="86"/>
      <c r="J1" s="86"/>
      <c r="K1" s="86"/>
      <c r="L1" s="86"/>
      <c r="M1" s="86"/>
      <c r="N1" s="86"/>
    </row>
    <row r="3" spans="1:14" x14ac:dyDescent="0.2">
      <c r="A3" s="3" t="s">
        <v>276</v>
      </c>
      <c r="B3" s="18" t="s">
        <v>515</v>
      </c>
      <c r="D3" s="1" t="s">
        <v>518</v>
      </c>
      <c r="E3" s="63" t="s">
        <v>519</v>
      </c>
    </row>
    <row r="4" spans="1:14" x14ac:dyDescent="0.2">
      <c r="A4" s="3" t="s">
        <v>513</v>
      </c>
      <c r="B4" s="18" t="s">
        <v>514</v>
      </c>
      <c r="D4" s="17" t="str" cm="1">
        <f t="array" ref="D4">xlFOCUS_SCR_TaxasDeJurosDiario(B3,B4,B5,B6,B7,B8,D3:E3)</f>
        <v># Barra de fórmulas aberta</v>
      </c>
    </row>
    <row r="5" spans="1:14" x14ac:dyDescent="0.2">
      <c r="A5" s="3" t="s">
        <v>63</v>
      </c>
      <c r="B5" s="14">
        <v>40179</v>
      </c>
      <c r="D5" s="17"/>
    </row>
    <row r="6" spans="1:14" x14ac:dyDescent="0.2">
      <c r="A6" s="3" t="s">
        <v>64</v>
      </c>
      <c r="B6" s="14">
        <v>44561</v>
      </c>
      <c r="D6" s="17"/>
    </row>
    <row r="7" spans="1:14" x14ac:dyDescent="0.2">
      <c r="A7" s="3" t="s">
        <v>516</v>
      </c>
      <c r="B7" s="18"/>
      <c r="D7" s="17"/>
    </row>
    <row r="8" spans="1:14" x14ac:dyDescent="0.2">
      <c r="A8" s="3" t="s">
        <v>517</v>
      </c>
      <c r="B8" s="18" t="s">
        <v>176</v>
      </c>
      <c r="D8" s="17"/>
    </row>
    <row r="9" spans="1:14" x14ac:dyDescent="0.2">
      <c r="D9" s="17"/>
    </row>
    <row r="10" spans="1:14" x14ac:dyDescent="0.2">
      <c r="D10" s="17"/>
    </row>
    <row r="11" spans="1:14" x14ac:dyDescent="0.2">
      <c r="D11" s="17"/>
    </row>
    <row r="12" spans="1:14" x14ac:dyDescent="0.2">
      <c r="D12" s="17"/>
    </row>
    <row r="13" spans="1:14" x14ac:dyDescent="0.2">
      <c r="D13" s="17"/>
    </row>
    <row r="14" spans="1:14" x14ac:dyDescent="0.2">
      <c r="D14" s="17"/>
    </row>
    <row r="15" spans="1:14" x14ac:dyDescent="0.2">
      <c r="D15" s="17"/>
    </row>
    <row r="16" spans="1:14"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10" x14ac:dyDescent="0.2">
      <c r="D33" s="17"/>
    </row>
    <row r="34" spans="4:10" x14ac:dyDescent="0.2">
      <c r="D34" s="17"/>
    </row>
    <row r="35" spans="4:10" x14ac:dyDescent="0.2">
      <c r="D35" s="17"/>
    </row>
    <row r="36" spans="4:10" x14ac:dyDescent="0.2">
      <c r="D36" s="17"/>
    </row>
    <row r="37" spans="4:10" x14ac:dyDescent="0.2">
      <c r="D37" s="17"/>
    </row>
    <row r="38" spans="4:10" x14ac:dyDescent="0.2">
      <c r="D38" s="17"/>
    </row>
    <row r="39" spans="4:10" x14ac:dyDescent="0.2">
      <c r="D39" s="17"/>
      <c r="J39" s="17"/>
    </row>
    <row r="40" spans="4:10" x14ac:dyDescent="0.2">
      <c r="D40" s="17"/>
    </row>
    <row r="41" spans="4:10" x14ac:dyDescent="0.2">
      <c r="D41" s="17"/>
    </row>
    <row r="42" spans="4:10" x14ac:dyDescent="0.2">
      <c r="D42" s="17"/>
    </row>
    <row r="43" spans="4:10" x14ac:dyDescent="0.2">
      <c r="D43" s="17"/>
    </row>
    <row r="44" spans="4:10" x14ac:dyDescent="0.2">
      <c r="D44" s="17"/>
    </row>
    <row r="45" spans="4:10" x14ac:dyDescent="0.2">
      <c r="D45" s="17"/>
    </row>
    <row r="46" spans="4:10" x14ac:dyDescent="0.2">
      <c r="D46" s="17"/>
    </row>
    <row r="47" spans="4:10" x14ac:dyDescent="0.2">
      <c r="D47" s="17"/>
    </row>
    <row r="48" spans="4:10"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3A5C-70AD-4E9A-A9E1-5FBBF04D1BE9}">
  <sheetPr codeName="Planilha19"/>
  <dimension ref="A1:N399"/>
  <sheetViews>
    <sheetView workbookViewId="0">
      <selection activeCell="D5" sqref="D5"/>
    </sheetView>
  </sheetViews>
  <sheetFormatPr defaultRowHeight="12.75" x14ac:dyDescent="0.2"/>
  <cols>
    <col min="1" max="1" width="37.28515625" style="1" customWidth="1"/>
    <col min="2" max="2" width="64.7109375" style="1" customWidth="1"/>
    <col min="3" max="3" width="2.42578125" style="1" customWidth="1"/>
    <col min="4" max="4" width="12" style="1" customWidth="1"/>
    <col min="5" max="5" width="16.140625" style="1" customWidth="1"/>
    <col min="6" max="6" width="9.140625" style="1"/>
    <col min="7" max="7" width="15.7109375" style="1" bestFit="1" customWidth="1"/>
    <col min="8" max="16384" width="9.140625" style="1"/>
  </cols>
  <sheetData>
    <row r="1" spans="1:14" ht="15.75" x14ac:dyDescent="0.25">
      <c r="A1" s="9" t="s">
        <v>584</v>
      </c>
      <c r="G1" s="3" t="s">
        <v>59</v>
      </c>
      <c r="H1" s="85" t="str">
        <f>"Interest rate for "&amp;$B$3&amp;""&amp;" of "&amp;$B$7</f>
        <v>Interest rate for FINANCIAMENTO IMOBILIÁRIO COM TAXAS REGULADAS - PRÉ-FIXADO of CAIXA ECONOMICA FEDERAL</v>
      </c>
      <c r="I1" s="86"/>
      <c r="J1" s="86"/>
      <c r="K1" s="86"/>
      <c r="L1" s="86"/>
      <c r="M1" s="86"/>
      <c r="N1" s="86"/>
    </row>
    <row r="3" spans="1:14" ht="25.5" x14ac:dyDescent="0.2">
      <c r="A3" s="3" t="s">
        <v>276</v>
      </c>
      <c r="B3" s="82" t="s">
        <v>583</v>
      </c>
      <c r="D3" s="1" t="s">
        <v>581</v>
      </c>
      <c r="E3" s="63" t="s">
        <v>519</v>
      </c>
    </row>
    <row r="4" spans="1:14" x14ac:dyDescent="0.2">
      <c r="A4" s="3" t="s">
        <v>63</v>
      </c>
      <c r="B4" s="14"/>
      <c r="D4" s="17" t="str" cm="1">
        <f t="array" ref="D4">xlFOCUS_SCR_TaxasDeJurosMensal(B3,B4,B5,B6,B7,D3:E3)</f>
        <v># Barra de fórmulas aberta</v>
      </c>
    </row>
    <row r="5" spans="1:14" x14ac:dyDescent="0.2">
      <c r="A5" s="3" t="s">
        <v>64</v>
      </c>
      <c r="B5" s="14"/>
      <c r="D5" s="17"/>
    </row>
    <row r="6" spans="1:14" x14ac:dyDescent="0.2">
      <c r="A6" s="3" t="s">
        <v>516</v>
      </c>
      <c r="B6" s="18"/>
      <c r="D6" s="17"/>
    </row>
    <row r="7" spans="1:14" x14ac:dyDescent="0.2">
      <c r="A7" s="3" t="s">
        <v>517</v>
      </c>
      <c r="B7" s="18" t="s">
        <v>582</v>
      </c>
      <c r="D7" s="17"/>
    </row>
    <row r="8" spans="1:14" x14ac:dyDescent="0.2">
      <c r="D8" s="17"/>
    </row>
    <row r="9" spans="1:14" x14ac:dyDescent="0.2">
      <c r="D9" s="17"/>
    </row>
    <row r="10" spans="1:14" x14ac:dyDescent="0.2">
      <c r="D10" s="17"/>
    </row>
    <row r="11" spans="1:14" x14ac:dyDescent="0.2">
      <c r="D11" s="17"/>
    </row>
    <row r="12" spans="1:14" x14ac:dyDescent="0.2">
      <c r="D12" s="17"/>
    </row>
    <row r="13" spans="1:14" x14ac:dyDescent="0.2">
      <c r="D13" s="17"/>
    </row>
    <row r="14" spans="1:14" x14ac:dyDescent="0.2">
      <c r="D14" s="17"/>
    </row>
    <row r="15" spans="1:14" x14ac:dyDescent="0.2">
      <c r="D15" s="17"/>
    </row>
    <row r="16" spans="1:14" x14ac:dyDescent="0.2">
      <c r="D16" s="17"/>
    </row>
    <row r="17" spans="4:4" x14ac:dyDescent="0.2">
      <c r="D17" s="17"/>
    </row>
    <row r="18" spans="4:4" x14ac:dyDescent="0.2">
      <c r="D18" s="17"/>
    </row>
    <row r="19" spans="4:4" x14ac:dyDescent="0.2">
      <c r="D19" s="17"/>
    </row>
    <row r="20" spans="4:4" x14ac:dyDescent="0.2">
      <c r="D20" s="17"/>
    </row>
    <row r="21" spans="4:4" x14ac:dyDescent="0.2">
      <c r="D21" s="17"/>
    </row>
    <row r="22" spans="4:4" x14ac:dyDescent="0.2">
      <c r="D22" s="17"/>
    </row>
    <row r="23" spans="4:4" x14ac:dyDescent="0.2">
      <c r="D23" s="17"/>
    </row>
    <row r="24" spans="4:4" x14ac:dyDescent="0.2">
      <c r="D24" s="17"/>
    </row>
    <row r="25" spans="4:4" x14ac:dyDescent="0.2">
      <c r="D25" s="17"/>
    </row>
    <row r="26" spans="4:4" x14ac:dyDescent="0.2">
      <c r="D26" s="17"/>
    </row>
    <row r="27" spans="4:4" x14ac:dyDescent="0.2">
      <c r="D27" s="17"/>
    </row>
    <row r="28" spans="4:4" x14ac:dyDescent="0.2">
      <c r="D28" s="17"/>
    </row>
    <row r="29" spans="4:4" x14ac:dyDescent="0.2">
      <c r="D29" s="17"/>
    </row>
    <row r="30" spans="4:4" x14ac:dyDescent="0.2">
      <c r="D30" s="17"/>
    </row>
    <row r="31" spans="4:4" x14ac:dyDescent="0.2">
      <c r="D31" s="17"/>
    </row>
    <row r="32" spans="4:4" x14ac:dyDescent="0.2">
      <c r="D32" s="17"/>
    </row>
    <row r="33" spans="4:10" x14ac:dyDescent="0.2">
      <c r="D33" s="17"/>
    </row>
    <row r="34" spans="4:10" x14ac:dyDescent="0.2">
      <c r="D34" s="17"/>
    </row>
    <row r="35" spans="4:10" x14ac:dyDescent="0.2">
      <c r="D35" s="17"/>
    </row>
    <row r="36" spans="4:10" x14ac:dyDescent="0.2">
      <c r="D36" s="17"/>
    </row>
    <row r="37" spans="4:10" x14ac:dyDescent="0.2">
      <c r="D37" s="17"/>
    </row>
    <row r="38" spans="4:10" x14ac:dyDescent="0.2">
      <c r="D38" s="17"/>
    </row>
    <row r="39" spans="4:10" x14ac:dyDescent="0.2">
      <c r="D39" s="17"/>
      <c r="J39" s="17"/>
    </row>
    <row r="40" spans="4:10" x14ac:dyDescent="0.2">
      <c r="D40" s="17"/>
    </row>
    <row r="41" spans="4:10" x14ac:dyDescent="0.2">
      <c r="D41" s="17"/>
    </row>
    <row r="42" spans="4:10" x14ac:dyDescent="0.2">
      <c r="D42" s="17"/>
    </row>
    <row r="43" spans="4:10" x14ac:dyDescent="0.2">
      <c r="D43" s="17"/>
    </row>
    <row r="44" spans="4:10" x14ac:dyDescent="0.2">
      <c r="D44" s="17"/>
    </row>
    <row r="45" spans="4:10" x14ac:dyDescent="0.2">
      <c r="D45" s="17"/>
    </row>
    <row r="46" spans="4:10" x14ac:dyDescent="0.2">
      <c r="D46" s="17"/>
    </row>
    <row r="47" spans="4:10" x14ac:dyDescent="0.2">
      <c r="D47" s="17"/>
    </row>
    <row r="48" spans="4:10" x14ac:dyDescent="0.2">
      <c r="D48" s="17"/>
    </row>
    <row r="49" spans="4:4" x14ac:dyDescent="0.2">
      <c r="D49" s="17"/>
    </row>
    <row r="50" spans="4:4" x14ac:dyDescent="0.2">
      <c r="D50" s="17"/>
    </row>
    <row r="51" spans="4:4" x14ac:dyDescent="0.2">
      <c r="D51" s="17"/>
    </row>
    <row r="52" spans="4:4" x14ac:dyDescent="0.2">
      <c r="D52" s="17"/>
    </row>
    <row r="53" spans="4:4" x14ac:dyDescent="0.2">
      <c r="D53" s="17"/>
    </row>
    <row r="54" spans="4:4" x14ac:dyDescent="0.2">
      <c r="D54" s="17"/>
    </row>
    <row r="55" spans="4:4" x14ac:dyDescent="0.2">
      <c r="D55" s="17"/>
    </row>
    <row r="56" spans="4:4" x14ac:dyDescent="0.2">
      <c r="D56" s="17"/>
    </row>
    <row r="57" spans="4:4" x14ac:dyDescent="0.2">
      <c r="D57" s="17"/>
    </row>
    <row r="58" spans="4:4" x14ac:dyDescent="0.2">
      <c r="D58" s="17"/>
    </row>
    <row r="59" spans="4:4" x14ac:dyDescent="0.2">
      <c r="D59" s="17"/>
    </row>
    <row r="60" spans="4:4" x14ac:dyDescent="0.2">
      <c r="D60" s="17"/>
    </row>
    <row r="61" spans="4:4" x14ac:dyDescent="0.2">
      <c r="D61" s="17"/>
    </row>
    <row r="62" spans="4:4" x14ac:dyDescent="0.2">
      <c r="D62" s="17"/>
    </row>
    <row r="63" spans="4:4" x14ac:dyDescent="0.2">
      <c r="D63" s="17"/>
    </row>
    <row r="64" spans="4:4" x14ac:dyDescent="0.2">
      <c r="D64" s="17"/>
    </row>
    <row r="65" spans="4:4" x14ac:dyDescent="0.2">
      <c r="D65" s="17"/>
    </row>
    <row r="66" spans="4:4" x14ac:dyDescent="0.2">
      <c r="D66" s="17"/>
    </row>
    <row r="67" spans="4:4" x14ac:dyDescent="0.2">
      <c r="D67" s="17"/>
    </row>
    <row r="68" spans="4:4" x14ac:dyDescent="0.2">
      <c r="D68" s="17"/>
    </row>
    <row r="69" spans="4:4" x14ac:dyDescent="0.2">
      <c r="D69" s="17"/>
    </row>
    <row r="70" spans="4:4" x14ac:dyDescent="0.2">
      <c r="D70" s="17"/>
    </row>
    <row r="71" spans="4:4" x14ac:dyDescent="0.2">
      <c r="D71" s="17"/>
    </row>
    <row r="72" spans="4:4" x14ac:dyDescent="0.2">
      <c r="D72" s="17"/>
    </row>
    <row r="73" spans="4:4" x14ac:dyDescent="0.2">
      <c r="D73" s="17"/>
    </row>
    <row r="74" spans="4:4" x14ac:dyDescent="0.2">
      <c r="D74" s="17"/>
    </row>
    <row r="75" spans="4:4" x14ac:dyDescent="0.2">
      <c r="D75" s="17"/>
    </row>
    <row r="76" spans="4:4" x14ac:dyDescent="0.2">
      <c r="D76" s="17"/>
    </row>
    <row r="77" spans="4:4" x14ac:dyDescent="0.2">
      <c r="D77" s="17"/>
    </row>
    <row r="78" spans="4:4" x14ac:dyDescent="0.2">
      <c r="D78" s="17"/>
    </row>
    <row r="79" spans="4:4" x14ac:dyDescent="0.2">
      <c r="D79" s="17"/>
    </row>
    <row r="80" spans="4:4" x14ac:dyDescent="0.2">
      <c r="D80" s="17"/>
    </row>
    <row r="81" spans="4:4" x14ac:dyDescent="0.2">
      <c r="D81" s="17"/>
    </row>
    <row r="82" spans="4:4" x14ac:dyDescent="0.2">
      <c r="D82" s="17"/>
    </row>
    <row r="83" spans="4:4" x14ac:dyDescent="0.2">
      <c r="D83" s="17"/>
    </row>
    <row r="84" spans="4:4" x14ac:dyDescent="0.2">
      <c r="D84" s="17"/>
    </row>
    <row r="85" spans="4:4" x14ac:dyDescent="0.2">
      <c r="D85" s="17"/>
    </row>
    <row r="86" spans="4:4" x14ac:dyDescent="0.2">
      <c r="D86" s="17"/>
    </row>
    <row r="87" spans="4:4" x14ac:dyDescent="0.2">
      <c r="D87" s="17"/>
    </row>
    <row r="88" spans="4:4" x14ac:dyDescent="0.2">
      <c r="D88" s="17"/>
    </row>
    <row r="89" spans="4:4" x14ac:dyDescent="0.2">
      <c r="D89" s="17"/>
    </row>
    <row r="90" spans="4:4" x14ac:dyDescent="0.2">
      <c r="D90" s="17"/>
    </row>
    <row r="91" spans="4:4" x14ac:dyDescent="0.2">
      <c r="D91" s="17"/>
    </row>
    <row r="92" spans="4:4" x14ac:dyDescent="0.2">
      <c r="D92" s="17"/>
    </row>
    <row r="93" spans="4:4" x14ac:dyDescent="0.2">
      <c r="D93" s="17"/>
    </row>
    <row r="94" spans="4:4" x14ac:dyDescent="0.2">
      <c r="D94" s="17"/>
    </row>
    <row r="95" spans="4:4" x14ac:dyDescent="0.2">
      <c r="D95" s="17"/>
    </row>
    <row r="96" spans="4:4" x14ac:dyDescent="0.2">
      <c r="D96" s="17"/>
    </row>
    <row r="97" spans="4:4" x14ac:dyDescent="0.2">
      <c r="D97" s="17"/>
    </row>
    <row r="98" spans="4:4" x14ac:dyDescent="0.2">
      <c r="D98" s="17"/>
    </row>
    <row r="99" spans="4:4" x14ac:dyDescent="0.2">
      <c r="D99" s="17"/>
    </row>
    <row r="100" spans="4:4" x14ac:dyDescent="0.2">
      <c r="D100" s="17"/>
    </row>
    <row r="101" spans="4:4" x14ac:dyDescent="0.2">
      <c r="D101" s="17"/>
    </row>
    <row r="102" spans="4:4" x14ac:dyDescent="0.2">
      <c r="D102" s="17"/>
    </row>
    <row r="103" spans="4:4" x14ac:dyDescent="0.2">
      <c r="D103" s="17"/>
    </row>
    <row r="104" spans="4:4" x14ac:dyDescent="0.2">
      <c r="D104" s="17"/>
    </row>
    <row r="105" spans="4:4" x14ac:dyDescent="0.2">
      <c r="D105" s="17"/>
    </row>
    <row r="106" spans="4:4" x14ac:dyDescent="0.2">
      <c r="D106" s="17"/>
    </row>
    <row r="107" spans="4:4" x14ac:dyDescent="0.2">
      <c r="D107" s="17"/>
    </row>
    <row r="108" spans="4:4" x14ac:dyDescent="0.2">
      <c r="D108" s="17"/>
    </row>
    <row r="109" spans="4:4" x14ac:dyDescent="0.2">
      <c r="D109" s="17"/>
    </row>
    <row r="110" spans="4:4" x14ac:dyDescent="0.2">
      <c r="D110" s="17"/>
    </row>
    <row r="111" spans="4:4" x14ac:dyDescent="0.2">
      <c r="D111" s="17"/>
    </row>
    <row r="112" spans="4:4" x14ac:dyDescent="0.2">
      <c r="D112" s="17"/>
    </row>
    <row r="113" spans="4:4" x14ac:dyDescent="0.2">
      <c r="D113" s="17"/>
    </row>
    <row r="114" spans="4:4" x14ac:dyDescent="0.2">
      <c r="D114" s="17"/>
    </row>
    <row r="115" spans="4:4" x14ac:dyDescent="0.2">
      <c r="D115" s="17"/>
    </row>
    <row r="116" spans="4:4" x14ac:dyDescent="0.2">
      <c r="D116" s="17"/>
    </row>
    <row r="117" spans="4:4" x14ac:dyDescent="0.2">
      <c r="D117" s="17"/>
    </row>
    <row r="118" spans="4:4" x14ac:dyDescent="0.2">
      <c r="D118" s="17"/>
    </row>
    <row r="119" spans="4:4" x14ac:dyDescent="0.2">
      <c r="D119" s="17"/>
    </row>
    <row r="120" spans="4:4" x14ac:dyDescent="0.2">
      <c r="D120" s="17"/>
    </row>
    <row r="121" spans="4:4" x14ac:dyDescent="0.2">
      <c r="D121" s="17"/>
    </row>
    <row r="122" spans="4:4" x14ac:dyDescent="0.2">
      <c r="D122" s="17"/>
    </row>
    <row r="123" spans="4:4" x14ac:dyDescent="0.2">
      <c r="D123" s="17"/>
    </row>
    <row r="124" spans="4:4" x14ac:dyDescent="0.2">
      <c r="D124" s="17"/>
    </row>
    <row r="125" spans="4:4" x14ac:dyDescent="0.2">
      <c r="D125" s="17"/>
    </row>
    <row r="126" spans="4:4" x14ac:dyDescent="0.2">
      <c r="D126" s="17"/>
    </row>
    <row r="127" spans="4:4" x14ac:dyDescent="0.2">
      <c r="D127" s="17"/>
    </row>
    <row r="128" spans="4:4" x14ac:dyDescent="0.2">
      <c r="D128" s="17"/>
    </row>
    <row r="129" spans="4:4" x14ac:dyDescent="0.2">
      <c r="D129" s="17"/>
    </row>
    <row r="130" spans="4:4" x14ac:dyDescent="0.2">
      <c r="D130" s="17"/>
    </row>
    <row r="131" spans="4:4" x14ac:dyDescent="0.2">
      <c r="D131" s="17"/>
    </row>
    <row r="132" spans="4:4" x14ac:dyDescent="0.2">
      <c r="D132" s="17"/>
    </row>
    <row r="133" spans="4:4" x14ac:dyDescent="0.2">
      <c r="D133" s="17"/>
    </row>
    <row r="134" spans="4:4" x14ac:dyDescent="0.2">
      <c r="D134" s="17"/>
    </row>
    <row r="135" spans="4:4" x14ac:dyDescent="0.2">
      <c r="D135" s="17"/>
    </row>
    <row r="136" spans="4:4" x14ac:dyDescent="0.2">
      <c r="D136" s="17"/>
    </row>
    <row r="137" spans="4:4" x14ac:dyDescent="0.2">
      <c r="D137" s="17"/>
    </row>
    <row r="138" spans="4:4" x14ac:dyDescent="0.2">
      <c r="D138" s="17"/>
    </row>
    <row r="139" spans="4:4" x14ac:dyDescent="0.2">
      <c r="D139" s="17"/>
    </row>
    <row r="140" spans="4:4" x14ac:dyDescent="0.2">
      <c r="D140" s="17"/>
    </row>
    <row r="141" spans="4:4" x14ac:dyDescent="0.2">
      <c r="D141" s="17"/>
    </row>
    <row r="142" spans="4:4" x14ac:dyDescent="0.2">
      <c r="D142" s="17"/>
    </row>
    <row r="143" spans="4:4" x14ac:dyDescent="0.2">
      <c r="D143" s="17"/>
    </row>
    <row r="144" spans="4:4" x14ac:dyDescent="0.2">
      <c r="D144" s="17"/>
    </row>
    <row r="145" spans="4:4" x14ac:dyDescent="0.2">
      <c r="D145" s="17"/>
    </row>
    <row r="146" spans="4:4" x14ac:dyDescent="0.2">
      <c r="D146" s="17"/>
    </row>
    <row r="147" spans="4:4" x14ac:dyDescent="0.2">
      <c r="D147" s="17"/>
    </row>
    <row r="148" spans="4:4" x14ac:dyDescent="0.2">
      <c r="D148" s="17"/>
    </row>
    <row r="149" spans="4:4" x14ac:dyDescent="0.2">
      <c r="D149" s="17"/>
    </row>
    <row r="150" spans="4:4" x14ac:dyDescent="0.2">
      <c r="D150" s="17"/>
    </row>
    <row r="151" spans="4:4" x14ac:dyDescent="0.2">
      <c r="D151" s="17"/>
    </row>
    <row r="152" spans="4:4" x14ac:dyDescent="0.2">
      <c r="D152" s="17"/>
    </row>
    <row r="153" spans="4:4" x14ac:dyDescent="0.2">
      <c r="D153" s="17"/>
    </row>
    <row r="154" spans="4:4" x14ac:dyDescent="0.2">
      <c r="D154" s="17"/>
    </row>
    <row r="155" spans="4:4" x14ac:dyDescent="0.2">
      <c r="D155" s="17"/>
    </row>
    <row r="156" spans="4:4" x14ac:dyDescent="0.2">
      <c r="D156" s="17"/>
    </row>
    <row r="157" spans="4:4" x14ac:dyDescent="0.2">
      <c r="D157" s="17"/>
    </row>
    <row r="158" spans="4:4" x14ac:dyDescent="0.2">
      <c r="D158" s="17"/>
    </row>
    <row r="159" spans="4:4" x14ac:dyDescent="0.2">
      <c r="D159" s="17"/>
    </row>
    <row r="160" spans="4:4"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sheetData>
  <dataConsolidate link="1"/>
  <mergeCells count="1">
    <mergeCell ref="H1:N1"/>
  </mergeCells>
  <pageMargins left="0.511811024" right="0.511811024" top="0.78740157499999996" bottom="0.78740157499999996" header="0.31496062000000002" footer="0.31496062000000002"/>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194F5-E85F-4A63-B9AB-B6237604727C}">
  <sheetPr codeName="Planilha21"/>
  <dimension ref="A1:P507"/>
  <sheetViews>
    <sheetView workbookViewId="0">
      <selection activeCell="D6" sqref="D6"/>
    </sheetView>
  </sheetViews>
  <sheetFormatPr defaultRowHeight="12.75" x14ac:dyDescent="0.2"/>
  <cols>
    <col min="1" max="1" width="37.28515625" style="1" customWidth="1"/>
    <col min="2" max="2" width="24.7109375" style="1" customWidth="1"/>
    <col min="3" max="3" width="10.140625" style="1" bestFit="1" customWidth="1"/>
    <col min="4" max="4" width="12" style="1" customWidth="1"/>
    <col min="5" max="5" width="6.5703125" style="1" bestFit="1" customWidth="1"/>
    <col min="6" max="6" width="9.140625" style="1"/>
    <col min="7" max="7" width="10.140625" style="1" bestFit="1" customWidth="1"/>
    <col min="8" max="8" width="9.140625" style="1"/>
    <col min="9" max="9" width="15.7109375" style="1" bestFit="1" customWidth="1"/>
    <col min="10" max="16384" width="9.140625" style="1"/>
  </cols>
  <sheetData>
    <row r="1" spans="1:16" ht="15.75" x14ac:dyDescent="0.25">
      <c r="A1" s="9" t="s">
        <v>585</v>
      </c>
      <c r="I1" s="3" t="s">
        <v>59</v>
      </c>
      <c r="J1" s="85" t="str">
        <f>"Indicator values for Real Estate series "&amp;$B$4</f>
        <v>Indicator values for Real Estate series imoveis_area_total_rj</v>
      </c>
      <c r="K1" s="86"/>
      <c r="L1" s="86"/>
      <c r="M1" s="86"/>
      <c r="N1" s="86"/>
      <c r="O1" s="86"/>
      <c r="P1" s="86"/>
    </row>
    <row r="3" spans="1:16" x14ac:dyDescent="0.2">
      <c r="A3" s="3" t="s">
        <v>512</v>
      </c>
    </row>
    <row r="4" spans="1:16" x14ac:dyDescent="0.2">
      <c r="A4" s="3" t="s">
        <v>60</v>
      </c>
      <c r="B4" s="82" t="s">
        <v>586</v>
      </c>
      <c r="D4" s="1" t="s">
        <v>68</v>
      </c>
      <c r="E4" s="1" t="s">
        <v>112</v>
      </c>
    </row>
    <row r="5" spans="1:16" x14ac:dyDescent="0.2">
      <c r="A5" s="3" t="s">
        <v>63</v>
      </c>
      <c r="B5" s="14"/>
      <c r="D5" s="17" t="str" cm="1">
        <f t="array" ref="D5">xlFOCUS_MercadoImobiliario($B$4,B5,B6,B7,B8)</f>
        <v># Barra de fórmulas aberta</v>
      </c>
      <c r="E5" s="11"/>
    </row>
    <row r="6" spans="1:16" x14ac:dyDescent="0.2">
      <c r="A6" s="3" t="s">
        <v>64</v>
      </c>
      <c r="B6" s="14"/>
      <c r="D6" s="17"/>
      <c r="E6" s="11"/>
    </row>
    <row r="7" spans="1:16" x14ac:dyDescent="0.2">
      <c r="A7" s="3" t="s">
        <v>148</v>
      </c>
      <c r="B7" s="18"/>
      <c r="D7" s="17"/>
      <c r="E7" s="11"/>
    </row>
    <row r="8" spans="1:16" x14ac:dyDescent="0.2">
      <c r="A8" s="3" t="s">
        <v>147</v>
      </c>
      <c r="B8" s="18">
        <v>2</v>
      </c>
      <c r="D8" s="17"/>
      <c r="E8" s="11"/>
    </row>
    <row r="9" spans="1:16" x14ac:dyDescent="0.2">
      <c r="D9" s="17"/>
      <c r="E9" s="11"/>
    </row>
    <row r="10" spans="1:16" x14ac:dyDescent="0.2">
      <c r="D10" s="17"/>
      <c r="E10" s="11"/>
    </row>
    <row r="11" spans="1:16" x14ac:dyDescent="0.2">
      <c r="D11" s="17"/>
      <c r="E11" s="11"/>
    </row>
    <row r="12" spans="1:16" x14ac:dyDescent="0.2">
      <c r="D12" s="17"/>
      <c r="E12" s="11"/>
    </row>
    <row r="13" spans="1:16" x14ac:dyDescent="0.2">
      <c r="D13" s="17"/>
      <c r="E13" s="11"/>
    </row>
    <row r="14" spans="1:16" x14ac:dyDescent="0.2">
      <c r="D14" s="17"/>
      <c r="E14" s="11"/>
    </row>
    <row r="15" spans="1:16" x14ac:dyDescent="0.2">
      <c r="D15" s="17"/>
      <c r="E15" s="11"/>
    </row>
    <row r="16" spans="1:16" x14ac:dyDescent="0.2">
      <c r="D16" s="17"/>
      <c r="E16" s="11"/>
    </row>
    <row r="17" spans="4:5" x14ac:dyDescent="0.2">
      <c r="D17" s="17"/>
      <c r="E17" s="11"/>
    </row>
    <row r="18" spans="4:5" x14ac:dyDescent="0.2">
      <c r="D18" s="17"/>
      <c r="E18" s="11"/>
    </row>
    <row r="19" spans="4:5" x14ac:dyDescent="0.2">
      <c r="D19" s="17"/>
      <c r="E19" s="11"/>
    </row>
    <row r="20" spans="4:5" x14ac:dyDescent="0.2">
      <c r="D20" s="17"/>
      <c r="E20" s="11"/>
    </row>
    <row r="21" spans="4:5" x14ac:dyDescent="0.2">
      <c r="D21" s="17"/>
      <c r="E21" s="11"/>
    </row>
    <row r="22" spans="4:5" x14ac:dyDescent="0.2">
      <c r="D22" s="17"/>
      <c r="E22" s="11"/>
    </row>
    <row r="23" spans="4:5" x14ac:dyDescent="0.2">
      <c r="D23" s="17"/>
      <c r="E23" s="11"/>
    </row>
    <row r="24" spans="4:5" x14ac:dyDescent="0.2">
      <c r="D24" s="17"/>
      <c r="E24" s="11"/>
    </row>
    <row r="25" spans="4:5" x14ac:dyDescent="0.2">
      <c r="D25" s="17"/>
      <c r="E25" s="11"/>
    </row>
    <row r="26" spans="4:5" x14ac:dyDescent="0.2">
      <c r="D26" s="17"/>
      <c r="E26" s="11"/>
    </row>
    <row r="27" spans="4:5" x14ac:dyDescent="0.2">
      <c r="D27" s="17"/>
      <c r="E27" s="11"/>
    </row>
    <row r="28" spans="4:5" x14ac:dyDescent="0.2">
      <c r="D28" s="17"/>
      <c r="E28" s="11"/>
    </row>
    <row r="29" spans="4:5" x14ac:dyDescent="0.2">
      <c r="D29" s="17"/>
      <c r="E29" s="11"/>
    </row>
    <row r="30" spans="4:5" x14ac:dyDescent="0.2">
      <c r="D30" s="17"/>
      <c r="E30" s="11"/>
    </row>
    <row r="31" spans="4:5" x14ac:dyDescent="0.2">
      <c r="D31" s="17"/>
      <c r="E31" s="11"/>
    </row>
    <row r="32" spans="4:5" x14ac:dyDescent="0.2">
      <c r="D32" s="17"/>
      <c r="E32" s="11"/>
    </row>
    <row r="33" spans="4:12" x14ac:dyDescent="0.2">
      <c r="D33" s="17"/>
      <c r="E33" s="11"/>
    </row>
    <row r="34" spans="4:12" x14ac:dyDescent="0.2">
      <c r="D34" s="17"/>
      <c r="E34" s="11"/>
    </row>
    <row r="35" spans="4:12" x14ac:dyDescent="0.2">
      <c r="D35" s="17"/>
      <c r="E35" s="11"/>
    </row>
    <row r="36" spans="4:12" x14ac:dyDescent="0.2">
      <c r="D36" s="17"/>
      <c r="E36" s="11"/>
    </row>
    <row r="37" spans="4:12" x14ac:dyDescent="0.2">
      <c r="D37" s="17"/>
      <c r="E37" s="11"/>
    </row>
    <row r="38" spans="4:12" x14ac:dyDescent="0.2">
      <c r="D38" s="17"/>
      <c r="E38" s="11"/>
    </row>
    <row r="39" spans="4:12" x14ac:dyDescent="0.2">
      <c r="D39" s="17"/>
      <c r="E39" s="11"/>
    </row>
    <row r="40" spans="4:12" x14ac:dyDescent="0.2">
      <c r="D40" s="17"/>
      <c r="E40" s="11"/>
      <c r="L40" s="17"/>
    </row>
    <row r="41" spans="4:12" x14ac:dyDescent="0.2">
      <c r="D41" s="17"/>
      <c r="E41" s="11"/>
    </row>
    <row r="42" spans="4:12" x14ac:dyDescent="0.2">
      <c r="D42" s="17"/>
      <c r="E42" s="11"/>
    </row>
    <row r="43" spans="4:12" x14ac:dyDescent="0.2">
      <c r="D43" s="17"/>
      <c r="E43" s="11"/>
    </row>
    <row r="44" spans="4:12" x14ac:dyDescent="0.2">
      <c r="D44" s="17"/>
      <c r="E44" s="11"/>
    </row>
    <row r="45" spans="4:12" x14ac:dyDescent="0.2">
      <c r="D45" s="17"/>
      <c r="E45" s="11"/>
    </row>
    <row r="46" spans="4:12" x14ac:dyDescent="0.2">
      <c r="D46" s="17"/>
      <c r="E46" s="11"/>
    </row>
    <row r="47" spans="4:12" x14ac:dyDescent="0.2">
      <c r="D47" s="17"/>
      <c r="E47" s="11"/>
    </row>
    <row r="48" spans="4:12" x14ac:dyDescent="0.2">
      <c r="D48" s="17"/>
      <c r="E48" s="11"/>
    </row>
    <row r="49" spans="4:5" x14ac:dyDescent="0.2">
      <c r="D49" s="17"/>
      <c r="E49" s="11"/>
    </row>
    <row r="50" spans="4:5" x14ac:dyDescent="0.2">
      <c r="D50" s="17"/>
      <c r="E50" s="11"/>
    </row>
    <row r="51" spans="4:5" x14ac:dyDescent="0.2">
      <c r="D51" s="17"/>
      <c r="E51" s="11"/>
    </row>
    <row r="52" spans="4:5" x14ac:dyDescent="0.2">
      <c r="D52" s="17"/>
      <c r="E52" s="11"/>
    </row>
    <row r="53" spans="4:5" x14ac:dyDescent="0.2">
      <c r="D53" s="17"/>
      <c r="E53" s="11"/>
    </row>
    <row r="54" spans="4:5" x14ac:dyDescent="0.2">
      <c r="D54" s="17"/>
      <c r="E54" s="11"/>
    </row>
    <row r="55" spans="4:5" x14ac:dyDescent="0.2">
      <c r="D55" s="17"/>
      <c r="E55" s="11"/>
    </row>
    <row r="56" spans="4:5" x14ac:dyDescent="0.2">
      <c r="D56" s="17"/>
      <c r="E56" s="11"/>
    </row>
    <row r="57" spans="4:5" x14ac:dyDescent="0.2">
      <c r="D57" s="17"/>
      <c r="E57" s="11"/>
    </row>
    <row r="58" spans="4:5" x14ac:dyDescent="0.2">
      <c r="D58" s="17"/>
      <c r="E58" s="11"/>
    </row>
    <row r="59" spans="4:5" x14ac:dyDescent="0.2">
      <c r="D59" s="17"/>
      <c r="E59" s="11"/>
    </row>
    <row r="60" spans="4:5" x14ac:dyDescent="0.2">
      <c r="D60" s="17"/>
      <c r="E60" s="11"/>
    </row>
    <row r="61" spans="4:5" x14ac:dyDescent="0.2">
      <c r="D61" s="17"/>
      <c r="E61" s="11"/>
    </row>
    <row r="62" spans="4:5" x14ac:dyDescent="0.2">
      <c r="D62" s="17"/>
      <c r="E62" s="11"/>
    </row>
    <row r="63" spans="4:5" x14ac:dyDescent="0.2">
      <c r="D63" s="17"/>
      <c r="E63" s="11"/>
    </row>
    <row r="64" spans="4:5" x14ac:dyDescent="0.2">
      <c r="D64" s="17"/>
      <c r="E64" s="11"/>
    </row>
    <row r="65" spans="4:5" x14ac:dyDescent="0.2">
      <c r="D65" s="17"/>
      <c r="E65" s="11"/>
    </row>
    <row r="66" spans="4:5" x14ac:dyDescent="0.2">
      <c r="D66" s="17"/>
      <c r="E66" s="11"/>
    </row>
    <row r="67" spans="4:5" x14ac:dyDescent="0.2">
      <c r="D67" s="17"/>
      <c r="E67" s="11"/>
    </row>
    <row r="68" spans="4:5" x14ac:dyDescent="0.2">
      <c r="D68" s="17"/>
      <c r="E68" s="11"/>
    </row>
    <row r="69" spans="4:5" x14ac:dyDescent="0.2">
      <c r="D69" s="17"/>
      <c r="E69" s="11"/>
    </row>
    <row r="70" spans="4:5" x14ac:dyDescent="0.2">
      <c r="D70" s="17"/>
      <c r="E70" s="11"/>
    </row>
    <row r="71" spans="4:5" x14ac:dyDescent="0.2">
      <c r="D71" s="17"/>
      <c r="E71" s="11"/>
    </row>
    <row r="72" spans="4:5" x14ac:dyDescent="0.2">
      <c r="D72" s="17"/>
      <c r="E72" s="11"/>
    </row>
    <row r="73" spans="4:5" x14ac:dyDescent="0.2">
      <c r="D73" s="17"/>
      <c r="E73" s="11"/>
    </row>
    <row r="74" spans="4:5" x14ac:dyDescent="0.2">
      <c r="D74" s="17"/>
      <c r="E74" s="11"/>
    </row>
    <row r="75" spans="4:5" x14ac:dyDescent="0.2">
      <c r="D75" s="17"/>
      <c r="E75" s="11"/>
    </row>
    <row r="76" spans="4:5" x14ac:dyDescent="0.2">
      <c r="D76" s="17"/>
      <c r="E76" s="11"/>
    </row>
    <row r="77" spans="4:5" x14ac:dyDescent="0.2">
      <c r="D77" s="17"/>
      <c r="E77" s="11"/>
    </row>
    <row r="78" spans="4:5" x14ac:dyDescent="0.2">
      <c r="D78" s="17"/>
      <c r="E78" s="11"/>
    </row>
    <row r="79" spans="4:5" x14ac:dyDescent="0.2">
      <c r="D79" s="17"/>
      <c r="E79" s="11"/>
    </row>
    <row r="80" spans="4:5" x14ac:dyDescent="0.2">
      <c r="D80" s="17"/>
      <c r="E80" s="11"/>
    </row>
    <row r="81" spans="4:5" x14ac:dyDescent="0.2">
      <c r="D81" s="17"/>
      <c r="E81" s="11"/>
    </row>
    <row r="82" spans="4:5" x14ac:dyDescent="0.2">
      <c r="D82" s="17"/>
      <c r="E82" s="11"/>
    </row>
    <row r="83" spans="4:5" x14ac:dyDescent="0.2">
      <c r="D83" s="17"/>
      <c r="E83" s="11"/>
    </row>
    <row r="84" spans="4:5" x14ac:dyDescent="0.2">
      <c r="D84" s="17"/>
      <c r="E84" s="11"/>
    </row>
    <row r="85" spans="4:5" x14ac:dyDescent="0.2">
      <c r="D85" s="17"/>
      <c r="E85" s="11"/>
    </row>
    <row r="86" spans="4:5" x14ac:dyDescent="0.2">
      <c r="D86" s="17"/>
      <c r="E86" s="11"/>
    </row>
    <row r="87" spans="4:5" x14ac:dyDescent="0.2">
      <c r="D87" s="17"/>
      <c r="E87" s="11"/>
    </row>
    <row r="88" spans="4:5" x14ac:dyDescent="0.2">
      <c r="D88" s="17"/>
      <c r="E88" s="11"/>
    </row>
    <row r="89" spans="4:5" x14ac:dyDescent="0.2">
      <c r="D89" s="17"/>
      <c r="E89" s="11"/>
    </row>
    <row r="90" spans="4:5" x14ac:dyDescent="0.2">
      <c r="D90" s="17"/>
      <c r="E90" s="11"/>
    </row>
    <row r="91" spans="4:5" x14ac:dyDescent="0.2">
      <c r="D91" s="17"/>
      <c r="E91" s="11"/>
    </row>
    <row r="92" spans="4:5" x14ac:dyDescent="0.2">
      <c r="D92" s="17"/>
      <c r="E92" s="11"/>
    </row>
    <row r="93" spans="4:5" x14ac:dyDescent="0.2">
      <c r="D93" s="17"/>
      <c r="E93" s="11"/>
    </row>
    <row r="94" spans="4:5" x14ac:dyDescent="0.2">
      <c r="D94" s="17"/>
      <c r="E94" s="11"/>
    </row>
    <row r="95" spans="4:5" x14ac:dyDescent="0.2">
      <c r="D95" s="17"/>
      <c r="E95" s="11"/>
    </row>
    <row r="96" spans="4:5" x14ac:dyDescent="0.2">
      <c r="D96" s="17"/>
      <c r="E96" s="11"/>
    </row>
    <row r="97" spans="4:5" x14ac:dyDescent="0.2">
      <c r="D97" s="17"/>
      <c r="E97" s="11"/>
    </row>
    <row r="98" spans="4:5" x14ac:dyDescent="0.2">
      <c r="D98" s="17"/>
      <c r="E98" s="11"/>
    </row>
    <row r="99" spans="4:5" x14ac:dyDescent="0.2">
      <c r="D99" s="17"/>
      <c r="E99" s="11"/>
    </row>
    <row r="100" spans="4:5" x14ac:dyDescent="0.2">
      <c r="D100" s="17"/>
      <c r="E100" s="11"/>
    </row>
    <row r="101" spans="4:5" x14ac:dyDescent="0.2">
      <c r="D101" s="17"/>
      <c r="E101" s="11"/>
    </row>
    <row r="102" spans="4:5" x14ac:dyDescent="0.2">
      <c r="D102" s="17"/>
      <c r="E102" s="11"/>
    </row>
    <row r="103" spans="4:5" x14ac:dyDescent="0.2">
      <c r="D103" s="17"/>
      <c r="E103" s="11"/>
    </row>
    <row r="104" spans="4:5" x14ac:dyDescent="0.2">
      <c r="D104" s="17"/>
      <c r="E104" s="11"/>
    </row>
    <row r="105" spans="4:5" x14ac:dyDescent="0.2">
      <c r="D105" s="17"/>
      <c r="E105" s="11"/>
    </row>
    <row r="106" spans="4:5" x14ac:dyDescent="0.2">
      <c r="D106" s="17"/>
      <c r="E106" s="11"/>
    </row>
    <row r="107" spans="4:5" x14ac:dyDescent="0.2">
      <c r="D107" s="17"/>
      <c r="E107" s="11"/>
    </row>
    <row r="108" spans="4:5" x14ac:dyDescent="0.2">
      <c r="D108" s="17"/>
      <c r="E108" s="11"/>
    </row>
    <row r="109" spans="4:5" x14ac:dyDescent="0.2">
      <c r="D109" s="17"/>
      <c r="E109" s="11"/>
    </row>
    <row r="110" spans="4:5" x14ac:dyDescent="0.2">
      <c r="D110" s="17"/>
      <c r="E110" s="11"/>
    </row>
    <row r="111" spans="4:5" x14ac:dyDescent="0.2">
      <c r="D111" s="17"/>
      <c r="E111" s="11"/>
    </row>
    <row r="112" spans="4:5" x14ac:dyDescent="0.2">
      <c r="D112" s="17"/>
      <c r="E112" s="11"/>
    </row>
    <row r="113" spans="4:5" x14ac:dyDescent="0.2">
      <c r="D113" s="17"/>
      <c r="E113" s="11"/>
    </row>
    <row r="114" spans="4:5" x14ac:dyDescent="0.2">
      <c r="D114" s="17"/>
      <c r="E114" s="11"/>
    </row>
    <row r="115" spans="4:5" x14ac:dyDescent="0.2">
      <c r="D115" s="17"/>
      <c r="E115" s="11"/>
    </row>
    <row r="116" spans="4:5" x14ac:dyDescent="0.2">
      <c r="D116" s="17"/>
      <c r="E116" s="11"/>
    </row>
    <row r="117" spans="4:5" x14ac:dyDescent="0.2">
      <c r="D117" s="17"/>
      <c r="E117" s="11"/>
    </row>
    <row r="118" spans="4:5" x14ac:dyDescent="0.2">
      <c r="D118" s="17"/>
      <c r="E118" s="11"/>
    </row>
    <row r="119" spans="4:5" x14ac:dyDescent="0.2">
      <c r="D119" s="17"/>
      <c r="E119" s="11"/>
    </row>
    <row r="120" spans="4:5" x14ac:dyDescent="0.2">
      <c r="D120" s="17"/>
      <c r="E120" s="11"/>
    </row>
    <row r="121" spans="4:5" x14ac:dyDescent="0.2">
      <c r="D121" s="17"/>
      <c r="E121" s="11"/>
    </row>
    <row r="122" spans="4:5" x14ac:dyDescent="0.2">
      <c r="D122" s="17"/>
      <c r="E122" s="11"/>
    </row>
    <row r="123" spans="4:5" x14ac:dyDescent="0.2">
      <c r="D123" s="17"/>
      <c r="E123" s="11"/>
    </row>
    <row r="124" spans="4:5" x14ac:dyDescent="0.2">
      <c r="D124" s="17"/>
      <c r="E124" s="11"/>
    </row>
    <row r="125" spans="4:5" x14ac:dyDescent="0.2">
      <c r="D125" s="17"/>
      <c r="E125" s="11"/>
    </row>
    <row r="126" spans="4:5" x14ac:dyDescent="0.2">
      <c r="D126" s="17"/>
      <c r="E126" s="11"/>
    </row>
    <row r="127" spans="4:5" x14ac:dyDescent="0.2">
      <c r="D127" s="17"/>
      <c r="E127" s="11"/>
    </row>
    <row r="128" spans="4:5" x14ac:dyDescent="0.2">
      <c r="D128" s="17"/>
      <c r="E128" s="11"/>
    </row>
    <row r="129" spans="4:5" x14ac:dyDescent="0.2">
      <c r="D129" s="17"/>
      <c r="E129" s="11"/>
    </row>
    <row r="130" spans="4:5" x14ac:dyDescent="0.2">
      <c r="D130" s="17"/>
      <c r="E130" s="11"/>
    </row>
    <row r="131" spans="4:5" x14ac:dyDescent="0.2">
      <c r="D131" s="17"/>
      <c r="E131" s="11"/>
    </row>
    <row r="132" spans="4:5" x14ac:dyDescent="0.2">
      <c r="D132" s="17"/>
      <c r="E132" s="11"/>
    </row>
    <row r="133" spans="4:5" x14ac:dyDescent="0.2">
      <c r="D133" s="17"/>
      <c r="E133" s="11"/>
    </row>
    <row r="134" spans="4:5" x14ac:dyDescent="0.2">
      <c r="D134" s="17"/>
      <c r="E134" s="11"/>
    </row>
    <row r="135" spans="4:5" x14ac:dyDescent="0.2">
      <c r="D135" s="17"/>
      <c r="E135" s="11"/>
    </row>
    <row r="136" spans="4:5" x14ac:dyDescent="0.2">
      <c r="D136" s="17"/>
      <c r="E136" s="11"/>
    </row>
    <row r="137" spans="4:5" x14ac:dyDescent="0.2">
      <c r="D137" s="17"/>
      <c r="E137" s="11"/>
    </row>
    <row r="138" spans="4:5" x14ac:dyDescent="0.2">
      <c r="D138" s="17"/>
      <c r="E138" s="11"/>
    </row>
    <row r="139" spans="4:5" x14ac:dyDescent="0.2">
      <c r="D139" s="17"/>
      <c r="E139" s="11"/>
    </row>
    <row r="140" spans="4:5" x14ac:dyDescent="0.2">
      <c r="D140" s="17"/>
      <c r="E140" s="11"/>
    </row>
    <row r="141" spans="4:5" x14ac:dyDescent="0.2">
      <c r="D141" s="17"/>
      <c r="E141" s="11"/>
    </row>
    <row r="142" spans="4:5" x14ac:dyDescent="0.2">
      <c r="D142" s="17"/>
      <c r="E142" s="11"/>
    </row>
    <row r="143" spans="4:5" x14ac:dyDescent="0.2">
      <c r="D143" s="17"/>
      <c r="E143" s="11"/>
    </row>
    <row r="144" spans="4:5" x14ac:dyDescent="0.2">
      <c r="D144" s="17"/>
      <c r="E144" s="11"/>
    </row>
    <row r="145" spans="4:5" x14ac:dyDescent="0.2">
      <c r="D145" s="17"/>
      <c r="E145" s="11"/>
    </row>
    <row r="146" spans="4:5" x14ac:dyDescent="0.2">
      <c r="D146" s="17"/>
      <c r="E146" s="11"/>
    </row>
    <row r="147" spans="4:5" x14ac:dyDescent="0.2">
      <c r="D147" s="17"/>
      <c r="E147" s="11"/>
    </row>
    <row r="148" spans="4:5" x14ac:dyDescent="0.2">
      <c r="D148" s="17"/>
    </row>
    <row r="149" spans="4:5" x14ac:dyDescent="0.2">
      <c r="D149" s="17"/>
    </row>
    <row r="150" spans="4:5" x14ac:dyDescent="0.2">
      <c r="D150" s="17"/>
    </row>
    <row r="151" spans="4:5" x14ac:dyDescent="0.2">
      <c r="D151" s="17"/>
    </row>
    <row r="152" spans="4:5" x14ac:dyDescent="0.2">
      <c r="D152" s="17"/>
    </row>
    <row r="153" spans="4:5" x14ac:dyDescent="0.2">
      <c r="D153" s="17"/>
    </row>
    <row r="154" spans="4:5" x14ac:dyDescent="0.2">
      <c r="D154" s="17"/>
    </row>
    <row r="155" spans="4:5" x14ac:dyDescent="0.2">
      <c r="D155" s="17"/>
    </row>
    <row r="156" spans="4:5" x14ac:dyDescent="0.2">
      <c r="D156" s="17"/>
    </row>
    <row r="157" spans="4:5" x14ac:dyDescent="0.2">
      <c r="D157" s="17"/>
    </row>
    <row r="158" spans="4:5" x14ac:dyDescent="0.2">
      <c r="D158" s="17"/>
    </row>
    <row r="159" spans="4:5" x14ac:dyDescent="0.2">
      <c r="D159" s="17"/>
    </row>
    <row r="160" spans="4:5" x14ac:dyDescent="0.2">
      <c r="D160" s="17"/>
    </row>
    <row r="161" spans="4:4" x14ac:dyDescent="0.2">
      <c r="D161" s="17"/>
    </row>
    <row r="162" spans="4:4" x14ac:dyDescent="0.2">
      <c r="D162" s="17"/>
    </row>
    <row r="163" spans="4:4" x14ac:dyDescent="0.2">
      <c r="D163" s="17"/>
    </row>
    <row r="164" spans="4:4" x14ac:dyDescent="0.2">
      <c r="D164" s="17"/>
    </row>
    <row r="165" spans="4:4" x14ac:dyDescent="0.2">
      <c r="D165" s="17"/>
    </row>
    <row r="166" spans="4:4" x14ac:dyDescent="0.2">
      <c r="D166" s="17"/>
    </row>
    <row r="167" spans="4:4" x14ac:dyDescent="0.2">
      <c r="D167" s="17"/>
    </row>
    <row r="168" spans="4:4" x14ac:dyDescent="0.2">
      <c r="D168" s="17"/>
    </row>
    <row r="169" spans="4:4" x14ac:dyDescent="0.2">
      <c r="D169" s="17"/>
    </row>
    <row r="170" spans="4:4" x14ac:dyDescent="0.2">
      <c r="D170" s="17"/>
    </row>
    <row r="171" spans="4:4" x14ac:dyDescent="0.2">
      <c r="D171" s="17"/>
    </row>
    <row r="172" spans="4:4" x14ac:dyDescent="0.2">
      <c r="D172" s="17"/>
    </row>
    <row r="173" spans="4:4" x14ac:dyDescent="0.2">
      <c r="D173" s="17"/>
    </row>
    <row r="174" spans="4:4" x14ac:dyDescent="0.2">
      <c r="D174" s="17"/>
    </row>
    <row r="175" spans="4:4" x14ac:dyDescent="0.2">
      <c r="D175" s="17"/>
    </row>
    <row r="176" spans="4:4" x14ac:dyDescent="0.2">
      <c r="D176" s="17"/>
    </row>
    <row r="177" spans="4:4" x14ac:dyDescent="0.2">
      <c r="D177" s="17"/>
    </row>
    <row r="178" spans="4:4" x14ac:dyDescent="0.2">
      <c r="D178" s="17"/>
    </row>
    <row r="179" spans="4:4" x14ac:dyDescent="0.2">
      <c r="D179" s="17"/>
    </row>
    <row r="180" spans="4:4" x14ac:dyDescent="0.2">
      <c r="D180" s="17"/>
    </row>
    <row r="181" spans="4:4" x14ac:dyDescent="0.2">
      <c r="D181" s="17"/>
    </row>
    <row r="182" spans="4:4" x14ac:dyDescent="0.2">
      <c r="D182" s="17"/>
    </row>
    <row r="183" spans="4:4" x14ac:dyDescent="0.2">
      <c r="D183" s="17"/>
    </row>
    <row r="184" spans="4:4" x14ac:dyDescent="0.2">
      <c r="D184" s="17"/>
    </row>
    <row r="185" spans="4:4" x14ac:dyDescent="0.2">
      <c r="D185" s="17"/>
    </row>
    <row r="186" spans="4:4" x14ac:dyDescent="0.2">
      <c r="D186" s="17"/>
    </row>
    <row r="187" spans="4:4" x14ac:dyDescent="0.2">
      <c r="D187" s="17"/>
    </row>
    <row r="188" spans="4:4" x14ac:dyDescent="0.2">
      <c r="D188" s="17"/>
    </row>
    <row r="189" spans="4:4" x14ac:dyDescent="0.2">
      <c r="D189" s="17"/>
    </row>
    <row r="190" spans="4:4" x14ac:dyDescent="0.2">
      <c r="D190" s="17"/>
    </row>
    <row r="191" spans="4:4" x14ac:dyDescent="0.2">
      <c r="D191" s="17"/>
    </row>
    <row r="192" spans="4:4" x14ac:dyDescent="0.2">
      <c r="D192" s="17"/>
    </row>
    <row r="193" spans="4:4" x14ac:dyDescent="0.2">
      <c r="D193" s="17"/>
    </row>
    <row r="194" spans="4:4" x14ac:dyDescent="0.2">
      <c r="D194" s="17"/>
    </row>
    <row r="195" spans="4:4" x14ac:dyDescent="0.2">
      <c r="D195" s="17"/>
    </row>
    <row r="196" spans="4:4" x14ac:dyDescent="0.2">
      <c r="D196" s="17"/>
    </row>
    <row r="197" spans="4:4" x14ac:dyDescent="0.2">
      <c r="D197" s="17"/>
    </row>
    <row r="198" spans="4:4" x14ac:dyDescent="0.2">
      <c r="D198" s="17"/>
    </row>
    <row r="199" spans="4:4" x14ac:dyDescent="0.2">
      <c r="D199" s="17"/>
    </row>
    <row r="200" spans="4:4" x14ac:dyDescent="0.2">
      <c r="D200" s="17"/>
    </row>
    <row r="201" spans="4:4" x14ac:dyDescent="0.2">
      <c r="D201" s="17"/>
    </row>
    <row r="202" spans="4:4" x14ac:dyDescent="0.2">
      <c r="D202" s="17"/>
    </row>
    <row r="203" spans="4:4" x14ac:dyDescent="0.2">
      <c r="D203" s="17"/>
    </row>
    <row r="204" spans="4:4" x14ac:dyDescent="0.2">
      <c r="D204" s="17"/>
    </row>
    <row r="205" spans="4:4" x14ac:dyDescent="0.2">
      <c r="D205" s="17"/>
    </row>
    <row r="206" spans="4:4" x14ac:dyDescent="0.2">
      <c r="D206" s="17"/>
    </row>
    <row r="207" spans="4:4" x14ac:dyDescent="0.2">
      <c r="D207" s="17"/>
    </row>
    <row r="208" spans="4:4" x14ac:dyDescent="0.2">
      <c r="D208" s="17"/>
    </row>
    <row r="209" spans="4:4" x14ac:dyDescent="0.2">
      <c r="D209" s="17"/>
    </row>
    <row r="210" spans="4:4" x14ac:dyDescent="0.2">
      <c r="D210" s="17"/>
    </row>
    <row r="211" spans="4:4" x14ac:dyDescent="0.2">
      <c r="D211" s="17"/>
    </row>
    <row r="212" spans="4:4" x14ac:dyDescent="0.2">
      <c r="D212" s="17"/>
    </row>
    <row r="213" spans="4:4" x14ac:dyDescent="0.2">
      <c r="D213" s="17"/>
    </row>
    <row r="214" spans="4:4" x14ac:dyDescent="0.2">
      <c r="D214" s="17"/>
    </row>
    <row r="215" spans="4:4" x14ac:dyDescent="0.2">
      <c r="D215" s="17"/>
    </row>
    <row r="216" spans="4:4" x14ac:dyDescent="0.2">
      <c r="D216" s="17"/>
    </row>
    <row r="217" spans="4:4" x14ac:dyDescent="0.2">
      <c r="D217" s="17"/>
    </row>
    <row r="218" spans="4:4" x14ac:dyDescent="0.2">
      <c r="D218" s="17"/>
    </row>
    <row r="219" spans="4:4" x14ac:dyDescent="0.2">
      <c r="D219" s="17"/>
    </row>
    <row r="220" spans="4:4" x14ac:dyDescent="0.2">
      <c r="D220" s="17"/>
    </row>
    <row r="221" spans="4:4" x14ac:dyDescent="0.2">
      <c r="D221" s="17"/>
    </row>
    <row r="222" spans="4:4" x14ac:dyDescent="0.2">
      <c r="D222" s="17"/>
    </row>
    <row r="223" spans="4:4" x14ac:dyDescent="0.2">
      <c r="D223" s="17"/>
    </row>
    <row r="224" spans="4:4" x14ac:dyDescent="0.2">
      <c r="D224" s="17"/>
    </row>
    <row r="225" spans="4:4" x14ac:dyDescent="0.2">
      <c r="D225" s="17"/>
    </row>
    <row r="226" spans="4:4" x14ac:dyDescent="0.2">
      <c r="D226" s="17"/>
    </row>
    <row r="227" spans="4:4" x14ac:dyDescent="0.2">
      <c r="D227" s="17"/>
    </row>
    <row r="228" spans="4:4" x14ac:dyDescent="0.2">
      <c r="D228" s="17"/>
    </row>
    <row r="229" spans="4:4" x14ac:dyDescent="0.2">
      <c r="D229" s="17"/>
    </row>
    <row r="230" spans="4:4" x14ac:dyDescent="0.2">
      <c r="D230" s="17"/>
    </row>
    <row r="231" spans="4:4" x14ac:dyDescent="0.2">
      <c r="D231" s="17"/>
    </row>
    <row r="232" spans="4:4" x14ac:dyDescent="0.2">
      <c r="D232" s="17"/>
    </row>
    <row r="233" spans="4:4" x14ac:dyDescent="0.2">
      <c r="D233" s="17"/>
    </row>
    <row r="234" spans="4:4" x14ac:dyDescent="0.2">
      <c r="D234" s="17"/>
    </row>
    <row r="235" spans="4:4" x14ac:dyDescent="0.2">
      <c r="D235" s="17"/>
    </row>
    <row r="236" spans="4:4" x14ac:dyDescent="0.2">
      <c r="D236" s="17"/>
    </row>
    <row r="237" spans="4:4" x14ac:dyDescent="0.2">
      <c r="D237" s="17"/>
    </row>
    <row r="238" spans="4:4" x14ac:dyDescent="0.2">
      <c r="D238" s="17"/>
    </row>
    <row r="239" spans="4:4" x14ac:dyDescent="0.2">
      <c r="D239" s="17"/>
    </row>
    <row r="240" spans="4:4" x14ac:dyDescent="0.2">
      <c r="D240" s="17"/>
    </row>
    <row r="241" spans="4:4" x14ac:dyDescent="0.2">
      <c r="D241" s="17"/>
    </row>
    <row r="242" spans="4:4" x14ac:dyDescent="0.2">
      <c r="D242" s="17"/>
    </row>
    <row r="243" spans="4:4" x14ac:dyDescent="0.2">
      <c r="D243" s="17"/>
    </row>
    <row r="244" spans="4:4" x14ac:dyDescent="0.2">
      <c r="D244" s="17"/>
    </row>
    <row r="245" spans="4:4" x14ac:dyDescent="0.2">
      <c r="D245" s="17"/>
    </row>
    <row r="246" spans="4:4" x14ac:dyDescent="0.2">
      <c r="D246" s="17"/>
    </row>
    <row r="247" spans="4:4" x14ac:dyDescent="0.2">
      <c r="D247" s="17"/>
    </row>
    <row r="248" spans="4:4" x14ac:dyDescent="0.2">
      <c r="D248" s="17"/>
    </row>
    <row r="249" spans="4:4" x14ac:dyDescent="0.2">
      <c r="D249" s="17"/>
    </row>
    <row r="250" spans="4:4" x14ac:dyDescent="0.2">
      <c r="D250" s="17"/>
    </row>
    <row r="251" spans="4:4" x14ac:dyDescent="0.2">
      <c r="D251" s="17"/>
    </row>
    <row r="252" spans="4:4" x14ac:dyDescent="0.2">
      <c r="D252" s="17"/>
    </row>
    <row r="253" spans="4:4" x14ac:dyDescent="0.2">
      <c r="D253" s="17"/>
    </row>
    <row r="254" spans="4:4" x14ac:dyDescent="0.2">
      <c r="D254" s="17"/>
    </row>
    <row r="255" spans="4:4" x14ac:dyDescent="0.2">
      <c r="D255" s="17"/>
    </row>
    <row r="256" spans="4:4" x14ac:dyDescent="0.2">
      <c r="D256" s="17"/>
    </row>
    <row r="257" spans="4:4" x14ac:dyDescent="0.2">
      <c r="D257" s="17"/>
    </row>
    <row r="258" spans="4:4" x14ac:dyDescent="0.2">
      <c r="D258" s="17"/>
    </row>
    <row r="259" spans="4:4" x14ac:dyDescent="0.2">
      <c r="D259" s="17"/>
    </row>
    <row r="260" spans="4:4" x14ac:dyDescent="0.2">
      <c r="D260" s="17"/>
    </row>
    <row r="261" spans="4:4" x14ac:dyDescent="0.2">
      <c r="D261" s="17"/>
    </row>
    <row r="262" spans="4:4" x14ac:dyDescent="0.2">
      <c r="D262" s="17"/>
    </row>
    <row r="263" spans="4:4" x14ac:dyDescent="0.2">
      <c r="D263" s="17"/>
    </row>
    <row r="264" spans="4:4" x14ac:dyDescent="0.2">
      <c r="D264" s="17"/>
    </row>
    <row r="265" spans="4:4" x14ac:dyDescent="0.2">
      <c r="D265" s="17"/>
    </row>
    <row r="266" spans="4:4" x14ac:dyDescent="0.2">
      <c r="D266" s="17"/>
    </row>
    <row r="267" spans="4:4" x14ac:dyDescent="0.2">
      <c r="D267" s="17"/>
    </row>
    <row r="268" spans="4:4" x14ac:dyDescent="0.2">
      <c r="D268" s="17"/>
    </row>
    <row r="269" spans="4:4" x14ac:dyDescent="0.2">
      <c r="D269" s="17"/>
    </row>
    <row r="270" spans="4:4" x14ac:dyDescent="0.2">
      <c r="D270" s="17"/>
    </row>
    <row r="271" spans="4:4" x14ac:dyDescent="0.2">
      <c r="D271" s="17"/>
    </row>
    <row r="272" spans="4:4" x14ac:dyDescent="0.2">
      <c r="D272" s="17"/>
    </row>
    <row r="273" spans="4:4" x14ac:dyDescent="0.2">
      <c r="D273" s="17"/>
    </row>
    <row r="274" spans="4:4" x14ac:dyDescent="0.2">
      <c r="D274" s="17"/>
    </row>
    <row r="275" spans="4:4" x14ac:dyDescent="0.2">
      <c r="D275" s="17"/>
    </row>
    <row r="276" spans="4:4" x14ac:dyDescent="0.2">
      <c r="D276" s="17"/>
    </row>
    <row r="277" spans="4:4" x14ac:dyDescent="0.2">
      <c r="D277" s="17"/>
    </row>
    <row r="278" spans="4:4" x14ac:dyDescent="0.2">
      <c r="D278" s="17"/>
    </row>
    <row r="279" spans="4:4" x14ac:dyDescent="0.2">
      <c r="D279" s="17"/>
    </row>
    <row r="280" spans="4:4" x14ac:dyDescent="0.2">
      <c r="D280" s="17"/>
    </row>
    <row r="281" spans="4:4" x14ac:dyDescent="0.2">
      <c r="D281" s="17"/>
    </row>
    <row r="282" spans="4:4" x14ac:dyDescent="0.2">
      <c r="D282" s="17"/>
    </row>
    <row r="283" spans="4:4" x14ac:dyDescent="0.2">
      <c r="D283" s="17"/>
    </row>
    <row r="284" spans="4:4" x14ac:dyDescent="0.2">
      <c r="D284" s="17"/>
    </row>
    <row r="285" spans="4:4" x14ac:dyDescent="0.2">
      <c r="D285" s="17"/>
    </row>
    <row r="286" spans="4:4" x14ac:dyDescent="0.2">
      <c r="D286" s="17"/>
    </row>
    <row r="287" spans="4:4" x14ac:dyDescent="0.2">
      <c r="D287" s="17"/>
    </row>
    <row r="288" spans="4:4" x14ac:dyDescent="0.2">
      <c r="D288" s="17"/>
    </row>
    <row r="289" spans="4:4" x14ac:dyDescent="0.2">
      <c r="D289" s="17"/>
    </row>
    <row r="290" spans="4:4" x14ac:dyDescent="0.2">
      <c r="D290" s="17"/>
    </row>
    <row r="291" spans="4:4" x14ac:dyDescent="0.2">
      <c r="D291" s="17"/>
    </row>
    <row r="292" spans="4:4" x14ac:dyDescent="0.2">
      <c r="D292" s="17"/>
    </row>
    <row r="293" spans="4:4" x14ac:dyDescent="0.2">
      <c r="D293" s="17"/>
    </row>
    <row r="294" spans="4:4" x14ac:dyDescent="0.2">
      <c r="D294" s="17"/>
    </row>
    <row r="295" spans="4:4" x14ac:dyDescent="0.2">
      <c r="D295" s="17"/>
    </row>
    <row r="296" spans="4:4" x14ac:dyDescent="0.2">
      <c r="D296" s="17"/>
    </row>
    <row r="297" spans="4:4" x14ac:dyDescent="0.2">
      <c r="D297" s="17"/>
    </row>
    <row r="298" spans="4:4" x14ac:dyDescent="0.2">
      <c r="D298" s="17"/>
    </row>
    <row r="299" spans="4:4" x14ac:dyDescent="0.2">
      <c r="D299" s="17"/>
    </row>
    <row r="300" spans="4:4" x14ac:dyDescent="0.2">
      <c r="D300" s="17"/>
    </row>
    <row r="301" spans="4:4" x14ac:dyDescent="0.2">
      <c r="D301" s="17"/>
    </row>
    <row r="302" spans="4:4" x14ac:dyDescent="0.2">
      <c r="D302" s="17"/>
    </row>
    <row r="303" spans="4:4" x14ac:dyDescent="0.2">
      <c r="D303" s="17"/>
    </row>
    <row r="304" spans="4:4" x14ac:dyDescent="0.2">
      <c r="D304" s="17"/>
    </row>
    <row r="305" spans="4:4" x14ac:dyDescent="0.2">
      <c r="D305" s="17"/>
    </row>
    <row r="306" spans="4:4" x14ac:dyDescent="0.2">
      <c r="D306" s="17"/>
    </row>
    <row r="307" spans="4:4" x14ac:dyDescent="0.2">
      <c r="D307" s="17"/>
    </row>
    <row r="308" spans="4:4" x14ac:dyDescent="0.2">
      <c r="D308" s="17"/>
    </row>
    <row r="309" spans="4:4" x14ac:dyDescent="0.2">
      <c r="D309" s="17"/>
    </row>
    <row r="310" spans="4:4" x14ac:dyDescent="0.2">
      <c r="D310" s="17"/>
    </row>
    <row r="311" spans="4:4" x14ac:dyDescent="0.2">
      <c r="D311" s="17"/>
    </row>
    <row r="312" spans="4:4" x14ac:dyDescent="0.2">
      <c r="D312" s="17"/>
    </row>
    <row r="313" spans="4:4" x14ac:dyDescent="0.2">
      <c r="D313" s="17"/>
    </row>
    <row r="314" spans="4:4" x14ac:dyDescent="0.2">
      <c r="D314" s="17"/>
    </row>
    <row r="315" spans="4:4" x14ac:dyDescent="0.2">
      <c r="D315" s="17"/>
    </row>
    <row r="316" spans="4:4" x14ac:dyDescent="0.2">
      <c r="D316" s="17"/>
    </row>
    <row r="317" spans="4:4" x14ac:dyDescent="0.2">
      <c r="D317" s="17"/>
    </row>
    <row r="318" spans="4:4" x14ac:dyDescent="0.2">
      <c r="D318" s="17"/>
    </row>
    <row r="319" spans="4:4" x14ac:dyDescent="0.2">
      <c r="D319" s="17"/>
    </row>
    <row r="320" spans="4:4" x14ac:dyDescent="0.2">
      <c r="D320" s="17"/>
    </row>
    <row r="321" spans="4:4" x14ac:dyDescent="0.2">
      <c r="D321" s="17"/>
    </row>
    <row r="322" spans="4:4" x14ac:dyDescent="0.2">
      <c r="D322" s="17"/>
    </row>
    <row r="323" spans="4:4" x14ac:dyDescent="0.2">
      <c r="D323" s="17"/>
    </row>
    <row r="324" spans="4:4" x14ac:dyDescent="0.2">
      <c r="D324" s="17"/>
    </row>
    <row r="325" spans="4:4" x14ac:dyDescent="0.2">
      <c r="D325" s="17"/>
    </row>
    <row r="326" spans="4:4" x14ac:dyDescent="0.2">
      <c r="D326" s="17"/>
    </row>
    <row r="327" spans="4:4" x14ac:dyDescent="0.2">
      <c r="D327" s="17"/>
    </row>
    <row r="328" spans="4:4" x14ac:dyDescent="0.2">
      <c r="D328" s="17"/>
    </row>
    <row r="329" spans="4:4" x14ac:dyDescent="0.2">
      <c r="D329" s="17"/>
    </row>
    <row r="330" spans="4:4" x14ac:dyDescent="0.2">
      <c r="D330" s="17"/>
    </row>
    <row r="331" spans="4:4" x14ac:dyDescent="0.2">
      <c r="D331" s="17"/>
    </row>
    <row r="332" spans="4:4" x14ac:dyDescent="0.2">
      <c r="D332" s="17"/>
    </row>
    <row r="333" spans="4:4" x14ac:dyDescent="0.2">
      <c r="D333" s="17"/>
    </row>
    <row r="334" spans="4:4" x14ac:dyDescent="0.2">
      <c r="D334" s="17"/>
    </row>
    <row r="335" spans="4:4" x14ac:dyDescent="0.2">
      <c r="D335" s="17"/>
    </row>
    <row r="336" spans="4:4" x14ac:dyDescent="0.2">
      <c r="D336" s="17"/>
    </row>
    <row r="337" spans="4:4" x14ac:dyDescent="0.2">
      <c r="D337" s="17"/>
    </row>
    <row r="338" spans="4:4" x14ac:dyDescent="0.2">
      <c r="D338" s="17"/>
    </row>
    <row r="339" spans="4:4" x14ac:dyDescent="0.2">
      <c r="D339" s="17"/>
    </row>
    <row r="340" spans="4:4" x14ac:dyDescent="0.2">
      <c r="D340" s="17"/>
    </row>
    <row r="341" spans="4:4" x14ac:dyDescent="0.2">
      <c r="D341" s="17"/>
    </row>
    <row r="342" spans="4:4" x14ac:dyDescent="0.2">
      <c r="D342" s="17"/>
    </row>
    <row r="343" spans="4:4" x14ac:dyDescent="0.2">
      <c r="D343" s="17"/>
    </row>
    <row r="344" spans="4:4" x14ac:dyDescent="0.2">
      <c r="D344" s="17"/>
    </row>
    <row r="345" spans="4:4" x14ac:dyDescent="0.2">
      <c r="D345" s="17"/>
    </row>
    <row r="346" spans="4:4" x14ac:dyDescent="0.2">
      <c r="D346" s="17"/>
    </row>
    <row r="347" spans="4:4" x14ac:dyDescent="0.2">
      <c r="D347" s="17"/>
    </row>
    <row r="348" spans="4:4" x14ac:dyDescent="0.2">
      <c r="D348" s="17"/>
    </row>
    <row r="349" spans="4:4" x14ac:dyDescent="0.2">
      <c r="D349" s="17"/>
    </row>
    <row r="350" spans="4:4" x14ac:dyDescent="0.2">
      <c r="D350" s="17"/>
    </row>
    <row r="351" spans="4:4" x14ac:dyDescent="0.2">
      <c r="D351" s="17"/>
    </row>
    <row r="352" spans="4:4" x14ac:dyDescent="0.2">
      <c r="D352" s="17"/>
    </row>
    <row r="353" spans="4:4" x14ac:dyDescent="0.2">
      <c r="D353" s="17"/>
    </row>
    <row r="354" spans="4:4" x14ac:dyDescent="0.2">
      <c r="D354" s="17"/>
    </row>
    <row r="355" spans="4:4" x14ac:dyDescent="0.2">
      <c r="D355" s="17"/>
    </row>
    <row r="356" spans="4:4" x14ac:dyDescent="0.2">
      <c r="D356" s="17"/>
    </row>
    <row r="357" spans="4:4" x14ac:dyDescent="0.2">
      <c r="D357" s="17"/>
    </row>
    <row r="358" spans="4:4" x14ac:dyDescent="0.2">
      <c r="D358" s="17"/>
    </row>
    <row r="359" spans="4:4" x14ac:dyDescent="0.2">
      <c r="D359" s="17"/>
    </row>
    <row r="360" spans="4:4" x14ac:dyDescent="0.2">
      <c r="D360" s="17"/>
    </row>
    <row r="361" spans="4:4" x14ac:dyDescent="0.2">
      <c r="D361" s="17"/>
    </row>
    <row r="362" spans="4:4" x14ac:dyDescent="0.2">
      <c r="D362" s="17"/>
    </row>
    <row r="363" spans="4:4" x14ac:dyDescent="0.2">
      <c r="D363" s="17"/>
    </row>
    <row r="364" spans="4:4" x14ac:dyDescent="0.2">
      <c r="D364" s="17"/>
    </row>
    <row r="365" spans="4:4" x14ac:dyDescent="0.2">
      <c r="D365" s="17"/>
    </row>
    <row r="366" spans="4:4" x14ac:dyDescent="0.2">
      <c r="D366" s="17"/>
    </row>
    <row r="367" spans="4:4" x14ac:dyDescent="0.2">
      <c r="D367" s="17"/>
    </row>
    <row r="368" spans="4:4" x14ac:dyDescent="0.2">
      <c r="D368" s="17"/>
    </row>
    <row r="369" spans="4:4" x14ac:dyDescent="0.2">
      <c r="D369" s="17"/>
    </row>
    <row r="370" spans="4:4" x14ac:dyDescent="0.2">
      <c r="D370" s="17"/>
    </row>
    <row r="371" spans="4:4" x14ac:dyDescent="0.2">
      <c r="D371" s="17"/>
    </row>
    <row r="372" spans="4:4" x14ac:dyDescent="0.2">
      <c r="D372" s="17"/>
    </row>
    <row r="373" spans="4:4" x14ac:dyDescent="0.2">
      <c r="D373" s="17"/>
    </row>
    <row r="374" spans="4:4" x14ac:dyDescent="0.2">
      <c r="D374" s="17"/>
    </row>
    <row r="375" spans="4:4" x14ac:dyDescent="0.2">
      <c r="D375" s="17"/>
    </row>
    <row r="376" spans="4:4" x14ac:dyDescent="0.2">
      <c r="D376" s="17"/>
    </row>
    <row r="377" spans="4:4" x14ac:dyDescent="0.2">
      <c r="D377" s="17"/>
    </row>
    <row r="378" spans="4:4" x14ac:dyDescent="0.2">
      <c r="D378" s="17"/>
    </row>
    <row r="379" spans="4:4" x14ac:dyDescent="0.2">
      <c r="D379" s="17"/>
    </row>
    <row r="380" spans="4:4" x14ac:dyDescent="0.2">
      <c r="D380" s="17"/>
    </row>
    <row r="381" spans="4:4" x14ac:dyDescent="0.2">
      <c r="D381" s="17"/>
    </row>
    <row r="382" spans="4:4" x14ac:dyDescent="0.2">
      <c r="D382" s="17"/>
    </row>
    <row r="383" spans="4:4" x14ac:dyDescent="0.2">
      <c r="D383" s="17"/>
    </row>
    <row r="384" spans="4:4" x14ac:dyDescent="0.2">
      <c r="D384" s="17"/>
    </row>
    <row r="385" spans="4:4" x14ac:dyDescent="0.2">
      <c r="D385" s="17"/>
    </row>
    <row r="386" spans="4:4" x14ac:dyDescent="0.2">
      <c r="D386" s="17"/>
    </row>
    <row r="387" spans="4:4" x14ac:dyDescent="0.2">
      <c r="D387" s="17"/>
    </row>
    <row r="388" spans="4:4" x14ac:dyDescent="0.2">
      <c r="D388" s="17"/>
    </row>
    <row r="389" spans="4:4" x14ac:dyDescent="0.2">
      <c r="D389" s="17"/>
    </row>
    <row r="390" spans="4:4" x14ac:dyDescent="0.2">
      <c r="D390" s="17"/>
    </row>
    <row r="391" spans="4:4" x14ac:dyDescent="0.2">
      <c r="D391" s="17"/>
    </row>
    <row r="392" spans="4:4" x14ac:dyDescent="0.2">
      <c r="D392" s="17"/>
    </row>
    <row r="393" spans="4:4" x14ac:dyDescent="0.2">
      <c r="D393" s="17"/>
    </row>
    <row r="394" spans="4:4" x14ac:dyDescent="0.2">
      <c r="D394" s="17"/>
    </row>
    <row r="395" spans="4:4" x14ac:dyDescent="0.2">
      <c r="D395" s="17"/>
    </row>
    <row r="396" spans="4:4" x14ac:dyDescent="0.2">
      <c r="D396" s="17"/>
    </row>
    <row r="397" spans="4:4" x14ac:dyDescent="0.2">
      <c r="D397" s="17"/>
    </row>
    <row r="398" spans="4:4" x14ac:dyDescent="0.2">
      <c r="D398" s="17"/>
    </row>
    <row r="399" spans="4:4" x14ac:dyDescent="0.2">
      <c r="D399" s="17"/>
    </row>
    <row r="400" spans="4:4" x14ac:dyDescent="0.2">
      <c r="D400" s="17"/>
    </row>
    <row r="401" spans="4:4" x14ac:dyDescent="0.2">
      <c r="D401" s="17"/>
    </row>
    <row r="402" spans="4:4" x14ac:dyDescent="0.2">
      <c r="D402" s="17"/>
    </row>
    <row r="403" spans="4:4" x14ac:dyDescent="0.2">
      <c r="D403" s="17"/>
    </row>
    <row r="404" spans="4:4" x14ac:dyDescent="0.2">
      <c r="D404" s="17"/>
    </row>
    <row r="405" spans="4:4" x14ac:dyDescent="0.2">
      <c r="D405" s="17"/>
    </row>
    <row r="406" spans="4:4" x14ac:dyDescent="0.2">
      <c r="D406" s="17"/>
    </row>
    <row r="407" spans="4:4" x14ac:dyDescent="0.2">
      <c r="D407" s="17"/>
    </row>
    <row r="408" spans="4:4" x14ac:dyDescent="0.2">
      <c r="D408" s="17"/>
    </row>
    <row r="409" spans="4:4" x14ac:dyDescent="0.2">
      <c r="D409" s="17"/>
    </row>
    <row r="410" spans="4:4" x14ac:dyDescent="0.2">
      <c r="D410" s="17"/>
    </row>
    <row r="411" spans="4:4" x14ac:dyDescent="0.2">
      <c r="D411" s="17"/>
    </row>
    <row r="412" spans="4:4" x14ac:dyDescent="0.2">
      <c r="D412" s="17"/>
    </row>
    <row r="413" spans="4:4" x14ac:dyDescent="0.2">
      <c r="D413" s="17"/>
    </row>
    <row r="414" spans="4:4" x14ac:dyDescent="0.2">
      <c r="D414" s="17"/>
    </row>
    <row r="415" spans="4:4" x14ac:dyDescent="0.2">
      <c r="D415" s="17"/>
    </row>
    <row r="416" spans="4:4" x14ac:dyDescent="0.2">
      <c r="D416" s="17"/>
    </row>
    <row r="417" spans="4:4" x14ac:dyDescent="0.2">
      <c r="D417" s="17"/>
    </row>
    <row r="418" spans="4:4" x14ac:dyDescent="0.2">
      <c r="D418" s="17"/>
    </row>
    <row r="419" spans="4:4" x14ac:dyDescent="0.2">
      <c r="D419" s="17"/>
    </row>
    <row r="420" spans="4:4" x14ac:dyDescent="0.2">
      <c r="D420" s="17"/>
    </row>
    <row r="421" spans="4:4" x14ac:dyDescent="0.2">
      <c r="D421" s="17"/>
    </row>
    <row r="422" spans="4:4" x14ac:dyDescent="0.2">
      <c r="D422" s="17"/>
    </row>
    <row r="423" spans="4:4" x14ac:dyDescent="0.2">
      <c r="D423" s="17"/>
    </row>
    <row r="424" spans="4:4" x14ac:dyDescent="0.2">
      <c r="D424" s="17"/>
    </row>
    <row r="425" spans="4:4" x14ac:dyDescent="0.2">
      <c r="D425" s="17"/>
    </row>
    <row r="426" spans="4:4" x14ac:dyDescent="0.2">
      <c r="D426" s="17"/>
    </row>
    <row r="427" spans="4:4" x14ac:dyDescent="0.2">
      <c r="D427" s="17"/>
    </row>
    <row r="428" spans="4:4" x14ac:dyDescent="0.2">
      <c r="D428" s="17"/>
    </row>
    <row r="429" spans="4:4" x14ac:dyDescent="0.2">
      <c r="D429" s="17"/>
    </row>
    <row r="430" spans="4:4" x14ac:dyDescent="0.2">
      <c r="D430" s="17"/>
    </row>
    <row r="431" spans="4:4" x14ac:dyDescent="0.2">
      <c r="D431" s="17"/>
    </row>
    <row r="432" spans="4:4" x14ac:dyDescent="0.2">
      <c r="D432" s="17"/>
    </row>
    <row r="433" spans="4:4" x14ac:dyDescent="0.2">
      <c r="D433" s="17"/>
    </row>
    <row r="434" spans="4:4" x14ac:dyDescent="0.2">
      <c r="D434" s="17"/>
    </row>
    <row r="435" spans="4:4" x14ac:dyDescent="0.2">
      <c r="D435" s="17"/>
    </row>
    <row r="436" spans="4:4" x14ac:dyDescent="0.2">
      <c r="D436" s="17"/>
    </row>
    <row r="437" spans="4:4" x14ac:dyDescent="0.2">
      <c r="D437" s="17"/>
    </row>
    <row r="438" spans="4:4" x14ac:dyDescent="0.2">
      <c r="D438" s="17"/>
    </row>
    <row r="439" spans="4:4" x14ac:dyDescent="0.2">
      <c r="D439" s="17"/>
    </row>
    <row r="440" spans="4:4" x14ac:dyDescent="0.2">
      <c r="D440" s="17"/>
    </row>
    <row r="441" spans="4:4" x14ac:dyDescent="0.2">
      <c r="D441" s="17"/>
    </row>
    <row r="442" spans="4:4" x14ac:dyDescent="0.2">
      <c r="D442" s="17"/>
    </row>
    <row r="443" spans="4:4" x14ac:dyDescent="0.2">
      <c r="D443" s="17"/>
    </row>
    <row r="444" spans="4:4" x14ac:dyDescent="0.2">
      <c r="D444" s="17"/>
    </row>
    <row r="445" spans="4:4" x14ac:dyDescent="0.2">
      <c r="D445" s="17"/>
    </row>
    <row r="446" spans="4:4" x14ac:dyDescent="0.2">
      <c r="D446" s="17"/>
    </row>
    <row r="447" spans="4:4" x14ac:dyDescent="0.2">
      <c r="D447" s="17"/>
    </row>
    <row r="448" spans="4:4" x14ac:dyDescent="0.2">
      <c r="D448" s="17"/>
    </row>
    <row r="449" spans="4:4" x14ac:dyDescent="0.2">
      <c r="D449" s="17"/>
    </row>
    <row r="450" spans="4:4" x14ac:dyDescent="0.2">
      <c r="D450" s="17"/>
    </row>
    <row r="451" spans="4:4" x14ac:dyDescent="0.2">
      <c r="D451" s="17"/>
    </row>
    <row r="452" spans="4:4" x14ac:dyDescent="0.2">
      <c r="D452" s="17"/>
    </row>
    <row r="453" spans="4:4" x14ac:dyDescent="0.2">
      <c r="D453" s="17"/>
    </row>
    <row r="454" spans="4:4" x14ac:dyDescent="0.2">
      <c r="D454" s="17"/>
    </row>
    <row r="455" spans="4:4" x14ac:dyDescent="0.2">
      <c r="D455" s="17"/>
    </row>
    <row r="456" spans="4:4" x14ac:dyDescent="0.2">
      <c r="D456" s="17"/>
    </row>
    <row r="457" spans="4:4" x14ac:dyDescent="0.2">
      <c r="D457" s="17"/>
    </row>
    <row r="458" spans="4:4" x14ac:dyDescent="0.2">
      <c r="D458" s="17"/>
    </row>
    <row r="459" spans="4:4" x14ac:dyDescent="0.2">
      <c r="D459" s="17"/>
    </row>
    <row r="460" spans="4:4" x14ac:dyDescent="0.2">
      <c r="D460" s="17"/>
    </row>
    <row r="461" spans="4:4" x14ac:dyDescent="0.2">
      <c r="D461" s="17"/>
    </row>
    <row r="462" spans="4:4" x14ac:dyDescent="0.2">
      <c r="D462" s="17"/>
    </row>
    <row r="463" spans="4:4" x14ac:dyDescent="0.2">
      <c r="D463" s="17"/>
    </row>
    <row r="464" spans="4:4" x14ac:dyDescent="0.2">
      <c r="D464" s="17"/>
    </row>
    <row r="465" spans="4:4" x14ac:dyDescent="0.2">
      <c r="D465" s="17"/>
    </row>
    <row r="466" spans="4:4" x14ac:dyDescent="0.2">
      <c r="D466" s="17"/>
    </row>
    <row r="467" spans="4:4" x14ac:dyDescent="0.2">
      <c r="D467" s="17"/>
    </row>
    <row r="468" spans="4:4" x14ac:dyDescent="0.2">
      <c r="D468" s="17"/>
    </row>
    <row r="469" spans="4:4" x14ac:dyDescent="0.2">
      <c r="D469" s="17"/>
    </row>
    <row r="470" spans="4:4" x14ac:dyDescent="0.2">
      <c r="D470" s="17"/>
    </row>
    <row r="471" spans="4:4" x14ac:dyDescent="0.2">
      <c r="D471" s="17"/>
    </row>
    <row r="472" spans="4:4" x14ac:dyDescent="0.2">
      <c r="D472" s="17"/>
    </row>
    <row r="473" spans="4:4" x14ac:dyDescent="0.2">
      <c r="D473" s="17"/>
    </row>
    <row r="474" spans="4:4" x14ac:dyDescent="0.2">
      <c r="D474" s="17"/>
    </row>
    <row r="475" spans="4:4" x14ac:dyDescent="0.2">
      <c r="D475" s="17"/>
    </row>
    <row r="476" spans="4:4" x14ac:dyDescent="0.2">
      <c r="D476" s="17"/>
    </row>
    <row r="477" spans="4:4" x14ac:dyDescent="0.2">
      <c r="D477" s="17"/>
    </row>
    <row r="478" spans="4:4" x14ac:dyDescent="0.2">
      <c r="D478" s="17"/>
    </row>
    <row r="479" spans="4:4" x14ac:dyDescent="0.2">
      <c r="D479" s="17"/>
    </row>
    <row r="480" spans="4:4" x14ac:dyDescent="0.2">
      <c r="D480" s="17"/>
    </row>
    <row r="481" spans="4:4" x14ac:dyDescent="0.2">
      <c r="D481" s="17"/>
    </row>
    <row r="482" spans="4:4" x14ac:dyDescent="0.2">
      <c r="D482" s="17"/>
    </row>
    <row r="483" spans="4:4" x14ac:dyDescent="0.2">
      <c r="D483" s="17"/>
    </row>
    <row r="484" spans="4:4" x14ac:dyDescent="0.2">
      <c r="D484" s="17"/>
    </row>
    <row r="485" spans="4:4" x14ac:dyDescent="0.2">
      <c r="D485" s="17"/>
    </row>
    <row r="486" spans="4:4" x14ac:dyDescent="0.2">
      <c r="D486" s="17"/>
    </row>
    <row r="487" spans="4:4" x14ac:dyDescent="0.2">
      <c r="D487" s="17"/>
    </row>
    <row r="488" spans="4:4" x14ac:dyDescent="0.2">
      <c r="D488" s="17"/>
    </row>
    <row r="489" spans="4:4" x14ac:dyDescent="0.2">
      <c r="D489" s="17"/>
    </row>
    <row r="490" spans="4:4" x14ac:dyDescent="0.2">
      <c r="D490" s="17"/>
    </row>
    <row r="491" spans="4:4" x14ac:dyDescent="0.2">
      <c r="D491" s="17"/>
    </row>
    <row r="492" spans="4:4" x14ac:dyDescent="0.2">
      <c r="D492" s="17"/>
    </row>
    <row r="493" spans="4:4" x14ac:dyDescent="0.2">
      <c r="D493" s="17"/>
    </row>
    <row r="494" spans="4:4" x14ac:dyDescent="0.2">
      <c r="D494" s="17"/>
    </row>
    <row r="495" spans="4:4" x14ac:dyDescent="0.2">
      <c r="D495" s="17"/>
    </row>
    <row r="496" spans="4:4" x14ac:dyDescent="0.2">
      <c r="D496" s="17"/>
    </row>
    <row r="497" spans="4:4" x14ac:dyDescent="0.2">
      <c r="D497" s="17"/>
    </row>
    <row r="498" spans="4:4" x14ac:dyDescent="0.2">
      <c r="D498" s="17"/>
    </row>
    <row r="499" spans="4:4" x14ac:dyDescent="0.2">
      <c r="D499" s="17"/>
    </row>
    <row r="500" spans="4:4" x14ac:dyDescent="0.2">
      <c r="D500" s="17"/>
    </row>
    <row r="501" spans="4:4" x14ac:dyDescent="0.2">
      <c r="D501" s="17"/>
    </row>
    <row r="502" spans="4:4" x14ac:dyDescent="0.2">
      <c r="D502" s="17"/>
    </row>
    <row r="503" spans="4:4" x14ac:dyDescent="0.2">
      <c r="D503" s="17"/>
    </row>
    <row r="504" spans="4:4" x14ac:dyDescent="0.2">
      <c r="D504" s="17"/>
    </row>
    <row r="505" spans="4:4" x14ac:dyDescent="0.2">
      <c r="D505" s="17"/>
    </row>
    <row r="506" spans="4:4" x14ac:dyDescent="0.2">
      <c r="D506" s="17"/>
    </row>
    <row r="507" spans="4:4" x14ac:dyDescent="0.2">
      <c r="D507" s="17"/>
    </row>
  </sheetData>
  <dataConsolidate link="1"/>
  <mergeCells count="1">
    <mergeCell ref="J1:P1"/>
  </mergeCells>
  <pageMargins left="0.511811024" right="0.511811024" top="0.78740157499999996" bottom="0.78740157499999996" header="0.31496062000000002" footer="0.31496062000000002"/>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EB9D-CC7F-43B8-B8AA-25EBFE7F3FB6}">
  <sheetPr codeName="Planilha14"/>
  <dimension ref="A1:AG507"/>
  <sheetViews>
    <sheetView showGridLines="0" zoomScale="85" zoomScaleNormal="85" workbookViewId="0">
      <selection activeCell="F6" sqref="F6"/>
    </sheetView>
  </sheetViews>
  <sheetFormatPr defaultRowHeight="12.75" x14ac:dyDescent="0.2"/>
  <cols>
    <col min="1" max="1" width="37.28515625" style="1" customWidth="1"/>
    <col min="2" max="2" width="13.28515625" style="1" bestFit="1" customWidth="1"/>
    <col min="3" max="3" width="10.140625" style="1" bestFit="1" customWidth="1"/>
    <col min="4" max="5" width="10.140625" style="1" customWidth="1"/>
    <col min="6" max="6" width="12" style="1" customWidth="1"/>
    <col min="7" max="9" width="9.140625" style="1"/>
    <col min="10" max="10" width="10.140625" style="1" bestFit="1" customWidth="1"/>
    <col min="11" max="11" width="9.140625" style="1"/>
    <col min="12" max="12" width="8.140625" style="1" customWidth="1"/>
    <col min="13" max="15" width="9.140625" style="1"/>
    <col min="16" max="17" width="10.140625" style="1" bestFit="1" customWidth="1"/>
    <col min="18" max="24" width="9.140625" style="1"/>
    <col min="25" max="25" width="10.140625" style="1" bestFit="1" customWidth="1"/>
    <col min="26" max="16384" width="9.140625" style="1"/>
  </cols>
  <sheetData>
    <row r="1" spans="1:33" ht="15.75" x14ac:dyDescent="0.25">
      <c r="A1" s="9" t="s">
        <v>146</v>
      </c>
    </row>
    <row r="3" spans="1:33" x14ac:dyDescent="0.2">
      <c r="A3" s="3" t="s">
        <v>512</v>
      </c>
      <c r="B3" s="1" t="str">
        <f>"https://www3.bcb.gov.br/sgspub/consultarmetadados/consultarMetadadosSeries.do?method=consultarMetadadosSeriesInternet&amp;hdOidSerieSelecionada="&amp;B4</f>
        <v>https://www3.bcb.gov.br/sgspub/consultarmetadados/consultarMetadadosSeries.do?method=consultarMetadadosSeriesInternet&amp;hdOidSerieSelecionada=433</v>
      </c>
    </row>
    <row r="4" spans="1:33" x14ac:dyDescent="0.2">
      <c r="A4" s="3" t="s">
        <v>60</v>
      </c>
      <c r="B4" s="18">
        <v>433</v>
      </c>
      <c r="D4" s="1" t="s">
        <v>556</v>
      </c>
      <c r="E4" s="1" t="s">
        <v>554</v>
      </c>
      <c r="F4" s="1" t="s">
        <v>12</v>
      </c>
      <c r="G4" s="1" t="s">
        <v>76</v>
      </c>
      <c r="H4" s="1" t="s">
        <v>550</v>
      </c>
      <c r="I4" s="1" t="s">
        <v>551</v>
      </c>
      <c r="J4" s="1" t="s">
        <v>552</v>
      </c>
      <c r="K4" s="1" t="s">
        <v>553</v>
      </c>
      <c r="L4" s="1" t="s">
        <v>546</v>
      </c>
      <c r="M4" s="1" t="s">
        <v>547</v>
      </c>
      <c r="N4" s="1" t="s">
        <v>548</v>
      </c>
      <c r="O4" s="1" t="s">
        <v>549</v>
      </c>
      <c r="Q4" s="1" t="s">
        <v>12</v>
      </c>
      <c r="R4" s="1" t="s">
        <v>76</v>
      </c>
      <c r="S4" s="1" t="s">
        <v>550</v>
      </c>
      <c r="T4" s="1" t="s">
        <v>551</v>
      </c>
      <c r="V4" s="1" t="s">
        <v>546</v>
      </c>
      <c r="W4" s="1" t="s">
        <v>547</v>
      </c>
      <c r="Y4" s="1" t="s">
        <v>12</v>
      </c>
      <c r="Z4" s="1" t="s">
        <v>76</v>
      </c>
      <c r="AA4" s="1" t="s">
        <v>550</v>
      </c>
      <c r="AB4" s="1" t="s">
        <v>551</v>
      </c>
      <c r="AC4" s="1" t="s">
        <v>552</v>
      </c>
      <c r="AD4" s="1" t="s">
        <v>546</v>
      </c>
      <c r="AE4" s="1" t="s">
        <v>547</v>
      </c>
      <c r="AF4" s="1" t="s">
        <v>548</v>
      </c>
    </row>
    <row r="5" spans="1:33" x14ac:dyDescent="0.2">
      <c r="A5" s="3" t="s">
        <v>63</v>
      </c>
      <c r="B5" s="14">
        <v>41275</v>
      </c>
      <c r="D5" s="1">
        <f t="shared" ref="D5:D51" si="0">IF(E5&gt;=$B$26,-99999999,0)</f>
        <v>-99999999</v>
      </c>
      <c r="E5" s="1">
        <f t="shared" ref="E5:E51" si="1">IF(F5&gt;=$B$26,99999999,0)</f>
        <v>99999999</v>
      </c>
      <c r="F5" s="17" t="str" cm="1">
        <f t="array" ref="F5">xlFOCUS_SGS($B$4,$B$5,$B$6,$B$7,$B$8)</f>
        <v># Barra de fórmulas aberta</v>
      </c>
      <c r="G5" s="11"/>
      <c r="H5" s="11" t="str" cm="1">
        <f t="array" ref="H5">xlFOCUS_ExpectativasMensais("IPCA",,$F5,WORKDAY(EDATE($F5,-2),-1,Holidays),WORKDAY(EDATE($F5,-2),-1,Holidays),0,"Mediana")</f>
        <v># Barra de fórmulas aberta</v>
      </c>
      <c r="I5" s="11" t="str" cm="1">
        <f t="array" ref="I5">xlFOCUS_ExpectativasMensais("IPCA",,$F5,WORKDAY(EDATE($F5,-1),-1,Holidays),WORKDAY(EDATE($F5,-1),-1,Holidays),0,"Mediana")</f>
        <v># Barra de fórmulas aberta</v>
      </c>
      <c r="J5" s="11" t="str" cm="1">
        <f t="array" ref="J5">xlFOCUS_ExpectativasMensais("IPCA",,$F5,WORKDAY(EDATE($F5,0),-1,Holidays),WORKDAY(EDATE($F5,0),-1,Holidays),0,"Mediana")</f>
        <v># Barra de fórmulas aberta</v>
      </c>
      <c r="K5" s="11" t="str" cm="1">
        <f t="array" ref="K5">xlFOCUS_ExpectativasMensais("IPCA",,$F5,WORKDAY(EDATE($F5,1),-1,Holidays),WORKDAY(EDATE($F5,1),-1,Holidays),0,"Mediana")</f>
        <v># Barra de fórmulas aberta</v>
      </c>
      <c r="L5" s="11" t="e">
        <f t="shared" ref="L5:L51" si="2">$G5-H5</f>
        <v>#VALUE!</v>
      </c>
      <c r="M5" s="11" t="e">
        <f t="shared" ref="M5:M51" si="3">$G5-I5</f>
        <v>#VALUE!</v>
      </c>
      <c r="N5" s="11" t="e">
        <f t="shared" ref="N5:N51" si="4">$G5-J5</f>
        <v>#VALUE!</v>
      </c>
      <c r="O5" s="11" t="e">
        <f t="shared" ref="O5:O51" si="5">$G5-K5</f>
        <v>#VALUE!</v>
      </c>
      <c r="Q5" s="17" t="str" cm="1">
        <f t="array" ref="Q5">xlFOCUS_SGS($B$12,$B$13,$B$14,$B$15,$B$16)</f>
        <v># Barra de fórmulas aberta</v>
      </c>
      <c r="R5" s="11"/>
      <c r="S5" s="11" t="str" cm="1">
        <f t="array" ref="S5">xlFOCUS_ExpectativasMensais("Câmbio",,$Q5,WORKDAY(EDATE($Q5,-2),-1,Holidays),WORKDAY(EDATE($Q5,-2),-1,Holidays),0,"Mediana")</f>
        <v># Barra de fórmulas aberta</v>
      </c>
      <c r="T5" s="11" t="str" cm="1">
        <f t="array" ref="T5">xlFOCUS_ExpectativasMensais("Câmbio",,$Q5,WORKDAY(EDATE($Q5,-1),-1,Holidays),WORKDAY(EDATE($Q5,-1),-1,Holidays),0,"Mediana")</f>
        <v># Barra de fórmulas aberta</v>
      </c>
      <c r="V5" s="11" t="e">
        <f t="shared" ref="V5:V51" si="6">($R5-S5)/S5*100</f>
        <v>#VALUE!</v>
      </c>
      <c r="W5" s="11" t="e">
        <f t="shared" ref="W5:W51" si="7">($R5-T5)/T5*100</f>
        <v>#VALUE!</v>
      </c>
      <c r="X5" s="11"/>
      <c r="Y5" s="17" t="str" cm="1">
        <f t="array" ref="Y5">xlFOCUS_SGS($B$19,$B$20,$B$21,$B$22,$B$23)</f>
        <v># Barra de fórmulas aberta</v>
      </c>
      <c r="Z5" s="11"/>
      <c r="AA5" s="11" t="str" cm="1">
        <f t="array" ref="AA5">xlFOCUS_ExpectativasMensais("IGP-M",,$Y5,WORKDAY(EDATE($Y5,-2),-1,Holidays),WORKDAY(EDATE($Y5,-2),-1,Holidays),0,"Mediana")</f>
        <v># Barra de fórmulas aberta</v>
      </c>
      <c r="AB5" s="11" t="str" cm="1">
        <f t="array" ref="AB5">xlFOCUS_ExpectativasMensais("IGP-M",,$Y5,WORKDAY(EDATE($Y5,-1),-1,Holidays),WORKDAY(EDATE($Y5,-1),-1,Holidays),0,"Mediana")</f>
        <v># Barra de fórmulas aberta</v>
      </c>
      <c r="AC5" s="11" t="str" cm="1">
        <f t="array" ref="AC5">xlFOCUS_ExpectativasMensais("IGP-M",,$Y5,WORKDAY(EDATE($Y5,0),-1,Holidays),WORKDAY(EDATE($Y5,0),-1,Holidays),0,"Mediana")</f>
        <v># Barra de fórmulas aberta</v>
      </c>
      <c r="AD5" s="11" t="e">
        <f t="shared" ref="AD5:AD51" si="8">$Z5-AA5</f>
        <v>#VALUE!</v>
      </c>
      <c r="AE5" s="11" t="e">
        <f t="shared" ref="AE5:AE51" si="9">$Z5-AB5</f>
        <v>#VALUE!</v>
      </c>
      <c r="AF5" s="11" t="e">
        <f t="shared" ref="AF5:AF51" si="10">$Z5-AC5</f>
        <v>#VALUE!</v>
      </c>
      <c r="AG5" s="11"/>
    </row>
    <row r="6" spans="1:33" x14ac:dyDescent="0.2">
      <c r="A6" s="3" t="s">
        <v>64</v>
      </c>
      <c r="B6" s="14">
        <v>42675</v>
      </c>
      <c r="D6" s="1">
        <f t="shared" si="0"/>
        <v>0</v>
      </c>
      <c r="E6" s="1">
        <f t="shared" si="1"/>
        <v>0</v>
      </c>
      <c r="F6" s="17"/>
      <c r="G6" s="11"/>
      <c r="H6" s="11" t="str" cm="1">
        <f t="array" ref="H6">xlFOCUS_ExpectativasMensais("IPCA",,$F6,WORKDAY(EDATE($F6,-2),-1,Holidays),WORKDAY(EDATE($F6,-2),-1,Holidays),0,"Mediana")</f>
        <v># Barra de fórmulas aberta</v>
      </c>
      <c r="I6" s="11" t="str" cm="1">
        <f t="array" ref="I6">xlFOCUS_ExpectativasMensais("IPCA",,$F6,WORKDAY(EDATE($F6,-1),-1,Holidays),WORKDAY(EDATE($F6,-1),-1,Holidays),0,"Mediana")</f>
        <v># Barra de fórmulas aberta</v>
      </c>
      <c r="J6" s="11" t="str" cm="1">
        <f t="array" ref="J6">xlFOCUS_ExpectativasMensais("IPCA",,$F6,WORKDAY(EDATE($F6,0),-1,Holidays),WORKDAY(EDATE($F6,0),-1,Holidays),0,"Mediana")</f>
        <v># Barra de fórmulas aberta</v>
      </c>
      <c r="K6" s="11" t="str" cm="1">
        <f t="array" ref="K6">xlFOCUS_ExpectativasMensais("IPCA",,$F6,WORKDAY(EDATE($F6,1),-1,Holidays),WORKDAY(EDATE($F6,1),-1,Holidays),0,"Mediana")</f>
        <v># Barra de fórmulas aberta</v>
      </c>
      <c r="L6" s="11" t="e">
        <f t="shared" si="2"/>
        <v>#VALUE!</v>
      </c>
      <c r="M6" s="11" t="e">
        <f t="shared" si="3"/>
        <v>#VALUE!</v>
      </c>
      <c r="N6" s="11" t="e">
        <f t="shared" si="4"/>
        <v>#VALUE!</v>
      </c>
      <c r="O6" s="11" t="e">
        <f t="shared" si="5"/>
        <v>#VALUE!</v>
      </c>
      <c r="Q6" s="17"/>
      <c r="R6" s="11"/>
      <c r="S6" s="11" t="str" cm="1">
        <f t="array" ref="S6">xlFOCUS_ExpectativasMensais("Câmbio",,$Q6,WORKDAY(EDATE($Q6,-2),-1,Holidays),WORKDAY(EDATE($Q6,-2),-1,Holidays),0,"Mediana")</f>
        <v># Barra de fórmulas aberta</v>
      </c>
      <c r="T6" s="11" t="str" cm="1">
        <f t="array" ref="T6">xlFOCUS_ExpectativasMensais("Câmbio",,$Q6,WORKDAY(EDATE($Q6,-1),-1,Holidays),WORKDAY(EDATE($Q6,-1),-1,Holidays),0,"Mediana")</f>
        <v># Barra de fórmulas aberta</v>
      </c>
      <c r="V6" s="11" t="e">
        <f t="shared" si="6"/>
        <v>#VALUE!</v>
      </c>
      <c r="W6" s="11" t="e">
        <f t="shared" si="7"/>
        <v>#VALUE!</v>
      </c>
      <c r="X6" s="11"/>
      <c r="Y6" s="17"/>
      <c r="Z6" s="11"/>
      <c r="AA6" s="11" t="str" cm="1">
        <f t="array" ref="AA6">xlFOCUS_ExpectativasMensais("IGP-M",,$Y6,WORKDAY(EDATE($Y6,-2),-1,Holidays),WORKDAY(EDATE($Y6,-2),-1,Holidays),0,"Mediana")</f>
        <v># Barra de fórmulas aberta</v>
      </c>
      <c r="AB6" s="11" t="str" cm="1">
        <f t="array" ref="AB6">xlFOCUS_ExpectativasMensais("IGP-M",,$Y6,WORKDAY(EDATE($Y6,-1),-1,Holidays),WORKDAY(EDATE($Y6,-1),-1,Holidays),0,"Mediana")</f>
        <v># Barra de fórmulas aberta</v>
      </c>
      <c r="AC6" s="11" t="str" cm="1">
        <f t="array" ref="AC6">xlFOCUS_ExpectativasMensais("IGP-M",,$Y6,WORKDAY(EDATE($Y6,0),-1,Holidays),WORKDAY(EDATE($Y6,0),-1,Holidays),0,"Mediana")</f>
        <v># Barra de fórmulas aberta</v>
      </c>
      <c r="AD6" s="11" t="e">
        <f t="shared" si="8"/>
        <v>#VALUE!</v>
      </c>
      <c r="AE6" s="11" t="e">
        <f t="shared" si="9"/>
        <v>#VALUE!</v>
      </c>
      <c r="AF6" s="11" t="e">
        <f t="shared" si="10"/>
        <v>#VALUE!</v>
      </c>
      <c r="AG6" s="11"/>
    </row>
    <row r="7" spans="1:33" x14ac:dyDescent="0.2">
      <c r="A7" s="3" t="s">
        <v>148</v>
      </c>
      <c r="B7" s="18"/>
      <c r="D7" s="1">
        <f t="shared" si="0"/>
        <v>0</v>
      </c>
      <c r="E7" s="1">
        <f t="shared" si="1"/>
        <v>0</v>
      </c>
      <c r="F7" s="17"/>
      <c r="G7" s="11"/>
      <c r="H7" s="11" t="str" cm="1">
        <f t="array" ref="H7">xlFOCUS_ExpectativasMensais("IPCA",,$F7,WORKDAY(EDATE($F7,-2),-1,Holidays),WORKDAY(EDATE($F7,-2),-1,Holidays),0,"Mediana")</f>
        <v># Barra de fórmulas aberta</v>
      </c>
      <c r="I7" s="11" t="str" cm="1">
        <f t="array" ref="I7">xlFOCUS_ExpectativasMensais("IPCA",,$F7,WORKDAY(EDATE($F7,-1),-1,Holidays),WORKDAY(EDATE($F7,-1),-1,Holidays),0,"Mediana")</f>
        <v># Barra de fórmulas aberta</v>
      </c>
      <c r="J7" s="11" t="str" cm="1">
        <f t="array" ref="J7">xlFOCUS_ExpectativasMensais("IPCA",,$F7,WORKDAY(EDATE($F7,0),-1,Holidays),WORKDAY(EDATE($F7,0),-1,Holidays),0,"Mediana")</f>
        <v># Barra de fórmulas aberta</v>
      </c>
      <c r="K7" s="11" t="str" cm="1">
        <f t="array" ref="K7">xlFOCUS_ExpectativasMensais("IPCA",,$F7,WORKDAY(EDATE($F7,1),-1,Holidays),WORKDAY(EDATE($F7,1),-1,Holidays),0,"Mediana")</f>
        <v># Barra de fórmulas aberta</v>
      </c>
      <c r="L7" s="11" t="e">
        <f t="shared" si="2"/>
        <v>#VALUE!</v>
      </c>
      <c r="M7" s="11" t="e">
        <f t="shared" si="3"/>
        <v>#VALUE!</v>
      </c>
      <c r="N7" s="11" t="e">
        <f t="shared" si="4"/>
        <v>#VALUE!</v>
      </c>
      <c r="O7" s="11" t="e">
        <f t="shared" si="5"/>
        <v>#VALUE!</v>
      </c>
      <c r="Q7" s="17"/>
      <c r="R7" s="11"/>
      <c r="S7" s="11" t="str" cm="1">
        <f t="array" ref="S7">xlFOCUS_ExpectativasMensais("Câmbio",,$Q7,WORKDAY(EDATE($Q7,-2),-1,Holidays),WORKDAY(EDATE($Q7,-2),-1,Holidays),0,"Mediana")</f>
        <v># Barra de fórmulas aberta</v>
      </c>
      <c r="T7" s="11" t="str" cm="1">
        <f t="array" ref="T7">xlFOCUS_ExpectativasMensais("Câmbio",,$Q7,WORKDAY(EDATE($Q7,-1),-1,Holidays),WORKDAY(EDATE($Q7,-1),-1,Holidays),0,"Mediana")</f>
        <v># Barra de fórmulas aberta</v>
      </c>
      <c r="V7" s="11" t="e">
        <f t="shared" si="6"/>
        <v>#VALUE!</v>
      </c>
      <c r="W7" s="11" t="e">
        <f t="shared" si="7"/>
        <v>#VALUE!</v>
      </c>
      <c r="X7" s="11"/>
      <c r="Y7" s="17"/>
      <c r="Z7" s="11"/>
      <c r="AA7" s="11" t="str" cm="1">
        <f t="array" ref="AA7">xlFOCUS_ExpectativasMensais("IGP-M",,$Y7,WORKDAY(EDATE($Y7,-2),-1,Holidays),WORKDAY(EDATE($Y7,-2),-1,Holidays),0,"Mediana")</f>
        <v># Barra de fórmulas aberta</v>
      </c>
      <c r="AB7" s="11" t="str" cm="1">
        <f t="array" ref="AB7">xlFOCUS_ExpectativasMensais("IGP-M",,$Y7,WORKDAY(EDATE($Y7,-1),-1,Holidays),WORKDAY(EDATE($Y7,-1),-1,Holidays),0,"Mediana")</f>
        <v># Barra de fórmulas aberta</v>
      </c>
      <c r="AC7" s="11" t="str" cm="1">
        <f t="array" ref="AC7">xlFOCUS_ExpectativasMensais("IGP-M",,$Y7,WORKDAY(EDATE($Y7,0),-1,Holidays),WORKDAY(EDATE($Y7,0),-1,Holidays),0,"Mediana")</f>
        <v># Barra de fórmulas aberta</v>
      </c>
      <c r="AD7" s="11" t="e">
        <f t="shared" si="8"/>
        <v>#VALUE!</v>
      </c>
      <c r="AE7" s="11" t="e">
        <f t="shared" si="9"/>
        <v>#VALUE!</v>
      </c>
      <c r="AF7" s="11" t="e">
        <f t="shared" si="10"/>
        <v>#VALUE!</v>
      </c>
      <c r="AG7" s="11"/>
    </row>
    <row r="8" spans="1:33" x14ac:dyDescent="0.2">
      <c r="A8" s="3" t="s">
        <v>147</v>
      </c>
      <c r="B8" s="18">
        <v>2</v>
      </c>
      <c r="D8" s="1">
        <f t="shared" si="0"/>
        <v>0</v>
      </c>
      <c r="E8" s="1">
        <f t="shared" si="1"/>
        <v>0</v>
      </c>
      <c r="F8" s="17"/>
      <c r="G8" s="11"/>
      <c r="H8" s="11" t="str" cm="1">
        <f t="array" ref="H8">xlFOCUS_ExpectativasMensais("IPCA",,$F8,WORKDAY(EDATE($F8,-2),-1,Holidays),WORKDAY(EDATE($F8,-2),-1,Holidays),0,"Mediana")</f>
        <v># Barra de fórmulas aberta</v>
      </c>
      <c r="I8" s="11" t="str" cm="1">
        <f t="array" ref="I8">xlFOCUS_ExpectativasMensais("IPCA",,$F8,WORKDAY(EDATE($F8,-1),-1,Holidays),WORKDAY(EDATE($F8,-1),-1,Holidays),0,"Mediana")</f>
        <v># Barra de fórmulas aberta</v>
      </c>
      <c r="J8" s="11" t="str" cm="1">
        <f t="array" ref="J8">xlFOCUS_ExpectativasMensais("IPCA",,$F8,WORKDAY(EDATE($F8,0),-1,Holidays),WORKDAY(EDATE($F8,0),-1,Holidays),0,"Mediana")</f>
        <v># Barra de fórmulas aberta</v>
      </c>
      <c r="K8" s="11" t="str" cm="1">
        <f t="array" ref="K8">xlFOCUS_ExpectativasMensais("IPCA",,$F8,WORKDAY(EDATE($F8,1),-1,Holidays),WORKDAY(EDATE($F8,1),-1,Holidays),0,"Mediana")</f>
        <v># Barra de fórmulas aberta</v>
      </c>
      <c r="L8" s="11" t="e">
        <f t="shared" si="2"/>
        <v>#VALUE!</v>
      </c>
      <c r="M8" s="11" t="e">
        <f t="shared" si="3"/>
        <v>#VALUE!</v>
      </c>
      <c r="N8" s="11" t="e">
        <f t="shared" si="4"/>
        <v>#VALUE!</v>
      </c>
      <c r="O8" s="11" t="e">
        <f t="shared" si="5"/>
        <v>#VALUE!</v>
      </c>
      <c r="Q8" s="17"/>
      <c r="R8" s="11"/>
      <c r="S8" s="11" t="str" cm="1">
        <f t="array" ref="S8">xlFOCUS_ExpectativasMensais("Câmbio",,$Q8,WORKDAY(EDATE($Q8,-2),-1,Holidays),WORKDAY(EDATE($Q8,-2),-1,Holidays),0,"Mediana")</f>
        <v># Barra de fórmulas aberta</v>
      </c>
      <c r="T8" s="11" t="str" cm="1">
        <f t="array" ref="T8">xlFOCUS_ExpectativasMensais("Câmbio",,$Q8,WORKDAY(EDATE($Q8,-1),-1,Holidays),WORKDAY(EDATE($Q8,-1),-1,Holidays),0,"Mediana")</f>
        <v># Barra de fórmulas aberta</v>
      </c>
      <c r="V8" s="11" t="e">
        <f t="shared" si="6"/>
        <v>#VALUE!</v>
      </c>
      <c r="W8" s="11" t="e">
        <f t="shared" si="7"/>
        <v>#VALUE!</v>
      </c>
      <c r="X8" s="11"/>
      <c r="Y8" s="17"/>
      <c r="Z8" s="11"/>
      <c r="AA8" s="11" t="str" cm="1">
        <f t="array" ref="AA8">xlFOCUS_ExpectativasMensais("IGP-M",,$Y8,WORKDAY(EDATE($Y8,-2),-1,Holidays),WORKDAY(EDATE($Y8,-2),-1,Holidays),0,"Mediana")</f>
        <v># Barra de fórmulas aberta</v>
      </c>
      <c r="AB8" s="11" t="str" cm="1">
        <f t="array" ref="AB8">xlFOCUS_ExpectativasMensais("IGP-M",,$Y8,WORKDAY(EDATE($Y8,-1),-1,Holidays),WORKDAY(EDATE($Y8,-1),-1,Holidays),0,"Mediana")</f>
        <v># Barra de fórmulas aberta</v>
      </c>
      <c r="AC8" s="11" t="str" cm="1">
        <f t="array" ref="AC8">xlFOCUS_ExpectativasMensais("IGP-M",,$Y8,WORKDAY(EDATE($Y8,0),-1,Holidays),WORKDAY(EDATE($Y8,0),-1,Holidays),0,"Mediana")</f>
        <v># Barra de fórmulas aberta</v>
      </c>
      <c r="AD8" s="11" t="e">
        <f t="shared" si="8"/>
        <v>#VALUE!</v>
      </c>
      <c r="AE8" s="11" t="e">
        <f t="shared" si="9"/>
        <v>#VALUE!</v>
      </c>
      <c r="AF8" s="11" t="e">
        <f t="shared" si="10"/>
        <v>#VALUE!</v>
      </c>
      <c r="AG8" s="11"/>
    </row>
    <row r="9" spans="1:33" x14ac:dyDescent="0.2">
      <c r="D9" s="1">
        <f t="shared" si="0"/>
        <v>0</v>
      </c>
      <c r="E9" s="1">
        <f t="shared" si="1"/>
        <v>0</v>
      </c>
      <c r="F9" s="17"/>
      <c r="G9" s="11"/>
      <c r="H9" s="11" t="str" cm="1">
        <f t="array" ref="H9">xlFOCUS_ExpectativasMensais("IPCA",,$F9,WORKDAY(EDATE($F9,-2),-1,Holidays),WORKDAY(EDATE($F9,-2),-1,Holidays),0,"Mediana")</f>
        <v># Barra de fórmulas aberta</v>
      </c>
      <c r="I9" s="11" t="str" cm="1">
        <f t="array" ref="I9">xlFOCUS_ExpectativasMensais("IPCA",,$F9,WORKDAY(EDATE($F9,-1),-1,Holidays),WORKDAY(EDATE($F9,-1),-1,Holidays),0,"Mediana")</f>
        <v># Barra de fórmulas aberta</v>
      </c>
      <c r="J9" s="11" t="str" cm="1">
        <f t="array" ref="J9">xlFOCUS_ExpectativasMensais("IPCA",,$F9,WORKDAY(EDATE($F9,0),-1,Holidays),WORKDAY(EDATE($F9,0),-1,Holidays),0,"Mediana")</f>
        <v># Barra de fórmulas aberta</v>
      </c>
      <c r="K9" s="11" t="str" cm="1">
        <f t="array" ref="K9">xlFOCUS_ExpectativasMensais("IPCA",,$F9,WORKDAY(EDATE($F9,1),-1,Holidays),WORKDAY(EDATE($F9,1),-1,Holidays),0,"Mediana")</f>
        <v># Barra de fórmulas aberta</v>
      </c>
      <c r="L9" s="11" t="e">
        <f t="shared" si="2"/>
        <v>#VALUE!</v>
      </c>
      <c r="M9" s="11" t="e">
        <f t="shared" si="3"/>
        <v>#VALUE!</v>
      </c>
      <c r="N9" s="11" t="e">
        <f t="shared" si="4"/>
        <v>#VALUE!</v>
      </c>
      <c r="O9" s="11" t="e">
        <f t="shared" si="5"/>
        <v>#VALUE!</v>
      </c>
      <c r="Q9" s="17"/>
      <c r="R9" s="11"/>
      <c r="S9" s="11" t="str" cm="1">
        <f t="array" ref="S9">xlFOCUS_ExpectativasMensais("Câmbio",,$Q9,WORKDAY(EDATE($Q9,-2),-1,Holidays),WORKDAY(EDATE($Q9,-2),-1,Holidays),0,"Mediana")</f>
        <v># Barra de fórmulas aberta</v>
      </c>
      <c r="T9" s="11" t="str" cm="1">
        <f t="array" ref="T9">xlFOCUS_ExpectativasMensais("Câmbio",,$Q9,WORKDAY(EDATE($Q9,-1),-1,Holidays),WORKDAY(EDATE($Q9,-1),-1,Holidays),0,"Mediana")</f>
        <v># Barra de fórmulas aberta</v>
      </c>
      <c r="V9" s="11" t="e">
        <f t="shared" si="6"/>
        <v>#VALUE!</v>
      </c>
      <c r="W9" s="11" t="e">
        <f t="shared" si="7"/>
        <v>#VALUE!</v>
      </c>
      <c r="X9" s="11"/>
      <c r="Y9" s="17"/>
      <c r="Z9" s="11"/>
      <c r="AA9" s="11" t="str" cm="1">
        <f t="array" ref="AA9">xlFOCUS_ExpectativasMensais("IGP-M",,$Y9,WORKDAY(EDATE($Y9,-2),-1,Holidays),WORKDAY(EDATE($Y9,-2),-1,Holidays),0,"Mediana")</f>
        <v># Barra de fórmulas aberta</v>
      </c>
      <c r="AB9" s="11" t="str" cm="1">
        <f t="array" ref="AB9">xlFOCUS_ExpectativasMensais("IGP-M",,$Y9,WORKDAY(EDATE($Y9,-1),-1,Holidays),WORKDAY(EDATE($Y9,-1),-1,Holidays),0,"Mediana")</f>
        <v># Barra de fórmulas aberta</v>
      </c>
      <c r="AC9" s="11" t="str" cm="1">
        <f t="array" ref="AC9">xlFOCUS_ExpectativasMensais("IGP-M",,$Y9,WORKDAY(EDATE($Y9,0),-1,Holidays),WORKDAY(EDATE($Y9,0),-1,Holidays),0,"Mediana")</f>
        <v># Barra de fórmulas aberta</v>
      </c>
      <c r="AD9" s="11" t="e">
        <f t="shared" si="8"/>
        <v>#VALUE!</v>
      </c>
      <c r="AE9" s="11" t="e">
        <f t="shared" si="9"/>
        <v>#VALUE!</v>
      </c>
      <c r="AF9" s="11" t="e">
        <f t="shared" si="10"/>
        <v>#VALUE!</v>
      </c>
      <c r="AG9" s="11"/>
    </row>
    <row r="10" spans="1:33" x14ac:dyDescent="0.2">
      <c r="D10" s="1">
        <f t="shared" si="0"/>
        <v>0</v>
      </c>
      <c r="E10" s="1">
        <f t="shared" si="1"/>
        <v>0</v>
      </c>
      <c r="F10" s="17"/>
      <c r="G10" s="11"/>
      <c r="H10" s="11" t="str" cm="1">
        <f t="array" ref="H10">xlFOCUS_ExpectativasMensais("IPCA",,$F10,WORKDAY(EDATE($F10,-2),-1,Holidays),WORKDAY(EDATE($F10,-2),-1,Holidays),0,"Mediana")</f>
        <v># Barra de fórmulas aberta</v>
      </c>
      <c r="I10" s="11" t="str" cm="1">
        <f t="array" ref="I10">xlFOCUS_ExpectativasMensais("IPCA",,$F10,WORKDAY(EDATE($F10,-1),-1,Holidays),WORKDAY(EDATE($F10,-1),-1,Holidays),0,"Mediana")</f>
        <v># Barra de fórmulas aberta</v>
      </c>
      <c r="J10" s="11" t="str" cm="1">
        <f t="array" ref="J10">xlFOCUS_ExpectativasMensais("IPCA",,$F10,WORKDAY(EDATE($F10,0),-1,Holidays),WORKDAY(EDATE($F10,0),-1,Holidays),0,"Mediana")</f>
        <v># Barra de fórmulas aberta</v>
      </c>
      <c r="K10" s="11" t="str" cm="1">
        <f t="array" ref="K10">xlFOCUS_ExpectativasMensais("IPCA",,$F10,WORKDAY(EDATE($F10,1),-1,Holidays),WORKDAY(EDATE($F10,1),-1,Holidays),0,"Mediana")</f>
        <v># Barra de fórmulas aberta</v>
      </c>
      <c r="L10" s="11" t="e">
        <f t="shared" si="2"/>
        <v>#VALUE!</v>
      </c>
      <c r="M10" s="11" t="e">
        <f t="shared" si="3"/>
        <v>#VALUE!</v>
      </c>
      <c r="N10" s="11" t="e">
        <f t="shared" si="4"/>
        <v>#VALUE!</v>
      </c>
      <c r="O10" s="11" t="e">
        <f t="shared" si="5"/>
        <v>#VALUE!</v>
      </c>
      <c r="Q10" s="17"/>
      <c r="R10" s="11"/>
      <c r="S10" s="11" t="str" cm="1">
        <f t="array" ref="S10">xlFOCUS_ExpectativasMensais("Câmbio",,$Q10,WORKDAY(EDATE($Q10,-2),-1,Holidays),WORKDAY(EDATE($Q10,-2),-1,Holidays),0,"Mediana")</f>
        <v># Barra de fórmulas aberta</v>
      </c>
      <c r="T10" s="11" t="str" cm="1">
        <f t="array" ref="T10">xlFOCUS_ExpectativasMensais("Câmbio",,$Q10,WORKDAY(EDATE($Q10,-1),-1,Holidays),WORKDAY(EDATE($Q10,-1),-1,Holidays),0,"Mediana")</f>
        <v># Barra de fórmulas aberta</v>
      </c>
      <c r="V10" s="11" t="e">
        <f t="shared" si="6"/>
        <v>#VALUE!</v>
      </c>
      <c r="W10" s="11" t="e">
        <f t="shared" si="7"/>
        <v>#VALUE!</v>
      </c>
      <c r="X10" s="11"/>
      <c r="Y10" s="17"/>
      <c r="Z10" s="11"/>
      <c r="AA10" s="11" t="str" cm="1">
        <f t="array" ref="AA10">xlFOCUS_ExpectativasMensais("IGP-M",,$Y10,WORKDAY(EDATE($Y10,-2),-1,Holidays),WORKDAY(EDATE($Y10,-2),-1,Holidays),0,"Mediana")</f>
        <v># Barra de fórmulas aberta</v>
      </c>
      <c r="AB10" s="11" t="str" cm="1">
        <f t="array" ref="AB10">xlFOCUS_ExpectativasMensais("IGP-M",,$Y10,WORKDAY(EDATE($Y10,-1),-1,Holidays),WORKDAY(EDATE($Y10,-1),-1,Holidays),0,"Mediana")</f>
        <v># Barra de fórmulas aberta</v>
      </c>
      <c r="AC10" s="11" t="str" cm="1">
        <f t="array" ref="AC10">xlFOCUS_ExpectativasMensais("IGP-M",,$Y10,WORKDAY(EDATE($Y10,0),-1,Holidays),WORKDAY(EDATE($Y10,0),-1,Holidays),0,"Mediana")</f>
        <v># Barra de fórmulas aberta</v>
      </c>
      <c r="AD10" s="11" t="e">
        <f t="shared" si="8"/>
        <v>#VALUE!</v>
      </c>
      <c r="AE10" s="11" t="e">
        <f t="shared" si="9"/>
        <v>#VALUE!</v>
      </c>
      <c r="AF10" s="11" t="e">
        <f t="shared" si="10"/>
        <v>#VALUE!</v>
      </c>
      <c r="AG10" s="11"/>
    </row>
    <row r="11" spans="1:33" x14ac:dyDescent="0.2">
      <c r="A11" s="3" t="s">
        <v>512</v>
      </c>
      <c r="B11" s="1" t="str">
        <f>"https://www3.bcb.gov.br/sgspub/consultarmetadados/consultarMetadadosSeries.do?method=consultarMetadadosSeriesInternet&amp;hdOidSerieSelecionada="&amp;B12</f>
        <v>https://www3.bcb.gov.br/sgspub/consultarmetadados/consultarMetadadosSeries.do?method=consultarMetadadosSeriesInternet&amp;hdOidSerieSelecionada=3698</v>
      </c>
      <c r="D11" s="1">
        <f t="shared" si="0"/>
        <v>0</v>
      </c>
      <c r="E11" s="1">
        <f t="shared" si="1"/>
        <v>0</v>
      </c>
      <c r="F11" s="17"/>
      <c r="G11" s="11"/>
      <c r="H11" s="11" t="str" cm="1">
        <f t="array" ref="H11">xlFOCUS_ExpectativasMensais("IPCA",,$F11,WORKDAY(EDATE($F11,-2),-1,Holidays),WORKDAY(EDATE($F11,-2),-1,Holidays),0,"Mediana")</f>
        <v># Barra de fórmulas aberta</v>
      </c>
      <c r="I11" s="11" t="str" cm="1">
        <f t="array" ref="I11">xlFOCUS_ExpectativasMensais("IPCA",,$F11,WORKDAY(EDATE($F11,-1),-1,Holidays),WORKDAY(EDATE($F11,-1),-1,Holidays),0,"Mediana")</f>
        <v># Barra de fórmulas aberta</v>
      </c>
      <c r="J11" s="11" t="str" cm="1">
        <f t="array" ref="J11">xlFOCUS_ExpectativasMensais("IPCA",,$F11,WORKDAY(EDATE($F11,0),-1,Holidays),WORKDAY(EDATE($F11,0),-1,Holidays),0,"Mediana")</f>
        <v># Barra de fórmulas aberta</v>
      </c>
      <c r="K11" s="11" t="str" cm="1">
        <f t="array" ref="K11">xlFOCUS_ExpectativasMensais("IPCA",,$F11,WORKDAY(EDATE($F11,1),-1,Holidays),WORKDAY(EDATE($F11,1),-1,Holidays),0,"Mediana")</f>
        <v># Barra de fórmulas aberta</v>
      </c>
      <c r="L11" s="11" t="e">
        <f t="shared" si="2"/>
        <v>#VALUE!</v>
      </c>
      <c r="M11" s="11" t="e">
        <f t="shared" si="3"/>
        <v>#VALUE!</v>
      </c>
      <c r="N11" s="11" t="e">
        <f t="shared" si="4"/>
        <v>#VALUE!</v>
      </c>
      <c r="O11" s="11" t="e">
        <f t="shared" si="5"/>
        <v>#VALUE!</v>
      </c>
      <c r="Q11" s="17"/>
      <c r="R11" s="11"/>
      <c r="S11" s="11" t="str" cm="1">
        <f t="array" ref="S11">xlFOCUS_ExpectativasMensais("Câmbio",,$Q11,WORKDAY(EDATE($Q11,-2),-1,Holidays),WORKDAY(EDATE($Q11,-2),-1,Holidays),0,"Mediana")</f>
        <v># Barra de fórmulas aberta</v>
      </c>
      <c r="T11" s="11" t="str" cm="1">
        <f t="array" ref="T11">xlFOCUS_ExpectativasMensais("Câmbio",,$Q11,WORKDAY(EDATE($Q11,-1),-1,Holidays),WORKDAY(EDATE($Q11,-1),-1,Holidays),0,"Mediana")</f>
        <v># Barra de fórmulas aberta</v>
      </c>
      <c r="V11" s="11" t="e">
        <f t="shared" si="6"/>
        <v>#VALUE!</v>
      </c>
      <c r="W11" s="11" t="e">
        <f t="shared" si="7"/>
        <v>#VALUE!</v>
      </c>
      <c r="X11" s="11"/>
      <c r="Y11" s="17"/>
      <c r="Z11" s="11"/>
      <c r="AA11" s="11" t="str" cm="1">
        <f t="array" ref="AA11">xlFOCUS_ExpectativasMensais("IGP-M",,$Y11,WORKDAY(EDATE($Y11,-2),-1,Holidays),WORKDAY(EDATE($Y11,-2),-1,Holidays),0,"Mediana")</f>
        <v># Barra de fórmulas aberta</v>
      </c>
      <c r="AB11" s="11" t="str" cm="1">
        <f t="array" ref="AB11">xlFOCUS_ExpectativasMensais("IGP-M",,$Y11,WORKDAY(EDATE($Y11,-1),-1,Holidays),WORKDAY(EDATE($Y11,-1),-1,Holidays),0,"Mediana")</f>
        <v># Barra de fórmulas aberta</v>
      </c>
      <c r="AC11" s="11" t="str" cm="1">
        <f t="array" ref="AC11">xlFOCUS_ExpectativasMensais("IGP-M",,$Y11,WORKDAY(EDATE($Y11,0),-1,Holidays),WORKDAY(EDATE($Y11,0),-1,Holidays),0,"Mediana")</f>
        <v># Barra de fórmulas aberta</v>
      </c>
      <c r="AD11" s="11" t="e">
        <f t="shared" si="8"/>
        <v>#VALUE!</v>
      </c>
      <c r="AE11" s="11" t="e">
        <f t="shared" si="9"/>
        <v>#VALUE!</v>
      </c>
      <c r="AF11" s="11" t="e">
        <f t="shared" si="10"/>
        <v>#VALUE!</v>
      </c>
      <c r="AG11" s="11"/>
    </row>
    <row r="12" spans="1:33" x14ac:dyDescent="0.2">
      <c r="A12" s="3" t="s">
        <v>60</v>
      </c>
      <c r="B12" s="18">
        <v>3698</v>
      </c>
      <c r="D12" s="1">
        <f t="shared" si="0"/>
        <v>0</v>
      </c>
      <c r="E12" s="1">
        <f t="shared" si="1"/>
        <v>0</v>
      </c>
      <c r="F12" s="17"/>
      <c r="G12" s="11"/>
      <c r="H12" s="11" t="str" cm="1">
        <f t="array" ref="H12">xlFOCUS_ExpectativasMensais("IPCA",,$F12,WORKDAY(EDATE($F12,-2),-1,Holidays),WORKDAY(EDATE($F12,-2),-1,Holidays),0,"Mediana")</f>
        <v># Barra de fórmulas aberta</v>
      </c>
      <c r="I12" s="11" t="str" cm="1">
        <f t="array" ref="I12">xlFOCUS_ExpectativasMensais("IPCA",,$F12,WORKDAY(EDATE($F12,-1),-1,Holidays),WORKDAY(EDATE($F12,-1),-1,Holidays),0,"Mediana")</f>
        <v># Barra de fórmulas aberta</v>
      </c>
      <c r="J12" s="11" t="str" cm="1">
        <f t="array" ref="J12">xlFOCUS_ExpectativasMensais("IPCA",,$F12,WORKDAY(EDATE($F12,0),-1,Holidays),WORKDAY(EDATE($F12,0),-1,Holidays),0,"Mediana")</f>
        <v># Barra de fórmulas aberta</v>
      </c>
      <c r="K12" s="11" t="str" cm="1">
        <f t="array" ref="K12">xlFOCUS_ExpectativasMensais("IPCA",,$F12,WORKDAY(EDATE($F12,1),-1,Holidays),WORKDAY(EDATE($F12,1),-1,Holidays),0,"Mediana")</f>
        <v># Barra de fórmulas aberta</v>
      </c>
      <c r="L12" s="11" t="e">
        <f t="shared" si="2"/>
        <v>#VALUE!</v>
      </c>
      <c r="M12" s="11" t="e">
        <f t="shared" si="3"/>
        <v>#VALUE!</v>
      </c>
      <c r="N12" s="11" t="e">
        <f t="shared" si="4"/>
        <v>#VALUE!</v>
      </c>
      <c r="O12" s="11" t="e">
        <f t="shared" si="5"/>
        <v>#VALUE!</v>
      </c>
      <c r="Q12" s="17"/>
      <c r="R12" s="11"/>
      <c r="S12" s="11" t="str" cm="1">
        <f t="array" ref="S12">xlFOCUS_ExpectativasMensais("Câmbio",,$Q12,WORKDAY(EDATE($Q12,-2),-1,Holidays),WORKDAY(EDATE($Q12,-2),-1,Holidays),0,"Mediana")</f>
        <v># Barra de fórmulas aberta</v>
      </c>
      <c r="T12" s="11" t="str" cm="1">
        <f t="array" ref="T12">xlFOCUS_ExpectativasMensais("Câmbio",,$Q12,WORKDAY(EDATE($Q12,-1),-1,Holidays),WORKDAY(EDATE($Q12,-1),-1,Holidays),0,"Mediana")</f>
        <v># Barra de fórmulas aberta</v>
      </c>
      <c r="V12" s="11" t="e">
        <f t="shared" si="6"/>
        <v>#VALUE!</v>
      </c>
      <c r="W12" s="11" t="e">
        <f t="shared" si="7"/>
        <v>#VALUE!</v>
      </c>
      <c r="X12" s="11"/>
      <c r="Y12" s="17"/>
      <c r="Z12" s="11"/>
      <c r="AA12" s="11" t="str" cm="1">
        <f t="array" ref="AA12">xlFOCUS_ExpectativasMensais("IGP-M",,$Y12,WORKDAY(EDATE($Y12,-2),-1,Holidays),WORKDAY(EDATE($Y12,-2),-1,Holidays),0,"Mediana")</f>
        <v># Barra de fórmulas aberta</v>
      </c>
      <c r="AB12" s="11" t="str" cm="1">
        <f t="array" ref="AB12">xlFOCUS_ExpectativasMensais("IGP-M",,$Y12,WORKDAY(EDATE($Y12,-1),-1,Holidays),WORKDAY(EDATE($Y12,-1),-1,Holidays),0,"Mediana")</f>
        <v># Barra de fórmulas aberta</v>
      </c>
      <c r="AC12" s="11" t="str" cm="1">
        <f t="array" ref="AC12">xlFOCUS_ExpectativasMensais("IGP-M",,$Y12,WORKDAY(EDATE($Y12,0),-1,Holidays),WORKDAY(EDATE($Y12,0),-1,Holidays),0,"Mediana")</f>
        <v># Barra de fórmulas aberta</v>
      </c>
      <c r="AD12" s="11" t="e">
        <f t="shared" si="8"/>
        <v>#VALUE!</v>
      </c>
      <c r="AE12" s="11" t="e">
        <f t="shared" si="9"/>
        <v>#VALUE!</v>
      </c>
      <c r="AF12" s="11" t="e">
        <f t="shared" si="10"/>
        <v>#VALUE!</v>
      </c>
      <c r="AG12" s="11"/>
    </row>
    <row r="13" spans="1:33" x14ac:dyDescent="0.2">
      <c r="A13" s="3" t="s">
        <v>63</v>
      </c>
      <c r="B13" s="14">
        <v>41275</v>
      </c>
      <c r="D13" s="1">
        <f t="shared" si="0"/>
        <v>0</v>
      </c>
      <c r="E13" s="1">
        <f t="shared" si="1"/>
        <v>0</v>
      </c>
      <c r="F13" s="17"/>
      <c r="G13" s="11"/>
      <c r="H13" s="11" t="str" cm="1">
        <f t="array" ref="H13">xlFOCUS_ExpectativasMensais("IPCA",,$F13,WORKDAY(EDATE($F13,-2),-1,Holidays),WORKDAY(EDATE($F13,-2),-1,Holidays),0,"Mediana")</f>
        <v># Barra de fórmulas aberta</v>
      </c>
      <c r="I13" s="11" t="str" cm="1">
        <f t="array" ref="I13">xlFOCUS_ExpectativasMensais("IPCA",,$F13,WORKDAY(EDATE($F13,-1),-1,Holidays),WORKDAY(EDATE($F13,-1),-1,Holidays),0,"Mediana")</f>
        <v># Barra de fórmulas aberta</v>
      </c>
      <c r="J13" s="11" t="str" cm="1">
        <f t="array" ref="J13">xlFOCUS_ExpectativasMensais("IPCA",,$F13,WORKDAY(EDATE($F13,0),-1,Holidays),WORKDAY(EDATE($F13,0),-1,Holidays),0,"Mediana")</f>
        <v># Barra de fórmulas aberta</v>
      </c>
      <c r="K13" s="11" t="str" cm="1">
        <f t="array" ref="K13">xlFOCUS_ExpectativasMensais("IPCA",,$F13,WORKDAY(EDATE($F13,1),-1,Holidays),WORKDAY(EDATE($F13,1),-1,Holidays),0,"Mediana")</f>
        <v># Barra de fórmulas aberta</v>
      </c>
      <c r="L13" s="11" t="e">
        <f t="shared" si="2"/>
        <v>#VALUE!</v>
      </c>
      <c r="M13" s="11" t="e">
        <f t="shared" si="3"/>
        <v>#VALUE!</v>
      </c>
      <c r="N13" s="11" t="e">
        <f t="shared" si="4"/>
        <v>#VALUE!</v>
      </c>
      <c r="O13" s="11" t="e">
        <f t="shared" si="5"/>
        <v>#VALUE!</v>
      </c>
      <c r="Q13" s="17"/>
      <c r="R13" s="11"/>
      <c r="S13" s="11" t="str" cm="1">
        <f t="array" ref="S13">xlFOCUS_ExpectativasMensais("Câmbio",,$Q13,WORKDAY(EDATE($Q13,-2),-1,Holidays),WORKDAY(EDATE($Q13,-2),-1,Holidays),0,"Mediana")</f>
        <v># Barra de fórmulas aberta</v>
      </c>
      <c r="T13" s="11" t="str" cm="1">
        <f t="array" ref="T13">xlFOCUS_ExpectativasMensais("Câmbio",,$Q13,WORKDAY(EDATE($Q13,-1),-1,Holidays),WORKDAY(EDATE($Q13,-1),-1,Holidays),0,"Mediana")</f>
        <v># Barra de fórmulas aberta</v>
      </c>
      <c r="V13" s="11" t="e">
        <f t="shared" si="6"/>
        <v>#VALUE!</v>
      </c>
      <c r="W13" s="11" t="e">
        <f t="shared" si="7"/>
        <v>#VALUE!</v>
      </c>
      <c r="X13" s="11"/>
      <c r="Y13" s="17"/>
      <c r="Z13" s="11"/>
      <c r="AA13" s="11" t="str" cm="1">
        <f t="array" ref="AA13">xlFOCUS_ExpectativasMensais("IGP-M",,$Y13,WORKDAY(EDATE($Y13,-2),-1,Holidays),WORKDAY(EDATE($Y13,-2),-1,Holidays),0,"Mediana")</f>
        <v># Barra de fórmulas aberta</v>
      </c>
      <c r="AB13" s="11" t="str" cm="1">
        <f t="array" ref="AB13">xlFOCUS_ExpectativasMensais("IGP-M",,$Y13,WORKDAY(EDATE($Y13,-1),-1,Holidays),WORKDAY(EDATE($Y13,-1),-1,Holidays),0,"Mediana")</f>
        <v># Barra de fórmulas aberta</v>
      </c>
      <c r="AC13" s="11" t="str" cm="1">
        <f t="array" ref="AC13">xlFOCUS_ExpectativasMensais("IGP-M",,$Y13,WORKDAY(EDATE($Y13,0),-1,Holidays),WORKDAY(EDATE($Y13,0),-1,Holidays),0,"Mediana")</f>
        <v># Barra de fórmulas aberta</v>
      </c>
      <c r="AD13" s="11" t="e">
        <f t="shared" si="8"/>
        <v>#VALUE!</v>
      </c>
      <c r="AE13" s="11" t="e">
        <f t="shared" si="9"/>
        <v>#VALUE!</v>
      </c>
      <c r="AF13" s="11" t="e">
        <f t="shared" si="10"/>
        <v>#VALUE!</v>
      </c>
      <c r="AG13" s="11"/>
    </row>
    <row r="14" spans="1:33" x14ac:dyDescent="0.2">
      <c r="A14" s="3" t="s">
        <v>64</v>
      </c>
      <c r="B14" s="14">
        <v>42675</v>
      </c>
      <c r="D14" s="1">
        <f t="shared" si="0"/>
        <v>0</v>
      </c>
      <c r="E14" s="1">
        <f t="shared" si="1"/>
        <v>0</v>
      </c>
      <c r="F14" s="17"/>
      <c r="G14" s="11"/>
      <c r="H14" s="11" t="str" cm="1">
        <f t="array" ref="H14">xlFOCUS_ExpectativasMensais("IPCA",,$F14,WORKDAY(EDATE($F14,-2),-1,Holidays),WORKDAY(EDATE($F14,-2),-1,Holidays),0,"Mediana")</f>
        <v># Barra de fórmulas aberta</v>
      </c>
      <c r="I14" s="11" t="str" cm="1">
        <f t="array" ref="I14">xlFOCUS_ExpectativasMensais("IPCA",,$F14,WORKDAY(EDATE($F14,-1),-1,Holidays),WORKDAY(EDATE($F14,-1),-1,Holidays),0,"Mediana")</f>
        <v># Barra de fórmulas aberta</v>
      </c>
      <c r="J14" s="11" t="str" cm="1">
        <f t="array" ref="J14">xlFOCUS_ExpectativasMensais("IPCA",,$F14,WORKDAY(EDATE($F14,0),-1,Holidays),WORKDAY(EDATE($F14,0),-1,Holidays),0,"Mediana")</f>
        <v># Barra de fórmulas aberta</v>
      </c>
      <c r="K14" s="11" t="str" cm="1">
        <f t="array" ref="K14">xlFOCUS_ExpectativasMensais("IPCA",,$F14,WORKDAY(EDATE($F14,1),-1,Holidays),WORKDAY(EDATE($F14,1),-1,Holidays),0,"Mediana")</f>
        <v># Barra de fórmulas aberta</v>
      </c>
      <c r="L14" s="11" t="e">
        <f t="shared" si="2"/>
        <v>#VALUE!</v>
      </c>
      <c r="M14" s="11" t="e">
        <f t="shared" si="3"/>
        <v>#VALUE!</v>
      </c>
      <c r="N14" s="11" t="e">
        <f t="shared" si="4"/>
        <v>#VALUE!</v>
      </c>
      <c r="O14" s="11" t="e">
        <f t="shared" si="5"/>
        <v>#VALUE!</v>
      </c>
      <c r="Q14" s="17"/>
      <c r="R14" s="11"/>
      <c r="S14" s="11" t="str" cm="1">
        <f t="array" ref="S14">xlFOCUS_ExpectativasMensais("Câmbio",,$Q14,WORKDAY(EDATE($Q14,-2),-1,Holidays),WORKDAY(EDATE($Q14,-2),-1,Holidays),0,"Mediana")</f>
        <v># Barra de fórmulas aberta</v>
      </c>
      <c r="T14" s="11" t="str" cm="1">
        <f t="array" ref="T14">xlFOCUS_ExpectativasMensais("Câmbio",,$Q14,WORKDAY(EDATE($Q14,-1),-1,Holidays),WORKDAY(EDATE($Q14,-1),-1,Holidays),0,"Mediana")</f>
        <v># Barra de fórmulas aberta</v>
      </c>
      <c r="V14" s="11" t="e">
        <f t="shared" si="6"/>
        <v>#VALUE!</v>
      </c>
      <c r="W14" s="11" t="e">
        <f t="shared" si="7"/>
        <v>#VALUE!</v>
      </c>
      <c r="X14" s="11"/>
      <c r="Y14" s="17"/>
      <c r="Z14" s="11"/>
      <c r="AA14" s="11" t="str" cm="1">
        <f t="array" ref="AA14">xlFOCUS_ExpectativasMensais("IGP-M",,$Y14,WORKDAY(EDATE($Y14,-2),-1,Holidays),WORKDAY(EDATE($Y14,-2),-1,Holidays),0,"Mediana")</f>
        <v># Barra de fórmulas aberta</v>
      </c>
      <c r="AB14" s="11" t="str" cm="1">
        <f t="array" ref="AB14">xlFOCUS_ExpectativasMensais("IGP-M",,$Y14,WORKDAY(EDATE($Y14,-1),-1,Holidays),WORKDAY(EDATE($Y14,-1),-1,Holidays),0,"Mediana")</f>
        <v># Barra de fórmulas aberta</v>
      </c>
      <c r="AC14" s="11" t="str" cm="1">
        <f t="array" ref="AC14">xlFOCUS_ExpectativasMensais("IGP-M",,$Y14,WORKDAY(EDATE($Y14,0),-1,Holidays),WORKDAY(EDATE($Y14,0),-1,Holidays),0,"Mediana")</f>
        <v># Barra de fórmulas aberta</v>
      </c>
      <c r="AD14" s="11" t="e">
        <f t="shared" si="8"/>
        <v>#VALUE!</v>
      </c>
      <c r="AE14" s="11" t="e">
        <f t="shared" si="9"/>
        <v>#VALUE!</v>
      </c>
      <c r="AF14" s="11" t="e">
        <f t="shared" si="10"/>
        <v>#VALUE!</v>
      </c>
      <c r="AG14" s="11"/>
    </row>
    <row r="15" spans="1:33" x14ac:dyDescent="0.2">
      <c r="A15" s="3" t="s">
        <v>148</v>
      </c>
      <c r="B15" s="18"/>
      <c r="D15" s="1">
        <f t="shared" si="0"/>
        <v>0</v>
      </c>
      <c r="E15" s="1">
        <f t="shared" si="1"/>
        <v>0</v>
      </c>
      <c r="F15" s="17"/>
      <c r="G15" s="11"/>
      <c r="H15" s="11" t="str" cm="1">
        <f t="array" ref="H15">xlFOCUS_ExpectativasMensais("IPCA",,$F15,WORKDAY(EDATE($F15,-2),-1,Holidays),WORKDAY(EDATE($F15,-2),-1,Holidays),0,"Mediana")</f>
        <v># Barra de fórmulas aberta</v>
      </c>
      <c r="I15" s="11" t="str" cm="1">
        <f t="array" ref="I15">xlFOCUS_ExpectativasMensais("IPCA",,$F15,WORKDAY(EDATE($F15,-1),-1,Holidays),WORKDAY(EDATE($F15,-1),-1,Holidays),0,"Mediana")</f>
        <v># Barra de fórmulas aberta</v>
      </c>
      <c r="J15" s="11" t="str" cm="1">
        <f t="array" ref="J15">xlFOCUS_ExpectativasMensais("IPCA",,$F15,WORKDAY(EDATE($F15,0),-1,Holidays),WORKDAY(EDATE($F15,0),-1,Holidays),0,"Mediana")</f>
        <v># Barra de fórmulas aberta</v>
      </c>
      <c r="K15" s="11" t="str" cm="1">
        <f t="array" ref="K15">xlFOCUS_ExpectativasMensais("IPCA",,$F15,WORKDAY(EDATE($F15,1),-1,Holidays),WORKDAY(EDATE($F15,1),-1,Holidays),0,"Mediana")</f>
        <v># Barra de fórmulas aberta</v>
      </c>
      <c r="L15" s="11" t="e">
        <f t="shared" si="2"/>
        <v>#VALUE!</v>
      </c>
      <c r="M15" s="11" t="e">
        <f t="shared" si="3"/>
        <v>#VALUE!</v>
      </c>
      <c r="N15" s="11" t="e">
        <f t="shared" si="4"/>
        <v>#VALUE!</v>
      </c>
      <c r="O15" s="11" t="e">
        <f t="shared" si="5"/>
        <v>#VALUE!</v>
      </c>
      <c r="Q15" s="17"/>
      <c r="R15" s="11"/>
      <c r="S15" s="11" t="str" cm="1">
        <f t="array" ref="S15">xlFOCUS_ExpectativasMensais("Câmbio",,$Q15,WORKDAY(EDATE($Q15,-2),-1,Holidays),WORKDAY(EDATE($Q15,-2),-1,Holidays),0,"Mediana")</f>
        <v># Barra de fórmulas aberta</v>
      </c>
      <c r="T15" s="11" t="str" cm="1">
        <f t="array" ref="T15">xlFOCUS_ExpectativasMensais("Câmbio",,$Q15,WORKDAY(EDATE($Q15,-1),-1,Holidays),WORKDAY(EDATE($Q15,-1),-1,Holidays),0,"Mediana")</f>
        <v># Barra de fórmulas aberta</v>
      </c>
      <c r="V15" s="11" t="e">
        <f t="shared" si="6"/>
        <v>#VALUE!</v>
      </c>
      <c r="W15" s="11" t="e">
        <f t="shared" si="7"/>
        <v>#VALUE!</v>
      </c>
      <c r="X15" s="11"/>
      <c r="Y15" s="17"/>
      <c r="Z15" s="11"/>
      <c r="AA15" s="11" t="str" cm="1">
        <f t="array" ref="AA15">xlFOCUS_ExpectativasMensais("IGP-M",,$Y15,WORKDAY(EDATE($Y15,-2),-1,Holidays),WORKDAY(EDATE($Y15,-2),-1,Holidays),0,"Mediana")</f>
        <v># Barra de fórmulas aberta</v>
      </c>
      <c r="AB15" s="11" t="str" cm="1">
        <f t="array" ref="AB15">xlFOCUS_ExpectativasMensais("IGP-M",,$Y15,WORKDAY(EDATE($Y15,-1),-1,Holidays),WORKDAY(EDATE($Y15,-1),-1,Holidays),0,"Mediana")</f>
        <v># Barra de fórmulas aberta</v>
      </c>
      <c r="AC15" s="11" t="str" cm="1">
        <f t="array" ref="AC15">xlFOCUS_ExpectativasMensais("IGP-M",,$Y15,WORKDAY(EDATE($Y15,0),-1,Holidays),WORKDAY(EDATE($Y15,0),-1,Holidays),0,"Mediana")</f>
        <v># Barra de fórmulas aberta</v>
      </c>
      <c r="AD15" s="11" t="e">
        <f t="shared" si="8"/>
        <v>#VALUE!</v>
      </c>
      <c r="AE15" s="11" t="e">
        <f t="shared" si="9"/>
        <v>#VALUE!</v>
      </c>
      <c r="AF15" s="11" t="e">
        <f t="shared" si="10"/>
        <v>#VALUE!</v>
      </c>
      <c r="AG15" s="11"/>
    </row>
    <row r="16" spans="1:33" x14ac:dyDescent="0.2">
      <c r="A16" s="3" t="s">
        <v>147</v>
      </c>
      <c r="B16" s="18">
        <v>2</v>
      </c>
      <c r="D16" s="1">
        <f t="shared" si="0"/>
        <v>0</v>
      </c>
      <c r="E16" s="1">
        <f t="shared" si="1"/>
        <v>0</v>
      </c>
      <c r="F16" s="17"/>
      <c r="G16" s="11"/>
      <c r="H16" s="11" t="str" cm="1">
        <f t="array" ref="H16">xlFOCUS_ExpectativasMensais("IPCA",,$F16,WORKDAY(EDATE($F16,-2),-1,Holidays),WORKDAY(EDATE($F16,-2),-1,Holidays),0,"Mediana")</f>
        <v># Barra de fórmulas aberta</v>
      </c>
      <c r="I16" s="11" t="str" cm="1">
        <f t="array" ref="I16">xlFOCUS_ExpectativasMensais("IPCA",,$F16,WORKDAY(EDATE($F16,-1),-1,Holidays),WORKDAY(EDATE($F16,-1),-1,Holidays),0,"Mediana")</f>
        <v># Barra de fórmulas aberta</v>
      </c>
      <c r="J16" s="11" t="str" cm="1">
        <f t="array" ref="J16">xlFOCUS_ExpectativasMensais("IPCA",,$F16,WORKDAY(EDATE($F16,0),-1,Holidays),WORKDAY(EDATE($F16,0),-1,Holidays),0,"Mediana")</f>
        <v># Barra de fórmulas aberta</v>
      </c>
      <c r="K16" s="11" t="str" cm="1">
        <f t="array" ref="K16">xlFOCUS_ExpectativasMensais("IPCA",,$F16,WORKDAY(EDATE($F16,1),-1,Holidays),WORKDAY(EDATE($F16,1),-1,Holidays),0,"Mediana")</f>
        <v># Barra de fórmulas aberta</v>
      </c>
      <c r="L16" s="11" t="e">
        <f t="shared" si="2"/>
        <v>#VALUE!</v>
      </c>
      <c r="M16" s="11" t="e">
        <f t="shared" si="3"/>
        <v>#VALUE!</v>
      </c>
      <c r="N16" s="11" t="e">
        <f t="shared" si="4"/>
        <v>#VALUE!</v>
      </c>
      <c r="O16" s="11" t="e">
        <f t="shared" si="5"/>
        <v>#VALUE!</v>
      </c>
      <c r="Q16" s="17"/>
      <c r="R16" s="11"/>
      <c r="S16" s="11" t="str" cm="1">
        <f t="array" ref="S16">xlFOCUS_ExpectativasMensais("Câmbio",,$Q16,WORKDAY(EDATE($Q16,-2),-1,Holidays),WORKDAY(EDATE($Q16,-2),-1,Holidays),0,"Mediana")</f>
        <v># Barra de fórmulas aberta</v>
      </c>
      <c r="T16" s="11" t="str" cm="1">
        <f t="array" ref="T16">xlFOCUS_ExpectativasMensais("Câmbio",,$Q16,WORKDAY(EDATE($Q16,-1),-1,Holidays),WORKDAY(EDATE($Q16,-1),-1,Holidays),0,"Mediana")</f>
        <v># Barra de fórmulas aberta</v>
      </c>
      <c r="V16" s="11" t="e">
        <f t="shared" si="6"/>
        <v>#VALUE!</v>
      </c>
      <c r="W16" s="11" t="e">
        <f t="shared" si="7"/>
        <v>#VALUE!</v>
      </c>
      <c r="X16" s="11"/>
      <c r="Y16" s="17"/>
      <c r="Z16" s="11"/>
      <c r="AA16" s="11" t="str" cm="1">
        <f t="array" ref="AA16">xlFOCUS_ExpectativasMensais("IGP-M",,$Y16,WORKDAY(EDATE($Y16,-2),-1,Holidays),WORKDAY(EDATE($Y16,-2),-1,Holidays),0,"Mediana")</f>
        <v># Barra de fórmulas aberta</v>
      </c>
      <c r="AB16" s="11" t="str" cm="1">
        <f t="array" ref="AB16">xlFOCUS_ExpectativasMensais("IGP-M",,$Y16,WORKDAY(EDATE($Y16,-1),-1,Holidays),WORKDAY(EDATE($Y16,-1),-1,Holidays),0,"Mediana")</f>
        <v># Barra de fórmulas aberta</v>
      </c>
      <c r="AC16" s="11" t="str" cm="1">
        <f t="array" ref="AC16">xlFOCUS_ExpectativasMensais("IGP-M",,$Y16,WORKDAY(EDATE($Y16,0),-1,Holidays),WORKDAY(EDATE($Y16,0),-1,Holidays),0,"Mediana")</f>
        <v># Barra de fórmulas aberta</v>
      </c>
      <c r="AD16" s="11" t="e">
        <f t="shared" si="8"/>
        <v>#VALUE!</v>
      </c>
      <c r="AE16" s="11" t="e">
        <f t="shared" si="9"/>
        <v>#VALUE!</v>
      </c>
      <c r="AF16" s="11" t="e">
        <f t="shared" si="10"/>
        <v>#VALUE!</v>
      </c>
      <c r="AG16" s="11"/>
    </row>
    <row r="17" spans="1:33" x14ac:dyDescent="0.2">
      <c r="D17" s="1">
        <f t="shared" si="0"/>
        <v>0</v>
      </c>
      <c r="E17" s="1">
        <f t="shared" si="1"/>
        <v>0</v>
      </c>
      <c r="F17" s="17"/>
      <c r="G17" s="11"/>
      <c r="H17" s="11" t="str" cm="1">
        <f t="array" ref="H17">xlFOCUS_ExpectativasMensais("IPCA",,$F17,WORKDAY(EDATE($F17,-2),-1,Holidays),WORKDAY(EDATE($F17,-2),-1,Holidays),0,"Mediana")</f>
        <v># Barra de fórmulas aberta</v>
      </c>
      <c r="I17" s="11" t="str" cm="1">
        <f t="array" ref="I17">xlFOCUS_ExpectativasMensais("IPCA",,$F17,WORKDAY(EDATE($F17,-1),-1,Holidays),WORKDAY(EDATE($F17,-1),-1,Holidays),0,"Mediana")</f>
        <v># Barra de fórmulas aberta</v>
      </c>
      <c r="J17" s="11" t="str" cm="1">
        <f t="array" ref="J17">xlFOCUS_ExpectativasMensais("IPCA",,$F17,WORKDAY(EDATE($F17,0),-1,Holidays),WORKDAY(EDATE($F17,0),-1,Holidays),0,"Mediana")</f>
        <v># Barra de fórmulas aberta</v>
      </c>
      <c r="K17" s="11" t="str" cm="1">
        <f t="array" ref="K17">xlFOCUS_ExpectativasMensais("IPCA",,$F17,WORKDAY(EDATE($F17,1),-1,Holidays),WORKDAY(EDATE($F17,1),-1,Holidays),0,"Mediana")</f>
        <v># Barra de fórmulas aberta</v>
      </c>
      <c r="L17" s="11" t="e">
        <f t="shared" si="2"/>
        <v>#VALUE!</v>
      </c>
      <c r="M17" s="11" t="e">
        <f t="shared" si="3"/>
        <v>#VALUE!</v>
      </c>
      <c r="N17" s="11" t="e">
        <f t="shared" si="4"/>
        <v>#VALUE!</v>
      </c>
      <c r="O17" s="11" t="e">
        <f t="shared" si="5"/>
        <v>#VALUE!</v>
      </c>
      <c r="Q17" s="17"/>
      <c r="R17" s="11"/>
      <c r="S17" s="11" t="str" cm="1">
        <f t="array" ref="S17">xlFOCUS_ExpectativasMensais("Câmbio",,$Q17,WORKDAY(EDATE($Q17,-2),-1,Holidays),WORKDAY(EDATE($Q17,-2),-1,Holidays),0,"Mediana")</f>
        <v># Barra de fórmulas aberta</v>
      </c>
      <c r="T17" s="11" t="str" cm="1">
        <f t="array" ref="T17">xlFOCUS_ExpectativasMensais("Câmbio",,$Q17,WORKDAY(EDATE($Q17,-1),-1,Holidays),WORKDAY(EDATE($Q17,-1),-1,Holidays),0,"Mediana")</f>
        <v># Barra de fórmulas aberta</v>
      </c>
      <c r="V17" s="11" t="e">
        <f t="shared" si="6"/>
        <v>#VALUE!</v>
      </c>
      <c r="W17" s="11" t="e">
        <f t="shared" si="7"/>
        <v>#VALUE!</v>
      </c>
      <c r="X17" s="11"/>
      <c r="Y17" s="17"/>
      <c r="Z17" s="11"/>
      <c r="AA17" s="11" t="str" cm="1">
        <f t="array" ref="AA17">xlFOCUS_ExpectativasMensais("IGP-M",,$Y17,WORKDAY(EDATE($Y17,-2),-1,Holidays),WORKDAY(EDATE($Y17,-2),-1,Holidays),0,"Mediana")</f>
        <v># Barra de fórmulas aberta</v>
      </c>
      <c r="AB17" s="11" t="str" cm="1">
        <f t="array" ref="AB17">xlFOCUS_ExpectativasMensais("IGP-M",,$Y17,WORKDAY(EDATE($Y17,-1),-1,Holidays),WORKDAY(EDATE($Y17,-1),-1,Holidays),0,"Mediana")</f>
        <v># Barra de fórmulas aberta</v>
      </c>
      <c r="AC17" s="11" t="str" cm="1">
        <f t="array" ref="AC17">xlFOCUS_ExpectativasMensais("IGP-M",,$Y17,WORKDAY(EDATE($Y17,0),-1,Holidays),WORKDAY(EDATE($Y17,0),-1,Holidays),0,"Mediana")</f>
        <v># Barra de fórmulas aberta</v>
      </c>
      <c r="AD17" s="11" t="e">
        <f t="shared" si="8"/>
        <v>#VALUE!</v>
      </c>
      <c r="AE17" s="11" t="e">
        <f t="shared" si="9"/>
        <v>#VALUE!</v>
      </c>
      <c r="AF17" s="11" t="e">
        <f t="shared" si="10"/>
        <v>#VALUE!</v>
      </c>
      <c r="AG17" s="11"/>
    </row>
    <row r="18" spans="1:33" x14ac:dyDescent="0.2">
      <c r="A18" s="3" t="s">
        <v>512</v>
      </c>
      <c r="B18" s="1" t="str">
        <f>"https://www3.bcb.gov.br/sgspub/consultarmetadados/consultarMetadadosSeries.do?method=consultarMetadadosSeriesInternet&amp;hdOidSerieSelecionada="&amp;B19</f>
        <v>https://www3.bcb.gov.br/sgspub/consultarmetadados/consultarMetadadosSeries.do?method=consultarMetadadosSeriesInternet&amp;hdOidSerieSelecionada=189</v>
      </c>
      <c r="D18" s="1">
        <f t="shared" si="0"/>
        <v>0</v>
      </c>
      <c r="E18" s="1">
        <f t="shared" si="1"/>
        <v>0</v>
      </c>
      <c r="F18" s="17"/>
      <c r="G18" s="11"/>
      <c r="H18" s="11" t="str" cm="1">
        <f t="array" ref="H18">xlFOCUS_ExpectativasMensais("IPCA",,$F18,WORKDAY(EDATE($F18,-2),-1,Holidays),WORKDAY(EDATE($F18,-2),-1,Holidays),0,"Mediana")</f>
        <v># Barra de fórmulas aberta</v>
      </c>
      <c r="I18" s="11" t="str" cm="1">
        <f t="array" ref="I18">xlFOCUS_ExpectativasMensais("IPCA",,$F18,WORKDAY(EDATE($F18,-1),-1,Holidays),WORKDAY(EDATE($F18,-1),-1,Holidays),0,"Mediana")</f>
        <v># Barra de fórmulas aberta</v>
      </c>
      <c r="J18" s="11" t="str" cm="1">
        <f t="array" ref="J18">xlFOCUS_ExpectativasMensais("IPCA",,$F18,WORKDAY(EDATE($F18,0),-1,Holidays),WORKDAY(EDATE($F18,0),-1,Holidays),0,"Mediana")</f>
        <v># Barra de fórmulas aberta</v>
      </c>
      <c r="K18" s="11" t="str" cm="1">
        <f t="array" ref="K18">xlFOCUS_ExpectativasMensais("IPCA",,$F18,WORKDAY(EDATE($F18,1),-1,Holidays),WORKDAY(EDATE($F18,1),-1,Holidays),0,"Mediana")</f>
        <v># Barra de fórmulas aberta</v>
      </c>
      <c r="L18" s="11" t="e">
        <f t="shared" si="2"/>
        <v>#VALUE!</v>
      </c>
      <c r="M18" s="11" t="e">
        <f t="shared" si="3"/>
        <v>#VALUE!</v>
      </c>
      <c r="N18" s="11" t="e">
        <f t="shared" si="4"/>
        <v>#VALUE!</v>
      </c>
      <c r="O18" s="11" t="e">
        <f t="shared" si="5"/>
        <v>#VALUE!</v>
      </c>
      <c r="Q18" s="17"/>
      <c r="R18" s="11"/>
      <c r="S18" s="11" t="str" cm="1">
        <f t="array" ref="S18">xlFOCUS_ExpectativasMensais("Câmbio",,$Q18,WORKDAY(EDATE($Q18,-2),-1,Holidays),WORKDAY(EDATE($Q18,-2),-1,Holidays),0,"Mediana")</f>
        <v># Barra de fórmulas aberta</v>
      </c>
      <c r="T18" s="11" t="str" cm="1">
        <f t="array" ref="T18">xlFOCUS_ExpectativasMensais("Câmbio",,$Q18,WORKDAY(EDATE($Q18,-1),-1,Holidays),WORKDAY(EDATE($Q18,-1),-1,Holidays),0,"Mediana")</f>
        <v># Barra de fórmulas aberta</v>
      </c>
      <c r="V18" s="11" t="e">
        <f t="shared" si="6"/>
        <v>#VALUE!</v>
      </c>
      <c r="W18" s="11" t="e">
        <f t="shared" si="7"/>
        <v>#VALUE!</v>
      </c>
      <c r="X18" s="11"/>
      <c r="Y18" s="17"/>
      <c r="Z18" s="11"/>
      <c r="AA18" s="11" t="str" cm="1">
        <f t="array" ref="AA18">xlFOCUS_ExpectativasMensais("IGP-M",,$Y18,WORKDAY(EDATE($Y18,-2),-1,Holidays),WORKDAY(EDATE($Y18,-2),-1,Holidays),0,"Mediana")</f>
        <v># Barra de fórmulas aberta</v>
      </c>
      <c r="AB18" s="11" t="str" cm="1">
        <f t="array" ref="AB18">xlFOCUS_ExpectativasMensais("IGP-M",,$Y18,WORKDAY(EDATE($Y18,-1),-1,Holidays),WORKDAY(EDATE($Y18,-1),-1,Holidays),0,"Mediana")</f>
        <v># Barra de fórmulas aberta</v>
      </c>
      <c r="AC18" s="11" t="str" cm="1">
        <f t="array" ref="AC18">xlFOCUS_ExpectativasMensais("IGP-M",,$Y18,WORKDAY(EDATE($Y18,0),-1,Holidays),WORKDAY(EDATE($Y18,0),-1,Holidays),0,"Mediana")</f>
        <v># Barra de fórmulas aberta</v>
      </c>
      <c r="AD18" s="11" t="e">
        <f t="shared" si="8"/>
        <v>#VALUE!</v>
      </c>
      <c r="AE18" s="11" t="e">
        <f t="shared" si="9"/>
        <v>#VALUE!</v>
      </c>
      <c r="AF18" s="11" t="e">
        <f t="shared" si="10"/>
        <v>#VALUE!</v>
      </c>
      <c r="AG18" s="11"/>
    </row>
    <row r="19" spans="1:33" x14ac:dyDescent="0.2">
      <c r="A19" s="3" t="s">
        <v>60</v>
      </c>
      <c r="B19" s="18">
        <v>189</v>
      </c>
      <c r="D19" s="1">
        <f t="shared" si="0"/>
        <v>0</v>
      </c>
      <c r="E19" s="1">
        <f t="shared" si="1"/>
        <v>0</v>
      </c>
      <c r="F19" s="17"/>
      <c r="G19" s="11"/>
      <c r="H19" s="11" t="str" cm="1">
        <f t="array" ref="H19">xlFOCUS_ExpectativasMensais("IPCA",,$F19,WORKDAY(EDATE($F19,-2),-1,Holidays),WORKDAY(EDATE($F19,-2),-1,Holidays),0,"Mediana")</f>
        <v># Barra de fórmulas aberta</v>
      </c>
      <c r="I19" s="11" t="str" cm="1">
        <f t="array" ref="I19">xlFOCUS_ExpectativasMensais("IPCA",,$F19,WORKDAY(EDATE($F19,-1),-1,Holidays),WORKDAY(EDATE($F19,-1),-1,Holidays),0,"Mediana")</f>
        <v># Barra de fórmulas aberta</v>
      </c>
      <c r="J19" s="11" t="str" cm="1">
        <f t="array" ref="J19">xlFOCUS_ExpectativasMensais("IPCA",,$F19,WORKDAY(EDATE($F19,0),-1,Holidays),WORKDAY(EDATE($F19,0),-1,Holidays),0,"Mediana")</f>
        <v># Barra de fórmulas aberta</v>
      </c>
      <c r="K19" s="11" t="str" cm="1">
        <f t="array" ref="K19">xlFOCUS_ExpectativasMensais("IPCA",,$F19,WORKDAY(EDATE($F19,1),-1,Holidays),WORKDAY(EDATE($F19,1),-1,Holidays),0,"Mediana")</f>
        <v># Barra de fórmulas aberta</v>
      </c>
      <c r="L19" s="11" t="e">
        <f t="shared" si="2"/>
        <v>#VALUE!</v>
      </c>
      <c r="M19" s="11" t="e">
        <f t="shared" si="3"/>
        <v>#VALUE!</v>
      </c>
      <c r="N19" s="11" t="e">
        <f t="shared" si="4"/>
        <v>#VALUE!</v>
      </c>
      <c r="O19" s="11" t="e">
        <f t="shared" si="5"/>
        <v>#VALUE!</v>
      </c>
      <c r="Q19" s="17"/>
      <c r="R19" s="11"/>
      <c r="S19" s="11" t="str" cm="1">
        <f t="array" ref="S19">xlFOCUS_ExpectativasMensais("Câmbio",,$Q19,WORKDAY(EDATE($Q19,-2),-1,Holidays),WORKDAY(EDATE($Q19,-2),-1,Holidays),0,"Mediana")</f>
        <v># Barra de fórmulas aberta</v>
      </c>
      <c r="T19" s="11" t="str" cm="1">
        <f t="array" ref="T19">xlFOCUS_ExpectativasMensais("Câmbio",,$Q19,WORKDAY(EDATE($Q19,-1),-1,Holidays),WORKDAY(EDATE($Q19,-1),-1,Holidays),0,"Mediana")</f>
        <v># Barra de fórmulas aberta</v>
      </c>
      <c r="V19" s="11" t="e">
        <f t="shared" si="6"/>
        <v>#VALUE!</v>
      </c>
      <c r="W19" s="11" t="e">
        <f t="shared" si="7"/>
        <v>#VALUE!</v>
      </c>
      <c r="X19" s="11"/>
      <c r="Y19" s="17"/>
      <c r="Z19" s="11"/>
      <c r="AA19" s="11" t="str" cm="1">
        <f t="array" ref="AA19">xlFOCUS_ExpectativasMensais("IGP-M",,$Y19,WORKDAY(EDATE($Y19,-2),-1,Holidays),WORKDAY(EDATE($Y19,-2),-1,Holidays),0,"Mediana")</f>
        <v># Barra de fórmulas aberta</v>
      </c>
      <c r="AB19" s="11" t="str" cm="1">
        <f t="array" ref="AB19">xlFOCUS_ExpectativasMensais("IGP-M",,$Y19,WORKDAY(EDATE($Y19,-1),-1,Holidays),WORKDAY(EDATE($Y19,-1),-1,Holidays),0,"Mediana")</f>
        <v># Barra de fórmulas aberta</v>
      </c>
      <c r="AC19" s="11" t="str" cm="1">
        <f t="array" ref="AC19">xlFOCUS_ExpectativasMensais("IGP-M",,$Y19,WORKDAY(EDATE($Y19,0),-1,Holidays),WORKDAY(EDATE($Y19,0),-1,Holidays),0,"Mediana")</f>
        <v># Barra de fórmulas aberta</v>
      </c>
      <c r="AD19" s="11" t="e">
        <f t="shared" si="8"/>
        <v>#VALUE!</v>
      </c>
      <c r="AE19" s="11" t="e">
        <f t="shared" si="9"/>
        <v>#VALUE!</v>
      </c>
      <c r="AF19" s="11" t="e">
        <f t="shared" si="10"/>
        <v>#VALUE!</v>
      </c>
      <c r="AG19" s="11"/>
    </row>
    <row r="20" spans="1:33" x14ac:dyDescent="0.2">
      <c r="A20" s="3" t="s">
        <v>63</v>
      </c>
      <c r="B20" s="14">
        <v>41275</v>
      </c>
      <c r="D20" s="1">
        <f t="shared" si="0"/>
        <v>0</v>
      </c>
      <c r="E20" s="1">
        <f t="shared" si="1"/>
        <v>0</v>
      </c>
      <c r="F20" s="17"/>
      <c r="G20" s="11"/>
      <c r="H20" s="11" t="str" cm="1">
        <f t="array" ref="H20">xlFOCUS_ExpectativasMensais("IPCA",,$F20,WORKDAY(EDATE($F20,-2),-1,Holidays),WORKDAY(EDATE($F20,-2),-1,Holidays),0,"Mediana")</f>
        <v># Barra de fórmulas aberta</v>
      </c>
      <c r="I20" s="11" t="str" cm="1">
        <f t="array" ref="I20">xlFOCUS_ExpectativasMensais("IPCA",,$F20,WORKDAY(EDATE($F20,-1),-1,Holidays),WORKDAY(EDATE($F20,-1),-1,Holidays),0,"Mediana")</f>
        <v># Barra de fórmulas aberta</v>
      </c>
      <c r="J20" s="11" t="str" cm="1">
        <f t="array" ref="J20">xlFOCUS_ExpectativasMensais("IPCA",,$F20,WORKDAY(EDATE($F20,0),-1,Holidays),WORKDAY(EDATE($F20,0),-1,Holidays),0,"Mediana")</f>
        <v># Barra de fórmulas aberta</v>
      </c>
      <c r="K20" s="11" t="str" cm="1">
        <f t="array" ref="K20">xlFOCUS_ExpectativasMensais("IPCA",,$F20,WORKDAY(EDATE($F20,1),-1,Holidays),WORKDAY(EDATE($F20,1),-1,Holidays),0,"Mediana")</f>
        <v># Barra de fórmulas aberta</v>
      </c>
      <c r="L20" s="11" t="e">
        <f t="shared" si="2"/>
        <v>#VALUE!</v>
      </c>
      <c r="M20" s="11" t="e">
        <f t="shared" si="3"/>
        <v>#VALUE!</v>
      </c>
      <c r="N20" s="11" t="e">
        <f t="shared" si="4"/>
        <v>#VALUE!</v>
      </c>
      <c r="O20" s="11" t="e">
        <f t="shared" si="5"/>
        <v>#VALUE!</v>
      </c>
      <c r="Q20" s="17"/>
      <c r="R20" s="11"/>
      <c r="S20" s="11" t="str" cm="1">
        <f t="array" ref="S20">xlFOCUS_ExpectativasMensais("Câmbio",,$Q20,WORKDAY(EDATE($Q20,-2),-1,Holidays),WORKDAY(EDATE($Q20,-2),-1,Holidays),0,"Mediana")</f>
        <v># Barra de fórmulas aberta</v>
      </c>
      <c r="T20" s="11" t="str" cm="1">
        <f t="array" ref="T20">xlFOCUS_ExpectativasMensais("Câmbio",,$Q20,WORKDAY(EDATE($Q20,-1),-1,Holidays),WORKDAY(EDATE($Q20,-1),-1,Holidays),0,"Mediana")</f>
        <v># Barra de fórmulas aberta</v>
      </c>
      <c r="V20" s="11" t="e">
        <f t="shared" si="6"/>
        <v>#VALUE!</v>
      </c>
      <c r="W20" s="11" t="e">
        <f t="shared" si="7"/>
        <v>#VALUE!</v>
      </c>
      <c r="X20" s="11"/>
      <c r="Y20" s="17"/>
      <c r="Z20" s="11"/>
      <c r="AA20" s="11" t="str" cm="1">
        <f t="array" ref="AA20">xlFOCUS_ExpectativasMensais("IGP-M",,$Y20,WORKDAY(EDATE($Y20,-2),-1,Holidays),WORKDAY(EDATE($Y20,-2),-1,Holidays),0,"Mediana")</f>
        <v># Barra de fórmulas aberta</v>
      </c>
      <c r="AB20" s="11" t="str" cm="1">
        <f t="array" ref="AB20">xlFOCUS_ExpectativasMensais("IGP-M",,$Y20,WORKDAY(EDATE($Y20,-1),-1,Holidays),WORKDAY(EDATE($Y20,-1),-1,Holidays),0,"Mediana")</f>
        <v># Barra de fórmulas aberta</v>
      </c>
      <c r="AC20" s="11" t="str" cm="1">
        <f t="array" ref="AC20">xlFOCUS_ExpectativasMensais("IGP-M",,$Y20,WORKDAY(EDATE($Y20,0),-1,Holidays),WORKDAY(EDATE($Y20,0),-1,Holidays),0,"Mediana")</f>
        <v># Barra de fórmulas aberta</v>
      </c>
      <c r="AD20" s="11" t="e">
        <f t="shared" si="8"/>
        <v>#VALUE!</v>
      </c>
      <c r="AE20" s="11" t="e">
        <f t="shared" si="9"/>
        <v>#VALUE!</v>
      </c>
      <c r="AF20" s="11" t="e">
        <f t="shared" si="10"/>
        <v>#VALUE!</v>
      </c>
      <c r="AG20" s="11"/>
    </row>
    <row r="21" spans="1:33" x14ac:dyDescent="0.2">
      <c r="A21" s="3" t="s">
        <v>64</v>
      </c>
      <c r="B21" s="14">
        <v>42675</v>
      </c>
      <c r="D21" s="1">
        <f t="shared" si="0"/>
        <v>0</v>
      </c>
      <c r="E21" s="1">
        <f t="shared" si="1"/>
        <v>0</v>
      </c>
      <c r="F21" s="17"/>
      <c r="G21" s="11"/>
      <c r="H21" s="11" t="str" cm="1">
        <f t="array" ref="H21">xlFOCUS_ExpectativasMensais("IPCA",,$F21,WORKDAY(EDATE($F21,-2),-1,Holidays),WORKDAY(EDATE($F21,-2),-1,Holidays),0,"Mediana")</f>
        <v># Barra de fórmulas aberta</v>
      </c>
      <c r="I21" s="11" t="str" cm="1">
        <f t="array" ref="I21">xlFOCUS_ExpectativasMensais("IPCA",,$F21,WORKDAY(EDATE($F21,-1),-1,Holidays),WORKDAY(EDATE($F21,-1),-1,Holidays),0,"Mediana")</f>
        <v># Barra de fórmulas aberta</v>
      </c>
      <c r="J21" s="11" t="str" cm="1">
        <f t="array" ref="J21">xlFOCUS_ExpectativasMensais("IPCA",,$F21,WORKDAY(EDATE($F21,0),-1,Holidays),WORKDAY(EDATE($F21,0),-1,Holidays),0,"Mediana")</f>
        <v># Barra de fórmulas aberta</v>
      </c>
      <c r="K21" s="11" t="str" cm="1">
        <f t="array" ref="K21">xlFOCUS_ExpectativasMensais("IPCA",,$F21,WORKDAY(EDATE($F21,1),-1,Holidays),WORKDAY(EDATE($F21,1),-1,Holidays),0,"Mediana")</f>
        <v># Barra de fórmulas aberta</v>
      </c>
      <c r="L21" s="11" t="e">
        <f t="shared" si="2"/>
        <v>#VALUE!</v>
      </c>
      <c r="M21" s="11" t="e">
        <f t="shared" si="3"/>
        <v>#VALUE!</v>
      </c>
      <c r="N21" s="11" t="e">
        <f t="shared" si="4"/>
        <v>#VALUE!</v>
      </c>
      <c r="O21" s="11" t="e">
        <f t="shared" si="5"/>
        <v>#VALUE!</v>
      </c>
      <c r="Q21" s="17"/>
      <c r="R21" s="11"/>
      <c r="S21" s="11" t="str" cm="1">
        <f t="array" ref="S21">xlFOCUS_ExpectativasMensais("Câmbio",,$Q21,WORKDAY(EDATE($Q21,-2),-1,Holidays),WORKDAY(EDATE($Q21,-2),-1,Holidays),0,"Mediana")</f>
        <v># Barra de fórmulas aberta</v>
      </c>
      <c r="T21" s="11" t="str" cm="1">
        <f t="array" ref="T21">xlFOCUS_ExpectativasMensais("Câmbio",,$Q21,WORKDAY(EDATE($Q21,-1),-1,Holidays),WORKDAY(EDATE($Q21,-1),-1,Holidays),0,"Mediana")</f>
        <v># Barra de fórmulas aberta</v>
      </c>
      <c r="V21" s="11" t="e">
        <f t="shared" si="6"/>
        <v>#VALUE!</v>
      </c>
      <c r="W21" s="11" t="e">
        <f t="shared" si="7"/>
        <v>#VALUE!</v>
      </c>
      <c r="X21" s="11"/>
      <c r="Y21" s="17"/>
      <c r="Z21" s="11"/>
      <c r="AA21" s="11" t="str" cm="1">
        <f t="array" ref="AA21">xlFOCUS_ExpectativasMensais("IGP-M",,$Y21,WORKDAY(EDATE($Y21,-2),-1,Holidays),WORKDAY(EDATE($Y21,-2),-1,Holidays),0,"Mediana")</f>
        <v># Barra de fórmulas aberta</v>
      </c>
      <c r="AB21" s="11" t="str" cm="1">
        <f t="array" ref="AB21">xlFOCUS_ExpectativasMensais("IGP-M",,$Y21,WORKDAY(EDATE($Y21,-1),-1,Holidays),WORKDAY(EDATE($Y21,-1),-1,Holidays),0,"Mediana")</f>
        <v># Barra de fórmulas aberta</v>
      </c>
      <c r="AC21" s="11" t="str" cm="1">
        <f t="array" ref="AC21">xlFOCUS_ExpectativasMensais("IGP-M",,$Y21,WORKDAY(EDATE($Y21,0),-1,Holidays),WORKDAY(EDATE($Y21,0),-1,Holidays),0,"Mediana")</f>
        <v># Barra de fórmulas aberta</v>
      </c>
      <c r="AD21" s="11" t="e">
        <f t="shared" si="8"/>
        <v>#VALUE!</v>
      </c>
      <c r="AE21" s="11" t="e">
        <f t="shared" si="9"/>
        <v>#VALUE!</v>
      </c>
      <c r="AF21" s="11" t="e">
        <f t="shared" si="10"/>
        <v>#VALUE!</v>
      </c>
      <c r="AG21" s="11"/>
    </row>
    <row r="22" spans="1:33" x14ac:dyDescent="0.2">
      <c r="A22" s="3" t="s">
        <v>148</v>
      </c>
      <c r="B22" s="18"/>
      <c r="D22" s="1">
        <f t="shared" si="0"/>
        <v>0</v>
      </c>
      <c r="E22" s="1">
        <f t="shared" si="1"/>
        <v>0</v>
      </c>
      <c r="F22" s="17"/>
      <c r="G22" s="11"/>
      <c r="H22" s="11" t="str" cm="1">
        <f t="array" ref="H22">xlFOCUS_ExpectativasMensais("IPCA",,$F22,WORKDAY(EDATE($F22,-2),-1,Holidays),WORKDAY(EDATE($F22,-2),-1,Holidays),0,"Mediana")</f>
        <v># Barra de fórmulas aberta</v>
      </c>
      <c r="I22" s="11" t="str" cm="1">
        <f t="array" ref="I22">xlFOCUS_ExpectativasMensais("IPCA",,$F22,WORKDAY(EDATE($F22,-1),-1,Holidays),WORKDAY(EDATE($F22,-1),-1,Holidays),0,"Mediana")</f>
        <v># Barra de fórmulas aberta</v>
      </c>
      <c r="J22" s="11" t="str" cm="1">
        <f t="array" ref="J22">xlFOCUS_ExpectativasMensais("IPCA",,$F22,WORKDAY(EDATE($F22,0),-1,Holidays),WORKDAY(EDATE($F22,0),-1,Holidays),0,"Mediana")</f>
        <v># Barra de fórmulas aberta</v>
      </c>
      <c r="K22" s="11" t="str" cm="1">
        <f t="array" ref="K22">xlFOCUS_ExpectativasMensais("IPCA",,$F22,WORKDAY(EDATE($F22,1),-1,Holidays),WORKDAY(EDATE($F22,1),-1,Holidays),0,"Mediana")</f>
        <v># Barra de fórmulas aberta</v>
      </c>
      <c r="L22" s="11" t="e">
        <f t="shared" si="2"/>
        <v>#VALUE!</v>
      </c>
      <c r="M22" s="11" t="e">
        <f t="shared" si="3"/>
        <v>#VALUE!</v>
      </c>
      <c r="N22" s="11" t="e">
        <f t="shared" si="4"/>
        <v>#VALUE!</v>
      </c>
      <c r="O22" s="11" t="e">
        <f t="shared" si="5"/>
        <v>#VALUE!</v>
      </c>
      <c r="Q22" s="17"/>
      <c r="R22" s="11"/>
      <c r="S22" s="11" t="str" cm="1">
        <f t="array" ref="S22">xlFOCUS_ExpectativasMensais("Câmbio",,$Q22,WORKDAY(EDATE($Q22,-2),-1,Holidays),WORKDAY(EDATE($Q22,-2),-1,Holidays),0,"Mediana")</f>
        <v># Barra de fórmulas aberta</v>
      </c>
      <c r="T22" s="11" t="str" cm="1">
        <f t="array" ref="T22">xlFOCUS_ExpectativasMensais("Câmbio",,$Q22,WORKDAY(EDATE($Q22,-1),-1,Holidays),WORKDAY(EDATE($Q22,-1),-1,Holidays),0,"Mediana")</f>
        <v># Barra de fórmulas aberta</v>
      </c>
      <c r="V22" s="11" t="e">
        <f t="shared" si="6"/>
        <v>#VALUE!</v>
      </c>
      <c r="W22" s="11" t="e">
        <f t="shared" si="7"/>
        <v>#VALUE!</v>
      </c>
      <c r="X22" s="11"/>
      <c r="Y22" s="17"/>
      <c r="Z22" s="11"/>
      <c r="AA22" s="11" t="str" cm="1">
        <f t="array" ref="AA22">xlFOCUS_ExpectativasMensais("IGP-M",,$Y22,WORKDAY(EDATE($Y22,-2),-1,Holidays),WORKDAY(EDATE($Y22,-2),-1,Holidays),0,"Mediana")</f>
        <v># Barra de fórmulas aberta</v>
      </c>
      <c r="AB22" s="11" t="str" cm="1">
        <f t="array" ref="AB22">xlFOCUS_ExpectativasMensais("IGP-M",,$Y22,WORKDAY(EDATE($Y22,-1),-1,Holidays),WORKDAY(EDATE($Y22,-1),-1,Holidays),0,"Mediana")</f>
        <v># Barra de fórmulas aberta</v>
      </c>
      <c r="AC22" s="11" t="str" cm="1">
        <f t="array" ref="AC22">xlFOCUS_ExpectativasMensais("IGP-M",,$Y22,WORKDAY(EDATE($Y22,0),-1,Holidays),WORKDAY(EDATE($Y22,0),-1,Holidays),0,"Mediana")</f>
        <v># Barra de fórmulas aberta</v>
      </c>
      <c r="AD22" s="11" t="e">
        <f t="shared" si="8"/>
        <v>#VALUE!</v>
      </c>
      <c r="AE22" s="11" t="e">
        <f t="shared" si="9"/>
        <v>#VALUE!</v>
      </c>
      <c r="AF22" s="11" t="e">
        <f t="shared" si="10"/>
        <v>#VALUE!</v>
      </c>
      <c r="AG22" s="11"/>
    </row>
    <row r="23" spans="1:33" x14ac:dyDescent="0.2">
      <c r="A23" s="3" t="s">
        <v>147</v>
      </c>
      <c r="B23" s="18">
        <v>2</v>
      </c>
      <c r="D23" s="1">
        <f t="shared" si="0"/>
        <v>0</v>
      </c>
      <c r="E23" s="1">
        <f t="shared" si="1"/>
        <v>0</v>
      </c>
      <c r="F23" s="17"/>
      <c r="G23" s="11"/>
      <c r="H23" s="11" t="str" cm="1">
        <f t="array" ref="H23">xlFOCUS_ExpectativasMensais("IPCA",,$F23,WORKDAY(EDATE($F23,-2),-1,Holidays),WORKDAY(EDATE($F23,-2),-1,Holidays),0,"Mediana")</f>
        <v># Barra de fórmulas aberta</v>
      </c>
      <c r="I23" s="11" t="str" cm="1">
        <f t="array" ref="I23">xlFOCUS_ExpectativasMensais("IPCA",,$F23,WORKDAY(EDATE($F23,-1),-1,Holidays),WORKDAY(EDATE($F23,-1),-1,Holidays),0,"Mediana")</f>
        <v># Barra de fórmulas aberta</v>
      </c>
      <c r="J23" s="11" t="str" cm="1">
        <f t="array" ref="J23">xlFOCUS_ExpectativasMensais("IPCA",,$F23,WORKDAY(EDATE($F23,0),-1,Holidays),WORKDAY(EDATE($F23,0),-1,Holidays),0,"Mediana")</f>
        <v># Barra de fórmulas aberta</v>
      </c>
      <c r="K23" s="11" t="str" cm="1">
        <f t="array" ref="K23">xlFOCUS_ExpectativasMensais("IPCA",,$F23,WORKDAY(EDATE($F23,1),-1,Holidays),WORKDAY(EDATE($F23,1),-1,Holidays),0,"Mediana")</f>
        <v># Barra de fórmulas aberta</v>
      </c>
      <c r="L23" s="11" t="e">
        <f t="shared" si="2"/>
        <v>#VALUE!</v>
      </c>
      <c r="M23" s="11" t="e">
        <f t="shared" si="3"/>
        <v>#VALUE!</v>
      </c>
      <c r="N23" s="11" t="e">
        <f t="shared" si="4"/>
        <v>#VALUE!</v>
      </c>
      <c r="O23" s="11" t="e">
        <f t="shared" si="5"/>
        <v>#VALUE!</v>
      </c>
      <c r="Q23" s="17"/>
      <c r="R23" s="11"/>
      <c r="S23" s="11" t="str" cm="1">
        <f t="array" ref="S23">xlFOCUS_ExpectativasMensais("Câmbio",,$Q23,WORKDAY(EDATE($Q23,-2),-1,Holidays),WORKDAY(EDATE($Q23,-2),-1,Holidays),0,"Mediana")</f>
        <v># Barra de fórmulas aberta</v>
      </c>
      <c r="T23" s="11" t="str" cm="1">
        <f t="array" ref="T23">xlFOCUS_ExpectativasMensais("Câmbio",,$Q23,WORKDAY(EDATE($Q23,-1),-1,Holidays),WORKDAY(EDATE($Q23,-1),-1,Holidays),0,"Mediana")</f>
        <v># Barra de fórmulas aberta</v>
      </c>
      <c r="V23" s="11" t="e">
        <f t="shared" si="6"/>
        <v>#VALUE!</v>
      </c>
      <c r="W23" s="11" t="e">
        <f t="shared" si="7"/>
        <v>#VALUE!</v>
      </c>
      <c r="X23" s="11"/>
      <c r="Y23" s="17"/>
      <c r="Z23" s="11"/>
      <c r="AA23" s="11" t="str" cm="1">
        <f t="array" ref="AA23">xlFOCUS_ExpectativasMensais("IGP-M",,$Y23,WORKDAY(EDATE($Y23,-2),-1,Holidays),WORKDAY(EDATE($Y23,-2),-1,Holidays),0,"Mediana")</f>
        <v># Barra de fórmulas aberta</v>
      </c>
      <c r="AB23" s="11" t="str" cm="1">
        <f t="array" ref="AB23">xlFOCUS_ExpectativasMensais("IGP-M",,$Y23,WORKDAY(EDATE($Y23,-1),-1,Holidays),WORKDAY(EDATE($Y23,-1),-1,Holidays),0,"Mediana")</f>
        <v># Barra de fórmulas aberta</v>
      </c>
      <c r="AC23" s="11" t="str" cm="1">
        <f t="array" ref="AC23">xlFOCUS_ExpectativasMensais("IGP-M",,$Y23,WORKDAY(EDATE($Y23,0),-1,Holidays),WORKDAY(EDATE($Y23,0),-1,Holidays),0,"Mediana")</f>
        <v># Barra de fórmulas aberta</v>
      </c>
      <c r="AD23" s="11" t="e">
        <f t="shared" si="8"/>
        <v>#VALUE!</v>
      </c>
      <c r="AE23" s="11" t="e">
        <f t="shared" si="9"/>
        <v>#VALUE!</v>
      </c>
      <c r="AF23" s="11" t="e">
        <f t="shared" si="10"/>
        <v>#VALUE!</v>
      </c>
      <c r="AG23" s="11"/>
    </row>
    <row r="24" spans="1:33" x14ac:dyDescent="0.2">
      <c r="D24" s="1">
        <f t="shared" si="0"/>
        <v>0</v>
      </c>
      <c r="E24" s="1">
        <f t="shared" si="1"/>
        <v>0</v>
      </c>
      <c r="F24" s="17"/>
      <c r="G24" s="11"/>
      <c r="H24" s="11" t="str" cm="1">
        <f t="array" ref="H24">xlFOCUS_ExpectativasMensais("IPCA",,$F24,WORKDAY(EDATE($F24,-2),-1,Holidays),WORKDAY(EDATE($F24,-2),-1,Holidays),0,"Mediana")</f>
        <v># Barra de fórmulas aberta</v>
      </c>
      <c r="I24" s="11" t="str" cm="1">
        <f t="array" ref="I24">xlFOCUS_ExpectativasMensais("IPCA",,$F24,WORKDAY(EDATE($F24,-1),-1,Holidays),WORKDAY(EDATE($F24,-1),-1,Holidays),0,"Mediana")</f>
        <v># Barra de fórmulas aberta</v>
      </c>
      <c r="J24" s="11" t="str" cm="1">
        <f t="array" ref="J24">xlFOCUS_ExpectativasMensais("IPCA",,$F24,WORKDAY(EDATE($F24,0),-1,Holidays),WORKDAY(EDATE($F24,0),-1,Holidays),0,"Mediana")</f>
        <v># Barra de fórmulas aberta</v>
      </c>
      <c r="K24" s="11" t="str" cm="1">
        <f t="array" ref="K24">xlFOCUS_ExpectativasMensais("IPCA",,$F24,WORKDAY(EDATE($F24,1),-1,Holidays),WORKDAY(EDATE($F24,1),-1,Holidays),0,"Mediana")</f>
        <v># Barra de fórmulas aberta</v>
      </c>
      <c r="L24" s="11" t="e">
        <f t="shared" si="2"/>
        <v>#VALUE!</v>
      </c>
      <c r="M24" s="11" t="e">
        <f t="shared" si="3"/>
        <v>#VALUE!</v>
      </c>
      <c r="N24" s="11" t="e">
        <f t="shared" si="4"/>
        <v>#VALUE!</v>
      </c>
      <c r="O24" s="11" t="e">
        <f t="shared" si="5"/>
        <v>#VALUE!</v>
      </c>
      <c r="Q24" s="17"/>
      <c r="R24" s="11"/>
      <c r="S24" s="11" t="str" cm="1">
        <f t="array" ref="S24">xlFOCUS_ExpectativasMensais("Câmbio",,$Q24,WORKDAY(EDATE($Q24,-2),-1,Holidays),WORKDAY(EDATE($Q24,-2),-1,Holidays),0,"Mediana")</f>
        <v># Barra de fórmulas aberta</v>
      </c>
      <c r="T24" s="11" t="str" cm="1">
        <f t="array" ref="T24">xlFOCUS_ExpectativasMensais("Câmbio",,$Q24,WORKDAY(EDATE($Q24,-1),-1,Holidays),WORKDAY(EDATE($Q24,-1),-1,Holidays),0,"Mediana")</f>
        <v># Barra de fórmulas aberta</v>
      </c>
      <c r="V24" s="11" t="e">
        <f t="shared" si="6"/>
        <v>#VALUE!</v>
      </c>
      <c r="W24" s="11" t="e">
        <f t="shared" si="7"/>
        <v>#VALUE!</v>
      </c>
      <c r="X24" s="11"/>
      <c r="Y24" s="17"/>
      <c r="Z24" s="11"/>
      <c r="AA24" s="11" t="str" cm="1">
        <f t="array" ref="AA24">xlFOCUS_ExpectativasMensais("IGP-M",,$Y24,WORKDAY(EDATE($Y24,-2),-1,Holidays),WORKDAY(EDATE($Y24,-2),-1,Holidays),0,"Mediana")</f>
        <v># Barra de fórmulas aberta</v>
      </c>
      <c r="AB24" s="11" t="str" cm="1">
        <f t="array" ref="AB24">xlFOCUS_ExpectativasMensais("IGP-M",,$Y24,WORKDAY(EDATE($Y24,-1),-1,Holidays),WORKDAY(EDATE($Y24,-1),-1,Holidays),0,"Mediana")</f>
        <v># Barra de fórmulas aberta</v>
      </c>
      <c r="AC24" s="11" t="str" cm="1">
        <f t="array" ref="AC24">xlFOCUS_ExpectativasMensais("IGP-M",,$Y24,WORKDAY(EDATE($Y24,0),-1,Holidays),WORKDAY(EDATE($Y24,0),-1,Holidays),0,"Mediana")</f>
        <v># Barra de fórmulas aberta</v>
      </c>
      <c r="AD24" s="11" t="e">
        <f t="shared" si="8"/>
        <v>#VALUE!</v>
      </c>
      <c r="AE24" s="11" t="e">
        <f t="shared" si="9"/>
        <v>#VALUE!</v>
      </c>
      <c r="AF24" s="11" t="e">
        <f t="shared" si="10"/>
        <v>#VALUE!</v>
      </c>
      <c r="AG24" s="11"/>
    </row>
    <row r="25" spans="1:33" x14ac:dyDescent="0.2">
      <c r="D25" s="1">
        <f t="shared" si="0"/>
        <v>0</v>
      </c>
      <c r="E25" s="1">
        <f t="shared" si="1"/>
        <v>0</v>
      </c>
      <c r="F25" s="17"/>
      <c r="G25" s="11"/>
      <c r="H25" s="11" t="str" cm="1">
        <f t="array" ref="H25">xlFOCUS_ExpectativasMensais("IPCA",,$F25,WORKDAY(EDATE($F25,-2),-1,Holidays),WORKDAY(EDATE($F25,-2),-1,Holidays),0,"Mediana")</f>
        <v># Barra de fórmulas aberta</v>
      </c>
      <c r="I25" s="11" t="str" cm="1">
        <f t="array" ref="I25">xlFOCUS_ExpectativasMensais("IPCA",,$F25,WORKDAY(EDATE($F25,-1),-1,Holidays),WORKDAY(EDATE($F25,-1),-1,Holidays),0,"Mediana")</f>
        <v># Barra de fórmulas aberta</v>
      </c>
      <c r="J25" s="11" t="str" cm="1">
        <f t="array" ref="J25">xlFOCUS_ExpectativasMensais("IPCA",,$F25,WORKDAY(EDATE($F25,0),-1,Holidays),WORKDAY(EDATE($F25,0),-1,Holidays),0,"Mediana")</f>
        <v># Barra de fórmulas aberta</v>
      </c>
      <c r="K25" s="11" t="str" cm="1">
        <f t="array" ref="K25">xlFOCUS_ExpectativasMensais("IPCA",,$F25,WORKDAY(EDATE($F25,1),-1,Holidays),WORKDAY(EDATE($F25,1),-1,Holidays),0,"Mediana")</f>
        <v># Barra de fórmulas aberta</v>
      </c>
      <c r="L25" s="11" t="e">
        <f t="shared" si="2"/>
        <v>#VALUE!</v>
      </c>
      <c r="M25" s="11" t="e">
        <f t="shared" si="3"/>
        <v>#VALUE!</v>
      </c>
      <c r="N25" s="11" t="e">
        <f t="shared" si="4"/>
        <v>#VALUE!</v>
      </c>
      <c r="O25" s="11" t="e">
        <f t="shared" si="5"/>
        <v>#VALUE!</v>
      </c>
      <c r="Q25" s="17"/>
      <c r="R25" s="11"/>
      <c r="S25" s="11" t="str" cm="1">
        <f t="array" ref="S25">xlFOCUS_ExpectativasMensais("Câmbio",,$Q25,WORKDAY(EDATE($Q25,-2),-1,Holidays),WORKDAY(EDATE($Q25,-2),-1,Holidays),0,"Mediana")</f>
        <v># Barra de fórmulas aberta</v>
      </c>
      <c r="T25" s="11" t="str" cm="1">
        <f t="array" ref="T25">xlFOCUS_ExpectativasMensais("Câmbio",,$Q25,WORKDAY(EDATE($Q25,-1),-1,Holidays),WORKDAY(EDATE($Q25,-1),-1,Holidays),0,"Mediana")</f>
        <v># Barra de fórmulas aberta</v>
      </c>
      <c r="V25" s="11" t="e">
        <f t="shared" si="6"/>
        <v>#VALUE!</v>
      </c>
      <c r="W25" s="11" t="e">
        <f t="shared" si="7"/>
        <v>#VALUE!</v>
      </c>
      <c r="X25" s="11"/>
      <c r="Y25" s="17"/>
      <c r="Z25" s="11"/>
      <c r="AA25" s="11" t="str" cm="1">
        <f t="array" ref="AA25">xlFOCUS_ExpectativasMensais("IGP-M",,$Y25,WORKDAY(EDATE($Y25,-2),-1,Holidays),WORKDAY(EDATE($Y25,-2),-1,Holidays),0,"Mediana")</f>
        <v># Barra de fórmulas aberta</v>
      </c>
      <c r="AB25" s="11" t="str" cm="1">
        <f t="array" ref="AB25">xlFOCUS_ExpectativasMensais("IGP-M",,$Y25,WORKDAY(EDATE($Y25,-1),-1,Holidays),WORKDAY(EDATE($Y25,-1),-1,Holidays),0,"Mediana")</f>
        <v># Barra de fórmulas aberta</v>
      </c>
      <c r="AC25" s="11" t="str" cm="1">
        <f t="array" ref="AC25">xlFOCUS_ExpectativasMensais("IGP-M",,$Y25,WORKDAY(EDATE($Y25,0),-1,Holidays),WORKDAY(EDATE($Y25,0),-1,Holidays),0,"Mediana")</f>
        <v># Barra de fórmulas aberta</v>
      </c>
      <c r="AD25" s="11" t="e">
        <f t="shared" si="8"/>
        <v>#VALUE!</v>
      </c>
      <c r="AE25" s="11" t="e">
        <f t="shared" si="9"/>
        <v>#VALUE!</v>
      </c>
      <c r="AF25" s="11" t="e">
        <f t="shared" si="10"/>
        <v>#VALUE!</v>
      </c>
      <c r="AG25" s="11"/>
    </row>
    <row r="26" spans="1:33" x14ac:dyDescent="0.2">
      <c r="A26" s="3" t="s">
        <v>555</v>
      </c>
      <c r="B26" s="14">
        <v>43891</v>
      </c>
      <c r="D26" s="1">
        <f t="shared" si="0"/>
        <v>0</v>
      </c>
      <c r="E26" s="1">
        <f t="shared" si="1"/>
        <v>0</v>
      </c>
      <c r="F26" s="17"/>
      <c r="G26" s="11"/>
      <c r="H26" s="11" t="str" cm="1">
        <f t="array" ref="H26">xlFOCUS_ExpectativasMensais("IPCA",,$F26,WORKDAY(EDATE($F26,-2),-1,Holidays),WORKDAY(EDATE($F26,-2),-1,Holidays),0,"Mediana")</f>
        <v># Barra de fórmulas aberta</v>
      </c>
      <c r="I26" s="11" t="str" cm="1">
        <f t="array" ref="I26">xlFOCUS_ExpectativasMensais("IPCA",,$F26,WORKDAY(EDATE($F26,-1),-1,Holidays),WORKDAY(EDATE($F26,-1),-1,Holidays),0,"Mediana")</f>
        <v># Barra de fórmulas aberta</v>
      </c>
      <c r="J26" s="11" t="str" cm="1">
        <f t="array" ref="J26">xlFOCUS_ExpectativasMensais("IPCA",,$F26,WORKDAY(EDATE($F26,0),-1,Holidays),WORKDAY(EDATE($F26,0),-1,Holidays),0,"Mediana")</f>
        <v># Barra de fórmulas aberta</v>
      </c>
      <c r="K26" s="11" t="str" cm="1">
        <f t="array" ref="K26">xlFOCUS_ExpectativasMensais("IPCA",,$F26,WORKDAY(EDATE($F26,1),-1,Holidays),WORKDAY(EDATE($F26,1),-1,Holidays),0,"Mediana")</f>
        <v># Barra de fórmulas aberta</v>
      </c>
      <c r="L26" s="11" t="e">
        <f t="shared" si="2"/>
        <v>#VALUE!</v>
      </c>
      <c r="M26" s="11" t="e">
        <f t="shared" si="3"/>
        <v>#VALUE!</v>
      </c>
      <c r="N26" s="11" t="e">
        <f t="shared" si="4"/>
        <v>#VALUE!</v>
      </c>
      <c r="O26" s="11" t="e">
        <f t="shared" si="5"/>
        <v>#VALUE!</v>
      </c>
      <c r="Q26" s="17"/>
      <c r="R26" s="11"/>
      <c r="S26" s="11" t="str" cm="1">
        <f t="array" ref="S26">xlFOCUS_ExpectativasMensais("Câmbio",,$Q26,WORKDAY(EDATE($Q26,-2),-1,Holidays),WORKDAY(EDATE($Q26,-2),-1,Holidays),0,"Mediana")</f>
        <v># Barra de fórmulas aberta</v>
      </c>
      <c r="T26" s="11" t="str" cm="1">
        <f t="array" ref="T26">xlFOCUS_ExpectativasMensais("Câmbio",,$Q26,WORKDAY(EDATE($Q26,-1),-1,Holidays),WORKDAY(EDATE($Q26,-1),-1,Holidays),0,"Mediana")</f>
        <v># Barra de fórmulas aberta</v>
      </c>
      <c r="V26" s="11" t="e">
        <f t="shared" si="6"/>
        <v>#VALUE!</v>
      </c>
      <c r="W26" s="11" t="e">
        <f t="shared" si="7"/>
        <v>#VALUE!</v>
      </c>
      <c r="X26" s="11"/>
      <c r="Y26" s="17"/>
      <c r="Z26" s="11"/>
      <c r="AA26" s="11" t="str" cm="1">
        <f t="array" ref="AA26">xlFOCUS_ExpectativasMensais("IGP-M",,$Y26,WORKDAY(EDATE($Y26,-2),-1,Holidays),WORKDAY(EDATE($Y26,-2),-1,Holidays),0,"Mediana")</f>
        <v># Barra de fórmulas aberta</v>
      </c>
      <c r="AB26" s="11" t="str" cm="1">
        <f t="array" ref="AB26">xlFOCUS_ExpectativasMensais("IGP-M",,$Y26,WORKDAY(EDATE($Y26,-1),-1,Holidays),WORKDAY(EDATE($Y26,-1),-1,Holidays),0,"Mediana")</f>
        <v># Barra de fórmulas aberta</v>
      </c>
      <c r="AC26" s="11" t="str" cm="1">
        <f t="array" ref="AC26">xlFOCUS_ExpectativasMensais("IGP-M",,$Y26,WORKDAY(EDATE($Y26,0),-1,Holidays),WORKDAY(EDATE($Y26,0),-1,Holidays),0,"Mediana")</f>
        <v># Barra de fórmulas aberta</v>
      </c>
      <c r="AD26" s="11" t="e">
        <f t="shared" si="8"/>
        <v>#VALUE!</v>
      </c>
      <c r="AE26" s="11" t="e">
        <f t="shared" si="9"/>
        <v>#VALUE!</v>
      </c>
      <c r="AF26" s="11" t="e">
        <f t="shared" si="10"/>
        <v>#VALUE!</v>
      </c>
      <c r="AG26" s="11"/>
    </row>
    <row r="27" spans="1:33" x14ac:dyDescent="0.2">
      <c r="D27" s="1">
        <f t="shared" si="0"/>
        <v>0</v>
      </c>
      <c r="E27" s="1">
        <f t="shared" si="1"/>
        <v>0</v>
      </c>
      <c r="F27" s="17"/>
      <c r="G27" s="11"/>
      <c r="H27" s="11" t="str" cm="1">
        <f t="array" ref="H27">xlFOCUS_ExpectativasMensais("IPCA",,$F27,WORKDAY(EDATE($F27,-2),-1,Holidays),WORKDAY(EDATE($F27,-2),-1,Holidays),0,"Mediana")</f>
        <v># Barra de fórmulas aberta</v>
      </c>
      <c r="I27" s="11" t="str" cm="1">
        <f t="array" ref="I27">xlFOCUS_ExpectativasMensais("IPCA",,$F27,WORKDAY(EDATE($F27,-1),-1,Holidays),WORKDAY(EDATE($F27,-1),-1,Holidays),0,"Mediana")</f>
        <v># Barra de fórmulas aberta</v>
      </c>
      <c r="J27" s="11" t="str" cm="1">
        <f t="array" ref="J27">xlFOCUS_ExpectativasMensais("IPCA",,$F27,WORKDAY(EDATE($F27,0),-1,Holidays),WORKDAY(EDATE($F27,0),-1,Holidays),0,"Mediana")</f>
        <v># Barra de fórmulas aberta</v>
      </c>
      <c r="K27" s="11" t="str" cm="1">
        <f t="array" ref="K27">xlFOCUS_ExpectativasMensais("IPCA",,$F27,WORKDAY(EDATE($F27,1),-1,Holidays),WORKDAY(EDATE($F27,1),-1,Holidays),0,"Mediana")</f>
        <v># Barra de fórmulas aberta</v>
      </c>
      <c r="L27" s="11" t="e">
        <f t="shared" si="2"/>
        <v>#VALUE!</v>
      </c>
      <c r="M27" s="11" t="e">
        <f t="shared" si="3"/>
        <v>#VALUE!</v>
      </c>
      <c r="N27" s="11" t="e">
        <f t="shared" si="4"/>
        <v>#VALUE!</v>
      </c>
      <c r="O27" s="11" t="e">
        <f t="shared" si="5"/>
        <v>#VALUE!</v>
      </c>
      <c r="Q27" s="17"/>
      <c r="R27" s="11"/>
      <c r="S27" s="11" t="str" cm="1">
        <f t="array" ref="S27">xlFOCUS_ExpectativasMensais("Câmbio",,$Q27,WORKDAY(EDATE($Q27,-2),-1,Holidays),WORKDAY(EDATE($Q27,-2),-1,Holidays),0,"Mediana")</f>
        <v># Barra de fórmulas aberta</v>
      </c>
      <c r="T27" s="11" t="str" cm="1">
        <f t="array" ref="T27">xlFOCUS_ExpectativasMensais("Câmbio",,$Q27,WORKDAY(EDATE($Q27,-1),-1,Holidays),WORKDAY(EDATE($Q27,-1),-1,Holidays),0,"Mediana")</f>
        <v># Barra de fórmulas aberta</v>
      </c>
      <c r="V27" s="11" t="e">
        <f t="shared" si="6"/>
        <v>#VALUE!</v>
      </c>
      <c r="W27" s="11" t="e">
        <f t="shared" si="7"/>
        <v>#VALUE!</v>
      </c>
      <c r="X27" s="11"/>
      <c r="Y27" s="17"/>
      <c r="Z27" s="11"/>
      <c r="AA27" s="11" t="str" cm="1">
        <f t="array" ref="AA27">xlFOCUS_ExpectativasMensais("IGP-M",,$Y27,WORKDAY(EDATE($Y27,-2),-1,Holidays),WORKDAY(EDATE($Y27,-2),-1,Holidays),0,"Mediana")</f>
        <v># Barra de fórmulas aberta</v>
      </c>
      <c r="AB27" s="11" t="str" cm="1">
        <f t="array" ref="AB27">xlFOCUS_ExpectativasMensais("IGP-M",,$Y27,WORKDAY(EDATE($Y27,-1),-1,Holidays),WORKDAY(EDATE($Y27,-1),-1,Holidays),0,"Mediana")</f>
        <v># Barra de fórmulas aberta</v>
      </c>
      <c r="AC27" s="11" t="str" cm="1">
        <f t="array" ref="AC27">xlFOCUS_ExpectativasMensais("IGP-M",,$Y27,WORKDAY(EDATE($Y27,0),-1,Holidays),WORKDAY(EDATE($Y27,0),-1,Holidays),0,"Mediana")</f>
        <v># Barra de fórmulas aberta</v>
      </c>
      <c r="AD27" s="11" t="e">
        <f t="shared" si="8"/>
        <v>#VALUE!</v>
      </c>
      <c r="AE27" s="11" t="e">
        <f t="shared" si="9"/>
        <v>#VALUE!</v>
      </c>
      <c r="AF27" s="11" t="e">
        <f t="shared" si="10"/>
        <v>#VALUE!</v>
      </c>
      <c r="AG27" s="11"/>
    </row>
    <row r="28" spans="1:33" x14ac:dyDescent="0.2">
      <c r="D28" s="1">
        <f t="shared" si="0"/>
        <v>0</v>
      </c>
      <c r="E28" s="1">
        <f t="shared" si="1"/>
        <v>0</v>
      </c>
      <c r="F28" s="17"/>
      <c r="G28" s="11"/>
      <c r="H28" s="11" t="str" cm="1">
        <f t="array" ref="H28">xlFOCUS_ExpectativasMensais("IPCA",,$F28,WORKDAY(EDATE($F28,-2),-1,Holidays),WORKDAY(EDATE($F28,-2),-1,Holidays),0,"Mediana")</f>
        <v># Barra de fórmulas aberta</v>
      </c>
      <c r="I28" s="11" t="str" cm="1">
        <f t="array" ref="I28">xlFOCUS_ExpectativasMensais("IPCA",,$F28,WORKDAY(EDATE($F28,-1),-1,Holidays),WORKDAY(EDATE($F28,-1),-1,Holidays),0,"Mediana")</f>
        <v># Barra de fórmulas aberta</v>
      </c>
      <c r="J28" s="11" t="str" cm="1">
        <f t="array" ref="J28">xlFOCUS_ExpectativasMensais("IPCA",,$F28,WORKDAY(EDATE($F28,0),-1,Holidays),WORKDAY(EDATE($F28,0),-1,Holidays),0,"Mediana")</f>
        <v># Barra de fórmulas aberta</v>
      </c>
      <c r="K28" s="11" t="str" cm="1">
        <f t="array" ref="K28">xlFOCUS_ExpectativasMensais("IPCA",,$F28,WORKDAY(EDATE($F28,1),-1,Holidays),WORKDAY(EDATE($F28,1),-1,Holidays),0,"Mediana")</f>
        <v># Barra de fórmulas aberta</v>
      </c>
      <c r="L28" s="11" t="e">
        <f t="shared" si="2"/>
        <v>#VALUE!</v>
      </c>
      <c r="M28" s="11" t="e">
        <f t="shared" si="3"/>
        <v>#VALUE!</v>
      </c>
      <c r="N28" s="11" t="e">
        <f t="shared" si="4"/>
        <v>#VALUE!</v>
      </c>
      <c r="O28" s="11" t="e">
        <f t="shared" si="5"/>
        <v>#VALUE!</v>
      </c>
      <c r="Q28" s="17"/>
      <c r="R28" s="11"/>
      <c r="S28" s="11" t="str" cm="1">
        <f t="array" ref="S28">xlFOCUS_ExpectativasMensais("Câmbio",,$Q28,WORKDAY(EDATE($Q28,-2),-1,Holidays),WORKDAY(EDATE($Q28,-2),-1,Holidays),0,"Mediana")</f>
        <v># Barra de fórmulas aberta</v>
      </c>
      <c r="T28" s="11" t="str" cm="1">
        <f t="array" ref="T28">xlFOCUS_ExpectativasMensais("Câmbio",,$Q28,WORKDAY(EDATE($Q28,-1),-1,Holidays),WORKDAY(EDATE($Q28,-1),-1,Holidays),0,"Mediana")</f>
        <v># Barra de fórmulas aberta</v>
      </c>
      <c r="V28" s="11" t="e">
        <f t="shared" si="6"/>
        <v>#VALUE!</v>
      </c>
      <c r="W28" s="11" t="e">
        <f t="shared" si="7"/>
        <v>#VALUE!</v>
      </c>
      <c r="X28" s="11"/>
      <c r="Y28" s="17"/>
      <c r="Z28" s="11"/>
      <c r="AA28" s="11" t="str" cm="1">
        <f t="array" ref="AA28">xlFOCUS_ExpectativasMensais("IGP-M",,$Y28,WORKDAY(EDATE($Y28,-2),-1,Holidays),WORKDAY(EDATE($Y28,-2),-1,Holidays),0,"Mediana")</f>
        <v># Barra de fórmulas aberta</v>
      </c>
      <c r="AB28" s="11" t="str" cm="1">
        <f t="array" ref="AB28">xlFOCUS_ExpectativasMensais("IGP-M",,$Y28,WORKDAY(EDATE($Y28,-1),-1,Holidays),WORKDAY(EDATE($Y28,-1),-1,Holidays),0,"Mediana")</f>
        <v># Barra de fórmulas aberta</v>
      </c>
      <c r="AC28" s="11" t="str" cm="1">
        <f t="array" ref="AC28">xlFOCUS_ExpectativasMensais("IGP-M",,$Y28,WORKDAY(EDATE($Y28,0),-1,Holidays),WORKDAY(EDATE($Y28,0),-1,Holidays),0,"Mediana")</f>
        <v># Barra de fórmulas aberta</v>
      </c>
      <c r="AD28" s="11" t="e">
        <f t="shared" si="8"/>
        <v>#VALUE!</v>
      </c>
      <c r="AE28" s="11" t="e">
        <f t="shared" si="9"/>
        <v>#VALUE!</v>
      </c>
      <c r="AF28" s="11" t="e">
        <f t="shared" si="10"/>
        <v>#VALUE!</v>
      </c>
      <c r="AG28" s="11"/>
    </row>
    <row r="29" spans="1:33" x14ac:dyDescent="0.2">
      <c r="D29" s="1">
        <f t="shared" si="0"/>
        <v>0</v>
      </c>
      <c r="E29" s="1">
        <f t="shared" si="1"/>
        <v>0</v>
      </c>
      <c r="F29" s="17"/>
      <c r="G29" s="11"/>
      <c r="H29" s="11" t="str" cm="1">
        <f t="array" ref="H29">xlFOCUS_ExpectativasMensais("IPCA",,$F29,WORKDAY(EDATE($F29,-2),-1,Holidays),WORKDAY(EDATE($F29,-2),-1,Holidays),0,"Mediana")</f>
        <v># Barra de fórmulas aberta</v>
      </c>
      <c r="I29" s="11" t="str" cm="1">
        <f t="array" ref="I29">xlFOCUS_ExpectativasMensais("IPCA",,$F29,WORKDAY(EDATE($F29,-1),-1,Holidays),WORKDAY(EDATE($F29,-1),-1,Holidays),0,"Mediana")</f>
        <v># Barra de fórmulas aberta</v>
      </c>
      <c r="J29" s="11" t="str" cm="1">
        <f t="array" ref="J29">xlFOCUS_ExpectativasMensais("IPCA",,$F29,WORKDAY(EDATE($F29,0),-1,Holidays),WORKDAY(EDATE($F29,0),-1,Holidays),0,"Mediana")</f>
        <v># Barra de fórmulas aberta</v>
      </c>
      <c r="K29" s="11" t="str" cm="1">
        <f t="array" ref="K29">xlFOCUS_ExpectativasMensais("IPCA",,$F29,WORKDAY(EDATE($F29,1),-1,Holidays),WORKDAY(EDATE($F29,1),-1,Holidays),0,"Mediana")</f>
        <v># Barra de fórmulas aberta</v>
      </c>
      <c r="L29" s="11" t="e">
        <f t="shared" si="2"/>
        <v>#VALUE!</v>
      </c>
      <c r="M29" s="11" t="e">
        <f t="shared" si="3"/>
        <v>#VALUE!</v>
      </c>
      <c r="N29" s="11" t="e">
        <f t="shared" si="4"/>
        <v>#VALUE!</v>
      </c>
      <c r="O29" s="11" t="e">
        <f t="shared" si="5"/>
        <v>#VALUE!</v>
      </c>
      <c r="Q29" s="17"/>
      <c r="R29" s="11"/>
      <c r="S29" s="11" t="str" cm="1">
        <f t="array" ref="S29">xlFOCUS_ExpectativasMensais("Câmbio",,$Q29,WORKDAY(EDATE($Q29,-2),-1,Holidays),WORKDAY(EDATE($Q29,-2),-1,Holidays),0,"Mediana")</f>
        <v># Barra de fórmulas aberta</v>
      </c>
      <c r="T29" s="11" t="str" cm="1">
        <f t="array" ref="T29">xlFOCUS_ExpectativasMensais("Câmbio",,$Q29,WORKDAY(EDATE($Q29,-1),-1,Holidays),WORKDAY(EDATE($Q29,-1),-1,Holidays),0,"Mediana")</f>
        <v># Barra de fórmulas aberta</v>
      </c>
      <c r="V29" s="11" t="e">
        <f t="shared" si="6"/>
        <v>#VALUE!</v>
      </c>
      <c r="W29" s="11" t="e">
        <f t="shared" si="7"/>
        <v>#VALUE!</v>
      </c>
      <c r="X29" s="11"/>
      <c r="Y29" s="17"/>
      <c r="Z29" s="11"/>
      <c r="AA29" s="11" t="str" cm="1">
        <f t="array" ref="AA29">xlFOCUS_ExpectativasMensais("IGP-M",,$Y29,WORKDAY(EDATE($Y29,-2),-1,Holidays),WORKDAY(EDATE($Y29,-2),-1,Holidays),0,"Mediana")</f>
        <v># Barra de fórmulas aberta</v>
      </c>
      <c r="AB29" s="11" t="str" cm="1">
        <f t="array" ref="AB29">xlFOCUS_ExpectativasMensais("IGP-M",,$Y29,WORKDAY(EDATE($Y29,-1),-1,Holidays),WORKDAY(EDATE($Y29,-1),-1,Holidays),0,"Mediana")</f>
        <v># Barra de fórmulas aberta</v>
      </c>
      <c r="AC29" s="11" t="str" cm="1">
        <f t="array" ref="AC29">xlFOCUS_ExpectativasMensais("IGP-M",,$Y29,WORKDAY(EDATE($Y29,0),-1,Holidays),WORKDAY(EDATE($Y29,0),-1,Holidays),0,"Mediana")</f>
        <v># Barra de fórmulas aberta</v>
      </c>
      <c r="AD29" s="11" t="e">
        <f t="shared" si="8"/>
        <v>#VALUE!</v>
      </c>
      <c r="AE29" s="11" t="e">
        <f t="shared" si="9"/>
        <v>#VALUE!</v>
      </c>
      <c r="AF29" s="11" t="e">
        <f t="shared" si="10"/>
        <v>#VALUE!</v>
      </c>
      <c r="AG29" s="11"/>
    </row>
    <row r="30" spans="1:33" x14ac:dyDescent="0.2">
      <c r="D30" s="1">
        <f t="shared" si="0"/>
        <v>0</v>
      </c>
      <c r="E30" s="1">
        <f t="shared" si="1"/>
        <v>0</v>
      </c>
      <c r="F30" s="17"/>
      <c r="G30" s="11"/>
      <c r="H30" s="11" t="str" cm="1">
        <f t="array" ref="H30">xlFOCUS_ExpectativasMensais("IPCA",,$F30,WORKDAY(EDATE($F30,-2),-1,Holidays),WORKDAY(EDATE($F30,-2),-1,Holidays),0,"Mediana")</f>
        <v># Barra de fórmulas aberta</v>
      </c>
      <c r="I30" s="11" t="str" cm="1">
        <f t="array" ref="I30">xlFOCUS_ExpectativasMensais("IPCA",,$F30,WORKDAY(EDATE($F30,-1),-1,Holidays),WORKDAY(EDATE($F30,-1),-1,Holidays),0,"Mediana")</f>
        <v># Barra de fórmulas aberta</v>
      </c>
      <c r="J30" s="11" t="str" cm="1">
        <f t="array" ref="J30">xlFOCUS_ExpectativasMensais("IPCA",,$F30,WORKDAY(EDATE($F30,0),-1,Holidays),WORKDAY(EDATE($F30,0),-1,Holidays),0,"Mediana")</f>
        <v># Barra de fórmulas aberta</v>
      </c>
      <c r="K30" s="11" t="str" cm="1">
        <f t="array" ref="K30">xlFOCUS_ExpectativasMensais("IPCA",,$F30,WORKDAY(EDATE($F30,1),-1,Holidays),WORKDAY(EDATE($F30,1),-1,Holidays),0,"Mediana")</f>
        <v># Barra de fórmulas aberta</v>
      </c>
      <c r="L30" s="11" t="e">
        <f t="shared" si="2"/>
        <v>#VALUE!</v>
      </c>
      <c r="M30" s="11" t="e">
        <f t="shared" si="3"/>
        <v>#VALUE!</v>
      </c>
      <c r="N30" s="11" t="e">
        <f t="shared" si="4"/>
        <v>#VALUE!</v>
      </c>
      <c r="O30" s="11" t="e">
        <f t="shared" si="5"/>
        <v>#VALUE!</v>
      </c>
      <c r="Q30" s="17"/>
      <c r="R30" s="11"/>
      <c r="S30" s="11" t="str" cm="1">
        <f t="array" ref="S30">xlFOCUS_ExpectativasMensais("Câmbio",,$Q30,WORKDAY(EDATE($Q30,-2),-1,Holidays),WORKDAY(EDATE($Q30,-2),-1,Holidays),0,"Mediana")</f>
        <v># Barra de fórmulas aberta</v>
      </c>
      <c r="T30" s="11" t="str" cm="1">
        <f t="array" ref="T30">xlFOCUS_ExpectativasMensais("Câmbio",,$Q30,WORKDAY(EDATE($Q30,-1),-1,Holidays),WORKDAY(EDATE($Q30,-1),-1,Holidays),0,"Mediana")</f>
        <v># Barra de fórmulas aberta</v>
      </c>
      <c r="V30" s="11" t="e">
        <f t="shared" si="6"/>
        <v>#VALUE!</v>
      </c>
      <c r="W30" s="11" t="e">
        <f t="shared" si="7"/>
        <v>#VALUE!</v>
      </c>
      <c r="X30" s="11"/>
      <c r="Y30" s="17"/>
      <c r="Z30" s="11"/>
      <c r="AA30" s="11" t="str" cm="1">
        <f t="array" ref="AA30">xlFOCUS_ExpectativasMensais("IGP-M",,$Y30,WORKDAY(EDATE($Y30,-2),-1,Holidays),WORKDAY(EDATE($Y30,-2),-1,Holidays),0,"Mediana")</f>
        <v># Barra de fórmulas aberta</v>
      </c>
      <c r="AB30" s="11" t="str" cm="1">
        <f t="array" ref="AB30">xlFOCUS_ExpectativasMensais("IGP-M",,$Y30,WORKDAY(EDATE($Y30,-1),-1,Holidays),WORKDAY(EDATE($Y30,-1),-1,Holidays),0,"Mediana")</f>
        <v># Barra de fórmulas aberta</v>
      </c>
      <c r="AC30" s="11" t="str" cm="1">
        <f t="array" ref="AC30">xlFOCUS_ExpectativasMensais("IGP-M",,$Y30,WORKDAY(EDATE($Y30,0),-1,Holidays),WORKDAY(EDATE($Y30,0),-1,Holidays),0,"Mediana")</f>
        <v># Barra de fórmulas aberta</v>
      </c>
      <c r="AD30" s="11" t="e">
        <f t="shared" si="8"/>
        <v>#VALUE!</v>
      </c>
      <c r="AE30" s="11" t="e">
        <f t="shared" si="9"/>
        <v>#VALUE!</v>
      </c>
      <c r="AF30" s="11" t="e">
        <f t="shared" si="10"/>
        <v>#VALUE!</v>
      </c>
      <c r="AG30" s="11"/>
    </row>
    <row r="31" spans="1:33" x14ac:dyDescent="0.2">
      <c r="D31" s="1">
        <f t="shared" si="0"/>
        <v>0</v>
      </c>
      <c r="E31" s="1">
        <f t="shared" si="1"/>
        <v>0</v>
      </c>
      <c r="F31" s="17"/>
      <c r="G31" s="11"/>
      <c r="H31" s="11" t="str" cm="1">
        <f t="array" ref="H31">xlFOCUS_ExpectativasMensais("IPCA",,$F31,WORKDAY(EDATE($F31,-2),-1,Holidays),WORKDAY(EDATE($F31,-2),-1,Holidays),0,"Mediana")</f>
        <v># Barra de fórmulas aberta</v>
      </c>
      <c r="I31" s="11" t="str" cm="1">
        <f t="array" ref="I31">xlFOCUS_ExpectativasMensais("IPCA",,$F31,WORKDAY(EDATE($F31,-1),-1,Holidays),WORKDAY(EDATE($F31,-1),-1,Holidays),0,"Mediana")</f>
        <v># Barra de fórmulas aberta</v>
      </c>
      <c r="J31" s="11" t="str" cm="1">
        <f t="array" ref="J31">xlFOCUS_ExpectativasMensais("IPCA",,$F31,WORKDAY(EDATE($F31,0),-1,Holidays),WORKDAY(EDATE($F31,0),-1,Holidays),0,"Mediana")</f>
        <v># Barra de fórmulas aberta</v>
      </c>
      <c r="K31" s="11" t="str" cm="1">
        <f t="array" ref="K31">xlFOCUS_ExpectativasMensais("IPCA",,$F31,WORKDAY(EDATE($F31,1),-1,Holidays),WORKDAY(EDATE($F31,1),-1,Holidays),0,"Mediana")</f>
        <v># Barra de fórmulas aberta</v>
      </c>
      <c r="L31" s="11" t="e">
        <f t="shared" si="2"/>
        <v>#VALUE!</v>
      </c>
      <c r="M31" s="11" t="e">
        <f t="shared" si="3"/>
        <v>#VALUE!</v>
      </c>
      <c r="N31" s="11" t="e">
        <f t="shared" si="4"/>
        <v>#VALUE!</v>
      </c>
      <c r="O31" s="11" t="e">
        <f t="shared" si="5"/>
        <v>#VALUE!</v>
      </c>
      <c r="Q31" s="17"/>
      <c r="R31" s="11"/>
      <c r="S31" s="11" t="str" cm="1">
        <f t="array" ref="S31">xlFOCUS_ExpectativasMensais("Câmbio",,$Q31,WORKDAY(EDATE($Q31,-2),-1,Holidays),WORKDAY(EDATE($Q31,-2),-1,Holidays),0,"Mediana")</f>
        <v># Barra de fórmulas aberta</v>
      </c>
      <c r="T31" s="11" t="str" cm="1">
        <f t="array" ref="T31">xlFOCUS_ExpectativasMensais("Câmbio",,$Q31,WORKDAY(EDATE($Q31,-1),-1,Holidays),WORKDAY(EDATE($Q31,-1),-1,Holidays),0,"Mediana")</f>
        <v># Barra de fórmulas aberta</v>
      </c>
      <c r="V31" s="11" t="e">
        <f t="shared" si="6"/>
        <v>#VALUE!</v>
      </c>
      <c r="W31" s="11" t="e">
        <f t="shared" si="7"/>
        <v>#VALUE!</v>
      </c>
      <c r="X31" s="11"/>
      <c r="Y31" s="17"/>
      <c r="Z31" s="11"/>
      <c r="AA31" s="11" t="str" cm="1">
        <f t="array" ref="AA31">xlFOCUS_ExpectativasMensais("IGP-M",,$Y31,WORKDAY(EDATE($Y31,-2),-1,Holidays),WORKDAY(EDATE($Y31,-2),-1,Holidays),0,"Mediana")</f>
        <v># Barra de fórmulas aberta</v>
      </c>
      <c r="AB31" s="11" t="str" cm="1">
        <f t="array" ref="AB31">xlFOCUS_ExpectativasMensais("IGP-M",,$Y31,WORKDAY(EDATE($Y31,-1),-1,Holidays),WORKDAY(EDATE($Y31,-1),-1,Holidays),0,"Mediana")</f>
        <v># Barra de fórmulas aberta</v>
      </c>
      <c r="AC31" s="11" t="str" cm="1">
        <f t="array" ref="AC31">xlFOCUS_ExpectativasMensais("IGP-M",,$Y31,WORKDAY(EDATE($Y31,0),-1,Holidays),WORKDAY(EDATE($Y31,0),-1,Holidays),0,"Mediana")</f>
        <v># Barra de fórmulas aberta</v>
      </c>
      <c r="AD31" s="11" t="e">
        <f t="shared" si="8"/>
        <v>#VALUE!</v>
      </c>
      <c r="AE31" s="11" t="e">
        <f t="shared" si="9"/>
        <v>#VALUE!</v>
      </c>
      <c r="AF31" s="11" t="e">
        <f t="shared" si="10"/>
        <v>#VALUE!</v>
      </c>
      <c r="AG31" s="11"/>
    </row>
    <row r="32" spans="1:33" x14ac:dyDescent="0.2">
      <c r="D32" s="1">
        <f t="shared" si="0"/>
        <v>0</v>
      </c>
      <c r="E32" s="1">
        <f t="shared" si="1"/>
        <v>0</v>
      </c>
      <c r="F32" s="17"/>
      <c r="G32" s="11"/>
      <c r="H32" s="11" t="str" cm="1">
        <f t="array" ref="H32">xlFOCUS_ExpectativasMensais("IPCA",,$F32,WORKDAY(EDATE($F32,-2),-1,Holidays),WORKDAY(EDATE($F32,-2),-1,Holidays),0,"Mediana")</f>
        <v># Barra de fórmulas aberta</v>
      </c>
      <c r="I32" s="11" t="str" cm="1">
        <f t="array" ref="I32">xlFOCUS_ExpectativasMensais("IPCA",,$F32,WORKDAY(EDATE($F32,-1),-1,Holidays),WORKDAY(EDATE($F32,-1),-1,Holidays),0,"Mediana")</f>
        <v># Barra de fórmulas aberta</v>
      </c>
      <c r="J32" s="11" t="str" cm="1">
        <f t="array" ref="J32">xlFOCUS_ExpectativasMensais("IPCA",,$F32,WORKDAY(EDATE($F32,0),-1,Holidays),WORKDAY(EDATE($F32,0),-1,Holidays),0,"Mediana")</f>
        <v># Barra de fórmulas aberta</v>
      </c>
      <c r="K32" s="11" t="str" cm="1">
        <f t="array" ref="K32">xlFOCUS_ExpectativasMensais("IPCA",,$F32,WORKDAY(EDATE($F32,1),-1,Holidays),WORKDAY(EDATE($F32,1),-1,Holidays),0,"Mediana")</f>
        <v># Barra de fórmulas aberta</v>
      </c>
      <c r="L32" s="11" t="e">
        <f t="shared" si="2"/>
        <v>#VALUE!</v>
      </c>
      <c r="M32" s="11" t="e">
        <f t="shared" si="3"/>
        <v>#VALUE!</v>
      </c>
      <c r="N32" s="11" t="e">
        <f t="shared" si="4"/>
        <v>#VALUE!</v>
      </c>
      <c r="O32" s="11" t="e">
        <f t="shared" si="5"/>
        <v>#VALUE!</v>
      </c>
      <c r="Q32" s="17"/>
      <c r="R32" s="11"/>
      <c r="S32" s="11" t="str" cm="1">
        <f t="array" ref="S32">xlFOCUS_ExpectativasMensais("Câmbio",,$Q32,WORKDAY(EDATE($Q32,-2),-1,Holidays),WORKDAY(EDATE($Q32,-2),-1,Holidays),0,"Mediana")</f>
        <v># Barra de fórmulas aberta</v>
      </c>
      <c r="T32" s="11" t="str" cm="1">
        <f t="array" ref="T32">xlFOCUS_ExpectativasMensais("Câmbio",,$Q32,WORKDAY(EDATE($Q32,-1),-1,Holidays),WORKDAY(EDATE($Q32,-1),-1,Holidays),0,"Mediana")</f>
        <v># Barra de fórmulas aberta</v>
      </c>
      <c r="V32" s="11" t="e">
        <f t="shared" si="6"/>
        <v>#VALUE!</v>
      </c>
      <c r="W32" s="11" t="e">
        <f t="shared" si="7"/>
        <v>#VALUE!</v>
      </c>
      <c r="X32" s="11"/>
      <c r="Y32" s="17"/>
      <c r="Z32" s="11"/>
      <c r="AA32" s="11" t="str" cm="1">
        <f t="array" ref="AA32">xlFOCUS_ExpectativasMensais("IGP-M",,$Y32,WORKDAY(EDATE($Y32,-2),-1,Holidays),WORKDAY(EDATE($Y32,-2),-1,Holidays),0,"Mediana")</f>
        <v># Barra de fórmulas aberta</v>
      </c>
      <c r="AB32" s="11" t="str" cm="1">
        <f t="array" ref="AB32">xlFOCUS_ExpectativasMensais("IGP-M",,$Y32,WORKDAY(EDATE($Y32,-1),-1,Holidays),WORKDAY(EDATE($Y32,-1),-1,Holidays),0,"Mediana")</f>
        <v># Barra de fórmulas aberta</v>
      </c>
      <c r="AC32" s="11" t="str" cm="1">
        <f t="array" ref="AC32">xlFOCUS_ExpectativasMensais("IGP-M",,$Y32,WORKDAY(EDATE($Y32,0),-1,Holidays),WORKDAY(EDATE($Y32,0),-1,Holidays),0,"Mediana")</f>
        <v># Barra de fórmulas aberta</v>
      </c>
      <c r="AD32" s="11" t="e">
        <f t="shared" si="8"/>
        <v>#VALUE!</v>
      </c>
      <c r="AE32" s="11" t="e">
        <f t="shared" si="9"/>
        <v>#VALUE!</v>
      </c>
      <c r="AF32" s="11" t="e">
        <f t="shared" si="10"/>
        <v>#VALUE!</v>
      </c>
      <c r="AG32" s="11"/>
    </row>
    <row r="33" spans="4:33" x14ac:dyDescent="0.2">
      <c r="D33" s="1">
        <f t="shared" si="0"/>
        <v>0</v>
      </c>
      <c r="E33" s="1">
        <f t="shared" si="1"/>
        <v>0</v>
      </c>
      <c r="F33" s="17"/>
      <c r="G33" s="11"/>
      <c r="H33" s="11" t="str" cm="1">
        <f t="array" ref="H33">xlFOCUS_ExpectativasMensais("IPCA",,$F33,WORKDAY(EDATE($F33,-2),-1,Holidays),WORKDAY(EDATE($F33,-2),-1,Holidays),0,"Mediana")</f>
        <v># Barra de fórmulas aberta</v>
      </c>
      <c r="I33" s="11" t="str" cm="1">
        <f t="array" ref="I33">xlFOCUS_ExpectativasMensais("IPCA",,$F33,WORKDAY(EDATE($F33,-1),-1,Holidays),WORKDAY(EDATE($F33,-1),-1,Holidays),0,"Mediana")</f>
        <v># Barra de fórmulas aberta</v>
      </c>
      <c r="J33" s="11" t="str" cm="1">
        <f t="array" ref="J33">xlFOCUS_ExpectativasMensais("IPCA",,$F33,WORKDAY(EDATE($F33,0),-1,Holidays),WORKDAY(EDATE($F33,0),-1,Holidays),0,"Mediana")</f>
        <v># Barra de fórmulas aberta</v>
      </c>
      <c r="K33" s="11" t="str" cm="1">
        <f t="array" ref="K33">xlFOCUS_ExpectativasMensais("IPCA",,$F33,WORKDAY(EDATE($F33,1),-1,Holidays),WORKDAY(EDATE($F33,1),-1,Holidays),0,"Mediana")</f>
        <v># Barra de fórmulas aberta</v>
      </c>
      <c r="L33" s="11" t="e">
        <f t="shared" si="2"/>
        <v>#VALUE!</v>
      </c>
      <c r="M33" s="11" t="e">
        <f t="shared" si="3"/>
        <v>#VALUE!</v>
      </c>
      <c r="N33" s="11" t="e">
        <f t="shared" si="4"/>
        <v>#VALUE!</v>
      </c>
      <c r="O33" s="11" t="e">
        <f t="shared" si="5"/>
        <v>#VALUE!</v>
      </c>
      <c r="Q33" s="17"/>
      <c r="R33" s="11"/>
      <c r="S33" s="11" t="str" cm="1">
        <f t="array" ref="S33">xlFOCUS_ExpectativasMensais("Câmbio",,$Q33,WORKDAY(EDATE($Q33,-2),-1,Holidays),WORKDAY(EDATE($Q33,-2),-1,Holidays),0,"Mediana")</f>
        <v># Barra de fórmulas aberta</v>
      </c>
      <c r="T33" s="11" t="str" cm="1">
        <f t="array" ref="T33">xlFOCUS_ExpectativasMensais("Câmbio",,$Q33,WORKDAY(EDATE($Q33,-1),-1,Holidays),WORKDAY(EDATE($Q33,-1),-1,Holidays),0,"Mediana")</f>
        <v># Barra de fórmulas aberta</v>
      </c>
      <c r="V33" s="11" t="e">
        <f t="shared" si="6"/>
        <v>#VALUE!</v>
      </c>
      <c r="W33" s="11" t="e">
        <f t="shared" si="7"/>
        <v>#VALUE!</v>
      </c>
      <c r="X33" s="11"/>
      <c r="Y33" s="17"/>
      <c r="Z33" s="11"/>
      <c r="AA33" s="11" t="str" cm="1">
        <f t="array" ref="AA33">xlFOCUS_ExpectativasMensais("IGP-M",,$Y33,WORKDAY(EDATE($Y33,-2),-1,Holidays),WORKDAY(EDATE($Y33,-2),-1,Holidays),0,"Mediana")</f>
        <v># Barra de fórmulas aberta</v>
      </c>
      <c r="AB33" s="11" t="str" cm="1">
        <f t="array" ref="AB33">xlFOCUS_ExpectativasMensais("IGP-M",,$Y33,WORKDAY(EDATE($Y33,-1),-1,Holidays),WORKDAY(EDATE($Y33,-1),-1,Holidays),0,"Mediana")</f>
        <v># Barra de fórmulas aberta</v>
      </c>
      <c r="AC33" s="11" t="str" cm="1">
        <f t="array" ref="AC33">xlFOCUS_ExpectativasMensais("IGP-M",,$Y33,WORKDAY(EDATE($Y33,0),-1,Holidays),WORKDAY(EDATE($Y33,0),-1,Holidays),0,"Mediana")</f>
        <v># Barra de fórmulas aberta</v>
      </c>
      <c r="AD33" s="11" t="e">
        <f t="shared" si="8"/>
        <v>#VALUE!</v>
      </c>
      <c r="AE33" s="11" t="e">
        <f t="shared" si="9"/>
        <v>#VALUE!</v>
      </c>
      <c r="AF33" s="11" t="e">
        <f t="shared" si="10"/>
        <v>#VALUE!</v>
      </c>
      <c r="AG33" s="11"/>
    </row>
    <row r="34" spans="4:33" x14ac:dyDescent="0.2">
      <c r="D34" s="1">
        <f t="shared" si="0"/>
        <v>0</v>
      </c>
      <c r="E34" s="1">
        <f t="shared" si="1"/>
        <v>0</v>
      </c>
      <c r="F34" s="17"/>
      <c r="G34" s="11"/>
      <c r="H34" s="11" t="str" cm="1">
        <f t="array" ref="H34">xlFOCUS_ExpectativasMensais("IPCA",,$F34,WORKDAY(EDATE($F34,-2),-1,Holidays),WORKDAY(EDATE($F34,-2),-1,Holidays),0,"Mediana")</f>
        <v># Barra de fórmulas aberta</v>
      </c>
      <c r="I34" s="11" t="str" cm="1">
        <f t="array" ref="I34">xlFOCUS_ExpectativasMensais("IPCA",,$F34,WORKDAY(EDATE($F34,-1),-1,Holidays),WORKDAY(EDATE($F34,-1),-1,Holidays),0,"Mediana")</f>
        <v># Barra de fórmulas aberta</v>
      </c>
      <c r="J34" s="11" t="str" cm="1">
        <f t="array" ref="J34">xlFOCUS_ExpectativasMensais("IPCA",,$F34,WORKDAY(EDATE($F34,0),-1,Holidays),WORKDAY(EDATE($F34,0),-1,Holidays),0,"Mediana")</f>
        <v># Barra de fórmulas aberta</v>
      </c>
      <c r="K34" s="11" t="str" cm="1">
        <f t="array" ref="K34">xlFOCUS_ExpectativasMensais("IPCA",,$F34,WORKDAY(EDATE($F34,1),-1,Holidays),WORKDAY(EDATE($F34,1),-1,Holidays),0,"Mediana")</f>
        <v># Barra de fórmulas aberta</v>
      </c>
      <c r="L34" s="11" t="e">
        <f t="shared" si="2"/>
        <v>#VALUE!</v>
      </c>
      <c r="M34" s="11" t="e">
        <f t="shared" si="3"/>
        <v>#VALUE!</v>
      </c>
      <c r="N34" s="11" t="e">
        <f t="shared" si="4"/>
        <v>#VALUE!</v>
      </c>
      <c r="O34" s="11" t="e">
        <f t="shared" si="5"/>
        <v>#VALUE!</v>
      </c>
      <c r="Q34" s="17"/>
      <c r="R34" s="11"/>
      <c r="S34" s="11" t="str" cm="1">
        <f t="array" ref="S34">xlFOCUS_ExpectativasMensais("Câmbio",,$Q34,WORKDAY(EDATE($Q34,-2),-1,Holidays),WORKDAY(EDATE($Q34,-2),-1,Holidays),0,"Mediana")</f>
        <v># Barra de fórmulas aberta</v>
      </c>
      <c r="T34" s="11" t="str" cm="1">
        <f t="array" ref="T34">xlFOCUS_ExpectativasMensais("Câmbio",,$Q34,WORKDAY(EDATE($Q34,-1),-1,Holidays),WORKDAY(EDATE($Q34,-1),-1,Holidays),0,"Mediana")</f>
        <v># Barra de fórmulas aberta</v>
      </c>
      <c r="V34" s="11" t="e">
        <f t="shared" si="6"/>
        <v>#VALUE!</v>
      </c>
      <c r="W34" s="11" t="e">
        <f t="shared" si="7"/>
        <v>#VALUE!</v>
      </c>
      <c r="X34" s="11"/>
      <c r="Y34" s="17"/>
      <c r="Z34" s="11"/>
      <c r="AA34" s="11" t="str" cm="1">
        <f t="array" ref="AA34">xlFOCUS_ExpectativasMensais("IGP-M",,$Y34,WORKDAY(EDATE($Y34,-2),-1,Holidays),WORKDAY(EDATE($Y34,-2),-1,Holidays),0,"Mediana")</f>
        <v># Barra de fórmulas aberta</v>
      </c>
      <c r="AB34" s="11" t="str" cm="1">
        <f t="array" ref="AB34">xlFOCUS_ExpectativasMensais("IGP-M",,$Y34,WORKDAY(EDATE($Y34,-1),-1,Holidays),WORKDAY(EDATE($Y34,-1),-1,Holidays),0,"Mediana")</f>
        <v># Barra de fórmulas aberta</v>
      </c>
      <c r="AC34" s="11" t="str" cm="1">
        <f t="array" ref="AC34">xlFOCUS_ExpectativasMensais("IGP-M",,$Y34,WORKDAY(EDATE($Y34,0),-1,Holidays),WORKDAY(EDATE($Y34,0),-1,Holidays),0,"Mediana")</f>
        <v># Barra de fórmulas aberta</v>
      </c>
      <c r="AD34" s="11" t="e">
        <f t="shared" si="8"/>
        <v>#VALUE!</v>
      </c>
      <c r="AE34" s="11" t="e">
        <f t="shared" si="9"/>
        <v>#VALUE!</v>
      </c>
      <c r="AF34" s="11" t="e">
        <f t="shared" si="10"/>
        <v>#VALUE!</v>
      </c>
      <c r="AG34" s="11"/>
    </row>
    <row r="35" spans="4:33" x14ac:dyDescent="0.2">
      <c r="D35" s="1">
        <f t="shared" si="0"/>
        <v>0</v>
      </c>
      <c r="E35" s="1">
        <f t="shared" si="1"/>
        <v>0</v>
      </c>
      <c r="F35" s="17"/>
      <c r="G35" s="11"/>
      <c r="H35" s="11" t="str" cm="1">
        <f t="array" ref="H35">xlFOCUS_ExpectativasMensais("IPCA",,$F35,WORKDAY(EDATE($F35,-2),-1,Holidays),WORKDAY(EDATE($F35,-2),-1,Holidays),0,"Mediana")</f>
        <v># Barra de fórmulas aberta</v>
      </c>
      <c r="I35" s="11" t="str" cm="1">
        <f t="array" ref="I35">xlFOCUS_ExpectativasMensais("IPCA",,$F35,WORKDAY(EDATE($F35,-1),-1,Holidays),WORKDAY(EDATE($F35,-1),-1,Holidays),0,"Mediana")</f>
        <v># Barra de fórmulas aberta</v>
      </c>
      <c r="J35" s="11" t="str" cm="1">
        <f t="array" ref="J35">xlFOCUS_ExpectativasMensais("IPCA",,$F35,WORKDAY(EDATE($F35,0),-1,Holidays),WORKDAY(EDATE($F35,0),-1,Holidays),0,"Mediana")</f>
        <v># Barra de fórmulas aberta</v>
      </c>
      <c r="K35" s="11" t="str" cm="1">
        <f t="array" ref="K35">xlFOCUS_ExpectativasMensais("IPCA",,$F35,WORKDAY(EDATE($F35,1),-1,Holidays),WORKDAY(EDATE($F35,1),-1,Holidays),0,"Mediana")</f>
        <v># Barra de fórmulas aberta</v>
      </c>
      <c r="L35" s="11" t="e">
        <f t="shared" si="2"/>
        <v>#VALUE!</v>
      </c>
      <c r="M35" s="11" t="e">
        <f t="shared" si="3"/>
        <v>#VALUE!</v>
      </c>
      <c r="N35" s="11" t="e">
        <f t="shared" si="4"/>
        <v>#VALUE!</v>
      </c>
      <c r="O35" s="11" t="e">
        <f t="shared" si="5"/>
        <v>#VALUE!</v>
      </c>
      <c r="Q35" s="17"/>
      <c r="R35" s="11"/>
      <c r="S35" s="11" t="str" cm="1">
        <f t="array" ref="S35">xlFOCUS_ExpectativasMensais("Câmbio",,$Q35,WORKDAY(EDATE($Q35,-2),-1,Holidays),WORKDAY(EDATE($Q35,-2),-1,Holidays),0,"Mediana")</f>
        <v># Barra de fórmulas aberta</v>
      </c>
      <c r="T35" s="11" t="str" cm="1">
        <f t="array" ref="T35">xlFOCUS_ExpectativasMensais("Câmbio",,$Q35,WORKDAY(EDATE($Q35,-1),-1,Holidays),WORKDAY(EDATE($Q35,-1),-1,Holidays),0,"Mediana")</f>
        <v># Barra de fórmulas aberta</v>
      </c>
      <c r="V35" s="11" t="e">
        <f t="shared" si="6"/>
        <v>#VALUE!</v>
      </c>
      <c r="W35" s="11" t="e">
        <f t="shared" si="7"/>
        <v>#VALUE!</v>
      </c>
      <c r="X35" s="11"/>
      <c r="Y35" s="17"/>
      <c r="Z35" s="11"/>
      <c r="AA35" s="11" t="str" cm="1">
        <f t="array" ref="AA35">xlFOCUS_ExpectativasMensais("IGP-M",,$Y35,WORKDAY(EDATE($Y35,-2),-1,Holidays),WORKDAY(EDATE($Y35,-2),-1,Holidays),0,"Mediana")</f>
        <v># Barra de fórmulas aberta</v>
      </c>
      <c r="AB35" s="11" t="str" cm="1">
        <f t="array" ref="AB35">xlFOCUS_ExpectativasMensais("IGP-M",,$Y35,WORKDAY(EDATE($Y35,-1),-1,Holidays),WORKDAY(EDATE($Y35,-1),-1,Holidays),0,"Mediana")</f>
        <v># Barra de fórmulas aberta</v>
      </c>
      <c r="AC35" s="11" t="str" cm="1">
        <f t="array" ref="AC35">xlFOCUS_ExpectativasMensais("IGP-M",,$Y35,WORKDAY(EDATE($Y35,0),-1,Holidays),WORKDAY(EDATE($Y35,0),-1,Holidays),0,"Mediana")</f>
        <v># Barra de fórmulas aberta</v>
      </c>
      <c r="AD35" s="11" t="e">
        <f t="shared" si="8"/>
        <v>#VALUE!</v>
      </c>
      <c r="AE35" s="11" t="e">
        <f t="shared" si="9"/>
        <v>#VALUE!</v>
      </c>
      <c r="AF35" s="11" t="e">
        <f t="shared" si="10"/>
        <v>#VALUE!</v>
      </c>
      <c r="AG35" s="11"/>
    </row>
    <row r="36" spans="4:33" x14ac:dyDescent="0.2">
      <c r="D36" s="1">
        <f t="shared" si="0"/>
        <v>0</v>
      </c>
      <c r="E36" s="1">
        <f t="shared" si="1"/>
        <v>0</v>
      </c>
      <c r="F36" s="17"/>
      <c r="G36" s="11"/>
      <c r="H36" s="11" t="str" cm="1">
        <f t="array" ref="H36">xlFOCUS_ExpectativasMensais("IPCA",,$F36,WORKDAY(EDATE($F36,-2),-1,Holidays),WORKDAY(EDATE($F36,-2),-1,Holidays),0,"Mediana")</f>
        <v># Barra de fórmulas aberta</v>
      </c>
      <c r="I36" s="11" t="str" cm="1">
        <f t="array" ref="I36">xlFOCUS_ExpectativasMensais("IPCA",,$F36,WORKDAY(EDATE($F36,-1),-1,Holidays),WORKDAY(EDATE($F36,-1),-1,Holidays),0,"Mediana")</f>
        <v># Barra de fórmulas aberta</v>
      </c>
      <c r="J36" s="11" t="str" cm="1">
        <f t="array" ref="J36">xlFOCUS_ExpectativasMensais("IPCA",,$F36,WORKDAY(EDATE($F36,0),-1,Holidays),WORKDAY(EDATE($F36,0),-1,Holidays),0,"Mediana")</f>
        <v># Barra de fórmulas aberta</v>
      </c>
      <c r="K36" s="11" t="str" cm="1">
        <f t="array" ref="K36">xlFOCUS_ExpectativasMensais("IPCA",,$F36,WORKDAY(EDATE($F36,1),-1,Holidays),WORKDAY(EDATE($F36,1),-1,Holidays),0,"Mediana")</f>
        <v># Barra de fórmulas aberta</v>
      </c>
      <c r="L36" s="11" t="e">
        <f t="shared" si="2"/>
        <v>#VALUE!</v>
      </c>
      <c r="M36" s="11" t="e">
        <f t="shared" si="3"/>
        <v>#VALUE!</v>
      </c>
      <c r="N36" s="11" t="e">
        <f t="shared" si="4"/>
        <v>#VALUE!</v>
      </c>
      <c r="O36" s="11" t="e">
        <f t="shared" si="5"/>
        <v>#VALUE!</v>
      </c>
      <c r="Q36" s="17"/>
      <c r="R36" s="11"/>
      <c r="S36" s="11" t="str" cm="1">
        <f t="array" ref="S36">xlFOCUS_ExpectativasMensais("Câmbio",,$Q36,WORKDAY(EDATE($Q36,-2),-1,Holidays),WORKDAY(EDATE($Q36,-2),-1,Holidays),0,"Mediana")</f>
        <v># Barra de fórmulas aberta</v>
      </c>
      <c r="T36" s="11" t="str" cm="1">
        <f t="array" ref="T36">xlFOCUS_ExpectativasMensais("Câmbio",,$Q36,WORKDAY(EDATE($Q36,-1),-1,Holidays),WORKDAY(EDATE($Q36,-1),-1,Holidays),0,"Mediana")</f>
        <v># Barra de fórmulas aberta</v>
      </c>
      <c r="V36" s="11" t="e">
        <f t="shared" si="6"/>
        <v>#VALUE!</v>
      </c>
      <c r="W36" s="11" t="e">
        <f t="shared" si="7"/>
        <v>#VALUE!</v>
      </c>
      <c r="X36" s="11"/>
      <c r="Y36" s="17"/>
      <c r="Z36" s="11"/>
      <c r="AA36" s="11" t="str" cm="1">
        <f t="array" ref="AA36">xlFOCUS_ExpectativasMensais("IGP-M",,$Y36,WORKDAY(EDATE($Y36,-2),-1,Holidays),WORKDAY(EDATE($Y36,-2),-1,Holidays),0,"Mediana")</f>
        <v># Barra de fórmulas aberta</v>
      </c>
      <c r="AB36" s="11" t="str" cm="1">
        <f t="array" ref="AB36">xlFOCUS_ExpectativasMensais("IGP-M",,$Y36,WORKDAY(EDATE($Y36,-1),-1,Holidays),WORKDAY(EDATE($Y36,-1),-1,Holidays),0,"Mediana")</f>
        <v># Barra de fórmulas aberta</v>
      </c>
      <c r="AC36" s="11" t="str" cm="1">
        <f t="array" ref="AC36">xlFOCUS_ExpectativasMensais("IGP-M",,$Y36,WORKDAY(EDATE($Y36,0),-1,Holidays),WORKDAY(EDATE($Y36,0),-1,Holidays),0,"Mediana")</f>
        <v># Barra de fórmulas aberta</v>
      </c>
      <c r="AD36" s="11" t="e">
        <f t="shared" si="8"/>
        <v>#VALUE!</v>
      </c>
      <c r="AE36" s="11" t="e">
        <f t="shared" si="9"/>
        <v>#VALUE!</v>
      </c>
      <c r="AF36" s="11" t="e">
        <f t="shared" si="10"/>
        <v>#VALUE!</v>
      </c>
      <c r="AG36" s="11"/>
    </row>
    <row r="37" spans="4:33" x14ac:dyDescent="0.2">
      <c r="D37" s="1">
        <f t="shared" si="0"/>
        <v>0</v>
      </c>
      <c r="E37" s="1">
        <f t="shared" si="1"/>
        <v>0</v>
      </c>
      <c r="F37" s="17"/>
      <c r="G37" s="11"/>
      <c r="H37" s="11" t="str" cm="1">
        <f t="array" ref="H37">xlFOCUS_ExpectativasMensais("IPCA",,$F37,WORKDAY(EDATE($F37,-2),-1,Holidays),WORKDAY(EDATE($F37,-2),-1,Holidays),0,"Mediana")</f>
        <v># Barra de fórmulas aberta</v>
      </c>
      <c r="I37" s="11" t="str" cm="1">
        <f t="array" ref="I37">xlFOCUS_ExpectativasMensais("IPCA",,$F37,WORKDAY(EDATE($F37,-1),-1,Holidays),WORKDAY(EDATE($F37,-1),-1,Holidays),0,"Mediana")</f>
        <v># Barra de fórmulas aberta</v>
      </c>
      <c r="J37" s="11" t="str" cm="1">
        <f t="array" ref="J37">xlFOCUS_ExpectativasMensais("IPCA",,$F37,WORKDAY(EDATE($F37,0),-1,Holidays),WORKDAY(EDATE($F37,0),-1,Holidays),0,"Mediana")</f>
        <v># Barra de fórmulas aberta</v>
      </c>
      <c r="K37" s="11" t="str" cm="1">
        <f t="array" ref="K37">xlFOCUS_ExpectativasMensais("IPCA",,$F37,WORKDAY(EDATE($F37,1),-1,Holidays),WORKDAY(EDATE($F37,1),-1,Holidays),0,"Mediana")</f>
        <v># Barra de fórmulas aberta</v>
      </c>
      <c r="L37" s="11" t="e">
        <f t="shared" si="2"/>
        <v>#VALUE!</v>
      </c>
      <c r="M37" s="11" t="e">
        <f t="shared" si="3"/>
        <v>#VALUE!</v>
      </c>
      <c r="N37" s="11" t="e">
        <f t="shared" si="4"/>
        <v>#VALUE!</v>
      </c>
      <c r="O37" s="11" t="e">
        <f t="shared" si="5"/>
        <v>#VALUE!</v>
      </c>
      <c r="Q37" s="17"/>
      <c r="R37" s="11"/>
      <c r="S37" s="11" t="str" cm="1">
        <f t="array" ref="S37">xlFOCUS_ExpectativasMensais("Câmbio",,$Q37,WORKDAY(EDATE($Q37,-2),-1,Holidays),WORKDAY(EDATE($Q37,-2),-1,Holidays),0,"Mediana")</f>
        <v># Barra de fórmulas aberta</v>
      </c>
      <c r="T37" s="11" t="str" cm="1">
        <f t="array" ref="T37">xlFOCUS_ExpectativasMensais("Câmbio",,$Q37,WORKDAY(EDATE($Q37,-1),-1,Holidays),WORKDAY(EDATE($Q37,-1),-1,Holidays),0,"Mediana")</f>
        <v># Barra de fórmulas aberta</v>
      </c>
      <c r="V37" s="11" t="e">
        <f t="shared" si="6"/>
        <v>#VALUE!</v>
      </c>
      <c r="W37" s="11" t="e">
        <f t="shared" si="7"/>
        <v>#VALUE!</v>
      </c>
      <c r="X37" s="11"/>
      <c r="Y37" s="17"/>
      <c r="Z37" s="11"/>
      <c r="AA37" s="11" t="str" cm="1">
        <f t="array" ref="AA37">xlFOCUS_ExpectativasMensais("IGP-M",,$Y37,WORKDAY(EDATE($Y37,-2),-1,Holidays),WORKDAY(EDATE($Y37,-2),-1,Holidays),0,"Mediana")</f>
        <v># Barra de fórmulas aberta</v>
      </c>
      <c r="AB37" s="11" t="str" cm="1">
        <f t="array" ref="AB37">xlFOCUS_ExpectativasMensais("IGP-M",,$Y37,WORKDAY(EDATE($Y37,-1),-1,Holidays),WORKDAY(EDATE($Y37,-1),-1,Holidays),0,"Mediana")</f>
        <v># Barra de fórmulas aberta</v>
      </c>
      <c r="AC37" s="11" t="str" cm="1">
        <f t="array" ref="AC37">xlFOCUS_ExpectativasMensais("IGP-M",,$Y37,WORKDAY(EDATE($Y37,0),-1,Holidays),WORKDAY(EDATE($Y37,0),-1,Holidays),0,"Mediana")</f>
        <v># Barra de fórmulas aberta</v>
      </c>
      <c r="AD37" s="11" t="e">
        <f t="shared" si="8"/>
        <v>#VALUE!</v>
      </c>
      <c r="AE37" s="11" t="e">
        <f t="shared" si="9"/>
        <v>#VALUE!</v>
      </c>
      <c r="AF37" s="11" t="e">
        <f t="shared" si="10"/>
        <v>#VALUE!</v>
      </c>
      <c r="AG37" s="11"/>
    </row>
    <row r="38" spans="4:33" x14ac:dyDescent="0.2">
      <c r="D38" s="1">
        <f t="shared" si="0"/>
        <v>0</v>
      </c>
      <c r="E38" s="1">
        <f t="shared" si="1"/>
        <v>0</v>
      </c>
      <c r="F38" s="17"/>
      <c r="G38" s="11"/>
      <c r="H38" s="11" t="str" cm="1">
        <f t="array" ref="H38">xlFOCUS_ExpectativasMensais("IPCA",,$F38,WORKDAY(EDATE($F38,-2),-1,Holidays),WORKDAY(EDATE($F38,-2),-1,Holidays),0,"Mediana")</f>
        <v># Barra de fórmulas aberta</v>
      </c>
      <c r="I38" s="11" t="str" cm="1">
        <f t="array" ref="I38">xlFOCUS_ExpectativasMensais("IPCA",,$F38,WORKDAY(EDATE($F38,-1),-1,Holidays),WORKDAY(EDATE($F38,-1),-1,Holidays),0,"Mediana")</f>
        <v># Barra de fórmulas aberta</v>
      </c>
      <c r="J38" s="11" t="str" cm="1">
        <f t="array" ref="J38">xlFOCUS_ExpectativasMensais("IPCA",,$F38,WORKDAY(EDATE($F38,0),-1,Holidays),WORKDAY(EDATE($F38,0),-1,Holidays),0,"Mediana")</f>
        <v># Barra de fórmulas aberta</v>
      </c>
      <c r="K38" s="11" t="str" cm="1">
        <f t="array" ref="K38">xlFOCUS_ExpectativasMensais("IPCA",,$F38,WORKDAY(EDATE($F38,1),-1,Holidays),WORKDAY(EDATE($F38,1),-1,Holidays),0,"Mediana")</f>
        <v># Barra de fórmulas aberta</v>
      </c>
      <c r="L38" s="11" t="e">
        <f t="shared" si="2"/>
        <v>#VALUE!</v>
      </c>
      <c r="M38" s="11" t="e">
        <f t="shared" si="3"/>
        <v>#VALUE!</v>
      </c>
      <c r="N38" s="11" t="e">
        <f t="shared" si="4"/>
        <v>#VALUE!</v>
      </c>
      <c r="O38" s="11" t="e">
        <f t="shared" si="5"/>
        <v>#VALUE!</v>
      </c>
      <c r="Q38" s="17"/>
      <c r="R38" s="11"/>
      <c r="S38" s="11" t="str" cm="1">
        <f t="array" ref="S38">xlFOCUS_ExpectativasMensais("Câmbio",,$Q38,WORKDAY(EDATE($Q38,-2),-1,Holidays),WORKDAY(EDATE($Q38,-2),-1,Holidays),0,"Mediana")</f>
        <v># Barra de fórmulas aberta</v>
      </c>
      <c r="T38" s="11" t="str" cm="1">
        <f t="array" ref="T38">xlFOCUS_ExpectativasMensais("Câmbio",,$Q38,WORKDAY(EDATE($Q38,-1),-1,Holidays),WORKDAY(EDATE($Q38,-1),-1,Holidays),0,"Mediana")</f>
        <v># Barra de fórmulas aberta</v>
      </c>
      <c r="V38" s="11" t="e">
        <f t="shared" si="6"/>
        <v>#VALUE!</v>
      </c>
      <c r="W38" s="11" t="e">
        <f t="shared" si="7"/>
        <v>#VALUE!</v>
      </c>
      <c r="X38" s="11"/>
      <c r="Y38" s="17"/>
      <c r="Z38" s="11"/>
      <c r="AA38" s="11" t="str" cm="1">
        <f t="array" ref="AA38">xlFOCUS_ExpectativasMensais("IGP-M",,$Y38,WORKDAY(EDATE($Y38,-2),-1,Holidays),WORKDAY(EDATE($Y38,-2),-1,Holidays),0,"Mediana")</f>
        <v># Barra de fórmulas aberta</v>
      </c>
      <c r="AB38" s="11" t="str" cm="1">
        <f t="array" ref="AB38">xlFOCUS_ExpectativasMensais("IGP-M",,$Y38,WORKDAY(EDATE($Y38,-1),-1,Holidays),WORKDAY(EDATE($Y38,-1),-1,Holidays),0,"Mediana")</f>
        <v># Barra de fórmulas aberta</v>
      </c>
      <c r="AC38" s="11" t="str" cm="1">
        <f t="array" ref="AC38">xlFOCUS_ExpectativasMensais("IGP-M",,$Y38,WORKDAY(EDATE($Y38,0),-1,Holidays),WORKDAY(EDATE($Y38,0),-1,Holidays),0,"Mediana")</f>
        <v># Barra de fórmulas aberta</v>
      </c>
      <c r="AD38" s="11" t="e">
        <f t="shared" si="8"/>
        <v>#VALUE!</v>
      </c>
      <c r="AE38" s="11" t="e">
        <f t="shared" si="9"/>
        <v>#VALUE!</v>
      </c>
      <c r="AF38" s="11" t="e">
        <f t="shared" si="10"/>
        <v>#VALUE!</v>
      </c>
      <c r="AG38" s="11"/>
    </row>
    <row r="39" spans="4:33" x14ac:dyDescent="0.2">
      <c r="D39" s="1">
        <f t="shared" si="0"/>
        <v>0</v>
      </c>
      <c r="E39" s="1">
        <f t="shared" si="1"/>
        <v>0</v>
      </c>
      <c r="F39" s="17"/>
      <c r="G39" s="11"/>
      <c r="H39" s="11" t="str" cm="1">
        <f t="array" ref="H39">xlFOCUS_ExpectativasMensais("IPCA",,$F39,WORKDAY(EDATE($F39,-2),-1,Holidays),WORKDAY(EDATE($F39,-2),-1,Holidays),0,"Mediana")</f>
        <v># Barra de fórmulas aberta</v>
      </c>
      <c r="I39" s="11" t="str" cm="1">
        <f t="array" ref="I39">xlFOCUS_ExpectativasMensais("IPCA",,$F39,WORKDAY(EDATE($F39,-1),-1,Holidays),WORKDAY(EDATE($F39,-1),-1,Holidays),0,"Mediana")</f>
        <v># Barra de fórmulas aberta</v>
      </c>
      <c r="J39" s="11" t="str" cm="1">
        <f t="array" ref="J39">xlFOCUS_ExpectativasMensais("IPCA",,$F39,WORKDAY(EDATE($F39,0),-1,Holidays),WORKDAY(EDATE($F39,0),-1,Holidays),0,"Mediana")</f>
        <v># Barra de fórmulas aberta</v>
      </c>
      <c r="K39" s="11" t="str" cm="1">
        <f t="array" ref="K39">xlFOCUS_ExpectativasMensais("IPCA",,$F39,WORKDAY(EDATE($F39,1),-1,Holidays),WORKDAY(EDATE($F39,1),-1,Holidays),0,"Mediana")</f>
        <v># Barra de fórmulas aberta</v>
      </c>
      <c r="L39" s="11" t="e">
        <f t="shared" si="2"/>
        <v>#VALUE!</v>
      </c>
      <c r="M39" s="11" t="e">
        <f t="shared" si="3"/>
        <v>#VALUE!</v>
      </c>
      <c r="N39" s="11" t="e">
        <f t="shared" si="4"/>
        <v>#VALUE!</v>
      </c>
      <c r="O39" s="11" t="e">
        <f t="shared" si="5"/>
        <v>#VALUE!</v>
      </c>
      <c r="Q39" s="17"/>
      <c r="R39" s="11"/>
      <c r="S39" s="11" t="str" cm="1">
        <f t="array" ref="S39">xlFOCUS_ExpectativasMensais("Câmbio",,$Q39,WORKDAY(EDATE($Q39,-2),-1,Holidays),WORKDAY(EDATE($Q39,-2),-1,Holidays),0,"Mediana")</f>
        <v># Barra de fórmulas aberta</v>
      </c>
      <c r="T39" s="11" t="str" cm="1">
        <f t="array" ref="T39">xlFOCUS_ExpectativasMensais("Câmbio",,$Q39,WORKDAY(EDATE($Q39,-1),-1,Holidays),WORKDAY(EDATE($Q39,-1),-1,Holidays),0,"Mediana")</f>
        <v># Barra de fórmulas aberta</v>
      </c>
      <c r="V39" s="11" t="e">
        <f t="shared" si="6"/>
        <v>#VALUE!</v>
      </c>
      <c r="W39" s="11" t="e">
        <f t="shared" si="7"/>
        <v>#VALUE!</v>
      </c>
      <c r="X39" s="11"/>
      <c r="Y39" s="17"/>
      <c r="Z39" s="11"/>
      <c r="AA39" s="11" t="str" cm="1">
        <f t="array" ref="AA39">xlFOCUS_ExpectativasMensais("IGP-M",,$Y39,WORKDAY(EDATE($Y39,-2),-1,Holidays),WORKDAY(EDATE($Y39,-2),-1,Holidays),0,"Mediana")</f>
        <v># Barra de fórmulas aberta</v>
      </c>
      <c r="AB39" s="11" t="str" cm="1">
        <f t="array" ref="AB39">xlFOCUS_ExpectativasMensais("IGP-M",,$Y39,WORKDAY(EDATE($Y39,-1),-1,Holidays),WORKDAY(EDATE($Y39,-1),-1,Holidays),0,"Mediana")</f>
        <v># Barra de fórmulas aberta</v>
      </c>
      <c r="AC39" s="11" t="str" cm="1">
        <f t="array" ref="AC39">xlFOCUS_ExpectativasMensais("IGP-M",,$Y39,WORKDAY(EDATE($Y39,0),-1,Holidays),WORKDAY(EDATE($Y39,0),-1,Holidays),0,"Mediana")</f>
        <v># Barra de fórmulas aberta</v>
      </c>
      <c r="AD39" s="11" t="e">
        <f t="shared" si="8"/>
        <v>#VALUE!</v>
      </c>
      <c r="AE39" s="11" t="e">
        <f t="shared" si="9"/>
        <v>#VALUE!</v>
      </c>
      <c r="AF39" s="11" t="e">
        <f t="shared" si="10"/>
        <v>#VALUE!</v>
      </c>
      <c r="AG39" s="11"/>
    </row>
    <row r="40" spans="4:33" x14ac:dyDescent="0.2">
      <c r="D40" s="1">
        <f t="shared" si="0"/>
        <v>0</v>
      </c>
      <c r="E40" s="1">
        <f t="shared" si="1"/>
        <v>0</v>
      </c>
      <c r="F40" s="17"/>
      <c r="G40" s="11"/>
      <c r="H40" s="11" t="str" cm="1">
        <f t="array" ref="H40">xlFOCUS_ExpectativasMensais("IPCA",,$F40,WORKDAY(EDATE($F40,-2),-1,Holidays),WORKDAY(EDATE($F40,-2),-1,Holidays),0,"Mediana")</f>
        <v># Barra de fórmulas aberta</v>
      </c>
      <c r="I40" s="11" t="str" cm="1">
        <f t="array" ref="I40">xlFOCUS_ExpectativasMensais("IPCA",,$F40,WORKDAY(EDATE($F40,-1),-1,Holidays),WORKDAY(EDATE($F40,-1),-1,Holidays),0,"Mediana")</f>
        <v># Barra de fórmulas aberta</v>
      </c>
      <c r="J40" s="11" t="str" cm="1">
        <f t="array" ref="J40">xlFOCUS_ExpectativasMensais("IPCA",,$F40,WORKDAY(EDATE($F40,0),-1,Holidays),WORKDAY(EDATE($F40,0),-1,Holidays),0,"Mediana")</f>
        <v># Barra de fórmulas aberta</v>
      </c>
      <c r="K40" s="11" t="str" cm="1">
        <f t="array" ref="K40">xlFOCUS_ExpectativasMensais("IPCA",,$F40,WORKDAY(EDATE($F40,1),-1,Holidays),WORKDAY(EDATE($F40,1),-1,Holidays),0,"Mediana")</f>
        <v># Barra de fórmulas aberta</v>
      </c>
      <c r="L40" s="11" t="e">
        <f t="shared" si="2"/>
        <v>#VALUE!</v>
      </c>
      <c r="M40" s="11" t="e">
        <f t="shared" si="3"/>
        <v>#VALUE!</v>
      </c>
      <c r="N40" s="11" t="e">
        <f t="shared" si="4"/>
        <v>#VALUE!</v>
      </c>
      <c r="O40" s="11" t="e">
        <f t="shared" si="5"/>
        <v>#VALUE!</v>
      </c>
      <c r="P40" s="17"/>
      <c r="Q40" s="17"/>
      <c r="R40" s="11"/>
      <c r="S40" s="11" t="str" cm="1">
        <f t="array" ref="S40">xlFOCUS_ExpectativasMensais("Câmbio",,$Q40,WORKDAY(EDATE($Q40,-2),-1,Holidays),WORKDAY(EDATE($Q40,-2),-1,Holidays),0,"Mediana")</f>
        <v># Barra de fórmulas aberta</v>
      </c>
      <c r="T40" s="11" t="str" cm="1">
        <f t="array" ref="T40">xlFOCUS_ExpectativasMensais("Câmbio",,$Q40,WORKDAY(EDATE($Q40,-1),-1,Holidays),WORKDAY(EDATE($Q40,-1),-1,Holidays),0,"Mediana")</f>
        <v># Barra de fórmulas aberta</v>
      </c>
      <c r="V40" s="11" t="e">
        <f t="shared" si="6"/>
        <v>#VALUE!</v>
      </c>
      <c r="W40" s="11" t="e">
        <f t="shared" si="7"/>
        <v>#VALUE!</v>
      </c>
      <c r="X40" s="11"/>
      <c r="Y40" s="17"/>
      <c r="Z40" s="11"/>
      <c r="AA40" s="11" t="str" cm="1">
        <f t="array" ref="AA40">xlFOCUS_ExpectativasMensais("IGP-M",,$Y40,WORKDAY(EDATE($Y40,-2),-1,Holidays),WORKDAY(EDATE($Y40,-2),-1,Holidays),0,"Mediana")</f>
        <v># Barra de fórmulas aberta</v>
      </c>
      <c r="AB40" s="11" t="str" cm="1">
        <f t="array" ref="AB40">xlFOCUS_ExpectativasMensais("IGP-M",,$Y40,WORKDAY(EDATE($Y40,-1),-1,Holidays),WORKDAY(EDATE($Y40,-1),-1,Holidays),0,"Mediana")</f>
        <v># Barra de fórmulas aberta</v>
      </c>
      <c r="AC40" s="11" t="str" cm="1">
        <f t="array" ref="AC40">xlFOCUS_ExpectativasMensais("IGP-M",,$Y40,WORKDAY(EDATE($Y40,0),-1,Holidays),WORKDAY(EDATE($Y40,0),-1,Holidays),0,"Mediana")</f>
        <v># Barra de fórmulas aberta</v>
      </c>
      <c r="AD40" s="11" t="e">
        <f t="shared" si="8"/>
        <v>#VALUE!</v>
      </c>
      <c r="AE40" s="11" t="e">
        <f t="shared" si="9"/>
        <v>#VALUE!</v>
      </c>
      <c r="AF40" s="11" t="e">
        <f t="shared" si="10"/>
        <v>#VALUE!</v>
      </c>
      <c r="AG40" s="11"/>
    </row>
    <row r="41" spans="4:33" x14ac:dyDescent="0.2">
      <c r="D41" s="1">
        <f t="shared" si="0"/>
        <v>0</v>
      </c>
      <c r="E41" s="1">
        <f t="shared" si="1"/>
        <v>0</v>
      </c>
      <c r="F41" s="17"/>
      <c r="G41" s="11"/>
      <c r="H41" s="11" t="str" cm="1">
        <f t="array" ref="H41">xlFOCUS_ExpectativasMensais("IPCA",,$F41,WORKDAY(EDATE($F41,-2),-1,Holidays),WORKDAY(EDATE($F41,-2),-1,Holidays),0,"Mediana")</f>
        <v># Barra de fórmulas aberta</v>
      </c>
      <c r="I41" s="11" t="str" cm="1">
        <f t="array" ref="I41">xlFOCUS_ExpectativasMensais("IPCA",,$F41,WORKDAY(EDATE($F41,-1),-1,Holidays),WORKDAY(EDATE($F41,-1),-1,Holidays),0,"Mediana")</f>
        <v># Barra de fórmulas aberta</v>
      </c>
      <c r="J41" s="11" t="str" cm="1">
        <f t="array" ref="J41">xlFOCUS_ExpectativasMensais("IPCA",,$F41,WORKDAY(EDATE($F41,0),-1,Holidays),WORKDAY(EDATE($F41,0),-1,Holidays),0,"Mediana")</f>
        <v># Barra de fórmulas aberta</v>
      </c>
      <c r="K41" s="11" t="str" cm="1">
        <f t="array" ref="K41">xlFOCUS_ExpectativasMensais("IPCA",,$F41,WORKDAY(EDATE($F41,1),-1,Holidays),WORKDAY(EDATE($F41,1),-1,Holidays),0,"Mediana")</f>
        <v># Barra de fórmulas aberta</v>
      </c>
      <c r="L41" s="11" t="e">
        <f t="shared" si="2"/>
        <v>#VALUE!</v>
      </c>
      <c r="M41" s="11" t="e">
        <f t="shared" si="3"/>
        <v>#VALUE!</v>
      </c>
      <c r="N41" s="11" t="e">
        <f t="shared" si="4"/>
        <v>#VALUE!</v>
      </c>
      <c r="O41" s="11" t="e">
        <f t="shared" si="5"/>
        <v>#VALUE!</v>
      </c>
      <c r="Q41" s="17"/>
      <c r="R41" s="11"/>
      <c r="S41" s="11" t="str" cm="1">
        <f t="array" ref="S41">xlFOCUS_ExpectativasMensais("Câmbio",,$Q41,WORKDAY(EDATE($Q41,-2),-1,Holidays),WORKDAY(EDATE($Q41,-2),-1,Holidays),0,"Mediana")</f>
        <v># Barra de fórmulas aberta</v>
      </c>
      <c r="T41" s="11" t="str" cm="1">
        <f t="array" ref="T41">xlFOCUS_ExpectativasMensais("Câmbio",,$Q41,WORKDAY(EDATE($Q41,-1),-1,Holidays),WORKDAY(EDATE($Q41,-1),-1,Holidays),0,"Mediana")</f>
        <v># Barra de fórmulas aberta</v>
      </c>
      <c r="V41" s="11" t="e">
        <f t="shared" si="6"/>
        <v>#VALUE!</v>
      </c>
      <c r="W41" s="11" t="e">
        <f t="shared" si="7"/>
        <v>#VALUE!</v>
      </c>
      <c r="X41" s="11"/>
      <c r="Y41" s="17"/>
      <c r="Z41" s="11"/>
      <c r="AA41" s="11" t="str" cm="1">
        <f t="array" ref="AA41">xlFOCUS_ExpectativasMensais("IGP-M",,$Y41,WORKDAY(EDATE($Y41,-2),-1,Holidays),WORKDAY(EDATE($Y41,-2),-1,Holidays),0,"Mediana")</f>
        <v># Barra de fórmulas aberta</v>
      </c>
      <c r="AB41" s="11" t="str" cm="1">
        <f t="array" ref="AB41">xlFOCUS_ExpectativasMensais("IGP-M",,$Y41,WORKDAY(EDATE($Y41,-1),-1,Holidays),WORKDAY(EDATE($Y41,-1),-1,Holidays),0,"Mediana")</f>
        <v># Barra de fórmulas aberta</v>
      </c>
      <c r="AC41" s="11" t="str" cm="1">
        <f t="array" ref="AC41">xlFOCUS_ExpectativasMensais("IGP-M",,$Y41,WORKDAY(EDATE($Y41,0),-1,Holidays),WORKDAY(EDATE($Y41,0),-1,Holidays),0,"Mediana")</f>
        <v># Barra de fórmulas aberta</v>
      </c>
      <c r="AD41" s="11" t="e">
        <f t="shared" si="8"/>
        <v>#VALUE!</v>
      </c>
      <c r="AE41" s="11" t="e">
        <f t="shared" si="9"/>
        <v>#VALUE!</v>
      </c>
      <c r="AF41" s="11" t="e">
        <f t="shared" si="10"/>
        <v>#VALUE!</v>
      </c>
      <c r="AG41" s="11"/>
    </row>
    <row r="42" spans="4:33" x14ac:dyDescent="0.2">
      <c r="D42" s="1">
        <f t="shared" si="0"/>
        <v>0</v>
      </c>
      <c r="E42" s="1">
        <f t="shared" si="1"/>
        <v>0</v>
      </c>
      <c r="F42" s="17"/>
      <c r="G42" s="11"/>
      <c r="H42" s="11" t="str" cm="1">
        <f t="array" ref="H42">xlFOCUS_ExpectativasMensais("IPCA",,$F42,WORKDAY(EDATE($F42,-2),-1,Holidays),WORKDAY(EDATE($F42,-2),-1,Holidays),0,"Mediana")</f>
        <v># Barra de fórmulas aberta</v>
      </c>
      <c r="I42" s="11" t="str" cm="1">
        <f t="array" ref="I42">xlFOCUS_ExpectativasMensais("IPCA",,$F42,WORKDAY(EDATE($F42,-1),-1,Holidays),WORKDAY(EDATE($F42,-1),-1,Holidays),0,"Mediana")</f>
        <v># Barra de fórmulas aberta</v>
      </c>
      <c r="J42" s="11" t="str" cm="1">
        <f t="array" ref="J42">xlFOCUS_ExpectativasMensais("IPCA",,$F42,WORKDAY(EDATE($F42,0),-1,Holidays),WORKDAY(EDATE($F42,0),-1,Holidays),0,"Mediana")</f>
        <v># Barra de fórmulas aberta</v>
      </c>
      <c r="K42" s="11" t="str" cm="1">
        <f t="array" ref="K42">xlFOCUS_ExpectativasMensais("IPCA",,$F42,WORKDAY(EDATE($F42,1),-1,Holidays),WORKDAY(EDATE($F42,1),-1,Holidays),0,"Mediana")</f>
        <v># Barra de fórmulas aberta</v>
      </c>
      <c r="L42" s="11" t="e">
        <f t="shared" si="2"/>
        <v>#VALUE!</v>
      </c>
      <c r="M42" s="11" t="e">
        <f t="shared" si="3"/>
        <v>#VALUE!</v>
      </c>
      <c r="N42" s="11" t="e">
        <f t="shared" si="4"/>
        <v>#VALUE!</v>
      </c>
      <c r="O42" s="11" t="e">
        <f t="shared" si="5"/>
        <v>#VALUE!</v>
      </c>
      <c r="Q42" s="17"/>
      <c r="R42" s="11"/>
      <c r="S42" s="11" t="str" cm="1">
        <f t="array" ref="S42">xlFOCUS_ExpectativasMensais("Câmbio",,$Q42,WORKDAY(EDATE($Q42,-2),-1,Holidays),WORKDAY(EDATE($Q42,-2),-1,Holidays),0,"Mediana")</f>
        <v># Barra de fórmulas aberta</v>
      </c>
      <c r="T42" s="11" t="str" cm="1">
        <f t="array" ref="T42">xlFOCUS_ExpectativasMensais("Câmbio",,$Q42,WORKDAY(EDATE($Q42,-1),-1,Holidays),WORKDAY(EDATE($Q42,-1),-1,Holidays),0,"Mediana")</f>
        <v># Barra de fórmulas aberta</v>
      </c>
      <c r="V42" s="11" t="e">
        <f t="shared" si="6"/>
        <v>#VALUE!</v>
      </c>
      <c r="W42" s="11" t="e">
        <f t="shared" si="7"/>
        <v>#VALUE!</v>
      </c>
      <c r="X42" s="11"/>
      <c r="Y42" s="17"/>
      <c r="Z42" s="11"/>
      <c r="AA42" s="11" t="str" cm="1">
        <f t="array" ref="AA42">xlFOCUS_ExpectativasMensais("IGP-M",,$Y42,WORKDAY(EDATE($Y42,-2),-1,Holidays),WORKDAY(EDATE($Y42,-2),-1,Holidays),0,"Mediana")</f>
        <v># Barra de fórmulas aberta</v>
      </c>
      <c r="AB42" s="11" t="str" cm="1">
        <f t="array" ref="AB42">xlFOCUS_ExpectativasMensais("IGP-M",,$Y42,WORKDAY(EDATE($Y42,-1),-1,Holidays),WORKDAY(EDATE($Y42,-1),-1,Holidays),0,"Mediana")</f>
        <v># Barra de fórmulas aberta</v>
      </c>
      <c r="AC42" s="11" t="str" cm="1">
        <f t="array" ref="AC42">xlFOCUS_ExpectativasMensais("IGP-M",,$Y42,WORKDAY(EDATE($Y42,0),-1,Holidays),WORKDAY(EDATE($Y42,0),-1,Holidays),0,"Mediana")</f>
        <v># Barra de fórmulas aberta</v>
      </c>
      <c r="AD42" s="11" t="e">
        <f t="shared" si="8"/>
        <v>#VALUE!</v>
      </c>
      <c r="AE42" s="11" t="e">
        <f t="shared" si="9"/>
        <v>#VALUE!</v>
      </c>
      <c r="AF42" s="11" t="e">
        <f t="shared" si="10"/>
        <v>#VALUE!</v>
      </c>
      <c r="AG42" s="11"/>
    </row>
    <row r="43" spans="4:33" x14ac:dyDescent="0.2">
      <c r="D43" s="1">
        <f t="shared" si="0"/>
        <v>0</v>
      </c>
      <c r="E43" s="1">
        <f t="shared" si="1"/>
        <v>0</v>
      </c>
      <c r="F43" s="17"/>
      <c r="G43" s="11"/>
      <c r="H43" s="11" t="str" cm="1">
        <f t="array" ref="H43">xlFOCUS_ExpectativasMensais("IPCA",,$F43,WORKDAY(EDATE($F43,-2),-1,Holidays),WORKDAY(EDATE($F43,-2),-1,Holidays),0,"Mediana")</f>
        <v># Barra de fórmulas aberta</v>
      </c>
      <c r="I43" s="11" t="str" cm="1">
        <f t="array" ref="I43">xlFOCUS_ExpectativasMensais("IPCA",,$F43,WORKDAY(EDATE($F43,-1),-1,Holidays),WORKDAY(EDATE($F43,-1),-1,Holidays),0,"Mediana")</f>
        <v># Barra de fórmulas aberta</v>
      </c>
      <c r="J43" s="11" t="str" cm="1">
        <f t="array" ref="J43">xlFOCUS_ExpectativasMensais("IPCA",,$F43,WORKDAY(EDATE($F43,0),-1,Holidays),WORKDAY(EDATE($F43,0),-1,Holidays),0,"Mediana")</f>
        <v># Barra de fórmulas aberta</v>
      </c>
      <c r="K43" s="11" t="str" cm="1">
        <f t="array" ref="K43">xlFOCUS_ExpectativasMensais("IPCA",,$F43,WORKDAY(EDATE($F43,1),-1,Holidays),WORKDAY(EDATE($F43,1),-1,Holidays),0,"Mediana")</f>
        <v># Barra de fórmulas aberta</v>
      </c>
      <c r="L43" s="11" t="e">
        <f t="shared" si="2"/>
        <v>#VALUE!</v>
      </c>
      <c r="M43" s="11" t="e">
        <f t="shared" si="3"/>
        <v>#VALUE!</v>
      </c>
      <c r="N43" s="11" t="e">
        <f t="shared" si="4"/>
        <v>#VALUE!</v>
      </c>
      <c r="O43" s="11" t="e">
        <f t="shared" si="5"/>
        <v>#VALUE!</v>
      </c>
      <c r="Q43" s="17"/>
      <c r="R43" s="11"/>
      <c r="S43" s="11" t="str" cm="1">
        <f t="array" ref="S43">xlFOCUS_ExpectativasMensais("Câmbio",,$Q43,WORKDAY(EDATE($Q43,-2),-1,Holidays),WORKDAY(EDATE($Q43,-2),-1,Holidays),0,"Mediana")</f>
        <v># Barra de fórmulas aberta</v>
      </c>
      <c r="T43" s="11" t="str" cm="1">
        <f t="array" ref="T43">xlFOCUS_ExpectativasMensais("Câmbio",,$Q43,WORKDAY(EDATE($Q43,-1),-1,Holidays),WORKDAY(EDATE($Q43,-1),-1,Holidays),0,"Mediana")</f>
        <v># Barra de fórmulas aberta</v>
      </c>
      <c r="V43" s="11" t="e">
        <f t="shared" si="6"/>
        <v>#VALUE!</v>
      </c>
      <c r="W43" s="11" t="e">
        <f t="shared" si="7"/>
        <v>#VALUE!</v>
      </c>
      <c r="X43" s="11"/>
      <c r="Y43" s="17"/>
      <c r="Z43" s="11"/>
      <c r="AA43" s="11" t="str" cm="1">
        <f t="array" ref="AA43">xlFOCUS_ExpectativasMensais("IGP-M",,$Y43,WORKDAY(EDATE($Y43,-2),-1,Holidays),WORKDAY(EDATE($Y43,-2),-1,Holidays),0,"Mediana")</f>
        <v># Barra de fórmulas aberta</v>
      </c>
      <c r="AB43" s="11" t="str" cm="1">
        <f t="array" ref="AB43">xlFOCUS_ExpectativasMensais("IGP-M",,$Y43,WORKDAY(EDATE($Y43,-1),-1,Holidays),WORKDAY(EDATE($Y43,-1),-1,Holidays),0,"Mediana")</f>
        <v># Barra de fórmulas aberta</v>
      </c>
      <c r="AC43" s="11" t="str" cm="1">
        <f t="array" ref="AC43">xlFOCUS_ExpectativasMensais("IGP-M",,$Y43,WORKDAY(EDATE($Y43,0),-1,Holidays),WORKDAY(EDATE($Y43,0),-1,Holidays),0,"Mediana")</f>
        <v># Barra de fórmulas aberta</v>
      </c>
      <c r="AD43" s="11" t="e">
        <f t="shared" si="8"/>
        <v>#VALUE!</v>
      </c>
      <c r="AE43" s="11" t="e">
        <f t="shared" si="9"/>
        <v>#VALUE!</v>
      </c>
      <c r="AF43" s="11" t="e">
        <f t="shared" si="10"/>
        <v>#VALUE!</v>
      </c>
      <c r="AG43" s="11"/>
    </row>
    <row r="44" spans="4:33" x14ac:dyDescent="0.2">
      <c r="D44" s="1">
        <f t="shared" si="0"/>
        <v>0</v>
      </c>
      <c r="E44" s="1">
        <f t="shared" si="1"/>
        <v>0</v>
      </c>
      <c r="F44" s="17"/>
      <c r="G44" s="11"/>
      <c r="H44" s="11" t="str" cm="1">
        <f t="array" ref="H44">xlFOCUS_ExpectativasMensais("IPCA",,$F44,WORKDAY(EDATE($F44,-2),-1,Holidays),WORKDAY(EDATE($F44,-2),-1,Holidays),0,"Mediana")</f>
        <v># Barra de fórmulas aberta</v>
      </c>
      <c r="I44" s="11" t="str" cm="1">
        <f t="array" ref="I44">xlFOCUS_ExpectativasMensais("IPCA",,$F44,WORKDAY(EDATE($F44,-1),-1,Holidays),WORKDAY(EDATE($F44,-1),-1,Holidays),0,"Mediana")</f>
        <v># Barra de fórmulas aberta</v>
      </c>
      <c r="J44" s="11" t="str" cm="1">
        <f t="array" ref="J44">xlFOCUS_ExpectativasMensais("IPCA",,$F44,WORKDAY(EDATE($F44,0),-1,Holidays),WORKDAY(EDATE($F44,0),-1,Holidays),0,"Mediana")</f>
        <v># Barra de fórmulas aberta</v>
      </c>
      <c r="K44" s="11" t="str" cm="1">
        <f t="array" ref="K44">xlFOCUS_ExpectativasMensais("IPCA",,$F44,WORKDAY(EDATE($F44,1),-1,Holidays),WORKDAY(EDATE($F44,1),-1,Holidays),0,"Mediana")</f>
        <v># Barra de fórmulas aberta</v>
      </c>
      <c r="L44" s="11" t="e">
        <f t="shared" si="2"/>
        <v>#VALUE!</v>
      </c>
      <c r="M44" s="11" t="e">
        <f t="shared" si="3"/>
        <v>#VALUE!</v>
      </c>
      <c r="N44" s="11" t="e">
        <f t="shared" si="4"/>
        <v>#VALUE!</v>
      </c>
      <c r="O44" s="11" t="e">
        <f t="shared" si="5"/>
        <v>#VALUE!</v>
      </c>
      <c r="Q44" s="17"/>
      <c r="R44" s="11"/>
      <c r="S44" s="11" t="str" cm="1">
        <f t="array" ref="S44">xlFOCUS_ExpectativasMensais("Câmbio",,$Q44,WORKDAY(EDATE($Q44,-2),-1,Holidays),WORKDAY(EDATE($Q44,-2),-1,Holidays),0,"Mediana")</f>
        <v># Barra de fórmulas aberta</v>
      </c>
      <c r="T44" s="11" t="str" cm="1">
        <f t="array" ref="T44">xlFOCUS_ExpectativasMensais("Câmbio",,$Q44,WORKDAY(EDATE($Q44,-1),-1,Holidays),WORKDAY(EDATE($Q44,-1),-1,Holidays),0,"Mediana")</f>
        <v># Barra de fórmulas aberta</v>
      </c>
      <c r="V44" s="11" t="e">
        <f t="shared" si="6"/>
        <v>#VALUE!</v>
      </c>
      <c r="W44" s="11" t="e">
        <f t="shared" si="7"/>
        <v>#VALUE!</v>
      </c>
      <c r="X44" s="11"/>
      <c r="Y44" s="17"/>
      <c r="Z44" s="11"/>
      <c r="AA44" s="11" t="str" cm="1">
        <f t="array" ref="AA44">xlFOCUS_ExpectativasMensais("IGP-M",,$Y44,WORKDAY(EDATE($Y44,-2),-1,Holidays),WORKDAY(EDATE($Y44,-2),-1,Holidays),0,"Mediana")</f>
        <v># Barra de fórmulas aberta</v>
      </c>
      <c r="AB44" s="11" t="str" cm="1">
        <f t="array" ref="AB44">xlFOCUS_ExpectativasMensais("IGP-M",,$Y44,WORKDAY(EDATE($Y44,-1),-1,Holidays),WORKDAY(EDATE($Y44,-1),-1,Holidays),0,"Mediana")</f>
        <v># Barra de fórmulas aberta</v>
      </c>
      <c r="AC44" s="11" t="str" cm="1">
        <f t="array" ref="AC44">xlFOCUS_ExpectativasMensais("IGP-M",,$Y44,WORKDAY(EDATE($Y44,0),-1,Holidays),WORKDAY(EDATE($Y44,0),-1,Holidays),0,"Mediana")</f>
        <v># Barra de fórmulas aberta</v>
      </c>
      <c r="AD44" s="11" t="e">
        <f t="shared" si="8"/>
        <v>#VALUE!</v>
      </c>
      <c r="AE44" s="11" t="e">
        <f t="shared" si="9"/>
        <v>#VALUE!</v>
      </c>
      <c r="AF44" s="11" t="e">
        <f t="shared" si="10"/>
        <v>#VALUE!</v>
      </c>
      <c r="AG44" s="11"/>
    </row>
    <row r="45" spans="4:33" x14ac:dyDescent="0.2">
      <c r="D45" s="1">
        <f t="shared" si="0"/>
        <v>0</v>
      </c>
      <c r="E45" s="1">
        <f t="shared" si="1"/>
        <v>0</v>
      </c>
      <c r="F45" s="17"/>
      <c r="G45" s="11"/>
      <c r="H45" s="11" t="str" cm="1">
        <f t="array" ref="H45">xlFOCUS_ExpectativasMensais("IPCA",,$F45,WORKDAY(EDATE($F45,-2),-1,Holidays),WORKDAY(EDATE($F45,-2),-1,Holidays),0,"Mediana")</f>
        <v># Barra de fórmulas aberta</v>
      </c>
      <c r="I45" s="11" t="str" cm="1">
        <f t="array" ref="I45">xlFOCUS_ExpectativasMensais("IPCA",,$F45,WORKDAY(EDATE($F45,-1),-1,Holidays),WORKDAY(EDATE($F45,-1),-1,Holidays),0,"Mediana")</f>
        <v># Barra de fórmulas aberta</v>
      </c>
      <c r="J45" s="11" t="str" cm="1">
        <f t="array" ref="J45">xlFOCUS_ExpectativasMensais("IPCA",,$F45,WORKDAY(EDATE($F45,0),-1,Holidays),WORKDAY(EDATE($F45,0),-1,Holidays),0,"Mediana")</f>
        <v># Barra de fórmulas aberta</v>
      </c>
      <c r="K45" s="11" t="str" cm="1">
        <f t="array" ref="K45">xlFOCUS_ExpectativasMensais("IPCA",,$F45,WORKDAY(EDATE($F45,1),-1,Holidays),WORKDAY(EDATE($F45,1),-1,Holidays),0,"Mediana")</f>
        <v># Barra de fórmulas aberta</v>
      </c>
      <c r="L45" s="11" t="e">
        <f t="shared" si="2"/>
        <v>#VALUE!</v>
      </c>
      <c r="M45" s="11" t="e">
        <f t="shared" si="3"/>
        <v>#VALUE!</v>
      </c>
      <c r="N45" s="11" t="e">
        <f t="shared" si="4"/>
        <v>#VALUE!</v>
      </c>
      <c r="O45" s="11" t="e">
        <f t="shared" si="5"/>
        <v>#VALUE!</v>
      </c>
      <c r="Q45" s="17"/>
      <c r="R45" s="11"/>
      <c r="S45" s="11" t="str" cm="1">
        <f t="array" ref="S45">xlFOCUS_ExpectativasMensais("Câmbio",,$Q45,WORKDAY(EDATE($Q45,-2),-1,Holidays),WORKDAY(EDATE($Q45,-2),-1,Holidays),0,"Mediana")</f>
        <v># Barra de fórmulas aberta</v>
      </c>
      <c r="T45" s="11" t="str" cm="1">
        <f t="array" ref="T45">xlFOCUS_ExpectativasMensais("Câmbio",,$Q45,WORKDAY(EDATE($Q45,-1),-1,Holidays),WORKDAY(EDATE($Q45,-1),-1,Holidays),0,"Mediana")</f>
        <v># Barra de fórmulas aberta</v>
      </c>
      <c r="V45" s="11" t="e">
        <f t="shared" si="6"/>
        <v>#VALUE!</v>
      </c>
      <c r="W45" s="11" t="e">
        <f t="shared" si="7"/>
        <v>#VALUE!</v>
      </c>
      <c r="X45" s="11"/>
      <c r="Y45" s="17"/>
      <c r="Z45" s="11"/>
      <c r="AA45" s="11" t="str" cm="1">
        <f t="array" ref="AA45">xlFOCUS_ExpectativasMensais("IGP-M",,$Y45,WORKDAY(EDATE($Y45,-2),-1,Holidays),WORKDAY(EDATE($Y45,-2),-1,Holidays),0,"Mediana")</f>
        <v># Barra de fórmulas aberta</v>
      </c>
      <c r="AB45" s="11" t="str" cm="1">
        <f t="array" ref="AB45">xlFOCUS_ExpectativasMensais("IGP-M",,$Y45,WORKDAY(EDATE($Y45,-1),-1,Holidays),WORKDAY(EDATE($Y45,-1),-1,Holidays),0,"Mediana")</f>
        <v># Barra de fórmulas aberta</v>
      </c>
      <c r="AC45" s="11" t="str" cm="1">
        <f t="array" ref="AC45">xlFOCUS_ExpectativasMensais("IGP-M",,$Y45,WORKDAY(EDATE($Y45,0),-1,Holidays),WORKDAY(EDATE($Y45,0),-1,Holidays),0,"Mediana")</f>
        <v># Barra de fórmulas aberta</v>
      </c>
      <c r="AD45" s="11" t="e">
        <f t="shared" si="8"/>
        <v>#VALUE!</v>
      </c>
      <c r="AE45" s="11" t="e">
        <f t="shared" si="9"/>
        <v>#VALUE!</v>
      </c>
      <c r="AF45" s="11" t="e">
        <f t="shared" si="10"/>
        <v>#VALUE!</v>
      </c>
      <c r="AG45" s="11"/>
    </row>
    <row r="46" spans="4:33" x14ac:dyDescent="0.2">
      <c r="D46" s="1">
        <f t="shared" si="0"/>
        <v>0</v>
      </c>
      <c r="E46" s="1">
        <f t="shared" si="1"/>
        <v>0</v>
      </c>
      <c r="F46" s="17"/>
      <c r="G46" s="11"/>
      <c r="H46" s="11" t="str" cm="1">
        <f t="array" ref="H46">xlFOCUS_ExpectativasMensais("IPCA",,$F46,WORKDAY(EDATE($F46,-2),-1,Holidays),WORKDAY(EDATE($F46,-2),-1,Holidays),0,"Mediana")</f>
        <v># Barra de fórmulas aberta</v>
      </c>
      <c r="I46" s="11" t="str" cm="1">
        <f t="array" ref="I46">xlFOCUS_ExpectativasMensais("IPCA",,$F46,WORKDAY(EDATE($F46,-1),-1,Holidays),WORKDAY(EDATE($F46,-1),-1,Holidays),0,"Mediana")</f>
        <v># Barra de fórmulas aberta</v>
      </c>
      <c r="J46" s="11" t="str" cm="1">
        <f t="array" ref="J46">xlFOCUS_ExpectativasMensais("IPCA",,$F46,WORKDAY(EDATE($F46,0),-1,Holidays),WORKDAY(EDATE($F46,0),-1,Holidays),0,"Mediana")</f>
        <v># Barra de fórmulas aberta</v>
      </c>
      <c r="K46" s="11" t="str" cm="1">
        <f t="array" ref="K46">xlFOCUS_ExpectativasMensais("IPCA",,$F46,WORKDAY(EDATE($F46,1),-1,Holidays),WORKDAY(EDATE($F46,1),-1,Holidays),0,"Mediana")</f>
        <v># Barra de fórmulas aberta</v>
      </c>
      <c r="L46" s="11" t="e">
        <f t="shared" si="2"/>
        <v>#VALUE!</v>
      </c>
      <c r="M46" s="11" t="e">
        <f t="shared" si="3"/>
        <v>#VALUE!</v>
      </c>
      <c r="N46" s="11" t="e">
        <f t="shared" si="4"/>
        <v>#VALUE!</v>
      </c>
      <c r="O46" s="11" t="e">
        <f t="shared" si="5"/>
        <v>#VALUE!</v>
      </c>
      <c r="Q46" s="17"/>
      <c r="R46" s="11"/>
      <c r="S46" s="11" t="str" cm="1">
        <f t="array" ref="S46">xlFOCUS_ExpectativasMensais("Câmbio",,$Q46,WORKDAY(EDATE($Q46,-2),-1,Holidays),WORKDAY(EDATE($Q46,-2),-1,Holidays),0,"Mediana")</f>
        <v># Barra de fórmulas aberta</v>
      </c>
      <c r="T46" s="11" t="str" cm="1">
        <f t="array" ref="T46">xlFOCUS_ExpectativasMensais("Câmbio",,$Q46,WORKDAY(EDATE($Q46,-1),-1,Holidays),WORKDAY(EDATE($Q46,-1),-1,Holidays),0,"Mediana")</f>
        <v># Barra de fórmulas aberta</v>
      </c>
      <c r="V46" s="11" t="e">
        <f t="shared" si="6"/>
        <v>#VALUE!</v>
      </c>
      <c r="W46" s="11" t="e">
        <f t="shared" si="7"/>
        <v>#VALUE!</v>
      </c>
      <c r="X46" s="11"/>
      <c r="Y46" s="17"/>
      <c r="Z46" s="11"/>
      <c r="AA46" s="11" t="str" cm="1">
        <f t="array" ref="AA46">xlFOCUS_ExpectativasMensais("IGP-M",,$Y46,WORKDAY(EDATE($Y46,-2),-1,Holidays),WORKDAY(EDATE($Y46,-2),-1,Holidays),0,"Mediana")</f>
        <v># Barra de fórmulas aberta</v>
      </c>
      <c r="AB46" s="11" t="str" cm="1">
        <f t="array" ref="AB46">xlFOCUS_ExpectativasMensais("IGP-M",,$Y46,WORKDAY(EDATE($Y46,-1),-1,Holidays),WORKDAY(EDATE($Y46,-1),-1,Holidays),0,"Mediana")</f>
        <v># Barra de fórmulas aberta</v>
      </c>
      <c r="AC46" s="11" t="str" cm="1">
        <f t="array" ref="AC46">xlFOCUS_ExpectativasMensais("IGP-M",,$Y46,WORKDAY(EDATE($Y46,0),-1,Holidays),WORKDAY(EDATE($Y46,0),-1,Holidays),0,"Mediana")</f>
        <v># Barra de fórmulas aberta</v>
      </c>
      <c r="AD46" s="11" t="e">
        <f t="shared" si="8"/>
        <v>#VALUE!</v>
      </c>
      <c r="AE46" s="11" t="e">
        <f t="shared" si="9"/>
        <v>#VALUE!</v>
      </c>
      <c r="AF46" s="11" t="e">
        <f t="shared" si="10"/>
        <v>#VALUE!</v>
      </c>
      <c r="AG46" s="11"/>
    </row>
    <row r="47" spans="4:33" x14ac:dyDescent="0.2">
      <c r="D47" s="1">
        <f t="shared" si="0"/>
        <v>0</v>
      </c>
      <c r="E47" s="1">
        <f t="shared" si="1"/>
        <v>0</v>
      </c>
      <c r="F47" s="17"/>
      <c r="G47" s="11"/>
      <c r="H47" s="11" t="str" cm="1">
        <f t="array" ref="H47">xlFOCUS_ExpectativasMensais("IPCA",,$F47,WORKDAY(EDATE($F47,-2),-1,Holidays),WORKDAY(EDATE($F47,-2),-1,Holidays),0,"Mediana")</f>
        <v># Barra de fórmulas aberta</v>
      </c>
      <c r="I47" s="11" t="str" cm="1">
        <f t="array" ref="I47">xlFOCUS_ExpectativasMensais("IPCA",,$F47,WORKDAY(EDATE($F47,-1),-1,Holidays),WORKDAY(EDATE($F47,-1),-1,Holidays),0,"Mediana")</f>
        <v># Barra de fórmulas aberta</v>
      </c>
      <c r="J47" s="11" t="str" cm="1">
        <f t="array" ref="J47">xlFOCUS_ExpectativasMensais("IPCA",,$F47,WORKDAY(EDATE($F47,0),-1,Holidays),WORKDAY(EDATE($F47,0),-1,Holidays),0,"Mediana")</f>
        <v># Barra de fórmulas aberta</v>
      </c>
      <c r="K47" s="11" t="str" cm="1">
        <f t="array" ref="K47">xlFOCUS_ExpectativasMensais("IPCA",,$F47,WORKDAY(EDATE($F47,1),-1,Holidays),WORKDAY(EDATE($F47,1),-1,Holidays),0,"Mediana")</f>
        <v># Barra de fórmulas aberta</v>
      </c>
      <c r="L47" s="11" t="e">
        <f t="shared" si="2"/>
        <v>#VALUE!</v>
      </c>
      <c r="M47" s="11" t="e">
        <f t="shared" si="3"/>
        <v>#VALUE!</v>
      </c>
      <c r="N47" s="11" t="e">
        <f t="shared" si="4"/>
        <v>#VALUE!</v>
      </c>
      <c r="O47" s="11" t="e">
        <f t="shared" si="5"/>
        <v>#VALUE!</v>
      </c>
      <c r="Q47" s="17"/>
      <c r="R47" s="11"/>
      <c r="S47" s="11" t="str" cm="1">
        <f t="array" ref="S47">xlFOCUS_ExpectativasMensais("Câmbio",,$Q47,WORKDAY(EDATE($Q47,-2),-1,Holidays),WORKDAY(EDATE($Q47,-2),-1,Holidays),0,"Mediana")</f>
        <v># Barra de fórmulas aberta</v>
      </c>
      <c r="T47" s="11" t="str" cm="1">
        <f t="array" ref="T47">xlFOCUS_ExpectativasMensais("Câmbio",,$Q47,WORKDAY(EDATE($Q47,-1),-1,Holidays),WORKDAY(EDATE($Q47,-1),-1,Holidays),0,"Mediana")</f>
        <v># Barra de fórmulas aberta</v>
      </c>
      <c r="V47" s="11" t="e">
        <f t="shared" si="6"/>
        <v>#VALUE!</v>
      </c>
      <c r="W47" s="11" t="e">
        <f t="shared" si="7"/>
        <v>#VALUE!</v>
      </c>
      <c r="X47" s="11"/>
      <c r="Y47" s="17"/>
      <c r="Z47" s="11"/>
      <c r="AA47" s="11" t="str" cm="1">
        <f t="array" ref="AA47">xlFOCUS_ExpectativasMensais("IGP-M",,$Y47,WORKDAY(EDATE($Y47,-2),-1,Holidays),WORKDAY(EDATE($Y47,-2),-1,Holidays),0,"Mediana")</f>
        <v># Barra de fórmulas aberta</v>
      </c>
      <c r="AB47" s="11" t="str" cm="1">
        <f t="array" ref="AB47">xlFOCUS_ExpectativasMensais("IGP-M",,$Y47,WORKDAY(EDATE($Y47,-1),-1,Holidays),WORKDAY(EDATE($Y47,-1),-1,Holidays),0,"Mediana")</f>
        <v># Barra de fórmulas aberta</v>
      </c>
      <c r="AC47" s="11" t="str" cm="1">
        <f t="array" ref="AC47">xlFOCUS_ExpectativasMensais("IGP-M",,$Y47,WORKDAY(EDATE($Y47,0),-1,Holidays),WORKDAY(EDATE($Y47,0),-1,Holidays),0,"Mediana")</f>
        <v># Barra de fórmulas aberta</v>
      </c>
      <c r="AD47" s="11" t="e">
        <f t="shared" si="8"/>
        <v>#VALUE!</v>
      </c>
      <c r="AE47" s="11" t="e">
        <f t="shared" si="9"/>
        <v>#VALUE!</v>
      </c>
      <c r="AF47" s="11" t="e">
        <f t="shared" si="10"/>
        <v>#VALUE!</v>
      </c>
      <c r="AG47" s="11"/>
    </row>
    <row r="48" spans="4:33" x14ac:dyDescent="0.2">
      <c r="D48" s="1">
        <f t="shared" si="0"/>
        <v>0</v>
      </c>
      <c r="E48" s="1">
        <f t="shared" si="1"/>
        <v>0</v>
      </c>
      <c r="F48" s="17"/>
      <c r="G48" s="11"/>
      <c r="H48" s="11" t="str" cm="1">
        <f t="array" ref="H48">xlFOCUS_ExpectativasMensais("IPCA",,$F48,WORKDAY(EDATE($F48,-2),-1,Holidays),WORKDAY(EDATE($F48,-2),-1,Holidays),0,"Mediana")</f>
        <v># Barra de fórmulas aberta</v>
      </c>
      <c r="I48" s="11" t="str" cm="1">
        <f t="array" ref="I48">xlFOCUS_ExpectativasMensais("IPCA",,$F48,WORKDAY(EDATE($F48,-1),-1,Holidays),WORKDAY(EDATE($F48,-1),-1,Holidays),0,"Mediana")</f>
        <v># Barra de fórmulas aberta</v>
      </c>
      <c r="J48" s="11" t="str" cm="1">
        <f t="array" ref="J48">xlFOCUS_ExpectativasMensais("IPCA",,$F48,WORKDAY(EDATE($F48,0),-1,Holidays),WORKDAY(EDATE($F48,0),-1,Holidays),0,"Mediana")</f>
        <v># Barra de fórmulas aberta</v>
      </c>
      <c r="K48" s="11" t="str" cm="1">
        <f t="array" ref="K48">xlFOCUS_ExpectativasMensais("IPCA",,$F48,WORKDAY(EDATE($F48,1),-1,Holidays),WORKDAY(EDATE($F48,1),-1,Holidays),0,"Mediana")</f>
        <v># Barra de fórmulas aberta</v>
      </c>
      <c r="L48" s="11" t="e">
        <f t="shared" si="2"/>
        <v>#VALUE!</v>
      </c>
      <c r="M48" s="11" t="e">
        <f t="shared" si="3"/>
        <v>#VALUE!</v>
      </c>
      <c r="N48" s="11" t="e">
        <f t="shared" si="4"/>
        <v>#VALUE!</v>
      </c>
      <c r="O48" s="11" t="e">
        <f t="shared" si="5"/>
        <v>#VALUE!</v>
      </c>
      <c r="Q48" s="17"/>
      <c r="R48" s="11"/>
      <c r="S48" s="11" t="str" cm="1">
        <f t="array" ref="S48">xlFOCUS_ExpectativasMensais("Câmbio",,$Q48,WORKDAY(EDATE($Q48,-2),-1,Holidays),WORKDAY(EDATE($Q48,-2),-1,Holidays),0,"Mediana")</f>
        <v># Barra de fórmulas aberta</v>
      </c>
      <c r="T48" s="11" t="str" cm="1">
        <f t="array" ref="T48">xlFOCUS_ExpectativasMensais("Câmbio",,$Q48,WORKDAY(EDATE($Q48,-1),-1,Holidays),WORKDAY(EDATE($Q48,-1),-1,Holidays),0,"Mediana")</f>
        <v># Barra de fórmulas aberta</v>
      </c>
      <c r="V48" s="11" t="e">
        <f t="shared" si="6"/>
        <v>#VALUE!</v>
      </c>
      <c r="W48" s="11" t="e">
        <f t="shared" si="7"/>
        <v>#VALUE!</v>
      </c>
      <c r="X48" s="11"/>
      <c r="Y48" s="17"/>
      <c r="Z48" s="11"/>
      <c r="AA48" s="11" t="str" cm="1">
        <f t="array" ref="AA48">xlFOCUS_ExpectativasMensais("IGP-M",,$Y48,WORKDAY(EDATE($Y48,-2),-1,Holidays),WORKDAY(EDATE($Y48,-2),-1,Holidays),0,"Mediana")</f>
        <v># Barra de fórmulas aberta</v>
      </c>
      <c r="AB48" s="11" t="str" cm="1">
        <f t="array" ref="AB48">xlFOCUS_ExpectativasMensais("IGP-M",,$Y48,WORKDAY(EDATE($Y48,-1),-1,Holidays),WORKDAY(EDATE($Y48,-1),-1,Holidays),0,"Mediana")</f>
        <v># Barra de fórmulas aberta</v>
      </c>
      <c r="AC48" s="11" t="str" cm="1">
        <f t="array" ref="AC48">xlFOCUS_ExpectativasMensais("IGP-M",,$Y48,WORKDAY(EDATE($Y48,0),-1,Holidays),WORKDAY(EDATE($Y48,0),-1,Holidays),0,"Mediana")</f>
        <v># Barra de fórmulas aberta</v>
      </c>
      <c r="AD48" s="11" t="e">
        <f t="shared" si="8"/>
        <v>#VALUE!</v>
      </c>
      <c r="AE48" s="11" t="e">
        <f t="shared" si="9"/>
        <v>#VALUE!</v>
      </c>
      <c r="AF48" s="11" t="e">
        <f t="shared" si="10"/>
        <v>#VALUE!</v>
      </c>
      <c r="AG48" s="11"/>
    </row>
    <row r="49" spans="4:33" x14ac:dyDescent="0.2">
      <c r="D49" s="1">
        <f t="shared" si="0"/>
        <v>0</v>
      </c>
      <c r="E49" s="1">
        <f t="shared" si="1"/>
        <v>0</v>
      </c>
      <c r="F49" s="17"/>
      <c r="G49" s="11"/>
      <c r="H49" s="11" t="str" cm="1">
        <f t="array" ref="H49">xlFOCUS_ExpectativasMensais("IPCA",,$F49,WORKDAY(EDATE($F49,-2),-1,Holidays),WORKDAY(EDATE($F49,-2),-1,Holidays),0,"Mediana")</f>
        <v># Barra de fórmulas aberta</v>
      </c>
      <c r="I49" s="11" t="str" cm="1">
        <f t="array" ref="I49">xlFOCUS_ExpectativasMensais("IPCA",,$F49,WORKDAY(EDATE($F49,-1),-1,Holidays),WORKDAY(EDATE($F49,-1),-1,Holidays),0,"Mediana")</f>
        <v># Barra de fórmulas aberta</v>
      </c>
      <c r="J49" s="11" t="str" cm="1">
        <f t="array" ref="J49">xlFOCUS_ExpectativasMensais("IPCA",,$F49,WORKDAY(EDATE($F49,0),-1,Holidays),WORKDAY(EDATE($F49,0),-1,Holidays),0,"Mediana")</f>
        <v># Barra de fórmulas aberta</v>
      </c>
      <c r="K49" s="11" t="str" cm="1">
        <f t="array" ref="K49">xlFOCUS_ExpectativasMensais("IPCA",,$F49,WORKDAY(EDATE($F49,1),-1,Holidays),WORKDAY(EDATE($F49,1),-1,Holidays),0,"Mediana")</f>
        <v># Barra de fórmulas aberta</v>
      </c>
      <c r="L49" s="11" t="e">
        <f t="shared" si="2"/>
        <v>#VALUE!</v>
      </c>
      <c r="M49" s="11" t="e">
        <f t="shared" si="3"/>
        <v>#VALUE!</v>
      </c>
      <c r="N49" s="11" t="e">
        <f t="shared" si="4"/>
        <v>#VALUE!</v>
      </c>
      <c r="O49" s="11" t="e">
        <f t="shared" si="5"/>
        <v>#VALUE!</v>
      </c>
      <c r="Q49" s="17"/>
      <c r="R49" s="11"/>
      <c r="S49" s="11" t="str" cm="1">
        <f t="array" ref="S49">xlFOCUS_ExpectativasMensais("Câmbio",,$Q49,WORKDAY(EDATE($Q49,-2),-1,Holidays),WORKDAY(EDATE($Q49,-2),-1,Holidays),0,"Mediana")</f>
        <v># Barra de fórmulas aberta</v>
      </c>
      <c r="T49" s="11" t="str" cm="1">
        <f t="array" ref="T49">xlFOCUS_ExpectativasMensais("Câmbio",,$Q49,WORKDAY(EDATE($Q49,-1),-1,Holidays),WORKDAY(EDATE($Q49,-1),-1,Holidays),0,"Mediana")</f>
        <v># Barra de fórmulas aberta</v>
      </c>
      <c r="V49" s="11" t="e">
        <f t="shared" si="6"/>
        <v>#VALUE!</v>
      </c>
      <c r="W49" s="11" t="e">
        <f t="shared" si="7"/>
        <v>#VALUE!</v>
      </c>
      <c r="X49" s="11"/>
      <c r="Y49" s="17"/>
      <c r="Z49" s="11"/>
      <c r="AA49" s="11" t="str" cm="1">
        <f t="array" ref="AA49">xlFOCUS_ExpectativasMensais("IGP-M",,$Y49,WORKDAY(EDATE($Y49,-2),-1,Holidays),WORKDAY(EDATE($Y49,-2),-1,Holidays),0,"Mediana")</f>
        <v># Barra de fórmulas aberta</v>
      </c>
      <c r="AB49" s="11" t="str" cm="1">
        <f t="array" ref="AB49">xlFOCUS_ExpectativasMensais("IGP-M",,$Y49,WORKDAY(EDATE($Y49,-1),-1,Holidays),WORKDAY(EDATE($Y49,-1),-1,Holidays),0,"Mediana")</f>
        <v># Barra de fórmulas aberta</v>
      </c>
      <c r="AC49" s="11" t="str" cm="1">
        <f t="array" ref="AC49">xlFOCUS_ExpectativasMensais("IGP-M",,$Y49,WORKDAY(EDATE($Y49,0),-1,Holidays),WORKDAY(EDATE($Y49,0),-1,Holidays),0,"Mediana")</f>
        <v># Barra de fórmulas aberta</v>
      </c>
      <c r="AD49" s="11" t="e">
        <f t="shared" si="8"/>
        <v>#VALUE!</v>
      </c>
      <c r="AE49" s="11" t="e">
        <f t="shared" si="9"/>
        <v>#VALUE!</v>
      </c>
      <c r="AF49" s="11" t="e">
        <f t="shared" si="10"/>
        <v>#VALUE!</v>
      </c>
      <c r="AG49" s="11"/>
    </row>
    <row r="50" spans="4:33" x14ac:dyDescent="0.2">
      <c r="D50" s="1">
        <f t="shared" si="0"/>
        <v>0</v>
      </c>
      <c r="E50" s="1">
        <f t="shared" si="1"/>
        <v>0</v>
      </c>
      <c r="F50" s="17"/>
      <c r="G50" s="11"/>
      <c r="H50" s="11" t="str" cm="1">
        <f t="array" ref="H50">xlFOCUS_ExpectativasMensais("IPCA",,$F50,WORKDAY(EDATE($F50,-2),-1,Holidays),WORKDAY(EDATE($F50,-2),-1,Holidays),0,"Mediana")</f>
        <v># Barra de fórmulas aberta</v>
      </c>
      <c r="I50" s="11" t="str" cm="1">
        <f t="array" ref="I50">xlFOCUS_ExpectativasMensais("IPCA",,$F50,WORKDAY(EDATE($F50,-1),-1,Holidays),WORKDAY(EDATE($F50,-1),-1,Holidays),0,"Mediana")</f>
        <v># Barra de fórmulas aberta</v>
      </c>
      <c r="J50" s="11" t="str" cm="1">
        <f t="array" ref="J50">xlFOCUS_ExpectativasMensais("IPCA",,$F50,WORKDAY(EDATE($F50,0),-1,Holidays),WORKDAY(EDATE($F50,0),-1,Holidays),0,"Mediana")</f>
        <v># Barra de fórmulas aberta</v>
      </c>
      <c r="K50" s="11" t="str" cm="1">
        <f t="array" ref="K50">xlFOCUS_ExpectativasMensais("IPCA",,$F50,WORKDAY(EDATE($F50,1),-1,Holidays),WORKDAY(EDATE($F50,1),-1,Holidays),0,"Mediana")</f>
        <v># Barra de fórmulas aberta</v>
      </c>
      <c r="L50" s="11" t="e">
        <f t="shared" si="2"/>
        <v>#VALUE!</v>
      </c>
      <c r="M50" s="11" t="e">
        <f t="shared" si="3"/>
        <v>#VALUE!</v>
      </c>
      <c r="N50" s="11" t="e">
        <f t="shared" si="4"/>
        <v>#VALUE!</v>
      </c>
      <c r="O50" s="11" t="e">
        <f t="shared" si="5"/>
        <v>#VALUE!</v>
      </c>
      <c r="Q50" s="17"/>
      <c r="R50" s="11"/>
      <c r="S50" s="11" t="str" cm="1">
        <f t="array" ref="S50">xlFOCUS_ExpectativasMensais("Câmbio",,$Q50,WORKDAY(EDATE($Q50,-2),-1,Holidays),WORKDAY(EDATE($Q50,-2),-1,Holidays),0,"Mediana")</f>
        <v># Barra de fórmulas aberta</v>
      </c>
      <c r="T50" s="11" t="str" cm="1">
        <f t="array" ref="T50">xlFOCUS_ExpectativasMensais("Câmbio",,$Q50,WORKDAY(EDATE($Q50,-1),-1,Holidays),WORKDAY(EDATE($Q50,-1),-1,Holidays),0,"Mediana")</f>
        <v># Barra de fórmulas aberta</v>
      </c>
      <c r="V50" s="11" t="e">
        <f t="shared" si="6"/>
        <v>#VALUE!</v>
      </c>
      <c r="W50" s="11" t="e">
        <f t="shared" si="7"/>
        <v>#VALUE!</v>
      </c>
      <c r="X50" s="11"/>
      <c r="Y50" s="17"/>
      <c r="Z50" s="11"/>
      <c r="AA50" s="11" t="str" cm="1">
        <f t="array" ref="AA50">xlFOCUS_ExpectativasMensais("IGP-M",,$Y50,WORKDAY(EDATE($Y50,-2),-1,Holidays),WORKDAY(EDATE($Y50,-2),-1,Holidays),0,"Mediana")</f>
        <v># Barra de fórmulas aberta</v>
      </c>
      <c r="AB50" s="11" t="str" cm="1">
        <f t="array" ref="AB50">xlFOCUS_ExpectativasMensais("IGP-M",,$Y50,WORKDAY(EDATE($Y50,-1),-1,Holidays),WORKDAY(EDATE($Y50,-1),-1,Holidays),0,"Mediana")</f>
        <v># Barra de fórmulas aberta</v>
      </c>
      <c r="AC50" s="11" t="str" cm="1">
        <f t="array" ref="AC50">xlFOCUS_ExpectativasMensais("IGP-M",,$Y50,WORKDAY(EDATE($Y50,0),-1,Holidays),WORKDAY(EDATE($Y50,0),-1,Holidays),0,"Mediana")</f>
        <v># Barra de fórmulas aberta</v>
      </c>
      <c r="AD50" s="11" t="e">
        <f t="shared" si="8"/>
        <v>#VALUE!</v>
      </c>
      <c r="AE50" s="11" t="e">
        <f t="shared" si="9"/>
        <v>#VALUE!</v>
      </c>
      <c r="AF50" s="11" t="e">
        <f t="shared" si="10"/>
        <v>#VALUE!</v>
      </c>
      <c r="AG50" s="11"/>
    </row>
    <row r="51" spans="4:33" x14ac:dyDescent="0.2">
      <c r="D51" s="1">
        <f t="shared" si="0"/>
        <v>0</v>
      </c>
      <c r="E51" s="1">
        <f t="shared" si="1"/>
        <v>0</v>
      </c>
      <c r="F51" s="17"/>
      <c r="G51" s="11"/>
      <c r="H51" s="11" t="str" cm="1">
        <f t="array" ref="H51">xlFOCUS_ExpectativasMensais("IPCA",,$F51,WORKDAY(EDATE($F51,-2),-1,Holidays),WORKDAY(EDATE($F51,-2),-1,Holidays),0,"Mediana")</f>
        <v># Barra de fórmulas aberta</v>
      </c>
      <c r="I51" s="11" t="str" cm="1">
        <f t="array" ref="I51">xlFOCUS_ExpectativasMensais("IPCA",,$F51,WORKDAY(EDATE($F51,-1),-1,Holidays),WORKDAY(EDATE($F51,-1),-1,Holidays),0,"Mediana")</f>
        <v># Barra de fórmulas aberta</v>
      </c>
      <c r="J51" s="11" t="str" cm="1">
        <f t="array" ref="J51">xlFOCUS_ExpectativasMensais("IPCA",,$F51,WORKDAY(EDATE($F51,0),-1,Holidays),WORKDAY(EDATE($F51,0),-1,Holidays),0,"Mediana")</f>
        <v># Barra de fórmulas aberta</v>
      </c>
      <c r="K51" s="11" t="str" cm="1">
        <f t="array" ref="K51">xlFOCUS_ExpectativasMensais("IPCA",,$F51,WORKDAY(EDATE($F51,1),-1,Holidays),WORKDAY(EDATE($F51,1),-1,Holidays),0,"Mediana")</f>
        <v># Barra de fórmulas aberta</v>
      </c>
      <c r="L51" s="11" t="e">
        <f t="shared" si="2"/>
        <v>#VALUE!</v>
      </c>
      <c r="M51" s="11" t="e">
        <f t="shared" si="3"/>
        <v>#VALUE!</v>
      </c>
      <c r="N51" s="11" t="e">
        <f t="shared" si="4"/>
        <v>#VALUE!</v>
      </c>
      <c r="O51" s="11" t="e">
        <f t="shared" si="5"/>
        <v>#VALUE!</v>
      </c>
      <c r="Q51" s="17"/>
      <c r="R51" s="11"/>
      <c r="S51" s="11" t="str" cm="1">
        <f t="array" ref="S51">xlFOCUS_ExpectativasMensais("Câmbio",,$Q51,WORKDAY(EDATE($Q51,-2),-1,Holidays),WORKDAY(EDATE($Q51,-2),-1,Holidays),0,"Mediana")</f>
        <v># Barra de fórmulas aberta</v>
      </c>
      <c r="T51" s="11" t="str" cm="1">
        <f t="array" ref="T51">xlFOCUS_ExpectativasMensais("Câmbio",,$Q51,WORKDAY(EDATE($Q51,-1),-1,Holidays),WORKDAY(EDATE($Q51,-1),-1,Holidays),0,"Mediana")</f>
        <v># Barra de fórmulas aberta</v>
      </c>
      <c r="V51" s="11" t="e">
        <f t="shared" si="6"/>
        <v>#VALUE!</v>
      </c>
      <c r="W51" s="11" t="e">
        <f t="shared" si="7"/>
        <v>#VALUE!</v>
      </c>
      <c r="X51" s="11"/>
      <c r="Y51" s="17"/>
      <c r="Z51" s="11"/>
      <c r="AA51" s="11" t="str" cm="1">
        <f t="array" ref="AA51">xlFOCUS_ExpectativasMensais("IGP-M",,$Y51,WORKDAY(EDATE($Y51,-2),-1,Holidays),WORKDAY(EDATE($Y51,-2),-1,Holidays),0,"Mediana")</f>
        <v># Barra de fórmulas aberta</v>
      </c>
      <c r="AB51" s="11" t="str" cm="1">
        <f t="array" ref="AB51">xlFOCUS_ExpectativasMensais("IGP-M",,$Y51,WORKDAY(EDATE($Y51,-1),-1,Holidays),WORKDAY(EDATE($Y51,-1),-1,Holidays),0,"Mediana")</f>
        <v># Barra de fórmulas aberta</v>
      </c>
      <c r="AC51" s="11" t="str" cm="1">
        <f t="array" ref="AC51">xlFOCUS_ExpectativasMensais("IGP-M",,$Y51,WORKDAY(EDATE($Y51,0),-1,Holidays),WORKDAY(EDATE($Y51,0),-1,Holidays),0,"Mediana")</f>
        <v># Barra de fórmulas aberta</v>
      </c>
      <c r="AD51" s="11" t="e">
        <f t="shared" si="8"/>
        <v>#VALUE!</v>
      </c>
      <c r="AE51" s="11" t="e">
        <f t="shared" si="9"/>
        <v>#VALUE!</v>
      </c>
      <c r="AF51" s="11" t="e">
        <f t="shared" si="10"/>
        <v>#VALUE!</v>
      </c>
      <c r="AG51" s="11"/>
    </row>
    <row r="52" spans="4:33" x14ac:dyDescent="0.2">
      <c r="F52" s="17"/>
      <c r="G52" s="11"/>
    </row>
    <row r="53" spans="4:33" x14ac:dyDescent="0.2">
      <c r="F53" s="17"/>
      <c r="G53" s="11"/>
      <c r="H53" s="11"/>
    </row>
    <row r="54" spans="4:33" x14ac:dyDescent="0.2">
      <c r="F54" s="17"/>
      <c r="G54" s="11"/>
      <c r="H54" s="11"/>
      <c r="I54" s="11"/>
    </row>
    <row r="55" spans="4:33" x14ac:dyDescent="0.2">
      <c r="F55" s="17"/>
      <c r="G55" s="11"/>
      <c r="H55" s="11"/>
      <c r="I55" s="11"/>
    </row>
    <row r="56" spans="4:33" x14ac:dyDescent="0.2">
      <c r="F56" s="17"/>
      <c r="G56" s="11"/>
      <c r="H56" s="11"/>
      <c r="I56" s="11"/>
    </row>
    <row r="57" spans="4:33" x14ac:dyDescent="0.2">
      <c r="F57" s="17"/>
      <c r="G57" s="11"/>
    </row>
    <row r="58" spans="4:33" x14ac:dyDescent="0.2">
      <c r="F58" s="17"/>
      <c r="G58" s="11"/>
    </row>
    <row r="59" spans="4:33" x14ac:dyDescent="0.2">
      <c r="F59" s="17"/>
      <c r="G59" s="11"/>
    </row>
    <row r="60" spans="4:33" x14ac:dyDescent="0.2">
      <c r="F60" s="17"/>
      <c r="G60" s="11"/>
    </row>
    <row r="61" spans="4:33" x14ac:dyDescent="0.2">
      <c r="F61" s="17"/>
      <c r="G61" s="11"/>
    </row>
    <row r="62" spans="4:33" x14ac:dyDescent="0.2">
      <c r="F62" s="17"/>
      <c r="G62" s="11"/>
    </row>
    <row r="63" spans="4:33" x14ac:dyDescent="0.2">
      <c r="F63" s="17"/>
      <c r="G63" s="11"/>
    </row>
    <row r="64" spans="4:33" x14ac:dyDescent="0.2">
      <c r="F64" s="17"/>
      <c r="G64" s="11"/>
    </row>
    <row r="65" spans="6:7" x14ac:dyDescent="0.2">
      <c r="F65" s="17"/>
      <c r="G65" s="11"/>
    </row>
    <row r="66" spans="6:7" x14ac:dyDescent="0.2">
      <c r="F66" s="17"/>
      <c r="G66" s="11"/>
    </row>
    <row r="67" spans="6:7" x14ac:dyDescent="0.2">
      <c r="F67" s="17"/>
      <c r="G67" s="11"/>
    </row>
    <row r="68" spans="6:7" x14ac:dyDescent="0.2">
      <c r="F68" s="17"/>
      <c r="G68" s="11"/>
    </row>
    <row r="69" spans="6:7" x14ac:dyDescent="0.2">
      <c r="F69" s="17"/>
      <c r="G69" s="11"/>
    </row>
    <row r="70" spans="6:7" x14ac:dyDescent="0.2">
      <c r="F70" s="17"/>
      <c r="G70" s="11"/>
    </row>
    <row r="71" spans="6:7" x14ac:dyDescent="0.2">
      <c r="F71" s="17"/>
      <c r="G71" s="11"/>
    </row>
    <row r="72" spans="6:7" x14ac:dyDescent="0.2">
      <c r="F72" s="17"/>
      <c r="G72" s="11"/>
    </row>
    <row r="73" spans="6:7" x14ac:dyDescent="0.2">
      <c r="F73" s="17"/>
      <c r="G73" s="11"/>
    </row>
    <row r="74" spans="6:7" x14ac:dyDescent="0.2">
      <c r="F74" s="17"/>
      <c r="G74" s="11"/>
    </row>
    <row r="75" spans="6:7" x14ac:dyDescent="0.2">
      <c r="F75" s="17"/>
      <c r="G75" s="11"/>
    </row>
    <row r="76" spans="6:7" x14ac:dyDescent="0.2">
      <c r="F76" s="17"/>
      <c r="G76" s="11"/>
    </row>
    <row r="77" spans="6:7" x14ac:dyDescent="0.2">
      <c r="F77" s="17"/>
      <c r="G77" s="11"/>
    </row>
    <row r="78" spans="6:7" x14ac:dyDescent="0.2">
      <c r="F78" s="17"/>
      <c r="G78" s="11"/>
    </row>
    <row r="79" spans="6:7" x14ac:dyDescent="0.2">
      <c r="F79" s="17"/>
      <c r="G79" s="11"/>
    </row>
    <row r="80" spans="6:7" x14ac:dyDescent="0.2">
      <c r="F80" s="17"/>
      <c r="G80" s="11"/>
    </row>
    <row r="81" spans="6:7" x14ac:dyDescent="0.2">
      <c r="F81" s="17"/>
      <c r="G81" s="11"/>
    </row>
    <row r="82" spans="6:7" x14ac:dyDescent="0.2">
      <c r="F82" s="17"/>
      <c r="G82" s="11"/>
    </row>
    <row r="83" spans="6:7" x14ac:dyDescent="0.2">
      <c r="F83" s="17"/>
      <c r="G83" s="11"/>
    </row>
    <row r="84" spans="6:7" x14ac:dyDescent="0.2">
      <c r="F84" s="17"/>
      <c r="G84" s="11"/>
    </row>
    <row r="85" spans="6:7" x14ac:dyDescent="0.2">
      <c r="F85" s="17"/>
      <c r="G85" s="11"/>
    </row>
    <row r="86" spans="6:7" x14ac:dyDescent="0.2">
      <c r="F86" s="17"/>
      <c r="G86" s="11"/>
    </row>
    <row r="87" spans="6:7" x14ac:dyDescent="0.2">
      <c r="F87" s="17"/>
      <c r="G87" s="11"/>
    </row>
    <row r="88" spans="6:7" x14ac:dyDescent="0.2">
      <c r="F88" s="17"/>
      <c r="G88" s="11"/>
    </row>
    <row r="89" spans="6:7" x14ac:dyDescent="0.2">
      <c r="F89" s="17"/>
      <c r="G89" s="11"/>
    </row>
    <row r="90" spans="6:7" x14ac:dyDescent="0.2">
      <c r="F90" s="17"/>
      <c r="G90" s="11"/>
    </row>
    <row r="91" spans="6:7" x14ac:dyDescent="0.2">
      <c r="F91" s="17"/>
      <c r="G91" s="11"/>
    </row>
    <row r="92" spans="6:7" x14ac:dyDescent="0.2">
      <c r="F92" s="17"/>
      <c r="G92" s="11"/>
    </row>
    <row r="93" spans="6:7" x14ac:dyDescent="0.2">
      <c r="F93" s="17"/>
      <c r="G93" s="11"/>
    </row>
    <row r="94" spans="6:7" x14ac:dyDescent="0.2">
      <c r="F94" s="17"/>
      <c r="G94" s="11"/>
    </row>
    <row r="95" spans="6:7" x14ac:dyDescent="0.2">
      <c r="F95" s="17"/>
      <c r="G95" s="11"/>
    </row>
    <row r="96" spans="6:7" x14ac:dyDescent="0.2">
      <c r="F96" s="17"/>
      <c r="G96" s="11"/>
    </row>
    <row r="97" spans="6:7" x14ac:dyDescent="0.2">
      <c r="F97" s="17"/>
      <c r="G97" s="11"/>
    </row>
    <row r="98" spans="6:7" x14ac:dyDescent="0.2">
      <c r="F98" s="17"/>
      <c r="G98" s="11"/>
    </row>
    <row r="99" spans="6:7" x14ac:dyDescent="0.2">
      <c r="F99" s="17"/>
      <c r="G99" s="11"/>
    </row>
    <row r="100" spans="6:7" x14ac:dyDescent="0.2">
      <c r="F100" s="17"/>
      <c r="G100" s="11"/>
    </row>
    <row r="101" spans="6:7" x14ac:dyDescent="0.2">
      <c r="F101" s="17"/>
      <c r="G101" s="11"/>
    </row>
    <row r="102" spans="6:7" x14ac:dyDescent="0.2">
      <c r="F102" s="17"/>
      <c r="G102" s="11"/>
    </row>
    <row r="103" spans="6:7" x14ac:dyDescent="0.2">
      <c r="F103" s="17"/>
      <c r="G103" s="11"/>
    </row>
    <row r="104" spans="6:7" x14ac:dyDescent="0.2">
      <c r="F104" s="17"/>
      <c r="G104" s="11"/>
    </row>
    <row r="105" spans="6:7" x14ac:dyDescent="0.2">
      <c r="F105" s="17"/>
      <c r="G105" s="11"/>
    </row>
    <row r="106" spans="6:7" x14ac:dyDescent="0.2">
      <c r="F106" s="17"/>
      <c r="G106" s="11"/>
    </row>
    <row r="107" spans="6:7" x14ac:dyDescent="0.2">
      <c r="F107" s="17"/>
      <c r="G107" s="11"/>
    </row>
    <row r="108" spans="6:7" x14ac:dyDescent="0.2">
      <c r="F108" s="17"/>
      <c r="G108" s="11"/>
    </row>
    <row r="109" spans="6:7" x14ac:dyDescent="0.2">
      <c r="F109" s="17"/>
      <c r="G109" s="11"/>
    </row>
    <row r="110" spans="6:7" x14ac:dyDescent="0.2">
      <c r="F110" s="17"/>
      <c r="G110" s="11"/>
    </row>
    <row r="111" spans="6:7" x14ac:dyDescent="0.2">
      <c r="F111" s="17"/>
      <c r="G111" s="11"/>
    </row>
    <row r="112" spans="6:7" x14ac:dyDescent="0.2">
      <c r="F112" s="17"/>
      <c r="G112" s="11"/>
    </row>
    <row r="113" spans="6:7" x14ac:dyDescent="0.2">
      <c r="F113" s="17"/>
      <c r="G113" s="11"/>
    </row>
    <row r="114" spans="6:7" x14ac:dyDescent="0.2">
      <c r="F114" s="17"/>
      <c r="G114" s="11"/>
    </row>
    <row r="115" spans="6:7" x14ac:dyDescent="0.2">
      <c r="F115" s="17"/>
      <c r="G115" s="11"/>
    </row>
    <row r="116" spans="6:7" x14ac:dyDescent="0.2">
      <c r="F116" s="17"/>
      <c r="G116" s="11"/>
    </row>
    <row r="117" spans="6:7" x14ac:dyDescent="0.2">
      <c r="F117" s="17"/>
      <c r="G117" s="11"/>
    </row>
    <row r="118" spans="6:7" x14ac:dyDescent="0.2">
      <c r="F118" s="17"/>
      <c r="G118" s="11"/>
    </row>
    <row r="119" spans="6:7" x14ac:dyDescent="0.2">
      <c r="F119" s="17"/>
      <c r="G119" s="11"/>
    </row>
    <row r="120" spans="6:7" x14ac:dyDescent="0.2">
      <c r="F120" s="17"/>
      <c r="G120" s="11"/>
    </row>
    <row r="121" spans="6:7" x14ac:dyDescent="0.2">
      <c r="F121" s="17"/>
      <c r="G121" s="11"/>
    </row>
    <row r="122" spans="6:7" x14ac:dyDescent="0.2">
      <c r="F122" s="17"/>
      <c r="G122" s="11"/>
    </row>
    <row r="123" spans="6:7" x14ac:dyDescent="0.2">
      <c r="F123" s="17"/>
      <c r="G123" s="11"/>
    </row>
    <row r="124" spans="6:7" x14ac:dyDescent="0.2">
      <c r="F124" s="17"/>
      <c r="G124" s="11"/>
    </row>
    <row r="125" spans="6:7" x14ac:dyDescent="0.2">
      <c r="F125" s="17"/>
      <c r="G125" s="11"/>
    </row>
    <row r="126" spans="6:7" x14ac:dyDescent="0.2">
      <c r="F126" s="17"/>
      <c r="G126" s="11"/>
    </row>
    <row r="127" spans="6:7" x14ac:dyDescent="0.2">
      <c r="F127" s="17"/>
      <c r="G127" s="11"/>
    </row>
    <row r="128" spans="6:7" x14ac:dyDescent="0.2">
      <c r="F128" s="17"/>
      <c r="G128" s="11"/>
    </row>
    <row r="129" spans="6:7" x14ac:dyDescent="0.2">
      <c r="F129" s="17"/>
      <c r="G129" s="11"/>
    </row>
    <row r="130" spans="6:7" x14ac:dyDescent="0.2">
      <c r="F130" s="17"/>
      <c r="G130" s="11"/>
    </row>
    <row r="131" spans="6:7" x14ac:dyDescent="0.2">
      <c r="F131" s="17"/>
      <c r="G131" s="11"/>
    </row>
    <row r="132" spans="6:7" x14ac:dyDescent="0.2">
      <c r="F132" s="17"/>
      <c r="G132" s="11"/>
    </row>
    <row r="133" spans="6:7" x14ac:dyDescent="0.2">
      <c r="F133" s="17"/>
      <c r="G133" s="11"/>
    </row>
    <row r="134" spans="6:7" x14ac:dyDescent="0.2">
      <c r="F134" s="17"/>
      <c r="G134" s="11"/>
    </row>
    <row r="135" spans="6:7" x14ac:dyDescent="0.2">
      <c r="F135" s="17"/>
      <c r="G135" s="11"/>
    </row>
    <row r="136" spans="6:7" x14ac:dyDescent="0.2">
      <c r="F136" s="17"/>
      <c r="G136" s="11"/>
    </row>
    <row r="137" spans="6:7" x14ac:dyDescent="0.2">
      <c r="F137" s="17"/>
      <c r="G137" s="11"/>
    </row>
    <row r="138" spans="6:7" x14ac:dyDescent="0.2">
      <c r="F138" s="17"/>
      <c r="G138" s="11"/>
    </row>
    <row r="139" spans="6:7" x14ac:dyDescent="0.2">
      <c r="F139" s="17"/>
      <c r="G139" s="11"/>
    </row>
    <row r="140" spans="6:7" x14ac:dyDescent="0.2">
      <c r="F140" s="17"/>
      <c r="G140" s="11"/>
    </row>
    <row r="141" spans="6:7" x14ac:dyDescent="0.2">
      <c r="F141" s="17"/>
      <c r="G141" s="11"/>
    </row>
    <row r="142" spans="6:7" x14ac:dyDescent="0.2">
      <c r="F142" s="17"/>
      <c r="G142" s="11"/>
    </row>
    <row r="143" spans="6:7" x14ac:dyDescent="0.2">
      <c r="F143" s="17"/>
      <c r="G143" s="11"/>
    </row>
    <row r="144" spans="6:7" x14ac:dyDescent="0.2">
      <c r="F144" s="17"/>
      <c r="G144" s="11"/>
    </row>
    <row r="145" spans="6:7" x14ac:dyDescent="0.2">
      <c r="F145" s="17"/>
      <c r="G145" s="11"/>
    </row>
    <row r="146" spans="6:7" x14ac:dyDescent="0.2">
      <c r="F146" s="17"/>
      <c r="G146" s="11"/>
    </row>
    <row r="147" spans="6:7" x14ac:dyDescent="0.2">
      <c r="F147" s="17"/>
      <c r="G147" s="11"/>
    </row>
    <row r="148" spans="6:7" x14ac:dyDescent="0.2">
      <c r="F148" s="17"/>
    </row>
    <row r="149" spans="6:7" x14ac:dyDescent="0.2">
      <c r="F149" s="17"/>
    </row>
    <row r="150" spans="6:7" x14ac:dyDescent="0.2">
      <c r="F150" s="17"/>
    </row>
    <row r="151" spans="6:7" x14ac:dyDescent="0.2">
      <c r="F151" s="17"/>
    </row>
    <row r="152" spans="6:7" x14ac:dyDescent="0.2">
      <c r="F152" s="17"/>
    </row>
    <row r="153" spans="6:7" x14ac:dyDescent="0.2">
      <c r="F153" s="17"/>
    </row>
    <row r="154" spans="6:7" x14ac:dyDescent="0.2">
      <c r="F154" s="17"/>
    </row>
    <row r="155" spans="6:7" x14ac:dyDescent="0.2">
      <c r="F155" s="17"/>
    </row>
    <row r="156" spans="6:7" x14ac:dyDescent="0.2">
      <c r="F156" s="17"/>
    </row>
    <row r="157" spans="6:7" x14ac:dyDescent="0.2">
      <c r="F157" s="17"/>
    </row>
    <row r="158" spans="6:7" x14ac:dyDescent="0.2">
      <c r="F158" s="17"/>
    </row>
    <row r="159" spans="6:7" x14ac:dyDescent="0.2">
      <c r="F159" s="17"/>
    </row>
    <row r="160" spans="6:7" x14ac:dyDescent="0.2">
      <c r="F160" s="17"/>
    </row>
    <row r="161" spans="6:6" x14ac:dyDescent="0.2">
      <c r="F161" s="17"/>
    </row>
    <row r="162" spans="6:6" x14ac:dyDescent="0.2">
      <c r="F162" s="17"/>
    </row>
    <row r="163" spans="6:6" x14ac:dyDescent="0.2">
      <c r="F163" s="17"/>
    </row>
    <row r="164" spans="6:6" x14ac:dyDescent="0.2">
      <c r="F164" s="17"/>
    </row>
    <row r="165" spans="6:6" x14ac:dyDescent="0.2">
      <c r="F165" s="17"/>
    </row>
    <row r="166" spans="6:6" x14ac:dyDescent="0.2">
      <c r="F166" s="17"/>
    </row>
    <row r="167" spans="6:6" x14ac:dyDescent="0.2">
      <c r="F167" s="17"/>
    </row>
    <row r="168" spans="6:6" x14ac:dyDescent="0.2">
      <c r="F168" s="17"/>
    </row>
    <row r="169" spans="6:6" x14ac:dyDescent="0.2">
      <c r="F169" s="17"/>
    </row>
    <row r="170" spans="6:6" x14ac:dyDescent="0.2">
      <c r="F170" s="17"/>
    </row>
    <row r="171" spans="6:6" x14ac:dyDescent="0.2">
      <c r="F171" s="17"/>
    </row>
    <row r="172" spans="6:6" x14ac:dyDescent="0.2">
      <c r="F172" s="17"/>
    </row>
    <row r="173" spans="6:6" x14ac:dyDescent="0.2">
      <c r="F173" s="17"/>
    </row>
    <row r="174" spans="6:6" x14ac:dyDescent="0.2">
      <c r="F174" s="17"/>
    </row>
    <row r="175" spans="6:6" x14ac:dyDescent="0.2">
      <c r="F175" s="17"/>
    </row>
    <row r="176" spans="6:6" x14ac:dyDescent="0.2">
      <c r="F176" s="17"/>
    </row>
    <row r="177" spans="6:6" x14ac:dyDescent="0.2">
      <c r="F177" s="17"/>
    </row>
    <row r="178" spans="6:6" x14ac:dyDescent="0.2">
      <c r="F178" s="17"/>
    </row>
    <row r="179" spans="6:6" x14ac:dyDescent="0.2">
      <c r="F179" s="17"/>
    </row>
    <row r="180" spans="6:6" x14ac:dyDescent="0.2">
      <c r="F180" s="17"/>
    </row>
    <row r="181" spans="6:6" x14ac:dyDescent="0.2">
      <c r="F181" s="17"/>
    </row>
    <row r="182" spans="6:6" x14ac:dyDescent="0.2">
      <c r="F182" s="17"/>
    </row>
    <row r="183" spans="6:6" x14ac:dyDescent="0.2">
      <c r="F183" s="17"/>
    </row>
    <row r="184" spans="6:6" x14ac:dyDescent="0.2">
      <c r="F184" s="17"/>
    </row>
    <row r="185" spans="6:6" x14ac:dyDescent="0.2">
      <c r="F185" s="17"/>
    </row>
    <row r="186" spans="6:6" x14ac:dyDescent="0.2">
      <c r="F186" s="17"/>
    </row>
    <row r="187" spans="6:6" x14ac:dyDescent="0.2">
      <c r="F187" s="17"/>
    </row>
    <row r="188" spans="6:6" x14ac:dyDescent="0.2">
      <c r="F188" s="17"/>
    </row>
    <row r="189" spans="6:6" x14ac:dyDescent="0.2">
      <c r="F189" s="17"/>
    </row>
    <row r="190" spans="6:6" x14ac:dyDescent="0.2">
      <c r="F190" s="17"/>
    </row>
    <row r="191" spans="6:6" x14ac:dyDescent="0.2">
      <c r="F191" s="17"/>
    </row>
    <row r="192" spans="6:6" x14ac:dyDescent="0.2">
      <c r="F192" s="17"/>
    </row>
    <row r="193" spans="6:6" x14ac:dyDescent="0.2">
      <c r="F193" s="17"/>
    </row>
    <row r="194" spans="6:6" x14ac:dyDescent="0.2">
      <c r="F194" s="17"/>
    </row>
    <row r="195" spans="6:6" x14ac:dyDescent="0.2">
      <c r="F195" s="17"/>
    </row>
    <row r="196" spans="6:6" x14ac:dyDescent="0.2">
      <c r="F196" s="17"/>
    </row>
    <row r="197" spans="6:6" x14ac:dyDescent="0.2">
      <c r="F197" s="17"/>
    </row>
    <row r="198" spans="6:6" x14ac:dyDescent="0.2">
      <c r="F198" s="17"/>
    </row>
    <row r="199" spans="6:6" x14ac:dyDescent="0.2">
      <c r="F199" s="17"/>
    </row>
    <row r="200" spans="6:6" x14ac:dyDescent="0.2">
      <c r="F200" s="17"/>
    </row>
    <row r="201" spans="6:6" x14ac:dyDescent="0.2">
      <c r="F201" s="17"/>
    </row>
    <row r="202" spans="6:6" x14ac:dyDescent="0.2">
      <c r="F202" s="17"/>
    </row>
    <row r="203" spans="6:6" x14ac:dyDescent="0.2">
      <c r="F203" s="17"/>
    </row>
    <row r="204" spans="6:6" x14ac:dyDescent="0.2">
      <c r="F204" s="17"/>
    </row>
    <row r="205" spans="6:6" x14ac:dyDescent="0.2">
      <c r="F205" s="17"/>
    </row>
    <row r="206" spans="6:6" x14ac:dyDescent="0.2">
      <c r="F206" s="17"/>
    </row>
    <row r="207" spans="6:6" x14ac:dyDescent="0.2">
      <c r="F207" s="17"/>
    </row>
    <row r="208" spans="6:6" x14ac:dyDescent="0.2">
      <c r="F208" s="17"/>
    </row>
    <row r="209" spans="6:6" x14ac:dyDescent="0.2">
      <c r="F209" s="17"/>
    </row>
    <row r="210" spans="6:6" x14ac:dyDescent="0.2">
      <c r="F210" s="17"/>
    </row>
    <row r="211" spans="6:6" x14ac:dyDescent="0.2">
      <c r="F211" s="17"/>
    </row>
    <row r="212" spans="6:6" x14ac:dyDescent="0.2">
      <c r="F212" s="17"/>
    </row>
    <row r="213" spans="6:6" x14ac:dyDescent="0.2">
      <c r="F213" s="17"/>
    </row>
    <row r="214" spans="6:6" x14ac:dyDescent="0.2">
      <c r="F214" s="17"/>
    </row>
    <row r="215" spans="6:6" x14ac:dyDescent="0.2">
      <c r="F215" s="17"/>
    </row>
    <row r="216" spans="6:6" x14ac:dyDescent="0.2">
      <c r="F216" s="17"/>
    </row>
    <row r="217" spans="6:6" x14ac:dyDescent="0.2">
      <c r="F217" s="17"/>
    </row>
    <row r="218" spans="6:6" x14ac:dyDescent="0.2">
      <c r="F218" s="17"/>
    </row>
    <row r="219" spans="6:6" x14ac:dyDescent="0.2">
      <c r="F219" s="17"/>
    </row>
    <row r="220" spans="6:6" x14ac:dyDescent="0.2">
      <c r="F220" s="17"/>
    </row>
    <row r="221" spans="6:6" x14ac:dyDescent="0.2">
      <c r="F221" s="17"/>
    </row>
    <row r="222" spans="6:6" x14ac:dyDescent="0.2">
      <c r="F222" s="17"/>
    </row>
    <row r="223" spans="6:6" x14ac:dyDescent="0.2">
      <c r="F223" s="17"/>
    </row>
    <row r="224" spans="6:6" x14ac:dyDescent="0.2">
      <c r="F224" s="17"/>
    </row>
    <row r="225" spans="6:6" x14ac:dyDescent="0.2">
      <c r="F225" s="17"/>
    </row>
    <row r="226" spans="6:6" x14ac:dyDescent="0.2">
      <c r="F226" s="17"/>
    </row>
    <row r="227" spans="6:6" x14ac:dyDescent="0.2">
      <c r="F227" s="17"/>
    </row>
    <row r="228" spans="6:6" x14ac:dyDescent="0.2">
      <c r="F228" s="17"/>
    </row>
    <row r="229" spans="6:6" x14ac:dyDescent="0.2">
      <c r="F229" s="17"/>
    </row>
    <row r="230" spans="6:6" x14ac:dyDescent="0.2">
      <c r="F230" s="17"/>
    </row>
    <row r="231" spans="6:6" x14ac:dyDescent="0.2">
      <c r="F231" s="17"/>
    </row>
    <row r="232" spans="6:6" x14ac:dyDescent="0.2">
      <c r="F232" s="17"/>
    </row>
    <row r="233" spans="6:6" x14ac:dyDescent="0.2">
      <c r="F233" s="17"/>
    </row>
    <row r="234" spans="6:6" x14ac:dyDescent="0.2">
      <c r="F234" s="17"/>
    </row>
    <row r="235" spans="6:6" x14ac:dyDescent="0.2">
      <c r="F235" s="17"/>
    </row>
    <row r="236" spans="6:6" x14ac:dyDescent="0.2">
      <c r="F236" s="17"/>
    </row>
    <row r="237" spans="6:6" x14ac:dyDescent="0.2">
      <c r="F237" s="17"/>
    </row>
    <row r="238" spans="6:6" x14ac:dyDescent="0.2">
      <c r="F238" s="17"/>
    </row>
    <row r="239" spans="6:6" x14ac:dyDescent="0.2">
      <c r="F239" s="17"/>
    </row>
    <row r="240" spans="6:6" x14ac:dyDescent="0.2">
      <c r="F240" s="17"/>
    </row>
    <row r="241" spans="6:6" x14ac:dyDescent="0.2">
      <c r="F241" s="17"/>
    </row>
    <row r="242" spans="6:6" x14ac:dyDescent="0.2">
      <c r="F242" s="17"/>
    </row>
    <row r="243" spans="6:6" x14ac:dyDescent="0.2">
      <c r="F243" s="17"/>
    </row>
    <row r="244" spans="6:6" x14ac:dyDescent="0.2">
      <c r="F244" s="17"/>
    </row>
    <row r="245" spans="6:6" x14ac:dyDescent="0.2">
      <c r="F245" s="17"/>
    </row>
    <row r="246" spans="6:6" x14ac:dyDescent="0.2">
      <c r="F246" s="17"/>
    </row>
    <row r="247" spans="6:6" x14ac:dyDescent="0.2">
      <c r="F247" s="17"/>
    </row>
    <row r="248" spans="6:6" x14ac:dyDescent="0.2">
      <c r="F248" s="17"/>
    </row>
    <row r="249" spans="6:6" x14ac:dyDescent="0.2">
      <c r="F249" s="17"/>
    </row>
    <row r="250" spans="6:6" x14ac:dyDescent="0.2">
      <c r="F250" s="17"/>
    </row>
    <row r="251" spans="6:6" x14ac:dyDescent="0.2">
      <c r="F251" s="17"/>
    </row>
    <row r="252" spans="6:6" x14ac:dyDescent="0.2">
      <c r="F252" s="17"/>
    </row>
    <row r="253" spans="6:6" x14ac:dyDescent="0.2">
      <c r="F253" s="17"/>
    </row>
    <row r="254" spans="6:6" x14ac:dyDescent="0.2">
      <c r="F254" s="17"/>
    </row>
    <row r="255" spans="6:6" x14ac:dyDescent="0.2">
      <c r="F255" s="17"/>
    </row>
    <row r="256" spans="6:6" x14ac:dyDescent="0.2">
      <c r="F256" s="17"/>
    </row>
    <row r="257" spans="6:6" x14ac:dyDescent="0.2">
      <c r="F257" s="17"/>
    </row>
    <row r="258" spans="6:6" x14ac:dyDescent="0.2">
      <c r="F258" s="17"/>
    </row>
    <row r="259" spans="6:6" x14ac:dyDescent="0.2">
      <c r="F259" s="17"/>
    </row>
    <row r="260" spans="6:6" x14ac:dyDescent="0.2">
      <c r="F260" s="17"/>
    </row>
    <row r="261" spans="6:6" x14ac:dyDescent="0.2">
      <c r="F261" s="17"/>
    </row>
    <row r="262" spans="6:6" x14ac:dyDescent="0.2">
      <c r="F262" s="17"/>
    </row>
    <row r="263" spans="6:6" x14ac:dyDescent="0.2">
      <c r="F263" s="17"/>
    </row>
    <row r="264" spans="6:6" x14ac:dyDescent="0.2">
      <c r="F264" s="17"/>
    </row>
    <row r="265" spans="6:6" x14ac:dyDescent="0.2">
      <c r="F265" s="17"/>
    </row>
    <row r="266" spans="6:6" x14ac:dyDescent="0.2">
      <c r="F266" s="17"/>
    </row>
    <row r="267" spans="6:6" x14ac:dyDescent="0.2">
      <c r="F267" s="17"/>
    </row>
    <row r="268" spans="6:6" x14ac:dyDescent="0.2">
      <c r="F268" s="17"/>
    </row>
    <row r="269" spans="6:6" x14ac:dyDescent="0.2">
      <c r="F269" s="17"/>
    </row>
    <row r="270" spans="6:6" x14ac:dyDescent="0.2">
      <c r="F270" s="17"/>
    </row>
    <row r="271" spans="6:6" x14ac:dyDescent="0.2">
      <c r="F271" s="17"/>
    </row>
    <row r="272" spans="6:6" x14ac:dyDescent="0.2">
      <c r="F272" s="17"/>
    </row>
    <row r="273" spans="6:6" x14ac:dyDescent="0.2">
      <c r="F273" s="17"/>
    </row>
    <row r="274" spans="6:6" x14ac:dyDescent="0.2">
      <c r="F274" s="17"/>
    </row>
    <row r="275" spans="6:6" x14ac:dyDescent="0.2">
      <c r="F275" s="17"/>
    </row>
    <row r="276" spans="6:6" x14ac:dyDescent="0.2">
      <c r="F276" s="17"/>
    </row>
    <row r="277" spans="6:6" x14ac:dyDescent="0.2">
      <c r="F277" s="17"/>
    </row>
    <row r="278" spans="6:6" x14ac:dyDescent="0.2">
      <c r="F278" s="17"/>
    </row>
    <row r="279" spans="6:6" x14ac:dyDescent="0.2">
      <c r="F279" s="17"/>
    </row>
    <row r="280" spans="6:6" x14ac:dyDescent="0.2">
      <c r="F280" s="17"/>
    </row>
    <row r="281" spans="6:6" x14ac:dyDescent="0.2">
      <c r="F281" s="17"/>
    </row>
    <row r="282" spans="6:6" x14ac:dyDescent="0.2">
      <c r="F282" s="17"/>
    </row>
    <row r="283" spans="6:6" x14ac:dyDescent="0.2">
      <c r="F283" s="17"/>
    </row>
    <row r="284" spans="6:6" x14ac:dyDescent="0.2">
      <c r="F284" s="17"/>
    </row>
    <row r="285" spans="6:6" x14ac:dyDescent="0.2">
      <c r="F285" s="17"/>
    </row>
    <row r="286" spans="6:6" x14ac:dyDescent="0.2">
      <c r="F286" s="17"/>
    </row>
    <row r="287" spans="6:6" x14ac:dyDescent="0.2">
      <c r="F287" s="17"/>
    </row>
    <row r="288" spans="6:6" x14ac:dyDescent="0.2">
      <c r="F288" s="17"/>
    </row>
    <row r="289" spans="6:6" x14ac:dyDescent="0.2">
      <c r="F289" s="17"/>
    </row>
    <row r="290" spans="6:6" x14ac:dyDescent="0.2">
      <c r="F290" s="17"/>
    </row>
    <row r="291" spans="6:6" x14ac:dyDescent="0.2">
      <c r="F291" s="17"/>
    </row>
    <row r="292" spans="6:6" x14ac:dyDescent="0.2">
      <c r="F292" s="17"/>
    </row>
    <row r="293" spans="6:6" x14ac:dyDescent="0.2">
      <c r="F293" s="17"/>
    </row>
    <row r="294" spans="6:6" x14ac:dyDescent="0.2">
      <c r="F294" s="17"/>
    </row>
    <row r="295" spans="6:6" x14ac:dyDescent="0.2">
      <c r="F295" s="17"/>
    </row>
    <row r="296" spans="6:6" x14ac:dyDescent="0.2">
      <c r="F296" s="17"/>
    </row>
    <row r="297" spans="6:6" x14ac:dyDescent="0.2">
      <c r="F297" s="17"/>
    </row>
    <row r="298" spans="6:6" x14ac:dyDescent="0.2">
      <c r="F298" s="17"/>
    </row>
    <row r="299" spans="6:6" x14ac:dyDescent="0.2">
      <c r="F299" s="17"/>
    </row>
    <row r="300" spans="6:6" x14ac:dyDescent="0.2">
      <c r="F300" s="17"/>
    </row>
    <row r="301" spans="6:6" x14ac:dyDescent="0.2">
      <c r="F301" s="17"/>
    </row>
    <row r="302" spans="6:6" x14ac:dyDescent="0.2">
      <c r="F302" s="17"/>
    </row>
    <row r="303" spans="6:6" x14ac:dyDescent="0.2">
      <c r="F303" s="17"/>
    </row>
    <row r="304" spans="6:6" x14ac:dyDescent="0.2">
      <c r="F304" s="17"/>
    </row>
    <row r="305" spans="6:6" x14ac:dyDescent="0.2">
      <c r="F305" s="17"/>
    </row>
    <row r="306" spans="6:6" x14ac:dyDescent="0.2">
      <c r="F306" s="17"/>
    </row>
    <row r="307" spans="6:6" x14ac:dyDescent="0.2">
      <c r="F307" s="17"/>
    </row>
    <row r="308" spans="6:6" x14ac:dyDescent="0.2">
      <c r="F308" s="17"/>
    </row>
    <row r="309" spans="6:6" x14ac:dyDescent="0.2">
      <c r="F309" s="17"/>
    </row>
    <row r="310" spans="6:6" x14ac:dyDescent="0.2">
      <c r="F310" s="17"/>
    </row>
    <row r="311" spans="6:6" x14ac:dyDescent="0.2">
      <c r="F311" s="17"/>
    </row>
    <row r="312" spans="6:6" x14ac:dyDescent="0.2">
      <c r="F312" s="17"/>
    </row>
    <row r="313" spans="6:6" x14ac:dyDescent="0.2">
      <c r="F313" s="17"/>
    </row>
    <row r="314" spans="6:6" x14ac:dyDescent="0.2">
      <c r="F314" s="17"/>
    </row>
    <row r="315" spans="6:6" x14ac:dyDescent="0.2">
      <c r="F315" s="17"/>
    </row>
    <row r="316" spans="6:6" x14ac:dyDescent="0.2">
      <c r="F316" s="17"/>
    </row>
    <row r="317" spans="6:6" x14ac:dyDescent="0.2">
      <c r="F317" s="17"/>
    </row>
    <row r="318" spans="6:6" x14ac:dyDescent="0.2">
      <c r="F318" s="17"/>
    </row>
    <row r="319" spans="6:6" x14ac:dyDescent="0.2">
      <c r="F319" s="17"/>
    </row>
    <row r="320" spans="6:6" x14ac:dyDescent="0.2">
      <c r="F320" s="17"/>
    </row>
    <row r="321" spans="6:6" x14ac:dyDescent="0.2">
      <c r="F321" s="17"/>
    </row>
    <row r="322" spans="6:6" x14ac:dyDescent="0.2">
      <c r="F322" s="17"/>
    </row>
    <row r="323" spans="6:6" x14ac:dyDescent="0.2">
      <c r="F323" s="17"/>
    </row>
    <row r="324" spans="6:6" x14ac:dyDescent="0.2">
      <c r="F324" s="17"/>
    </row>
    <row r="325" spans="6:6" x14ac:dyDescent="0.2">
      <c r="F325" s="17"/>
    </row>
    <row r="326" spans="6:6" x14ac:dyDescent="0.2">
      <c r="F326" s="17"/>
    </row>
    <row r="327" spans="6:6" x14ac:dyDescent="0.2">
      <c r="F327" s="17"/>
    </row>
    <row r="328" spans="6:6" x14ac:dyDescent="0.2">
      <c r="F328" s="17"/>
    </row>
    <row r="329" spans="6:6" x14ac:dyDescent="0.2">
      <c r="F329" s="17"/>
    </row>
    <row r="330" spans="6:6" x14ac:dyDescent="0.2">
      <c r="F330" s="17"/>
    </row>
    <row r="331" spans="6:6" x14ac:dyDescent="0.2">
      <c r="F331" s="17"/>
    </row>
    <row r="332" spans="6:6" x14ac:dyDescent="0.2">
      <c r="F332" s="17"/>
    </row>
    <row r="333" spans="6:6" x14ac:dyDescent="0.2">
      <c r="F333" s="17"/>
    </row>
    <row r="334" spans="6:6" x14ac:dyDescent="0.2">
      <c r="F334" s="17"/>
    </row>
    <row r="335" spans="6:6" x14ac:dyDescent="0.2">
      <c r="F335" s="17"/>
    </row>
    <row r="336" spans="6:6" x14ac:dyDescent="0.2">
      <c r="F336" s="17"/>
    </row>
    <row r="337" spans="6:6" x14ac:dyDescent="0.2">
      <c r="F337" s="17"/>
    </row>
    <row r="338" spans="6:6" x14ac:dyDescent="0.2">
      <c r="F338" s="17"/>
    </row>
    <row r="339" spans="6:6" x14ac:dyDescent="0.2">
      <c r="F339" s="17"/>
    </row>
    <row r="340" spans="6:6" x14ac:dyDescent="0.2">
      <c r="F340" s="17"/>
    </row>
    <row r="341" spans="6:6" x14ac:dyDescent="0.2">
      <c r="F341" s="17"/>
    </row>
    <row r="342" spans="6:6" x14ac:dyDescent="0.2">
      <c r="F342" s="17"/>
    </row>
    <row r="343" spans="6:6" x14ac:dyDescent="0.2">
      <c r="F343" s="17"/>
    </row>
    <row r="344" spans="6:6" x14ac:dyDescent="0.2">
      <c r="F344" s="17"/>
    </row>
    <row r="345" spans="6:6" x14ac:dyDescent="0.2">
      <c r="F345" s="17"/>
    </row>
    <row r="346" spans="6:6" x14ac:dyDescent="0.2">
      <c r="F346" s="17"/>
    </row>
    <row r="347" spans="6:6" x14ac:dyDescent="0.2">
      <c r="F347" s="17"/>
    </row>
    <row r="348" spans="6:6" x14ac:dyDescent="0.2">
      <c r="F348" s="17"/>
    </row>
    <row r="349" spans="6:6" x14ac:dyDescent="0.2">
      <c r="F349" s="17"/>
    </row>
    <row r="350" spans="6:6" x14ac:dyDescent="0.2">
      <c r="F350" s="17"/>
    </row>
    <row r="351" spans="6:6" x14ac:dyDescent="0.2">
      <c r="F351" s="17"/>
    </row>
    <row r="352" spans="6:6" x14ac:dyDescent="0.2">
      <c r="F352" s="17"/>
    </row>
    <row r="353" spans="6:6" x14ac:dyDescent="0.2">
      <c r="F353" s="17"/>
    </row>
    <row r="354" spans="6:6" x14ac:dyDescent="0.2">
      <c r="F354" s="17"/>
    </row>
    <row r="355" spans="6:6" x14ac:dyDescent="0.2">
      <c r="F355" s="17"/>
    </row>
    <row r="356" spans="6:6" x14ac:dyDescent="0.2">
      <c r="F356" s="17"/>
    </row>
    <row r="357" spans="6:6" x14ac:dyDescent="0.2">
      <c r="F357" s="17"/>
    </row>
    <row r="358" spans="6:6" x14ac:dyDescent="0.2">
      <c r="F358" s="17"/>
    </row>
    <row r="359" spans="6:6" x14ac:dyDescent="0.2">
      <c r="F359" s="17"/>
    </row>
    <row r="360" spans="6:6" x14ac:dyDescent="0.2">
      <c r="F360" s="17"/>
    </row>
    <row r="361" spans="6:6" x14ac:dyDescent="0.2">
      <c r="F361" s="17"/>
    </row>
    <row r="362" spans="6:6" x14ac:dyDescent="0.2">
      <c r="F362" s="17"/>
    </row>
    <row r="363" spans="6:6" x14ac:dyDescent="0.2">
      <c r="F363" s="17"/>
    </row>
    <row r="364" spans="6:6" x14ac:dyDescent="0.2">
      <c r="F364" s="17"/>
    </row>
    <row r="365" spans="6:6" x14ac:dyDescent="0.2">
      <c r="F365" s="17"/>
    </row>
    <row r="366" spans="6:6" x14ac:dyDescent="0.2">
      <c r="F366" s="17"/>
    </row>
    <row r="367" spans="6:6" x14ac:dyDescent="0.2">
      <c r="F367" s="17"/>
    </row>
    <row r="368" spans="6:6" x14ac:dyDescent="0.2">
      <c r="F368" s="17"/>
    </row>
    <row r="369" spans="6:6" x14ac:dyDescent="0.2">
      <c r="F369" s="17"/>
    </row>
    <row r="370" spans="6:6" x14ac:dyDescent="0.2">
      <c r="F370" s="17"/>
    </row>
    <row r="371" spans="6:6" x14ac:dyDescent="0.2">
      <c r="F371" s="17"/>
    </row>
    <row r="372" spans="6:6" x14ac:dyDescent="0.2">
      <c r="F372" s="17"/>
    </row>
    <row r="373" spans="6:6" x14ac:dyDescent="0.2">
      <c r="F373" s="17"/>
    </row>
    <row r="374" spans="6:6" x14ac:dyDescent="0.2">
      <c r="F374" s="17"/>
    </row>
    <row r="375" spans="6:6" x14ac:dyDescent="0.2">
      <c r="F375" s="17"/>
    </row>
    <row r="376" spans="6:6" x14ac:dyDescent="0.2">
      <c r="F376" s="17"/>
    </row>
    <row r="377" spans="6:6" x14ac:dyDescent="0.2">
      <c r="F377" s="17"/>
    </row>
    <row r="378" spans="6:6" x14ac:dyDescent="0.2">
      <c r="F378" s="17"/>
    </row>
    <row r="379" spans="6:6" x14ac:dyDescent="0.2">
      <c r="F379" s="17"/>
    </row>
    <row r="380" spans="6:6" x14ac:dyDescent="0.2">
      <c r="F380" s="17"/>
    </row>
    <row r="381" spans="6:6" x14ac:dyDescent="0.2">
      <c r="F381" s="17"/>
    </row>
    <row r="382" spans="6:6" x14ac:dyDescent="0.2">
      <c r="F382" s="17"/>
    </row>
    <row r="383" spans="6:6" x14ac:dyDescent="0.2">
      <c r="F383" s="17"/>
    </row>
    <row r="384" spans="6:6" x14ac:dyDescent="0.2">
      <c r="F384" s="17"/>
    </row>
    <row r="385" spans="6:6" x14ac:dyDescent="0.2">
      <c r="F385" s="17"/>
    </row>
    <row r="386" spans="6:6" x14ac:dyDescent="0.2">
      <c r="F386" s="17"/>
    </row>
    <row r="387" spans="6:6" x14ac:dyDescent="0.2">
      <c r="F387" s="17"/>
    </row>
    <row r="388" spans="6:6" x14ac:dyDescent="0.2">
      <c r="F388" s="17"/>
    </row>
    <row r="389" spans="6:6" x14ac:dyDescent="0.2">
      <c r="F389" s="17"/>
    </row>
    <row r="390" spans="6:6" x14ac:dyDescent="0.2">
      <c r="F390" s="17"/>
    </row>
    <row r="391" spans="6:6" x14ac:dyDescent="0.2">
      <c r="F391" s="17"/>
    </row>
    <row r="392" spans="6:6" x14ac:dyDescent="0.2">
      <c r="F392" s="17"/>
    </row>
    <row r="393" spans="6:6" x14ac:dyDescent="0.2">
      <c r="F393" s="17"/>
    </row>
    <row r="394" spans="6:6" x14ac:dyDescent="0.2">
      <c r="F394" s="17"/>
    </row>
    <row r="395" spans="6:6" x14ac:dyDescent="0.2">
      <c r="F395" s="17"/>
    </row>
    <row r="396" spans="6:6" x14ac:dyDescent="0.2">
      <c r="F396" s="17"/>
    </row>
    <row r="397" spans="6:6" x14ac:dyDescent="0.2">
      <c r="F397" s="17"/>
    </row>
    <row r="398" spans="6:6" x14ac:dyDescent="0.2">
      <c r="F398" s="17"/>
    </row>
    <row r="399" spans="6:6" x14ac:dyDescent="0.2">
      <c r="F399" s="17"/>
    </row>
    <row r="400" spans="6:6" x14ac:dyDescent="0.2">
      <c r="F400" s="17"/>
    </row>
    <row r="401" spans="6:6" x14ac:dyDescent="0.2">
      <c r="F401" s="17"/>
    </row>
    <row r="402" spans="6:6" x14ac:dyDescent="0.2">
      <c r="F402" s="17"/>
    </row>
    <row r="403" spans="6:6" x14ac:dyDescent="0.2">
      <c r="F403" s="17"/>
    </row>
    <row r="404" spans="6:6" x14ac:dyDescent="0.2">
      <c r="F404" s="17"/>
    </row>
    <row r="405" spans="6:6" x14ac:dyDescent="0.2">
      <c r="F405" s="17"/>
    </row>
    <row r="406" spans="6:6" x14ac:dyDescent="0.2">
      <c r="F406" s="17"/>
    </row>
    <row r="407" spans="6:6" x14ac:dyDescent="0.2">
      <c r="F407" s="17"/>
    </row>
    <row r="408" spans="6:6" x14ac:dyDescent="0.2">
      <c r="F408" s="17"/>
    </row>
    <row r="409" spans="6:6" x14ac:dyDescent="0.2">
      <c r="F409" s="17"/>
    </row>
    <row r="410" spans="6:6" x14ac:dyDescent="0.2">
      <c r="F410" s="17"/>
    </row>
    <row r="411" spans="6:6" x14ac:dyDescent="0.2">
      <c r="F411" s="17"/>
    </row>
    <row r="412" spans="6:6" x14ac:dyDescent="0.2">
      <c r="F412" s="17"/>
    </row>
    <row r="413" spans="6:6" x14ac:dyDescent="0.2">
      <c r="F413" s="17"/>
    </row>
    <row r="414" spans="6:6" x14ac:dyDescent="0.2">
      <c r="F414" s="17"/>
    </row>
    <row r="415" spans="6:6" x14ac:dyDescent="0.2">
      <c r="F415" s="17"/>
    </row>
    <row r="416" spans="6:6" x14ac:dyDescent="0.2">
      <c r="F416" s="17"/>
    </row>
    <row r="417" spans="6:6" x14ac:dyDescent="0.2">
      <c r="F417" s="17"/>
    </row>
    <row r="418" spans="6:6" x14ac:dyDescent="0.2">
      <c r="F418" s="17"/>
    </row>
    <row r="419" spans="6:6" x14ac:dyDescent="0.2">
      <c r="F419" s="17"/>
    </row>
    <row r="420" spans="6:6" x14ac:dyDescent="0.2">
      <c r="F420" s="17"/>
    </row>
    <row r="421" spans="6:6" x14ac:dyDescent="0.2">
      <c r="F421" s="17"/>
    </row>
    <row r="422" spans="6:6" x14ac:dyDescent="0.2">
      <c r="F422" s="17"/>
    </row>
    <row r="423" spans="6:6" x14ac:dyDescent="0.2">
      <c r="F423" s="17"/>
    </row>
    <row r="424" spans="6:6" x14ac:dyDescent="0.2">
      <c r="F424" s="17"/>
    </row>
    <row r="425" spans="6:6" x14ac:dyDescent="0.2">
      <c r="F425" s="17"/>
    </row>
    <row r="426" spans="6:6" x14ac:dyDescent="0.2">
      <c r="F426" s="17"/>
    </row>
    <row r="427" spans="6:6" x14ac:dyDescent="0.2">
      <c r="F427" s="17"/>
    </row>
    <row r="428" spans="6:6" x14ac:dyDescent="0.2">
      <c r="F428" s="17"/>
    </row>
    <row r="429" spans="6:6" x14ac:dyDescent="0.2">
      <c r="F429" s="17"/>
    </row>
    <row r="430" spans="6:6" x14ac:dyDescent="0.2">
      <c r="F430" s="17"/>
    </row>
    <row r="431" spans="6:6" x14ac:dyDescent="0.2">
      <c r="F431" s="17"/>
    </row>
    <row r="432" spans="6:6" x14ac:dyDescent="0.2">
      <c r="F432" s="17"/>
    </row>
    <row r="433" spans="6:6" x14ac:dyDescent="0.2">
      <c r="F433" s="17"/>
    </row>
    <row r="434" spans="6:6" x14ac:dyDescent="0.2">
      <c r="F434" s="17"/>
    </row>
    <row r="435" spans="6:6" x14ac:dyDescent="0.2">
      <c r="F435" s="17"/>
    </row>
    <row r="436" spans="6:6" x14ac:dyDescent="0.2">
      <c r="F436" s="17"/>
    </row>
    <row r="437" spans="6:6" x14ac:dyDescent="0.2">
      <c r="F437" s="17"/>
    </row>
    <row r="438" spans="6:6" x14ac:dyDescent="0.2">
      <c r="F438" s="17"/>
    </row>
    <row r="439" spans="6:6" x14ac:dyDescent="0.2">
      <c r="F439" s="17"/>
    </row>
    <row r="440" spans="6:6" x14ac:dyDescent="0.2">
      <c r="F440" s="17"/>
    </row>
    <row r="441" spans="6:6" x14ac:dyDescent="0.2">
      <c r="F441" s="17"/>
    </row>
    <row r="442" spans="6:6" x14ac:dyDescent="0.2">
      <c r="F442" s="17"/>
    </row>
    <row r="443" spans="6:6" x14ac:dyDescent="0.2">
      <c r="F443" s="17"/>
    </row>
    <row r="444" spans="6:6" x14ac:dyDescent="0.2">
      <c r="F444" s="17"/>
    </row>
    <row r="445" spans="6:6" x14ac:dyDescent="0.2">
      <c r="F445" s="17"/>
    </row>
    <row r="446" spans="6:6" x14ac:dyDescent="0.2">
      <c r="F446" s="17"/>
    </row>
    <row r="447" spans="6:6" x14ac:dyDescent="0.2">
      <c r="F447" s="17"/>
    </row>
    <row r="448" spans="6:6" x14ac:dyDescent="0.2">
      <c r="F448" s="17"/>
    </row>
    <row r="449" spans="6:6" x14ac:dyDescent="0.2">
      <c r="F449" s="17"/>
    </row>
    <row r="450" spans="6:6" x14ac:dyDescent="0.2">
      <c r="F450" s="17"/>
    </row>
    <row r="451" spans="6:6" x14ac:dyDescent="0.2">
      <c r="F451" s="17"/>
    </row>
    <row r="452" spans="6:6" x14ac:dyDescent="0.2">
      <c r="F452" s="17"/>
    </row>
    <row r="453" spans="6:6" x14ac:dyDescent="0.2">
      <c r="F453" s="17"/>
    </row>
    <row r="454" spans="6:6" x14ac:dyDescent="0.2">
      <c r="F454" s="17"/>
    </row>
    <row r="455" spans="6:6" x14ac:dyDescent="0.2">
      <c r="F455" s="17"/>
    </row>
    <row r="456" spans="6:6" x14ac:dyDescent="0.2">
      <c r="F456" s="17"/>
    </row>
    <row r="457" spans="6:6" x14ac:dyDescent="0.2">
      <c r="F457" s="17"/>
    </row>
    <row r="458" spans="6:6" x14ac:dyDescent="0.2">
      <c r="F458" s="17"/>
    </row>
    <row r="459" spans="6:6" x14ac:dyDescent="0.2">
      <c r="F459" s="17"/>
    </row>
    <row r="460" spans="6:6" x14ac:dyDescent="0.2">
      <c r="F460" s="17"/>
    </row>
    <row r="461" spans="6:6" x14ac:dyDescent="0.2">
      <c r="F461" s="17"/>
    </row>
    <row r="462" spans="6:6" x14ac:dyDescent="0.2">
      <c r="F462" s="17"/>
    </row>
    <row r="463" spans="6:6" x14ac:dyDescent="0.2">
      <c r="F463" s="17"/>
    </row>
    <row r="464" spans="6:6" x14ac:dyDescent="0.2">
      <c r="F464" s="17"/>
    </row>
    <row r="465" spans="6:6" x14ac:dyDescent="0.2">
      <c r="F465" s="17"/>
    </row>
    <row r="466" spans="6:6" x14ac:dyDescent="0.2">
      <c r="F466" s="17"/>
    </row>
    <row r="467" spans="6:6" x14ac:dyDescent="0.2">
      <c r="F467" s="17"/>
    </row>
    <row r="468" spans="6:6" x14ac:dyDescent="0.2">
      <c r="F468" s="17"/>
    </row>
    <row r="469" spans="6:6" x14ac:dyDescent="0.2">
      <c r="F469" s="17"/>
    </row>
    <row r="470" spans="6:6" x14ac:dyDescent="0.2">
      <c r="F470" s="17"/>
    </row>
    <row r="471" spans="6:6" x14ac:dyDescent="0.2">
      <c r="F471" s="17"/>
    </row>
    <row r="472" spans="6:6" x14ac:dyDescent="0.2">
      <c r="F472" s="17"/>
    </row>
    <row r="473" spans="6:6" x14ac:dyDescent="0.2">
      <c r="F473" s="17"/>
    </row>
    <row r="474" spans="6:6" x14ac:dyDescent="0.2">
      <c r="F474" s="17"/>
    </row>
    <row r="475" spans="6:6" x14ac:dyDescent="0.2">
      <c r="F475" s="17"/>
    </row>
    <row r="476" spans="6:6" x14ac:dyDescent="0.2">
      <c r="F476" s="17"/>
    </row>
    <row r="477" spans="6:6" x14ac:dyDescent="0.2">
      <c r="F477" s="17"/>
    </row>
    <row r="478" spans="6:6" x14ac:dyDescent="0.2">
      <c r="F478" s="17"/>
    </row>
    <row r="479" spans="6:6" x14ac:dyDescent="0.2">
      <c r="F479" s="17"/>
    </row>
    <row r="480" spans="6:6" x14ac:dyDescent="0.2">
      <c r="F480" s="17"/>
    </row>
    <row r="481" spans="6:6" x14ac:dyDescent="0.2">
      <c r="F481" s="17"/>
    </row>
    <row r="482" spans="6:6" x14ac:dyDescent="0.2">
      <c r="F482" s="17"/>
    </row>
    <row r="483" spans="6:6" x14ac:dyDescent="0.2">
      <c r="F483" s="17"/>
    </row>
    <row r="484" spans="6:6" x14ac:dyDescent="0.2">
      <c r="F484" s="17"/>
    </row>
    <row r="485" spans="6:6" x14ac:dyDescent="0.2">
      <c r="F485" s="17"/>
    </row>
    <row r="486" spans="6:6" x14ac:dyDescent="0.2">
      <c r="F486" s="17"/>
    </row>
    <row r="487" spans="6:6" x14ac:dyDescent="0.2">
      <c r="F487" s="17"/>
    </row>
    <row r="488" spans="6:6" x14ac:dyDescent="0.2">
      <c r="F488" s="17"/>
    </row>
    <row r="489" spans="6:6" x14ac:dyDescent="0.2">
      <c r="F489" s="17"/>
    </row>
    <row r="490" spans="6:6" x14ac:dyDescent="0.2">
      <c r="F490" s="17"/>
    </row>
    <row r="491" spans="6:6" x14ac:dyDescent="0.2">
      <c r="F491" s="17"/>
    </row>
    <row r="492" spans="6:6" x14ac:dyDescent="0.2">
      <c r="F492" s="17"/>
    </row>
    <row r="493" spans="6:6" x14ac:dyDescent="0.2">
      <c r="F493" s="17"/>
    </row>
    <row r="494" spans="6:6" x14ac:dyDescent="0.2">
      <c r="F494" s="17"/>
    </row>
    <row r="495" spans="6:6" x14ac:dyDescent="0.2">
      <c r="F495" s="17"/>
    </row>
    <row r="496" spans="6:6" x14ac:dyDescent="0.2">
      <c r="F496" s="17"/>
    </row>
    <row r="497" spans="6:6" x14ac:dyDescent="0.2">
      <c r="F497" s="17"/>
    </row>
    <row r="498" spans="6:6" x14ac:dyDescent="0.2">
      <c r="F498" s="17"/>
    </row>
    <row r="499" spans="6:6" x14ac:dyDescent="0.2">
      <c r="F499" s="17"/>
    </row>
    <row r="500" spans="6:6" x14ac:dyDescent="0.2">
      <c r="F500" s="17"/>
    </row>
    <row r="501" spans="6:6" x14ac:dyDescent="0.2">
      <c r="F501" s="17"/>
    </row>
    <row r="502" spans="6:6" x14ac:dyDescent="0.2">
      <c r="F502" s="17"/>
    </row>
    <row r="503" spans="6:6" x14ac:dyDescent="0.2">
      <c r="F503" s="17"/>
    </row>
    <row r="504" spans="6:6" x14ac:dyDescent="0.2">
      <c r="F504" s="17"/>
    </row>
    <row r="505" spans="6:6" x14ac:dyDescent="0.2">
      <c r="F505" s="17"/>
    </row>
    <row r="506" spans="6:6" x14ac:dyDescent="0.2">
      <c r="F506" s="17"/>
    </row>
    <row r="507" spans="6:6" x14ac:dyDescent="0.2">
      <c r="F507" s="17"/>
    </row>
  </sheetData>
  <dataConsolidate link="1"/>
  <phoneticPr fontId="11" type="noConversion"/>
  <pageMargins left="0.511811024" right="0.511811024" top="0.78740157499999996" bottom="0.78740157499999996" header="0.31496062000000002" footer="0.31496062000000002"/>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484C4-F5F9-4FBB-8097-6080E76BC264}">
  <sheetPr codeName="Planilha1"/>
  <dimension ref="A1:C946"/>
  <sheetViews>
    <sheetView workbookViewId="0"/>
  </sheetViews>
  <sheetFormatPr defaultRowHeight="12.75" x14ac:dyDescent="0.2"/>
  <cols>
    <col min="1" max="1" width="11.28515625" style="67" customWidth="1"/>
    <col min="2" max="2" width="18" style="67" customWidth="1"/>
    <col min="3" max="3" width="45.140625" style="67" customWidth="1"/>
    <col min="4" max="256" width="9.140625" style="67"/>
    <col min="257" max="257" width="11.28515625" style="67" customWidth="1"/>
    <col min="258" max="258" width="18" style="67" customWidth="1"/>
    <col min="259" max="259" width="45.140625" style="67" customWidth="1"/>
    <col min="260" max="512" width="9.140625" style="67"/>
    <col min="513" max="513" width="11.28515625" style="67" customWidth="1"/>
    <col min="514" max="514" width="18" style="67" customWidth="1"/>
    <col min="515" max="515" width="45.140625" style="67" customWidth="1"/>
    <col min="516" max="768" width="9.140625" style="67"/>
    <col min="769" max="769" width="11.28515625" style="67" customWidth="1"/>
    <col min="770" max="770" width="18" style="67" customWidth="1"/>
    <col min="771" max="771" width="45.140625" style="67" customWidth="1"/>
    <col min="772" max="1024" width="9.140625" style="67"/>
    <col min="1025" max="1025" width="11.28515625" style="67" customWidth="1"/>
    <col min="1026" max="1026" width="18" style="67" customWidth="1"/>
    <col min="1027" max="1027" width="45.140625" style="67" customWidth="1"/>
    <col min="1028" max="1280" width="9.140625" style="67"/>
    <col min="1281" max="1281" width="11.28515625" style="67" customWidth="1"/>
    <col min="1282" max="1282" width="18" style="67" customWidth="1"/>
    <col min="1283" max="1283" width="45.140625" style="67" customWidth="1"/>
    <col min="1284" max="1536" width="9.140625" style="67"/>
    <col min="1537" max="1537" width="11.28515625" style="67" customWidth="1"/>
    <col min="1538" max="1538" width="18" style="67" customWidth="1"/>
    <col min="1539" max="1539" width="45.140625" style="67" customWidth="1"/>
    <col min="1540" max="1792" width="9.140625" style="67"/>
    <col min="1793" max="1793" width="11.28515625" style="67" customWidth="1"/>
    <col min="1794" max="1794" width="18" style="67" customWidth="1"/>
    <col min="1795" max="1795" width="45.140625" style="67" customWidth="1"/>
    <col min="1796" max="2048" width="9.140625" style="67"/>
    <col min="2049" max="2049" width="11.28515625" style="67" customWidth="1"/>
    <col min="2050" max="2050" width="18" style="67" customWidth="1"/>
    <col min="2051" max="2051" width="45.140625" style="67" customWidth="1"/>
    <col min="2052" max="2304" width="9.140625" style="67"/>
    <col min="2305" max="2305" width="11.28515625" style="67" customWidth="1"/>
    <col min="2306" max="2306" width="18" style="67" customWidth="1"/>
    <col min="2307" max="2307" width="45.140625" style="67" customWidth="1"/>
    <col min="2308" max="2560" width="9.140625" style="67"/>
    <col min="2561" max="2561" width="11.28515625" style="67" customWidth="1"/>
    <col min="2562" max="2562" width="18" style="67" customWidth="1"/>
    <col min="2563" max="2563" width="45.140625" style="67" customWidth="1"/>
    <col min="2564" max="2816" width="9.140625" style="67"/>
    <col min="2817" max="2817" width="11.28515625" style="67" customWidth="1"/>
    <col min="2818" max="2818" width="18" style="67" customWidth="1"/>
    <col min="2819" max="2819" width="45.140625" style="67" customWidth="1"/>
    <col min="2820" max="3072" width="9.140625" style="67"/>
    <col min="3073" max="3073" width="11.28515625" style="67" customWidth="1"/>
    <col min="3074" max="3074" width="18" style="67" customWidth="1"/>
    <col min="3075" max="3075" width="45.140625" style="67" customWidth="1"/>
    <col min="3076" max="3328" width="9.140625" style="67"/>
    <col min="3329" max="3329" width="11.28515625" style="67" customWidth="1"/>
    <col min="3330" max="3330" width="18" style="67" customWidth="1"/>
    <col min="3331" max="3331" width="45.140625" style="67" customWidth="1"/>
    <col min="3332" max="3584" width="9.140625" style="67"/>
    <col min="3585" max="3585" width="11.28515625" style="67" customWidth="1"/>
    <col min="3586" max="3586" width="18" style="67" customWidth="1"/>
    <col min="3587" max="3587" width="45.140625" style="67" customWidth="1"/>
    <col min="3588" max="3840" width="9.140625" style="67"/>
    <col min="3841" max="3841" width="11.28515625" style="67" customWidth="1"/>
    <col min="3842" max="3842" width="18" style="67" customWidth="1"/>
    <col min="3843" max="3843" width="45.140625" style="67" customWidth="1"/>
    <col min="3844" max="4096" width="9.140625" style="67"/>
    <col min="4097" max="4097" width="11.28515625" style="67" customWidth="1"/>
    <col min="4098" max="4098" width="18" style="67" customWidth="1"/>
    <col min="4099" max="4099" width="45.140625" style="67" customWidth="1"/>
    <col min="4100" max="4352" width="9.140625" style="67"/>
    <col min="4353" max="4353" width="11.28515625" style="67" customWidth="1"/>
    <col min="4354" max="4354" width="18" style="67" customWidth="1"/>
    <col min="4355" max="4355" width="45.140625" style="67" customWidth="1"/>
    <col min="4356" max="4608" width="9.140625" style="67"/>
    <col min="4609" max="4609" width="11.28515625" style="67" customWidth="1"/>
    <col min="4610" max="4610" width="18" style="67" customWidth="1"/>
    <col min="4611" max="4611" width="45.140625" style="67" customWidth="1"/>
    <col min="4612" max="4864" width="9.140625" style="67"/>
    <col min="4865" max="4865" width="11.28515625" style="67" customWidth="1"/>
    <col min="4866" max="4866" width="18" style="67" customWidth="1"/>
    <col min="4867" max="4867" width="45.140625" style="67" customWidth="1"/>
    <col min="4868" max="5120" width="9.140625" style="67"/>
    <col min="5121" max="5121" width="11.28515625" style="67" customWidth="1"/>
    <col min="5122" max="5122" width="18" style="67" customWidth="1"/>
    <col min="5123" max="5123" width="45.140625" style="67" customWidth="1"/>
    <col min="5124" max="5376" width="9.140625" style="67"/>
    <col min="5377" max="5377" width="11.28515625" style="67" customWidth="1"/>
    <col min="5378" max="5378" width="18" style="67" customWidth="1"/>
    <col min="5379" max="5379" width="45.140625" style="67" customWidth="1"/>
    <col min="5380" max="5632" width="9.140625" style="67"/>
    <col min="5633" max="5633" width="11.28515625" style="67" customWidth="1"/>
    <col min="5634" max="5634" width="18" style="67" customWidth="1"/>
    <col min="5635" max="5635" width="45.140625" style="67" customWidth="1"/>
    <col min="5636" max="5888" width="9.140625" style="67"/>
    <col min="5889" max="5889" width="11.28515625" style="67" customWidth="1"/>
    <col min="5890" max="5890" width="18" style="67" customWidth="1"/>
    <col min="5891" max="5891" width="45.140625" style="67" customWidth="1"/>
    <col min="5892" max="6144" width="9.140625" style="67"/>
    <col min="6145" max="6145" width="11.28515625" style="67" customWidth="1"/>
    <col min="6146" max="6146" width="18" style="67" customWidth="1"/>
    <col min="6147" max="6147" width="45.140625" style="67" customWidth="1"/>
    <col min="6148" max="6400" width="9.140625" style="67"/>
    <col min="6401" max="6401" width="11.28515625" style="67" customWidth="1"/>
    <col min="6402" max="6402" width="18" style="67" customWidth="1"/>
    <col min="6403" max="6403" width="45.140625" style="67" customWidth="1"/>
    <col min="6404" max="6656" width="9.140625" style="67"/>
    <col min="6657" max="6657" width="11.28515625" style="67" customWidth="1"/>
    <col min="6658" max="6658" width="18" style="67" customWidth="1"/>
    <col min="6659" max="6659" width="45.140625" style="67" customWidth="1"/>
    <col min="6660" max="6912" width="9.140625" style="67"/>
    <col min="6913" max="6913" width="11.28515625" style="67" customWidth="1"/>
    <col min="6914" max="6914" width="18" style="67" customWidth="1"/>
    <col min="6915" max="6915" width="45.140625" style="67" customWidth="1"/>
    <col min="6916" max="7168" width="9.140625" style="67"/>
    <col min="7169" max="7169" width="11.28515625" style="67" customWidth="1"/>
    <col min="7170" max="7170" width="18" style="67" customWidth="1"/>
    <col min="7171" max="7171" width="45.140625" style="67" customWidth="1"/>
    <col min="7172" max="7424" width="9.140625" style="67"/>
    <col min="7425" max="7425" width="11.28515625" style="67" customWidth="1"/>
    <col min="7426" max="7426" width="18" style="67" customWidth="1"/>
    <col min="7427" max="7427" width="45.140625" style="67" customWidth="1"/>
    <col min="7428" max="7680" width="9.140625" style="67"/>
    <col min="7681" max="7681" width="11.28515625" style="67" customWidth="1"/>
    <col min="7682" max="7682" width="18" style="67" customWidth="1"/>
    <col min="7683" max="7683" width="45.140625" style="67" customWidth="1"/>
    <col min="7684" max="7936" width="9.140625" style="67"/>
    <col min="7937" max="7937" width="11.28515625" style="67" customWidth="1"/>
    <col min="7938" max="7938" width="18" style="67" customWidth="1"/>
    <col min="7939" max="7939" width="45.140625" style="67" customWidth="1"/>
    <col min="7940" max="8192" width="9.140625" style="67"/>
    <col min="8193" max="8193" width="11.28515625" style="67" customWidth="1"/>
    <col min="8194" max="8194" width="18" style="67" customWidth="1"/>
    <col min="8195" max="8195" width="45.140625" style="67" customWidth="1"/>
    <col min="8196" max="8448" width="9.140625" style="67"/>
    <col min="8449" max="8449" width="11.28515625" style="67" customWidth="1"/>
    <col min="8450" max="8450" width="18" style="67" customWidth="1"/>
    <col min="8451" max="8451" width="45.140625" style="67" customWidth="1"/>
    <col min="8452" max="8704" width="9.140625" style="67"/>
    <col min="8705" max="8705" width="11.28515625" style="67" customWidth="1"/>
    <col min="8706" max="8706" width="18" style="67" customWidth="1"/>
    <col min="8707" max="8707" width="45.140625" style="67" customWidth="1"/>
    <col min="8708" max="8960" width="9.140625" style="67"/>
    <col min="8961" max="8961" width="11.28515625" style="67" customWidth="1"/>
    <col min="8962" max="8962" width="18" style="67" customWidth="1"/>
    <col min="8963" max="8963" width="45.140625" style="67" customWidth="1"/>
    <col min="8964" max="9216" width="9.140625" style="67"/>
    <col min="9217" max="9217" width="11.28515625" style="67" customWidth="1"/>
    <col min="9218" max="9218" width="18" style="67" customWidth="1"/>
    <col min="9219" max="9219" width="45.140625" style="67" customWidth="1"/>
    <col min="9220" max="9472" width="9.140625" style="67"/>
    <col min="9473" max="9473" width="11.28515625" style="67" customWidth="1"/>
    <col min="9474" max="9474" width="18" style="67" customWidth="1"/>
    <col min="9475" max="9475" width="45.140625" style="67" customWidth="1"/>
    <col min="9476" max="9728" width="9.140625" style="67"/>
    <col min="9729" max="9729" width="11.28515625" style="67" customWidth="1"/>
    <col min="9730" max="9730" width="18" style="67" customWidth="1"/>
    <col min="9731" max="9731" width="45.140625" style="67" customWidth="1"/>
    <col min="9732" max="9984" width="9.140625" style="67"/>
    <col min="9985" max="9985" width="11.28515625" style="67" customWidth="1"/>
    <col min="9986" max="9986" width="18" style="67" customWidth="1"/>
    <col min="9987" max="9987" width="45.140625" style="67" customWidth="1"/>
    <col min="9988" max="10240" width="9.140625" style="67"/>
    <col min="10241" max="10241" width="11.28515625" style="67" customWidth="1"/>
    <col min="10242" max="10242" width="18" style="67" customWidth="1"/>
    <col min="10243" max="10243" width="45.140625" style="67" customWidth="1"/>
    <col min="10244" max="10496" width="9.140625" style="67"/>
    <col min="10497" max="10497" width="11.28515625" style="67" customWidth="1"/>
    <col min="10498" max="10498" width="18" style="67" customWidth="1"/>
    <col min="10499" max="10499" width="45.140625" style="67" customWidth="1"/>
    <col min="10500" max="10752" width="9.140625" style="67"/>
    <col min="10753" max="10753" width="11.28515625" style="67" customWidth="1"/>
    <col min="10754" max="10754" width="18" style="67" customWidth="1"/>
    <col min="10755" max="10755" width="45.140625" style="67" customWidth="1"/>
    <col min="10756" max="11008" width="9.140625" style="67"/>
    <col min="11009" max="11009" width="11.28515625" style="67" customWidth="1"/>
    <col min="11010" max="11010" width="18" style="67" customWidth="1"/>
    <col min="11011" max="11011" width="45.140625" style="67" customWidth="1"/>
    <col min="11012" max="11264" width="9.140625" style="67"/>
    <col min="11265" max="11265" width="11.28515625" style="67" customWidth="1"/>
    <col min="11266" max="11266" width="18" style="67" customWidth="1"/>
    <col min="11267" max="11267" width="45.140625" style="67" customWidth="1"/>
    <col min="11268" max="11520" width="9.140625" style="67"/>
    <col min="11521" max="11521" width="11.28515625" style="67" customWidth="1"/>
    <col min="11522" max="11522" width="18" style="67" customWidth="1"/>
    <col min="11523" max="11523" width="45.140625" style="67" customWidth="1"/>
    <col min="11524" max="11776" width="9.140625" style="67"/>
    <col min="11777" max="11777" width="11.28515625" style="67" customWidth="1"/>
    <col min="11778" max="11778" width="18" style="67" customWidth="1"/>
    <col min="11779" max="11779" width="45.140625" style="67" customWidth="1"/>
    <col min="11780" max="12032" width="9.140625" style="67"/>
    <col min="12033" max="12033" width="11.28515625" style="67" customWidth="1"/>
    <col min="12034" max="12034" width="18" style="67" customWidth="1"/>
    <col min="12035" max="12035" width="45.140625" style="67" customWidth="1"/>
    <col min="12036" max="12288" width="9.140625" style="67"/>
    <col min="12289" max="12289" width="11.28515625" style="67" customWidth="1"/>
    <col min="12290" max="12290" width="18" style="67" customWidth="1"/>
    <col min="12291" max="12291" width="45.140625" style="67" customWidth="1"/>
    <col min="12292" max="12544" width="9.140625" style="67"/>
    <col min="12545" max="12545" width="11.28515625" style="67" customWidth="1"/>
    <col min="12546" max="12546" width="18" style="67" customWidth="1"/>
    <col min="12547" max="12547" width="45.140625" style="67" customWidth="1"/>
    <col min="12548" max="12800" width="9.140625" style="67"/>
    <col min="12801" max="12801" width="11.28515625" style="67" customWidth="1"/>
    <col min="12802" max="12802" width="18" style="67" customWidth="1"/>
    <col min="12803" max="12803" width="45.140625" style="67" customWidth="1"/>
    <col min="12804" max="13056" width="9.140625" style="67"/>
    <col min="13057" max="13057" width="11.28515625" style="67" customWidth="1"/>
    <col min="13058" max="13058" width="18" style="67" customWidth="1"/>
    <col min="13059" max="13059" width="45.140625" style="67" customWidth="1"/>
    <col min="13060" max="13312" width="9.140625" style="67"/>
    <col min="13313" max="13313" width="11.28515625" style="67" customWidth="1"/>
    <col min="13314" max="13314" width="18" style="67" customWidth="1"/>
    <col min="13315" max="13315" width="45.140625" style="67" customWidth="1"/>
    <col min="13316" max="13568" width="9.140625" style="67"/>
    <col min="13569" max="13569" width="11.28515625" style="67" customWidth="1"/>
    <col min="13570" max="13570" width="18" style="67" customWidth="1"/>
    <col min="13571" max="13571" width="45.140625" style="67" customWidth="1"/>
    <col min="13572" max="13824" width="9.140625" style="67"/>
    <col min="13825" max="13825" width="11.28515625" style="67" customWidth="1"/>
    <col min="13826" max="13826" width="18" style="67" customWidth="1"/>
    <col min="13827" max="13827" width="45.140625" style="67" customWidth="1"/>
    <col min="13828" max="14080" width="9.140625" style="67"/>
    <col min="14081" max="14081" width="11.28515625" style="67" customWidth="1"/>
    <col min="14082" max="14082" width="18" style="67" customWidth="1"/>
    <col min="14083" max="14083" width="45.140625" style="67" customWidth="1"/>
    <col min="14084" max="14336" width="9.140625" style="67"/>
    <col min="14337" max="14337" width="11.28515625" style="67" customWidth="1"/>
    <col min="14338" max="14338" width="18" style="67" customWidth="1"/>
    <col min="14339" max="14339" width="45.140625" style="67" customWidth="1"/>
    <col min="14340" max="14592" width="9.140625" style="67"/>
    <col min="14593" max="14593" width="11.28515625" style="67" customWidth="1"/>
    <col min="14594" max="14594" width="18" style="67" customWidth="1"/>
    <col min="14595" max="14595" width="45.140625" style="67" customWidth="1"/>
    <col min="14596" max="14848" width="9.140625" style="67"/>
    <col min="14849" max="14849" width="11.28515625" style="67" customWidth="1"/>
    <col min="14850" max="14850" width="18" style="67" customWidth="1"/>
    <col min="14851" max="14851" width="45.140625" style="67" customWidth="1"/>
    <col min="14852" max="15104" width="9.140625" style="67"/>
    <col min="15105" max="15105" width="11.28515625" style="67" customWidth="1"/>
    <col min="15106" max="15106" width="18" style="67" customWidth="1"/>
    <col min="15107" max="15107" width="45.140625" style="67" customWidth="1"/>
    <col min="15108" max="15360" width="9.140625" style="67"/>
    <col min="15361" max="15361" width="11.28515625" style="67" customWidth="1"/>
    <col min="15362" max="15362" width="18" style="67" customWidth="1"/>
    <col min="15363" max="15363" width="45.140625" style="67" customWidth="1"/>
    <col min="15364" max="15616" width="9.140625" style="67"/>
    <col min="15617" max="15617" width="11.28515625" style="67" customWidth="1"/>
    <col min="15618" max="15618" width="18" style="67" customWidth="1"/>
    <col min="15619" max="15619" width="45.140625" style="67" customWidth="1"/>
    <col min="15620" max="15872" width="9.140625" style="67"/>
    <col min="15873" max="15873" width="11.28515625" style="67" customWidth="1"/>
    <col min="15874" max="15874" width="18" style="67" customWidth="1"/>
    <col min="15875" max="15875" width="45.140625" style="67" customWidth="1"/>
    <col min="15876" max="16128" width="9.140625" style="67"/>
    <col min="16129" max="16129" width="11.28515625" style="67" customWidth="1"/>
    <col min="16130" max="16130" width="18" style="67" customWidth="1"/>
    <col min="16131" max="16131" width="45.140625" style="67" customWidth="1"/>
    <col min="16132" max="16384" width="9.140625" style="67"/>
  </cols>
  <sheetData>
    <row r="1" spans="1:3" ht="13.5" thickBot="1" x14ac:dyDescent="0.25">
      <c r="A1" s="64" t="s">
        <v>12</v>
      </c>
      <c r="B1" s="65" t="s">
        <v>521</v>
      </c>
      <c r="C1" s="66" t="s">
        <v>522</v>
      </c>
    </row>
    <row r="2" spans="1:3" ht="13.5" thickBot="1" x14ac:dyDescent="0.25">
      <c r="A2" s="68">
        <v>36892</v>
      </c>
      <c r="B2" s="69" t="s">
        <v>523</v>
      </c>
      <c r="C2" s="70" t="s">
        <v>524</v>
      </c>
    </row>
    <row r="3" spans="1:3" ht="13.5" thickBot="1" x14ac:dyDescent="0.25">
      <c r="A3" s="68">
        <v>36948</v>
      </c>
      <c r="B3" s="69" t="s">
        <v>523</v>
      </c>
      <c r="C3" s="70" t="s">
        <v>525</v>
      </c>
    </row>
    <row r="4" spans="1:3" ht="13.5" thickBot="1" x14ac:dyDescent="0.25">
      <c r="A4" s="68">
        <v>36949</v>
      </c>
      <c r="B4" s="69" t="s">
        <v>526</v>
      </c>
      <c r="C4" s="70" t="s">
        <v>525</v>
      </c>
    </row>
    <row r="5" spans="1:3" ht="13.5" thickBot="1" x14ac:dyDescent="0.25">
      <c r="A5" s="68">
        <v>36994</v>
      </c>
      <c r="B5" s="69" t="s">
        <v>527</v>
      </c>
      <c r="C5" s="70" t="s">
        <v>528</v>
      </c>
    </row>
    <row r="6" spans="1:3" ht="13.5" thickBot="1" x14ac:dyDescent="0.25">
      <c r="A6" s="68">
        <v>37002</v>
      </c>
      <c r="B6" s="69" t="s">
        <v>529</v>
      </c>
      <c r="C6" s="70" t="s">
        <v>530</v>
      </c>
    </row>
    <row r="7" spans="1:3" ht="13.5" thickBot="1" x14ac:dyDescent="0.25">
      <c r="A7" s="68">
        <v>37012</v>
      </c>
      <c r="B7" s="69" t="s">
        <v>526</v>
      </c>
      <c r="C7" s="70" t="s">
        <v>531</v>
      </c>
    </row>
    <row r="8" spans="1:3" ht="13.5" thickBot="1" x14ac:dyDescent="0.25">
      <c r="A8" s="68">
        <v>37056</v>
      </c>
      <c r="B8" s="69" t="s">
        <v>532</v>
      </c>
      <c r="C8" s="70" t="s">
        <v>533</v>
      </c>
    </row>
    <row r="9" spans="1:3" ht="13.5" thickBot="1" x14ac:dyDescent="0.25">
      <c r="A9" s="68">
        <v>37141</v>
      </c>
      <c r="B9" s="69" t="s">
        <v>527</v>
      </c>
      <c r="C9" s="70" t="s">
        <v>534</v>
      </c>
    </row>
    <row r="10" spans="1:3" ht="14.25" thickBot="1" x14ac:dyDescent="0.25">
      <c r="A10" s="68">
        <v>37176</v>
      </c>
      <c r="B10" s="69" t="s">
        <v>527</v>
      </c>
      <c r="C10" s="70" t="s">
        <v>535</v>
      </c>
    </row>
    <row r="11" spans="1:3" ht="13.5" thickBot="1" x14ac:dyDescent="0.25">
      <c r="A11" s="68">
        <v>37197</v>
      </c>
      <c r="B11" s="69" t="s">
        <v>527</v>
      </c>
      <c r="C11" s="70" t="s">
        <v>536</v>
      </c>
    </row>
    <row r="12" spans="1:3" ht="13.5" thickBot="1" x14ac:dyDescent="0.25">
      <c r="A12" s="68">
        <v>37210</v>
      </c>
      <c r="B12" s="69" t="s">
        <v>532</v>
      </c>
      <c r="C12" s="70" t="s">
        <v>537</v>
      </c>
    </row>
    <row r="13" spans="1:3" ht="13.5" thickBot="1" x14ac:dyDescent="0.25">
      <c r="A13" s="68">
        <v>37250</v>
      </c>
      <c r="B13" s="69" t="s">
        <v>526</v>
      </c>
      <c r="C13" s="70" t="s">
        <v>538</v>
      </c>
    </row>
    <row r="14" spans="1:3" ht="13.5" thickBot="1" x14ac:dyDescent="0.25">
      <c r="A14" s="71">
        <v>37257</v>
      </c>
      <c r="B14" s="72" t="s">
        <v>526</v>
      </c>
      <c r="C14" s="73" t="s">
        <v>524</v>
      </c>
    </row>
    <row r="15" spans="1:3" ht="13.5" thickBot="1" x14ac:dyDescent="0.25">
      <c r="A15" s="74">
        <v>37298</v>
      </c>
      <c r="B15" s="75" t="s">
        <v>523</v>
      </c>
      <c r="C15" s="76" t="s">
        <v>525</v>
      </c>
    </row>
    <row r="16" spans="1:3" ht="13.5" thickBot="1" x14ac:dyDescent="0.25">
      <c r="A16" s="74">
        <v>37299</v>
      </c>
      <c r="B16" s="75" t="s">
        <v>526</v>
      </c>
      <c r="C16" s="76" t="s">
        <v>525</v>
      </c>
    </row>
    <row r="17" spans="1:3" ht="13.5" thickBot="1" x14ac:dyDescent="0.25">
      <c r="A17" s="74">
        <v>37344</v>
      </c>
      <c r="B17" s="75" t="s">
        <v>527</v>
      </c>
      <c r="C17" s="76" t="s">
        <v>528</v>
      </c>
    </row>
    <row r="18" spans="1:3" ht="13.5" thickBot="1" x14ac:dyDescent="0.25">
      <c r="A18" s="74">
        <v>37367</v>
      </c>
      <c r="B18" s="75" t="s">
        <v>539</v>
      </c>
      <c r="C18" s="76" t="s">
        <v>530</v>
      </c>
    </row>
    <row r="19" spans="1:3" ht="13.5" thickBot="1" x14ac:dyDescent="0.25">
      <c r="A19" s="74">
        <v>37377</v>
      </c>
      <c r="B19" s="75" t="s">
        <v>540</v>
      </c>
      <c r="C19" s="76" t="s">
        <v>531</v>
      </c>
    </row>
    <row r="20" spans="1:3" ht="13.5" thickBot="1" x14ac:dyDescent="0.25">
      <c r="A20" s="74">
        <v>37406</v>
      </c>
      <c r="B20" s="75" t="s">
        <v>532</v>
      </c>
      <c r="C20" s="76" t="s">
        <v>533</v>
      </c>
    </row>
    <row r="21" spans="1:3" ht="13.5" thickBot="1" x14ac:dyDescent="0.25">
      <c r="A21" s="74">
        <v>37506</v>
      </c>
      <c r="B21" s="75" t="s">
        <v>529</v>
      </c>
      <c r="C21" s="76" t="s">
        <v>534</v>
      </c>
    </row>
    <row r="22" spans="1:3" ht="14.25" thickBot="1" x14ac:dyDescent="0.25">
      <c r="A22" s="74">
        <v>37541</v>
      </c>
      <c r="B22" s="75" t="s">
        <v>529</v>
      </c>
      <c r="C22" s="76" t="s">
        <v>535</v>
      </c>
    </row>
    <row r="23" spans="1:3" ht="13.5" thickBot="1" x14ac:dyDescent="0.25">
      <c r="A23" s="74">
        <v>37562</v>
      </c>
      <c r="B23" s="75" t="s">
        <v>529</v>
      </c>
      <c r="C23" s="76" t="s">
        <v>536</v>
      </c>
    </row>
    <row r="24" spans="1:3" ht="13.5" thickBot="1" x14ac:dyDescent="0.25">
      <c r="A24" s="74">
        <v>37575</v>
      </c>
      <c r="B24" s="75" t="s">
        <v>527</v>
      </c>
      <c r="C24" s="76" t="s">
        <v>537</v>
      </c>
    </row>
    <row r="25" spans="1:3" ht="13.5" thickBot="1" x14ac:dyDescent="0.25">
      <c r="A25" s="74">
        <v>37615</v>
      </c>
      <c r="B25" s="75" t="s">
        <v>540</v>
      </c>
      <c r="C25" s="76" t="s">
        <v>538</v>
      </c>
    </row>
    <row r="26" spans="1:3" ht="13.5" thickBot="1" x14ac:dyDescent="0.25">
      <c r="A26" s="77">
        <v>37622</v>
      </c>
      <c r="B26" s="78" t="s">
        <v>540</v>
      </c>
      <c r="C26" s="79" t="s">
        <v>524</v>
      </c>
    </row>
    <row r="27" spans="1:3" ht="13.5" thickBot="1" x14ac:dyDescent="0.25">
      <c r="A27" s="68">
        <v>37683</v>
      </c>
      <c r="B27" s="69" t="s">
        <v>523</v>
      </c>
      <c r="C27" s="70" t="s">
        <v>525</v>
      </c>
    </row>
    <row r="28" spans="1:3" ht="13.5" thickBot="1" x14ac:dyDescent="0.25">
      <c r="A28" s="68">
        <v>37684</v>
      </c>
      <c r="B28" s="69" t="s">
        <v>526</v>
      </c>
      <c r="C28" s="70" t="s">
        <v>525</v>
      </c>
    </row>
    <row r="29" spans="1:3" ht="13.5" thickBot="1" x14ac:dyDescent="0.25">
      <c r="A29" s="68">
        <v>37729</v>
      </c>
      <c r="B29" s="69" t="s">
        <v>527</v>
      </c>
      <c r="C29" s="70" t="s">
        <v>528</v>
      </c>
    </row>
    <row r="30" spans="1:3" ht="13.5" thickBot="1" x14ac:dyDescent="0.25">
      <c r="A30" s="68">
        <v>37732</v>
      </c>
      <c r="B30" s="69" t="s">
        <v>523</v>
      </c>
      <c r="C30" s="70" t="s">
        <v>530</v>
      </c>
    </row>
    <row r="31" spans="1:3" ht="13.5" thickBot="1" x14ac:dyDescent="0.25">
      <c r="A31" s="68">
        <v>37742</v>
      </c>
      <c r="B31" s="69" t="s">
        <v>532</v>
      </c>
      <c r="C31" s="70" t="s">
        <v>531</v>
      </c>
    </row>
    <row r="32" spans="1:3" ht="13.5" thickBot="1" x14ac:dyDescent="0.25">
      <c r="A32" s="68">
        <v>37791</v>
      </c>
      <c r="B32" s="69" t="s">
        <v>532</v>
      </c>
      <c r="C32" s="70" t="s">
        <v>533</v>
      </c>
    </row>
    <row r="33" spans="1:3" ht="13.5" thickBot="1" x14ac:dyDescent="0.25">
      <c r="A33" s="68">
        <v>37871</v>
      </c>
      <c r="B33" s="69" t="s">
        <v>539</v>
      </c>
      <c r="C33" s="70" t="s">
        <v>534</v>
      </c>
    </row>
    <row r="34" spans="1:3" ht="14.25" thickBot="1" x14ac:dyDescent="0.25">
      <c r="A34" s="68">
        <v>37906</v>
      </c>
      <c r="B34" s="69" t="s">
        <v>539</v>
      </c>
      <c r="C34" s="70" t="s">
        <v>535</v>
      </c>
    </row>
    <row r="35" spans="1:3" ht="13.5" thickBot="1" x14ac:dyDescent="0.25">
      <c r="A35" s="68">
        <v>37927</v>
      </c>
      <c r="B35" s="69" t="s">
        <v>539</v>
      </c>
      <c r="C35" s="70" t="s">
        <v>536</v>
      </c>
    </row>
    <row r="36" spans="1:3" ht="13.5" thickBot="1" x14ac:dyDescent="0.25">
      <c r="A36" s="68">
        <v>37940</v>
      </c>
      <c r="B36" s="69" t="s">
        <v>529</v>
      </c>
      <c r="C36" s="70" t="s">
        <v>537</v>
      </c>
    </row>
    <row r="37" spans="1:3" ht="13.5" thickBot="1" x14ac:dyDescent="0.25">
      <c r="A37" s="68">
        <v>37980</v>
      </c>
      <c r="B37" s="69" t="s">
        <v>532</v>
      </c>
      <c r="C37" s="70" t="s">
        <v>538</v>
      </c>
    </row>
    <row r="38" spans="1:3" ht="13.5" thickBot="1" x14ac:dyDescent="0.25">
      <c r="A38" s="71">
        <v>37987</v>
      </c>
      <c r="B38" s="72" t="s">
        <v>532</v>
      </c>
      <c r="C38" s="73" t="s">
        <v>524</v>
      </c>
    </row>
    <row r="39" spans="1:3" ht="13.5" thickBot="1" x14ac:dyDescent="0.25">
      <c r="A39" s="74">
        <v>38040</v>
      </c>
      <c r="B39" s="75" t="s">
        <v>523</v>
      </c>
      <c r="C39" s="76" t="s">
        <v>525</v>
      </c>
    </row>
    <row r="40" spans="1:3" ht="13.5" thickBot="1" x14ac:dyDescent="0.25">
      <c r="A40" s="74">
        <v>38041</v>
      </c>
      <c r="B40" s="75" t="s">
        <v>526</v>
      </c>
      <c r="C40" s="76" t="s">
        <v>525</v>
      </c>
    </row>
    <row r="41" spans="1:3" ht="13.5" thickBot="1" x14ac:dyDescent="0.25">
      <c r="A41" s="74">
        <v>38086</v>
      </c>
      <c r="B41" s="75" t="s">
        <v>527</v>
      </c>
      <c r="C41" s="76" t="s">
        <v>528</v>
      </c>
    </row>
    <row r="42" spans="1:3" ht="13.5" thickBot="1" x14ac:dyDescent="0.25">
      <c r="A42" s="74">
        <v>38098</v>
      </c>
      <c r="B42" s="75" t="s">
        <v>540</v>
      </c>
      <c r="C42" s="76" t="s">
        <v>530</v>
      </c>
    </row>
    <row r="43" spans="1:3" ht="13.5" thickBot="1" x14ac:dyDescent="0.25">
      <c r="A43" s="74">
        <v>38108</v>
      </c>
      <c r="B43" s="75" t="s">
        <v>529</v>
      </c>
      <c r="C43" s="76" t="s">
        <v>531</v>
      </c>
    </row>
    <row r="44" spans="1:3" ht="13.5" thickBot="1" x14ac:dyDescent="0.25">
      <c r="A44" s="74">
        <v>38148</v>
      </c>
      <c r="B44" s="75" t="s">
        <v>532</v>
      </c>
      <c r="C44" s="76" t="s">
        <v>533</v>
      </c>
    </row>
    <row r="45" spans="1:3" ht="13.5" thickBot="1" x14ac:dyDescent="0.25">
      <c r="A45" s="74">
        <v>38237</v>
      </c>
      <c r="B45" s="75" t="s">
        <v>526</v>
      </c>
      <c r="C45" s="76" t="s">
        <v>534</v>
      </c>
    </row>
    <row r="46" spans="1:3" ht="14.25" thickBot="1" x14ac:dyDescent="0.25">
      <c r="A46" s="74">
        <v>38272</v>
      </c>
      <c r="B46" s="75" t="s">
        <v>526</v>
      </c>
      <c r="C46" s="76" t="s">
        <v>535</v>
      </c>
    </row>
    <row r="47" spans="1:3" ht="13.5" thickBot="1" x14ac:dyDescent="0.25">
      <c r="A47" s="74">
        <v>38293</v>
      </c>
      <c r="B47" s="75" t="s">
        <v>526</v>
      </c>
      <c r="C47" s="76" t="s">
        <v>536</v>
      </c>
    </row>
    <row r="48" spans="1:3" ht="13.5" thickBot="1" x14ac:dyDescent="0.25">
      <c r="A48" s="74">
        <v>38306</v>
      </c>
      <c r="B48" s="75" t="s">
        <v>523</v>
      </c>
      <c r="C48" s="76" t="s">
        <v>537</v>
      </c>
    </row>
    <row r="49" spans="1:3" ht="13.5" thickBot="1" x14ac:dyDescent="0.25">
      <c r="A49" s="74">
        <v>38346</v>
      </c>
      <c r="B49" s="75" t="s">
        <v>529</v>
      </c>
      <c r="C49" s="76" t="s">
        <v>538</v>
      </c>
    </row>
    <row r="50" spans="1:3" ht="13.5" thickBot="1" x14ac:dyDescent="0.25">
      <c r="A50" s="77">
        <v>38353</v>
      </c>
      <c r="B50" s="78" t="s">
        <v>529</v>
      </c>
      <c r="C50" s="79" t="s">
        <v>524</v>
      </c>
    </row>
    <row r="51" spans="1:3" ht="13.5" thickBot="1" x14ac:dyDescent="0.25">
      <c r="A51" s="68">
        <v>38390</v>
      </c>
      <c r="B51" s="69" t="s">
        <v>523</v>
      </c>
      <c r="C51" s="70" t="s">
        <v>525</v>
      </c>
    </row>
    <row r="52" spans="1:3" ht="13.5" thickBot="1" x14ac:dyDescent="0.25">
      <c r="A52" s="68">
        <v>38391</v>
      </c>
      <c r="B52" s="69" t="s">
        <v>526</v>
      </c>
      <c r="C52" s="70" t="s">
        <v>525</v>
      </c>
    </row>
    <row r="53" spans="1:3" ht="13.5" thickBot="1" x14ac:dyDescent="0.25">
      <c r="A53" s="68">
        <v>38436</v>
      </c>
      <c r="B53" s="69" t="s">
        <v>527</v>
      </c>
      <c r="C53" s="70" t="s">
        <v>528</v>
      </c>
    </row>
    <row r="54" spans="1:3" ht="13.5" thickBot="1" x14ac:dyDescent="0.25">
      <c r="A54" s="68">
        <v>38463</v>
      </c>
      <c r="B54" s="69" t="s">
        <v>532</v>
      </c>
      <c r="C54" s="70" t="s">
        <v>530</v>
      </c>
    </row>
    <row r="55" spans="1:3" ht="13.5" thickBot="1" x14ac:dyDescent="0.25">
      <c r="A55" s="68">
        <v>38473</v>
      </c>
      <c r="B55" s="69" t="s">
        <v>539</v>
      </c>
      <c r="C55" s="70" t="s">
        <v>531</v>
      </c>
    </row>
    <row r="56" spans="1:3" ht="13.5" thickBot="1" x14ac:dyDescent="0.25">
      <c r="A56" s="68">
        <v>38498</v>
      </c>
      <c r="B56" s="69" t="s">
        <v>532</v>
      </c>
      <c r="C56" s="70" t="s">
        <v>533</v>
      </c>
    </row>
    <row r="57" spans="1:3" ht="13.5" thickBot="1" x14ac:dyDescent="0.25">
      <c r="A57" s="68">
        <v>38602</v>
      </c>
      <c r="B57" s="69" t="s">
        <v>540</v>
      </c>
      <c r="C57" s="70" t="s">
        <v>534</v>
      </c>
    </row>
    <row r="58" spans="1:3" ht="14.25" thickBot="1" x14ac:dyDescent="0.25">
      <c r="A58" s="68">
        <v>38637</v>
      </c>
      <c r="B58" s="69" t="s">
        <v>540</v>
      </c>
      <c r="C58" s="70" t="s">
        <v>535</v>
      </c>
    </row>
    <row r="59" spans="1:3" ht="13.5" thickBot="1" x14ac:dyDescent="0.25">
      <c r="A59" s="68">
        <v>38658</v>
      </c>
      <c r="B59" s="69" t="s">
        <v>540</v>
      </c>
      <c r="C59" s="70" t="s">
        <v>536</v>
      </c>
    </row>
    <row r="60" spans="1:3" ht="13.5" thickBot="1" x14ac:dyDescent="0.25">
      <c r="A60" s="68">
        <v>38671</v>
      </c>
      <c r="B60" s="69" t="s">
        <v>526</v>
      </c>
      <c r="C60" s="70" t="s">
        <v>537</v>
      </c>
    </row>
    <row r="61" spans="1:3" ht="13.5" thickBot="1" x14ac:dyDescent="0.25">
      <c r="A61" s="68">
        <v>38711</v>
      </c>
      <c r="B61" s="69" t="s">
        <v>539</v>
      </c>
      <c r="C61" s="70" t="s">
        <v>538</v>
      </c>
    </row>
    <row r="62" spans="1:3" ht="13.5" thickBot="1" x14ac:dyDescent="0.25">
      <c r="A62" s="71">
        <v>38718</v>
      </c>
      <c r="B62" s="72" t="s">
        <v>539</v>
      </c>
      <c r="C62" s="73" t="s">
        <v>524</v>
      </c>
    </row>
    <row r="63" spans="1:3" ht="13.5" thickBot="1" x14ac:dyDescent="0.25">
      <c r="A63" s="74">
        <v>38775</v>
      </c>
      <c r="B63" s="75" t="s">
        <v>523</v>
      </c>
      <c r="C63" s="76" t="s">
        <v>525</v>
      </c>
    </row>
    <row r="64" spans="1:3" ht="13.5" thickBot="1" x14ac:dyDescent="0.25">
      <c r="A64" s="74">
        <v>38776</v>
      </c>
      <c r="B64" s="75" t="s">
        <v>526</v>
      </c>
      <c r="C64" s="76" t="s">
        <v>525</v>
      </c>
    </row>
    <row r="65" spans="1:3" ht="13.5" thickBot="1" x14ac:dyDescent="0.25">
      <c r="A65" s="74">
        <v>38821</v>
      </c>
      <c r="B65" s="75" t="s">
        <v>527</v>
      </c>
      <c r="C65" s="76" t="s">
        <v>528</v>
      </c>
    </row>
    <row r="66" spans="1:3" ht="13.5" thickBot="1" x14ac:dyDescent="0.25">
      <c r="A66" s="74">
        <v>38828</v>
      </c>
      <c r="B66" s="75" t="s">
        <v>527</v>
      </c>
      <c r="C66" s="76" t="s">
        <v>530</v>
      </c>
    </row>
    <row r="67" spans="1:3" ht="13.5" thickBot="1" x14ac:dyDescent="0.25">
      <c r="A67" s="74">
        <v>38838</v>
      </c>
      <c r="B67" s="75" t="s">
        <v>523</v>
      </c>
      <c r="C67" s="76" t="s">
        <v>531</v>
      </c>
    </row>
    <row r="68" spans="1:3" ht="13.5" thickBot="1" x14ac:dyDescent="0.25">
      <c r="A68" s="74">
        <v>38883</v>
      </c>
      <c r="B68" s="75" t="s">
        <v>532</v>
      </c>
      <c r="C68" s="76" t="s">
        <v>533</v>
      </c>
    </row>
    <row r="69" spans="1:3" ht="13.5" thickBot="1" x14ac:dyDescent="0.25">
      <c r="A69" s="74">
        <v>38967</v>
      </c>
      <c r="B69" s="75" t="s">
        <v>532</v>
      </c>
      <c r="C69" s="76" t="s">
        <v>534</v>
      </c>
    </row>
    <row r="70" spans="1:3" ht="14.25" thickBot="1" x14ac:dyDescent="0.25">
      <c r="A70" s="74">
        <v>39002</v>
      </c>
      <c r="B70" s="75" t="s">
        <v>532</v>
      </c>
      <c r="C70" s="76" t="s">
        <v>535</v>
      </c>
    </row>
    <row r="71" spans="1:3" ht="13.5" thickBot="1" x14ac:dyDescent="0.25">
      <c r="A71" s="74">
        <v>39023</v>
      </c>
      <c r="B71" s="75" t="s">
        <v>532</v>
      </c>
      <c r="C71" s="76" t="s">
        <v>536</v>
      </c>
    </row>
    <row r="72" spans="1:3" ht="13.5" thickBot="1" x14ac:dyDescent="0.25">
      <c r="A72" s="74">
        <v>39036</v>
      </c>
      <c r="B72" s="75" t="s">
        <v>540</v>
      </c>
      <c r="C72" s="76" t="s">
        <v>537</v>
      </c>
    </row>
    <row r="73" spans="1:3" ht="13.5" thickBot="1" x14ac:dyDescent="0.25">
      <c r="A73" s="74">
        <v>39076</v>
      </c>
      <c r="B73" s="75" t="s">
        <v>523</v>
      </c>
      <c r="C73" s="76" t="s">
        <v>538</v>
      </c>
    </row>
    <row r="74" spans="1:3" ht="13.5" thickBot="1" x14ac:dyDescent="0.25">
      <c r="A74" s="77">
        <v>39083</v>
      </c>
      <c r="B74" s="78" t="s">
        <v>523</v>
      </c>
      <c r="C74" s="79" t="s">
        <v>524</v>
      </c>
    </row>
    <row r="75" spans="1:3" ht="13.5" thickBot="1" x14ac:dyDescent="0.25">
      <c r="A75" s="68">
        <v>39132</v>
      </c>
      <c r="B75" s="69" t="s">
        <v>523</v>
      </c>
      <c r="C75" s="70" t="s">
        <v>525</v>
      </c>
    </row>
    <row r="76" spans="1:3" ht="13.5" thickBot="1" x14ac:dyDescent="0.25">
      <c r="A76" s="68">
        <v>39133</v>
      </c>
      <c r="B76" s="69" t="s">
        <v>526</v>
      </c>
      <c r="C76" s="70" t="s">
        <v>525</v>
      </c>
    </row>
    <row r="77" spans="1:3" ht="13.5" thickBot="1" x14ac:dyDescent="0.25">
      <c r="A77" s="68">
        <v>39178</v>
      </c>
      <c r="B77" s="69" t="s">
        <v>527</v>
      </c>
      <c r="C77" s="70" t="s">
        <v>528</v>
      </c>
    </row>
    <row r="78" spans="1:3" ht="13.5" thickBot="1" x14ac:dyDescent="0.25">
      <c r="A78" s="68">
        <v>39193</v>
      </c>
      <c r="B78" s="69" t="s">
        <v>529</v>
      </c>
      <c r="C78" s="70" t="s">
        <v>530</v>
      </c>
    </row>
    <row r="79" spans="1:3" ht="13.5" thickBot="1" x14ac:dyDescent="0.25">
      <c r="A79" s="68">
        <v>39203</v>
      </c>
      <c r="B79" s="69" t="s">
        <v>526</v>
      </c>
      <c r="C79" s="70" t="s">
        <v>531</v>
      </c>
    </row>
    <row r="80" spans="1:3" ht="13.5" thickBot="1" x14ac:dyDescent="0.25">
      <c r="A80" s="68">
        <v>39240</v>
      </c>
      <c r="B80" s="69" t="s">
        <v>532</v>
      </c>
      <c r="C80" s="70" t="s">
        <v>533</v>
      </c>
    </row>
    <row r="81" spans="1:3" ht="13.5" thickBot="1" x14ac:dyDescent="0.25">
      <c r="A81" s="68">
        <v>39332</v>
      </c>
      <c r="B81" s="69" t="s">
        <v>527</v>
      </c>
      <c r="C81" s="70" t="s">
        <v>534</v>
      </c>
    </row>
    <row r="82" spans="1:3" ht="14.25" thickBot="1" x14ac:dyDescent="0.25">
      <c r="A82" s="68">
        <v>39367</v>
      </c>
      <c r="B82" s="69" t="s">
        <v>527</v>
      </c>
      <c r="C82" s="70" t="s">
        <v>535</v>
      </c>
    </row>
    <row r="83" spans="1:3" ht="13.5" thickBot="1" x14ac:dyDescent="0.25">
      <c r="A83" s="68">
        <v>39388</v>
      </c>
      <c r="B83" s="69" t="s">
        <v>527</v>
      </c>
      <c r="C83" s="70" t="s">
        <v>536</v>
      </c>
    </row>
    <row r="84" spans="1:3" ht="13.5" thickBot="1" x14ac:dyDescent="0.25">
      <c r="A84" s="68">
        <v>39401</v>
      </c>
      <c r="B84" s="69" t="s">
        <v>532</v>
      </c>
      <c r="C84" s="70" t="s">
        <v>537</v>
      </c>
    </row>
    <row r="85" spans="1:3" ht="13.5" thickBot="1" x14ac:dyDescent="0.25">
      <c r="A85" s="68">
        <v>39441</v>
      </c>
      <c r="B85" s="69" t="s">
        <v>526</v>
      </c>
      <c r="C85" s="70" t="s">
        <v>538</v>
      </c>
    </row>
    <row r="86" spans="1:3" ht="13.5" thickBot="1" x14ac:dyDescent="0.25">
      <c r="A86" s="71">
        <v>39448</v>
      </c>
      <c r="B86" s="72" t="s">
        <v>526</v>
      </c>
      <c r="C86" s="73" t="s">
        <v>524</v>
      </c>
    </row>
    <row r="87" spans="1:3" ht="13.5" thickBot="1" x14ac:dyDescent="0.25">
      <c r="A87" s="74">
        <v>39482</v>
      </c>
      <c r="B87" s="75" t="s">
        <v>523</v>
      </c>
      <c r="C87" s="76" t="s">
        <v>525</v>
      </c>
    </row>
    <row r="88" spans="1:3" ht="13.5" thickBot="1" x14ac:dyDescent="0.25">
      <c r="A88" s="74">
        <v>39483</v>
      </c>
      <c r="B88" s="75" t="s">
        <v>526</v>
      </c>
      <c r="C88" s="76" t="s">
        <v>525</v>
      </c>
    </row>
    <row r="89" spans="1:3" ht="13.5" thickBot="1" x14ac:dyDescent="0.25">
      <c r="A89" s="74">
        <v>39528</v>
      </c>
      <c r="B89" s="75" t="s">
        <v>527</v>
      </c>
      <c r="C89" s="76" t="s">
        <v>528</v>
      </c>
    </row>
    <row r="90" spans="1:3" ht="13.5" thickBot="1" x14ac:dyDescent="0.25">
      <c r="A90" s="74">
        <v>39559</v>
      </c>
      <c r="B90" s="75" t="s">
        <v>523</v>
      </c>
      <c r="C90" s="76" t="s">
        <v>530</v>
      </c>
    </row>
    <row r="91" spans="1:3" ht="13.5" thickBot="1" x14ac:dyDescent="0.25">
      <c r="A91" s="74">
        <v>39569</v>
      </c>
      <c r="B91" s="75" t="s">
        <v>532</v>
      </c>
      <c r="C91" s="76" t="s">
        <v>531</v>
      </c>
    </row>
    <row r="92" spans="1:3" ht="13.5" thickBot="1" x14ac:dyDescent="0.25">
      <c r="A92" s="74">
        <v>39590</v>
      </c>
      <c r="B92" s="75" t="s">
        <v>532</v>
      </c>
      <c r="C92" s="76" t="s">
        <v>533</v>
      </c>
    </row>
    <row r="93" spans="1:3" ht="13.5" thickBot="1" x14ac:dyDescent="0.25">
      <c r="A93" s="74">
        <v>39698</v>
      </c>
      <c r="B93" s="75" t="s">
        <v>539</v>
      </c>
      <c r="C93" s="76" t="s">
        <v>534</v>
      </c>
    </row>
    <row r="94" spans="1:3" ht="14.25" thickBot="1" x14ac:dyDescent="0.25">
      <c r="A94" s="74">
        <v>39733</v>
      </c>
      <c r="B94" s="75" t="s">
        <v>539</v>
      </c>
      <c r="C94" s="76" t="s">
        <v>535</v>
      </c>
    </row>
    <row r="95" spans="1:3" ht="13.5" thickBot="1" x14ac:dyDescent="0.25">
      <c r="A95" s="74">
        <v>39754</v>
      </c>
      <c r="B95" s="75" t="s">
        <v>539</v>
      </c>
      <c r="C95" s="76" t="s">
        <v>536</v>
      </c>
    </row>
    <row r="96" spans="1:3" ht="13.5" thickBot="1" x14ac:dyDescent="0.25">
      <c r="A96" s="74">
        <v>39767</v>
      </c>
      <c r="B96" s="75" t="s">
        <v>529</v>
      </c>
      <c r="C96" s="76" t="s">
        <v>537</v>
      </c>
    </row>
    <row r="97" spans="1:3" ht="13.5" thickBot="1" x14ac:dyDescent="0.25">
      <c r="A97" s="74">
        <v>39807</v>
      </c>
      <c r="B97" s="75" t="s">
        <v>532</v>
      </c>
      <c r="C97" s="76" t="s">
        <v>538</v>
      </c>
    </row>
    <row r="98" spans="1:3" ht="13.5" thickBot="1" x14ac:dyDescent="0.25">
      <c r="A98" s="77">
        <v>39814</v>
      </c>
      <c r="B98" s="78" t="s">
        <v>532</v>
      </c>
      <c r="C98" s="79" t="s">
        <v>524</v>
      </c>
    </row>
    <row r="99" spans="1:3" ht="13.5" thickBot="1" x14ac:dyDescent="0.25">
      <c r="A99" s="68">
        <v>39867</v>
      </c>
      <c r="B99" s="69" t="s">
        <v>523</v>
      </c>
      <c r="C99" s="70" t="s">
        <v>525</v>
      </c>
    </row>
    <row r="100" spans="1:3" ht="13.5" thickBot="1" x14ac:dyDescent="0.25">
      <c r="A100" s="68">
        <v>39868</v>
      </c>
      <c r="B100" s="69" t="s">
        <v>526</v>
      </c>
      <c r="C100" s="70" t="s">
        <v>525</v>
      </c>
    </row>
    <row r="101" spans="1:3" ht="13.5" thickBot="1" x14ac:dyDescent="0.25">
      <c r="A101" s="68">
        <v>39913</v>
      </c>
      <c r="B101" s="69" t="s">
        <v>527</v>
      </c>
      <c r="C101" s="70" t="s">
        <v>528</v>
      </c>
    </row>
    <row r="102" spans="1:3" ht="13.5" thickBot="1" x14ac:dyDescent="0.25">
      <c r="A102" s="68">
        <v>39924</v>
      </c>
      <c r="B102" s="69" t="s">
        <v>526</v>
      </c>
      <c r="C102" s="70" t="s">
        <v>530</v>
      </c>
    </row>
    <row r="103" spans="1:3" ht="13.5" thickBot="1" x14ac:dyDescent="0.25">
      <c r="A103" s="68">
        <v>39934</v>
      </c>
      <c r="B103" s="69" t="s">
        <v>527</v>
      </c>
      <c r="C103" s="70" t="s">
        <v>531</v>
      </c>
    </row>
    <row r="104" spans="1:3" ht="13.5" thickBot="1" x14ac:dyDescent="0.25">
      <c r="A104" s="68">
        <v>39975</v>
      </c>
      <c r="B104" s="69" t="s">
        <v>532</v>
      </c>
      <c r="C104" s="70" t="s">
        <v>533</v>
      </c>
    </row>
    <row r="105" spans="1:3" ht="13.5" thickBot="1" x14ac:dyDescent="0.25">
      <c r="A105" s="68">
        <v>40063</v>
      </c>
      <c r="B105" s="69" t="s">
        <v>523</v>
      </c>
      <c r="C105" s="70" t="s">
        <v>534</v>
      </c>
    </row>
    <row r="106" spans="1:3" ht="14.25" thickBot="1" x14ac:dyDescent="0.25">
      <c r="A106" s="68">
        <v>40098</v>
      </c>
      <c r="B106" s="69" t="s">
        <v>523</v>
      </c>
      <c r="C106" s="70" t="s">
        <v>535</v>
      </c>
    </row>
    <row r="107" spans="1:3" ht="13.5" thickBot="1" x14ac:dyDescent="0.25">
      <c r="A107" s="68">
        <v>40119</v>
      </c>
      <c r="B107" s="69" t="s">
        <v>523</v>
      </c>
      <c r="C107" s="70" t="s">
        <v>536</v>
      </c>
    </row>
    <row r="108" spans="1:3" ht="13.5" thickBot="1" x14ac:dyDescent="0.25">
      <c r="A108" s="68">
        <v>40132</v>
      </c>
      <c r="B108" s="69" t="s">
        <v>539</v>
      </c>
      <c r="C108" s="70" t="s">
        <v>537</v>
      </c>
    </row>
    <row r="109" spans="1:3" ht="13.5" thickBot="1" x14ac:dyDescent="0.25">
      <c r="A109" s="68">
        <v>40172</v>
      </c>
      <c r="B109" s="69" t="s">
        <v>527</v>
      </c>
      <c r="C109" s="70" t="s">
        <v>538</v>
      </c>
    </row>
    <row r="110" spans="1:3" ht="13.5" thickBot="1" x14ac:dyDescent="0.25">
      <c r="A110" s="71">
        <v>40179</v>
      </c>
      <c r="B110" s="72" t="s">
        <v>527</v>
      </c>
      <c r="C110" s="73" t="s">
        <v>524</v>
      </c>
    </row>
    <row r="111" spans="1:3" ht="13.5" thickBot="1" x14ac:dyDescent="0.25">
      <c r="A111" s="74">
        <v>40224</v>
      </c>
      <c r="B111" s="75" t="s">
        <v>523</v>
      </c>
      <c r="C111" s="76" t="s">
        <v>525</v>
      </c>
    </row>
    <row r="112" spans="1:3" ht="13.5" thickBot="1" x14ac:dyDescent="0.25">
      <c r="A112" s="74">
        <v>40225</v>
      </c>
      <c r="B112" s="75" t="s">
        <v>526</v>
      </c>
      <c r="C112" s="76" t="s">
        <v>525</v>
      </c>
    </row>
    <row r="113" spans="1:3" ht="13.5" thickBot="1" x14ac:dyDescent="0.25">
      <c r="A113" s="74">
        <v>40270</v>
      </c>
      <c r="B113" s="75" t="s">
        <v>527</v>
      </c>
      <c r="C113" s="76" t="s">
        <v>528</v>
      </c>
    </row>
    <row r="114" spans="1:3" ht="13.5" thickBot="1" x14ac:dyDescent="0.25">
      <c r="A114" s="74">
        <v>40289</v>
      </c>
      <c r="B114" s="75" t="s">
        <v>540</v>
      </c>
      <c r="C114" s="76" t="s">
        <v>530</v>
      </c>
    </row>
    <row r="115" spans="1:3" ht="13.5" thickBot="1" x14ac:dyDescent="0.25">
      <c r="A115" s="74">
        <v>40299</v>
      </c>
      <c r="B115" s="75" t="s">
        <v>529</v>
      </c>
      <c r="C115" s="76" t="s">
        <v>531</v>
      </c>
    </row>
    <row r="116" spans="1:3" ht="13.5" thickBot="1" x14ac:dyDescent="0.25">
      <c r="A116" s="74">
        <v>40332</v>
      </c>
      <c r="B116" s="75" t="s">
        <v>532</v>
      </c>
      <c r="C116" s="76" t="s">
        <v>533</v>
      </c>
    </row>
    <row r="117" spans="1:3" ht="13.5" thickBot="1" x14ac:dyDescent="0.25">
      <c r="A117" s="74">
        <v>40428</v>
      </c>
      <c r="B117" s="75" t="s">
        <v>526</v>
      </c>
      <c r="C117" s="76" t="s">
        <v>534</v>
      </c>
    </row>
    <row r="118" spans="1:3" ht="14.25" thickBot="1" x14ac:dyDescent="0.25">
      <c r="A118" s="74">
        <v>40463</v>
      </c>
      <c r="B118" s="75" t="s">
        <v>526</v>
      </c>
      <c r="C118" s="76" t="s">
        <v>535</v>
      </c>
    </row>
    <row r="119" spans="1:3" ht="13.5" thickBot="1" x14ac:dyDescent="0.25">
      <c r="A119" s="74">
        <v>40484</v>
      </c>
      <c r="B119" s="75" t="s">
        <v>526</v>
      </c>
      <c r="C119" s="76" t="s">
        <v>536</v>
      </c>
    </row>
    <row r="120" spans="1:3" ht="13.5" thickBot="1" x14ac:dyDescent="0.25">
      <c r="A120" s="74">
        <v>40497</v>
      </c>
      <c r="B120" s="75" t="s">
        <v>523</v>
      </c>
      <c r="C120" s="76" t="s">
        <v>537</v>
      </c>
    </row>
    <row r="121" spans="1:3" ht="13.5" thickBot="1" x14ac:dyDescent="0.25">
      <c r="A121" s="74">
        <v>40537</v>
      </c>
      <c r="B121" s="75" t="s">
        <v>529</v>
      </c>
      <c r="C121" s="76" t="s">
        <v>538</v>
      </c>
    </row>
    <row r="122" spans="1:3" ht="13.5" thickBot="1" x14ac:dyDescent="0.25">
      <c r="A122" s="77">
        <v>40544</v>
      </c>
      <c r="B122" s="78" t="s">
        <v>529</v>
      </c>
      <c r="C122" s="79" t="s">
        <v>524</v>
      </c>
    </row>
    <row r="123" spans="1:3" ht="13.5" thickBot="1" x14ac:dyDescent="0.25">
      <c r="A123" s="68">
        <v>40609</v>
      </c>
      <c r="B123" s="69" t="s">
        <v>523</v>
      </c>
      <c r="C123" s="70" t="s">
        <v>525</v>
      </c>
    </row>
    <row r="124" spans="1:3" ht="13.5" thickBot="1" x14ac:dyDescent="0.25">
      <c r="A124" s="68">
        <v>40610</v>
      </c>
      <c r="B124" s="69" t="s">
        <v>526</v>
      </c>
      <c r="C124" s="70" t="s">
        <v>525</v>
      </c>
    </row>
    <row r="125" spans="1:3" ht="13.5" thickBot="1" x14ac:dyDescent="0.25">
      <c r="A125" s="68">
        <v>40654</v>
      </c>
      <c r="B125" s="69" t="s">
        <v>532</v>
      </c>
      <c r="C125" s="70" t="s">
        <v>528</v>
      </c>
    </row>
    <row r="126" spans="1:3" ht="13.5" thickBot="1" x14ac:dyDescent="0.25">
      <c r="A126" s="68">
        <v>40655</v>
      </c>
      <c r="B126" s="69" t="s">
        <v>527</v>
      </c>
      <c r="C126" s="70" t="s">
        <v>530</v>
      </c>
    </row>
    <row r="127" spans="1:3" ht="13.5" thickBot="1" x14ac:dyDescent="0.25">
      <c r="A127" s="68">
        <v>40664</v>
      </c>
      <c r="B127" s="69" t="s">
        <v>539</v>
      </c>
      <c r="C127" s="70" t="s">
        <v>531</v>
      </c>
    </row>
    <row r="128" spans="1:3" ht="13.5" thickBot="1" x14ac:dyDescent="0.25">
      <c r="A128" s="68">
        <v>40717</v>
      </c>
      <c r="B128" s="69" t="s">
        <v>532</v>
      </c>
      <c r="C128" s="70" t="s">
        <v>533</v>
      </c>
    </row>
    <row r="129" spans="1:3" ht="13.5" thickBot="1" x14ac:dyDescent="0.25">
      <c r="A129" s="68">
        <v>40793</v>
      </c>
      <c r="B129" s="69" t="s">
        <v>540</v>
      </c>
      <c r="C129" s="70" t="s">
        <v>534</v>
      </c>
    </row>
    <row r="130" spans="1:3" ht="14.25" thickBot="1" x14ac:dyDescent="0.25">
      <c r="A130" s="68">
        <v>40828</v>
      </c>
      <c r="B130" s="69" t="s">
        <v>540</v>
      </c>
      <c r="C130" s="70" t="s">
        <v>535</v>
      </c>
    </row>
    <row r="131" spans="1:3" ht="13.5" thickBot="1" x14ac:dyDescent="0.25">
      <c r="A131" s="68">
        <v>40849</v>
      </c>
      <c r="B131" s="69" t="s">
        <v>540</v>
      </c>
      <c r="C131" s="70" t="s">
        <v>536</v>
      </c>
    </row>
    <row r="132" spans="1:3" ht="13.5" thickBot="1" x14ac:dyDescent="0.25">
      <c r="A132" s="68">
        <v>40862</v>
      </c>
      <c r="B132" s="69" t="s">
        <v>526</v>
      </c>
      <c r="C132" s="70" t="s">
        <v>537</v>
      </c>
    </row>
    <row r="133" spans="1:3" ht="13.5" thickBot="1" x14ac:dyDescent="0.25">
      <c r="A133" s="68">
        <v>40902</v>
      </c>
      <c r="B133" s="69" t="s">
        <v>539</v>
      </c>
      <c r="C133" s="70" t="s">
        <v>538</v>
      </c>
    </row>
    <row r="134" spans="1:3" ht="13.5" thickBot="1" x14ac:dyDescent="0.25">
      <c r="A134" s="71">
        <v>40909</v>
      </c>
      <c r="B134" s="72" t="s">
        <v>539</v>
      </c>
      <c r="C134" s="73" t="s">
        <v>524</v>
      </c>
    </row>
    <row r="135" spans="1:3" ht="13.5" thickBot="1" x14ac:dyDescent="0.25">
      <c r="A135" s="74">
        <v>40959</v>
      </c>
      <c r="B135" s="75" t="s">
        <v>523</v>
      </c>
      <c r="C135" s="76" t="s">
        <v>525</v>
      </c>
    </row>
    <row r="136" spans="1:3" ht="13.5" thickBot="1" x14ac:dyDescent="0.25">
      <c r="A136" s="74">
        <v>40960</v>
      </c>
      <c r="B136" s="75" t="s">
        <v>526</v>
      </c>
      <c r="C136" s="76" t="s">
        <v>525</v>
      </c>
    </row>
    <row r="137" spans="1:3" ht="13.5" thickBot="1" x14ac:dyDescent="0.25">
      <c r="A137" s="74">
        <v>41005</v>
      </c>
      <c r="B137" s="75" t="s">
        <v>527</v>
      </c>
      <c r="C137" s="76" t="s">
        <v>528</v>
      </c>
    </row>
    <row r="138" spans="1:3" ht="13.5" thickBot="1" x14ac:dyDescent="0.25">
      <c r="A138" s="74">
        <v>41020</v>
      </c>
      <c r="B138" s="75" t="s">
        <v>529</v>
      </c>
      <c r="C138" s="76" t="s">
        <v>530</v>
      </c>
    </row>
    <row r="139" spans="1:3" ht="13.5" thickBot="1" x14ac:dyDescent="0.25">
      <c r="A139" s="74">
        <v>41030</v>
      </c>
      <c r="B139" s="75" t="s">
        <v>526</v>
      </c>
      <c r="C139" s="76" t="s">
        <v>531</v>
      </c>
    </row>
    <row r="140" spans="1:3" ht="13.5" thickBot="1" x14ac:dyDescent="0.25">
      <c r="A140" s="74">
        <v>41067</v>
      </c>
      <c r="B140" s="75" t="s">
        <v>532</v>
      </c>
      <c r="C140" s="76" t="s">
        <v>533</v>
      </c>
    </row>
    <row r="141" spans="1:3" ht="13.5" thickBot="1" x14ac:dyDescent="0.25">
      <c r="A141" s="74">
        <v>41159</v>
      </c>
      <c r="B141" s="75" t="s">
        <v>527</v>
      </c>
      <c r="C141" s="76" t="s">
        <v>534</v>
      </c>
    </row>
    <row r="142" spans="1:3" ht="14.25" thickBot="1" x14ac:dyDescent="0.25">
      <c r="A142" s="74">
        <v>41194</v>
      </c>
      <c r="B142" s="75" t="s">
        <v>527</v>
      </c>
      <c r="C142" s="76" t="s">
        <v>535</v>
      </c>
    </row>
    <row r="143" spans="1:3" ht="13.5" thickBot="1" x14ac:dyDescent="0.25">
      <c r="A143" s="74">
        <v>41215</v>
      </c>
      <c r="B143" s="75" t="s">
        <v>527</v>
      </c>
      <c r="C143" s="76" t="s">
        <v>536</v>
      </c>
    </row>
    <row r="144" spans="1:3" ht="13.5" thickBot="1" x14ac:dyDescent="0.25">
      <c r="A144" s="74">
        <v>41228</v>
      </c>
      <c r="B144" s="75" t="s">
        <v>532</v>
      </c>
      <c r="C144" s="76" t="s">
        <v>537</v>
      </c>
    </row>
    <row r="145" spans="1:3" ht="13.5" thickBot="1" x14ac:dyDescent="0.25">
      <c r="A145" s="74">
        <v>41268</v>
      </c>
      <c r="B145" s="75" t="s">
        <v>526</v>
      </c>
      <c r="C145" s="76" t="s">
        <v>538</v>
      </c>
    </row>
    <row r="146" spans="1:3" ht="13.5" thickBot="1" x14ac:dyDescent="0.25">
      <c r="A146" s="77">
        <v>41275</v>
      </c>
      <c r="B146" s="78" t="s">
        <v>526</v>
      </c>
      <c r="C146" s="79" t="s">
        <v>524</v>
      </c>
    </row>
    <row r="147" spans="1:3" ht="13.5" thickBot="1" x14ac:dyDescent="0.25">
      <c r="A147" s="68">
        <v>41316</v>
      </c>
      <c r="B147" s="69" t="s">
        <v>523</v>
      </c>
      <c r="C147" s="70" t="s">
        <v>525</v>
      </c>
    </row>
    <row r="148" spans="1:3" ht="13.5" thickBot="1" x14ac:dyDescent="0.25">
      <c r="A148" s="68">
        <v>41317</v>
      </c>
      <c r="B148" s="69" t="s">
        <v>526</v>
      </c>
      <c r="C148" s="70" t="s">
        <v>525</v>
      </c>
    </row>
    <row r="149" spans="1:3" ht="13.5" thickBot="1" x14ac:dyDescent="0.25">
      <c r="A149" s="68">
        <v>41362</v>
      </c>
      <c r="B149" s="69" t="s">
        <v>527</v>
      </c>
      <c r="C149" s="70" t="s">
        <v>528</v>
      </c>
    </row>
    <row r="150" spans="1:3" ht="13.5" thickBot="1" x14ac:dyDescent="0.25">
      <c r="A150" s="68">
        <v>41385</v>
      </c>
      <c r="B150" s="69" t="s">
        <v>539</v>
      </c>
      <c r="C150" s="70" t="s">
        <v>530</v>
      </c>
    </row>
    <row r="151" spans="1:3" ht="13.5" thickBot="1" x14ac:dyDescent="0.25">
      <c r="A151" s="68">
        <v>41395</v>
      </c>
      <c r="B151" s="69" t="s">
        <v>540</v>
      </c>
      <c r="C151" s="70" t="s">
        <v>531</v>
      </c>
    </row>
    <row r="152" spans="1:3" ht="13.5" thickBot="1" x14ac:dyDescent="0.25">
      <c r="A152" s="68">
        <v>41424</v>
      </c>
      <c r="B152" s="69" t="s">
        <v>532</v>
      </c>
      <c r="C152" s="70" t="s">
        <v>533</v>
      </c>
    </row>
    <row r="153" spans="1:3" ht="13.5" thickBot="1" x14ac:dyDescent="0.25">
      <c r="A153" s="68">
        <v>41524</v>
      </c>
      <c r="B153" s="69" t="s">
        <v>529</v>
      </c>
      <c r="C153" s="70" t="s">
        <v>534</v>
      </c>
    </row>
    <row r="154" spans="1:3" ht="14.25" thickBot="1" x14ac:dyDescent="0.25">
      <c r="A154" s="68">
        <v>41559</v>
      </c>
      <c r="B154" s="69" t="s">
        <v>529</v>
      </c>
      <c r="C154" s="70" t="s">
        <v>535</v>
      </c>
    </row>
    <row r="155" spans="1:3" ht="13.5" thickBot="1" x14ac:dyDescent="0.25">
      <c r="A155" s="68">
        <v>41580</v>
      </c>
      <c r="B155" s="69" t="s">
        <v>529</v>
      </c>
      <c r="C155" s="70" t="s">
        <v>536</v>
      </c>
    </row>
    <row r="156" spans="1:3" ht="13.5" thickBot="1" x14ac:dyDescent="0.25">
      <c r="A156" s="68">
        <v>41593</v>
      </c>
      <c r="B156" s="69" t="s">
        <v>527</v>
      </c>
      <c r="C156" s="70" t="s">
        <v>537</v>
      </c>
    </row>
    <row r="157" spans="1:3" ht="13.5" thickBot="1" x14ac:dyDescent="0.25">
      <c r="A157" s="68">
        <v>41633</v>
      </c>
      <c r="B157" s="69" t="s">
        <v>540</v>
      </c>
      <c r="C157" s="70" t="s">
        <v>538</v>
      </c>
    </row>
    <row r="158" spans="1:3" ht="13.5" thickBot="1" x14ac:dyDescent="0.25">
      <c r="A158" s="71">
        <v>41640</v>
      </c>
      <c r="B158" s="72" t="s">
        <v>540</v>
      </c>
      <c r="C158" s="73" t="s">
        <v>524</v>
      </c>
    </row>
    <row r="159" spans="1:3" ht="13.5" thickBot="1" x14ac:dyDescent="0.25">
      <c r="A159" s="74">
        <v>41701</v>
      </c>
      <c r="B159" s="75" t="s">
        <v>523</v>
      </c>
      <c r="C159" s="76" t="s">
        <v>525</v>
      </c>
    </row>
    <row r="160" spans="1:3" ht="13.5" thickBot="1" x14ac:dyDescent="0.25">
      <c r="A160" s="74">
        <v>41702</v>
      </c>
      <c r="B160" s="75" t="s">
        <v>526</v>
      </c>
      <c r="C160" s="76" t="s">
        <v>525</v>
      </c>
    </row>
    <row r="161" spans="1:3" ht="13.5" thickBot="1" x14ac:dyDescent="0.25">
      <c r="A161" s="74">
        <v>41747</v>
      </c>
      <c r="B161" s="75" t="s">
        <v>527</v>
      </c>
      <c r="C161" s="76" t="s">
        <v>528</v>
      </c>
    </row>
    <row r="162" spans="1:3" ht="13.5" thickBot="1" x14ac:dyDescent="0.25">
      <c r="A162" s="74">
        <v>41750</v>
      </c>
      <c r="B162" s="75" t="s">
        <v>523</v>
      </c>
      <c r="C162" s="76" t="s">
        <v>530</v>
      </c>
    </row>
    <row r="163" spans="1:3" ht="13.5" thickBot="1" x14ac:dyDescent="0.25">
      <c r="A163" s="74">
        <v>41760</v>
      </c>
      <c r="B163" s="75" t="s">
        <v>532</v>
      </c>
      <c r="C163" s="76" t="s">
        <v>531</v>
      </c>
    </row>
    <row r="164" spans="1:3" ht="13.5" thickBot="1" x14ac:dyDescent="0.25">
      <c r="A164" s="74">
        <v>41809</v>
      </c>
      <c r="B164" s="75" t="s">
        <v>532</v>
      </c>
      <c r="C164" s="76" t="s">
        <v>533</v>
      </c>
    </row>
    <row r="165" spans="1:3" ht="13.5" thickBot="1" x14ac:dyDescent="0.25">
      <c r="A165" s="74">
        <v>41889</v>
      </c>
      <c r="B165" s="75" t="s">
        <v>539</v>
      </c>
      <c r="C165" s="76" t="s">
        <v>534</v>
      </c>
    </row>
    <row r="166" spans="1:3" ht="14.25" thickBot="1" x14ac:dyDescent="0.25">
      <c r="A166" s="74">
        <v>41924</v>
      </c>
      <c r="B166" s="75" t="s">
        <v>539</v>
      </c>
      <c r="C166" s="76" t="s">
        <v>535</v>
      </c>
    </row>
    <row r="167" spans="1:3" ht="13.5" thickBot="1" x14ac:dyDescent="0.25">
      <c r="A167" s="74">
        <v>41945</v>
      </c>
      <c r="B167" s="75" t="s">
        <v>539</v>
      </c>
      <c r="C167" s="76" t="s">
        <v>536</v>
      </c>
    </row>
    <row r="168" spans="1:3" ht="13.5" thickBot="1" x14ac:dyDescent="0.25">
      <c r="A168" s="74">
        <v>41958</v>
      </c>
      <c r="B168" s="75" t="s">
        <v>529</v>
      </c>
      <c r="C168" s="76" t="s">
        <v>537</v>
      </c>
    </row>
    <row r="169" spans="1:3" ht="13.5" thickBot="1" x14ac:dyDescent="0.25">
      <c r="A169" s="74">
        <v>41998</v>
      </c>
      <c r="B169" s="75" t="s">
        <v>532</v>
      </c>
      <c r="C169" s="76" t="s">
        <v>538</v>
      </c>
    </row>
    <row r="170" spans="1:3" ht="13.5" thickBot="1" x14ac:dyDescent="0.25">
      <c r="A170" s="77">
        <v>42005</v>
      </c>
      <c r="B170" s="78" t="s">
        <v>532</v>
      </c>
      <c r="C170" s="79" t="s">
        <v>524</v>
      </c>
    </row>
    <row r="171" spans="1:3" ht="13.5" thickBot="1" x14ac:dyDescent="0.25">
      <c r="A171" s="68">
        <v>42051</v>
      </c>
      <c r="B171" s="69" t="s">
        <v>523</v>
      </c>
      <c r="C171" s="70" t="s">
        <v>525</v>
      </c>
    </row>
    <row r="172" spans="1:3" ht="13.5" thickBot="1" x14ac:dyDescent="0.25">
      <c r="A172" s="68">
        <v>42052</v>
      </c>
      <c r="B172" s="69" t="s">
        <v>526</v>
      </c>
      <c r="C172" s="70" t="s">
        <v>525</v>
      </c>
    </row>
    <row r="173" spans="1:3" ht="13.5" thickBot="1" x14ac:dyDescent="0.25">
      <c r="A173" s="68">
        <v>42097</v>
      </c>
      <c r="B173" s="69" t="s">
        <v>527</v>
      </c>
      <c r="C173" s="70" t="s">
        <v>528</v>
      </c>
    </row>
    <row r="174" spans="1:3" ht="13.5" thickBot="1" x14ac:dyDescent="0.25">
      <c r="A174" s="68">
        <v>42115</v>
      </c>
      <c r="B174" s="69" t="s">
        <v>526</v>
      </c>
      <c r="C174" s="70" t="s">
        <v>530</v>
      </c>
    </row>
    <row r="175" spans="1:3" ht="13.5" thickBot="1" x14ac:dyDescent="0.25">
      <c r="A175" s="68">
        <v>42125</v>
      </c>
      <c r="B175" s="69" t="s">
        <v>527</v>
      </c>
      <c r="C175" s="70" t="s">
        <v>531</v>
      </c>
    </row>
    <row r="176" spans="1:3" ht="13.5" thickBot="1" x14ac:dyDescent="0.25">
      <c r="A176" s="68">
        <v>42159</v>
      </c>
      <c r="B176" s="69" t="s">
        <v>532</v>
      </c>
      <c r="C176" s="70" t="s">
        <v>533</v>
      </c>
    </row>
    <row r="177" spans="1:3" ht="13.5" thickBot="1" x14ac:dyDescent="0.25">
      <c r="A177" s="68">
        <v>42254</v>
      </c>
      <c r="B177" s="69" t="s">
        <v>523</v>
      </c>
      <c r="C177" s="70" t="s">
        <v>534</v>
      </c>
    </row>
    <row r="178" spans="1:3" ht="14.25" thickBot="1" x14ac:dyDescent="0.25">
      <c r="A178" s="68">
        <v>42289</v>
      </c>
      <c r="B178" s="69" t="s">
        <v>523</v>
      </c>
      <c r="C178" s="70" t="s">
        <v>535</v>
      </c>
    </row>
    <row r="179" spans="1:3" ht="13.5" thickBot="1" x14ac:dyDescent="0.25">
      <c r="A179" s="68">
        <v>42310</v>
      </c>
      <c r="B179" s="69" t="s">
        <v>523</v>
      </c>
      <c r="C179" s="70" t="s">
        <v>536</v>
      </c>
    </row>
    <row r="180" spans="1:3" ht="13.5" thickBot="1" x14ac:dyDescent="0.25">
      <c r="A180" s="68">
        <v>42323</v>
      </c>
      <c r="B180" s="69" t="s">
        <v>539</v>
      </c>
      <c r="C180" s="70" t="s">
        <v>537</v>
      </c>
    </row>
    <row r="181" spans="1:3" ht="13.5" thickBot="1" x14ac:dyDescent="0.25">
      <c r="A181" s="68">
        <v>42363</v>
      </c>
      <c r="B181" s="69" t="s">
        <v>527</v>
      </c>
      <c r="C181" s="70" t="s">
        <v>538</v>
      </c>
    </row>
    <row r="182" spans="1:3" ht="13.5" thickBot="1" x14ac:dyDescent="0.25">
      <c r="A182" s="71">
        <v>42370</v>
      </c>
      <c r="B182" s="72" t="s">
        <v>527</v>
      </c>
      <c r="C182" s="73" t="s">
        <v>524</v>
      </c>
    </row>
    <row r="183" spans="1:3" ht="13.5" thickBot="1" x14ac:dyDescent="0.25">
      <c r="A183" s="74">
        <v>42408</v>
      </c>
      <c r="B183" s="75" t="s">
        <v>523</v>
      </c>
      <c r="C183" s="76" t="s">
        <v>525</v>
      </c>
    </row>
    <row r="184" spans="1:3" ht="13.5" thickBot="1" x14ac:dyDescent="0.25">
      <c r="A184" s="74">
        <v>42409</v>
      </c>
      <c r="B184" s="75" t="s">
        <v>526</v>
      </c>
      <c r="C184" s="76" t="s">
        <v>525</v>
      </c>
    </row>
    <row r="185" spans="1:3" ht="13.5" thickBot="1" x14ac:dyDescent="0.25">
      <c r="A185" s="74">
        <v>42454</v>
      </c>
      <c r="B185" s="75" t="s">
        <v>527</v>
      </c>
      <c r="C185" s="76" t="s">
        <v>528</v>
      </c>
    </row>
    <row r="186" spans="1:3" ht="13.5" thickBot="1" x14ac:dyDescent="0.25">
      <c r="A186" s="74">
        <v>42481</v>
      </c>
      <c r="B186" s="75" t="s">
        <v>532</v>
      </c>
      <c r="C186" s="76" t="s">
        <v>530</v>
      </c>
    </row>
    <row r="187" spans="1:3" ht="13.5" thickBot="1" x14ac:dyDescent="0.25">
      <c r="A187" s="74">
        <v>42491</v>
      </c>
      <c r="B187" s="75" t="s">
        <v>539</v>
      </c>
      <c r="C187" s="76" t="s">
        <v>531</v>
      </c>
    </row>
    <row r="188" spans="1:3" ht="13.5" thickBot="1" x14ac:dyDescent="0.25">
      <c r="A188" s="74">
        <v>42516</v>
      </c>
      <c r="B188" s="75" t="s">
        <v>532</v>
      </c>
      <c r="C188" s="76" t="s">
        <v>533</v>
      </c>
    </row>
    <row r="189" spans="1:3" ht="13.5" thickBot="1" x14ac:dyDescent="0.25">
      <c r="A189" s="74">
        <v>42620</v>
      </c>
      <c r="B189" s="75" t="s">
        <v>540</v>
      </c>
      <c r="C189" s="76" t="s">
        <v>534</v>
      </c>
    </row>
    <row r="190" spans="1:3" ht="14.25" thickBot="1" x14ac:dyDescent="0.25">
      <c r="A190" s="74">
        <v>42655</v>
      </c>
      <c r="B190" s="75" t="s">
        <v>540</v>
      </c>
      <c r="C190" s="76" t="s">
        <v>535</v>
      </c>
    </row>
    <row r="191" spans="1:3" ht="13.5" thickBot="1" x14ac:dyDescent="0.25">
      <c r="A191" s="74">
        <v>42676</v>
      </c>
      <c r="B191" s="75" t="s">
        <v>540</v>
      </c>
      <c r="C191" s="76" t="s">
        <v>536</v>
      </c>
    </row>
    <row r="192" spans="1:3" ht="13.5" thickBot="1" x14ac:dyDescent="0.25">
      <c r="A192" s="74">
        <v>42689</v>
      </c>
      <c r="B192" s="75" t="s">
        <v>526</v>
      </c>
      <c r="C192" s="76" t="s">
        <v>537</v>
      </c>
    </row>
    <row r="193" spans="1:3" ht="13.5" thickBot="1" x14ac:dyDescent="0.25">
      <c r="A193" s="74">
        <v>42729</v>
      </c>
      <c r="B193" s="75" t="s">
        <v>539</v>
      </c>
      <c r="C193" s="76" t="s">
        <v>538</v>
      </c>
    </row>
    <row r="194" spans="1:3" ht="13.5" thickBot="1" x14ac:dyDescent="0.25">
      <c r="A194" s="77">
        <v>42736</v>
      </c>
      <c r="B194" s="78" t="s">
        <v>539</v>
      </c>
      <c r="C194" s="79" t="s">
        <v>524</v>
      </c>
    </row>
    <row r="195" spans="1:3" ht="13.5" thickBot="1" x14ac:dyDescent="0.25">
      <c r="A195" s="68">
        <v>42793</v>
      </c>
      <c r="B195" s="69" t="s">
        <v>523</v>
      </c>
      <c r="C195" s="70" t="s">
        <v>525</v>
      </c>
    </row>
    <row r="196" spans="1:3" ht="13.5" thickBot="1" x14ac:dyDescent="0.25">
      <c r="A196" s="68">
        <v>42794</v>
      </c>
      <c r="B196" s="69" t="s">
        <v>526</v>
      </c>
      <c r="C196" s="70" t="s">
        <v>525</v>
      </c>
    </row>
    <row r="197" spans="1:3" ht="13.5" thickBot="1" x14ac:dyDescent="0.25">
      <c r="A197" s="68">
        <v>42839</v>
      </c>
      <c r="B197" s="69" t="s">
        <v>527</v>
      </c>
      <c r="C197" s="70" t="s">
        <v>528</v>
      </c>
    </row>
    <row r="198" spans="1:3" ht="13.5" thickBot="1" x14ac:dyDescent="0.25">
      <c r="A198" s="68">
        <v>42846</v>
      </c>
      <c r="B198" s="69" t="s">
        <v>527</v>
      </c>
      <c r="C198" s="70" t="s">
        <v>530</v>
      </c>
    </row>
    <row r="199" spans="1:3" ht="13.5" thickBot="1" x14ac:dyDescent="0.25">
      <c r="A199" s="68">
        <v>42856</v>
      </c>
      <c r="B199" s="69" t="s">
        <v>523</v>
      </c>
      <c r="C199" s="70" t="s">
        <v>531</v>
      </c>
    </row>
    <row r="200" spans="1:3" ht="13.5" thickBot="1" x14ac:dyDescent="0.25">
      <c r="A200" s="68">
        <v>42901</v>
      </c>
      <c r="B200" s="69" t="s">
        <v>532</v>
      </c>
      <c r="C200" s="70" t="s">
        <v>533</v>
      </c>
    </row>
    <row r="201" spans="1:3" ht="13.5" thickBot="1" x14ac:dyDescent="0.25">
      <c r="A201" s="68">
        <v>42985</v>
      </c>
      <c r="B201" s="69" t="s">
        <v>532</v>
      </c>
      <c r="C201" s="70" t="s">
        <v>534</v>
      </c>
    </row>
    <row r="202" spans="1:3" ht="14.25" thickBot="1" x14ac:dyDescent="0.25">
      <c r="A202" s="68">
        <v>43020</v>
      </c>
      <c r="B202" s="69" t="s">
        <v>532</v>
      </c>
      <c r="C202" s="70" t="s">
        <v>535</v>
      </c>
    </row>
    <row r="203" spans="1:3" ht="13.5" thickBot="1" x14ac:dyDescent="0.25">
      <c r="A203" s="68">
        <v>43041</v>
      </c>
      <c r="B203" s="69" t="s">
        <v>532</v>
      </c>
      <c r="C203" s="70" t="s">
        <v>536</v>
      </c>
    </row>
    <row r="204" spans="1:3" ht="13.5" thickBot="1" x14ac:dyDescent="0.25">
      <c r="A204" s="68">
        <v>43054</v>
      </c>
      <c r="B204" s="69" t="s">
        <v>540</v>
      </c>
      <c r="C204" s="70" t="s">
        <v>537</v>
      </c>
    </row>
    <row r="205" spans="1:3" ht="13.5" thickBot="1" x14ac:dyDescent="0.25">
      <c r="A205" s="68">
        <v>43094</v>
      </c>
      <c r="B205" s="69" t="s">
        <v>523</v>
      </c>
      <c r="C205" s="70" t="s">
        <v>538</v>
      </c>
    </row>
    <row r="206" spans="1:3" ht="13.5" thickBot="1" x14ac:dyDescent="0.25">
      <c r="A206" s="71">
        <v>43101</v>
      </c>
      <c r="B206" s="72" t="s">
        <v>523</v>
      </c>
      <c r="C206" s="73" t="s">
        <v>524</v>
      </c>
    </row>
    <row r="207" spans="1:3" ht="13.5" thickBot="1" x14ac:dyDescent="0.25">
      <c r="A207" s="74">
        <v>43143</v>
      </c>
      <c r="B207" s="75" t="s">
        <v>523</v>
      </c>
      <c r="C207" s="76" t="s">
        <v>525</v>
      </c>
    </row>
    <row r="208" spans="1:3" ht="13.5" thickBot="1" x14ac:dyDescent="0.25">
      <c r="A208" s="74">
        <v>43144</v>
      </c>
      <c r="B208" s="75" t="s">
        <v>526</v>
      </c>
      <c r="C208" s="76" t="s">
        <v>525</v>
      </c>
    </row>
    <row r="209" spans="1:3" ht="13.5" thickBot="1" x14ac:dyDescent="0.25">
      <c r="A209" s="74">
        <v>43189</v>
      </c>
      <c r="B209" s="75" t="s">
        <v>527</v>
      </c>
      <c r="C209" s="76" t="s">
        <v>528</v>
      </c>
    </row>
    <row r="210" spans="1:3" ht="13.5" thickBot="1" x14ac:dyDescent="0.25">
      <c r="A210" s="74">
        <v>43211</v>
      </c>
      <c r="B210" s="75" t="s">
        <v>529</v>
      </c>
      <c r="C210" s="76" t="s">
        <v>530</v>
      </c>
    </row>
    <row r="211" spans="1:3" ht="13.5" thickBot="1" x14ac:dyDescent="0.25">
      <c r="A211" s="74">
        <v>43221</v>
      </c>
      <c r="B211" s="75" t="s">
        <v>526</v>
      </c>
      <c r="C211" s="76" t="s">
        <v>531</v>
      </c>
    </row>
    <row r="212" spans="1:3" ht="13.5" thickBot="1" x14ac:dyDescent="0.25">
      <c r="A212" s="74">
        <v>43251</v>
      </c>
      <c r="B212" s="75" t="s">
        <v>532</v>
      </c>
      <c r="C212" s="76" t="s">
        <v>533</v>
      </c>
    </row>
    <row r="213" spans="1:3" ht="13.5" thickBot="1" x14ac:dyDescent="0.25">
      <c r="A213" s="74">
        <v>43350</v>
      </c>
      <c r="B213" s="75" t="s">
        <v>527</v>
      </c>
      <c r="C213" s="76" t="s">
        <v>534</v>
      </c>
    </row>
    <row r="214" spans="1:3" ht="14.25" thickBot="1" x14ac:dyDescent="0.25">
      <c r="A214" s="74">
        <v>43385</v>
      </c>
      <c r="B214" s="75" t="s">
        <v>527</v>
      </c>
      <c r="C214" s="76" t="s">
        <v>535</v>
      </c>
    </row>
    <row r="215" spans="1:3" ht="13.5" thickBot="1" x14ac:dyDescent="0.25">
      <c r="A215" s="74">
        <v>43406</v>
      </c>
      <c r="B215" s="75" t="s">
        <v>527</v>
      </c>
      <c r="C215" s="76" t="s">
        <v>536</v>
      </c>
    </row>
    <row r="216" spans="1:3" ht="13.5" thickBot="1" x14ac:dyDescent="0.25">
      <c r="A216" s="74">
        <v>43419</v>
      </c>
      <c r="B216" s="75" t="s">
        <v>532</v>
      </c>
      <c r="C216" s="76" t="s">
        <v>537</v>
      </c>
    </row>
    <row r="217" spans="1:3" ht="13.5" thickBot="1" x14ac:dyDescent="0.25">
      <c r="A217" s="74">
        <v>43459</v>
      </c>
      <c r="B217" s="75" t="s">
        <v>526</v>
      </c>
      <c r="C217" s="76" t="s">
        <v>538</v>
      </c>
    </row>
    <row r="218" spans="1:3" ht="13.5" thickBot="1" x14ac:dyDescent="0.25">
      <c r="A218" s="77">
        <v>43466</v>
      </c>
      <c r="B218" s="78" t="s">
        <v>526</v>
      </c>
      <c r="C218" s="79" t="s">
        <v>524</v>
      </c>
    </row>
    <row r="219" spans="1:3" ht="13.5" thickBot="1" x14ac:dyDescent="0.25">
      <c r="A219" s="68">
        <v>43528</v>
      </c>
      <c r="B219" s="69" t="s">
        <v>523</v>
      </c>
      <c r="C219" s="70" t="s">
        <v>525</v>
      </c>
    </row>
    <row r="220" spans="1:3" ht="13.5" thickBot="1" x14ac:dyDescent="0.25">
      <c r="A220" s="68">
        <v>43529</v>
      </c>
      <c r="B220" s="69" t="s">
        <v>526</v>
      </c>
      <c r="C220" s="70" t="s">
        <v>525</v>
      </c>
    </row>
    <row r="221" spans="1:3" ht="13.5" thickBot="1" x14ac:dyDescent="0.25">
      <c r="A221" s="68">
        <v>43574</v>
      </c>
      <c r="B221" s="69" t="s">
        <v>527</v>
      </c>
      <c r="C221" s="70" t="s">
        <v>528</v>
      </c>
    </row>
    <row r="222" spans="1:3" ht="13.5" thickBot="1" x14ac:dyDescent="0.25">
      <c r="A222" s="68">
        <v>43576</v>
      </c>
      <c r="B222" s="69" t="s">
        <v>539</v>
      </c>
      <c r="C222" s="70" t="s">
        <v>530</v>
      </c>
    </row>
    <row r="223" spans="1:3" ht="13.5" thickBot="1" x14ac:dyDescent="0.25">
      <c r="A223" s="68">
        <v>43586</v>
      </c>
      <c r="B223" s="69" t="s">
        <v>540</v>
      </c>
      <c r="C223" s="70" t="s">
        <v>531</v>
      </c>
    </row>
    <row r="224" spans="1:3" ht="13.5" thickBot="1" x14ac:dyDescent="0.25">
      <c r="A224" s="68">
        <v>43636</v>
      </c>
      <c r="B224" s="69" t="s">
        <v>532</v>
      </c>
      <c r="C224" s="70" t="s">
        <v>533</v>
      </c>
    </row>
    <row r="225" spans="1:3" ht="13.5" thickBot="1" x14ac:dyDescent="0.25">
      <c r="A225" s="68">
        <v>43715</v>
      </c>
      <c r="B225" s="69" t="s">
        <v>529</v>
      </c>
      <c r="C225" s="70" t="s">
        <v>534</v>
      </c>
    </row>
    <row r="226" spans="1:3" ht="14.25" thickBot="1" x14ac:dyDescent="0.25">
      <c r="A226" s="68">
        <v>43750</v>
      </c>
      <c r="B226" s="69" t="s">
        <v>529</v>
      </c>
      <c r="C226" s="70" t="s">
        <v>535</v>
      </c>
    </row>
    <row r="227" spans="1:3" ht="13.5" thickBot="1" x14ac:dyDescent="0.25">
      <c r="A227" s="68">
        <v>43771</v>
      </c>
      <c r="B227" s="69" t="s">
        <v>529</v>
      </c>
      <c r="C227" s="70" t="s">
        <v>536</v>
      </c>
    </row>
    <row r="228" spans="1:3" ht="13.5" thickBot="1" x14ac:dyDescent="0.25">
      <c r="A228" s="68">
        <v>43784</v>
      </c>
      <c r="B228" s="69" t="s">
        <v>527</v>
      </c>
      <c r="C228" s="70" t="s">
        <v>537</v>
      </c>
    </row>
    <row r="229" spans="1:3" ht="13.5" thickBot="1" x14ac:dyDescent="0.25">
      <c r="A229" s="68">
        <v>43824</v>
      </c>
      <c r="B229" s="69" t="s">
        <v>540</v>
      </c>
      <c r="C229" s="70" t="s">
        <v>538</v>
      </c>
    </row>
    <row r="230" spans="1:3" ht="13.5" thickBot="1" x14ac:dyDescent="0.25">
      <c r="A230" s="71">
        <v>43831</v>
      </c>
      <c r="B230" s="72" t="s">
        <v>540</v>
      </c>
      <c r="C230" s="73" t="s">
        <v>524</v>
      </c>
    </row>
    <row r="231" spans="1:3" ht="13.5" thickBot="1" x14ac:dyDescent="0.25">
      <c r="A231" s="74">
        <v>43885</v>
      </c>
      <c r="B231" s="75" t="s">
        <v>523</v>
      </c>
      <c r="C231" s="76" t="s">
        <v>525</v>
      </c>
    </row>
    <row r="232" spans="1:3" ht="13.5" thickBot="1" x14ac:dyDescent="0.25">
      <c r="A232" s="74">
        <v>43886</v>
      </c>
      <c r="B232" s="75" t="s">
        <v>526</v>
      </c>
      <c r="C232" s="76" t="s">
        <v>525</v>
      </c>
    </row>
    <row r="233" spans="1:3" ht="13.5" thickBot="1" x14ac:dyDescent="0.25">
      <c r="A233" s="74">
        <v>43931</v>
      </c>
      <c r="B233" s="75" t="s">
        <v>527</v>
      </c>
      <c r="C233" s="76" t="s">
        <v>528</v>
      </c>
    </row>
    <row r="234" spans="1:3" ht="13.5" thickBot="1" x14ac:dyDescent="0.25">
      <c r="A234" s="74">
        <v>43942</v>
      </c>
      <c r="B234" s="75" t="s">
        <v>526</v>
      </c>
      <c r="C234" s="76" t="s">
        <v>530</v>
      </c>
    </row>
    <row r="235" spans="1:3" ht="13.5" thickBot="1" x14ac:dyDescent="0.25">
      <c r="A235" s="74">
        <v>43952</v>
      </c>
      <c r="B235" s="75" t="s">
        <v>527</v>
      </c>
      <c r="C235" s="76" t="s">
        <v>531</v>
      </c>
    </row>
    <row r="236" spans="1:3" ht="13.5" thickBot="1" x14ac:dyDescent="0.25">
      <c r="A236" s="74">
        <v>43993</v>
      </c>
      <c r="B236" s="75" t="s">
        <v>532</v>
      </c>
      <c r="C236" s="76" t="s">
        <v>533</v>
      </c>
    </row>
    <row r="237" spans="1:3" ht="13.5" thickBot="1" x14ac:dyDescent="0.25">
      <c r="A237" s="74">
        <v>44081</v>
      </c>
      <c r="B237" s="75" t="s">
        <v>523</v>
      </c>
      <c r="C237" s="76" t="s">
        <v>534</v>
      </c>
    </row>
    <row r="238" spans="1:3" ht="14.25" thickBot="1" x14ac:dyDescent="0.25">
      <c r="A238" s="74">
        <v>44116</v>
      </c>
      <c r="B238" s="75" t="s">
        <v>523</v>
      </c>
      <c r="C238" s="76" t="s">
        <v>535</v>
      </c>
    </row>
    <row r="239" spans="1:3" ht="13.5" thickBot="1" x14ac:dyDescent="0.25">
      <c r="A239" s="74">
        <v>44137</v>
      </c>
      <c r="B239" s="75" t="s">
        <v>523</v>
      </c>
      <c r="C239" s="76" t="s">
        <v>536</v>
      </c>
    </row>
    <row r="240" spans="1:3" ht="13.5" thickBot="1" x14ac:dyDescent="0.25">
      <c r="A240" s="74">
        <v>44150</v>
      </c>
      <c r="B240" s="75" t="s">
        <v>539</v>
      </c>
      <c r="C240" s="76" t="s">
        <v>537</v>
      </c>
    </row>
    <row r="241" spans="1:3" ht="13.5" thickBot="1" x14ac:dyDescent="0.25">
      <c r="A241" s="74">
        <v>44190</v>
      </c>
      <c r="B241" s="75" t="s">
        <v>527</v>
      </c>
      <c r="C241" s="76" t="s">
        <v>538</v>
      </c>
    </row>
    <row r="242" spans="1:3" ht="13.5" thickBot="1" x14ac:dyDescent="0.25">
      <c r="A242" s="77">
        <v>44197</v>
      </c>
      <c r="B242" s="78" t="s">
        <v>527</v>
      </c>
      <c r="C242" s="79" t="s">
        <v>524</v>
      </c>
    </row>
    <row r="243" spans="1:3" ht="13.5" thickBot="1" x14ac:dyDescent="0.25">
      <c r="A243" s="68">
        <v>44242</v>
      </c>
      <c r="B243" s="69" t="s">
        <v>523</v>
      </c>
      <c r="C243" s="70" t="s">
        <v>525</v>
      </c>
    </row>
    <row r="244" spans="1:3" ht="13.5" thickBot="1" x14ac:dyDescent="0.25">
      <c r="A244" s="68">
        <v>44243</v>
      </c>
      <c r="B244" s="69" t="s">
        <v>526</v>
      </c>
      <c r="C244" s="70" t="s">
        <v>525</v>
      </c>
    </row>
    <row r="245" spans="1:3" ht="13.5" thickBot="1" x14ac:dyDescent="0.25">
      <c r="A245" s="68">
        <v>44288</v>
      </c>
      <c r="B245" s="69" t="s">
        <v>527</v>
      </c>
      <c r="C245" s="70" t="s">
        <v>528</v>
      </c>
    </row>
    <row r="246" spans="1:3" ht="13.5" thickBot="1" x14ac:dyDescent="0.25">
      <c r="A246" s="68">
        <v>44307</v>
      </c>
      <c r="B246" s="69" t="s">
        <v>540</v>
      </c>
      <c r="C246" s="70" t="s">
        <v>530</v>
      </c>
    </row>
    <row r="247" spans="1:3" ht="13.5" thickBot="1" x14ac:dyDescent="0.25">
      <c r="A247" s="68">
        <v>44317</v>
      </c>
      <c r="B247" s="69" t="s">
        <v>529</v>
      </c>
      <c r="C247" s="70" t="s">
        <v>531</v>
      </c>
    </row>
    <row r="248" spans="1:3" ht="13.5" thickBot="1" x14ac:dyDescent="0.25">
      <c r="A248" s="68">
        <v>44350</v>
      </c>
      <c r="B248" s="69" t="s">
        <v>532</v>
      </c>
      <c r="C248" s="70" t="s">
        <v>533</v>
      </c>
    </row>
    <row r="249" spans="1:3" ht="13.5" thickBot="1" x14ac:dyDescent="0.25">
      <c r="A249" s="68">
        <v>44446</v>
      </c>
      <c r="B249" s="69" t="s">
        <v>526</v>
      </c>
      <c r="C249" s="70" t="s">
        <v>534</v>
      </c>
    </row>
    <row r="250" spans="1:3" ht="14.25" thickBot="1" x14ac:dyDescent="0.25">
      <c r="A250" s="68">
        <v>44481</v>
      </c>
      <c r="B250" s="69" t="s">
        <v>526</v>
      </c>
      <c r="C250" s="70" t="s">
        <v>535</v>
      </c>
    </row>
    <row r="251" spans="1:3" ht="13.5" thickBot="1" x14ac:dyDescent="0.25">
      <c r="A251" s="68">
        <v>44502</v>
      </c>
      <c r="B251" s="69" t="s">
        <v>526</v>
      </c>
      <c r="C251" s="70" t="s">
        <v>536</v>
      </c>
    </row>
    <row r="252" spans="1:3" ht="13.5" thickBot="1" x14ac:dyDescent="0.25">
      <c r="A252" s="68">
        <v>44515</v>
      </c>
      <c r="B252" s="69" t="s">
        <v>523</v>
      </c>
      <c r="C252" s="70" t="s">
        <v>537</v>
      </c>
    </row>
    <row r="253" spans="1:3" ht="13.5" thickBot="1" x14ac:dyDescent="0.25">
      <c r="A253" s="68">
        <v>44555</v>
      </c>
      <c r="B253" s="69" t="s">
        <v>529</v>
      </c>
      <c r="C253" s="70" t="s">
        <v>538</v>
      </c>
    </row>
    <row r="254" spans="1:3" ht="13.5" thickBot="1" x14ac:dyDescent="0.25">
      <c r="A254" s="71">
        <v>44562</v>
      </c>
      <c r="B254" s="72" t="s">
        <v>529</v>
      </c>
      <c r="C254" s="73" t="s">
        <v>524</v>
      </c>
    </row>
    <row r="255" spans="1:3" ht="13.5" thickBot="1" x14ac:dyDescent="0.25">
      <c r="A255" s="74">
        <v>44620</v>
      </c>
      <c r="B255" s="75" t="s">
        <v>523</v>
      </c>
      <c r="C255" s="76" t="s">
        <v>525</v>
      </c>
    </row>
    <row r="256" spans="1:3" ht="13.5" thickBot="1" x14ac:dyDescent="0.25">
      <c r="A256" s="74">
        <v>44621</v>
      </c>
      <c r="B256" s="75" t="s">
        <v>526</v>
      </c>
      <c r="C256" s="76" t="s">
        <v>525</v>
      </c>
    </row>
    <row r="257" spans="1:3" ht="13.5" thickBot="1" x14ac:dyDescent="0.25">
      <c r="A257" s="74">
        <v>44666</v>
      </c>
      <c r="B257" s="75" t="s">
        <v>527</v>
      </c>
      <c r="C257" s="76" t="s">
        <v>528</v>
      </c>
    </row>
    <row r="258" spans="1:3" ht="13.5" thickBot="1" x14ac:dyDescent="0.25">
      <c r="A258" s="74">
        <v>44672</v>
      </c>
      <c r="B258" s="75" t="s">
        <v>532</v>
      </c>
      <c r="C258" s="76" t="s">
        <v>530</v>
      </c>
    </row>
    <row r="259" spans="1:3" ht="13.5" thickBot="1" x14ac:dyDescent="0.25">
      <c r="A259" s="74">
        <v>44682</v>
      </c>
      <c r="B259" s="75" t="s">
        <v>539</v>
      </c>
      <c r="C259" s="76" t="s">
        <v>531</v>
      </c>
    </row>
    <row r="260" spans="1:3" ht="13.5" thickBot="1" x14ac:dyDescent="0.25">
      <c r="A260" s="74">
        <v>44728</v>
      </c>
      <c r="B260" s="75" t="s">
        <v>532</v>
      </c>
      <c r="C260" s="76" t="s">
        <v>533</v>
      </c>
    </row>
    <row r="261" spans="1:3" ht="13.5" thickBot="1" x14ac:dyDescent="0.25">
      <c r="A261" s="74">
        <v>44811</v>
      </c>
      <c r="B261" s="75" t="s">
        <v>540</v>
      </c>
      <c r="C261" s="76" t="s">
        <v>534</v>
      </c>
    </row>
    <row r="262" spans="1:3" ht="14.25" thickBot="1" x14ac:dyDescent="0.25">
      <c r="A262" s="74">
        <v>44846</v>
      </c>
      <c r="B262" s="75" t="s">
        <v>540</v>
      </c>
      <c r="C262" s="76" t="s">
        <v>535</v>
      </c>
    </row>
    <row r="263" spans="1:3" ht="13.5" thickBot="1" x14ac:dyDescent="0.25">
      <c r="A263" s="74">
        <v>44867</v>
      </c>
      <c r="B263" s="75" t="s">
        <v>540</v>
      </c>
      <c r="C263" s="76" t="s">
        <v>536</v>
      </c>
    </row>
    <row r="264" spans="1:3" ht="13.5" thickBot="1" x14ac:dyDescent="0.25">
      <c r="A264" s="74">
        <v>44880</v>
      </c>
      <c r="B264" s="75" t="s">
        <v>526</v>
      </c>
      <c r="C264" s="76" t="s">
        <v>537</v>
      </c>
    </row>
    <row r="265" spans="1:3" ht="13.5" thickBot="1" x14ac:dyDescent="0.25">
      <c r="A265" s="74">
        <v>44920</v>
      </c>
      <c r="B265" s="75" t="s">
        <v>539</v>
      </c>
      <c r="C265" s="76" t="s">
        <v>538</v>
      </c>
    </row>
    <row r="266" spans="1:3" ht="13.5" thickBot="1" x14ac:dyDescent="0.25">
      <c r="A266" s="77">
        <v>44927</v>
      </c>
      <c r="B266" s="78" t="s">
        <v>539</v>
      </c>
      <c r="C266" s="79" t="s">
        <v>524</v>
      </c>
    </row>
    <row r="267" spans="1:3" ht="13.5" thickBot="1" x14ac:dyDescent="0.25">
      <c r="A267" s="68">
        <v>44977</v>
      </c>
      <c r="B267" s="69" t="s">
        <v>523</v>
      </c>
      <c r="C267" s="70" t="s">
        <v>525</v>
      </c>
    </row>
    <row r="268" spans="1:3" ht="13.5" thickBot="1" x14ac:dyDescent="0.25">
      <c r="A268" s="68">
        <v>44978</v>
      </c>
      <c r="B268" s="69" t="s">
        <v>526</v>
      </c>
      <c r="C268" s="70" t="s">
        <v>525</v>
      </c>
    </row>
    <row r="269" spans="1:3" ht="13.5" thickBot="1" x14ac:dyDescent="0.25">
      <c r="A269" s="68">
        <v>45023</v>
      </c>
      <c r="B269" s="69" t="s">
        <v>527</v>
      </c>
      <c r="C269" s="70" t="s">
        <v>528</v>
      </c>
    </row>
    <row r="270" spans="1:3" ht="13.5" thickBot="1" x14ac:dyDescent="0.25">
      <c r="A270" s="68">
        <v>45037</v>
      </c>
      <c r="B270" s="69" t="s">
        <v>527</v>
      </c>
      <c r="C270" s="70" t="s">
        <v>530</v>
      </c>
    </row>
    <row r="271" spans="1:3" ht="13.5" thickBot="1" x14ac:dyDescent="0.25">
      <c r="A271" s="68">
        <v>45047</v>
      </c>
      <c r="B271" s="69" t="s">
        <v>523</v>
      </c>
      <c r="C271" s="70" t="s">
        <v>531</v>
      </c>
    </row>
    <row r="272" spans="1:3" ht="13.5" thickBot="1" x14ac:dyDescent="0.25">
      <c r="A272" s="68">
        <v>45085</v>
      </c>
      <c r="B272" s="69" t="s">
        <v>532</v>
      </c>
      <c r="C272" s="70" t="s">
        <v>533</v>
      </c>
    </row>
    <row r="273" spans="1:3" ht="13.5" thickBot="1" x14ac:dyDescent="0.25">
      <c r="A273" s="68">
        <v>45176</v>
      </c>
      <c r="B273" s="69" t="s">
        <v>532</v>
      </c>
      <c r="C273" s="70" t="s">
        <v>534</v>
      </c>
    </row>
    <row r="274" spans="1:3" ht="14.25" thickBot="1" x14ac:dyDescent="0.25">
      <c r="A274" s="68">
        <v>45211</v>
      </c>
      <c r="B274" s="69" t="s">
        <v>532</v>
      </c>
      <c r="C274" s="70" t="s">
        <v>535</v>
      </c>
    </row>
    <row r="275" spans="1:3" ht="13.5" thickBot="1" x14ac:dyDescent="0.25">
      <c r="A275" s="68">
        <v>45232</v>
      </c>
      <c r="B275" s="69" t="s">
        <v>532</v>
      </c>
      <c r="C275" s="70" t="s">
        <v>536</v>
      </c>
    </row>
    <row r="276" spans="1:3" ht="13.5" thickBot="1" x14ac:dyDescent="0.25">
      <c r="A276" s="68">
        <v>45245</v>
      </c>
      <c r="B276" s="69" t="s">
        <v>540</v>
      </c>
      <c r="C276" s="70" t="s">
        <v>537</v>
      </c>
    </row>
    <row r="277" spans="1:3" ht="13.5" thickBot="1" x14ac:dyDescent="0.25">
      <c r="A277" s="68">
        <v>45285</v>
      </c>
      <c r="B277" s="69" t="s">
        <v>523</v>
      </c>
      <c r="C277" s="70" t="s">
        <v>538</v>
      </c>
    </row>
    <row r="278" spans="1:3" ht="13.5" thickBot="1" x14ac:dyDescent="0.25">
      <c r="A278" s="71">
        <v>45292</v>
      </c>
      <c r="B278" s="72" t="s">
        <v>523</v>
      </c>
      <c r="C278" s="73" t="s">
        <v>524</v>
      </c>
    </row>
    <row r="279" spans="1:3" ht="13.5" thickBot="1" x14ac:dyDescent="0.25">
      <c r="A279" s="74">
        <v>45334</v>
      </c>
      <c r="B279" s="75" t="s">
        <v>523</v>
      </c>
      <c r="C279" s="76" t="s">
        <v>525</v>
      </c>
    </row>
    <row r="280" spans="1:3" ht="13.5" thickBot="1" x14ac:dyDescent="0.25">
      <c r="A280" s="74">
        <v>45335</v>
      </c>
      <c r="B280" s="75" t="s">
        <v>526</v>
      </c>
      <c r="C280" s="76" t="s">
        <v>525</v>
      </c>
    </row>
    <row r="281" spans="1:3" ht="13.5" thickBot="1" x14ac:dyDescent="0.25">
      <c r="A281" s="74">
        <v>45380</v>
      </c>
      <c r="B281" s="75" t="s">
        <v>527</v>
      </c>
      <c r="C281" s="76" t="s">
        <v>528</v>
      </c>
    </row>
    <row r="282" spans="1:3" ht="13.5" thickBot="1" x14ac:dyDescent="0.25">
      <c r="A282" s="74">
        <v>45403</v>
      </c>
      <c r="B282" s="75" t="s">
        <v>539</v>
      </c>
      <c r="C282" s="76" t="s">
        <v>530</v>
      </c>
    </row>
    <row r="283" spans="1:3" ht="13.5" thickBot="1" x14ac:dyDescent="0.25">
      <c r="A283" s="74">
        <v>45413</v>
      </c>
      <c r="B283" s="75" t="s">
        <v>540</v>
      </c>
      <c r="C283" s="76" t="s">
        <v>531</v>
      </c>
    </row>
    <row r="284" spans="1:3" ht="13.5" thickBot="1" x14ac:dyDescent="0.25">
      <c r="A284" s="74">
        <v>45442</v>
      </c>
      <c r="B284" s="75" t="s">
        <v>532</v>
      </c>
      <c r="C284" s="76" t="s">
        <v>533</v>
      </c>
    </row>
    <row r="285" spans="1:3" ht="13.5" thickBot="1" x14ac:dyDescent="0.25">
      <c r="A285" s="74">
        <v>45542</v>
      </c>
      <c r="B285" s="75" t="s">
        <v>529</v>
      </c>
      <c r="C285" s="76" t="s">
        <v>534</v>
      </c>
    </row>
    <row r="286" spans="1:3" ht="14.25" thickBot="1" x14ac:dyDescent="0.25">
      <c r="A286" s="74">
        <v>45577</v>
      </c>
      <c r="B286" s="75" t="s">
        <v>529</v>
      </c>
      <c r="C286" s="76" t="s">
        <v>535</v>
      </c>
    </row>
    <row r="287" spans="1:3" ht="13.5" thickBot="1" x14ac:dyDescent="0.25">
      <c r="A287" s="74">
        <v>45598</v>
      </c>
      <c r="B287" s="75" t="s">
        <v>529</v>
      </c>
      <c r="C287" s="76" t="s">
        <v>536</v>
      </c>
    </row>
    <row r="288" spans="1:3" ht="13.5" thickBot="1" x14ac:dyDescent="0.25">
      <c r="A288" s="74">
        <v>45611</v>
      </c>
      <c r="B288" s="75" t="s">
        <v>527</v>
      </c>
      <c r="C288" s="76" t="s">
        <v>537</v>
      </c>
    </row>
    <row r="289" spans="1:3" ht="13.5" thickBot="1" x14ac:dyDescent="0.25">
      <c r="A289" s="74">
        <v>45651</v>
      </c>
      <c r="B289" s="75" t="s">
        <v>540</v>
      </c>
      <c r="C289" s="76" t="s">
        <v>538</v>
      </c>
    </row>
    <row r="290" spans="1:3" ht="13.5" thickBot="1" x14ac:dyDescent="0.25">
      <c r="A290" s="77">
        <v>45658</v>
      </c>
      <c r="B290" s="78" t="s">
        <v>540</v>
      </c>
      <c r="C290" s="79" t="s">
        <v>524</v>
      </c>
    </row>
    <row r="291" spans="1:3" ht="13.5" thickBot="1" x14ac:dyDescent="0.25">
      <c r="A291" s="68">
        <v>45719</v>
      </c>
      <c r="B291" s="69" t="s">
        <v>523</v>
      </c>
      <c r="C291" s="70" t="s">
        <v>525</v>
      </c>
    </row>
    <row r="292" spans="1:3" ht="13.5" thickBot="1" x14ac:dyDescent="0.25">
      <c r="A292" s="68">
        <v>45720</v>
      </c>
      <c r="B292" s="69" t="s">
        <v>526</v>
      </c>
      <c r="C292" s="70" t="s">
        <v>525</v>
      </c>
    </row>
    <row r="293" spans="1:3" ht="13.5" thickBot="1" x14ac:dyDescent="0.25">
      <c r="A293" s="68">
        <v>45765</v>
      </c>
      <c r="B293" s="69" t="s">
        <v>527</v>
      </c>
      <c r="C293" s="70" t="s">
        <v>528</v>
      </c>
    </row>
    <row r="294" spans="1:3" ht="13.5" thickBot="1" x14ac:dyDescent="0.25">
      <c r="A294" s="68">
        <v>45768</v>
      </c>
      <c r="B294" s="69" t="s">
        <v>523</v>
      </c>
      <c r="C294" s="70" t="s">
        <v>530</v>
      </c>
    </row>
    <row r="295" spans="1:3" ht="13.5" thickBot="1" x14ac:dyDescent="0.25">
      <c r="A295" s="68">
        <v>45778</v>
      </c>
      <c r="B295" s="69" t="s">
        <v>532</v>
      </c>
      <c r="C295" s="70" t="s">
        <v>531</v>
      </c>
    </row>
    <row r="296" spans="1:3" ht="13.5" thickBot="1" x14ac:dyDescent="0.25">
      <c r="A296" s="68">
        <v>45827</v>
      </c>
      <c r="B296" s="69" t="s">
        <v>532</v>
      </c>
      <c r="C296" s="70" t="s">
        <v>533</v>
      </c>
    </row>
    <row r="297" spans="1:3" ht="13.5" thickBot="1" x14ac:dyDescent="0.25">
      <c r="A297" s="68">
        <v>45907</v>
      </c>
      <c r="B297" s="69" t="s">
        <v>539</v>
      </c>
      <c r="C297" s="70" t="s">
        <v>534</v>
      </c>
    </row>
    <row r="298" spans="1:3" ht="14.25" thickBot="1" x14ac:dyDescent="0.25">
      <c r="A298" s="68">
        <v>45942</v>
      </c>
      <c r="B298" s="69" t="s">
        <v>539</v>
      </c>
      <c r="C298" s="70" t="s">
        <v>535</v>
      </c>
    </row>
    <row r="299" spans="1:3" ht="13.5" thickBot="1" x14ac:dyDescent="0.25">
      <c r="A299" s="68">
        <v>45963</v>
      </c>
      <c r="B299" s="69" t="s">
        <v>539</v>
      </c>
      <c r="C299" s="70" t="s">
        <v>536</v>
      </c>
    </row>
    <row r="300" spans="1:3" ht="13.5" thickBot="1" x14ac:dyDescent="0.25">
      <c r="A300" s="68">
        <v>45976</v>
      </c>
      <c r="B300" s="69" t="s">
        <v>529</v>
      </c>
      <c r="C300" s="70" t="s">
        <v>537</v>
      </c>
    </row>
    <row r="301" spans="1:3" ht="13.5" thickBot="1" x14ac:dyDescent="0.25">
      <c r="A301" s="68">
        <v>46016</v>
      </c>
      <c r="B301" s="69" t="s">
        <v>532</v>
      </c>
      <c r="C301" s="70" t="s">
        <v>538</v>
      </c>
    </row>
    <row r="302" spans="1:3" ht="13.5" thickBot="1" x14ac:dyDescent="0.25">
      <c r="A302" s="71">
        <v>46023</v>
      </c>
      <c r="B302" s="72" t="s">
        <v>532</v>
      </c>
      <c r="C302" s="73" t="s">
        <v>524</v>
      </c>
    </row>
    <row r="303" spans="1:3" ht="13.5" thickBot="1" x14ac:dyDescent="0.25">
      <c r="A303" s="74">
        <v>46069</v>
      </c>
      <c r="B303" s="75" t="s">
        <v>523</v>
      </c>
      <c r="C303" s="76" t="s">
        <v>525</v>
      </c>
    </row>
    <row r="304" spans="1:3" ht="13.5" thickBot="1" x14ac:dyDescent="0.25">
      <c r="A304" s="74">
        <v>46070</v>
      </c>
      <c r="B304" s="75" t="s">
        <v>526</v>
      </c>
      <c r="C304" s="76" t="s">
        <v>525</v>
      </c>
    </row>
    <row r="305" spans="1:3" ht="13.5" thickBot="1" x14ac:dyDescent="0.25">
      <c r="A305" s="74">
        <v>46115</v>
      </c>
      <c r="B305" s="75" t="s">
        <v>527</v>
      </c>
      <c r="C305" s="76" t="s">
        <v>528</v>
      </c>
    </row>
    <row r="306" spans="1:3" ht="13.5" thickBot="1" x14ac:dyDescent="0.25">
      <c r="A306" s="74">
        <v>46133</v>
      </c>
      <c r="B306" s="75" t="s">
        <v>526</v>
      </c>
      <c r="C306" s="76" t="s">
        <v>530</v>
      </c>
    </row>
    <row r="307" spans="1:3" ht="13.5" thickBot="1" x14ac:dyDescent="0.25">
      <c r="A307" s="74">
        <v>46143</v>
      </c>
      <c r="B307" s="75" t="s">
        <v>527</v>
      </c>
      <c r="C307" s="76" t="s">
        <v>531</v>
      </c>
    </row>
    <row r="308" spans="1:3" ht="13.5" thickBot="1" x14ac:dyDescent="0.25">
      <c r="A308" s="74">
        <v>46177</v>
      </c>
      <c r="B308" s="75" t="s">
        <v>532</v>
      </c>
      <c r="C308" s="76" t="s">
        <v>533</v>
      </c>
    </row>
    <row r="309" spans="1:3" ht="13.5" thickBot="1" x14ac:dyDescent="0.25">
      <c r="A309" s="74">
        <v>46272</v>
      </c>
      <c r="B309" s="75" t="s">
        <v>523</v>
      </c>
      <c r="C309" s="76" t="s">
        <v>534</v>
      </c>
    </row>
    <row r="310" spans="1:3" ht="14.25" thickBot="1" x14ac:dyDescent="0.25">
      <c r="A310" s="74">
        <v>46307</v>
      </c>
      <c r="B310" s="75" t="s">
        <v>523</v>
      </c>
      <c r="C310" s="76" t="s">
        <v>535</v>
      </c>
    </row>
    <row r="311" spans="1:3" ht="13.5" thickBot="1" x14ac:dyDescent="0.25">
      <c r="A311" s="74">
        <v>46328</v>
      </c>
      <c r="B311" s="75" t="s">
        <v>523</v>
      </c>
      <c r="C311" s="76" t="s">
        <v>536</v>
      </c>
    </row>
    <row r="312" spans="1:3" ht="13.5" thickBot="1" x14ac:dyDescent="0.25">
      <c r="A312" s="74">
        <v>46341</v>
      </c>
      <c r="B312" s="75" t="s">
        <v>539</v>
      </c>
      <c r="C312" s="76" t="s">
        <v>537</v>
      </c>
    </row>
    <row r="313" spans="1:3" ht="13.5" thickBot="1" x14ac:dyDescent="0.25">
      <c r="A313" s="74">
        <v>46381</v>
      </c>
      <c r="B313" s="75" t="s">
        <v>527</v>
      </c>
      <c r="C313" s="76" t="s">
        <v>538</v>
      </c>
    </row>
    <row r="314" spans="1:3" ht="13.5" thickBot="1" x14ac:dyDescent="0.25">
      <c r="A314" s="77">
        <v>46388</v>
      </c>
      <c r="B314" s="78" t="s">
        <v>527</v>
      </c>
      <c r="C314" s="79" t="s">
        <v>524</v>
      </c>
    </row>
    <row r="315" spans="1:3" ht="13.5" thickBot="1" x14ac:dyDescent="0.25">
      <c r="A315" s="68">
        <v>46426</v>
      </c>
      <c r="B315" s="69" t="s">
        <v>523</v>
      </c>
      <c r="C315" s="70" t="s">
        <v>525</v>
      </c>
    </row>
    <row r="316" spans="1:3" ht="13.5" thickBot="1" x14ac:dyDescent="0.25">
      <c r="A316" s="68">
        <v>46427</v>
      </c>
      <c r="B316" s="69" t="s">
        <v>526</v>
      </c>
      <c r="C316" s="70" t="s">
        <v>525</v>
      </c>
    </row>
    <row r="317" spans="1:3" ht="13.5" thickBot="1" x14ac:dyDescent="0.25">
      <c r="A317" s="68">
        <v>46472</v>
      </c>
      <c r="B317" s="69" t="s">
        <v>527</v>
      </c>
      <c r="C317" s="70" t="s">
        <v>528</v>
      </c>
    </row>
    <row r="318" spans="1:3" ht="13.5" thickBot="1" x14ac:dyDescent="0.25">
      <c r="A318" s="68">
        <v>46498</v>
      </c>
      <c r="B318" s="69" t="s">
        <v>540</v>
      </c>
      <c r="C318" s="70" t="s">
        <v>530</v>
      </c>
    </row>
    <row r="319" spans="1:3" ht="13.5" thickBot="1" x14ac:dyDescent="0.25">
      <c r="A319" s="68">
        <v>46508</v>
      </c>
      <c r="B319" s="69" t="s">
        <v>529</v>
      </c>
      <c r="C319" s="70" t="s">
        <v>531</v>
      </c>
    </row>
    <row r="320" spans="1:3" ht="13.5" thickBot="1" x14ac:dyDescent="0.25">
      <c r="A320" s="68">
        <v>46534</v>
      </c>
      <c r="B320" s="69" t="s">
        <v>532</v>
      </c>
      <c r="C320" s="70" t="s">
        <v>533</v>
      </c>
    </row>
    <row r="321" spans="1:3" ht="13.5" thickBot="1" x14ac:dyDescent="0.25">
      <c r="A321" s="68">
        <v>46637</v>
      </c>
      <c r="B321" s="69" t="s">
        <v>526</v>
      </c>
      <c r="C321" s="70" t="s">
        <v>534</v>
      </c>
    </row>
    <row r="322" spans="1:3" ht="14.25" thickBot="1" x14ac:dyDescent="0.25">
      <c r="A322" s="68">
        <v>46672</v>
      </c>
      <c r="B322" s="69" t="s">
        <v>526</v>
      </c>
      <c r="C322" s="70" t="s">
        <v>535</v>
      </c>
    </row>
    <row r="323" spans="1:3" ht="13.5" thickBot="1" x14ac:dyDescent="0.25">
      <c r="A323" s="68">
        <v>46693</v>
      </c>
      <c r="B323" s="69" t="s">
        <v>526</v>
      </c>
      <c r="C323" s="70" t="s">
        <v>536</v>
      </c>
    </row>
    <row r="324" spans="1:3" ht="13.5" thickBot="1" x14ac:dyDescent="0.25">
      <c r="A324" s="68">
        <v>46706</v>
      </c>
      <c r="B324" s="69" t="s">
        <v>523</v>
      </c>
      <c r="C324" s="70" t="s">
        <v>537</v>
      </c>
    </row>
    <row r="325" spans="1:3" ht="13.5" thickBot="1" x14ac:dyDescent="0.25">
      <c r="A325" s="68">
        <v>46746</v>
      </c>
      <c r="B325" s="69" t="s">
        <v>529</v>
      </c>
      <c r="C325" s="70" t="s">
        <v>538</v>
      </c>
    </row>
    <row r="326" spans="1:3" ht="13.5" thickBot="1" x14ac:dyDescent="0.25">
      <c r="A326" s="71">
        <v>46753</v>
      </c>
      <c r="B326" s="72" t="s">
        <v>529</v>
      </c>
      <c r="C326" s="73" t="s">
        <v>524</v>
      </c>
    </row>
    <row r="327" spans="1:3" ht="13.5" thickBot="1" x14ac:dyDescent="0.25">
      <c r="A327" s="74">
        <v>46811</v>
      </c>
      <c r="B327" s="75" t="s">
        <v>523</v>
      </c>
      <c r="C327" s="76" t="s">
        <v>525</v>
      </c>
    </row>
    <row r="328" spans="1:3" ht="13.5" thickBot="1" x14ac:dyDescent="0.25">
      <c r="A328" s="74">
        <v>46812</v>
      </c>
      <c r="B328" s="75" t="s">
        <v>526</v>
      </c>
      <c r="C328" s="76" t="s">
        <v>525</v>
      </c>
    </row>
    <row r="329" spans="1:3" ht="13.5" thickBot="1" x14ac:dyDescent="0.25">
      <c r="A329" s="74">
        <v>46857</v>
      </c>
      <c r="B329" s="75" t="s">
        <v>527</v>
      </c>
      <c r="C329" s="76" t="s">
        <v>528</v>
      </c>
    </row>
    <row r="330" spans="1:3" ht="13.5" thickBot="1" x14ac:dyDescent="0.25">
      <c r="A330" s="74">
        <v>46864</v>
      </c>
      <c r="B330" s="75" t="s">
        <v>527</v>
      </c>
      <c r="C330" s="76" t="s">
        <v>530</v>
      </c>
    </row>
    <row r="331" spans="1:3" ht="13.5" thickBot="1" x14ac:dyDescent="0.25">
      <c r="A331" s="74">
        <v>46874</v>
      </c>
      <c r="B331" s="75" t="s">
        <v>523</v>
      </c>
      <c r="C331" s="76" t="s">
        <v>531</v>
      </c>
    </row>
    <row r="332" spans="1:3" ht="13.5" thickBot="1" x14ac:dyDescent="0.25">
      <c r="A332" s="74">
        <v>46919</v>
      </c>
      <c r="B332" s="75" t="s">
        <v>532</v>
      </c>
      <c r="C332" s="76" t="s">
        <v>533</v>
      </c>
    </row>
    <row r="333" spans="1:3" ht="13.5" thickBot="1" x14ac:dyDescent="0.25">
      <c r="A333" s="74">
        <v>47003</v>
      </c>
      <c r="B333" s="75" t="s">
        <v>532</v>
      </c>
      <c r="C333" s="76" t="s">
        <v>534</v>
      </c>
    </row>
    <row r="334" spans="1:3" ht="14.25" thickBot="1" x14ac:dyDescent="0.25">
      <c r="A334" s="74">
        <v>47038</v>
      </c>
      <c r="B334" s="75" t="s">
        <v>532</v>
      </c>
      <c r="C334" s="76" t="s">
        <v>535</v>
      </c>
    </row>
    <row r="335" spans="1:3" ht="13.5" thickBot="1" x14ac:dyDescent="0.25">
      <c r="A335" s="74">
        <v>47059</v>
      </c>
      <c r="B335" s="75" t="s">
        <v>532</v>
      </c>
      <c r="C335" s="76" t="s">
        <v>536</v>
      </c>
    </row>
    <row r="336" spans="1:3" ht="13.5" thickBot="1" x14ac:dyDescent="0.25">
      <c r="A336" s="74">
        <v>47072</v>
      </c>
      <c r="B336" s="75" t="s">
        <v>540</v>
      </c>
      <c r="C336" s="76" t="s">
        <v>537</v>
      </c>
    </row>
    <row r="337" spans="1:3" ht="13.5" thickBot="1" x14ac:dyDescent="0.25">
      <c r="A337" s="74">
        <v>47112</v>
      </c>
      <c r="B337" s="75" t="s">
        <v>523</v>
      </c>
      <c r="C337" s="76" t="s">
        <v>538</v>
      </c>
    </row>
    <row r="338" spans="1:3" ht="13.5" thickBot="1" x14ac:dyDescent="0.25">
      <c r="A338" s="77">
        <v>47119</v>
      </c>
      <c r="B338" s="78" t="s">
        <v>523</v>
      </c>
      <c r="C338" s="79" t="s">
        <v>524</v>
      </c>
    </row>
    <row r="339" spans="1:3" ht="13.5" thickBot="1" x14ac:dyDescent="0.25">
      <c r="A339" s="68">
        <v>47161</v>
      </c>
      <c r="B339" s="69" t="s">
        <v>523</v>
      </c>
      <c r="C339" s="70" t="s">
        <v>525</v>
      </c>
    </row>
    <row r="340" spans="1:3" ht="13.5" thickBot="1" x14ac:dyDescent="0.25">
      <c r="A340" s="68">
        <v>47162</v>
      </c>
      <c r="B340" s="69" t="s">
        <v>526</v>
      </c>
      <c r="C340" s="70" t="s">
        <v>525</v>
      </c>
    </row>
    <row r="341" spans="1:3" ht="13.5" thickBot="1" x14ac:dyDescent="0.25">
      <c r="A341" s="68">
        <v>47207</v>
      </c>
      <c r="B341" s="69" t="s">
        <v>527</v>
      </c>
      <c r="C341" s="70" t="s">
        <v>528</v>
      </c>
    </row>
    <row r="342" spans="1:3" ht="13.5" thickBot="1" x14ac:dyDescent="0.25">
      <c r="A342" s="68">
        <v>47229</v>
      </c>
      <c r="B342" s="69" t="s">
        <v>529</v>
      </c>
      <c r="C342" s="70" t="s">
        <v>530</v>
      </c>
    </row>
    <row r="343" spans="1:3" ht="13.5" thickBot="1" x14ac:dyDescent="0.25">
      <c r="A343" s="68">
        <v>47239</v>
      </c>
      <c r="B343" s="69" t="s">
        <v>526</v>
      </c>
      <c r="C343" s="70" t="s">
        <v>531</v>
      </c>
    </row>
    <row r="344" spans="1:3" ht="13.5" thickBot="1" x14ac:dyDescent="0.25">
      <c r="A344" s="68">
        <v>47269</v>
      </c>
      <c r="B344" s="69" t="s">
        <v>532</v>
      </c>
      <c r="C344" s="70" t="s">
        <v>533</v>
      </c>
    </row>
    <row r="345" spans="1:3" ht="13.5" thickBot="1" x14ac:dyDescent="0.25">
      <c r="A345" s="68">
        <v>47368</v>
      </c>
      <c r="B345" s="69" t="s">
        <v>527</v>
      </c>
      <c r="C345" s="70" t="s">
        <v>534</v>
      </c>
    </row>
    <row r="346" spans="1:3" ht="14.25" thickBot="1" x14ac:dyDescent="0.25">
      <c r="A346" s="68">
        <v>47403</v>
      </c>
      <c r="B346" s="69" t="s">
        <v>527</v>
      </c>
      <c r="C346" s="70" t="s">
        <v>535</v>
      </c>
    </row>
    <row r="347" spans="1:3" ht="13.5" thickBot="1" x14ac:dyDescent="0.25">
      <c r="A347" s="68">
        <v>47424</v>
      </c>
      <c r="B347" s="69" t="s">
        <v>527</v>
      </c>
      <c r="C347" s="70" t="s">
        <v>536</v>
      </c>
    </row>
    <row r="348" spans="1:3" ht="13.5" thickBot="1" x14ac:dyDescent="0.25">
      <c r="A348" s="68">
        <v>47437</v>
      </c>
      <c r="B348" s="69" t="s">
        <v>532</v>
      </c>
      <c r="C348" s="70" t="s">
        <v>537</v>
      </c>
    </row>
    <row r="349" spans="1:3" ht="13.5" thickBot="1" x14ac:dyDescent="0.25">
      <c r="A349" s="68">
        <v>47477</v>
      </c>
      <c r="B349" s="69" t="s">
        <v>526</v>
      </c>
      <c r="C349" s="70" t="s">
        <v>538</v>
      </c>
    </row>
    <row r="350" spans="1:3" ht="13.5" thickBot="1" x14ac:dyDescent="0.25">
      <c r="A350" s="71">
        <v>47484</v>
      </c>
      <c r="B350" s="72" t="s">
        <v>526</v>
      </c>
      <c r="C350" s="73" t="s">
        <v>524</v>
      </c>
    </row>
    <row r="351" spans="1:3" ht="13.5" thickBot="1" x14ac:dyDescent="0.25">
      <c r="A351" s="74">
        <v>47546</v>
      </c>
      <c r="B351" s="75" t="s">
        <v>523</v>
      </c>
      <c r="C351" s="76" t="s">
        <v>525</v>
      </c>
    </row>
    <row r="352" spans="1:3" ht="13.5" thickBot="1" x14ac:dyDescent="0.25">
      <c r="A352" s="74">
        <v>47547</v>
      </c>
      <c r="B352" s="75" t="s">
        <v>526</v>
      </c>
      <c r="C352" s="76" t="s">
        <v>525</v>
      </c>
    </row>
    <row r="353" spans="1:3" ht="13.5" thickBot="1" x14ac:dyDescent="0.25">
      <c r="A353" s="74">
        <v>47592</v>
      </c>
      <c r="B353" s="75" t="s">
        <v>527</v>
      </c>
      <c r="C353" s="76" t="s">
        <v>528</v>
      </c>
    </row>
    <row r="354" spans="1:3" ht="13.5" thickBot="1" x14ac:dyDescent="0.25">
      <c r="A354" s="74">
        <v>47594</v>
      </c>
      <c r="B354" s="75" t="s">
        <v>539</v>
      </c>
      <c r="C354" s="76" t="s">
        <v>530</v>
      </c>
    </row>
    <row r="355" spans="1:3" ht="13.5" thickBot="1" x14ac:dyDescent="0.25">
      <c r="A355" s="74">
        <v>47604</v>
      </c>
      <c r="B355" s="75" t="s">
        <v>540</v>
      </c>
      <c r="C355" s="76" t="s">
        <v>531</v>
      </c>
    </row>
    <row r="356" spans="1:3" ht="13.5" thickBot="1" x14ac:dyDescent="0.25">
      <c r="A356" s="74">
        <v>47654</v>
      </c>
      <c r="B356" s="75" t="s">
        <v>532</v>
      </c>
      <c r="C356" s="76" t="s">
        <v>533</v>
      </c>
    </row>
    <row r="357" spans="1:3" ht="13.5" thickBot="1" x14ac:dyDescent="0.25">
      <c r="A357" s="74">
        <v>47733</v>
      </c>
      <c r="B357" s="75" t="s">
        <v>529</v>
      </c>
      <c r="C357" s="76" t="s">
        <v>534</v>
      </c>
    </row>
    <row r="358" spans="1:3" ht="14.25" thickBot="1" x14ac:dyDescent="0.25">
      <c r="A358" s="74">
        <v>47768</v>
      </c>
      <c r="B358" s="75" t="s">
        <v>529</v>
      </c>
      <c r="C358" s="76" t="s">
        <v>535</v>
      </c>
    </row>
    <row r="359" spans="1:3" ht="13.5" thickBot="1" x14ac:dyDescent="0.25">
      <c r="A359" s="74">
        <v>47789</v>
      </c>
      <c r="B359" s="75" t="s">
        <v>529</v>
      </c>
      <c r="C359" s="76" t="s">
        <v>536</v>
      </c>
    </row>
    <row r="360" spans="1:3" ht="13.5" thickBot="1" x14ac:dyDescent="0.25">
      <c r="A360" s="74">
        <v>47802</v>
      </c>
      <c r="B360" s="75" t="s">
        <v>527</v>
      </c>
      <c r="C360" s="76" t="s">
        <v>537</v>
      </c>
    </row>
    <row r="361" spans="1:3" ht="13.5" thickBot="1" x14ac:dyDescent="0.25">
      <c r="A361" s="74">
        <v>47842</v>
      </c>
      <c r="B361" s="75" t="s">
        <v>540</v>
      </c>
      <c r="C361" s="76" t="s">
        <v>538</v>
      </c>
    </row>
    <row r="362" spans="1:3" ht="13.5" thickBot="1" x14ac:dyDescent="0.25">
      <c r="A362" s="77">
        <v>47849</v>
      </c>
      <c r="B362" s="78" t="s">
        <v>540</v>
      </c>
      <c r="C362" s="79" t="s">
        <v>524</v>
      </c>
    </row>
    <row r="363" spans="1:3" ht="13.5" thickBot="1" x14ac:dyDescent="0.25">
      <c r="A363" s="68">
        <v>47903</v>
      </c>
      <c r="B363" s="69" t="s">
        <v>523</v>
      </c>
      <c r="C363" s="70" t="s">
        <v>525</v>
      </c>
    </row>
    <row r="364" spans="1:3" ht="13.5" thickBot="1" x14ac:dyDescent="0.25">
      <c r="A364" s="68">
        <v>47904</v>
      </c>
      <c r="B364" s="69" t="s">
        <v>526</v>
      </c>
      <c r="C364" s="70" t="s">
        <v>525</v>
      </c>
    </row>
    <row r="365" spans="1:3" ht="13.5" thickBot="1" x14ac:dyDescent="0.25">
      <c r="A365" s="68">
        <v>47949</v>
      </c>
      <c r="B365" s="69" t="s">
        <v>527</v>
      </c>
      <c r="C365" s="70" t="s">
        <v>528</v>
      </c>
    </row>
    <row r="366" spans="1:3" ht="13.5" thickBot="1" x14ac:dyDescent="0.25">
      <c r="A366" s="68">
        <v>47959</v>
      </c>
      <c r="B366" s="69" t="s">
        <v>523</v>
      </c>
      <c r="C366" s="70" t="s">
        <v>530</v>
      </c>
    </row>
    <row r="367" spans="1:3" ht="13.5" thickBot="1" x14ac:dyDescent="0.25">
      <c r="A367" s="68">
        <v>47969</v>
      </c>
      <c r="B367" s="69" t="s">
        <v>532</v>
      </c>
      <c r="C367" s="70" t="s">
        <v>531</v>
      </c>
    </row>
    <row r="368" spans="1:3" ht="13.5" thickBot="1" x14ac:dyDescent="0.25">
      <c r="A368" s="68">
        <v>48011</v>
      </c>
      <c r="B368" s="69" t="s">
        <v>532</v>
      </c>
      <c r="C368" s="70" t="s">
        <v>533</v>
      </c>
    </row>
    <row r="369" spans="1:3" ht="13.5" thickBot="1" x14ac:dyDescent="0.25">
      <c r="A369" s="68">
        <v>48098</v>
      </c>
      <c r="B369" s="69" t="s">
        <v>539</v>
      </c>
      <c r="C369" s="70" t="s">
        <v>534</v>
      </c>
    </row>
    <row r="370" spans="1:3" ht="14.25" thickBot="1" x14ac:dyDescent="0.25">
      <c r="A370" s="68">
        <v>48133</v>
      </c>
      <c r="B370" s="69" t="s">
        <v>539</v>
      </c>
      <c r="C370" s="70" t="s">
        <v>535</v>
      </c>
    </row>
    <row r="371" spans="1:3" ht="13.5" thickBot="1" x14ac:dyDescent="0.25">
      <c r="A371" s="68">
        <v>48154</v>
      </c>
      <c r="B371" s="69" t="s">
        <v>539</v>
      </c>
      <c r="C371" s="70" t="s">
        <v>536</v>
      </c>
    </row>
    <row r="372" spans="1:3" ht="13.5" thickBot="1" x14ac:dyDescent="0.25">
      <c r="A372" s="68">
        <v>48167</v>
      </c>
      <c r="B372" s="69" t="s">
        <v>529</v>
      </c>
      <c r="C372" s="70" t="s">
        <v>537</v>
      </c>
    </row>
    <row r="373" spans="1:3" ht="13.5" thickBot="1" x14ac:dyDescent="0.25">
      <c r="A373" s="68">
        <v>48207</v>
      </c>
      <c r="B373" s="69" t="s">
        <v>532</v>
      </c>
      <c r="C373" s="70" t="s">
        <v>538</v>
      </c>
    </row>
    <row r="374" spans="1:3" ht="13.5" thickBot="1" x14ac:dyDescent="0.25">
      <c r="A374" s="71">
        <v>48214</v>
      </c>
      <c r="B374" s="72" t="s">
        <v>532</v>
      </c>
      <c r="C374" s="73" t="s">
        <v>524</v>
      </c>
    </row>
    <row r="375" spans="1:3" ht="13.5" thickBot="1" x14ac:dyDescent="0.25">
      <c r="A375" s="74">
        <v>48253</v>
      </c>
      <c r="B375" s="75" t="s">
        <v>523</v>
      </c>
      <c r="C375" s="76" t="s">
        <v>525</v>
      </c>
    </row>
    <row r="376" spans="1:3" ht="13.5" thickBot="1" x14ac:dyDescent="0.25">
      <c r="A376" s="74">
        <v>48254</v>
      </c>
      <c r="B376" s="75" t="s">
        <v>526</v>
      </c>
      <c r="C376" s="76" t="s">
        <v>525</v>
      </c>
    </row>
    <row r="377" spans="1:3" ht="13.5" thickBot="1" x14ac:dyDescent="0.25">
      <c r="A377" s="74">
        <v>48299</v>
      </c>
      <c r="B377" s="75" t="s">
        <v>527</v>
      </c>
      <c r="C377" s="76" t="s">
        <v>528</v>
      </c>
    </row>
    <row r="378" spans="1:3" ht="13.5" thickBot="1" x14ac:dyDescent="0.25">
      <c r="A378" s="74">
        <v>48325</v>
      </c>
      <c r="B378" s="75" t="s">
        <v>540</v>
      </c>
      <c r="C378" s="76" t="s">
        <v>530</v>
      </c>
    </row>
    <row r="379" spans="1:3" ht="13.5" thickBot="1" x14ac:dyDescent="0.25">
      <c r="A379" s="74">
        <v>48335</v>
      </c>
      <c r="B379" s="75" t="s">
        <v>529</v>
      </c>
      <c r="C379" s="76" t="s">
        <v>531</v>
      </c>
    </row>
    <row r="380" spans="1:3" ht="13.5" thickBot="1" x14ac:dyDescent="0.25">
      <c r="A380" s="74">
        <v>48361</v>
      </c>
      <c r="B380" s="75" t="s">
        <v>532</v>
      </c>
      <c r="C380" s="76" t="s">
        <v>533</v>
      </c>
    </row>
    <row r="381" spans="1:3" ht="13.5" thickBot="1" x14ac:dyDescent="0.25">
      <c r="A381" s="74">
        <v>48464</v>
      </c>
      <c r="B381" s="75" t="s">
        <v>526</v>
      </c>
      <c r="C381" s="76" t="s">
        <v>534</v>
      </c>
    </row>
    <row r="382" spans="1:3" ht="14.25" thickBot="1" x14ac:dyDescent="0.25">
      <c r="A382" s="74">
        <v>48499</v>
      </c>
      <c r="B382" s="75" t="s">
        <v>526</v>
      </c>
      <c r="C382" s="76" t="s">
        <v>535</v>
      </c>
    </row>
    <row r="383" spans="1:3" ht="13.5" thickBot="1" x14ac:dyDescent="0.25">
      <c r="A383" s="74">
        <v>48520</v>
      </c>
      <c r="B383" s="75" t="s">
        <v>526</v>
      </c>
      <c r="C383" s="76" t="s">
        <v>536</v>
      </c>
    </row>
    <row r="384" spans="1:3" ht="13.5" thickBot="1" x14ac:dyDescent="0.25">
      <c r="A384" s="74">
        <v>48533</v>
      </c>
      <c r="B384" s="75" t="s">
        <v>523</v>
      </c>
      <c r="C384" s="76" t="s">
        <v>537</v>
      </c>
    </row>
    <row r="385" spans="1:3" ht="13.5" thickBot="1" x14ac:dyDescent="0.25">
      <c r="A385" s="74">
        <v>48573</v>
      </c>
      <c r="B385" s="75" t="s">
        <v>529</v>
      </c>
      <c r="C385" s="76" t="s">
        <v>538</v>
      </c>
    </row>
    <row r="386" spans="1:3" ht="13.5" thickBot="1" x14ac:dyDescent="0.25">
      <c r="A386" s="71">
        <v>48580</v>
      </c>
      <c r="B386" s="72" t="s">
        <v>529</v>
      </c>
      <c r="C386" s="73" t="s">
        <v>524</v>
      </c>
    </row>
    <row r="387" spans="1:3" ht="13.5" thickBot="1" x14ac:dyDescent="0.25">
      <c r="A387" s="68">
        <v>48638</v>
      </c>
      <c r="B387" s="69" t="s">
        <v>523</v>
      </c>
      <c r="C387" s="70" t="s">
        <v>525</v>
      </c>
    </row>
    <row r="388" spans="1:3" ht="13.5" thickBot="1" x14ac:dyDescent="0.25">
      <c r="A388" s="68">
        <v>48639</v>
      </c>
      <c r="B388" s="69" t="s">
        <v>526</v>
      </c>
      <c r="C388" s="70" t="s">
        <v>525</v>
      </c>
    </row>
    <row r="389" spans="1:3" ht="13.5" thickBot="1" x14ac:dyDescent="0.25">
      <c r="A389" s="68">
        <v>48684</v>
      </c>
      <c r="B389" s="69" t="s">
        <v>527</v>
      </c>
      <c r="C389" s="70" t="s">
        <v>528</v>
      </c>
    </row>
    <row r="390" spans="1:3" ht="13.5" thickBot="1" x14ac:dyDescent="0.25">
      <c r="A390" s="68">
        <v>48690</v>
      </c>
      <c r="B390" s="69" t="s">
        <v>532</v>
      </c>
      <c r="C390" s="70" t="s">
        <v>530</v>
      </c>
    </row>
    <row r="391" spans="1:3" ht="13.5" thickBot="1" x14ac:dyDescent="0.25">
      <c r="A391" s="68">
        <v>48700</v>
      </c>
      <c r="B391" s="69" t="s">
        <v>539</v>
      </c>
      <c r="C391" s="70" t="s">
        <v>531</v>
      </c>
    </row>
    <row r="392" spans="1:3" ht="13.5" thickBot="1" x14ac:dyDescent="0.25">
      <c r="A392" s="68">
        <v>48746</v>
      </c>
      <c r="B392" s="69" t="s">
        <v>532</v>
      </c>
      <c r="C392" s="70" t="s">
        <v>533</v>
      </c>
    </row>
    <row r="393" spans="1:3" ht="13.5" thickBot="1" x14ac:dyDescent="0.25">
      <c r="A393" s="68">
        <v>48829</v>
      </c>
      <c r="B393" s="69" t="s">
        <v>540</v>
      </c>
      <c r="C393" s="70" t="s">
        <v>534</v>
      </c>
    </row>
    <row r="394" spans="1:3" ht="14.25" thickBot="1" x14ac:dyDescent="0.25">
      <c r="A394" s="68">
        <v>48864</v>
      </c>
      <c r="B394" s="69" t="s">
        <v>540</v>
      </c>
      <c r="C394" s="70" t="s">
        <v>535</v>
      </c>
    </row>
    <row r="395" spans="1:3" ht="13.5" thickBot="1" x14ac:dyDescent="0.25">
      <c r="A395" s="68">
        <v>48885</v>
      </c>
      <c r="B395" s="69" t="s">
        <v>540</v>
      </c>
      <c r="C395" s="70" t="s">
        <v>536</v>
      </c>
    </row>
    <row r="396" spans="1:3" ht="13.5" thickBot="1" x14ac:dyDescent="0.25">
      <c r="A396" s="68">
        <v>48898</v>
      </c>
      <c r="B396" s="69" t="s">
        <v>526</v>
      </c>
      <c r="C396" s="70" t="s">
        <v>537</v>
      </c>
    </row>
    <row r="397" spans="1:3" ht="13.5" thickBot="1" x14ac:dyDescent="0.25">
      <c r="A397" s="68">
        <v>48938</v>
      </c>
      <c r="B397" s="69" t="s">
        <v>539</v>
      </c>
      <c r="C397" s="70" t="s">
        <v>538</v>
      </c>
    </row>
    <row r="398" spans="1:3" ht="13.5" thickBot="1" x14ac:dyDescent="0.25">
      <c r="A398" s="71">
        <v>48945</v>
      </c>
      <c r="B398" s="72" t="s">
        <v>539</v>
      </c>
      <c r="C398" s="73" t="s">
        <v>524</v>
      </c>
    </row>
    <row r="399" spans="1:3" ht="13.5" thickBot="1" x14ac:dyDescent="0.25">
      <c r="A399" s="74">
        <v>48995</v>
      </c>
      <c r="B399" s="75" t="s">
        <v>523</v>
      </c>
      <c r="C399" s="76" t="s">
        <v>525</v>
      </c>
    </row>
    <row r="400" spans="1:3" ht="13.5" thickBot="1" x14ac:dyDescent="0.25">
      <c r="A400" s="74">
        <v>48996</v>
      </c>
      <c r="B400" s="75" t="s">
        <v>526</v>
      </c>
      <c r="C400" s="76" t="s">
        <v>525</v>
      </c>
    </row>
    <row r="401" spans="1:3" ht="13.5" thickBot="1" x14ac:dyDescent="0.25">
      <c r="A401" s="74">
        <v>49041</v>
      </c>
      <c r="B401" s="75" t="s">
        <v>527</v>
      </c>
      <c r="C401" s="76" t="s">
        <v>528</v>
      </c>
    </row>
    <row r="402" spans="1:3" ht="13.5" thickBot="1" x14ac:dyDescent="0.25">
      <c r="A402" s="74">
        <v>49055</v>
      </c>
      <c r="B402" s="75" t="s">
        <v>527</v>
      </c>
      <c r="C402" s="76" t="s">
        <v>530</v>
      </c>
    </row>
    <row r="403" spans="1:3" ht="13.5" thickBot="1" x14ac:dyDescent="0.25">
      <c r="A403" s="74">
        <v>49065</v>
      </c>
      <c r="B403" s="75" t="s">
        <v>523</v>
      </c>
      <c r="C403" s="76" t="s">
        <v>531</v>
      </c>
    </row>
    <row r="404" spans="1:3" ht="13.5" thickBot="1" x14ac:dyDescent="0.25">
      <c r="A404" s="74">
        <v>49103</v>
      </c>
      <c r="B404" s="75" t="s">
        <v>532</v>
      </c>
      <c r="C404" s="76" t="s">
        <v>533</v>
      </c>
    </row>
    <row r="405" spans="1:3" ht="13.5" thickBot="1" x14ac:dyDescent="0.25">
      <c r="A405" s="74">
        <v>49194</v>
      </c>
      <c r="B405" s="75" t="s">
        <v>532</v>
      </c>
      <c r="C405" s="76" t="s">
        <v>534</v>
      </c>
    </row>
    <row r="406" spans="1:3" ht="14.25" thickBot="1" x14ac:dyDescent="0.25">
      <c r="A406" s="74">
        <v>49229</v>
      </c>
      <c r="B406" s="75" t="s">
        <v>532</v>
      </c>
      <c r="C406" s="76" t="s">
        <v>535</v>
      </c>
    </row>
    <row r="407" spans="1:3" ht="13.5" thickBot="1" x14ac:dyDescent="0.25">
      <c r="A407" s="74">
        <v>49250</v>
      </c>
      <c r="B407" s="75" t="s">
        <v>532</v>
      </c>
      <c r="C407" s="76" t="s">
        <v>536</v>
      </c>
    </row>
    <row r="408" spans="1:3" ht="13.5" thickBot="1" x14ac:dyDescent="0.25">
      <c r="A408" s="74">
        <v>49263</v>
      </c>
      <c r="B408" s="75" t="s">
        <v>540</v>
      </c>
      <c r="C408" s="76" t="s">
        <v>537</v>
      </c>
    </row>
    <row r="409" spans="1:3" ht="13.5" thickBot="1" x14ac:dyDescent="0.25">
      <c r="A409" s="74">
        <v>49303</v>
      </c>
      <c r="B409" s="75" t="s">
        <v>523</v>
      </c>
      <c r="C409" s="76" t="s">
        <v>538</v>
      </c>
    </row>
    <row r="410" spans="1:3" ht="13.5" thickBot="1" x14ac:dyDescent="0.25">
      <c r="A410" s="77">
        <v>49310</v>
      </c>
      <c r="B410" s="78" t="s">
        <v>523</v>
      </c>
      <c r="C410" s="79" t="s">
        <v>524</v>
      </c>
    </row>
    <row r="411" spans="1:3" ht="13.5" thickBot="1" x14ac:dyDescent="0.25">
      <c r="A411" s="68">
        <v>49345</v>
      </c>
      <c r="B411" s="69" t="s">
        <v>523</v>
      </c>
      <c r="C411" s="70" t="s">
        <v>525</v>
      </c>
    </row>
    <row r="412" spans="1:3" ht="13.5" thickBot="1" x14ac:dyDescent="0.25">
      <c r="A412" s="68">
        <v>49346</v>
      </c>
      <c r="B412" s="69" t="s">
        <v>526</v>
      </c>
      <c r="C412" s="70" t="s">
        <v>525</v>
      </c>
    </row>
    <row r="413" spans="1:3" ht="13.5" thickBot="1" x14ac:dyDescent="0.25">
      <c r="A413" s="68">
        <v>49391</v>
      </c>
      <c r="B413" s="69" t="s">
        <v>527</v>
      </c>
      <c r="C413" s="70" t="s">
        <v>528</v>
      </c>
    </row>
    <row r="414" spans="1:3" ht="13.5" thickBot="1" x14ac:dyDescent="0.25">
      <c r="A414" s="68">
        <v>49420</v>
      </c>
      <c r="B414" s="69" t="s">
        <v>529</v>
      </c>
      <c r="C414" s="70" t="s">
        <v>530</v>
      </c>
    </row>
    <row r="415" spans="1:3" ht="13.5" thickBot="1" x14ac:dyDescent="0.25">
      <c r="A415" s="68">
        <v>49430</v>
      </c>
      <c r="B415" s="69" t="s">
        <v>526</v>
      </c>
      <c r="C415" s="70" t="s">
        <v>531</v>
      </c>
    </row>
    <row r="416" spans="1:3" ht="13.5" thickBot="1" x14ac:dyDescent="0.25">
      <c r="A416" s="68">
        <v>49453</v>
      </c>
      <c r="B416" s="69" t="s">
        <v>532</v>
      </c>
      <c r="C416" s="70" t="s">
        <v>533</v>
      </c>
    </row>
    <row r="417" spans="1:3" ht="13.5" thickBot="1" x14ac:dyDescent="0.25">
      <c r="A417" s="68">
        <v>49559</v>
      </c>
      <c r="B417" s="69" t="s">
        <v>527</v>
      </c>
      <c r="C417" s="70" t="s">
        <v>534</v>
      </c>
    </row>
    <row r="418" spans="1:3" ht="14.25" thickBot="1" x14ac:dyDescent="0.25">
      <c r="A418" s="68">
        <v>49594</v>
      </c>
      <c r="B418" s="69" t="s">
        <v>527</v>
      </c>
      <c r="C418" s="70" t="s">
        <v>535</v>
      </c>
    </row>
    <row r="419" spans="1:3" ht="13.5" thickBot="1" x14ac:dyDescent="0.25">
      <c r="A419" s="68">
        <v>49615</v>
      </c>
      <c r="B419" s="69" t="s">
        <v>527</v>
      </c>
      <c r="C419" s="70" t="s">
        <v>536</v>
      </c>
    </row>
    <row r="420" spans="1:3" ht="13.5" thickBot="1" x14ac:dyDescent="0.25">
      <c r="A420" s="68">
        <v>49628</v>
      </c>
      <c r="B420" s="69" t="s">
        <v>532</v>
      </c>
      <c r="C420" s="70" t="s">
        <v>537</v>
      </c>
    </row>
    <row r="421" spans="1:3" ht="13.5" thickBot="1" x14ac:dyDescent="0.25">
      <c r="A421" s="68">
        <v>49668</v>
      </c>
      <c r="B421" s="69" t="s">
        <v>526</v>
      </c>
      <c r="C421" s="70" t="s">
        <v>538</v>
      </c>
    </row>
    <row r="422" spans="1:3" ht="13.5" thickBot="1" x14ac:dyDescent="0.25">
      <c r="A422" s="71">
        <v>49675</v>
      </c>
      <c r="B422" s="72" t="s">
        <v>526</v>
      </c>
      <c r="C422" s="73" t="s">
        <v>524</v>
      </c>
    </row>
    <row r="423" spans="1:3" ht="13.5" thickBot="1" x14ac:dyDescent="0.25">
      <c r="A423" s="74">
        <v>49730</v>
      </c>
      <c r="B423" s="75" t="s">
        <v>523</v>
      </c>
      <c r="C423" s="76" t="s">
        <v>525</v>
      </c>
    </row>
    <row r="424" spans="1:3" ht="13.5" thickBot="1" x14ac:dyDescent="0.25">
      <c r="A424" s="74">
        <v>49731</v>
      </c>
      <c r="B424" s="75" t="s">
        <v>526</v>
      </c>
      <c r="C424" s="76" t="s">
        <v>525</v>
      </c>
    </row>
    <row r="425" spans="1:3" ht="13.5" thickBot="1" x14ac:dyDescent="0.25">
      <c r="A425" s="74">
        <v>49776</v>
      </c>
      <c r="B425" s="75" t="s">
        <v>527</v>
      </c>
      <c r="C425" s="76" t="s">
        <v>528</v>
      </c>
    </row>
    <row r="426" spans="1:3" ht="13.5" thickBot="1" x14ac:dyDescent="0.25">
      <c r="A426" s="74">
        <v>49786</v>
      </c>
      <c r="B426" s="75" t="s">
        <v>523</v>
      </c>
      <c r="C426" s="76" t="s">
        <v>530</v>
      </c>
    </row>
    <row r="427" spans="1:3" ht="13.5" thickBot="1" x14ac:dyDescent="0.25">
      <c r="A427" s="74">
        <v>49796</v>
      </c>
      <c r="B427" s="75" t="s">
        <v>532</v>
      </c>
      <c r="C427" s="76" t="s">
        <v>531</v>
      </c>
    </row>
    <row r="428" spans="1:3" ht="13.5" thickBot="1" x14ac:dyDescent="0.25">
      <c r="A428" s="74">
        <v>49838</v>
      </c>
      <c r="B428" s="75" t="s">
        <v>532</v>
      </c>
      <c r="C428" s="76" t="s">
        <v>533</v>
      </c>
    </row>
    <row r="429" spans="1:3" ht="13.5" thickBot="1" x14ac:dyDescent="0.25">
      <c r="A429" s="74">
        <v>49925</v>
      </c>
      <c r="B429" s="75" t="s">
        <v>539</v>
      </c>
      <c r="C429" s="76" t="s">
        <v>534</v>
      </c>
    </row>
    <row r="430" spans="1:3" ht="14.25" thickBot="1" x14ac:dyDescent="0.25">
      <c r="A430" s="74">
        <v>49960</v>
      </c>
      <c r="B430" s="75" t="s">
        <v>539</v>
      </c>
      <c r="C430" s="76" t="s">
        <v>535</v>
      </c>
    </row>
    <row r="431" spans="1:3" ht="13.5" thickBot="1" x14ac:dyDescent="0.25">
      <c r="A431" s="74">
        <v>49981</v>
      </c>
      <c r="B431" s="75" t="s">
        <v>539</v>
      </c>
      <c r="C431" s="76" t="s">
        <v>536</v>
      </c>
    </row>
    <row r="432" spans="1:3" ht="13.5" thickBot="1" x14ac:dyDescent="0.25">
      <c r="A432" s="74">
        <v>49994</v>
      </c>
      <c r="B432" s="75" t="s">
        <v>529</v>
      </c>
      <c r="C432" s="76" t="s">
        <v>537</v>
      </c>
    </row>
    <row r="433" spans="1:3" ht="13.5" thickBot="1" x14ac:dyDescent="0.25">
      <c r="A433" s="74">
        <v>50034</v>
      </c>
      <c r="B433" s="75" t="s">
        <v>532</v>
      </c>
      <c r="C433" s="76" t="s">
        <v>538</v>
      </c>
    </row>
    <row r="434" spans="1:3" ht="13.5" thickBot="1" x14ac:dyDescent="0.25">
      <c r="A434" s="77">
        <v>50041</v>
      </c>
      <c r="B434" s="78" t="s">
        <v>532</v>
      </c>
      <c r="C434" s="79" t="s">
        <v>524</v>
      </c>
    </row>
    <row r="435" spans="1:3" ht="13.5" thickBot="1" x14ac:dyDescent="0.25">
      <c r="A435" s="68">
        <v>50087</v>
      </c>
      <c r="B435" s="69" t="s">
        <v>523</v>
      </c>
      <c r="C435" s="70" t="s">
        <v>525</v>
      </c>
    </row>
    <row r="436" spans="1:3" ht="13.5" thickBot="1" x14ac:dyDescent="0.25">
      <c r="A436" s="68">
        <v>50088</v>
      </c>
      <c r="B436" s="69" t="s">
        <v>526</v>
      </c>
      <c r="C436" s="70" t="s">
        <v>525</v>
      </c>
    </row>
    <row r="437" spans="1:3" ht="13.5" thickBot="1" x14ac:dyDescent="0.25">
      <c r="A437" s="68">
        <v>50133</v>
      </c>
      <c r="B437" s="69" t="s">
        <v>527</v>
      </c>
      <c r="C437" s="70" t="s">
        <v>528</v>
      </c>
    </row>
    <row r="438" spans="1:3" ht="13.5" thickBot="1" x14ac:dyDescent="0.25">
      <c r="A438" s="68">
        <v>50151</v>
      </c>
      <c r="B438" s="69" t="s">
        <v>526</v>
      </c>
      <c r="C438" s="70" t="s">
        <v>530</v>
      </c>
    </row>
    <row r="439" spans="1:3" ht="13.5" thickBot="1" x14ac:dyDescent="0.25">
      <c r="A439" s="68">
        <v>50161</v>
      </c>
      <c r="B439" s="69" t="s">
        <v>527</v>
      </c>
      <c r="C439" s="70" t="s">
        <v>531</v>
      </c>
    </row>
    <row r="440" spans="1:3" ht="13.5" thickBot="1" x14ac:dyDescent="0.25">
      <c r="A440" s="68">
        <v>50195</v>
      </c>
      <c r="B440" s="69" t="s">
        <v>532</v>
      </c>
      <c r="C440" s="70" t="s">
        <v>533</v>
      </c>
    </row>
    <row r="441" spans="1:3" ht="13.5" thickBot="1" x14ac:dyDescent="0.25">
      <c r="A441" s="68">
        <v>50290</v>
      </c>
      <c r="B441" s="69" t="s">
        <v>523</v>
      </c>
      <c r="C441" s="70" t="s">
        <v>534</v>
      </c>
    </row>
    <row r="442" spans="1:3" ht="14.25" thickBot="1" x14ac:dyDescent="0.25">
      <c r="A442" s="68">
        <v>50325</v>
      </c>
      <c r="B442" s="69" t="s">
        <v>523</v>
      </c>
      <c r="C442" s="70" t="s">
        <v>535</v>
      </c>
    </row>
    <row r="443" spans="1:3" ht="13.5" thickBot="1" x14ac:dyDescent="0.25">
      <c r="A443" s="68">
        <v>50346</v>
      </c>
      <c r="B443" s="69" t="s">
        <v>523</v>
      </c>
      <c r="C443" s="70" t="s">
        <v>536</v>
      </c>
    </row>
    <row r="444" spans="1:3" ht="13.5" thickBot="1" x14ac:dyDescent="0.25">
      <c r="A444" s="68">
        <v>50359</v>
      </c>
      <c r="B444" s="69" t="s">
        <v>539</v>
      </c>
      <c r="C444" s="70" t="s">
        <v>537</v>
      </c>
    </row>
    <row r="445" spans="1:3" ht="13.5" thickBot="1" x14ac:dyDescent="0.25">
      <c r="A445" s="68">
        <v>50399</v>
      </c>
      <c r="B445" s="69" t="s">
        <v>527</v>
      </c>
      <c r="C445" s="70" t="s">
        <v>538</v>
      </c>
    </row>
    <row r="446" spans="1:3" ht="13.5" thickBot="1" x14ac:dyDescent="0.25">
      <c r="A446" s="71">
        <v>50406</v>
      </c>
      <c r="B446" s="72" t="s">
        <v>527</v>
      </c>
      <c r="C446" s="73" t="s">
        <v>524</v>
      </c>
    </row>
    <row r="447" spans="1:3" ht="13.5" thickBot="1" x14ac:dyDescent="0.25">
      <c r="A447" s="74">
        <v>50472</v>
      </c>
      <c r="B447" s="75" t="s">
        <v>523</v>
      </c>
      <c r="C447" s="76" t="s">
        <v>525</v>
      </c>
    </row>
    <row r="448" spans="1:3" ht="13.5" thickBot="1" x14ac:dyDescent="0.25">
      <c r="A448" s="74">
        <v>50473</v>
      </c>
      <c r="B448" s="75" t="s">
        <v>526</v>
      </c>
      <c r="C448" s="76" t="s">
        <v>525</v>
      </c>
    </row>
    <row r="449" spans="1:3" ht="13.5" thickBot="1" x14ac:dyDescent="0.25">
      <c r="A449" s="74">
        <v>50516</v>
      </c>
      <c r="B449" s="75" t="s">
        <v>540</v>
      </c>
      <c r="C449" s="76" t="s">
        <v>530</v>
      </c>
    </row>
    <row r="450" spans="1:3" ht="13.5" thickBot="1" x14ac:dyDescent="0.25">
      <c r="A450" s="74">
        <v>50518</v>
      </c>
      <c r="B450" s="75" t="s">
        <v>527</v>
      </c>
      <c r="C450" s="76" t="s">
        <v>528</v>
      </c>
    </row>
    <row r="451" spans="1:3" ht="13.5" thickBot="1" x14ac:dyDescent="0.25">
      <c r="A451" s="74">
        <v>50526</v>
      </c>
      <c r="B451" s="75" t="s">
        <v>529</v>
      </c>
      <c r="C451" s="76" t="s">
        <v>531</v>
      </c>
    </row>
    <row r="452" spans="1:3" ht="13.5" thickBot="1" x14ac:dyDescent="0.25">
      <c r="A452" s="74">
        <v>50580</v>
      </c>
      <c r="B452" s="75" t="s">
        <v>532</v>
      </c>
      <c r="C452" s="76" t="s">
        <v>533</v>
      </c>
    </row>
    <row r="453" spans="1:3" ht="13.5" thickBot="1" x14ac:dyDescent="0.25">
      <c r="A453" s="74">
        <v>50655</v>
      </c>
      <c r="B453" s="75" t="s">
        <v>526</v>
      </c>
      <c r="C453" s="76" t="s">
        <v>534</v>
      </c>
    </row>
    <row r="454" spans="1:3" ht="14.25" thickBot="1" x14ac:dyDescent="0.25">
      <c r="A454" s="74">
        <v>50690</v>
      </c>
      <c r="B454" s="75" t="s">
        <v>526</v>
      </c>
      <c r="C454" s="76" t="s">
        <v>535</v>
      </c>
    </row>
    <row r="455" spans="1:3" ht="13.5" thickBot="1" x14ac:dyDescent="0.25">
      <c r="A455" s="74">
        <v>50711</v>
      </c>
      <c r="B455" s="75" t="s">
        <v>526</v>
      </c>
      <c r="C455" s="76" t="s">
        <v>536</v>
      </c>
    </row>
    <row r="456" spans="1:3" ht="13.5" thickBot="1" x14ac:dyDescent="0.25">
      <c r="A456" s="74">
        <v>50724</v>
      </c>
      <c r="B456" s="75" t="s">
        <v>523</v>
      </c>
      <c r="C456" s="76" t="s">
        <v>537</v>
      </c>
    </row>
    <row r="457" spans="1:3" ht="13.5" thickBot="1" x14ac:dyDescent="0.25">
      <c r="A457" s="74">
        <v>50764</v>
      </c>
      <c r="B457" s="75" t="s">
        <v>529</v>
      </c>
      <c r="C457" s="76" t="s">
        <v>538</v>
      </c>
    </row>
    <row r="458" spans="1:3" ht="13.5" thickBot="1" x14ac:dyDescent="0.25">
      <c r="A458" s="77">
        <v>50771</v>
      </c>
      <c r="B458" s="78" t="s">
        <v>529</v>
      </c>
      <c r="C458" s="79" t="s">
        <v>524</v>
      </c>
    </row>
    <row r="459" spans="1:3" ht="13.5" thickBot="1" x14ac:dyDescent="0.25">
      <c r="A459" s="68">
        <v>50822</v>
      </c>
      <c r="B459" s="69" t="s">
        <v>523</v>
      </c>
      <c r="C459" s="70" t="s">
        <v>525</v>
      </c>
    </row>
    <row r="460" spans="1:3" ht="13.5" thickBot="1" x14ac:dyDescent="0.25">
      <c r="A460" s="68">
        <v>50823</v>
      </c>
      <c r="B460" s="69" t="s">
        <v>526</v>
      </c>
      <c r="C460" s="70" t="s">
        <v>525</v>
      </c>
    </row>
    <row r="461" spans="1:3" ht="13.5" thickBot="1" x14ac:dyDescent="0.25">
      <c r="A461" s="68">
        <v>50868</v>
      </c>
      <c r="B461" s="69" t="s">
        <v>527</v>
      </c>
      <c r="C461" s="70" t="s">
        <v>528</v>
      </c>
    </row>
    <row r="462" spans="1:3" ht="13.5" thickBot="1" x14ac:dyDescent="0.25">
      <c r="A462" s="68">
        <v>50881</v>
      </c>
      <c r="B462" s="69" t="s">
        <v>532</v>
      </c>
      <c r="C462" s="70" t="s">
        <v>530</v>
      </c>
    </row>
    <row r="463" spans="1:3" ht="13.5" thickBot="1" x14ac:dyDescent="0.25">
      <c r="A463" s="68">
        <v>50891</v>
      </c>
      <c r="B463" s="69" t="s">
        <v>539</v>
      </c>
      <c r="C463" s="70" t="s">
        <v>531</v>
      </c>
    </row>
    <row r="464" spans="1:3" ht="13.5" thickBot="1" x14ac:dyDescent="0.25">
      <c r="A464" s="68">
        <v>50930</v>
      </c>
      <c r="B464" s="69" t="s">
        <v>532</v>
      </c>
      <c r="C464" s="70" t="s">
        <v>533</v>
      </c>
    </row>
    <row r="465" spans="1:3" ht="13.5" thickBot="1" x14ac:dyDescent="0.25">
      <c r="A465" s="68">
        <v>51020</v>
      </c>
      <c r="B465" s="69" t="s">
        <v>540</v>
      </c>
      <c r="C465" s="70" t="s">
        <v>534</v>
      </c>
    </row>
    <row r="466" spans="1:3" ht="14.25" thickBot="1" x14ac:dyDescent="0.25">
      <c r="A466" s="68">
        <v>51055</v>
      </c>
      <c r="B466" s="69" t="s">
        <v>540</v>
      </c>
      <c r="C466" s="70" t="s">
        <v>535</v>
      </c>
    </row>
    <row r="467" spans="1:3" ht="13.5" thickBot="1" x14ac:dyDescent="0.25">
      <c r="A467" s="68">
        <v>51076</v>
      </c>
      <c r="B467" s="69" t="s">
        <v>540</v>
      </c>
      <c r="C467" s="70" t="s">
        <v>536</v>
      </c>
    </row>
    <row r="468" spans="1:3" ht="13.5" thickBot="1" x14ac:dyDescent="0.25">
      <c r="A468" s="68">
        <v>51089</v>
      </c>
      <c r="B468" s="69" t="s">
        <v>526</v>
      </c>
      <c r="C468" s="70" t="s">
        <v>537</v>
      </c>
    </row>
    <row r="469" spans="1:3" ht="13.5" thickBot="1" x14ac:dyDescent="0.25">
      <c r="A469" s="68">
        <v>51129</v>
      </c>
      <c r="B469" s="69" t="s">
        <v>539</v>
      </c>
      <c r="C469" s="70" t="s">
        <v>538</v>
      </c>
    </row>
    <row r="470" spans="1:3" ht="13.5" thickBot="1" x14ac:dyDescent="0.25">
      <c r="A470" s="71">
        <v>51136</v>
      </c>
      <c r="B470" s="72" t="s">
        <v>539</v>
      </c>
      <c r="C470" s="73" t="s">
        <v>524</v>
      </c>
    </row>
    <row r="471" spans="1:3" ht="13.5" thickBot="1" x14ac:dyDescent="0.25">
      <c r="A471" s="74">
        <v>51179</v>
      </c>
      <c r="B471" s="75" t="s">
        <v>523</v>
      </c>
      <c r="C471" s="76" t="s">
        <v>525</v>
      </c>
    </row>
    <row r="472" spans="1:3" ht="13.5" thickBot="1" x14ac:dyDescent="0.25">
      <c r="A472" s="74">
        <v>51180</v>
      </c>
      <c r="B472" s="75" t="s">
        <v>526</v>
      </c>
      <c r="C472" s="76" t="s">
        <v>525</v>
      </c>
    </row>
    <row r="473" spans="1:3" ht="13.5" thickBot="1" x14ac:dyDescent="0.25">
      <c r="A473" s="74">
        <v>51225</v>
      </c>
      <c r="B473" s="75" t="s">
        <v>527</v>
      </c>
      <c r="C473" s="76" t="s">
        <v>528</v>
      </c>
    </row>
    <row r="474" spans="1:3" ht="13.5" thickBot="1" x14ac:dyDescent="0.25">
      <c r="A474" s="74">
        <v>51247</v>
      </c>
      <c r="B474" s="75" t="s">
        <v>529</v>
      </c>
      <c r="C474" s="76" t="s">
        <v>530</v>
      </c>
    </row>
    <row r="475" spans="1:3" ht="13.5" thickBot="1" x14ac:dyDescent="0.25">
      <c r="A475" s="74">
        <v>51257</v>
      </c>
      <c r="B475" s="75" t="s">
        <v>526</v>
      </c>
      <c r="C475" s="76" t="s">
        <v>531</v>
      </c>
    </row>
    <row r="476" spans="1:3" ht="13.5" thickBot="1" x14ac:dyDescent="0.25">
      <c r="A476" s="74">
        <v>51287</v>
      </c>
      <c r="B476" s="75" t="s">
        <v>532</v>
      </c>
      <c r="C476" s="76" t="s">
        <v>533</v>
      </c>
    </row>
    <row r="477" spans="1:3" ht="13.5" thickBot="1" x14ac:dyDescent="0.25">
      <c r="A477" s="74">
        <v>51386</v>
      </c>
      <c r="B477" s="75" t="s">
        <v>527</v>
      </c>
      <c r="C477" s="76" t="s">
        <v>534</v>
      </c>
    </row>
    <row r="478" spans="1:3" ht="14.25" thickBot="1" x14ac:dyDescent="0.25">
      <c r="A478" s="74">
        <v>51421</v>
      </c>
      <c r="B478" s="75" t="s">
        <v>527</v>
      </c>
      <c r="C478" s="76" t="s">
        <v>535</v>
      </c>
    </row>
    <row r="479" spans="1:3" ht="13.5" thickBot="1" x14ac:dyDescent="0.25">
      <c r="A479" s="74">
        <v>51442</v>
      </c>
      <c r="B479" s="75" t="s">
        <v>527</v>
      </c>
      <c r="C479" s="76" t="s">
        <v>536</v>
      </c>
    </row>
    <row r="480" spans="1:3" ht="13.5" thickBot="1" x14ac:dyDescent="0.25">
      <c r="A480" s="74">
        <v>51455</v>
      </c>
      <c r="B480" s="75" t="s">
        <v>532</v>
      </c>
      <c r="C480" s="76" t="s">
        <v>537</v>
      </c>
    </row>
    <row r="481" spans="1:3" ht="13.5" thickBot="1" x14ac:dyDescent="0.25">
      <c r="A481" s="74">
        <v>51495</v>
      </c>
      <c r="B481" s="75" t="s">
        <v>526</v>
      </c>
      <c r="C481" s="76" t="s">
        <v>538</v>
      </c>
    </row>
    <row r="482" spans="1:3" ht="13.5" thickBot="1" x14ac:dyDescent="0.25">
      <c r="A482" s="77">
        <v>51502</v>
      </c>
      <c r="B482" s="78" t="s">
        <v>526</v>
      </c>
      <c r="C482" s="79" t="s">
        <v>524</v>
      </c>
    </row>
    <row r="483" spans="1:3" ht="13.5" thickBot="1" x14ac:dyDescent="0.25">
      <c r="A483" s="68">
        <v>51564</v>
      </c>
      <c r="B483" s="69" t="s">
        <v>523</v>
      </c>
      <c r="C483" s="70" t="s">
        <v>525</v>
      </c>
    </row>
    <row r="484" spans="1:3" ht="13.5" thickBot="1" x14ac:dyDescent="0.25">
      <c r="A484" s="68">
        <v>51565</v>
      </c>
      <c r="B484" s="69" t="s">
        <v>526</v>
      </c>
      <c r="C484" s="70" t="s">
        <v>525</v>
      </c>
    </row>
    <row r="485" spans="1:3" ht="13.5" thickBot="1" x14ac:dyDescent="0.25">
      <c r="A485" s="68">
        <v>51610</v>
      </c>
      <c r="B485" s="69" t="s">
        <v>527</v>
      </c>
      <c r="C485" s="70" t="s">
        <v>528</v>
      </c>
    </row>
    <row r="486" spans="1:3" ht="13.5" thickBot="1" x14ac:dyDescent="0.25">
      <c r="A486" s="68">
        <v>51612</v>
      </c>
      <c r="B486" s="69" t="s">
        <v>539</v>
      </c>
      <c r="C486" s="70" t="s">
        <v>530</v>
      </c>
    </row>
    <row r="487" spans="1:3" ht="13.5" thickBot="1" x14ac:dyDescent="0.25">
      <c r="A487" s="68">
        <v>51622</v>
      </c>
      <c r="B487" s="69" t="s">
        <v>540</v>
      </c>
      <c r="C487" s="70" t="s">
        <v>531</v>
      </c>
    </row>
    <row r="488" spans="1:3" ht="13.5" thickBot="1" x14ac:dyDescent="0.25">
      <c r="A488" s="68">
        <v>51672</v>
      </c>
      <c r="B488" s="69" t="s">
        <v>532</v>
      </c>
      <c r="C488" s="70" t="s">
        <v>533</v>
      </c>
    </row>
    <row r="489" spans="1:3" ht="13.5" thickBot="1" x14ac:dyDescent="0.25">
      <c r="A489" s="68">
        <v>51751</v>
      </c>
      <c r="B489" s="69" t="s">
        <v>529</v>
      </c>
      <c r="C489" s="70" t="s">
        <v>534</v>
      </c>
    </row>
    <row r="490" spans="1:3" ht="14.25" thickBot="1" x14ac:dyDescent="0.25">
      <c r="A490" s="68">
        <v>51786</v>
      </c>
      <c r="B490" s="69" t="s">
        <v>529</v>
      </c>
      <c r="C490" s="70" t="s">
        <v>535</v>
      </c>
    </row>
    <row r="491" spans="1:3" ht="13.5" thickBot="1" x14ac:dyDescent="0.25">
      <c r="A491" s="68">
        <v>51807</v>
      </c>
      <c r="B491" s="69" t="s">
        <v>529</v>
      </c>
      <c r="C491" s="70" t="s">
        <v>536</v>
      </c>
    </row>
    <row r="492" spans="1:3" ht="13.5" thickBot="1" x14ac:dyDescent="0.25">
      <c r="A492" s="68">
        <v>51820</v>
      </c>
      <c r="B492" s="69" t="s">
        <v>527</v>
      </c>
      <c r="C492" s="70" t="s">
        <v>537</v>
      </c>
    </row>
    <row r="493" spans="1:3" ht="13.5" thickBot="1" x14ac:dyDescent="0.25">
      <c r="A493" s="68">
        <v>51860</v>
      </c>
      <c r="B493" s="69" t="s">
        <v>540</v>
      </c>
      <c r="C493" s="70" t="s">
        <v>538</v>
      </c>
    </row>
    <row r="494" spans="1:3" ht="13.5" thickBot="1" x14ac:dyDescent="0.25">
      <c r="A494" s="71">
        <v>51867</v>
      </c>
      <c r="B494" s="72" t="s">
        <v>540</v>
      </c>
      <c r="C494" s="73" t="s">
        <v>524</v>
      </c>
    </row>
    <row r="495" spans="1:3" ht="13.5" thickBot="1" x14ac:dyDescent="0.25">
      <c r="A495" s="74">
        <v>51914</v>
      </c>
      <c r="B495" s="75" t="s">
        <v>523</v>
      </c>
      <c r="C495" s="76" t="s">
        <v>525</v>
      </c>
    </row>
    <row r="496" spans="1:3" ht="13.5" thickBot="1" x14ac:dyDescent="0.25">
      <c r="A496" s="74">
        <v>51915</v>
      </c>
      <c r="B496" s="75" t="s">
        <v>526</v>
      </c>
      <c r="C496" s="76" t="s">
        <v>525</v>
      </c>
    </row>
    <row r="497" spans="1:3" ht="13.5" thickBot="1" x14ac:dyDescent="0.25">
      <c r="A497" s="74">
        <v>51960</v>
      </c>
      <c r="B497" s="75" t="s">
        <v>527</v>
      </c>
      <c r="C497" s="76" t="s">
        <v>528</v>
      </c>
    </row>
    <row r="498" spans="1:3" ht="13.5" thickBot="1" x14ac:dyDescent="0.25">
      <c r="A498" s="74">
        <v>51977</v>
      </c>
      <c r="B498" s="75" t="s">
        <v>523</v>
      </c>
      <c r="C498" s="76" t="s">
        <v>530</v>
      </c>
    </row>
    <row r="499" spans="1:3" ht="13.5" thickBot="1" x14ac:dyDescent="0.25">
      <c r="A499" s="74">
        <v>51987</v>
      </c>
      <c r="B499" s="75" t="s">
        <v>532</v>
      </c>
      <c r="C499" s="76" t="s">
        <v>531</v>
      </c>
    </row>
    <row r="500" spans="1:3" ht="13.5" thickBot="1" x14ac:dyDescent="0.25">
      <c r="A500" s="74">
        <v>52022</v>
      </c>
      <c r="B500" s="75" t="s">
        <v>532</v>
      </c>
      <c r="C500" s="76" t="s">
        <v>533</v>
      </c>
    </row>
    <row r="501" spans="1:3" ht="13.5" thickBot="1" x14ac:dyDescent="0.25">
      <c r="A501" s="74">
        <v>52116</v>
      </c>
      <c r="B501" s="75" t="s">
        <v>539</v>
      </c>
      <c r="C501" s="76" t="s">
        <v>534</v>
      </c>
    </row>
    <row r="502" spans="1:3" ht="14.25" thickBot="1" x14ac:dyDescent="0.25">
      <c r="A502" s="74">
        <v>52151</v>
      </c>
      <c r="B502" s="75" t="s">
        <v>539</v>
      </c>
      <c r="C502" s="76" t="s">
        <v>535</v>
      </c>
    </row>
    <row r="503" spans="1:3" ht="13.5" thickBot="1" x14ac:dyDescent="0.25">
      <c r="A503" s="74">
        <v>52172</v>
      </c>
      <c r="B503" s="75" t="s">
        <v>539</v>
      </c>
      <c r="C503" s="76" t="s">
        <v>536</v>
      </c>
    </row>
    <row r="504" spans="1:3" ht="13.5" thickBot="1" x14ac:dyDescent="0.25">
      <c r="A504" s="74">
        <v>52185</v>
      </c>
      <c r="B504" s="75" t="s">
        <v>529</v>
      </c>
      <c r="C504" s="76" t="s">
        <v>537</v>
      </c>
    </row>
    <row r="505" spans="1:3" ht="13.5" thickBot="1" x14ac:dyDescent="0.25">
      <c r="A505" s="74">
        <v>52225</v>
      </c>
      <c r="B505" s="75" t="s">
        <v>532</v>
      </c>
      <c r="C505" s="76" t="s">
        <v>538</v>
      </c>
    </row>
    <row r="506" spans="1:3" ht="13.5" thickBot="1" x14ac:dyDescent="0.25">
      <c r="A506" s="77">
        <v>52232</v>
      </c>
      <c r="B506" s="78" t="s">
        <v>532</v>
      </c>
      <c r="C506" s="79" t="s">
        <v>524</v>
      </c>
    </row>
    <row r="507" spans="1:3" ht="13.5" thickBot="1" x14ac:dyDescent="0.25">
      <c r="A507" s="68">
        <v>52271</v>
      </c>
      <c r="B507" s="69" t="s">
        <v>523</v>
      </c>
      <c r="C507" s="70" t="s">
        <v>525</v>
      </c>
    </row>
    <row r="508" spans="1:3" ht="13.5" thickBot="1" x14ac:dyDescent="0.25">
      <c r="A508" s="68">
        <v>52272</v>
      </c>
      <c r="B508" s="69" t="s">
        <v>526</v>
      </c>
      <c r="C508" s="70" t="s">
        <v>525</v>
      </c>
    </row>
    <row r="509" spans="1:3" ht="13.5" thickBot="1" x14ac:dyDescent="0.25">
      <c r="A509" s="68">
        <v>52317</v>
      </c>
      <c r="B509" s="69" t="s">
        <v>527</v>
      </c>
      <c r="C509" s="70" t="s">
        <v>528</v>
      </c>
    </row>
    <row r="510" spans="1:3" ht="13.5" thickBot="1" x14ac:dyDescent="0.25">
      <c r="A510" s="68">
        <v>52342</v>
      </c>
      <c r="B510" s="69" t="s">
        <v>526</v>
      </c>
      <c r="C510" s="70" t="s">
        <v>530</v>
      </c>
    </row>
    <row r="511" spans="1:3" ht="13.5" thickBot="1" x14ac:dyDescent="0.25">
      <c r="A511" s="68">
        <v>52352</v>
      </c>
      <c r="B511" s="69" t="s">
        <v>527</v>
      </c>
      <c r="C511" s="70" t="s">
        <v>531</v>
      </c>
    </row>
    <row r="512" spans="1:3" ht="13.5" thickBot="1" x14ac:dyDescent="0.25">
      <c r="A512" s="68">
        <v>52379</v>
      </c>
      <c r="B512" s="69" t="s">
        <v>532</v>
      </c>
      <c r="C512" s="70" t="s">
        <v>533</v>
      </c>
    </row>
    <row r="513" spans="1:3" ht="13.5" thickBot="1" x14ac:dyDescent="0.25">
      <c r="A513" s="68">
        <v>52481</v>
      </c>
      <c r="B513" s="69" t="s">
        <v>523</v>
      </c>
      <c r="C513" s="70" t="s">
        <v>534</v>
      </c>
    </row>
    <row r="514" spans="1:3" ht="14.25" thickBot="1" x14ac:dyDescent="0.25">
      <c r="A514" s="68">
        <v>52516</v>
      </c>
      <c r="B514" s="69" t="s">
        <v>523</v>
      </c>
      <c r="C514" s="70" t="s">
        <v>535</v>
      </c>
    </row>
    <row r="515" spans="1:3" ht="13.5" thickBot="1" x14ac:dyDescent="0.25">
      <c r="A515" s="68">
        <v>52537</v>
      </c>
      <c r="B515" s="69" t="s">
        <v>523</v>
      </c>
      <c r="C515" s="70" t="s">
        <v>536</v>
      </c>
    </row>
    <row r="516" spans="1:3" ht="13.5" thickBot="1" x14ac:dyDescent="0.25">
      <c r="A516" s="68">
        <v>52550</v>
      </c>
      <c r="B516" s="69" t="s">
        <v>539</v>
      </c>
      <c r="C516" s="70" t="s">
        <v>537</v>
      </c>
    </row>
    <row r="517" spans="1:3" ht="13.5" thickBot="1" x14ac:dyDescent="0.25">
      <c r="A517" s="68">
        <v>52590</v>
      </c>
      <c r="B517" s="69" t="s">
        <v>527</v>
      </c>
      <c r="C517" s="70" t="s">
        <v>538</v>
      </c>
    </row>
    <row r="518" spans="1:3" ht="13.5" thickBot="1" x14ac:dyDescent="0.25">
      <c r="A518" s="71">
        <v>52597</v>
      </c>
      <c r="B518" s="72" t="s">
        <v>527</v>
      </c>
      <c r="C518" s="73" t="s">
        <v>524</v>
      </c>
    </row>
    <row r="519" spans="1:3" ht="13.5" thickBot="1" x14ac:dyDescent="0.25">
      <c r="A519" s="74">
        <v>52656</v>
      </c>
      <c r="B519" s="75" t="s">
        <v>523</v>
      </c>
      <c r="C519" s="76" t="s">
        <v>525</v>
      </c>
    </row>
    <row r="520" spans="1:3" ht="13.5" thickBot="1" x14ac:dyDescent="0.25">
      <c r="A520" s="74">
        <v>52657</v>
      </c>
      <c r="B520" s="75" t="s">
        <v>526</v>
      </c>
      <c r="C520" s="76" t="s">
        <v>525</v>
      </c>
    </row>
    <row r="521" spans="1:3" ht="13.5" thickBot="1" x14ac:dyDescent="0.25">
      <c r="A521" s="74">
        <v>52702</v>
      </c>
      <c r="B521" s="75" t="s">
        <v>527</v>
      </c>
      <c r="C521" s="76" t="s">
        <v>528</v>
      </c>
    </row>
    <row r="522" spans="1:3" ht="13.5" thickBot="1" x14ac:dyDescent="0.25">
      <c r="A522" s="74">
        <v>52708</v>
      </c>
      <c r="B522" s="75" t="s">
        <v>532</v>
      </c>
      <c r="C522" s="76" t="s">
        <v>530</v>
      </c>
    </row>
    <row r="523" spans="1:3" ht="13.5" thickBot="1" x14ac:dyDescent="0.25">
      <c r="A523" s="74">
        <v>52718</v>
      </c>
      <c r="B523" s="75" t="s">
        <v>539</v>
      </c>
      <c r="C523" s="76" t="s">
        <v>531</v>
      </c>
    </row>
    <row r="524" spans="1:3" ht="13.5" thickBot="1" x14ac:dyDescent="0.25">
      <c r="A524" s="74">
        <v>52764</v>
      </c>
      <c r="B524" s="75" t="s">
        <v>532</v>
      </c>
      <c r="C524" s="76" t="s">
        <v>533</v>
      </c>
    </row>
    <row r="525" spans="1:3" ht="13.5" thickBot="1" x14ac:dyDescent="0.25">
      <c r="A525" s="74">
        <v>52847</v>
      </c>
      <c r="B525" s="75" t="s">
        <v>540</v>
      </c>
      <c r="C525" s="76" t="s">
        <v>534</v>
      </c>
    </row>
    <row r="526" spans="1:3" ht="14.25" thickBot="1" x14ac:dyDescent="0.25">
      <c r="A526" s="74">
        <v>52882</v>
      </c>
      <c r="B526" s="75" t="s">
        <v>540</v>
      </c>
      <c r="C526" s="76" t="s">
        <v>535</v>
      </c>
    </row>
    <row r="527" spans="1:3" ht="13.5" thickBot="1" x14ac:dyDescent="0.25">
      <c r="A527" s="74">
        <v>52903</v>
      </c>
      <c r="B527" s="75" t="s">
        <v>540</v>
      </c>
      <c r="C527" s="76" t="s">
        <v>536</v>
      </c>
    </row>
    <row r="528" spans="1:3" ht="13.5" thickBot="1" x14ac:dyDescent="0.25">
      <c r="A528" s="74">
        <v>52916</v>
      </c>
      <c r="B528" s="75" t="s">
        <v>526</v>
      </c>
      <c r="C528" s="76" t="s">
        <v>537</v>
      </c>
    </row>
    <row r="529" spans="1:3" ht="13.5" thickBot="1" x14ac:dyDescent="0.25">
      <c r="A529" s="71">
        <v>52956</v>
      </c>
      <c r="B529" s="72" t="s">
        <v>539</v>
      </c>
      <c r="C529" s="73" t="s">
        <v>538</v>
      </c>
    </row>
    <row r="530" spans="1:3" ht="13.5" thickBot="1" x14ac:dyDescent="0.25">
      <c r="A530" s="77">
        <v>52963</v>
      </c>
      <c r="B530" s="78" t="s">
        <v>539</v>
      </c>
      <c r="C530" s="79" t="s">
        <v>524</v>
      </c>
    </row>
    <row r="531" spans="1:3" ht="13.5" thickBot="1" x14ac:dyDescent="0.25">
      <c r="A531" s="68">
        <v>53013</v>
      </c>
      <c r="B531" s="69" t="s">
        <v>523</v>
      </c>
      <c r="C531" s="70" t="s">
        <v>525</v>
      </c>
    </row>
    <row r="532" spans="1:3" ht="13.5" thickBot="1" x14ac:dyDescent="0.25">
      <c r="A532" s="68">
        <v>53014</v>
      </c>
      <c r="B532" s="69" t="s">
        <v>526</v>
      </c>
      <c r="C532" s="70" t="s">
        <v>525</v>
      </c>
    </row>
    <row r="533" spans="1:3" ht="13.5" thickBot="1" x14ac:dyDescent="0.25">
      <c r="A533" s="68">
        <v>53059</v>
      </c>
      <c r="B533" s="69" t="s">
        <v>527</v>
      </c>
      <c r="C533" s="70" t="s">
        <v>528</v>
      </c>
    </row>
    <row r="534" spans="1:3" ht="13.5" thickBot="1" x14ac:dyDescent="0.25">
      <c r="A534" s="68">
        <v>53073</v>
      </c>
      <c r="B534" s="69" t="s">
        <v>527</v>
      </c>
      <c r="C534" s="70" t="s">
        <v>530</v>
      </c>
    </row>
    <row r="535" spans="1:3" ht="13.5" thickBot="1" x14ac:dyDescent="0.25">
      <c r="A535" s="68">
        <v>53083</v>
      </c>
      <c r="B535" s="69" t="s">
        <v>523</v>
      </c>
      <c r="C535" s="70" t="s">
        <v>531</v>
      </c>
    </row>
    <row r="536" spans="1:3" ht="13.5" thickBot="1" x14ac:dyDescent="0.25">
      <c r="A536" s="68">
        <v>53121</v>
      </c>
      <c r="B536" s="69" t="s">
        <v>532</v>
      </c>
      <c r="C536" s="70" t="s">
        <v>533</v>
      </c>
    </row>
    <row r="537" spans="1:3" ht="13.5" thickBot="1" x14ac:dyDescent="0.25">
      <c r="A537" s="68">
        <v>53212</v>
      </c>
      <c r="B537" s="69" t="s">
        <v>532</v>
      </c>
      <c r="C537" s="70" t="s">
        <v>534</v>
      </c>
    </row>
    <row r="538" spans="1:3" ht="14.25" thickBot="1" x14ac:dyDescent="0.25">
      <c r="A538" s="68">
        <v>53247</v>
      </c>
      <c r="B538" s="69" t="s">
        <v>532</v>
      </c>
      <c r="C538" s="70" t="s">
        <v>535</v>
      </c>
    </row>
    <row r="539" spans="1:3" ht="13.5" thickBot="1" x14ac:dyDescent="0.25">
      <c r="A539" s="68">
        <v>53268</v>
      </c>
      <c r="B539" s="69" t="s">
        <v>532</v>
      </c>
      <c r="C539" s="70" t="s">
        <v>536</v>
      </c>
    </row>
    <row r="540" spans="1:3" ht="13.5" thickBot="1" x14ac:dyDescent="0.25">
      <c r="A540" s="68">
        <v>53281</v>
      </c>
      <c r="B540" s="69" t="s">
        <v>540</v>
      </c>
      <c r="C540" s="70" t="s">
        <v>537</v>
      </c>
    </row>
    <row r="541" spans="1:3" ht="13.5" thickBot="1" x14ac:dyDescent="0.25">
      <c r="A541" s="68">
        <v>53321</v>
      </c>
      <c r="B541" s="69" t="s">
        <v>523</v>
      </c>
      <c r="C541" s="70" t="s">
        <v>538</v>
      </c>
    </row>
    <row r="542" spans="1:3" ht="13.5" thickBot="1" x14ac:dyDescent="0.25">
      <c r="A542" s="71">
        <v>53328</v>
      </c>
      <c r="B542" s="72" t="s">
        <v>523</v>
      </c>
      <c r="C542" s="73" t="s">
        <v>524</v>
      </c>
    </row>
    <row r="543" spans="1:3" ht="13.5" thickBot="1" x14ac:dyDescent="0.25">
      <c r="A543" s="74">
        <v>53363</v>
      </c>
      <c r="B543" s="75" t="s">
        <v>523</v>
      </c>
      <c r="C543" s="76" t="s">
        <v>525</v>
      </c>
    </row>
    <row r="544" spans="1:3" ht="13.5" thickBot="1" x14ac:dyDescent="0.25">
      <c r="A544" s="74">
        <v>53364</v>
      </c>
      <c r="B544" s="75" t="s">
        <v>526</v>
      </c>
      <c r="C544" s="76" t="s">
        <v>525</v>
      </c>
    </row>
    <row r="545" spans="1:3" ht="13.5" thickBot="1" x14ac:dyDescent="0.25">
      <c r="A545" s="74">
        <v>53409</v>
      </c>
      <c r="B545" s="75" t="s">
        <v>527</v>
      </c>
      <c r="C545" s="76" t="s">
        <v>528</v>
      </c>
    </row>
    <row r="546" spans="1:3" ht="13.5" thickBot="1" x14ac:dyDescent="0.25">
      <c r="A546" s="74">
        <v>53438</v>
      </c>
      <c r="B546" s="75" t="s">
        <v>529</v>
      </c>
      <c r="C546" s="76" t="s">
        <v>530</v>
      </c>
    </row>
    <row r="547" spans="1:3" ht="13.5" thickBot="1" x14ac:dyDescent="0.25">
      <c r="A547" s="74">
        <v>53448</v>
      </c>
      <c r="B547" s="75" t="s">
        <v>526</v>
      </c>
      <c r="C547" s="76" t="s">
        <v>531</v>
      </c>
    </row>
    <row r="548" spans="1:3" ht="13.5" thickBot="1" x14ac:dyDescent="0.25">
      <c r="A548" s="74">
        <v>53471</v>
      </c>
      <c r="B548" s="75" t="s">
        <v>532</v>
      </c>
      <c r="C548" s="76" t="s">
        <v>533</v>
      </c>
    </row>
    <row r="549" spans="1:3" ht="13.5" thickBot="1" x14ac:dyDescent="0.25">
      <c r="A549" s="74">
        <v>53577</v>
      </c>
      <c r="B549" s="75" t="s">
        <v>527</v>
      </c>
      <c r="C549" s="76" t="s">
        <v>534</v>
      </c>
    </row>
    <row r="550" spans="1:3" ht="14.25" thickBot="1" x14ac:dyDescent="0.25">
      <c r="A550" s="74">
        <v>53612</v>
      </c>
      <c r="B550" s="75" t="s">
        <v>527</v>
      </c>
      <c r="C550" s="76" t="s">
        <v>535</v>
      </c>
    </row>
    <row r="551" spans="1:3" ht="13.5" thickBot="1" x14ac:dyDescent="0.25">
      <c r="A551" s="74">
        <v>53633</v>
      </c>
      <c r="B551" s="75" t="s">
        <v>527</v>
      </c>
      <c r="C551" s="76" t="s">
        <v>536</v>
      </c>
    </row>
    <row r="552" spans="1:3" ht="13.5" thickBot="1" x14ac:dyDescent="0.25">
      <c r="A552" s="74">
        <v>53646</v>
      </c>
      <c r="B552" s="75" t="s">
        <v>532</v>
      </c>
      <c r="C552" s="76" t="s">
        <v>537</v>
      </c>
    </row>
    <row r="553" spans="1:3" ht="13.5" thickBot="1" x14ac:dyDescent="0.25">
      <c r="A553" s="74">
        <v>53686</v>
      </c>
      <c r="B553" s="75" t="s">
        <v>526</v>
      </c>
      <c r="C553" s="76" t="s">
        <v>538</v>
      </c>
    </row>
    <row r="554" spans="1:3" ht="13.5" thickBot="1" x14ac:dyDescent="0.25">
      <c r="A554" s="77">
        <v>53693</v>
      </c>
      <c r="B554" s="78" t="s">
        <v>526</v>
      </c>
      <c r="C554" s="79" t="s">
        <v>524</v>
      </c>
    </row>
    <row r="555" spans="1:3" ht="13.5" thickBot="1" x14ac:dyDescent="0.25">
      <c r="A555" s="68">
        <v>53748</v>
      </c>
      <c r="B555" s="69" t="s">
        <v>523</v>
      </c>
      <c r="C555" s="70" t="s">
        <v>525</v>
      </c>
    </row>
    <row r="556" spans="1:3" ht="13.5" thickBot="1" x14ac:dyDescent="0.25">
      <c r="A556" s="68">
        <v>53749</v>
      </c>
      <c r="B556" s="69" t="s">
        <v>526</v>
      </c>
      <c r="C556" s="70" t="s">
        <v>525</v>
      </c>
    </row>
    <row r="557" spans="1:3" ht="13.5" thickBot="1" x14ac:dyDescent="0.25">
      <c r="A557" s="68">
        <v>53794</v>
      </c>
      <c r="B557" s="69" t="s">
        <v>527</v>
      </c>
      <c r="C557" s="70" t="s">
        <v>528</v>
      </c>
    </row>
    <row r="558" spans="1:3" ht="13.5" thickBot="1" x14ac:dyDescent="0.25">
      <c r="A558" s="68">
        <v>53803</v>
      </c>
      <c r="B558" s="69" t="s">
        <v>526</v>
      </c>
      <c r="C558" s="70" t="s">
        <v>530</v>
      </c>
    </row>
    <row r="559" spans="1:3" ht="13.5" thickBot="1" x14ac:dyDescent="0.25">
      <c r="A559" s="68">
        <v>53813</v>
      </c>
      <c r="B559" s="69" t="s">
        <v>540</v>
      </c>
      <c r="C559" s="70" t="s">
        <v>531</v>
      </c>
    </row>
    <row r="560" spans="1:3" ht="13.5" thickBot="1" x14ac:dyDescent="0.25">
      <c r="A560" s="68">
        <v>53856</v>
      </c>
      <c r="B560" s="69" t="s">
        <v>532</v>
      </c>
      <c r="C560" s="70" t="s">
        <v>533</v>
      </c>
    </row>
    <row r="561" spans="1:3" ht="13.5" thickBot="1" x14ac:dyDescent="0.25">
      <c r="A561" s="68">
        <v>53942</v>
      </c>
      <c r="B561" s="69" t="s">
        <v>529</v>
      </c>
      <c r="C561" s="70" t="s">
        <v>534</v>
      </c>
    </row>
    <row r="562" spans="1:3" ht="14.25" thickBot="1" x14ac:dyDescent="0.25">
      <c r="A562" s="68">
        <v>53977</v>
      </c>
      <c r="B562" s="69" t="s">
        <v>529</v>
      </c>
      <c r="C562" s="70" t="s">
        <v>535</v>
      </c>
    </row>
    <row r="563" spans="1:3" ht="13.5" thickBot="1" x14ac:dyDescent="0.25">
      <c r="A563" s="68">
        <v>53998</v>
      </c>
      <c r="B563" s="69" t="s">
        <v>529</v>
      </c>
      <c r="C563" s="70" t="s">
        <v>536</v>
      </c>
    </row>
    <row r="564" spans="1:3" ht="13.5" thickBot="1" x14ac:dyDescent="0.25">
      <c r="A564" s="68">
        <v>54011</v>
      </c>
      <c r="B564" s="69" t="s">
        <v>527</v>
      </c>
      <c r="C564" s="70" t="s">
        <v>537</v>
      </c>
    </row>
    <row r="565" spans="1:3" ht="13.5" thickBot="1" x14ac:dyDescent="0.25">
      <c r="A565" s="68">
        <v>54051</v>
      </c>
      <c r="B565" s="69" t="s">
        <v>540</v>
      </c>
      <c r="C565" s="70" t="s">
        <v>538</v>
      </c>
    </row>
    <row r="566" spans="1:3" ht="13.5" thickBot="1" x14ac:dyDescent="0.25">
      <c r="A566" s="71">
        <v>54058</v>
      </c>
      <c r="B566" s="72" t="s">
        <v>540</v>
      </c>
      <c r="C566" s="73" t="s">
        <v>524</v>
      </c>
    </row>
    <row r="567" spans="1:3" ht="13.5" thickBot="1" x14ac:dyDescent="0.25">
      <c r="A567" s="74">
        <v>54105</v>
      </c>
      <c r="B567" s="75" t="s">
        <v>523</v>
      </c>
      <c r="C567" s="76" t="s">
        <v>525</v>
      </c>
    </row>
    <row r="568" spans="1:3" ht="13.5" thickBot="1" x14ac:dyDescent="0.25">
      <c r="A568" s="74">
        <v>54106</v>
      </c>
      <c r="B568" s="75" t="s">
        <v>526</v>
      </c>
      <c r="C568" s="76" t="s">
        <v>525</v>
      </c>
    </row>
    <row r="569" spans="1:3" ht="13.5" thickBot="1" x14ac:dyDescent="0.25">
      <c r="A569" s="74">
        <v>54151</v>
      </c>
      <c r="B569" s="75" t="s">
        <v>527</v>
      </c>
      <c r="C569" s="76" t="s">
        <v>528</v>
      </c>
    </row>
    <row r="570" spans="1:3" ht="13.5" thickBot="1" x14ac:dyDescent="0.25">
      <c r="A570" s="74">
        <v>54169</v>
      </c>
      <c r="B570" s="75" t="s">
        <v>526</v>
      </c>
      <c r="C570" s="76" t="s">
        <v>530</v>
      </c>
    </row>
    <row r="571" spans="1:3" ht="13.5" thickBot="1" x14ac:dyDescent="0.25">
      <c r="A571" s="74">
        <v>54179</v>
      </c>
      <c r="B571" s="75" t="s">
        <v>527</v>
      </c>
      <c r="C571" s="76" t="s">
        <v>531</v>
      </c>
    </row>
    <row r="572" spans="1:3" ht="13.5" thickBot="1" x14ac:dyDescent="0.25">
      <c r="A572" s="74">
        <v>54213</v>
      </c>
      <c r="B572" s="75" t="s">
        <v>532</v>
      </c>
      <c r="C572" s="76" t="s">
        <v>533</v>
      </c>
    </row>
    <row r="573" spans="1:3" ht="13.5" thickBot="1" x14ac:dyDescent="0.25">
      <c r="A573" s="74">
        <v>54308</v>
      </c>
      <c r="B573" s="75" t="s">
        <v>523</v>
      </c>
      <c r="C573" s="76" t="s">
        <v>534</v>
      </c>
    </row>
    <row r="574" spans="1:3" ht="14.25" thickBot="1" x14ac:dyDescent="0.25">
      <c r="A574" s="74">
        <v>54343</v>
      </c>
      <c r="B574" s="75" t="s">
        <v>523</v>
      </c>
      <c r="C574" s="76" t="s">
        <v>535</v>
      </c>
    </row>
    <row r="575" spans="1:3" ht="13.5" thickBot="1" x14ac:dyDescent="0.25">
      <c r="A575" s="74">
        <v>54364</v>
      </c>
      <c r="B575" s="75" t="s">
        <v>523</v>
      </c>
      <c r="C575" s="76" t="s">
        <v>536</v>
      </c>
    </row>
    <row r="576" spans="1:3" ht="13.5" thickBot="1" x14ac:dyDescent="0.25">
      <c r="A576" s="74">
        <v>54377</v>
      </c>
      <c r="B576" s="75" t="s">
        <v>539</v>
      </c>
      <c r="C576" s="76" t="s">
        <v>537</v>
      </c>
    </row>
    <row r="577" spans="1:3" ht="13.5" thickBot="1" x14ac:dyDescent="0.25">
      <c r="A577" s="74">
        <v>54417</v>
      </c>
      <c r="B577" s="75" t="s">
        <v>527</v>
      </c>
      <c r="C577" s="76" t="s">
        <v>538</v>
      </c>
    </row>
    <row r="578" spans="1:3" ht="13.5" thickBot="1" x14ac:dyDescent="0.25">
      <c r="A578" s="77">
        <v>54424</v>
      </c>
      <c r="B578" s="78" t="s">
        <v>527</v>
      </c>
      <c r="C578" s="79" t="s">
        <v>524</v>
      </c>
    </row>
    <row r="579" spans="1:3" ht="13.5" thickBot="1" x14ac:dyDescent="0.25">
      <c r="A579" s="68">
        <v>54483</v>
      </c>
      <c r="B579" s="69" t="s">
        <v>523</v>
      </c>
      <c r="C579" s="70" t="s">
        <v>525</v>
      </c>
    </row>
    <row r="580" spans="1:3" ht="13.5" thickBot="1" x14ac:dyDescent="0.25">
      <c r="A580" s="68">
        <v>54484</v>
      </c>
      <c r="B580" s="69" t="s">
        <v>526</v>
      </c>
      <c r="C580" s="70" t="s">
        <v>525</v>
      </c>
    </row>
    <row r="581" spans="1:3" ht="13.5" thickBot="1" x14ac:dyDescent="0.25">
      <c r="A581" s="68">
        <v>54529</v>
      </c>
      <c r="B581" s="69" t="s">
        <v>527</v>
      </c>
      <c r="C581" s="70" t="s">
        <v>528</v>
      </c>
    </row>
    <row r="582" spans="1:3" ht="13.5" thickBot="1" x14ac:dyDescent="0.25">
      <c r="A582" s="68">
        <v>54534</v>
      </c>
      <c r="B582" s="69" t="s">
        <v>540</v>
      </c>
      <c r="C582" s="70" t="s">
        <v>530</v>
      </c>
    </row>
    <row r="583" spans="1:3" ht="13.5" thickBot="1" x14ac:dyDescent="0.25">
      <c r="A583" s="68">
        <v>54544</v>
      </c>
      <c r="B583" s="69" t="s">
        <v>529</v>
      </c>
      <c r="C583" s="70" t="s">
        <v>531</v>
      </c>
    </row>
    <row r="584" spans="1:3" ht="13.5" thickBot="1" x14ac:dyDescent="0.25">
      <c r="A584" s="68">
        <v>54591</v>
      </c>
      <c r="B584" s="69" t="s">
        <v>532</v>
      </c>
      <c r="C584" s="70" t="s">
        <v>533</v>
      </c>
    </row>
    <row r="585" spans="1:3" ht="13.5" thickBot="1" x14ac:dyDescent="0.25">
      <c r="A585" s="68">
        <v>54673</v>
      </c>
      <c r="B585" s="69" t="s">
        <v>526</v>
      </c>
      <c r="C585" s="70" t="s">
        <v>534</v>
      </c>
    </row>
    <row r="586" spans="1:3" ht="14.25" thickBot="1" x14ac:dyDescent="0.25">
      <c r="A586" s="68">
        <v>54708</v>
      </c>
      <c r="B586" s="69" t="s">
        <v>526</v>
      </c>
      <c r="C586" s="70" t="s">
        <v>535</v>
      </c>
    </row>
    <row r="587" spans="1:3" ht="13.5" thickBot="1" x14ac:dyDescent="0.25">
      <c r="A587" s="68">
        <v>54729</v>
      </c>
      <c r="B587" s="69" t="s">
        <v>526</v>
      </c>
      <c r="C587" s="70" t="s">
        <v>536</v>
      </c>
    </row>
    <row r="588" spans="1:3" ht="13.5" thickBot="1" x14ac:dyDescent="0.25">
      <c r="A588" s="68">
        <v>54742</v>
      </c>
      <c r="B588" s="69" t="s">
        <v>523</v>
      </c>
      <c r="C588" s="70" t="s">
        <v>537</v>
      </c>
    </row>
    <row r="589" spans="1:3" ht="13.5" thickBot="1" x14ac:dyDescent="0.25">
      <c r="A589" s="68">
        <v>54782</v>
      </c>
      <c r="B589" s="69" t="s">
        <v>529</v>
      </c>
      <c r="C589" s="70" t="s">
        <v>538</v>
      </c>
    </row>
    <row r="590" spans="1:3" ht="13.5" thickBot="1" x14ac:dyDescent="0.25">
      <c r="A590" s="71">
        <v>54789</v>
      </c>
      <c r="B590" s="72" t="s">
        <v>529</v>
      </c>
      <c r="C590" s="73" t="s">
        <v>524</v>
      </c>
    </row>
    <row r="591" spans="1:3" ht="13.5" thickBot="1" x14ac:dyDescent="0.25">
      <c r="A591" s="74">
        <v>54840</v>
      </c>
      <c r="B591" s="75" t="s">
        <v>523</v>
      </c>
      <c r="C591" s="76" t="s">
        <v>525</v>
      </c>
    </row>
    <row r="592" spans="1:3" ht="13.5" thickBot="1" x14ac:dyDescent="0.25">
      <c r="A592" s="74">
        <v>54841</v>
      </c>
      <c r="B592" s="75" t="s">
        <v>526</v>
      </c>
      <c r="C592" s="76" t="s">
        <v>525</v>
      </c>
    </row>
    <row r="593" spans="1:3" ht="13.5" thickBot="1" x14ac:dyDescent="0.25">
      <c r="A593" s="74">
        <v>54886</v>
      </c>
      <c r="B593" s="75" t="s">
        <v>527</v>
      </c>
      <c r="C593" s="76" t="s">
        <v>528</v>
      </c>
    </row>
    <row r="594" spans="1:3" ht="13.5" thickBot="1" x14ac:dyDescent="0.25">
      <c r="A594" s="74">
        <v>54899</v>
      </c>
      <c r="B594" s="75" t="s">
        <v>532</v>
      </c>
      <c r="C594" s="76" t="s">
        <v>530</v>
      </c>
    </row>
    <row r="595" spans="1:3" ht="13.5" thickBot="1" x14ac:dyDescent="0.25">
      <c r="A595" s="74">
        <v>54909</v>
      </c>
      <c r="B595" s="75" t="s">
        <v>539</v>
      </c>
      <c r="C595" s="76" t="s">
        <v>531</v>
      </c>
    </row>
    <row r="596" spans="1:3" ht="13.5" thickBot="1" x14ac:dyDescent="0.25">
      <c r="A596" s="74">
        <v>54948</v>
      </c>
      <c r="B596" s="75" t="s">
        <v>532</v>
      </c>
      <c r="C596" s="76" t="s">
        <v>533</v>
      </c>
    </row>
    <row r="597" spans="1:3" ht="13.5" thickBot="1" x14ac:dyDescent="0.25">
      <c r="A597" s="74">
        <v>55038</v>
      </c>
      <c r="B597" s="75" t="s">
        <v>540</v>
      </c>
      <c r="C597" s="76" t="s">
        <v>534</v>
      </c>
    </row>
    <row r="598" spans="1:3" ht="14.25" thickBot="1" x14ac:dyDescent="0.25">
      <c r="A598" s="74">
        <v>55073</v>
      </c>
      <c r="B598" s="75" t="s">
        <v>540</v>
      </c>
      <c r="C598" s="76" t="s">
        <v>535</v>
      </c>
    </row>
    <row r="599" spans="1:3" ht="13.5" thickBot="1" x14ac:dyDescent="0.25">
      <c r="A599" s="74">
        <v>55094</v>
      </c>
      <c r="B599" s="75" t="s">
        <v>540</v>
      </c>
      <c r="C599" s="76" t="s">
        <v>536</v>
      </c>
    </row>
    <row r="600" spans="1:3" ht="13.5" thickBot="1" x14ac:dyDescent="0.25">
      <c r="A600" s="74">
        <v>55107</v>
      </c>
      <c r="B600" s="75" t="s">
        <v>526</v>
      </c>
      <c r="C600" s="76" t="s">
        <v>537</v>
      </c>
    </row>
    <row r="601" spans="1:3" ht="13.5" thickBot="1" x14ac:dyDescent="0.25">
      <c r="A601" s="74">
        <v>55147</v>
      </c>
      <c r="B601" s="75" t="s">
        <v>539</v>
      </c>
      <c r="C601" s="76" t="s">
        <v>538</v>
      </c>
    </row>
    <row r="602" spans="1:3" ht="13.5" thickBot="1" x14ac:dyDescent="0.25">
      <c r="A602" s="77">
        <v>55154</v>
      </c>
      <c r="B602" s="78" t="s">
        <v>539</v>
      </c>
      <c r="C602" s="79" t="s">
        <v>524</v>
      </c>
    </row>
    <row r="603" spans="1:3" ht="13.5" thickBot="1" x14ac:dyDescent="0.25">
      <c r="A603" s="68">
        <v>55197</v>
      </c>
      <c r="B603" s="69" t="s">
        <v>523</v>
      </c>
      <c r="C603" s="70" t="s">
        <v>525</v>
      </c>
    </row>
    <row r="604" spans="1:3" ht="13.5" thickBot="1" x14ac:dyDescent="0.25">
      <c r="A604" s="68">
        <v>55198</v>
      </c>
      <c r="B604" s="69" t="s">
        <v>526</v>
      </c>
      <c r="C604" s="70" t="s">
        <v>525</v>
      </c>
    </row>
    <row r="605" spans="1:3" ht="13.5" thickBot="1" x14ac:dyDescent="0.25">
      <c r="A605" s="68">
        <v>55243</v>
      </c>
      <c r="B605" s="69" t="s">
        <v>527</v>
      </c>
      <c r="C605" s="70" t="s">
        <v>528</v>
      </c>
    </row>
    <row r="606" spans="1:3" ht="13.5" thickBot="1" x14ac:dyDescent="0.25">
      <c r="A606" s="68">
        <v>55264</v>
      </c>
      <c r="B606" s="69" t="s">
        <v>527</v>
      </c>
      <c r="C606" s="70" t="s">
        <v>530</v>
      </c>
    </row>
    <row r="607" spans="1:3" ht="13.5" thickBot="1" x14ac:dyDescent="0.25">
      <c r="A607" s="68">
        <v>55274</v>
      </c>
      <c r="B607" s="69" t="s">
        <v>523</v>
      </c>
      <c r="C607" s="70" t="s">
        <v>531</v>
      </c>
    </row>
    <row r="608" spans="1:3" ht="13.5" thickBot="1" x14ac:dyDescent="0.25">
      <c r="A608" s="68">
        <v>55305</v>
      </c>
      <c r="B608" s="69" t="s">
        <v>532</v>
      </c>
      <c r="C608" s="70" t="s">
        <v>533</v>
      </c>
    </row>
    <row r="609" spans="1:3" ht="13.5" thickBot="1" x14ac:dyDescent="0.25">
      <c r="A609" s="68">
        <v>55403</v>
      </c>
      <c r="B609" s="69" t="s">
        <v>532</v>
      </c>
      <c r="C609" s="70" t="s">
        <v>534</v>
      </c>
    </row>
    <row r="610" spans="1:3" ht="14.25" thickBot="1" x14ac:dyDescent="0.25">
      <c r="A610" s="68">
        <v>55438</v>
      </c>
      <c r="B610" s="69" t="s">
        <v>532</v>
      </c>
      <c r="C610" s="70" t="s">
        <v>535</v>
      </c>
    </row>
    <row r="611" spans="1:3" ht="13.5" thickBot="1" x14ac:dyDescent="0.25">
      <c r="A611" s="68">
        <v>55459</v>
      </c>
      <c r="B611" s="69" t="s">
        <v>532</v>
      </c>
      <c r="C611" s="70" t="s">
        <v>536</v>
      </c>
    </row>
    <row r="612" spans="1:3" ht="13.5" thickBot="1" x14ac:dyDescent="0.25">
      <c r="A612" s="68">
        <v>55472</v>
      </c>
      <c r="B612" s="69" t="s">
        <v>540</v>
      </c>
      <c r="C612" s="70" t="s">
        <v>537</v>
      </c>
    </row>
    <row r="613" spans="1:3" ht="13.5" thickBot="1" x14ac:dyDescent="0.25">
      <c r="A613" s="68">
        <v>55512</v>
      </c>
      <c r="B613" s="69" t="s">
        <v>523</v>
      </c>
      <c r="C613" s="70" t="s">
        <v>538</v>
      </c>
    </row>
    <row r="614" spans="1:3" ht="13.5" thickBot="1" x14ac:dyDescent="0.25">
      <c r="A614" s="71">
        <v>55519</v>
      </c>
      <c r="B614" s="72" t="s">
        <v>523</v>
      </c>
      <c r="C614" s="73" t="s">
        <v>524</v>
      </c>
    </row>
    <row r="615" spans="1:3" ht="13.5" thickBot="1" x14ac:dyDescent="0.25">
      <c r="A615" s="74">
        <v>55582</v>
      </c>
      <c r="B615" s="75" t="s">
        <v>523</v>
      </c>
      <c r="C615" s="76" t="s">
        <v>525</v>
      </c>
    </row>
    <row r="616" spans="1:3" ht="13.5" thickBot="1" x14ac:dyDescent="0.25">
      <c r="A616" s="74">
        <v>55583</v>
      </c>
      <c r="B616" s="75" t="s">
        <v>526</v>
      </c>
      <c r="C616" s="76" t="s">
        <v>525</v>
      </c>
    </row>
    <row r="617" spans="1:3" ht="13.5" thickBot="1" x14ac:dyDescent="0.25">
      <c r="A617" s="74">
        <v>55628</v>
      </c>
      <c r="B617" s="75" t="s">
        <v>527</v>
      </c>
      <c r="C617" s="76" t="s">
        <v>528</v>
      </c>
    </row>
    <row r="618" spans="1:3" ht="13.5" thickBot="1" x14ac:dyDescent="0.25">
      <c r="A618" s="74">
        <v>55630</v>
      </c>
      <c r="B618" s="75" t="s">
        <v>539</v>
      </c>
      <c r="C618" s="76" t="s">
        <v>530</v>
      </c>
    </row>
    <row r="619" spans="1:3" ht="13.5" thickBot="1" x14ac:dyDescent="0.25">
      <c r="A619" s="74">
        <v>55640</v>
      </c>
      <c r="B619" s="75" t="s">
        <v>540</v>
      </c>
      <c r="C619" s="76" t="s">
        <v>531</v>
      </c>
    </row>
    <row r="620" spans="1:3" ht="13.5" thickBot="1" x14ac:dyDescent="0.25">
      <c r="A620" s="74">
        <v>55690</v>
      </c>
      <c r="B620" s="75" t="s">
        <v>532</v>
      </c>
      <c r="C620" s="76" t="s">
        <v>533</v>
      </c>
    </row>
    <row r="621" spans="1:3" ht="13.5" thickBot="1" x14ac:dyDescent="0.25">
      <c r="A621" s="74">
        <v>55769</v>
      </c>
      <c r="B621" s="75" t="s">
        <v>529</v>
      </c>
      <c r="C621" s="76" t="s">
        <v>534</v>
      </c>
    </row>
    <row r="622" spans="1:3" ht="14.25" thickBot="1" x14ac:dyDescent="0.25">
      <c r="A622" s="74">
        <v>55804</v>
      </c>
      <c r="B622" s="75" t="s">
        <v>529</v>
      </c>
      <c r="C622" s="76" t="s">
        <v>535</v>
      </c>
    </row>
    <row r="623" spans="1:3" ht="13.5" thickBot="1" x14ac:dyDescent="0.25">
      <c r="A623" s="74">
        <v>55825</v>
      </c>
      <c r="B623" s="75" t="s">
        <v>529</v>
      </c>
      <c r="C623" s="76" t="s">
        <v>536</v>
      </c>
    </row>
    <row r="624" spans="1:3" ht="13.5" thickBot="1" x14ac:dyDescent="0.25">
      <c r="A624" s="74">
        <v>55838</v>
      </c>
      <c r="B624" s="75" t="s">
        <v>527</v>
      </c>
      <c r="C624" s="76" t="s">
        <v>537</v>
      </c>
    </row>
    <row r="625" spans="1:3" ht="13.5" thickBot="1" x14ac:dyDescent="0.25">
      <c r="A625" s="74">
        <v>55878</v>
      </c>
      <c r="B625" s="75" t="s">
        <v>540</v>
      </c>
      <c r="C625" s="76" t="s">
        <v>538</v>
      </c>
    </row>
    <row r="626" spans="1:3" ht="13.5" thickBot="1" x14ac:dyDescent="0.25">
      <c r="A626" s="77">
        <v>55885</v>
      </c>
      <c r="B626" s="78" t="s">
        <v>540</v>
      </c>
      <c r="C626" s="79" t="s">
        <v>524</v>
      </c>
    </row>
    <row r="627" spans="1:3" ht="13.5" thickBot="1" x14ac:dyDescent="0.25">
      <c r="A627" s="68">
        <v>55932</v>
      </c>
      <c r="B627" s="69" t="s">
        <v>523</v>
      </c>
      <c r="C627" s="70" t="s">
        <v>525</v>
      </c>
    </row>
    <row r="628" spans="1:3" ht="13.5" thickBot="1" x14ac:dyDescent="0.25">
      <c r="A628" s="68">
        <v>55933</v>
      </c>
      <c r="B628" s="69" t="s">
        <v>526</v>
      </c>
      <c r="C628" s="70" t="s">
        <v>525</v>
      </c>
    </row>
    <row r="629" spans="1:3" ht="13.5" thickBot="1" x14ac:dyDescent="0.25">
      <c r="A629" s="68">
        <v>55978</v>
      </c>
      <c r="B629" s="69" t="s">
        <v>527</v>
      </c>
      <c r="C629" s="70" t="s">
        <v>528</v>
      </c>
    </row>
    <row r="630" spans="1:3" ht="13.5" thickBot="1" x14ac:dyDescent="0.25">
      <c r="A630" s="68">
        <v>55995</v>
      </c>
      <c r="B630" s="69" t="s">
        <v>523</v>
      </c>
      <c r="C630" s="70" t="s">
        <v>530</v>
      </c>
    </row>
    <row r="631" spans="1:3" ht="13.5" thickBot="1" x14ac:dyDescent="0.25">
      <c r="A631" s="68">
        <v>56005</v>
      </c>
      <c r="B631" s="69" t="s">
        <v>532</v>
      </c>
      <c r="C631" s="70" t="s">
        <v>531</v>
      </c>
    </row>
    <row r="632" spans="1:3" ht="13.5" thickBot="1" x14ac:dyDescent="0.25">
      <c r="A632" s="68">
        <v>56040</v>
      </c>
      <c r="B632" s="69" t="s">
        <v>532</v>
      </c>
      <c r="C632" s="70" t="s">
        <v>533</v>
      </c>
    </row>
    <row r="633" spans="1:3" ht="13.5" thickBot="1" x14ac:dyDescent="0.25">
      <c r="A633" s="68">
        <v>56134</v>
      </c>
      <c r="B633" s="69" t="s">
        <v>539</v>
      </c>
      <c r="C633" s="70" t="s">
        <v>534</v>
      </c>
    </row>
    <row r="634" spans="1:3" ht="14.25" thickBot="1" x14ac:dyDescent="0.25">
      <c r="A634" s="68">
        <v>56169</v>
      </c>
      <c r="B634" s="69" t="s">
        <v>539</v>
      </c>
      <c r="C634" s="70" t="s">
        <v>535</v>
      </c>
    </row>
    <row r="635" spans="1:3" ht="13.5" thickBot="1" x14ac:dyDescent="0.25">
      <c r="A635" s="68">
        <v>56190</v>
      </c>
      <c r="B635" s="69" t="s">
        <v>539</v>
      </c>
      <c r="C635" s="70" t="s">
        <v>536</v>
      </c>
    </row>
    <row r="636" spans="1:3" ht="13.5" thickBot="1" x14ac:dyDescent="0.25">
      <c r="A636" s="68">
        <v>56203</v>
      </c>
      <c r="B636" s="69" t="s">
        <v>529</v>
      </c>
      <c r="C636" s="70" t="s">
        <v>537</v>
      </c>
    </row>
    <row r="637" spans="1:3" ht="13.5" thickBot="1" x14ac:dyDescent="0.25">
      <c r="A637" s="68">
        <v>56243</v>
      </c>
      <c r="B637" s="69" t="s">
        <v>532</v>
      </c>
      <c r="C637" s="70" t="s">
        <v>538</v>
      </c>
    </row>
    <row r="638" spans="1:3" ht="13.5" thickBot="1" x14ac:dyDescent="0.25">
      <c r="A638" s="71">
        <v>56250</v>
      </c>
      <c r="B638" s="72" t="s">
        <v>532</v>
      </c>
      <c r="C638" s="73" t="s">
        <v>524</v>
      </c>
    </row>
    <row r="639" spans="1:3" ht="13.5" thickBot="1" x14ac:dyDescent="0.25">
      <c r="A639" s="74">
        <v>56289</v>
      </c>
      <c r="B639" s="75" t="s">
        <v>523</v>
      </c>
      <c r="C639" s="76" t="s">
        <v>525</v>
      </c>
    </row>
    <row r="640" spans="1:3" ht="13.5" thickBot="1" x14ac:dyDescent="0.25">
      <c r="A640" s="74">
        <v>56290</v>
      </c>
      <c r="B640" s="75" t="s">
        <v>526</v>
      </c>
      <c r="C640" s="76" t="s">
        <v>525</v>
      </c>
    </row>
    <row r="641" spans="1:3" ht="13.5" thickBot="1" x14ac:dyDescent="0.25">
      <c r="A641" s="74">
        <v>56335</v>
      </c>
      <c r="B641" s="75" t="s">
        <v>527</v>
      </c>
      <c r="C641" s="76" t="s">
        <v>528</v>
      </c>
    </row>
    <row r="642" spans="1:3" ht="13.5" thickBot="1" x14ac:dyDescent="0.25">
      <c r="A642" s="74">
        <v>56360</v>
      </c>
      <c r="B642" s="75" t="s">
        <v>526</v>
      </c>
      <c r="C642" s="76" t="s">
        <v>530</v>
      </c>
    </row>
    <row r="643" spans="1:3" ht="13.5" thickBot="1" x14ac:dyDescent="0.25">
      <c r="A643" s="74">
        <v>56370</v>
      </c>
      <c r="B643" s="75" t="s">
        <v>527</v>
      </c>
      <c r="C643" s="76" t="s">
        <v>531</v>
      </c>
    </row>
    <row r="644" spans="1:3" ht="13.5" thickBot="1" x14ac:dyDescent="0.25">
      <c r="A644" s="74">
        <v>56397</v>
      </c>
      <c r="B644" s="75" t="s">
        <v>532</v>
      </c>
      <c r="C644" s="76" t="s">
        <v>533</v>
      </c>
    </row>
    <row r="645" spans="1:3" ht="13.5" thickBot="1" x14ac:dyDescent="0.25">
      <c r="A645" s="74">
        <v>56499</v>
      </c>
      <c r="B645" s="75" t="s">
        <v>523</v>
      </c>
      <c r="C645" s="76" t="s">
        <v>534</v>
      </c>
    </row>
    <row r="646" spans="1:3" ht="14.25" thickBot="1" x14ac:dyDescent="0.25">
      <c r="A646" s="74">
        <v>56534</v>
      </c>
      <c r="B646" s="75" t="s">
        <v>523</v>
      </c>
      <c r="C646" s="76" t="s">
        <v>535</v>
      </c>
    </row>
    <row r="647" spans="1:3" ht="13.5" thickBot="1" x14ac:dyDescent="0.25">
      <c r="A647" s="74">
        <v>56555</v>
      </c>
      <c r="B647" s="75" t="s">
        <v>523</v>
      </c>
      <c r="C647" s="76" t="s">
        <v>536</v>
      </c>
    </row>
    <row r="648" spans="1:3" ht="13.5" thickBot="1" x14ac:dyDescent="0.25">
      <c r="A648" s="74">
        <v>56568</v>
      </c>
      <c r="B648" s="75" t="s">
        <v>539</v>
      </c>
      <c r="C648" s="76" t="s">
        <v>537</v>
      </c>
    </row>
    <row r="649" spans="1:3" ht="13.5" thickBot="1" x14ac:dyDescent="0.25">
      <c r="A649" s="74">
        <v>56608</v>
      </c>
      <c r="B649" s="75" t="s">
        <v>527</v>
      </c>
      <c r="C649" s="76" t="s">
        <v>538</v>
      </c>
    </row>
    <row r="650" spans="1:3" ht="13.5" thickBot="1" x14ac:dyDescent="0.25">
      <c r="A650" s="77">
        <v>56615</v>
      </c>
      <c r="B650" s="78" t="s">
        <v>527</v>
      </c>
      <c r="C650" s="79" t="s">
        <v>524</v>
      </c>
    </row>
    <row r="651" spans="1:3" ht="13.5" thickBot="1" x14ac:dyDescent="0.25">
      <c r="A651" s="68">
        <v>56674</v>
      </c>
      <c r="B651" s="69" t="s">
        <v>523</v>
      </c>
      <c r="C651" s="70" t="s">
        <v>525</v>
      </c>
    </row>
    <row r="652" spans="1:3" ht="13.5" thickBot="1" x14ac:dyDescent="0.25">
      <c r="A652" s="68">
        <v>56675</v>
      </c>
      <c r="B652" s="69" t="s">
        <v>526</v>
      </c>
      <c r="C652" s="70" t="s">
        <v>525</v>
      </c>
    </row>
    <row r="653" spans="1:3" ht="13.5" thickBot="1" x14ac:dyDescent="0.25">
      <c r="A653" s="68">
        <v>56720</v>
      </c>
      <c r="B653" s="69" t="s">
        <v>527</v>
      </c>
      <c r="C653" s="70" t="s">
        <v>528</v>
      </c>
    </row>
    <row r="654" spans="1:3" ht="13.5" thickBot="1" x14ac:dyDescent="0.25">
      <c r="A654" s="68">
        <v>56725</v>
      </c>
      <c r="B654" s="69" t="s">
        <v>540</v>
      </c>
      <c r="C654" s="70" t="s">
        <v>530</v>
      </c>
    </row>
    <row r="655" spans="1:3" ht="13.5" thickBot="1" x14ac:dyDescent="0.25">
      <c r="A655" s="68">
        <v>56735</v>
      </c>
      <c r="B655" s="69" t="s">
        <v>529</v>
      </c>
      <c r="C655" s="70" t="s">
        <v>531</v>
      </c>
    </row>
    <row r="656" spans="1:3" ht="13.5" thickBot="1" x14ac:dyDescent="0.25">
      <c r="A656" s="68">
        <v>56782</v>
      </c>
      <c r="B656" s="69" t="s">
        <v>532</v>
      </c>
      <c r="C656" s="70" t="s">
        <v>533</v>
      </c>
    </row>
    <row r="657" spans="1:3" ht="13.5" thickBot="1" x14ac:dyDescent="0.25">
      <c r="A657" s="68">
        <v>56864</v>
      </c>
      <c r="B657" s="69" t="s">
        <v>526</v>
      </c>
      <c r="C657" s="70" t="s">
        <v>534</v>
      </c>
    </row>
    <row r="658" spans="1:3" ht="14.25" thickBot="1" x14ac:dyDescent="0.25">
      <c r="A658" s="68">
        <v>56899</v>
      </c>
      <c r="B658" s="69" t="s">
        <v>526</v>
      </c>
      <c r="C658" s="70" t="s">
        <v>535</v>
      </c>
    </row>
    <row r="659" spans="1:3" ht="13.5" thickBot="1" x14ac:dyDescent="0.25">
      <c r="A659" s="68">
        <v>56920</v>
      </c>
      <c r="B659" s="69" t="s">
        <v>526</v>
      </c>
      <c r="C659" s="70" t="s">
        <v>536</v>
      </c>
    </row>
    <row r="660" spans="1:3" ht="13.5" thickBot="1" x14ac:dyDescent="0.25">
      <c r="A660" s="68">
        <v>56933</v>
      </c>
      <c r="B660" s="69" t="s">
        <v>523</v>
      </c>
      <c r="C660" s="70" t="s">
        <v>537</v>
      </c>
    </row>
    <row r="661" spans="1:3" ht="13.5" thickBot="1" x14ac:dyDescent="0.25">
      <c r="A661" s="68">
        <v>56973</v>
      </c>
      <c r="B661" s="69" t="s">
        <v>529</v>
      </c>
      <c r="C661" s="70" t="s">
        <v>538</v>
      </c>
    </row>
    <row r="662" spans="1:3" ht="13.5" thickBot="1" x14ac:dyDescent="0.25">
      <c r="A662" s="71">
        <v>56980</v>
      </c>
      <c r="B662" s="72" t="s">
        <v>529</v>
      </c>
      <c r="C662" s="73" t="s">
        <v>524</v>
      </c>
    </row>
    <row r="663" spans="1:3" ht="13.5" thickBot="1" x14ac:dyDescent="0.25">
      <c r="A663" s="74">
        <v>57024</v>
      </c>
      <c r="B663" s="75" t="s">
        <v>523</v>
      </c>
      <c r="C663" s="76" t="s">
        <v>525</v>
      </c>
    </row>
    <row r="664" spans="1:3" ht="13.5" thickBot="1" x14ac:dyDescent="0.25">
      <c r="A664" s="74">
        <v>57025</v>
      </c>
      <c r="B664" s="75" t="s">
        <v>526</v>
      </c>
      <c r="C664" s="76" t="s">
        <v>525</v>
      </c>
    </row>
    <row r="665" spans="1:3" ht="13.5" thickBot="1" x14ac:dyDescent="0.25">
      <c r="A665" s="74">
        <v>57070</v>
      </c>
      <c r="B665" s="75" t="s">
        <v>527</v>
      </c>
      <c r="C665" s="76" t="s">
        <v>528</v>
      </c>
    </row>
    <row r="666" spans="1:3" ht="13.5" thickBot="1" x14ac:dyDescent="0.25">
      <c r="A666" s="74">
        <v>57091</v>
      </c>
      <c r="B666" s="75" t="s">
        <v>527</v>
      </c>
      <c r="C666" s="76" t="s">
        <v>530</v>
      </c>
    </row>
    <row r="667" spans="1:3" ht="13.5" thickBot="1" x14ac:dyDescent="0.25">
      <c r="A667" s="74">
        <v>57101</v>
      </c>
      <c r="B667" s="75" t="s">
        <v>523</v>
      </c>
      <c r="C667" s="76" t="s">
        <v>531</v>
      </c>
    </row>
    <row r="668" spans="1:3" ht="13.5" thickBot="1" x14ac:dyDescent="0.25">
      <c r="A668" s="74">
        <v>57132</v>
      </c>
      <c r="B668" s="75" t="s">
        <v>532</v>
      </c>
      <c r="C668" s="76" t="s">
        <v>533</v>
      </c>
    </row>
    <row r="669" spans="1:3" ht="13.5" thickBot="1" x14ac:dyDescent="0.25">
      <c r="A669" s="74">
        <v>57230</v>
      </c>
      <c r="B669" s="75" t="s">
        <v>532</v>
      </c>
      <c r="C669" s="76" t="s">
        <v>534</v>
      </c>
    </row>
    <row r="670" spans="1:3" ht="14.25" thickBot="1" x14ac:dyDescent="0.25">
      <c r="A670" s="74">
        <v>57265</v>
      </c>
      <c r="B670" s="75" t="s">
        <v>532</v>
      </c>
      <c r="C670" s="76" t="s">
        <v>535</v>
      </c>
    </row>
    <row r="671" spans="1:3" ht="13.5" thickBot="1" x14ac:dyDescent="0.25">
      <c r="A671" s="74">
        <v>57286</v>
      </c>
      <c r="B671" s="75" t="s">
        <v>532</v>
      </c>
      <c r="C671" s="76" t="s">
        <v>536</v>
      </c>
    </row>
    <row r="672" spans="1:3" ht="13.5" thickBot="1" x14ac:dyDescent="0.25">
      <c r="A672" s="74">
        <v>57299</v>
      </c>
      <c r="B672" s="75" t="s">
        <v>540</v>
      </c>
      <c r="C672" s="76" t="s">
        <v>537</v>
      </c>
    </row>
    <row r="673" spans="1:3" ht="13.5" thickBot="1" x14ac:dyDescent="0.25">
      <c r="A673" s="74">
        <v>57339</v>
      </c>
      <c r="B673" s="75" t="s">
        <v>523</v>
      </c>
      <c r="C673" s="76" t="s">
        <v>538</v>
      </c>
    </row>
    <row r="674" spans="1:3" ht="13.5" thickBot="1" x14ac:dyDescent="0.25">
      <c r="A674" s="77">
        <v>57346</v>
      </c>
      <c r="B674" s="78" t="s">
        <v>523</v>
      </c>
      <c r="C674" s="79" t="s">
        <v>524</v>
      </c>
    </row>
    <row r="675" spans="1:3" ht="13.5" thickBot="1" x14ac:dyDescent="0.25">
      <c r="A675" s="68">
        <v>57409</v>
      </c>
      <c r="B675" s="69" t="s">
        <v>523</v>
      </c>
      <c r="C675" s="70" t="s">
        <v>525</v>
      </c>
    </row>
    <row r="676" spans="1:3" ht="13.5" thickBot="1" x14ac:dyDescent="0.25">
      <c r="A676" s="68">
        <v>57410</v>
      </c>
      <c r="B676" s="69" t="s">
        <v>526</v>
      </c>
      <c r="C676" s="70" t="s">
        <v>525</v>
      </c>
    </row>
    <row r="677" spans="1:3" ht="13.5" thickBot="1" x14ac:dyDescent="0.25">
      <c r="A677" s="68">
        <v>57455</v>
      </c>
      <c r="B677" s="69" t="s">
        <v>527</v>
      </c>
      <c r="C677" s="70" t="s">
        <v>528</v>
      </c>
    </row>
    <row r="678" spans="1:3" ht="13.5" thickBot="1" x14ac:dyDescent="0.25">
      <c r="A678" s="68">
        <v>57456</v>
      </c>
      <c r="B678" s="69" t="s">
        <v>529</v>
      </c>
      <c r="C678" s="70" t="s">
        <v>530</v>
      </c>
    </row>
    <row r="679" spans="1:3" ht="13.5" thickBot="1" x14ac:dyDescent="0.25">
      <c r="A679" s="68">
        <v>57466</v>
      </c>
      <c r="B679" s="69" t="s">
        <v>526</v>
      </c>
      <c r="C679" s="70" t="s">
        <v>531</v>
      </c>
    </row>
    <row r="680" spans="1:3" ht="13.5" thickBot="1" x14ac:dyDescent="0.25">
      <c r="A680" s="68">
        <v>57517</v>
      </c>
      <c r="B680" s="69" t="s">
        <v>532</v>
      </c>
      <c r="C680" s="70" t="s">
        <v>533</v>
      </c>
    </row>
    <row r="681" spans="1:3" ht="13.5" thickBot="1" x14ac:dyDescent="0.25">
      <c r="A681" s="68">
        <v>57595</v>
      </c>
      <c r="B681" s="69" t="s">
        <v>527</v>
      </c>
      <c r="C681" s="70" t="s">
        <v>534</v>
      </c>
    </row>
    <row r="682" spans="1:3" ht="14.25" thickBot="1" x14ac:dyDescent="0.25">
      <c r="A682" s="68">
        <v>57630</v>
      </c>
      <c r="B682" s="69" t="s">
        <v>527</v>
      </c>
      <c r="C682" s="70" t="s">
        <v>535</v>
      </c>
    </row>
    <row r="683" spans="1:3" ht="13.5" thickBot="1" x14ac:dyDescent="0.25">
      <c r="A683" s="68">
        <v>57651</v>
      </c>
      <c r="B683" s="69" t="s">
        <v>527</v>
      </c>
      <c r="C683" s="70" t="s">
        <v>536</v>
      </c>
    </row>
    <row r="684" spans="1:3" ht="13.5" thickBot="1" x14ac:dyDescent="0.25">
      <c r="A684" s="68">
        <v>57664</v>
      </c>
      <c r="B684" s="69" t="s">
        <v>532</v>
      </c>
      <c r="C684" s="70" t="s">
        <v>537</v>
      </c>
    </row>
    <row r="685" spans="1:3" ht="13.5" thickBot="1" x14ac:dyDescent="0.25">
      <c r="A685" s="68">
        <v>57704</v>
      </c>
      <c r="B685" s="69" t="s">
        <v>526</v>
      </c>
      <c r="C685" s="70" t="s">
        <v>538</v>
      </c>
    </row>
    <row r="686" spans="1:3" ht="13.5" thickBot="1" x14ac:dyDescent="0.25">
      <c r="A686" s="71">
        <v>57711</v>
      </c>
      <c r="B686" s="72" t="s">
        <v>526</v>
      </c>
      <c r="C686" s="73" t="s">
        <v>524</v>
      </c>
    </row>
    <row r="687" spans="1:3" ht="13.5" thickBot="1" x14ac:dyDescent="0.25">
      <c r="A687" s="74">
        <v>57766</v>
      </c>
      <c r="B687" s="75" t="s">
        <v>523</v>
      </c>
      <c r="C687" s="76" t="s">
        <v>525</v>
      </c>
    </row>
    <row r="688" spans="1:3" ht="13.5" thickBot="1" x14ac:dyDescent="0.25">
      <c r="A688" s="74">
        <v>57767</v>
      </c>
      <c r="B688" s="75" t="s">
        <v>526</v>
      </c>
      <c r="C688" s="76" t="s">
        <v>525</v>
      </c>
    </row>
    <row r="689" spans="1:3" ht="13.5" thickBot="1" x14ac:dyDescent="0.25">
      <c r="A689" s="74">
        <v>57812</v>
      </c>
      <c r="B689" s="75" t="s">
        <v>527</v>
      </c>
      <c r="C689" s="76" t="s">
        <v>528</v>
      </c>
    </row>
    <row r="690" spans="1:3" ht="13.5" thickBot="1" x14ac:dyDescent="0.25">
      <c r="A690" s="74">
        <v>57821</v>
      </c>
      <c r="B690" s="75" t="s">
        <v>539</v>
      </c>
      <c r="C690" s="76" t="s">
        <v>530</v>
      </c>
    </row>
    <row r="691" spans="1:3" ht="13.5" thickBot="1" x14ac:dyDescent="0.25">
      <c r="A691" s="74">
        <v>57831</v>
      </c>
      <c r="B691" s="75" t="s">
        <v>540</v>
      </c>
      <c r="C691" s="76" t="s">
        <v>531</v>
      </c>
    </row>
    <row r="692" spans="1:3" ht="13.5" thickBot="1" x14ac:dyDescent="0.25">
      <c r="A692" s="74">
        <v>57874</v>
      </c>
      <c r="B692" s="75" t="s">
        <v>532</v>
      </c>
      <c r="C692" s="76" t="s">
        <v>533</v>
      </c>
    </row>
    <row r="693" spans="1:3" ht="13.5" thickBot="1" x14ac:dyDescent="0.25">
      <c r="A693" s="74">
        <v>57960</v>
      </c>
      <c r="B693" s="75" t="s">
        <v>529</v>
      </c>
      <c r="C693" s="76" t="s">
        <v>534</v>
      </c>
    </row>
    <row r="694" spans="1:3" ht="14.25" thickBot="1" x14ac:dyDescent="0.25">
      <c r="A694" s="74">
        <v>57995</v>
      </c>
      <c r="B694" s="75" t="s">
        <v>529</v>
      </c>
      <c r="C694" s="76" t="s">
        <v>535</v>
      </c>
    </row>
    <row r="695" spans="1:3" ht="13.5" thickBot="1" x14ac:dyDescent="0.25">
      <c r="A695" s="74">
        <v>58016</v>
      </c>
      <c r="B695" s="75" t="s">
        <v>529</v>
      </c>
      <c r="C695" s="76" t="s">
        <v>536</v>
      </c>
    </row>
    <row r="696" spans="1:3" ht="13.5" thickBot="1" x14ac:dyDescent="0.25">
      <c r="A696" s="74">
        <v>58029</v>
      </c>
      <c r="B696" s="75" t="s">
        <v>527</v>
      </c>
      <c r="C696" s="76" t="s">
        <v>537</v>
      </c>
    </row>
    <row r="697" spans="1:3" ht="13.5" thickBot="1" x14ac:dyDescent="0.25">
      <c r="A697" s="74">
        <v>58069</v>
      </c>
      <c r="B697" s="75" t="s">
        <v>540</v>
      </c>
      <c r="C697" s="76" t="s">
        <v>538</v>
      </c>
    </row>
    <row r="698" spans="1:3" ht="13.5" thickBot="1" x14ac:dyDescent="0.25">
      <c r="A698" s="77">
        <v>58076</v>
      </c>
      <c r="B698" s="78" t="s">
        <v>540</v>
      </c>
      <c r="C698" s="79" t="s">
        <v>524</v>
      </c>
    </row>
    <row r="699" spans="1:3" ht="13.5" thickBot="1" x14ac:dyDescent="0.25">
      <c r="A699" s="68">
        <v>58116</v>
      </c>
      <c r="B699" s="69" t="s">
        <v>523</v>
      </c>
      <c r="C699" s="70" t="s">
        <v>525</v>
      </c>
    </row>
    <row r="700" spans="1:3" ht="13.5" thickBot="1" x14ac:dyDescent="0.25">
      <c r="A700" s="68">
        <v>58117</v>
      </c>
      <c r="B700" s="69" t="s">
        <v>526</v>
      </c>
      <c r="C700" s="70" t="s">
        <v>525</v>
      </c>
    </row>
    <row r="701" spans="1:3" ht="13.5" thickBot="1" x14ac:dyDescent="0.25">
      <c r="A701" s="68">
        <v>58162</v>
      </c>
      <c r="B701" s="69" t="s">
        <v>527</v>
      </c>
      <c r="C701" s="70" t="s">
        <v>528</v>
      </c>
    </row>
    <row r="702" spans="1:3" ht="13.5" thickBot="1" x14ac:dyDescent="0.25">
      <c r="A702" s="68">
        <v>58186</v>
      </c>
      <c r="B702" s="69" t="s">
        <v>523</v>
      </c>
      <c r="C702" s="70" t="s">
        <v>530</v>
      </c>
    </row>
    <row r="703" spans="1:3" ht="13.5" thickBot="1" x14ac:dyDescent="0.25">
      <c r="A703" s="68">
        <v>58196</v>
      </c>
      <c r="B703" s="69" t="s">
        <v>532</v>
      </c>
      <c r="C703" s="70" t="s">
        <v>531</v>
      </c>
    </row>
    <row r="704" spans="1:3" ht="13.5" thickBot="1" x14ac:dyDescent="0.25">
      <c r="A704" s="68">
        <v>58224</v>
      </c>
      <c r="B704" s="69" t="s">
        <v>532</v>
      </c>
      <c r="C704" s="70" t="s">
        <v>533</v>
      </c>
    </row>
    <row r="705" spans="1:3" ht="13.5" thickBot="1" x14ac:dyDescent="0.25">
      <c r="A705" s="68">
        <v>58325</v>
      </c>
      <c r="B705" s="69" t="s">
        <v>539</v>
      </c>
      <c r="C705" s="70" t="s">
        <v>534</v>
      </c>
    </row>
    <row r="706" spans="1:3" ht="14.25" thickBot="1" x14ac:dyDescent="0.25">
      <c r="A706" s="68">
        <v>58360</v>
      </c>
      <c r="B706" s="69" t="s">
        <v>539</v>
      </c>
      <c r="C706" s="70" t="s">
        <v>535</v>
      </c>
    </row>
    <row r="707" spans="1:3" ht="13.5" thickBot="1" x14ac:dyDescent="0.25">
      <c r="A707" s="68">
        <v>58381</v>
      </c>
      <c r="B707" s="69" t="s">
        <v>539</v>
      </c>
      <c r="C707" s="70" t="s">
        <v>536</v>
      </c>
    </row>
    <row r="708" spans="1:3" ht="13.5" thickBot="1" x14ac:dyDescent="0.25">
      <c r="A708" s="68">
        <v>58394</v>
      </c>
      <c r="B708" s="69" t="s">
        <v>529</v>
      </c>
      <c r="C708" s="70" t="s">
        <v>537</v>
      </c>
    </row>
    <row r="709" spans="1:3" ht="13.5" thickBot="1" x14ac:dyDescent="0.25">
      <c r="A709" s="68">
        <v>58434</v>
      </c>
      <c r="B709" s="69" t="s">
        <v>532</v>
      </c>
      <c r="C709" s="70" t="s">
        <v>538</v>
      </c>
    </row>
    <row r="710" spans="1:3" ht="13.5" thickBot="1" x14ac:dyDescent="0.25">
      <c r="A710" s="71">
        <v>58441</v>
      </c>
      <c r="B710" s="72" t="s">
        <v>532</v>
      </c>
      <c r="C710" s="73" t="s">
        <v>524</v>
      </c>
    </row>
    <row r="711" spans="1:3" ht="13.5" thickBot="1" x14ac:dyDescent="0.25">
      <c r="A711" s="74">
        <v>58501</v>
      </c>
      <c r="B711" s="75" t="s">
        <v>523</v>
      </c>
      <c r="C711" s="76" t="s">
        <v>525</v>
      </c>
    </row>
    <row r="712" spans="1:3" ht="13.5" thickBot="1" x14ac:dyDescent="0.25">
      <c r="A712" s="74">
        <v>58502</v>
      </c>
      <c r="B712" s="75" t="s">
        <v>526</v>
      </c>
      <c r="C712" s="76" t="s">
        <v>525</v>
      </c>
    </row>
    <row r="713" spans="1:3" ht="13.5" thickBot="1" x14ac:dyDescent="0.25">
      <c r="A713" s="74">
        <v>58547</v>
      </c>
      <c r="B713" s="75" t="s">
        <v>527</v>
      </c>
      <c r="C713" s="76" t="s">
        <v>528</v>
      </c>
    </row>
    <row r="714" spans="1:3" ht="13.5" thickBot="1" x14ac:dyDescent="0.25">
      <c r="A714" s="74">
        <v>58552</v>
      </c>
      <c r="B714" s="75" t="s">
        <v>540</v>
      </c>
      <c r="C714" s="76" t="s">
        <v>530</v>
      </c>
    </row>
    <row r="715" spans="1:3" ht="13.5" thickBot="1" x14ac:dyDescent="0.25">
      <c r="A715" s="74">
        <v>58562</v>
      </c>
      <c r="B715" s="75" t="s">
        <v>529</v>
      </c>
      <c r="C715" s="76" t="s">
        <v>531</v>
      </c>
    </row>
    <row r="716" spans="1:3" ht="13.5" thickBot="1" x14ac:dyDescent="0.25">
      <c r="A716" s="74">
        <v>58609</v>
      </c>
      <c r="B716" s="75" t="s">
        <v>532</v>
      </c>
      <c r="C716" s="76" t="s">
        <v>533</v>
      </c>
    </row>
    <row r="717" spans="1:3" ht="13.5" thickBot="1" x14ac:dyDescent="0.25">
      <c r="A717" s="74">
        <v>58691</v>
      </c>
      <c r="B717" s="75" t="s">
        <v>526</v>
      </c>
      <c r="C717" s="76" t="s">
        <v>534</v>
      </c>
    </row>
    <row r="718" spans="1:3" ht="14.25" thickBot="1" x14ac:dyDescent="0.25">
      <c r="A718" s="74">
        <v>58726</v>
      </c>
      <c r="B718" s="75" t="s">
        <v>526</v>
      </c>
      <c r="C718" s="76" t="s">
        <v>535</v>
      </c>
    </row>
    <row r="719" spans="1:3" ht="13.5" thickBot="1" x14ac:dyDescent="0.25">
      <c r="A719" s="74">
        <v>58747</v>
      </c>
      <c r="B719" s="75" t="s">
        <v>526</v>
      </c>
      <c r="C719" s="76" t="s">
        <v>536</v>
      </c>
    </row>
    <row r="720" spans="1:3" ht="13.5" thickBot="1" x14ac:dyDescent="0.25">
      <c r="A720" s="74">
        <v>58760</v>
      </c>
      <c r="B720" s="75" t="s">
        <v>523</v>
      </c>
      <c r="C720" s="76" t="s">
        <v>537</v>
      </c>
    </row>
    <row r="721" spans="1:3" ht="13.5" thickBot="1" x14ac:dyDescent="0.25">
      <c r="A721" s="74">
        <v>58800</v>
      </c>
      <c r="B721" s="75" t="s">
        <v>529</v>
      </c>
      <c r="C721" s="76" t="s">
        <v>538</v>
      </c>
    </row>
    <row r="722" spans="1:3" ht="13.5" thickBot="1" x14ac:dyDescent="0.25">
      <c r="A722" s="77">
        <v>58807</v>
      </c>
      <c r="B722" s="78" t="s">
        <v>529</v>
      </c>
      <c r="C722" s="79" t="s">
        <v>524</v>
      </c>
    </row>
    <row r="723" spans="1:3" ht="13.5" thickBot="1" x14ac:dyDescent="0.25">
      <c r="A723" s="68">
        <v>58858</v>
      </c>
      <c r="B723" s="69" t="s">
        <v>523</v>
      </c>
      <c r="C723" s="70" t="s">
        <v>525</v>
      </c>
    </row>
    <row r="724" spans="1:3" ht="13.5" thickBot="1" x14ac:dyDescent="0.25">
      <c r="A724" s="68">
        <v>58859</v>
      </c>
      <c r="B724" s="69" t="s">
        <v>526</v>
      </c>
      <c r="C724" s="70" t="s">
        <v>525</v>
      </c>
    </row>
    <row r="725" spans="1:3" ht="13.5" thickBot="1" x14ac:dyDescent="0.25">
      <c r="A725" s="68">
        <v>58904</v>
      </c>
      <c r="B725" s="69" t="s">
        <v>527</v>
      </c>
      <c r="C725" s="70" t="s">
        <v>528</v>
      </c>
    </row>
    <row r="726" spans="1:3" ht="13.5" thickBot="1" x14ac:dyDescent="0.25">
      <c r="A726" s="68">
        <v>58917</v>
      </c>
      <c r="B726" s="69" t="s">
        <v>532</v>
      </c>
      <c r="C726" s="70" t="s">
        <v>530</v>
      </c>
    </row>
    <row r="727" spans="1:3" ht="13.5" thickBot="1" x14ac:dyDescent="0.25">
      <c r="A727" s="68">
        <v>58927</v>
      </c>
      <c r="B727" s="69" t="s">
        <v>539</v>
      </c>
      <c r="C727" s="70" t="s">
        <v>531</v>
      </c>
    </row>
    <row r="728" spans="1:3" ht="13.5" thickBot="1" x14ac:dyDescent="0.25">
      <c r="A728" s="68">
        <v>58966</v>
      </c>
      <c r="B728" s="69" t="s">
        <v>532</v>
      </c>
      <c r="C728" s="70" t="s">
        <v>533</v>
      </c>
    </row>
    <row r="729" spans="1:3" ht="13.5" thickBot="1" x14ac:dyDescent="0.25">
      <c r="A729" s="68">
        <v>59056</v>
      </c>
      <c r="B729" s="69" t="s">
        <v>540</v>
      </c>
      <c r="C729" s="70" t="s">
        <v>534</v>
      </c>
    </row>
    <row r="730" spans="1:3" ht="14.25" thickBot="1" x14ac:dyDescent="0.25">
      <c r="A730" s="68">
        <v>59091</v>
      </c>
      <c r="B730" s="69" t="s">
        <v>540</v>
      </c>
      <c r="C730" s="70" t="s">
        <v>535</v>
      </c>
    </row>
    <row r="731" spans="1:3" ht="13.5" thickBot="1" x14ac:dyDescent="0.25">
      <c r="A731" s="68">
        <v>59112</v>
      </c>
      <c r="B731" s="69" t="s">
        <v>540</v>
      </c>
      <c r="C731" s="70" t="s">
        <v>536</v>
      </c>
    </row>
    <row r="732" spans="1:3" ht="13.5" thickBot="1" x14ac:dyDescent="0.25">
      <c r="A732" s="68">
        <v>59125</v>
      </c>
      <c r="B732" s="69" t="s">
        <v>526</v>
      </c>
      <c r="C732" s="70" t="s">
        <v>537</v>
      </c>
    </row>
    <row r="733" spans="1:3" ht="13.5" thickBot="1" x14ac:dyDescent="0.25">
      <c r="A733" s="68">
        <v>59165</v>
      </c>
      <c r="B733" s="69" t="s">
        <v>539</v>
      </c>
      <c r="C733" s="70" t="s">
        <v>538</v>
      </c>
    </row>
    <row r="734" spans="1:3" ht="13.5" thickBot="1" x14ac:dyDescent="0.25">
      <c r="A734" s="71">
        <v>59172</v>
      </c>
      <c r="B734" s="72" t="s">
        <v>539</v>
      </c>
      <c r="C734" s="73" t="s">
        <v>524</v>
      </c>
    </row>
    <row r="735" spans="1:3" ht="13.5" thickBot="1" x14ac:dyDescent="0.25">
      <c r="A735" s="74">
        <v>59208</v>
      </c>
      <c r="B735" s="75" t="s">
        <v>523</v>
      </c>
      <c r="C735" s="76" t="s">
        <v>525</v>
      </c>
    </row>
    <row r="736" spans="1:3" ht="13.5" thickBot="1" x14ac:dyDescent="0.25">
      <c r="A736" s="74">
        <v>59209</v>
      </c>
      <c r="B736" s="75" t="s">
        <v>526</v>
      </c>
      <c r="C736" s="76" t="s">
        <v>525</v>
      </c>
    </row>
    <row r="737" spans="1:3" ht="13.5" thickBot="1" x14ac:dyDescent="0.25">
      <c r="A737" s="74">
        <v>59254</v>
      </c>
      <c r="B737" s="75" t="s">
        <v>527</v>
      </c>
      <c r="C737" s="76" t="s">
        <v>528</v>
      </c>
    </row>
    <row r="738" spans="1:3" ht="13.5" thickBot="1" x14ac:dyDescent="0.25">
      <c r="A738" s="74">
        <v>59282</v>
      </c>
      <c r="B738" s="75" t="s">
        <v>527</v>
      </c>
      <c r="C738" s="76" t="s">
        <v>530</v>
      </c>
    </row>
    <row r="739" spans="1:3" ht="13.5" thickBot="1" x14ac:dyDescent="0.25">
      <c r="A739" s="74">
        <v>59292</v>
      </c>
      <c r="B739" s="75" t="s">
        <v>523</v>
      </c>
      <c r="C739" s="76" t="s">
        <v>531</v>
      </c>
    </row>
    <row r="740" spans="1:3" ht="13.5" thickBot="1" x14ac:dyDescent="0.25">
      <c r="A740" s="74">
        <v>59316</v>
      </c>
      <c r="B740" s="75" t="s">
        <v>532</v>
      </c>
      <c r="C740" s="76" t="s">
        <v>533</v>
      </c>
    </row>
    <row r="741" spans="1:3" ht="13.5" thickBot="1" x14ac:dyDescent="0.25">
      <c r="A741" s="74">
        <v>59421</v>
      </c>
      <c r="B741" s="75" t="s">
        <v>532</v>
      </c>
      <c r="C741" s="76" t="s">
        <v>534</v>
      </c>
    </row>
    <row r="742" spans="1:3" ht="14.25" thickBot="1" x14ac:dyDescent="0.25">
      <c r="A742" s="74">
        <v>59456</v>
      </c>
      <c r="B742" s="75" t="s">
        <v>532</v>
      </c>
      <c r="C742" s="76" t="s">
        <v>535</v>
      </c>
    </row>
    <row r="743" spans="1:3" ht="13.5" thickBot="1" x14ac:dyDescent="0.25">
      <c r="A743" s="74">
        <v>59477</v>
      </c>
      <c r="B743" s="75" t="s">
        <v>532</v>
      </c>
      <c r="C743" s="76" t="s">
        <v>536</v>
      </c>
    </row>
    <row r="744" spans="1:3" ht="13.5" thickBot="1" x14ac:dyDescent="0.25">
      <c r="A744" s="74">
        <v>59490</v>
      </c>
      <c r="B744" s="75" t="s">
        <v>540</v>
      </c>
      <c r="C744" s="76" t="s">
        <v>537</v>
      </c>
    </row>
    <row r="745" spans="1:3" ht="13.5" thickBot="1" x14ac:dyDescent="0.25">
      <c r="A745" s="74">
        <v>59530</v>
      </c>
      <c r="B745" s="75" t="s">
        <v>523</v>
      </c>
      <c r="C745" s="76" t="s">
        <v>538</v>
      </c>
    </row>
    <row r="746" spans="1:3" ht="13.5" thickBot="1" x14ac:dyDescent="0.25">
      <c r="A746" s="77">
        <v>59537</v>
      </c>
      <c r="B746" s="78" t="s">
        <v>523</v>
      </c>
      <c r="C746" s="79" t="s">
        <v>524</v>
      </c>
    </row>
    <row r="747" spans="1:3" ht="13.5" thickBot="1" x14ac:dyDescent="0.25">
      <c r="A747" s="68">
        <v>59593</v>
      </c>
      <c r="B747" s="69" t="s">
        <v>523</v>
      </c>
      <c r="C747" s="70" t="s">
        <v>525</v>
      </c>
    </row>
    <row r="748" spans="1:3" ht="13.5" thickBot="1" x14ac:dyDescent="0.25">
      <c r="A748" s="68">
        <v>59594</v>
      </c>
      <c r="B748" s="69" t="s">
        <v>526</v>
      </c>
      <c r="C748" s="70" t="s">
        <v>525</v>
      </c>
    </row>
    <row r="749" spans="1:3" ht="13.5" thickBot="1" x14ac:dyDescent="0.25">
      <c r="A749" s="68">
        <v>59639</v>
      </c>
      <c r="B749" s="69" t="s">
        <v>527</v>
      </c>
      <c r="C749" s="70" t="s">
        <v>528</v>
      </c>
    </row>
    <row r="750" spans="1:3" ht="13.5" thickBot="1" x14ac:dyDescent="0.25">
      <c r="A750" s="68">
        <v>59647</v>
      </c>
      <c r="B750" s="69" t="s">
        <v>529</v>
      </c>
      <c r="C750" s="70" t="s">
        <v>530</v>
      </c>
    </row>
    <row r="751" spans="1:3" ht="13.5" thickBot="1" x14ac:dyDescent="0.25">
      <c r="A751" s="68">
        <v>59657</v>
      </c>
      <c r="B751" s="69" t="s">
        <v>526</v>
      </c>
      <c r="C751" s="70" t="s">
        <v>531</v>
      </c>
    </row>
    <row r="752" spans="1:3" ht="13.5" thickBot="1" x14ac:dyDescent="0.25">
      <c r="A752" s="68">
        <v>59701</v>
      </c>
      <c r="B752" s="69" t="s">
        <v>532</v>
      </c>
      <c r="C752" s="70" t="s">
        <v>533</v>
      </c>
    </row>
    <row r="753" spans="1:3" ht="13.5" thickBot="1" x14ac:dyDescent="0.25">
      <c r="A753" s="68">
        <v>59786</v>
      </c>
      <c r="B753" s="69" t="s">
        <v>527</v>
      </c>
      <c r="C753" s="70" t="s">
        <v>534</v>
      </c>
    </row>
    <row r="754" spans="1:3" ht="14.25" thickBot="1" x14ac:dyDescent="0.25">
      <c r="A754" s="68">
        <v>59821</v>
      </c>
      <c r="B754" s="69" t="s">
        <v>527</v>
      </c>
      <c r="C754" s="70" t="s">
        <v>535</v>
      </c>
    </row>
    <row r="755" spans="1:3" ht="13.5" thickBot="1" x14ac:dyDescent="0.25">
      <c r="A755" s="68">
        <v>59842</v>
      </c>
      <c r="B755" s="69" t="s">
        <v>527</v>
      </c>
      <c r="C755" s="70" t="s">
        <v>536</v>
      </c>
    </row>
    <row r="756" spans="1:3" ht="13.5" thickBot="1" x14ac:dyDescent="0.25">
      <c r="A756" s="68">
        <v>59855</v>
      </c>
      <c r="B756" s="69" t="s">
        <v>532</v>
      </c>
      <c r="C756" s="70" t="s">
        <v>537</v>
      </c>
    </row>
    <row r="757" spans="1:3" ht="13.5" thickBot="1" x14ac:dyDescent="0.25">
      <c r="A757" s="68">
        <v>59895</v>
      </c>
      <c r="B757" s="69" t="s">
        <v>526</v>
      </c>
      <c r="C757" s="70" t="s">
        <v>538</v>
      </c>
    </row>
    <row r="758" spans="1:3" ht="13.5" thickBot="1" x14ac:dyDescent="0.25">
      <c r="A758" s="71">
        <v>59902</v>
      </c>
      <c r="B758" s="72" t="s">
        <v>526</v>
      </c>
      <c r="C758" s="73" t="s">
        <v>524</v>
      </c>
    </row>
    <row r="759" spans="1:3" ht="13.5" thickBot="1" x14ac:dyDescent="0.25">
      <c r="A759" s="74">
        <v>59950</v>
      </c>
      <c r="B759" s="75" t="s">
        <v>523</v>
      </c>
      <c r="C759" s="76" t="s">
        <v>525</v>
      </c>
    </row>
    <row r="760" spans="1:3" ht="13.5" thickBot="1" x14ac:dyDescent="0.25">
      <c r="A760" s="74">
        <v>59951</v>
      </c>
      <c r="B760" s="75" t="s">
        <v>526</v>
      </c>
      <c r="C760" s="76" t="s">
        <v>525</v>
      </c>
    </row>
    <row r="761" spans="1:3" ht="13.5" thickBot="1" x14ac:dyDescent="0.25">
      <c r="A761" s="74">
        <v>59996</v>
      </c>
      <c r="B761" s="75" t="s">
        <v>527</v>
      </c>
      <c r="C761" s="76" t="s">
        <v>528</v>
      </c>
    </row>
    <row r="762" spans="1:3" ht="13.5" thickBot="1" x14ac:dyDescent="0.25">
      <c r="A762" s="74">
        <v>60013</v>
      </c>
      <c r="B762" s="75" t="s">
        <v>523</v>
      </c>
      <c r="C762" s="76" t="s">
        <v>530</v>
      </c>
    </row>
    <row r="763" spans="1:3" ht="13.5" thickBot="1" x14ac:dyDescent="0.25">
      <c r="A763" s="74">
        <v>60023</v>
      </c>
      <c r="B763" s="75" t="s">
        <v>532</v>
      </c>
      <c r="C763" s="76" t="s">
        <v>531</v>
      </c>
    </row>
    <row r="764" spans="1:3" ht="13.5" thickBot="1" x14ac:dyDescent="0.25">
      <c r="A764" s="74">
        <v>60058</v>
      </c>
      <c r="B764" s="75" t="s">
        <v>532</v>
      </c>
      <c r="C764" s="76" t="s">
        <v>533</v>
      </c>
    </row>
    <row r="765" spans="1:3" ht="13.5" thickBot="1" x14ac:dyDescent="0.25">
      <c r="A765" s="74">
        <v>60152</v>
      </c>
      <c r="B765" s="75" t="s">
        <v>539</v>
      </c>
      <c r="C765" s="76" t="s">
        <v>534</v>
      </c>
    </row>
    <row r="766" spans="1:3" ht="14.25" thickBot="1" x14ac:dyDescent="0.25">
      <c r="A766" s="74">
        <v>60187</v>
      </c>
      <c r="B766" s="75" t="s">
        <v>539</v>
      </c>
      <c r="C766" s="76" t="s">
        <v>535</v>
      </c>
    </row>
    <row r="767" spans="1:3" ht="13.5" thickBot="1" x14ac:dyDescent="0.25">
      <c r="A767" s="74">
        <v>60208</v>
      </c>
      <c r="B767" s="75" t="s">
        <v>539</v>
      </c>
      <c r="C767" s="76" t="s">
        <v>536</v>
      </c>
    </row>
    <row r="768" spans="1:3" ht="13.5" thickBot="1" x14ac:dyDescent="0.25">
      <c r="A768" s="74">
        <v>60221</v>
      </c>
      <c r="B768" s="75" t="s">
        <v>529</v>
      </c>
      <c r="C768" s="76" t="s">
        <v>537</v>
      </c>
    </row>
    <row r="769" spans="1:3" ht="13.5" thickBot="1" x14ac:dyDescent="0.25">
      <c r="A769" s="74">
        <v>60261</v>
      </c>
      <c r="B769" s="75" t="s">
        <v>532</v>
      </c>
      <c r="C769" s="76" t="s">
        <v>538</v>
      </c>
    </row>
    <row r="770" spans="1:3" ht="13.5" thickBot="1" x14ac:dyDescent="0.25">
      <c r="A770" s="77">
        <v>60268</v>
      </c>
      <c r="B770" s="78" t="s">
        <v>532</v>
      </c>
      <c r="C770" s="79" t="s">
        <v>524</v>
      </c>
    </row>
    <row r="771" spans="1:3" ht="13.5" thickBot="1" x14ac:dyDescent="0.25">
      <c r="A771" s="68">
        <v>60307</v>
      </c>
      <c r="B771" s="69" t="s">
        <v>523</v>
      </c>
      <c r="C771" s="70" t="s">
        <v>525</v>
      </c>
    </row>
    <row r="772" spans="1:3" ht="13.5" thickBot="1" x14ac:dyDescent="0.25">
      <c r="A772" s="68">
        <v>60308</v>
      </c>
      <c r="B772" s="69" t="s">
        <v>526</v>
      </c>
      <c r="C772" s="70" t="s">
        <v>525</v>
      </c>
    </row>
    <row r="773" spans="1:3" ht="13.5" thickBot="1" x14ac:dyDescent="0.25">
      <c r="A773" s="68">
        <v>60353</v>
      </c>
      <c r="B773" s="69" t="s">
        <v>527</v>
      </c>
      <c r="C773" s="70" t="s">
        <v>528</v>
      </c>
    </row>
    <row r="774" spans="1:3" ht="13.5" thickBot="1" x14ac:dyDescent="0.25">
      <c r="A774" s="68">
        <v>60378</v>
      </c>
      <c r="B774" s="69" t="s">
        <v>526</v>
      </c>
      <c r="C774" s="70" t="s">
        <v>530</v>
      </c>
    </row>
    <row r="775" spans="1:3" ht="13.5" thickBot="1" x14ac:dyDescent="0.25">
      <c r="A775" s="68">
        <v>60388</v>
      </c>
      <c r="B775" s="69" t="s">
        <v>527</v>
      </c>
      <c r="C775" s="70" t="s">
        <v>531</v>
      </c>
    </row>
    <row r="776" spans="1:3" ht="13.5" thickBot="1" x14ac:dyDescent="0.25">
      <c r="A776" s="68">
        <v>60415</v>
      </c>
      <c r="B776" s="69" t="s">
        <v>532</v>
      </c>
      <c r="C776" s="70" t="s">
        <v>533</v>
      </c>
    </row>
    <row r="777" spans="1:3" ht="13.5" thickBot="1" x14ac:dyDescent="0.25">
      <c r="A777" s="68">
        <v>60517</v>
      </c>
      <c r="B777" s="69" t="s">
        <v>523</v>
      </c>
      <c r="C777" s="70" t="s">
        <v>534</v>
      </c>
    </row>
    <row r="778" spans="1:3" ht="14.25" thickBot="1" x14ac:dyDescent="0.25">
      <c r="A778" s="68">
        <v>60552</v>
      </c>
      <c r="B778" s="69" t="s">
        <v>523</v>
      </c>
      <c r="C778" s="70" t="s">
        <v>535</v>
      </c>
    </row>
    <row r="779" spans="1:3" ht="13.5" thickBot="1" x14ac:dyDescent="0.25">
      <c r="A779" s="68">
        <v>60573</v>
      </c>
      <c r="B779" s="69" t="s">
        <v>523</v>
      </c>
      <c r="C779" s="70" t="s">
        <v>536</v>
      </c>
    </row>
    <row r="780" spans="1:3" ht="13.5" thickBot="1" x14ac:dyDescent="0.25">
      <c r="A780" s="68">
        <v>60586</v>
      </c>
      <c r="B780" s="69" t="s">
        <v>539</v>
      </c>
      <c r="C780" s="70" t="s">
        <v>537</v>
      </c>
    </row>
    <row r="781" spans="1:3" ht="13.5" thickBot="1" x14ac:dyDescent="0.25">
      <c r="A781" s="68">
        <v>60626</v>
      </c>
      <c r="B781" s="69" t="s">
        <v>527</v>
      </c>
      <c r="C781" s="70" t="s">
        <v>538</v>
      </c>
    </row>
    <row r="782" spans="1:3" ht="13.5" thickBot="1" x14ac:dyDescent="0.25">
      <c r="A782" s="71">
        <v>60633</v>
      </c>
      <c r="B782" s="72" t="s">
        <v>527</v>
      </c>
      <c r="C782" s="73" t="s">
        <v>524</v>
      </c>
    </row>
    <row r="783" spans="1:3" ht="13.5" thickBot="1" x14ac:dyDescent="0.25">
      <c r="A783" s="74">
        <v>60685</v>
      </c>
      <c r="B783" s="75" t="s">
        <v>523</v>
      </c>
      <c r="C783" s="76" t="s">
        <v>525</v>
      </c>
    </row>
    <row r="784" spans="1:3" ht="13.5" thickBot="1" x14ac:dyDescent="0.25">
      <c r="A784" s="74">
        <v>60686</v>
      </c>
      <c r="B784" s="75" t="s">
        <v>526</v>
      </c>
      <c r="C784" s="76" t="s">
        <v>525</v>
      </c>
    </row>
    <row r="785" spans="1:3" ht="13.5" thickBot="1" x14ac:dyDescent="0.25">
      <c r="A785" s="74">
        <v>60731</v>
      </c>
      <c r="B785" s="75" t="s">
        <v>527</v>
      </c>
      <c r="C785" s="76" t="s">
        <v>528</v>
      </c>
    </row>
    <row r="786" spans="1:3" ht="13.5" thickBot="1" x14ac:dyDescent="0.25">
      <c r="A786" s="74">
        <v>60743</v>
      </c>
      <c r="B786" s="75" t="s">
        <v>540</v>
      </c>
      <c r="C786" s="76" t="s">
        <v>530</v>
      </c>
    </row>
    <row r="787" spans="1:3" ht="13.5" thickBot="1" x14ac:dyDescent="0.25">
      <c r="A787" s="74">
        <v>60753</v>
      </c>
      <c r="B787" s="75" t="s">
        <v>529</v>
      </c>
      <c r="C787" s="76" t="s">
        <v>531</v>
      </c>
    </row>
    <row r="788" spans="1:3" ht="13.5" thickBot="1" x14ac:dyDescent="0.25">
      <c r="A788" s="74">
        <v>60793</v>
      </c>
      <c r="B788" s="75" t="s">
        <v>532</v>
      </c>
      <c r="C788" s="76" t="s">
        <v>533</v>
      </c>
    </row>
    <row r="789" spans="1:3" ht="13.5" thickBot="1" x14ac:dyDescent="0.25">
      <c r="A789" s="74">
        <v>60882</v>
      </c>
      <c r="B789" s="75" t="s">
        <v>526</v>
      </c>
      <c r="C789" s="76" t="s">
        <v>534</v>
      </c>
    </row>
    <row r="790" spans="1:3" ht="14.25" thickBot="1" x14ac:dyDescent="0.25">
      <c r="A790" s="74">
        <v>60917</v>
      </c>
      <c r="B790" s="75" t="s">
        <v>526</v>
      </c>
      <c r="C790" s="76" t="s">
        <v>535</v>
      </c>
    </row>
    <row r="791" spans="1:3" ht="13.5" thickBot="1" x14ac:dyDescent="0.25">
      <c r="A791" s="74">
        <v>60938</v>
      </c>
      <c r="B791" s="75" t="s">
        <v>526</v>
      </c>
      <c r="C791" s="76" t="s">
        <v>536</v>
      </c>
    </row>
    <row r="792" spans="1:3" ht="13.5" thickBot="1" x14ac:dyDescent="0.25">
      <c r="A792" s="74">
        <v>60951</v>
      </c>
      <c r="B792" s="75" t="s">
        <v>523</v>
      </c>
      <c r="C792" s="76" t="s">
        <v>537</v>
      </c>
    </row>
    <row r="793" spans="1:3" ht="13.5" thickBot="1" x14ac:dyDescent="0.25">
      <c r="A793" s="74">
        <v>60991</v>
      </c>
      <c r="B793" s="75" t="s">
        <v>529</v>
      </c>
      <c r="C793" s="76" t="s">
        <v>538</v>
      </c>
    </row>
    <row r="794" spans="1:3" ht="13.5" thickBot="1" x14ac:dyDescent="0.25">
      <c r="A794" s="77">
        <v>60998</v>
      </c>
      <c r="B794" s="78" t="s">
        <v>529</v>
      </c>
      <c r="C794" s="79" t="s">
        <v>524</v>
      </c>
    </row>
    <row r="795" spans="1:3" ht="13.5" thickBot="1" x14ac:dyDescent="0.25">
      <c r="A795" s="68">
        <v>61042</v>
      </c>
      <c r="B795" s="69" t="s">
        <v>523</v>
      </c>
      <c r="C795" s="70" t="s">
        <v>525</v>
      </c>
    </row>
    <row r="796" spans="1:3" ht="13.5" thickBot="1" x14ac:dyDescent="0.25">
      <c r="A796" s="68">
        <v>61043</v>
      </c>
      <c r="B796" s="69" t="s">
        <v>526</v>
      </c>
      <c r="C796" s="70" t="s">
        <v>525</v>
      </c>
    </row>
    <row r="797" spans="1:3" ht="13.5" thickBot="1" x14ac:dyDescent="0.25">
      <c r="A797" s="68">
        <v>61088</v>
      </c>
      <c r="B797" s="69" t="s">
        <v>527</v>
      </c>
      <c r="C797" s="70" t="s">
        <v>528</v>
      </c>
    </row>
    <row r="798" spans="1:3" ht="13.5" thickBot="1" x14ac:dyDescent="0.25">
      <c r="A798" s="68">
        <v>61108</v>
      </c>
      <c r="B798" s="69" t="s">
        <v>532</v>
      </c>
      <c r="C798" s="70" t="s">
        <v>530</v>
      </c>
    </row>
    <row r="799" spans="1:3" ht="13.5" thickBot="1" x14ac:dyDescent="0.25">
      <c r="A799" s="68">
        <v>61118</v>
      </c>
      <c r="B799" s="69" t="s">
        <v>539</v>
      </c>
      <c r="C799" s="70" t="s">
        <v>531</v>
      </c>
    </row>
    <row r="800" spans="1:3" ht="13.5" thickBot="1" x14ac:dyDescent="0.25">
      <c r="A800" s="68">
        <v>61150</v>
      </c>
      <c r="B800" s="69" t="s">
        <v>532</v>
      </c>
      <c r="C800" s="70" t="s">
        <v>533</v>
      </c>
    </row>
    <row r="801" spans="1:3" ht="13.5" thickBot="1" x14ac:dyDescent="0.25">
      <c r="A801" s="68">
        <v>61247</v>
      </c>
      <c r="B801" s="69" t="s">
        <v>540</v>
      </c>
      <c r="C801" s="70" t="s">
        <v>534</v>
      </c>
    </row>
    <row r="802" spans="1:3" ht="14.25" thickBot="1" x14ac:dyDescent="0.25">
      <c r="A802" s="68">
        <v>61282</v>
      </c>
      <c r="B802" s="69" t="s">
        <v>540</v>
      </c>
      <c r="C802" s="70" t="s">
        <v>535</v>
      </c>
    </row>
    <row r="803" spans="1:3" ht="13.5" thickBot="1" x14ac:dyDescent="0.25">
      <c r="A803" s="68">
        <v>61303</v>
      </c>
      <c r="B803" s="69" t="s">
        <v>540</v>
      </c>
      <c r="C803" s="70" t="s">
        <v>536</v>
      </c>
    </row>
    <row r="804" spans="1:3" ht="13.5" thickBot="1" x14ac:dyDescent="0.25">
      <c r="A804" s="68">
        <v>61316</v>
      </c>
      <c r="B804" s="69" t="s">
        <v>526</v>
      </c>
      <c r="C804" s="70" t="s">
        <v>537</v>
      </c>
    </row>
    <row r="805" spans="1:3" ht="13.5" thickBot="1" x14ac:dyDescent="0.25">
      <c r="A805" s="68">
        <v>61356</v>
      </c>
      <c r="B805" s="69" t="s">
        <v>539</v>
      </c>
      <c r="C805" s="70" t="s">
        <v>538</v>
      </c>
    </row>
    <row r="806" spans="1:3" ht="13.5" thickBot="1" x14ac:dyDescent="0.25">
      <c r="A806" s="71">
        <v>61363</v>
      </c>
      <c r="B806" s="72" t="s">
        <v>539</v>
      </c>
      <c r="C806" s="73" t="s">
        <v>524</v>
      </c>
    </row>
    <row r="807" spans="1:3" ht="13.5" thickBot="1" x14ac:dyDescent="0.25">
      <c r="A807" s="74">
        <v>61427</v>
      </c>
      <c r="B807" s="75" t="s">
        <v>523</v>
      </c>
      <c r="C807" s="76" t="s">
        <v>525</v>
      </c>
    </row>
    <row r="808" spans="1:3" ht="13.5" thickBot="1" x14ac:dyDescent="0.25">
      <c r="A808" s="74">
        <v>61428</v>
      </c>
      <c r="B808" s="75" t="s">
        <v>526</v>
      </c>
      <c r="C808" s="76" t="s">
        <v>525</v>
      </c>
    </row>
    <row r="809" spans="1:3" ht="13.5" thickBot="1" x14ac:dyDescent="0.25">
      <c r="A809" s="74">
        <v>61473</v>
      </c>
      <c r="B809" s="75" t="s">
        <v>527</v>
      </c>
      <c r="C809" s="76" t="s">
        <v>528</v>
      </c>
    </row>
    <row r="810" spans="1:3" ht="13.5" thickBot="1" x14ac:dyDescent="0.25">
      <c r="A810" s="74">
        <v>61474</v>
      </c>
      <c r="B810" s="75" t="s">
        <v>529</v>
      </c>
      <c r="C810" s="76" t="s">
        <v>530</v>
      </c>
    </row>
    <row r="811" spans="1:3" ht="13.5" thickBot="1" x14ac:dyDescent="0.25">
      <c r="A811" s="74">
        <v>61484</v>
      </c>
      <c r="B811" s="75" t="s">
        <v>526</v>
      </c>
      <c r="C811" s="76" t="s">
        <v>531</v>
      </c>
    </row>
    <row r="812" spans="1:3" ht="13.5" thickBot="1" x14ac:dyDescent="0.25">
      <c r="A812" s="74">
        <v>61535</v>
      </c>
      <c r="B812" s="75" t="s">
        <v>532</v>
      </c>
      <c r="C812" s="76" t="s">
        <v>533</v>
      </c>
    </row>
    <row r="813" spans="1:3" ht="13.5" thickBot="1" x14ac:dyDescent="0.25">
      <c r="A813" s="74">
        <v>61613</v>
      </c>
      <c r="B813" s="75" t="s">
        <v>527</v>
      </c>
      <c r="C813" s="76" t="s">
        <v>534</v>
      </c>
    </row>
    <row r="814" spans="1:3" ht="14.25" thickBot="1" x14ac:dyDescent="0.25">
      <c r="A814" s="74">
        <v>61648</v>
      </c>
      <c r="B814" s="75" t="s">
        <v>527</v>
      </c>
      <c r="C814" s="76" t="s">
        <v>535</v>
      </c>
    </row>
    <row r="815" spans="1:3" ht="13.5" thickBot="1" x14ac:dyDescent="0.25">
      <c r="A815" s="74">
        <v>61669</v>
      </c>
      <c r="B815" s="75" t="s">
        <v>527</v>
      </c>
      <c r="C815" s="76" t="s">
        <v>536</v>
      </c>
    </row>
    <row r="816" spans="1:3" ht="13.5" thickBot="1" x14ac:dyDescent="0.25">
      <c r="A816" s="74">
        <v>61682</v>
      </c>
      <c r="B816" s="75" t="s">
        <v>532</v>
      </c>
      <c r="C816" s="76" t="s">
        <v>537</v>
      </c>
    </row>
    <row r="817" spans="1:3" ht="13.5" thickBot="1" x14ac:dyDescent="0.25">
      <c r="A817" s="74">
        <v>61722</v>
      </c>
      <c r="B817" s="75" t="s">
        <v>526</v>
      </c>
      <c r="C817" s="76" t="s">
        <v>538</v>
      </c>
    </row>
    <row r="818" spans="1:3" ht="13.5" thickBot="1" x14ac:dyDescent="0.25">
      <c r="A818" s="77">
        <v>61729</v>
      </c>
      <c r="B818" s="78" t="s">
        <v>526</v>
      </c>
      <c r="C818" s="79" t="s">
        <v>524</v>
      </c>
    </row>
    <row r="819" spans="1:3" ht="13.5" thickBot="1" x14ac:dyDescent="0.25">
      <c r="A819" s="68">
        <v>61784</v>
      </c>
      <c r="B819" s="69" t="s">
        <v>523</v>
      </c>
      <c r="C819" s="70" t="s">
        <v>525</v>
      </c>
    </row>
    <row r="820" spans="1:3" ht="13.5" thickBot="1" x14ac:dyDescent="0.25">
      <c r="A820" s="68">
        <v>61785</v>
      </c>
      <c r="B820" s="69" t="s">
        <v>526</v>
      </c>
      <c r="C820" s="70" t="s">
        <v>525</v>
      </c>
    </row>
    <row r="821" spans="1:3" ht="13.5" thickBot="1" x14ac:dyDescent="0.25">
      <c r="A821" s="68">
        <v>61830</v>
      </c>
      <c r="B821" s="69" t="s">
        <v>527</v>
      </c>
      <c r="C821" s="70" t="s">
        <v>528</v>
      </c>
    </row>
    <row r="822" spans="1:3" ht="13.5" thickBot="1" x14ac:dyDescent="0.25">
      <c r="A822" s="68">
        <v>61839</v>
      </c>
      <c r="B822" s="69" t="s">
        <v>539</v>
      </c>
      <c r="C822" s="70" t="s">
        <v>530</v>
      </c>
    </row>
    <row r="823" spans="1:3" ht="13.5" thickBot="1" x14ac:dyDescent="0.25">
      <c r="A823" s="68">
        <v>61849</v>
      </c>
      <c r="B823" s="69" t="s">
        <v>540</v>
      </c>
      <c r="C823" s="70" t="s">
        <v>531</v>
      </c>
    </row>
    <row r="824" spans="1:3" ht="13.5" thickBot="1" x14ac:dyDescent="0.25">
      <c r="A824" s="68">
        <v>61892</v>
      </c>
      <c r="B824" s="69" t="s">
        <v>532</v>
      </c>
      <c r="C824" s="70" t="s">
        <v>533</v>
      </c>
    </row>
    <row r="825" spans="1:3" ht="13.5" thickBot="1" x14ac:dyDescent="0.25">
      <c r="A825" s="68">
        <v>61978</v>
      </c>
      <c r="B825" s="69" t="s">
        <v>529</v>
      </c>
      <c r="C825" s="70" t="s">
        <v>534</v>
      </c>
    </row>
    <row r="826" spans="1:3" ht="14.25" thickBot="1" x14ac:dyDescent="0.25">
      <c r="A826" s="68">
        <v>62013</v>
      </c>
      <c r="B826" s="69" t="s">
        <v>529</v>
      </c>
      <c r="C826" s="70" t="s">
        <v>535</v>
      </c>
    </row>
    <row r="827" spans="1:3" ht="13.5" thickBot="1" x14ac:dyDescent="0.25">
      <c r="A827" s="68">
        <v>62034</v>
      </c>
      <c r="B827" s="69" t="s">
        <v>529</v>
      </c>
      <c r="C827" s="70" t="s">
        <v>536</v>
      </c>
    </row>
    <row r="828" spans="1:3" ht="13.5" thickBot="1" x14ac:dyDescent="0.25">
      <c r="A828" s="68">
        <v>62047</v>
      </c>
      <c r="B828" s="69" t="s">
        <v>527</v>
      </c>
      <c r="C828" s="70" t="s">
        <v>537</v>
      </c>
    </row>
    <row r="829" spans="1:3" ht="13.5" thickBot="1" x14ac:dyDescent="0.25">
      <c r="A829" s="68">
        <v>62087</v>
      </c>
      <c r="B829" s="69" t="s">
        <v>540</v>
      </c>
      <c r="C829" s="70" t="s">
        <v>538</v>
      </c>
    </row>
    <row r="830" spans="1:3" ht="13.5" thickBot="1" x14ac:dyDescent="0.25">
      <c r="A830" s="71">
        <v>62094</v>
      </c>
      <c r="B830" s="72" t="s">
        <v>540</v>
      </c>
      <c r="C830" s="73" t="s">
        <v>524</v>
      </c>
    </row>
    <row r="831" spans="1:3" ht="13.5" thickBot="1" x14ac:dyDescent="0.25">
      <c r="A831" s="74">
        <v>62134</v>
      </c>
      <c r="B831" s="75" t="s">
        <v>523</v>
      </c>
      <c r="C831" s="76" t="s">
        <v>525</v>
      </c>
    </row>
    <row r="832" spans="1:3" ht="13.5" thickBot="1" x14ac:dyDescent="0.25">
      <c r="A832" s="74">
        <v>62135</v>
      </c>
      <c r="B832" s="75" t="s">
        <v>526</v>
      </c>
      <c r="C832" s="76" t="s">
        <v>525</v>
      </c>
    </row>
    <row r="833" spans="1:3" ht="13.5" thickBot="1" x14ac:dyDescent="0.25">
      <c r="A833" s="74">
        <v>62180</v>
      </c>
      <c r="B833" s="75" t="s">
        <v>527</v>
      </c>
      <c r="C833" s="76" t="s">
        <v>528</v>
      </c>
    </row>
    <row r="834" spans="1:3" ht="13.5" thickBot="1" x14ac:dyDescent="0.25">
      <c r="A834" s="74">
        <v>62204</v>
      </c>
      <c r="B834" s="75" t="s">
        <v>523</v>
      </c>
      <c r="C834" s="76" t="s">
        <v>530</v>
      </c>
    </row>
    <row r="835" spans="1:3" ht="13.5" thickBot="1" x14ac:dyDescent="0.25">
      <c r="A835" s="74">
        <v>62214</v>
      </c>
      <c r="B835" s="75" t="s">
        <v>532</v>
      </c>
      <c r="C835" s="76" t="s">
        <v>531</v>
      </c>
    </row>
    <row r="836" spans="1:3" ht="13.5" thickBot="1" x14ac:dyDescent="0.25">
      <c r="A836" s="74">
        <v>62242</v>
      </c>
      <c r="B836" s="75" t="s">
        <v>532</v>
      </c>
      <c r="C836" s="76" t="s">
        <v>533</v>
      </c>
    </row>
    <row r="837" spans="1:3" ht="13.5" thickBot="1" x14ac:dyDescent="0.25">
      <c r="A837" s="74">
        <v>62343</v>
      </c>
      <c r="B837" s="75" t="s">
        <v>539</v>
      </c>
      <c r="C837" s="76" t="s">
        <v>534</v>
      </c>
    </row>
    <row r="838" spans="1:3" ht="14.25" thickBot="1" x14ac:dyDescent="0.25">
      <c r="A838" s="74">
        <v>62378</v>
      </c>
      <c r="B838" s="75" t="s">
        <v>539</v>
      </c>
      <c r="C838" s="76" t="s">
        <v>535</v>
      </c>
    </row>
    <row r="839" spans="1:3" ht="13.5" thickBot="1" x14ac:dyDescent="0.25">
      <c r="A839" s="74">
        <v>62399</v>
      </c>
      <c r="B839" s="75" t="s">
        <v>539</v>
      </c>
      <c r="C839" s="76" t="s">
        <v>536</v>
      </c>
    </row>
    <row r="840" spans="1:3" ht="13.5" thickBot="1" x14ac:dyDescent="0.25">
      <c r="A840" s="74">
        <v>62412</v>
      </c>
      <c r="B840" s="75" t="s">
        <v>529</v>
      </c>
      <c r="C840" s="76" t="s">
        <v>537</v>
      </c>
    </row>
    <row r="841" spans="1:3" ht="13.5" thickBot="1" x14ac:dyDescent="0.25">
      <c r="A841" s="74">
        <v>62452</v>
      </c>
      <c r="B841" s="75" t="s">
        <v>532</v>
      </c>
      <c r="C841" s="76" t="s">
        <v>538</v>
      </c>
    </row>
    <row r="842" spans="1:3" ht="13.5" thickBot="1" x14ac:dyDescent="0.25">
      <c r="A842" s="77">
        <v>62459</v>
      </c>
      <c r="B842" s="78" t="s">
        <v>532</v>
      </c>
      <c r="C842" s="79" t="s">
        <v>524</v>
      </c>
    </row>
    <row r="843" spans="1:3" ht="13.5" thickBot="1" x14ac:dyDescent="0.25">
      <c r="A843" s="68">
        <v>62519</v>
      </c>
      <c r="B843" s="69" t="s">
        <v>523</v>
      </c>
      <c r="C843" s="70" t="s">
        <v>525</v>
      </c>
    </row>
    <row r="844" spans="1:3" ht="13.5" thickBot="1" x14ac:dyDescent="0.25">
      <c r="A844" s="68">
        <v>62520</v>
      </c>
      <c r="B844" s="69" t="s">
        <v>526</v>
      </c>
      <c r="C844" s="70" t="s">
        <v>525</v>
      </c>
    </row>
    <row r="845" spans="1:3" ht="13.5" thickBot="1" x14ac:dyDescent="0.25">
      <c r="A845" s="68">
        <v>62565</v>
      </c>
      <c r="B845" s="69" t="s">
        <v>527</v>
      </c>
      <c r="C845" s="70" t="s">
        <v>528</v>
      </c>
    </row>
    <row r="846" spans="1:3" ht="13.5" thickBot="1" x14ac:dyDescent="0.25">
      <c r="A846" s="68">
        <v>62569</v>
      </c>
      <c r="B846" s="69" t="s">
        <v>526</v>
      </c>
      <c r="C846" s="70" t="s">
        <v>530</v>
      </c>
    </row>
    <row r="847" spans="1:3" ht="13.5" thickBot="1" x14ac:dyDescent="0.25">
      <c r="A847" s="68">
        <v>62579</v>
      </c>
      <c r="B847" s="69" t="s">
        <v>527</v>
      </c>
      <c r="C847" s="70" t="s">
        <v>531</v>
      </c>
    </row>
    <row r="848" spans="1:3" ht="13.5" thickBot="1" x14ac:dyDescent="0.25">
      <c r="A848" s="68">
        <v>62627</v>
      </c>
      <c r="B848" s="69" t="s">
        <v>532</v>
      </c>
      <c r="C848" s="70" t="s">
        <v>533</v>
      </c>
    </row>
    <row r="849" spans="1:3" ht="13.5" thickBot="1" x14ac:dyDescent="0.25">
      <c r="A849" s="68">
        <v>62708</v>
      </c>
      <c r="B849" s="69" t="s">
        <v>523</v>
      </c>
      <c r="C849" s="70" t="s">
        <v>534</v>
      </c>
    </row>
    <row r="850" spans="1:3" ht="14.25" thickBot="1" x14ac:dyDescent="0.25">
      <c r="A850" s="68">
        <v>62743</v>
      </c>
      <c r="B850" s="69" t="s">
        <v>523</v>
      </c>
      <c r="C850" s="70" t="s">
        <v>535</v>
      </c>
    </row>
    <row r="851" spans="1:3" ht="13.5" thickBot="1" x14ac:dyDescent="0.25">
      <c r="A851" s="68">
        <v>62764</v>
      </c>
      <c r="B851" s="69" t="s">
        <v>523</v>
      </c>
      <c r="C851" s="70" t="s">
        <v>536</v>
      </c>
    </row>
    <row r="852" spans="1:3" ht="13.5" thickBot="1" x14ac:dyDescent="0.25">
      <c r="A852" s="68">
        <v>62777</v>
      </c>
      <c r="B852" s="69" t="s">
        <v>539</v>
      </c>
      <c r="C852" s="70" t="s">
        <v>537</v>
      </c>
    </row>
    <row r="853" spans="1:3" ht="13.5" thickBot="1" x14ac:dyDescent="0.25">
      <c r="A853" s="68">
        <v>62817</v>
      </c>
      <c r="B853" s="69" t="s">
        <v>527</v>
      </c>
      <c r="C853" s="70" t="s">
        <v>538</v>
      </c>
    </row>
    <row r="854" spans="1:3" ht="13.5" thickBot="1" x14ac:dyDescent="0.25">
      <c r="A854" s="71">
        <v>62824</v>
      </c>
      <c r="B854" s="72" t="s">
        <v>527</v>
      </c>
      <c r="C854" s="73" t="s">
        <v>524</v>
      </c>
    </row>
    <row r="855" spans="1:3" ht="13.5" thickBot="1" x14ac:dyDescent="0.25">
      <c r="A855" s="74">
        <v>62876</v>
      </c>
      <c r="B855" s="75" t="s">
        <v>523</v>
      </c>
      <c r="C855" s="76" t="s">
        <v>525</v>
      </c>
    </row>
    <row r="856" spans="1:3" ht="13.5" thickBot="1" x14ac:dyDescent="0.25">
      <c r="A856" s="74">
        <v>62877</v>
      </c>
      <c r="B856" s="75" t="s">
        <v>526</v>
      </c>
      <c r="C856" s="76" t="s">
        <v>525</v>
      </c>
    </row>
    <row r="857" spans="1:3" ht="13.5" thickBot="1" x14ac:dyDescent="0.25">
      <c r="A857" s="74">
        <v>62922</v>
      </c>
      <c r="B857" s="75" t="s">
        <v>527</v>
      </c>
      <c r="C857" s="76" t="s">
        <v>528</v>
      </c>
    </row>
    <row r="858" spans="1:3" ht="13.5" thickBot="1" x14ac:dyDescent="0.25">
      <c r="A858" s="74">
        <v>62935</v>
      </c>
      <c r="B858" s="75" t="s">
        <v>532</v>
      </c>
      <c r="C858" s="76" t="s">
        <v>530</v>
      </c>
    </row>
    <row r="859" spans="1:3" ht="13.5" thickBot="1" x14ac:dyDescent="0.25">
      <c r="A859" s="74">
        <v>62945</v>
      </c>
      <c r="B859" s="75" t="s">
        <v>539</v>
      </c>
      <c r="C859" s="76" t="s">
        <v>531</v>
      </c>
    </row>
    <row r="860" spans="1:3" ht="13.5" thickBot="1" x14ac:dyDescent="0.25">
      <c r="A860" s="74">
        <v>62984</v>
      </c>
      <c r="B860" s="75" t="s">
        <v>532</v>
      </c>
      <c r="C860" s="76" t="s">
        <v>533</v>
      </c>
    </row>
    <row r="861" spans="1:3" ht="13.5" thickBot="1" x14ac:dyDescent="0.25">
      <c r="A861" s="74">
        <v>63074</v>
      </c>
      <c r="B861" s="75" t="s">
        <v>540</v>
      </c>
      <c r="C861" s="76" t="s">
        <v>534</v>
      </c>
    </row>
    <row r="862" spans="1:3" ht="14.25" thickBot="1" x14ac:dyDescent="0.25">
      <c r="A862" s="74">
        <v>63109</v>
      </c>
      <c r="B862" s="75" t="s">
        <v>540</v>
      </c>
      <c r="C862" s="76" t="s">
        <v>535</v>
      </c>
    </row>
    <row r="863" spans="1:3" ht="13.5" thickBot="1" x14ac:dyDescent="0.25">
      <c r="A863" s="74">
        <v>63130</v>
      </c>
      <c r="B863" s="75" t="s">
        <v>540</v>
      </c>
      <c r="C863" s="76" t="s">
        <v>536</v>
      </c>
    </row>
    <row r="864" spans="1:3" ht="13.5" thickBot="1" x14ac:dyDescent="0.25">
      <c r="A864" s="74">
        <v>63143</v>
      </c>
      <c r="B864" s="75" t="s">
        <v>526</v>
      </c>
      <c r="C864" s="76" t="s">
        <v>537</v>
      </c>
    </row>
    <row r="865" spans="1:3" ht="13.5" thickBot="1" x14ac:dyDescent="0.25">
      <c r="A865" s="74">
        <v>63183</v>
      </c>
      <c r="B865" s="75" t="s">
        <v>539</v>
      </c>
      <c r="C865" s="76" t="s">
        <v>538</v>
      </c>
    </row>
    <row r="866" spans="1:3" ht="13.5" thickBot="1" x14ac:dyDescent="0.25">
      <c r="A866" s="77">
        <v>63190</v>
      </c>
      <c r="B866" s="78" t="s">
        <v>539</v>
      </c>
      <c r="C866" s="79" t="s">
        <v>524</v>
      </c>
    </row>
    <row r="867" spans="1:3" ht="13.5" thickBot="1" x14ac:dyDescent="0.25">
      <c r="A867" s="68">
        <v>63226</v>
      </c>
      <c r="B867" s="69" t="s">
        <v>523</v>
      </c>
      <c r="C867" s="70" t="s">
        <v>525</v>
      </c>
    </row>
    <row r="868" spans="1:3" ht="13.5" thickBot="1" x14ac:dyDescent="0.25">
      <c r="A868" s="68">
        <v>63227</v>
      </c>
      <c r="B868" s="69" t="s">
        <v>526</v>
      </c>
      <c r="C868" s="70" t="s">
        <v>525</v>
      </c>
    </row>
    <row r="869" spans="1:3" ht="13.5" thickBot="1" x14ac:dyDescent="0.25">
      <c r="A869" s="68">
        <v>63272</v>
      </c>
      <c r="B869" s="69" t="s">
        <v>527</v>
      </c>
      <c r="C869" s="70" t="s">
        <v>528</v>
      </c>
    </row>
    <row r="870" spans="1:3" ht="13.5" thickBot="1" x14ac:dyDescent="0.25">
      <c r="A870" s="68">
        <v>63300</v>
      </c>
      <c r="B870" s="69" t="s">
        <v>527</v>
      </c>
      <c r="C870" s="70" t="s">
        <v>530</v>
      </c>
    </row>
    <row r="871" spans="1:3" ht="13.5" thickBot="1" x14ac:dyDescent="0.25">
      <c r="A871" s="68">
        <v>63310</v>
      </c>
      <c r="B871" s="69" t="s">
        <v>523</v>
      </c>
      <c r="C871" s="70" t="s">
        <v>531</v>
      </c>
    </row>
    <row r="872" spans="1:3" ht="13.5" thickBot="1" x14ac:dyDescent="0.25">
      <c r="A872" s="68">
        <v>63334</v>
      </c>
      <c r="B872" s="69" t="s">
        <v>532</v>
      </c>
      <c r="C872" s="70" t="s">
        <v>533</v>
      </c>
    </row>
    <row r="873" spans="1:3" ht="13.5" thickBot="1" x14ac:dyDescent="0.25">
      <c r="A873" s="68">
        <v>63439</v>
      </c>
      <c r="B873" s="69" t="s">
        <v>532</v>
      </c>
      <c r="C873" s="70" t="s">
        <v>534</v>
      </c>
    </row>
    <row r="874" spans="1:3" ht="14.25" thickBot="1" x14ac:dyDescent="0.25">
      <c r="A874" s="68">
        <v>63474</v>
      </c>
      <c r="B874" s="69" t="s">
        <v>532</v>
      </c>
      <c r="C874" s="70" t="s">
        <v>535</v>
      </c>
    </row>
    <row r="875" spans="1:3" ht="13.5" thickBot="1" x14ac:dyDescent="0.25">
      <c r="A875" s="68">
        <v>63495</v>
      </c>
      <c r="B875" s="69" t="s">
        <v>532</v>
      </c>
      <c r="C875" s="70" t="s">
        <v>536</v>
      </c>
    </row>
    <row r="876" spans="1:3" ht="13.5" thickBot="1" x14ac:dyDescent="0.25">
      <c r="A876" s="68">
        <v>63508</v>
      </c>
      <c r="B876" s="69" t="s">
        <v>540</v>
      </c>
      <c r="C876" s="70" t="s">
        <v>537</v>
      </c>
    </row>
    <row r="877" spans="1:3" ht="13.5" thickBot="1" x14ac:dyDescent="0.25">
      <c r="A877" s="68">
        <v>63548</v>
      </c>
      <c r="B877" s="69" t="s">
        <v>523</v>
      </c>
      <c r="C877" s="70" t="s">
        <v>538</v>
      </c>
    </row>
    <row r="878" spans="1:3" ht="13.5" thickBot="1" x14ac:dyDescent="0.25">
      <c r="A878" s="71">
        <v>63555</v>
      </c>
      <c r="B878" s="72" t="s">
        <v>523</v>
      </c>
      <c r="C878" s="73" t="s">
        <v>524</v>
      </c>
    </row>
    <row r="879" spans="1:3" ht="13.5" thickBot="1" x14ac:dyDescent="0.25">
      <c r="A879" s="74">
        <v>63611</v>
      </c>
      <c r="B879" s="75" t="s">
        <v>523</v>
      </c>
      <c r="C879" s="76" t="s">
        <v>525</v>
      </c>
    </row>
    <row r="880" spans="1:3" ht="13.5" thickBot="1" x14ac:dyDescent="0.25">
      <c r="A880" s="74">
        <v>63612</v>
      </c>
      <c r="B880" s="75" t="s">
        <v>526</v>
      </c>
      <c r="C880" s="76" t="s">
        <v>525</v>
      </c>
    </row>
    <row r="881" spans="1:3" ht="13.5" thickBot="1" x14ac:dyDescent="0.25">
      <c r="A881" s="74">
        <v>63657</v>
      </c>
      <c r="B881" s="75" t="s">
        <v>527</v>
      </c>
      <c r="C881" s="76" t="s">
        <v>528</v>
      </c>
    </row>
    <row r="882" spans="1:3" ht="13.5" thickBot="1" x14ac:dyDescent="0.25">
      <c r="A882" s="74">
        <v>63665</v>
      </c>
      <c r="B882" s="75" t="s">
        <v>529</v>
      </c>
      <c r="C882" s="76" t="s">
        <v>530</v>
      </c>
    </row>
    <row r="883" spans="1:3" ht="13.5" thickBot="1" x14ac:dyDescent="0.25">
      <c r="A883" s="74">
        <v>63675</v>
      </c>
      <c r="B883" s="75" t="s">
        <v>526</v>
      </c>
      <c r="C883" s="76" t="s">
        <v>531</v>
      </c>
    </row>
    <row r="884" spans="1:3" ht="13.5" thickBot="1" x14ac:dyDescent="0.25">
      <c r="A884" s="74">
        <v>63719</v>
      </c>
      <c r="B884" s="75" t="s">
        <v>532</v>
      </c>
      <c r="C884" s="76" t="s">
        <v>533</v>
      </c>
    </row>
    <row r="885" spans="1:3" ht="13.5" thickBot="1" x14ac:dyDescent="0.25">
      <c r="A885" s="74">
        <v>63804</v>
      </c>
      <c r="B885" s="75" t="s">
        <v>527</v>
      </c>
      <c r="C885" s="76" t="s">
        <v>534</v>
      </c>
    </row>
    <row r="886" spans="1:3" ht="14.25" thickBot="1" x14ac:dyDescent="0.25">
      <c r="A886" s="74">
        <v>63839</v>
      </c>
      <c r="B886" s="75" t="s">
        <v>527</v>
      </c>
      <c r="C886" s="76" t="s">
        <v>535</v>
      </c>
    </row>
    <row r="887" spans="1:3" ht="13.5" thickBot="1" x14ac:dyDescent="0.25">
      <c r="A887" s="74">
        <v>63860</v>
      </c>
      <c r="B887" s="75" t="s">
        <v>527</v>
      </c>
      <c r="C887" s="76" t="s">
        <v>536</v>
      </c>
    </row>
    <row r="888" spans="1:3" ht="13.5" thickBot="1" x14ac:dyDescent="0.25">
      <c r="A888" s="74">
        <v>63873</v>
      </c>
      <c r="B888" s="75" t="s">
        <v>532</v>
      </c>
      <c r="C888" s="76" t="s">
        <v>537</v>
      </c>
    </row>
    <row r="889" spans="1:3" ht="13.5" thickBot="1" x14ac:dyDescent="0.25">
      <c r="A889" s="74">
        <v>63913</v>
      </c>
      <c r="B889" s="75" t="s">
        <v>526</v>
      </c>
      <c r="C889" s="76" t="s">
        <v>538</v>
      </c>
    </row>
    <row r="890" spans="1:3" ht="13.5" thickBot="1" x14ac:dyDescent="0.25">
      <c r="A890" s="77">
        <v>63920</v>
      </c>
      <c r="B890" s="78" t="s">
        <v>526</v>
      </c>
      <c r="C890" s="79" t="s">
        <v>524</v>
      </c>
    </row>
    <row r="891" spans="1:3" ht="13.5" thickBot="1" x14ac:dyDescent="0.25">
      <c r="A891" s="68">
        <v>63968</v>
      </c>
      <c r="B891" s="69" t="s">
        <v>523</v>
      </c>
      <c r="C891" s="70" t="s">
        <v>525</v>
      </c>
    </row>
    <row r="892" spans="1:3" ht="13.5" thickBot="1" x14ac:dyDescent="0.25">
      <c r="A892" s="68">
        <v>63969</v>
      </c>
      <c r="B892" s="69" t="s">
        <v>526</v>
      </c>
      <c r="C892" s="70" t="s">
        <v>525</v>
      </c>
    </row>
    <row r="893" spans="1:3" ht="13.5" thickBot="1" x14ac:dyDescent="0.25">
      <c r="A893" s="68">
        <v>64014</v>
      </c>
      <c r="B893" s="69" t="s">
        <v>527</v>
      </c>
      <c r="C893" s="70" t="s">
        <v>528</v>
      </c>
    </row>
    <row r="894" spans="1:3" ht="13.5" thickBot="1" x14ac:dyDescent="0.25">
      <c r="A894" s="68">
        <v>64030</v>
      </c>
      <c r="B894" s="69" t="s">
        <v>539</v>
      </c>
      <c r="C894" s="70" t="s">
        <v>530</v>
      </c>
    </row>
    <row r="895" spans="1:3" ht="13.5" thickBot="1" x14ac:dyDescent="0.25">
      <c r="A895" s="68">
        <v>64040</v>
      </c>
      <c r="B895" s="69" t="s">
        <v>540</v>
      </c>
      <c r="C895" s="70" t="s">
        <v>531</v>
      </c>
    </row>
    <row r="896" spans="1:3" ht="13.5" thickBot="1" x14ac:dyDescent="0.25">
      <c r="A896" s="68">
        <v>64076</v>
      </c>
      <c r="B896" s="69" t="s">
        <v>532</v>
      </c>
      <c r="C896" s="70" t="s">
        <v>533</v>
      </c>
    </row>
    <row r="897" spans="1:3" ht="13.5" thickBot="1" x14ac:dyDescent="0.25">
      <c r="A897" s="68">
        <v>64169</v>
      </c>
      <c r="B897" s="69" t="s">
        <v>529</v>
      </c>
      <c r="C897" s="70" t="s">
        <v>534</v>
      </c>
    </row>
    <row r="898" spans="1:3" ht="14.25" thickBot="1" x14ac:dyDescent="0.25">
      <c r="A898" s="68">
        <v>64204</v>
      </c>
      <c r="B898" s="69" t="s">
        <v>529</v>
      </c>
      <c r="C898" s="70" t="s">
        <v>535</v>
      </c>
    </row>
    <row r="899" spans="1:3" ht="13.5" thickBot="1" x14ac:dyDescent="0.25">
      <c r="A899" s="68">
        <v>64225</v>
      </c>
      <c r="B899" s="69" t="s">
        <v>529</v>
      </c>
      <c r="C899" s="70" t="s">
        <v>536</v>
      </c>
    </row>
    <row r="900" spans="1:3" ht="13.5" thickBot="1" x14ac:dyDescent="0.25">
      <c r="A900" s="68">
        <v>64238</v>
      </c>
      <c r="B900" s="69" t="s">
        <v>527</v>
      </c>
      <c r="C900" s="70" t="s">
        <v>537</v>
      </c>
    </row>
    <row r="901" spans="1:3" ht="13.5" thickBot="1" x14ac:dyDescent="0.25">
      <c r="A901" s="68">
        <v>64278</v>
      </c>
      <c r="B901" s="69" t="s">
        <v>540</v>
      </c>
      <c r="C901" s="70" t="s">
        <v>538</v>
      </c>
    </row>
    <row r="902" spans="1:3" ht="13.5" thickBot="1" x14ac:dyDescent="0.25">
      <c r="A902" s="71">
        <v>64285</v>
      </c>
      <c r="B902" s="72" t="s">
        <v>540</v>
      </c>
      <c r="C902" s="73" t="s">
        <v>524</v>
      </c>
    </row>
    <row r="903" spans="1:3" ht="13.5" thickBot="1" x14ac:dyDescent="0.25">
      <c r="A903" s="74">
        <v>64346</v>
      </c>
      <c r="B903" s="75" t="s">
        <v>523</v>
      </c>
      <c r="C903" s="76" t="s">
        <v>525</v>
      </c>
    </row>
    <row r="904" spans="1:3" ht="13.5" thickBot="1" x14ac:dyDescent="0.25">
      <c r="A904" s="74">
        <v>64347</v>
      </c>
      <c r="B904" s="75" t="s">
        <v>526</v>
      </c>
      <c r="C904" s="76" t="s">
        <v>525</v>
      </c>
    </row>
    <row r="905" spans="1:3" ht="13.5" thickBot="1" x14ac:dyDescent="0.25">
      <c r="A905" s="74">
        <v>64392</v>
      </c>
      <c r="B905" s="75" t="s">
        <v>527</v>
      </c>
      <c r="C905" s="76" t="s">
        <v>528</v>
      </c>
    </row>
    <row r="906" spans="1:3" ht="13.5" thickBot="1" x14ac:dyDescent="0.25">
      <c r="A906" s="74">
        <v>64396</v>
      </c>
      <c r="B906" s="75" t="s">
        <v>526</v>
      </c>
      <c r="C906" s="76" t="s">
        <v>530</v>
      </c>
    </row>
    <row r="907" spans="1:3" ht="13.5" thickBot="1" x14ac:dyDescent="0.25">
      <c r="A907" s="74">
        <v>64406</v>
      </c>
      <c r="B907" s="75" t="s">
        <v>527</v>
      </c>
      <c r="C907" s="76" t="s">
        <v>531</v>
      </c>
    </row>
    <row r="908" spans="1:3" ht="13.5" thickBot="1" x14ac:dyDescent="0.25">
      <c r="A908" s="74">
        <v>64454</v>
      </c>
      <c r="B908" s="75" t="s">
        <v>532</v>
      </c>
      <c r="C908" s="76" t="s">
        <v>533</v>
      </c>
    </row>
    <row r="909" spans="1:3" ht="13.5" thickBot="1" x14ac:dyDescent="0.25">
      <c r="A909" s="74">
        <v>64535</v>
      </c>
      <c r="B909" s="75" t="s">
        <v>523</v>
      </c>
      <c r="C909" s="76" t="s">
        <v>534</v>
      </c>
    </row>
    <row r="910" spans="1:3" ht="14.25" thickBot="1" x14ac:dyDescent="0.25">
      <c r="A910" s="74">
        <v>64570</v>
      </c>
      <c r="B910" s="75" t="s">
        <v>523</v>
      </c>
      <c r="C910" s="76" t="s">
        <v>535</v>
      </c>
    </row>
    <row r="911" spans="1:3" ht="13.5" thickBot="1" x14ac:dyDescent="0.25">
      <c r="A911" s="74">
        <v>64591</v>
      </c>
      <c r="B911" s="75" t="s">
        <v>523</v>
      </c>
      <c r="C911" s="76" t="s">
        <v>536</v>
      </c>
    </row>
    <row r="912" spans="1:3" ht="13.5" thickBot="1" x14ac:dyDescent="0.25">
      <c r="A912" s="74">
        <v>64604</v>
      </c>
      <c r="B912" s="75" t="s">
        <v>539</v>
      </c>
      <c r="C912" s="76" t="s">
        <v>537</v>
      </c>
    </row>
    <row r="913" spans="1:3" ht="13.5" thickBot="1" x14ac:dyDescent="0.25">
      <c r="A913" s="74">
        <v>64644</v>
      </c>
      <c r="B913" s="75" t="s">
        <v>527</v>
      </c>
      <c r="C913" s="76" t="s">
        <v>538</v>
      </c>
    </row>
    <row r="914" spans="1:3" ht="13.5" thickBot="1" x14ac:dyDescent="0.25">
      <c r="A914" s="77">
        <v>64651</v>
      </c>
      <c r="B914" s="78" t="s">
        <v>527</v>
      </c>
      <c r="C914" s="79" t="s">
        <v>524</v>
      </c>
    </row>
    <row r="915" spans="1:3" ht="13.5" thickBot="1" x14ac:dyDescent="0.25">
      <c r="A915" s="68">
        <v>64703</v>
      </c>
      <c r="B915" s="69" t="s">
        <v>523</v>
      </c>
      <c r="C915" s="70" t="s">
        <v>525</v>
      </c>
    </row>
    <row r="916" spans="1:3" ht="13.5" thickBot="1" x14ac:dyDescent="0.25">
      <c r="A916" s="68">
        <v>64704</v>
      </c>
      <c r="B916" s="69" t="s">
        <v>526</v>
      </c>
      <c r="C916" s="70" t="s">
        <v>525</v>
      </c>
    </row>
    <row r="917" spans="1:3" ht="13.5" thickBot="1" x14ac:dyDescent="0.25">
      <c r="A917" s="68">
        <v>64749</v>
      </c>
      <c r="B917" s="69" t="s">
        <v>527</v>
      </c>
      <c r="C917" s="70" t="s">
        <v>528</v>
      </c>
    </row>
    <row r="918" spans="1:3" ht="13.5" thickBot="1" x14ac:dyDescent="0.25">
      <c r="A918" s="68">
        <v>64761</v>
      </c>
      <c r="B918" s="69" t="s">
        <v>540</v>
      </c>
      <c r="C918" s="70" t="s">
        <v>530</v>
      </c>
    </row>
    <row r="919" spans="1:3" ht="13.5" thickBot="1" x14ac:dyDescent="0.25">
      <c r="A919" s="68">
        <v>64771</v>
      </c>
      <c r="B919" s="69" t="s">
        <v>529</v>
      </c>
      <c r="C919" s="70" t="s">
        <v>531</v>
      </c>
    </row>
    <row r="920" spans="1:3" ht="13.5" thickBot="1" x14ac:dyDescent="0.25">
      <c r="A920" s="68">
        <v>64811</v>
      </c>
      <c r="B920" s="69" t="s">
        <v>532</v>
      </c>
      <c r="C920" s="70" t="s">
        <v>533</v>
      </c>
    </row>
    <row r="921" spans="1:3" ht="13.5" thickBot="1" x14ac:dyDescent="0.25">
      <c r="A921" s="68">
        <v>64900</v>
      </c>
      <c r="B921" s="69" t="s">
        <v>526</v>
      </c>
      <c r="C921" s="70" t="s">
        <v>534</v>
      </c>
    </row>
    <row r="922" spans="1:3" ht="14.25" thickBot="1" x14ac:dyDescent="0.25">
      <c r="A922" s="68">
        <v>64935</v>
      </c>
      <c r="B922" s="69" t="s">
        <v>526</v>
      </c>
      <c r="C922" s="70" t="s">
        <v>535</v>
      </c>
    </row>
    <row r="923" spans="1:3" ht="13.5" thickBot="1" x14ac:dyDescent="0.25">
      <c r="A923" s="68">
        <v>64956</v>
      </c>
      <c r="B923" s="69" t="s">
        <v>526</v>
      </c>
      <c r="C923" s="70" t="s">
        <v>536</v>
      </c>
    </row>
    <row r="924" spans="1:3" ht="13.5" thickBot="1" x14ac:dyDescent="0.25">
      <c r="A924" s="68">
        <v>64969</v>
      </c>
      <c r="B924" s="69" t="s">
        <v>523</v>
      </c>
      <c r="C924" s="70" t="s">
        <v>537</v>
      </c>
    </row>
    <row r="925" spans="1:3" ht="13.5" thickBot="1" x14ac:dyDescent="0.25">
      <c r="A925" s="68">
        <v>65009</v>
      </c>
      <c r="B925" s="69" t="s">
        <v>529</v>
      </c>
      <c r="C925" s="70" t="s">
        <v>538</v>
      </c>
    </row>
    <row r="926" spans="1:3" ht="13.5" thickBot="1" x14ac:dyDescent="0.25">
      <c r="A926" s="71">
        <v>65016</v>
      </c>
      <c r="B926" s="72" t="s">
        <v>526</v>
      </c>
      <c r="C926" s="73" t="s">
        <v>524</v>
      </c>
    </row>
    <row r="927" spans="1:3" ht="13.5" thickBot="1" x14ac:dyDescent="0.25">
      <c r="A927" s="74">
        <v>65060</v>
      </c>
      <c r="B927" s="75" t="s">
        <v>523</v>
      </c>
      <c r="C927" s="76" t="s">
        <v>525</v>
      </c>
    </row>
    <row r="928" spans="1:3" ht="13.5" thickBot="1" x14ac:dyDescent="0.25">
      <c r="A928" s="74">
        <v>65061</v>
      </c>
      <c r="B928" s="75" t="s">
        <v>526</v>
      </c>
      <c r="C928" s="76" t="s">
        <v>525</v>
      </c>
    </row>
    <row r="929" spans="1:3" ht="13.5" thickBot="1" x14ac:dyDescent="0.25">
      <c r="A929" s="74">
        <v>65106</v>
      </c>
      <c r="B929" s="75" t="s">
        <v>527</v>
      </c>
      <c r="C929" s="76" t="s">
        <v>528</v>
      </c>
    </row>
    <row r="930" spans="1:3" ht="13.5" thickBot="1" x14ac:dyDescent="0.25">
      <c r="A930" s="74">
        <v>65126</v>
      </c>
      <c r="B930" s="75" t="s">
        <v>532</v>
      </c>
      <c r="C930" s="76" t="s">
        <v>530</v>
      </c>
    </row>
    <row r="931" spans="1:3" ht="13.5" thickBot="1" x14ac:dyDescent="0.25">
      <c r="A931" s="74">
        <v>65136</v>
      </c>
      <c r="B931" s="75" t="s">
        <v>540</v>
      </c>
      <c r="C931" s="76" t="s">
        <v>531</v>
      </c>
    </row>
    <row r="932" spans="1:3" ht="13.5" thickBot="1" x14ac:dyDescent="0.25">
      <c r="A932" s="74">
        <v>65168</v>
      </c>
      <c r="B932" s="75" t="s">
        <v>532</v>
      </c>
      <c r="C932" s="76" t="s">
        <v>533</v>
      </c>
    </row>
    <row r="933" spans="1:3" ht="13.5" thickBot="1" x14ac:dyDescent="0.25">
      <c r="A933" s="74">
        <v>65265</v>
      </c>
      <c r="B933" s="75" t="s">
        <v>540</v>
      </c>
      <c r="C933" s="76" t="s">
        <v>534</v>
      </c>
    </row>
    <row r="934" spans="1:3" ht="14.25" thickBot="1" x14ac:dyDescent="0.25">
      <c r="A934" s="74">
        <v>65300</v>
      </c>
      <c r="B934" s="75" t="s">
        <v>540</v>
      </c>
      <c r="C934" s="76" t="s">
        <v>535</v>
      </c>
    </row>
    <row r="935" spans="1:3" ht="13.5" thickBot="1" x14ac:dyDescent="0.25">
      <c r="A935" s="74">
        <v>65321</v>
      </c>
      <c r="B935" s="75" t="s">
        <v>540</v>
      </c>
      <c r="C935" s="76" t="s">
        <v>536</v>
      </c>
    </row>
    <row r="936" spans="1:3" ht="13.5" thickBot="1" x14ac:dyDescent="0.25">
      <c r="A936" s="74">
        <v>65334</v>
      </c>
      <c r="B936" s="75" t="s">
        <v>526</v>
      </c>
      <c r="C936" s="76" t="s">
        <v>537</v>
      </c>
    </row>
    <row r="937" spans="1:3" ht="13.5" thickBot="1" x14ac:dyDescent="0.25">
      <c r="A937" s="74">
        <v>65374</v>
      </c>
      <c r="B937" s="75" t="s">
        <v>540</v>
      </c>
      <c r="C937" s="76" t="s">
        <v>538</v>
      </c>
    </row>
    <row r="938" spans="1:3" x14ac:dyDescent="0.2">
      <c r="A938" s="80" t="s">
        <v>541</v>
      </c>
    </row>
    <row r="940" spans="1:3" x14ac:dyDescent="0.2">
      <c r="A940" s="81" t="s">
        <v>542</v>
      </c>
    </row>
    <row r="942" spans="1:3" x14ac:dyDescent="0.2">
      <c r="A942" s="81" t="s">
        <v>543</v>
      </c>
    </row>
    <row r="944" spans="1:3" x14ac:dyDescent="0.2">
      <c r="A944" s="81" t="s">
        <v>544</v>
      </c>
    </row>
    <row r="946" spans="1:1" x14ac:dyDescent="0.2">
      <c r="A946" s="81" t="s">
        <v>545</v>
      </c>
    </row>
  </sheetData>
  <pageMargins left="0.78740157499999996" right="0.78740157499999996" top="0.984251969" bottom="0.984251969" header="0.49212598499999999" footer="0.49212598499999999"/>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General</vt:lpstr>
      <vt:lpstr>Summary</vt:lpstr>
      <vt:lpstr>Exp Monthly</vt:lpstr>
      <vt:lpstr>Exp Quarterly</vt:lpstr>
      <vt:lpstr>Exp Annual</vt:lpstr>
      <vt:lpstr>Exp 12 Months</vt:lpstr>
      <vt:lpstr>Top5 Monthly</vt:lpstr>
      <vt:lpstr>Top5 Annual</vt:lpstr>
      <vt:lpstr>Exp Institutions</vt:lpstr>
      <vt:lpstr>URL to Table</vt:lpstr>
      <vt:lpstr>File to Table</vt:lpstr>
      <vt:lpstr>SGS</vt:lpstr>
      <vt:lpstr>SCR</vt:lpstr>
      <vt:lpstr>SCR 2</vt:lpstr>
      <vt:lpstr>SCR Daily</vt:lpstr>
      <vt:lpstr>SCR Monthly</vt:lpstr>
      <vt:lpstr>Real Estate</vt:lpstr>
      <vt:lpstr>SGS vs FOCUS</vt:lpstr>
      <vt:lpstr>Holidays</vt:lpstr>
      <vt:lpstr>Holidays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Amaral</cp:lastModifiedBy>
  <dcterms:created xsi:type="dcterms:W3CDTF">2021-12-17T00:04:12Z</dcterms:created>
  <dcterms:modified xsi:type="dcterms:W3CDTF">2022-01-02T02:23:21Z</dcterms:modified>
</cp:coreProperties>
</file>