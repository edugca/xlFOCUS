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hidePivotFieldList="1" defaultThemeVersion="166925"/>
  <mc:AlternateContent xmlns:mc="http://schemas.openxmlformats.org/markup-compatibility/2006">
    <mc:Choice Requires="x15">
      <x15ac:absPath xmlns:x15ac="http://schemas.microsoft.com/office/spreadsheetml/2010/11/ac" url="https://d.docs.live.net/1bfa2ac83e16c31e/MATLAB/Resources/xlFOCUS/"/>
    </mc:Choice>
  </mc:AlternateContent>
  <xr:revisionPtr revIDLastSave="2" documentId="13_ncr:1_{A82DB01D-4012-404F-A440-10E918B78A0D}" xr6:coauthVersionLast="47" xr6:coauthVersionMax="47" xr10:uidLastSave="{E9226DA9-DD2A-411F-879F-6CB43FD01C20}"/>
  <bookViews>
    <workbookView xWindow="-120" yWindow="-120" windowWidth="26760" windowHeight="1452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Top5 Monthly" sheetId="9" r:id="rId7"/>
    <sheet name="Top5 Annual" sheetId="10" r:id="rId8"/>
    <sheet name="Exp Institutions" sheetId="11" r:id="rId9"/>
    <sheet name="URL to Table" sheetId="3" r:id="rId10"/>
    <sheet name="File to Table" sheetId="12" r:id="rId11"/>
    <sheet name="SGS" sheetId="13" r:id="rId12"/>
    <sheet name="SCR" sheetId="16" r:id="rId13"/>
    <sheet name="SCR 2" sheetId="17" r:id="rId14"/>
    <sheet name="SCR Daily" sheetId="19" r:id="rId15"/>
    <sheet name="SCR Monthly" sheetId="23" r:id="rId16"/>
    <sheet name="Real Estate" sheetId="25" r:id="rId17"/>
    <sheet name="SGS vs FOCUS" sheetId="20" r:id="rId18"/>
    <sheet name="Holidays" sheetId="21" r:id="rId19"/>
  </sheets>
  <functionGroups builtInGroupCount="19"/>
  <definedNames>
    <definedName name="_xlpm.x" hidden="1" xlm="1">#NAME?</definedName>
    <definedName name="Holidays">Holidays!$A$2:$A$937</definedName>
  </definedNames>
  <calcPr calcId="191029"/>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25" l="1"/>
  <c r="H1" i="23"/>
  <c r="B18" i="20"/>
  <c r="B11" i="20"/>
  <c r="B3" i="20"/>
  <c r="H1" i="19"/>
  <c r="B3" i="13"/>
  <c r="J1" i="13"/>
  <c r="J1" i="11"/>
  <c r="J1" i="10"/>
  <c r="J1" i="9"/>
  <c r="J1" i="8"/>
  <c r="J1" i="7"/>
  <c r="J1" i="6"/>
  <c r="J1" i="5"/>
  <c r="I2" i="4"/>
  <c r="P2" i="4" s="1"/>
  <c r="P7" i="4" a="1"/>
  <c r="T14" i="4" a="1"/>
  <c r="S7" i="4" a="1"/>
  <c r="Q11" i="4" a="1"/>
  <c r="I13" i="4" a="1"/>
  <c r="P9" i="4" a="1"/>
  <c r="P6" i="4" a="1"/>
  <c r="T13" i="4" a="1"/>
  <c r="J7" i="4" a="1"/>
  <c r="S9" i="4" a="1"/>
  <c r="N9" i="4" a="1"/>
  <c r="R14" i="4" a="1"/>
  <c r="Y5" i="20" a="1"/>
  <c r="K5" i="4" a="1"/>
  <c r="T11" i="4" a="1"/>
  <c r="J5" i="4" a="1"/>
  <c r="J6" i="4" a="1"/>
  <c r="Q8" i="4" a="1"/>
  <c r="N15" i="4" a="1"/>
  <c r="T5" i="4" a="1"/>
  <c r="P8" i="4" a="1"/>
  <c r="P10" i="4" a="1"/>
  <c r="I7" i="4" a="1"/>
  <c r="S14" i="4" a="1"/>
  <c r="L14" i="4" a="1"/>
  <c r="K9" i="4" a="1"/>
  <c r="J4" i="4" a="1"/>
  <c r="I6" i="4" a="1"/>
  <c r="D4" i="8" a="1"/>
  <c r="U9" i="4" a="1"/>
  <c r="I15" i="4" a="1"/>
  <c r="Q15" i="4" a="1"/>
  <c r="Q9" i="4" a="1"/>
  <c r="U14" i="4" a="1"/>
  <c r="Q4" i="4" a="1"/>
  <c r="J13" i="4" a="1"/>
  <c r="J12" i="4" a="1"/>
  <c r="I5" i="4" a="1"/>
  <c r="M4" i="4" a="1"/>
  <c r="L11" i="4" a="1"/>
  <c r="D4" i="19" a="1"/>
  <c r="K6" i="4" a="1"/>
  <c r="S11" i="4" a="1"/>
  <c r="K15" i="4" a="1"/>
  <c r="M6" i="4" a="1"/>
  <c r="K12" i="4" a="1"/>
  <c r="N13" i="4" a="1"/>
  <c r="N12" i="4" a="1"/>
  <c r="T8" i="4" a="1"/>
  <c r="D5" i="13" a="1"/>
  <c r="L10" i="4" a="1"/>
  <c r="S13" i="4" a="1"/>
  <c r="D4" i="10" a="1"/>
  <c r="U10" i="4" a="1"/>
  <c r="J11" i="4" a="1"/>
  <c r="S10" i="4" a="1"/>
  <c r="T9" i="4" a="1"/>
  <c r="U5" i="4" a="1"/>
  <c r="F5" i="20" a="1"/>
  <c r="K7" i="4" a="1"/>
  <c r="U11" i="4" a="1"/>
  <c r="D4" i="7" a="1"/>
  <c r="Q5" i="20" a="1"/>
  <c r="U12" i="4" a="1"/>
  <c r="N11" i="4" a="1"/>
  <c r="Q5" i="4" a="1"/>
  <c r="L13" i="4" a="1"/>
  <c r="P11" i="4" a="1"/>
  <c r="R4" i="4" a="1"/>
  <c r="T7" i="4" a="1"/>
  <c r="T10" i="4" a="1"/>
  <c r="L6" i="4" a="1"/>
  <c r="M7" i="4" a="1"/>
  <c r="Q13" i="4" a="1"/>
  <c r="T12" i="4" a="1"/>
  <c r="R10" i="4" a="1"/>
  <c r="S12" i="4" a="1"/>
  <c r="K8" i="4" a="1"/>
  <c r="S6" i="4" a="1"/>
  <c r="U6" i="4" a="1"/>
  <c r="I11" i="4" a="1"/>
  <c r="R15" i="4" a="1"/>
  <c r="S15" i="4" a="1"/>
  <c r="I9" i="4" a="1"/>
  <c r="J10" i="4" a="1"/>
  <c r="P12" i="4" a="1"/>
  <c r="K11" i="4" a="1"/>
  <c r="J15" i="4" a="1"/>
  <c r="J9" i="4" a="1"/>
  <c r="L7" i="4" a="1"/>
  <c r="J8" i="4" a="1"/>
  <c r="K14" i="4" a="1"/>
  <c r="L15" i="4" a="1"/>
  <c r="L9" i="4" a="1"/>
  <c r="N6" i="4" a="1"/>
  <c r="P13" i="4" a="1"/>
  <c r="M5" i="4" a="1"/>
  <c r="D4" i="9" a="1"/>
  <c r="D4" i="23" a="1"/>
  <c r="R9" i="4" a="1"/>
  <c r="N4" i="4" a="1"/>
  <c r="D4" i="11" a="1"/>
  <c r="M9" i="4" a="1"/>
  <c r="U4" i="4" a="1"/>
  <c r="U13" i="4" a="1"/>
  <c r="M10" i="4" a="1"/>
  <c r="T6" i="4" a="1"/>
  <c r="R12" i="4" a="1"/>
  <c r="I14" i="4" a="1"/>
  <c r="T15" i="4" a="1"/>
  <c r="J14" i="4" a="1"/>
  <c r="M12" i="4" a="1"/>
  <c r="D5" i="25" a="1"/>
  <c r="P4" i="4" a="1"/>
  <c r="U15" i="4" a="1"/>
  <c r="R11" i="4" a="1"/>
  <c r="N14" i="4" a="1"/>
  <c r="A5" i="12" a="1"/>
  <c r="P14" i="4" a="1"/>
  <c r="L5" i="4" a="1"/>
  <c r="L8" i="4" a="1"/>
  <c r="M14" i="4" a="1"/>
  <c r="I12" i="4" a="1"/>
  <c r="I4" i="4" a="1"/>
  <c r="D4" i="6" a="1"/>
  <c r="U8" i="4" a="1"/>
  <c r="I8" i="4" a="1"/>
  <c r="R8" i="4" a="1"/>
  <c r="Q14" i="4" a="1"/>
  <c r="A5" i="16" a="1"/>
  <c r="A5" i="17" a="1"/>
  <c r="R13" i="4" a="1"/>
  <c r="L4" i="4" a="1"/>
  <c r="M11" i="4" a="1"/>
  <c r="N5" i="4" a="1"/>
  <c r="S5" i="4" a="1"/>
  <c r="R5" i="4" a="1"/>
  <c r="R7" i="4" a="1"/>
  <c r="N7" i="4" a="1"/>
  <c r="I10" i="4" a="1"/>
  <c r="A5" i="3" a="1"/>
  <c r="K4" i="4" a="1"/>
  <c r="Q12" i="4" a="1"/>
  <c r="Q10" i="4" a="1"/>
  <c r="S4" i="4" a="1"/>
  <c r="K13" i="4" a="1"/>
  <c r="N8" i="4" a="1"/>
  <c r="K10" i="4" a="1"/>
  <c r="L12" i="4" a="1"/>
  <c r="P15" i="4" a="1"/>
  <c r="Q7" i="4" a="1"/>
  <c r="T4" i="4" a="1"/>
  <c r="S8" i="4" a="1"/>
  <c r="Q6" i="4" a="1"/>
  <c r="P5" i="4" a="1"/>
  <c r="R6" i="4" a="1"/>
  <c r="D4" i="5" a="1"/>
  <c r="U7" i="4" a="1"/>
  <c r="N10" i="4" a="1"/>
  <c r="M13" i="4" a="1"/>
  <c r="M8" i="4" a="1"/>
  <c r="M15" i="4" a="1"/>
  <c r="A5" i="3" l="1"/>
  <c r="D4" i="7"/>
  <c r="J5" i="4"/>
  <c r="D5" i="13"/>
  <c r="D5" i="25"/>
  <c r="D4" i="19"/>
  <c r="D4" i="23"/>
  <c r="F5" i="20"/>
  <c r="D4" i="8"/>
  <c r="D4" i="5"/>
  <c r="Q7" i="4"/>
  <c r="N6" i="4"/>
  <c r="M8" i="4"/>
  <c r="I5" i="4"/>
  <c r="I4" i="4"/>
  <c r="U11" i="4"/>
  <c r="Q11" i="4"/>
  <c r="M11" i="4"/>
  <c r="M5" i="4"/>
  <c r="J4" i="4"/>
  <c r="J6" i="4"/>
  <c r="E42" i="20"/>
  <c r="D42" i="20" s="1"/>
  <c r="E31" i="20"/>
  <c r="D31" i="20" s="1"/>
  <c r="E21" i="20"/>
  <c r="D21" i="20" s="1"/>
  <c r="E13" i="20"/>
  <c r="D13" i="20" s="1"/>
  <c r="E30" i="20"/>
  <c r="D30" i="20" s="1"/>
  <c r="E41" i="20"/>
  <c r="D41" i="20" s="1"/>
  <c r="E29" i="20"/>
  <c r="D29" i="20" s="1"/>
  <c r="E20" i="20"/>
  <c r="D20" i="20" s="1"/>
  <c r="E12" i="20"/>
  <c r="D12" i="20" s="1"/>
  <c r="E11" i="20"/>
  <c r="D11" i="20" s="1"/>
  <c r="E51" i="20"/>
  <c r="D51" i="20" s="1"/>
  <c r="E40" i="20"/>
  <c r="D40" i="20" s="1"/>
  <c r="E28" i="20"/>
  <c r="D28" i="20" s="1"/>
  <c r="E19" i="20"/>
  <c r="D19" i="20" s="1"/>
  <c r="E18" i="20"/>
  <c r="D18" i="20" s="1"/>
  <c r="E10" i="20"/>
  <c r="D10" i="20" s="1"/>
  <c r="E50" i="20"/>
  <c r="D50" i="20" s="1"/>
  <c r="E39" i="20"/>
  <c r="D39" i="20" s="1"/>
  <c r="E27" i="20"/>
  <c r="D27" i="20" s="1"/>
  <c r="E49" i="20"/>
  <c r="D49" i="20" s="1"/>
  <c r="E38" i="20"/>
  <c r="D38" i="20" s="1"/>
  <c r="E26" i="20"/>
  <c r="D26" i="20" s="1"/>
  <c r="E9" i="20"/>
  <c r="D9" i="20" s="1"/>
  <c r="E48" i="20"/>
  <c r="D48" i="20" s="1"/>
  <c r="E37" i="20"/>
  <c r="D37" i="20" s="1"/>
  <c r="E25" i="20"/>
  <c r="D25" i="20" s="1"/>
  <c r="E17" i="20"/>
  <c r="D17" i="20" s="1"/>
  <c r="E47" i="20"/>
  <c r="D47" i="20" s="1"/>
  <c r="E36" i="20"/>
  <c r="D36" i="20" s="1"/>
  <c r="E8" i="20"/>
  <c r="D8" i="20" s="1"/>
  <c r="E46" i="20"/>
  <c r="D46" i="20" s="1"/>
  <c r="E35" i="20"/>
  <c r="D35" i="20" s="1"/>
  <c r="E24" i="20"/>
  <c r="D24" i="20" s="1"/>
  <c r="E16" i="20"/>
  <c r="D16" i="20" s="1"/>
  <c r="E7" i="20"/>
  <c r="D7" i="20" s="1"/>
  <c r="E45" i="20"/>
  <c r="D45" i="20" s="1"/>
  <c r="E6" i="20"/>
  <c r="D6" i="20" s="1"/>
  <c r="E34" i="20"/>
  <c r="D34" i="20" s="1"/>
  <c r="E23" i="20"/>
  <c r="D23" i="20" s="1"/>
  <c r="E15" i="20"/>
  <c r="D15" i="20" s="1"/>
  <c r="E44" i="20"/>
  <c r="D44" i="20" s="1"/>
  <c r="E33" i="20"/>
  <c r="D33" i="20" s="1"/>
  <c r="E43" i="20"/>
  <c r="D43" i="20" s="1"/>
  <c r="E32" i="20"/>
  <c r="D32" i="20" s="1"/>
  <c r="E22" i="20"/>
  <c r="D22" i="20" s="1"/>
  <c r="E14" i="20"/>
  <c r="D14" i="20" s="1"/>
  <c r="L14" i="4"/>
  <c r="R6" i="4"/>
  <c r="N8" i="4"/>
  <c r="T9" i="4"/>
  <c r="L11" i="4"/>
  <c r="R12" i="4"/>
  <c r="J14" i="4"/>
  <c r="P15" i="4"/>
  <c r="N4" i="4"/>
  <c r="S5" i="4"/>
  <c r="J7" i="4"/>
  <c r="S7" i="4"/>
  <c r="K9" i="4"/>
  <c r="Q10" i="4"/>
  <c r="I12" i="4"/>
  <c r="N13" i="4"/>
  <c r="T14" i="4"/>
  <c r="P8" i="4"/>
  <c r="U9" i="4"/>
  <c r="S12" i="4"/>
  <c r="K14" i="4"/>
  <c r="Q15" i="4"/>
  <c r="A5" i="12"/>
  <c r="Y5" i="20"/>
  <c r="P4" i="4"/>
  <c r="K5" i="4"/>
  <c r="T5" i="4"/>
  <c r="P6" i="4"/>
  <c r="K7" i="4"/>
  <c r="T7" i="4"/>
  <c r="L9" i="4"/>
  <c r="R10" i="4"/>
  <c r="J12" i="4"/>
  <c r="P13" i="4"/>
  <c r="U14" i="4"/>
  <c r="I10" i="4"/>
  <c r="Q4" i="4"/>
  <c r="L5" i="4"/>
  <c r="U5" i="4"/>
  <c r="Q6" i="4"/>
  <c r="L7" i="4"/>
  <c r="U7" i="4"/>
  <c r="M9" i="4"/>
  <c r="S10" i="4"/>
  <c r="K12" i="4"/>
  <c r="Q13" i="4"/>
  <c r="I15" i="4"/>
  <c r="S15" i="4"/>
  <c r="T12" i="4"/>
  <c r="R15" i="4"/>
  <c r="R8" i="4"/>
  <c r="J10" i="4"/>
  <c r="P11" i="4"/>
  <c r="U12" i="4"/>
  <c r="M14" i="4"/>
  <c r="J15" i="4"/>
  <c r="I6" i="4"/>
  <c r="T10" i="4"/>
  <c r="N14" i="4"/>
  <c r="D4" i="9"/>
  <c r="S4" i="4"/>
  <c r="S6" i="4"/>
  <c r="N7" i="4"/>
  <c r="J8" i="4"/>
  <c r="P9" i="4"/>
  <c r="U10" i="4"/>
  <c r="M12" i="4"/>
  <c r="J13" i="4"/>
  <c r="P14" i="4"/>
  <c r="U15" i="4"/>
  <c r="A5" i="17"/>
  <c r="S13" i="4"/>
  <c r="D4" i="10"/>
  <c r="I13" i="4"/>
  <c r="R11" i="4"/>
  <c r="T4" i="4"/>
  <c r="P7" i="4"/>
  <c r="K13" i="4"/>
  <c r="P12" i="4"/>
  <c r="U13" i="4"/>
  <c r="M15" i="4"/>
  <c r="Q8" i="4"/>
  <c r="N9" i="4"/>
  <c r="R13" i="4"/>
  <c r="T15" i="4"/>
  <c r="K10" i="4"/>
  <c r="K15" i="4"/>
  <c r="T8" i="4"/>
  <c r="L15" i="4"/>
  <c r="K6" i="4"/>
  <c r="I11" i="4"/>
  <c r="U6" i="4"/>
  <c r="L13" i="4"/>
  <c r="R14" i="4"/>
  <c r="M7" i="4"/>
  <c r="A5" i="16"/>
  <c r="S8" i="4"/>
  <c r="T13" i="4"/>
  <c r="K4" i="4"/>
  <c r="T6" i="4"/>
  <c r="Q9" i="4"/>
  <c r="S11" i="4"/>
  <c r="M10" i="4"/>
  <c r="U4" i="4"/>
  <c r="L6" i="4"/>
  <c r="L8" i="4"/>
  <c r="R9" i="4"/>
  <c r="T11" i="4"/>
  <c r="I9" i="4"/>
  <c r="S9" i="4"/>
  <c r="K11" i="4"/>
  <c r="Q12" i="4"/>
  <c r="I14" i="4"/>
  <c r="N15" i="4"/>
  <c r="D4" i="11"/>
  <c r="N11" i="4"/>
  <c r="R4" i="4"/>
  <c r="I8" i="4"/>
  <c r="L12" i="4"/>
  <c r="N5" i="4"/>
  <c r="L10" i="4"/>
  <c r="N12" i="4"/>
  <c r="P5" i="4"/>
  <c r="K8" i="4"/>
  <c r="Q14" i="4"/>
  <c r="U8" i="4"/>
  <c r="J11" i="4"/>
  <c r="L4" i="4"/>
  <c r="Q5" i="4"/>
  <c r="N10" i="4"/>
  <c r="M4" i="4"/>
  <c r="R5" i="4"/>
  <c r="M6" i="4"/>
  <c r="I7" i="4"/>
  <c r="R7" i="4"/>
  <c r="J9" i="4"/>
  <c r="P10" i="4"/>
  <c r="M13" i="4"/>
  <c r="S14" i="4"/>
  <c r="D4" i="6"/>
  <c r="Q5" i="20"/>
  <c r="I33" i="20" a="1"/>
  <c r="S35" i="20" a="1"/>
  <c r="AB47" i="20" a="1"/>
  <c r="I6" i="20" a="1"/>
  <c r="AA28" i="20" a="1"/>
  <c r="K10" i="20" a="1"/>
  <c r="AA48" i="20" a="1"/>
  <c r="H49" i="20" a="1"/>
  <c r="K24" i="20" a="1"/>
  <c r="AB28" i="20" a="1"/>
  <c r="T24" i="20" a="1"/>
  <c r="T34" i="20" a="1"/>
  <c r="I15" i="20" a="1"/>
  <c r="K50" i="20" a="1"/>
  <c r="AB12" i="20" a="1"/>
  <c r="H34" i="20" a="1"/>
  <c r="AA18" i="20" a="1"/>
  <c r="H35" i="20" a="1"/>
  <c r="I29" i="20" a="1"/>
  <c r="H21" i="20" a="1"/>
  <c r="AC20" i="20" a="1"/>
  <c r="T8" i="20" a="1"/>
  <c r="AB15" i="20" a="1"/>
  <c r="AA9" i="20" a="1"/>
  <c r="T30" i="20" a="1"/>
  <c r="J16" i="20" a="1"/>
  <c r="AB38" i="20" a="1"/>
  <c r="AC30" i="20" a="1"/>
  <c r="S44" i="20" a="1"/>
  <c r="AA13" i="20" a="1"/>
  <c r="J20" i="20" a="1"/>
  <c r="AC47" i="20" a="1"/>
  <c r="I7" i="20" a="1"/>
  <c r="S48" i="20" a="1"/>
  <c r="K37" i="20" a="1"/>
  <c r="T41" i="20" a="1"/>
  <c r="AC34" i="20" a="1"/>
  <c r="AB19" i="20" a="1"/>
  <c r="AA10" i="20" a="1"/>
  <c r="AC23" i="20" a="1"/>
  <c r="K51" i="20" a="1"/>
  <c r="S15" i="20" a="1"/>
  <c r="K31" i="20" a="1"/>
  <c r="K41" i="20" a="1"/>
  <c r="K19" i="20" a="1"/>
  <c r="I17" i="20" a="1"/>
  <c r="K25" i="20" a="1"/>
  <c r="T25" i="20" a="1"/>
  <c r="AC29" i="20" a="1"/>
  <c r="K23" i="20" a="1"/>
  <c r="J48" i="20" a="1"/>
  <c r="H15" i="20" a="1"/>
  <c r="AC21" i="20" a="1"/>
  <c r="K32" i="20" a="1"/>
  <c r="H42" i="20" a="1"/>
  <c r="J50" i="20" a="1"/>
  <c r="AC37" i="20" a="1"/>
  <c r="A8" i="3" a="1"/>
  <c r="AC46" i="20" a="1"/>
  <c r="AA39" i="20" a="1"/>
  <c r="H40" i="20" a="1"/>
  <c r="AC17" i="20" a="1"/>
  <c r="J51" i="20" a="1"/>
  <c r="H30" i="20" a="1"/>
  <c r="T7" i="20" a="1"/>
  <c r="AC25" i="20" a="1"/>
  <c r="I10" i="20" a="1"/>
  <c r="H24" i="20" a="1"/>
  <c r="T10" i="20" a="1"/>
  <c r="T51" i="20" a="1"/>
  <c r="AC35" i="20" a="1"/>
  <c r="J35" i="20" a="1"/>
  <c r="T28" i="20" a="1"/>
  <c r="AB29" i="20" a="1"/>
  <c r="J30" i="20" a="1"/>
  <c r="H26" i="20" a="1"/>
  <c r="K29" i="20" a="1"/>
  <c r="AB30" i="20" a="1"/>
  <c r="S8" i="20" a="1"/>
  <c r="AB24" i="20" a="1"/>
  <c r="K38" i="20" a="1"/>
  <c r="J33" i="20" a="1"/>
  <c r="AC8" i="20" a="1"/>
  <c r="AC33" i="20" a="1"/>
  <c r="H28" i="20" a="1"/>
  <c r="K15" i="20" a="1"/>
  <c r="AC31" i="20" a="1"/>
  <c r="AB32" i="20" a="1"/>
  <c r="J37" i="20" a="1"/>
  <c r="I36" i="20" a="1"/>
  <c r="AB35" i="20" a="1"/>
  <c r="T9" i="20" a="1"/>
  <c r="AB11" i="20" a="1"/>
  <c r="K42" i="20" a="1"/>
  <c r="K33" i="20" a="1"/>
  <c r="S45" i="20" a="1"/>
  <c r="T45" i="20" a="1"/>
  <c r="K16" i="20" a="1"/>
  <c r="AA30" i="20" a="1"/>
  <c r="H7" i="20" a="1"/>
  <c r="H10" i="20" a="1"/>
  <c r="J18" i="20" a="1"/>
  <c r="S23" i="20" a="1"/>
  <c r="AC45" i="20" a="1"/>
  <c r="S29" i="20" a="1"/>
  <c r="J8" i="20" a="1"/>
  <c r="AC28" i="20" a="1"/>
  <c r="AA12" i="20" a="1"/>
  <c r="J24" i="20" a="1"/>
  <c r="J42" i="20" a="1"/>
  <c r="J40" i="20" a="1"/>
  <c r="I14" i="20" a="1"/>
  <c r="H11" i="20" a="1"/>
  <c r="AC44" i="20" a="1"/>
  <c r="K17" i="20" a="1"/>
  <c r="AC7" i="20" a="1"/>
  <c r="I27" i="20" a="1"/>
  <c r="AA34" i="20" a="1"/>
  <c r="T14" i="20" a="1"/>
  <c r="H51" i="20" a="1"/>
  <c r="S39" i="20" a="1"/>
  <c r="AB8" i="20" a="1"/>
  <c r="AA50" i="20" a="1"/>
  <c r="K34" i="20" a="1"/>
  <c r="K28" i="20" a="1"/>
  <c r="K21" i="20" a="1"/>
  <c r="T37" i="20" a="1"/>
  <c r="K45" i="20" a="1"/>
  <c r="AA20" i="20" a="1"/>
  <c r="H45" i="20" a="1"/>
  <c r="I40" i="20" a="1"/>
  <c r="AC49" i="20" a="1"/>
  <c r="I11" i="20" a="1"/>
  <c r="J47" i="20" a="1"/>
  <c r="T33" i="20" a="1"/>
  <c r="S17" i="20" a="1"/>
  <c r="AC41" i="20" a="1"/>
  <c r="AB7" i="20" a="1"/>
  <c r="I23" i="20" a="1"/>
  <c r="I8" i="20" a="1"/>
  <c r="T20" i="20" a="1"/>
  <c r="AC43" i="20" a="1"/>
  <c r="H31" i="20" a="1"/>
  <c r="H33" i="20" a="1"/>
  <c r="AC26" i="20" a="1"/>
  <c r="AB51" i="20" a="1"/>
  <c r="H17" i="20" a="1"/>
  <c r="T19" i="20" a="1"/>
  <c r="H27" i="20" a="1"/>
  <c r="S22" i="20" a="1"/>
  <c r="I39" i="20" a="1"/>
  <c r="AA35" i="20" a="1"/>
  <c r="AA21" i="20" a="1"/>
  <c r="K47" i="20" a="1"/>
  <c r="J15" i="20" a="1"/>
  <c r="S34" i="20" a="1"/>
  <c r="AB6" i="20" a="1"/>
  <c r="H20" i="20" a="1"/>
  <c r="J34" i="20" a="1"/>
  <c r="I41" i="20" a="1"/>
  <c r="AC51" i="20" a="1"/>
  <c r="K44" i="20" a="1"/>
  <c r="I20" i="20" a="1"/>
  <c r="J49" i="20" a="1"/>
  <c r="AA19" i="20" a="1"/>
  <c r="AA42" i="20" a="1"/>
  <c r="K20" i="20" a="1"/>
  <c r="I45" i="20" a="1"/>
  <c r="T44" i="20" a="1"/>
  <c r="S41" i="20" a="1"/>
  <c r="AB25" i="20" a="1"/>
  <c r="I30" i="20" a="1"/>
  <c r="AB26" i="20" a="1"/>
  <c r="J25" i="20" a="1"/>
  <c r="S50" i="20" a="1"/>
  <c r="T23" i="20" a="1"/>
  <c r="S36" i="20" a="1"/>
  <c r="AA49" i="20" a="1"/>
  <c r="AC32" i="20" a="1"/>
  <c r="T49" i="20" a="1"/>
  <c r="T29" i="20" a="1"/>
  <c r="S14" i="20" a="1"/>
  <c r="AA40" i="20" a="1"/>
  <c r="S40" i="20" a="1"/>
  <c r="J41" i="20" a="1"/>
  <c r="J46" i="20" a="1"/>
  <c r="AA24" i="20" a="1"/>
  <c r="AA44" i="20" a="1"/>
  <c r="T15" i="20" a="1"/>
  <c r="I12" i="20" a="1"/>
  <c r="S32" i="20" a="1"/>
  <c r="AC14" i="20" a="1"/>
  <c r="T35" i="20" a="1"/>
  <c r="AB31" i="20" a="1"/>
  <c r="H39" i="20" a="1"/>
  <c r="AC27" i="20" a="1"/>
  <c r="AB42" i="20" a="1"/>
  <c r="S20" i="20" a="1"/>
  <c r="I50" i="20" a="1"/>
  <c r="S26" i="20" a="1"/>
  <c r="AA47" i="20" a="1"/>
  <c r="H36" i="20" a="1"/>
  <c r="AA23" i="20" a="1"/>
  <c r="S13" i="20" a="1"/>
  <c r="S18" i="20" a="1"/>
  <c r="AC13" i="20" a="1"/>
  <c r="AB33" i="20" a="1"/>
  <c r="T27" i="20" a="1"/>
  <c r="K26" i="20" a="1"/>
  <c r="H8" i="20" a="1"/>
  <c r="AA37" i="20" a="1"/>
  <c r="S43" i="20" a="1"/>
  <c r="AB44" i="20" a="1"/>
  <c r="T22" i="20" a="1"/>
  <c r="S42" i="20" a="1"/>
  <c r="J29" i="20" a="1"/>
  <c r="AA43" i="20" a="1"/>
  <c r="AC18" i="20" a="1"/>
  <c r="AB45" i="20" a="1"/>
  <c r="AA27" i="20" a="1"/>
  <c r="AA31" i="20" a="1"/>
  <c r="J28" i="20" a="1"/>
  <c r="AB14" i="20" a="1"/>
  <c r="T17" i="20" a="1"/>
  <c r="S27" i="20" a="1"/>
  <c r="H32" i="20" a="1"/>
  <c r="AB46" i="20" a="1"/>
  <c r="AC11" i="20" a="1"/>
  <c r="AA14" i="20" a="1"/>
  <c r="J38" i="20" a="1"/>
  <c r="J6" i="20" a="1"/>
  <c r="T50" i="20" a="1"/>
  <c r="AC9" i="20" a="1"/>
  <c r="K9" i="20" a="1"/>
  <c r="T16" i="20" a="1"/>
  <c r="AA26" i="20" a="1"/>
  <c r="J32" i="20" a="1"/>
  <c r="J21" i="20" a="1"/>
  <c r="AB49" i="20" a="1"/>
  <c r="AA11" i="20" a="1"/>
  <c r="T46" i="20" a="1"/>
  <c r="I42" i="20" a="1"/>
  <c r="J14" i="20" a="1"/>
  <c r="T43" i="20" a="1"/>
  <c r="H25" i="20" a="1"/>
  <c r="I25" i="20" a="1"/>
  <c r="H6" i="20" a="1"/>
  <c r="K13" i="20" a="1"/>
  <c r="K39" i="20" a="1"/>
  <c r="I49" i="20" a="1"/>
  <c r="AA51" i="20" a="1"/>
  <c r="AA41" i="20" a="1"/>
  <c r="H22" i="20" a="1"/>
  <c r="S9" i="20" a="1"/>
  <c r="AA22" i="20" a="1"/>
  <c r="AC22" i="20" a="1"/>
  <c r="K48" i="20" a="1"/>
  <c r="S6" i="20" a="1"/>
  <c r="I32" i="20" a="1"/>
  <c r="AB43" i="20" a="1"/>
  <c r="AA15" i="20" a="1"/>
  <c r="T32" i="20" a="1"/>
  <c r="AA29" i="20" a="1"/>
  <c r="I43" i="20" a="1"/>
  <c r="H12" i="20" a="1"/>
  <c r="I16" i="20" a="1"/>
  <c r="AA45" i="20" a="1"/>
  <c r="J27" i="20" a="1"/>
  <c r="K30" i="20" a="1"/>
  <c r="J19" i="20" a="1"/>
  <c r="AC39" i="20" a="1"/>
  <c r="H19" i="20" a="1"/>
  <c r="I22" i="20" a="1"/>
  <c r="J43" i="20" a="1"/>
  <c r="K7" i="20" a="1"/>
  <c r="I9" i="20" a="1"/>
  <c r="H41" i="20" a="1"/>
  <c r="AA16" i="20" a="1"/>
  <c r="H18" i="20" a="1"/>
  <c r="K18" i="20" a="1"/>
  <c r="AC36" i="20" a="1"/>
  <c r="S24" i="20" a="1"/>
  <c r="S21" i="20" a="1"/>
  <c r="S51" i="20" a="1"/>
  <c r="T48" i="20" a="1"/>
  <c r="I18" i="20" a="1"/>
  <c r="S25" i="20" a="1"/>
  <c r="H50" i="20" a="1"/>
  <c r="I44" i="20" a="1"/>
  <c r="AA33" i="20" a="1"/>
  <c r="AC40" i="20" a="1"/>
  <c r="AA6" i="20" a="1"/>
  <c r="AB17" i="20" a="1"/>
  <c r="S10" i="20" a="1"/>
  <c r="AB50" i="20" a="1"/>
  <c r="I46" i="20" a="1"/>
  <c r="I37" i="20" a="1"/>
  <c r="K43" i="20" a="1"/>
  <c r="AC15" i="20" a="1"/>
  <c r="K35" i="20" a="1"/>
  <c r="AC50" i="20" a="1"/>
  <c r="J44" i="20" a="1"/>
  <c r="AC12" i="20" a="1"/>
  <c r="K6" i="20" a="1"/>
  <c r="K27" i="20" a="1"/>
  <c r="I35" i="20" a="1"/>
  <c r="I13" i="20" a="1"/>
  <c r="J39" i="20" a="1"/>
  <c r="K49" i="20" a="1"/>
  <c r="S38" i="20" a="1"/>
  <c r="H38" i="20" a="1"/>
  <c r="H37" i="20" a="1"/>
  <c r="K22" i="20" a="1"/>
  <c r="AB36" i="20" a="1"/>
  <c r="S47" i="20" a="1"/>
  <c r="AB41" i="20" a="1"/>
  <c r="I26" i="20" a="1"/>
  <c r="T38" i="20" a="1"/>
  <c r="AB20" i="20" a="1"/>
  <c r="H14" i="20" a="1"/>
  <c r="H47" i="20" a="1"/>
  <c r="S7" i="20" a="1"/>
  <c r="AC48" i="20" a="1"/>
  <c r="H46" i="20" a="1"/>
  <c r="S49" i="20" a="1"/>
  <c r="AA32" i="20" a="1"/>
  <c r="AC19" i="20" a="1"/>
  <c r="J13" i="20" a="1"/>
  <c r="K46" i="20" a="1"/>
  <c r="AB22" i="20" a="1"/>
  <c r="J11" i="20" a="1"/>
  <c r="J26" i="20" a="1"/>
  <c r="J9" i="20" a="1"/>
  <c r="T47" i="20" a="1"/>
  <c r="I48" i="20" a="1"/>
  <c r="AC24" i="20" a="1"/>
  <c r="T12" i="20" a="1"/>
  <c r="H16" i="20" a="1"/>
  <c r="AB16" i="20" a="1"/>
  <c r="AB39" i="20" a="1"/>
  <c r="AB27" i="20" a="1"/>
  <c r="I34" i="20" a="1"/>
  <c r="S12" i="20" a="1"/>
  <c r="J31" i="20" a="1"/>
  <c r="I21" i="20" a="1"/>
  <c r="T21" i="20" a="1"/>
  <c r="J17" i="20" a="1"/>
  <c r="AB40" i="20" a="1"/>
  <c r="S33" i="20" a="1"/>
  <c r="H48" i="20" a="1"/>
  <c r="H29" i="20" a="1"/>
  <c r="K12" i="20" a="1"/>
  <c r="H23" i="20" a="1"/>
  <c r="I24" i="20" a="1"/>
  <c r="AB21" i="20" a="1"/>
  <c r="AB18" i="20" a="1"/>
  <c r="K36" i="20" a="1"/>
  <c r="AA46" i="20" a="1"/>
  <c r="T13" i="20" a="1"/>
  <c r="T40" i="20" a="1"/>
  <c r="S28" i="20" a="1"/>
  <c r="AA7" i="20" a="1"/>
  <c r="T36" i="20" a="1"/>
  <c r="H43" i="20" a="1"/>
  <c r="J36" i="20" a="1"/>
  <c r="AB13" i="20" a="1"/>
  <c r="AC6" i="20" a="1"/>
  <c r="AB10" i="20" a="1"/>
  <c r="S31" i="20" a="1"/>
  <c r="I31" i="20" a="1"/>
  <c r="AA38" i="20" a="1"/>
  <c r="H44" i="20" a="1"/>
  <c r="S46" i="20" a="1"/>
  <c r="S37" i="20" a="1"/>
  <c r="K8" i="20" a="1"/>
  <c r="AA25" i="20" a="1"/>
  <c r="AB34" i="20" a="1"/>
  <c r="AB48" i="20" a="1"/>
  <c r="I38" i="20" a="1"/>
  <c r="S16" i="20" a="1"/>
  <c r="T31" i="20" a="1"/>
  <c r="I19" i="20" a="1"/>
  <c r="AC10" i="20" a="1"/>
  <c r="H9" i="20" a="1"/>
  <c r="I28" i="20" a="1"/>
  <c r="AC42" i="20" a="1"/>
  <c r="J10" i="20" a="1"/>
  <c r="T6" i="20" a="1"/>
  <c r="J45" i="20" a="1"/>
  <c r="J23" i="20" a="1"/>
  <c r="T42" i="20" a="1"/>
  <c r="S11" i="20" a="1"/>
  <c r="J22" i="20" a="1"/>
  <c r="AB23" i="20" a="1"/>
  <c r="T11" i="20" a="1"/>
  <c r="J12" i="20" a="1"/>
  <c r="J7" i="20" a="1"/>
  <c r="I51" i="20" a="1"/>
  <c r="K11" i="20" a="1"/>
  <c r="AB37" i="20" a="1"/>
  <c r="S30" i="20" a="1"/>
  <c r="AA36" i="20" a="1"/>
  <c r="AB9" i="20" a="1"/>
  <c r="H13" i="20" a="1"/>
  <c r="S19" i="20" a="1"/>
  <c r="T18" i="20" a="1"/>
  <c r="AC38" i="20" a="1"/>
  <c r="AA17" i="20" a="1"/>
  <c r="T26" i="20" a="1"/>
  <c r="AC16" i="20" a="1"/>
  <c r="T39" i="20" a="1"/>
  <c r="I47" i="20" a="1"/>
  <c r="K14" i="20" a="1"/>
  <c r="AA8" i="20" a="1"/>
  <c r="K40" i="20" a="1"/>
  <c r="A8" i="3" l="1"/>
  <c r="H17" i="20"/>
  <c r="L17" i="20" s="1"/>
  <c r="K28" i="20"/>
  <c r="O28" i="20" s="1"/>
  <c r="J31" i="20"/>
  <c r="N31" i="20" s="1"/>
  <c r="J20" i="20"/>
  <c r="N20" i="20" s="1"/>
  <c r="I35" i="20"/>
  <c r="M35" i="20" s="1"/>
  <c r="I7" i="20"/>
  <c r="M7" i="20" s="1"/>
  <c r="K20" i="20"/>
  <c r="O20" i="20" s="1"/>
  <c r="J21" i="20"/>
  <c r="N21" i="20" s="1"/>
  <c r="K24" i="20"/>
  <c r="O24" i="20" s="1"/>
  <c r="J38" i="20"/>
  <c r="N38" i="20" s="1"/>
  <c r="I21" i="20"/>
  <c r="M21" i="20" s="1"/>
  <c r="J37" i="20"/>
  <c r="N37" i="20" s="1"/>
  <c r="I6" i="20"/>
  <c r="M6" i="20" s="1"/>
  <c r="J26" i="20"/>
  <c r="N26" i="20" s="1"/>
  <c r="I12" i="20"/>
  <c r="M12" i="20" s="1"/>
  <c r="J50" i="20"/>
  <c r="N50" i="20" s="1"/>
  <c r="H6" i="20"/>
  <c r="L6" i="20" s="1"/>
  <c r="J13" i="20"/>
  <c r="N13" i="20" s="1"/>
  <c r="J28" i="20"/>
  <c r="N28" i="20" s="1"/>
  <c r="K35" i="20"/>
  <c r="O35" i="20" s="1"/>
  <c r="I43" i="20"/>
  <c r="M43" i="20" s="1"/>
  <c r="J18" i="20"/>
  <c r="N18" i="20" s="1"/>
  <c r="H20" i="20"/>
  <c r="L20" i="20" s="1"/>
  <c r="K12" i="20"/>
  <c r="O12" i="20" s="1"/>
  <c r="I48" i="20"/>
  <c r="M48" i="20" s="1"/>
  <c r="K43" i="20"/>
  <c r="O43" i="20" s="1"/>
  <c r="H15" i="20"/>
  <c r="L15" i="20" s="1"/>
  <c r="I14" i="20"/>
  <c r="M14" i="20" s="1"/>
  <c r="K37" i="20"/>
  <c r="O37" i="20" s="1"/>
  <c r="H8" i="20"/>
  <c r="L8" i="20" s="1"/>
  <c r="K26" i="20"/>
  <c r="O26" i="20" s="1"/>
  <c r="K33" i="20"/>
  <c r="O33" i="20" s="1"/>
  <c r="J41" i="20"/>
  <c r="N41" i="20" s="1"/>
  <c r="H13" i="20"/>
  <c r="L13" i="20" s="1"/>
  <c r="K32" i="20"/>
  <c r="O32" i="20" s="1"/>
  <c r="H35" i="20"/>
  <c r="L35" i="20" s="1"/>
  <c r="K23" i="20"/>
  <c r="O23" i="20" s="1"/>
  <c r="J36" i="20"/>
  <c r="N36" i="20" s="1"/>
  <c r="K27" i="20"/>
  <c r="O27" i="20" s="1"/>
  <c r="K42" i="20"/>
  <c r="O42" i="20" s="1"/>
  <c r="I31" i="20"/>
  <c r="M31" i="20" s="1"/>
  <c r="I29" i="20"/>
  <c r="M29" i="20" s="1"/>
  <c r="I40" i="20"/>
  <c r="M40" i="20" s="1"/>
  <c r="AA40" i="20"/>
  <c r="AD40" i="20" s="1"/>
  <c r="AB6" i="20"/>
  <c r="AE6" i="20" s="1"/>
  <c r="AA43" i="20"/>
  <c r="AD43" i="20" s="1"/>
  <c r="AB35" i="20"/>
  <c r="AE35" i="20" s="1"/>
  <c r="AC34" i="20"/>
  <c r="AF34" i="20" s="1"/>
  <c r="AB16" i="20"/>
  <c r="AE16" i="20" s="1"/>
  <c r="AC49" i="20"/>
  <c r="AF49" i="20" s="1"/>
  <c r="AC42" i="20"/>
  <c r="AF42" i="20" s="1"/>
  <c r="AA29" i="20"/>
  <c r="AD29" i="20" s="1"/>
  <c r="S41" i="20"/>
  <c r="V41" i="20" s="1"/>
  <c r="S22" i="20"/>
  <c r="V22" i="20" s="1"/>
  <c r="S30" i="20"/>
  <c r="V30" i="20" s="1"/>
  <c r="S51" i="20"/>
  <c r="V51" i="20" s="1"/>
  <c r="S17" i="20"/>
  <c r="V17" i="20" s="1"/>
  <c r="H39" i="20"/>
  <c r="L39" i="20" s="1"/>
  <c r="I37" i="20"/>
  <c r="M37" i="20" s="1"/>
  <c r="J14" i="20"/>
  <c r="N14" i="20" s="1"/>
  <c r="H18" i="20"/>
  <c r="L18" i="20" s="1"/>
  <c r="I51" i="20"/>
  <c r="M51" i="20" s="1"/>
  <c r="K21" i="20"/>
  <c r="O21" i="20" s="1"/>
  <c r="H29" i="20"/>
  <c r="L29" i="20" s="1"/>
  <c r="H46" i="20"/>
  <c r="L46" i="20" s="1"/>
  <c r="I17" i="20"/>
  <c r="M17" i="20" s="1"/>
  <c r="J40" i="20"/>
  <c r="N40" i="20" s="1"/>
  <c r="AB40" i="20"/>
  <c r="AE40" i="20" s="1"/>
  <c r="AA33" i="20"/>
  <c r="AD33" i="20" s="1"/>
  <c r="AA24" i="20"/>
  <c r="AD24" i="20" s="1"/>
  <c r="AA32" i="20"/>
  <c r="AD32" i="20" s="1"/>
  <c r="AB49" i="20"/>
  <c r="AE49" i="20" s="1"/>
  <c r="AA36" i="20"/>
  <c r="AD36" i="20" s="1"/>
  <c r="AA49" i="20"/>
  <c r="AD49" i="20" s="1"/>
  <c r="AB8" i="20"/>
  <c r="AE8" i="20" s="1"/>
  <c r="AA17" i="20"/>
  <c r="AD17" i="20" s="1"/>
  <c r="T39" i="20"/>
  <c r="W39" i="20" s="1"/>
  <c r="T22" i="20"/>
  <c r="W22" i="20" s="1"/>
  <c r="S49" i="20"/>
  <c r="V49" i="20" s="1"/>
  <c r="S29" i="20"/>
  <c r="V29" i="20" s="1"/>
  <c r="S44" i="20"/>
  <c r="V44" i="20" s="1"/>
  <c r="I18" i="20"/>
  <c r="M18" i="20" s="1"/>
  <c r="K16" i="20"/>
  <c r="O16" i="20" s="1"/>
  <c r="H45" i="20"/>
  <c r="L45" i="20" s="1"/>
  <c r="H42" i="20"/>
  <c r="L42" i="20" s="1"/>
  <c r="J30" i="20"/>
  <c r="N30" i="20" s="1"/>
  <c r="J25" i="20"/>
  <c r="N25" i="20" s="1"/>
  <c r="J8" i="20"/>
  <c r="N8" i="20" s="1"/>
  <c r="I25" i="20"/>
  <c r="M25" i="20" s="1"/>
  <c r="K29" i="20"/>
  <c r="O29" i="20" s="1"/>
  <c r="H33" i="20"/>
  <c r="L33" i="20" s="1"/>
  <c r="AA44" i="20"/>
  <c r="AD44" i="20" s="1"/>
  <c r="AA10" i="20"/>
  <c r="AD10" i="20" s="1"/>
  <c r="AA7" i="20"/>
  <c r="AD7" i="20" s="1"/>
  <c r="AA6" i="20"/>
  <c r="AD6" i="20" s="1"/>
  <c r="AC23" i="20"/>
  <c r="AF23" i="20" s="1"/>
  <c r="AB19" i="20"/>
  <c r="AE19" i="20" s="1"/>
  <c r="AB17" i="20"/>
  <c r="AE17" i="20" s="1"/>
  <c r="AC36" i="20"/>
  <c r="AF36" i="20" s="1"/>
  <c r="AC29" i="20"/>
  <c r="AF29" i="20" s="1"/>
  <c r="S14" i="20"/>
  <c r="V14" i="20" s="1"/>
  <c r="T43" i="20"/>
  <c r="W43" i="20" s="1"/>
  <c r="T23" i="20"/>
  <c r="W23" i="20" s="1"/>
  <c r="S23" i="20"/>
  <c r="V23" i="20" s="1"/>
  <c r="S11" i="20"/>
  <c r="V11" i="20" s="1"/>
  <c r="I39" i="20"/>
  <c r="M39" i="20" s="1"/>
  <c r="H30" i="20"/>
  <c r="L30" i="20" s="1"/>
  <c r="K14" i="20"/>
  <c r="O14" i="20" s="1"/>
  <c r="J17" i="20"/>
  <c r="N17" i="20" s="1"/>
  <c r="K30" i="20"/>
  <c r="O30" i="20" s="1"/>
  <c r="H23" i="20"/>
  <c r="L23" i="20" s="1"/>
  <c r="K36" i="20"/>
  <c r="O36" i="20" s="1"/>
  <c r="K31" i="20"/>
  <c r="O31" i="20" s="1"/>
  <c r="K50" i="20"/>
  <c r="O50" i="20" s="1"/>
  <c r="I44" i="20"/>
  <c r="M44" i="20" s="1"/>
  <c r="AA22" i="20"/>
  <c r="AD22" i="20" s="1"/>
  <c r="AA41" i="20"/>
  <c r="AD41" i="20" s="1"/>
  <c r="AC6" i="20"/>
  <c r="AF6" i="20" s="1"/>
  <c r="AB10" i="20"/>
  <c r="AE10" i="20" s="1"/>
  <c r="AA26" i="20"/>
  <c r="AD26" i="20" s="1"/>
  <c r="AA38" i="20"/>
  <c r="AD38" i="20" s="1"/>
  <c r="AA21" i="20"/>
  <c r="AD21" i="20" s="1"/>
  <c r="AC8" i="20"/>
  <c r="AF8" i="20" s="1"/>
  <c r="AC50" i="20"/>
  <c r="AF50" i="20" s="1"/>
  <c r="S35" i="20"/>
  <c r="V35" i="20" s="1"/>
  <c r="S26" i="20"/>
  <c r="V26" i="20" s="1"/>
  <c r="T49" i="20"/>
  <c r="W49" i="20" s="1"/>
  <c r="T27" i="20"/>
  <c r="W27" i="20" s="1"/>
  <c r="S38" i="20"/>
  <c r="V38" i="20" s="1"/>
  <c r="J9" i="20"/>
  <c r="N9" i="20" s="1"/>
  <c r="I50" i="20"/>
  <c r="M50" i="20" s="1"/>
  <c r="I8" i="20"/>
  <c r="M8" i="20" s="1"/>
  <c r="H7" i="20"/>
  <c r="L7" i="20" s="1"/>
  <c r="K51" i="20"/>
  <c r="O51" i="20" s="1"/>
  <c r="J51" i="20"/>
  <c r="N51" i="20" s="1"/>
  <c r="K8" i="20"/>
  <c r="O8" i="20" s="1"/>
  <c r="J29" i="20"/>
  <c r="N29" i="20" s="1"/>
  <c r="H37" i="20"/>
  <c r="L37" i="20" s="1"/>
  <c r="I22" i="20"/>
  <c r="M22" i="20" s="1"/>
  <c r="AC39" i="20"/>
  <c r="AF39" i="20" s="1"/>
  <c r="AA28" i="20"/>
  <c r="AD28" i="20" s="1"/>
  <c r="AB38" i="20"/>
  <c r="AE38" i="20" s="1"/>
  <c r="AA37" i="20"/>
  <c r="AD37" i="20" s="1"/>
  <c r="AA12" i="20"/>
  <c r="AD12" i="20" s="1"/>
  <c r="AA9" i="20"/>
  <c r="AD9" i="20" s="1"/>
  <c r="AB42" i="20"/>
  <c r="AE42" i="20" s="1"/>
  <c r="AA34" i="20"/>
  <c r="AD34" i="20" s="1"/>
  <c r="S50" i="20"/>
  <c r="V50" i="20" s="1"/>
  <c r="T7" i="20"/>
  <c r="W7" i="20" s="1"/>
  <c r="S37" i="20"/>
  <c r="V37" i="20" s="1"/>
  <c r="S21" i="20"/>
  <c r="V21" i="20" s="1"/>
  <c r="T14" i="20"/>
  <c r="W14" i="20" s="1"/>
  <c r="S10" i="20"/>
  <c r="V10" i="20" s="1"/>
  <c r="I16" i="20"/>
  <c r="M16" i="20" s="1"/>
  <c r="H50" i="20"/>
  <c r="L50" i="20" s="1"/>
  <c r="K34" i="20"/>
  <c r="O34" i="20" s="1"/>
  <c r="H9" i="20"/>
  <c r="L9" i="20" s="1"/>
  <c r="K45" i="20"/>
  <c r="O45" i="20" s="1"/>
  <c r="J34" i="20"/>
  <c r="N34" i="20" s="1"/>
  <c r="I23" i="20"/>
  <c r="M23" i="20" s="1"/>
  <c r="I34" i="20"/>
  <c r="M34" i="20" s="1"/>
  <c r="H27" i="20"/>
  <c r="L27" i="20" s="1"/>
  <c r="K39" i="20"/>
  <c r="O39" i="20" s="1"/>
  <c r="AB45" i="20"/>
  <c r="AE45" i="20" s="1"/>
  <c r="AC33" i="20"/>
  <c r="AF33" i="20" s="1"/>
  <c r="AC22" i="20"/>
  <c r="AF22" i="20" s="1"/>
  <c r="AC16" i="20"/>
  <c r="AF16" i="20" s="1"/>
  <c r="AB43" i="20"/>
  <c r="AE43" i="20" s="1"/>
  <c r="AB32" i="20"/>
  <c r="AE32" i="20" s="1"/>
  <c r="AC25" i="20"/>
  <c r="AF25" i="20" s="1"/>
  <c r="AC40" i="20"/>
  <c r="AF40" i="20" s="1"/>
  <c r="T33" i="20"/>
  <c r="W33" i="20" s="1"/>
  <c r="T37" i="20"/>
  <c r="W37" i="20" s="1"/>
  <c r="T41" i="20"/>
  <c r="W41" i="20" s="1"/>
  <c r="S47" i="20"/>
  <c r="V47" i="20" s="1"/>
  <c r="T6" i="20"/>
  <c r="W6" i="20" s="1"/>
  <c r="T38" i="20"/>
  <c r="W38" i="20" s="1"/>
  <c r="J10" i="20"/>
  <c r="N10" i="20" s="1"/>
  <c r="K41" i="20"/>
  <c r="O41" i="20" s="1"/>
  <c r="H21" i="20"/>
  <c r="L21" i="20" s="1"/>
  <c r="I26" i="20"/>
  <c r="M26" i="20" s="1"/>
  <c r="J16" i="20"/>
  <c r="N16" i="20" s="1"/>
  <c r="H16" i="20"/>
  <c r="L16" i="20" s="1"/>
  <c r="I49" i="20"/>
  <c r="M49" i="20" s="1"/>
  <c r="K40" i="20"/>
  <c r="O40" i="20" s="1"/>
  <c r="H48" i="20"/>
  <c r="L48" i="20" s="1"/>
  <c r="I19" i="20"/>
  <c r="M19" i="20" s="1"/>
  <c r="AC27" i="20"/>
  <c r="AF27" i="20" s="1"/>
  <c r="AA8" i="20"/>
  <c r="AD8" i="20" s="1"/>
  <c r="AC43" i="20"/>
  <c r="AF43" i="20" s="1"/>
  <c r="AB9" i="20"/>
  <c r="AE9" i="20" s="1"/>
  <c r="AA19" i="20"/>
  <c r="AD19" i="20" s="1"/>
  <c r="AC10" i="20"/>
  <c r="AF10" i="20" s="1"/>
  <c r="AC13" i="20"/>
  <c r="AF13" i="20" s="1"/>
  <c r="AC18" i="20"/>
  <c r="AF18" i="20" s="1"/>
  <c r="S31" i="20"/>
  <c r="V31" i="20" s="1"/>
  <c r="T9" i="20"/>
  <c r="W9" i="20" s="1"/>
  <c r="T19" i="20"/>
  <c r="W19" i="20" s="1"/>
  <c r="S16" i="20"/>
  <c r="V16" i="20" s="1"/>
  <c r="T16" i="20"/>
  <c r="W16" i="20" s="1"/>
  <c r="S42" i="20"/>
  <c r="V42" i="20" s="1"/>
  <c r="H51" i="20"/>
  <c r="L51" i="20" s="1"/>
  <c r="J35" i="20"/>
  <c r="N35" i="20" s="1"/>
  <c r="K9" i="20"/>
  <c r="O9" i="20" s="1"/>
  <c r="K7" i="20"/>
  <c r="O7" i="20" s="1"/>
  <c r="J49" i="20"/>
  <c r="N49" i="20" s="1"/>
  <c r="I47" i="20"/>
  <c r="M47" i="20" s="1"/>
  <c r="I10" i="20"/>
  <c r="M10" i="20" s="1"/>
  <c r="I27" i="20"/>
  <c r="M27" i="20" s="1"/>
  <c r="K18" i="20"/>
  <c r="O18" i="20" s="1"/>
  <c r="H40" i="20"/>
  <c r="L40" i="20" s="1"/>
  <c r="AA15" i="20"/>
  <c r="AD15" i="20" s="1"/>
  <c r="AC17" i="20"/>
  <c r="AF17" i="20" s="1"/>
  <c r="AC37" i="20"/>
  <c r="AF37" i="20" s="1"/>
  <c r="AC41" i="20"/>
  <c r="AF41" i="20" s="1"/>
  <c r="AA45" i="20"/>
  <c r="AD45" i="20" s="1"/>
  <c r="AB47" i="20"/>
  <c r="AE47" i="20" s="1"/>
  <c r="AB23" i="20"/>
  <c r="AE23" i="20" s="1"/>
  <c r="AB33" i="20"/>
  <c r="AE33" i="20" s="1"/>
  <c r="S32" i="20"/>
  <c r="V32" i="20" s="1"/>
  <c r="T12" i="20"/>
  <c r="W12" i="20" s="1"/>
  <c r="S12" i="20"/>
  <c r="V12" i="20" s="1"/>
  <c r="S7" i="20"/>
  <c r="V7" i="20" s="1"/>
  <c r="T25" i="20"/>
  <c r="W25" i="20" s="1"/>
  <c r="S20" i="20"/>
  <c r="V20" i="20" s="1"/>
  <c r="K13" i="20"/>
  <c r="O13" i="20" s="1"/>
  <c r="H44" i="20"/>
  <c r="L44" i="20" s="1"/>
  <c r="K46" i="20"/>
  <c r="O46" i="20" s="1"/>
  <c r="J39" i="20"/>
  <c r="N39" i="20" s="1"/>
  <c r="I41" i="20"/>
  <c r="M41" i="20" s="1"/>
  <c r="J12" i="20"/>
  <c r="N12" i="20" s="1"/>
  <c r="K44" i="20"/>
  <c r="O44" i="20" s="1"/>
  <c r="J33" i="20"/>
  <c r="N33" i="20" s="1"/>
  <c r="H34" i="20"/>
  <c r="L34" i="20" s="1"/>
  <c r="AB37" i="20"/>
  <c r="AE37" i="20" s="1"/>
  <c r="AB22" i="20"/>
  <c r="AE22" i="20" s="1"/>
  <c r="AC26" i="20"/>
  <c r="AF26" i="20" s="1"/>
  <c r="AC7" i="20"/>
  <c r="AF7" i="20" s="1"/>
  <c r="AC19" i="20"/>
  <c r="AF19" i="20" s="1"/>
  <c r="AB36" i="20"/>
  <c r="AE36" i="20" s="1"/>
  <c r="AB44" i="20"/>
  <c r="AE44" i="20" s="1"/>
  <c r="AB25" i="20"/>
  <c r="AE25" i="20" s="1"/>
  <c r="T8" i="20"/>
  <c r="W8" i="20" s="1"/>
  <c r="S48" i="20"/>
  <c r="V48" i="20" s="1"/>
  <c r="S43" i="20"/>
  <c r="V43" i="20" s="1"/>
  <c r="T30" i="20"/>
  <c r="W30" i="20" s="1"/>
  <c r="S27" i="20"/>
  <c r="V27" i="20" s="1"/>
  <c r="T15" i="20"/>
  <c r="W15" i="20" s="1"/>
  <c r="H31" i="20"/>
  <c r="L31" i="20" s="1"/>
  <c r="I33" i="20"/>
  <c r="M33" i="20" s="1"/>
  <c r="H11" i="20"/>
  <c r="L11" i="20" s="1"/>
  <c r="H41" i="20"/>
  <c r="L41" i="20" s="1"/>
  <c r="H32" i="20"/>
  <c r="L32" i="20" s="1"/>
  <c r="I30" i="20"/>
  <c r="M30" i="20" s="1"/>
  <c r="K17" i="20"/>
  <c r="O17" i="20" s="1"/>
  <c r="J22" i="20"/>
  <c r="N22" i="20" s="1"/>
  <c r="J23" i="20"/>
  <c r="N23" i="20" s="1"/>
  <c r="AB31" i="20"/>
  <c r="AE31" i="20" s="1"/>
  <c r="AB48" i="20"/>
  <c r="AE48" i="20" s="1"/>
  <c r="AB41" i="20"/>
  <c r="AE41" i="20" s="1"/>
  <c r="AB39" i="20"/>
  <c r="AE39" i="20" s="1"/>
  <c r="AB12" i="20"/>
  <c r="AE12" i="20" s="1"/>
  <c r="AA51" i="20"/>
  <c r="AD51" i="20" s="1"/>
  <c r="AC21" i="20"/>
  <c r="AF21" i="20" s="1"/>
  <c r="AC11" i="20"/>
  <c r="AF11" i="20" s="1"/>
  <c r="T46" i="20"/>
  <c r="W46" i="20" s="1"/>
  <c r="T47" i="20"/>
  <c r="W47" i="20" s="1"/>
  <c r="S9" i="20"/>
  <c r="V9" i="20" s="1"/>
  <c r="T34" i="20"/>
  <c r="W34" i="20" s="1"/>
  <c r="S15" i="20"/>
  <c r="V15" i="20" s="1"/>
  <c r="T13" i="20"/>
  <c r="W13" i="20" s="1"/>
  <c r="I15" i="20"/>
  <c r="M15" i="20" s="1"/>
  <c r="I9" i="20"/>
  <c r="M9" i="20" s="1"/>
  <c r="H24" i="20"/>
  <c r="L24" i="20" s="1"/>
  <c r="K47" i="20"/>
  <c r="O47" i="20" s="1"/>
  <c r="H26" i="20"/>
  <c r="L26" i="20" s="1"/>
  <c r="H47" i="20"/>
  <c r="L47" i="20" s="1"/>
  <c r="I45" i="20"/>
  <c r="M45" i="20" s="1"/>
  <c r="I32" i="20"/>
  <c r="M32" i="20" s="1"/>
  <c r="AB24" i="20"/>
  <c r="AE24" i="20" s="1"/>
  <c r="AB20" i="20"/>
  <c r="AE20" i="20" s="1"/>
  <c r="AB26" i="20"/>
  <c r="AE26" i="20" s="1"/>
  <c r="AC20" i="20"/>
  <c r="AF20" i="20" s="1"/>
  <c r="AA11" i="20"/>
  <c r="AD11" i="20" s="1"/>
  <c r="AC45" i="20"/>
  <c r="AF45" i="20" s="1"/>
  <c r="AB30" i="20"/>
  <c r="AE30" i="20" s="1"/>
  <c r="AB51" i="20"/>
  <c r="AE51" i="20" s="1"/>
  <c r="AA31" i="20"/>
  <c r="AD31" i="20" s="1"/>
  <c r="T24" i="20"/>
  <c r="W24" i="20" s="1"/>
  <c r="S6" i="20"/>
  <c r="V6" i="20" s="1"/>
  <c r="T51" i="20"/>
  <c r="W51" i="20" s="1"/>
  <c r="T36" i="20"/>
  <c r="W36" i="20" s="1"/>
  <c r="T20" i="20"/>
  <c r="W20" i="20" s="1"/>
  <c r="S13" i="20"/>
  <c r="V13" i="20" s="1"/>
  <c r="K22" i="20"/>
  <c r="O22" i="20" s="1"/>
  <c r="J46" i="20"/>
  <c r="N46" i="20" s="1"/>
  <c r="I24" i="20"/>
  <c r="M24" i="20" s="1"/>
  <c r="I36" i="20"/>
  <c r="M36" i="20" s="1"/>
  <c r="J32" i="20"/>
  <c r="N32" i="20" s="1"/>
  <c r="K6" i="20"/>
  <c r="O6" i="20" s="1"/>
  <c r="H10" i="20"/>
  <c r="L10" i="20" s="1"/>
  <c r="J42" i="20"/>
  <c r="N42" i="20" s="1"/>
  <c r="J7" i="20"/>
  <c r="N7" i="20" s="1"/>
  <c r="AB7" i="20"/>
  <c r="AE7" i="20" s="1"/>
  <c r="AA35" i="20"/>
  <c r="AD35" i="20" s="1"/>
  <c r="AC9" i="20"/>
  <c r="AF9" i="20" s="1"/>
  <c r="AA18" i="20"/>
  <c r="AD18" i="20" s="1"/>
  <c r="AB11" i="20"/>
  <c r="AE11" i="20" s="1"/>
  <c r="AA47" i="20"/>
  <c r="AD47" i="20" s="1"/>
  <c r="AC30" i="20"/>
  <c r="AF30" i="20" s="1"/>
  <c r="AA23" i="20"/>
  <c r="AD23" i="20" s="1"/>
  <c r="AA25" i="20"/>
  <c r="AD25" i="20" s="1"/>
  <c r="T50" i="20"/>
  <c r="W50" i="20" s="1"/>
  <c r="S46" i="20"/>
  <c r="V46" i="20" s="1"/>
  <c r="T45" i="20"/>
  <c r="W45" i="20" s="1"/>
  <c r="S19" i="20"/>
  <c r="V19" i="20" s="1"/>
  <c r="S34" i="20"/>
  <c r="V34" i="20" s="1"/>
  <c r="T35" i="20"/>
  <c r="W35" i="20" s="1"/>
  <c r="H22" i="20"/>
  <c r="L22" i="20" s="1"/>
  <c r="H14" i="20"/>
  <c r="L14" i="20" s="1"/>
  <c r="J24" i="20"/>
  <c r="N24" i="20" s="1"/>
  <c r="J19" i="20"/>
  <c r="N19" i="20" s="1"/>
  <c r="H25" i="20"/>
  <c r="L25" i="20" s="1"/>
  <c r="J11" i="20"/>
  <c r="N11" i="20" s="1"/>
  <c r="H36" i="20"/>
  <c r="L36" i="20" s="1"/>
  <c r="K25" i="20"/>
  <c r="O25" i="20" s="1"/>
  <c r="I42" i="20"/>
  <c r="M42" i="20" s="1"/>
  <c r="AA42" i="20"/>
  <c r="AD42" i="20" s="1"/>
  <c r="AB13" i="20"/>
  <c r="AE13" i="20" s="1"/>
  <c r="AB46" i="20"/>
  <c r="AE46" i="20" s="1"/>
  <c r="AA39" i="20"/>
  <c r="AD39" i="20" s="1"/>
  <c r="AC32" i="20"/>
  <c r="AF32" i="20" s="1"/>
  <c r="AC28" i="20"/>
  <c r="AF28" i="20" s="1"/>
  <c r="AC51" i="20"/>
  <c r="AF51" i="20" s="1"/>
  <c r="AC44" i="20"/>
  <c r="AF44" i="20" s="1"/>
  <c r="AC31" i="20"/>
  <c r="AF31" i="20" s="1"/>
  <c r="T17" i="20"/>
  <c r="W17" i="20" s="1"/>
  <c r="S24" i="20"/>
  <c r="V24" i="20" s="1"/>
  <c r="T28" i="20"/>
  <c r="W28" i="20" s="1"/>
  <c r="T40" i="20"/>
  <c r="W40" i="20" s="1"/>
  <c r="S36" i="20"/>
  <c r="V36" i="20" s="1"/>
  <c r="T29" i="20"/>
  <c r="W29" i="20" s="1"/>
  <c r="J43" i="20"/>
  <c r="N43" i="20" s="1"/>
  <c r="J45" i="20"/>
  <c r="N45" i="20" s="1"/>
  <c r="H28" i="20"/>
  <c r="L28" i="20" s="1"/>
  <c r="K10" i="20"/>
  <c r="O10" i="20" s="1"/>
  <c r="J6" i="20"/>
  <c r="N6" i="20" s="1"/>
  <c r="K38" i="20"/>
  <c r="O38" i="20" s="1"/>
  <c r="J44" i="20"/>
  <c r="N44" i="20" s="1"/>
  <c r="H38" i="20"/>
  <c r="L38" i="20" s="1"/>
  <c r="I20" i="20"/>
  <c r="M20" i="20" s="1"/>
  <c r="AA20" i="20"/>
  <c r="AD20" i="20" s="1"/>
  <c r="AC35" i="20"/>
  <c r="AF35" i="20" s="1"/>
  <c r="AC46" i="20"/>
  <c r="AF46" i="20" s="1"/>
  <c r="AC24" i="20"/>
  <c r="AF24" i="20" s="1"/>
  <c r="AB14" i="20"/>
  <c r="AE14" i="20" s="1"/>
  <c r="AB21" i="20"/>
  <c r="AE21" i="20" s="1"/>
  <c r="AB34" i="20"/>
  <c r="AE34" i="20" s="1"/>
  <c r="AC38" i="20"/>
  <c r="AF38" i="20" s="1"/>
  <c r="AB29" i="20"/>
  <c r="AE29" i="20" s="1"/>
  <c r="T44" i="20"/>
  <c r="W44" i="20" s="1"/>
  <c r="S45" i="20"/>
  <c r="V45" i="20" s="1"/>
  <c r="T32" i="20"/>
  <c r="W32" i="20" s="1"/>
  <c r="T21" i="20"/>
  <c r="W21" i="20" s="1"/>
  <c r="T10" i="20"/>
  <c r="W10" i="20" s="1"/>
  <c r="T18" i="20"/>
  <c r="W18" i="20" s="1"/>
  <c r="K19" i="20"/>
  <c r="O19" i="20" s="1"/>
  <c r="I28" i="20"/>
  <c r="M28" i="20" s="1"/>
  <c r="H49" i="20"/>
  <c r="L49" i="20" s="1"/>
  <c r="H19" i="20"/>
  <c r="L19" i="20" s="1"/>
  <c r="I11" i="20"/>
  <c r="M11" i="20" s="1"/>
  <c r="J15" i="20"/>
  <c r="N15" i="20" s="1"/>
  <c r="H12" i="20"/>
  <c r="L12" i="20" s="1"/>
  <c r="J27" i="20"/>
  <c r="N27" i="20" s="1"/>
  <c r="I46" i="20"/>
  <c r="M46" i="20" s="1"/>
  <c r="AA46" i="20"/>
  <c r="AD46" i="20" s="1"/>
  <c r="AB18" i="20"/>
  <c r="AE18" i="20" s="1"/>
  <c r="AB50" i="20"/>
  <c r="AE50" i="20" s="1"/>
  <c r="AA16" i="20"/>
  <c r="AD16" i="20" s="1"/>
  <c r="AC14" i="20"/>
  <c r="AF14" i="20" s="1"/>
  <c r="AA14" i="20"/>
  <c r="AD14" i="20" s="1"/>
  <c r="AA27" i="20"/>
  <c r="AD27" i="20" s="1"/>
  <c r="AB15" i="20"/>
  <c r="AE15" i="20" s="1"/>
  <c r="AB27" i="20"/>
  <c r="AE27" i="20" s="1"/>
  <c r="T48" i="20"/>
  <c r="W48" i="20" s="1"/>
  <c r="S39" i="20"/>
  <c r="V39" i="20" s="1"/>
  <c r="S25" i="20"/>
  <c r="V25" i="20" s="1"/>
  <c r="T42" i="20"/>
  <c r="W42" i="20" s="1"/>
  <c r="S40" i="20"/>
  <c r="V40" i="20" s="1"/>
  <c r="S33" i="20"/>
  <c r="V33" i="20" s="1"/>
  <c r="J48" i="20"/>
  <c r="N48" i="20" s="1"/>
  <c r="H43" i="20"/>
  <c r="L43" i="20" s="1"/>
  <c r="I38" i="20"/>
  <c r="M38" i="20" s="1"/>
  <c r="J47" i="20"/>
  <c r="N47" i="20" s="1"/>
  <c r="K49" i="20"/>
  <c r="O49" i="20" s="1"/>
  <c r="K15" i="20"/>
  <c r="O15" i="20" s="1"/>
  <c r="K11" i="20"/>
  <c r="O11" i="20" s="1"/>
  <c r="K48" i="20"/>
  <c r="O48" i="20" s="1"/>
  <c r="I13" i="20"/>
  <c r="M13" i="20" s="1"/>
  <c r="AA13" i="20"/>
  <c r="AD13" i="20" s="1"/>
  <c r="AC12" i="20"/>
  <c r="AF12" i="20" s="1"/>
  <c r="AB28" i="20"/>
  <c r="AE28" i="20" s="1"/>
  <c r="AC47" i="20"/>
  <c r="AF47" i="20" s="1"/>
  <c r="AA50" i="20"/>
  <c r="AD50" i="20" s="1"/>
  <c r="AA48" i="20"/>
  <c r="AD48" i="20" s="1"/>
  <c r="AA30" i="20"/>
  <c r="AD30" i="20" s="1"/>
  <c r="AC15" i="20"/>
  <c r="AF15" i="20" s="1"/>
  <c r="AC48" i="20"/>
  <c r="AF48" i="20" s="1"/>
  <c r="T26" i="20"/>
  <c r="W26" i="20" s="1"/>
  <c r="S28" i="20"/>
  <c r="V28" i="20" s="1"/>
  <c r="S8" i="20"/>
  <c r="V8" i="20" s="1"/>
  <c r="T31" i="20"/>
  <c r="W31" i="20" s="1"/>
  <c r="S18" i="20"/>
  <c r="V18" i="20" s="1"/>
  <c r="T11" i="20"/>
  <c r="W11" i="20" s="1"/>
  <c r="E5" i="20"/>
  <c r="D5" i="20" s="1"/>
  <c r="J5" i="20" a="1"/>
  <c r="H5" i="20" a="1"/>
  <c r="AA5" i="20" a="1"/>
  <c r="S5" i="20" a="1"/>
  <c r="I5" i="20" a="1"/>
  <c r="AB5" i="20" a="1"/>
  <c r="T5" i="20" a="1"/>
  <c r="K5" i="20" a="1"/>
  <c r="AC5" i="20" a="1"/>
  <c r="AB5" i="20" l="1"/>
  <c r="AE5" i="20" s="1"/>
  <c r="AA5" i="20"/>
  <c r="AD5" i="20" s="1"/>
  <c r="T5" i="20"/>
  <c r="W5" i="20" s="1"/>
  <c r="H5" i="20"/>
  <c r="L5" i="20" s="1"/>
  <c r="I5" i="20"/>
  <c r="M5" i="20" s="1"/>
  <c r="J5" i="20"/>
  <c r="N5" i="20" s="1"/>
  <c r="K5" i="20"/>
  <c r="O5" i="20" s="1"/>
  <c r="S5" i="20"/>
  <c r="V5" i="20" s="1"/>
  <c r="AC5" i="20"/>
  <c r="AF5"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<sst xmlns="http://schemas.openxmlformats.org/spreadsheetml/2006/main" count="2709" uniqueCount="613">
  <si>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</si>
  <si>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</si>
  <si>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</si>
  <si>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</si>
  <si>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</si>
  <si>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</si>
  <si>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</si>
  <si>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</si>
  <si>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</si>
  <si>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</si>
  <si>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</si>
  <si>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</si>
  <si>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</si>
  <si>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</si>
  <si>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</si>
  <si>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</si>
  <si>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</si>
  <si>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</si>
  <si>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</si>
  <si>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</si>
  <si>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</si>
  <si>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</si>
  <si>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</si>
  <si>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</si>
  <si>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</si>
  <si>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</si>
  <si>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</si>
  <si>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</si>
  <si>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</si>
  <si>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</si>
  <si>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</si>
  <si>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</si>
  <si>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</si>
  <si>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</si>
  <si>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</si>
  <si>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</si>
  <si>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</si>
  <si>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</si>
  <si>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</si>
  <si>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</si>
  <si>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</si>
  <si>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</si>
  <si>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</si>
  <si>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</si>
  <si>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</si>
  <si>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</si>
  <si>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</si>
  <si>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</si>
  <si>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</si>
  <si>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</si>
  <si>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</si>
  <si>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</si>
  <si>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</si>
  <si>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</si>
  <si>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</si>
  <si>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</si>
  <si>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</si>
  <si>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</si>
  <si>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</si>
  <si>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</si>
  <si>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</si>
  <si>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</si>
  <si>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</si>
  <si>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</si>
  <si>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</si>
  <si>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</si>
  <si>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</si>
  <si>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</si>
  <si>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</si>
  <si>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</si>
  <si>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</si>
  <si>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</si>
  <si>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</si>
  <si>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</si>
  <si>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</si>
  <si>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</si>
  <si>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</si>
  <si>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</si>
  <si>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</si>
  <si>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</si>
  <si>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</si>
  <si>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</si>
  <si>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</si>
  <si>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</si>
  <si>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</si>
  <si>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</si>
  <si>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</si>
  <si>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</si>
  <si>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</si>
  <si>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</si>
  <si>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</si>
  <si>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</si>
  <si>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</si>
  <si>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</si>
  <si>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</si>
  <si>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</si>
  <si>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</si>
  <si>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</si>
  <si>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</si>
  <si>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</si>
  <si>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</si>
  <si>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</si>
  <si>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</si>
  <si>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</si>
  <si>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</si>
  <si>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</si>
  <si>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</si>
  <si>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</si>
  <si>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</si>
  <si>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</si>
  <si>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</si>
  <si>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</si>
  <si>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</si>
  <si>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</si>
  <si>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</si>
  <si>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</si>
  <si>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</si>
  <si>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</si>
  <si>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https://github.com/VBA-tools/VBA-JSON</t>
  </si>
  <si>
    <t>https://github.com/edugca/xlFOCUS</t>
  </si>
  <si>
    <t>* Most recent version should be found in the webpage below:</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</si>
  <si>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</si>
  <si>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</si>
  <si>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</si>
  <si>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</si>
  <si>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</si>
  <si>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</si>
  <si>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</si>
  <si>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</si>
  <si>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</si>
  <si>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</si>
  <si>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</si>
  <si>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</si>
  <si>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</si>
  <si>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</si>
  <si>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</si>
  <si>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</si>
  <si>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</si>
  <si>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</si>
  <si>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</si>
  <si>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</si>
  <si>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</si>
  <si>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</si>
  <si>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</si>
  <si>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</si>
  <si>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</si>
  <si>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</si>
  <si>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</si>
  <si>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</si>
  <si>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</si>
  <si>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</si>
  <si>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</si>
  <si>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</si>
  <si>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</si>
  <si>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</si>
  <si>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</si>
  <si>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</si>
  <si>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</si>
  <si>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</si>
  <si>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</si>
  <si>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</si>
  <si>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</si>
  <si>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</si>
  <si>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</si>
  <si>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</si>
  <si>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</si>
  <si>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</si>
  <si>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</si>
  <si>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</si>
  <si>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</si>
  <si>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</si>
  <si>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</si>
  <si>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</si>
  <si>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</si>
  <si>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</si>
  <si>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</si>
  <si>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</si>
  <si>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</si>
  <si>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</si>
  <si>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</si>
  <si>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</si>
  <si>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</si>
  <si>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</si>
  <si>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</si>
  <si>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</si>
  <si>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</si>
  <si>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</si>
  <si>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</si>
  <si>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</si>
  <si>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</si>
  <si>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</si>
  <si>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</si>
  <si>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</si>
  <si>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</si>
  <si>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</si>
  <si>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</si>
  <si>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</si>
  <si>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</si>
  <si>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</si>
  <si>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</si>
  <si>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</si>
  <si>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</si>
  <si>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</si>
  <si>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</si>
  <si>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</si>
  <si>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</si>
  <si>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</si>
  <si>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</si>
  <si>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</si>
  <si>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</si>
  <si>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</si>
  <si>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</si>
  <si>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</si>
  <si>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</si>
  <si>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</si>
  <si>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</si>
  <si>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</si>
  <si>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</si>
  <si>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</si>
  <si>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</si>
  <si>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</si>
  <si>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</si>
  <si>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</si>
  <si>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</si>
  <si>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</si>
  <si>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</si>
  <si>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</si>
  <si>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</si>
  <si>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</si>
  <si>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</si>
  <si>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</si>
  <si>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</si>
  <si>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</si>
  <si>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</si>
  <si>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</si>
  <si>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</si>
  <si>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</si>
  <si>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</si>
  <si>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</si>
  <si>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</si>
  <si>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</si>
  <si>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</si>
  <si>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</si>
  <si>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</si>
  <si>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</si>
  <si>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</si>
  <si>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</si>
  <si>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</si>
  <si>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</si>
  <si>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</si>
  <si>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</si>
  <si>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</si>
  <si>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</si>
  <si>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</si>
  <si>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</si>
  <si>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</si>
  <si>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</si>
  <si>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</si>
  <si>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</si>
  <si>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</si>
  <si>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</si>
  <si>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</si>
  <si>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</si>
  <si>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</si>
  <si>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</si>
  <si>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</si>
  <si>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</si>
  <si>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</si>
  <si>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</si>
  <si>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</si>
  <si>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</si>
  <si>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</si>
  <si>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</si>
  <si>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</si>
  <si>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</si>
  <si>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</si>
  <si>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</si>
  <si>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</si>
  <si>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</si>
  <si>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</si>
  <si>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</si>
  <si>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</si>
  <si>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</si>
  <si>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</si>
  <si>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</si>
  <si>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</si>
  <si>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</si>
  <si>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</si>
  <si>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</si>
  <si>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</si>
  <si>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</si>
  <si>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</si>
  <si>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</si>
  <si>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</si>
  <si>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</si>
  <si>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</si>
  <si>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</si>
  <si>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</si>
  <si>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</si>
  <si>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</si>
  <si>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</si>
  <si>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</si>
  <si>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</si>
  <si>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</si>
  <si>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</si>
  <si>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</si>
  <si>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</si>
  <si>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</si>
  <si>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</si>
  <si>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</si>
  <si>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</si>
  <si>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</si>
  <si>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</si>
  <si>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</si>
  <si>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</si>
  <si>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</si>
  <si>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</si>
  <si>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</si>
  <si>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</si>
  <si>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</si>
  <si>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</si>
  <si>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</si>
  <si>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</si>
  <si>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</si>
  <si>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</si>
  <si>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</si>
  <si>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</si>
  <si>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</si>
  <si>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</si>
  <si>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</si>
  <si>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</si>
  <si>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</si>
  <si>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</si>
  <si>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</si>
  <si>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</si>
  <si>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</si>
  <si>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</si>
  <si>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</si>
  <si>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</si>
  <si>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</si>
  <si>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</si>
  <si>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</si>
  <si>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</si>
  <si>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</si>
  <si>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</si>
  <si>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</si>
  <si>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</si>
  <si>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</si>
  <si>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</si>
  <si>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</si>
  <si>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</si>
  <si>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</si>
  <si>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</si>
  <si>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</si>
  <si>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</si>
  <si>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</si>
  <si>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</si>
  <si>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</si>
  <si>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</si>
  <si>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</si>
  <si>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</si>
  <si>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</si>
  <si>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</si>
  <si>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</si>
  <si>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</si>
  <si>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</si>
  <si>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</si>
  <si>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</si>
  <si>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</si>
  <si>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</si>
  <si>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</si>
  <si>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</si>
  <si>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</si>
  <si>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</si>
  <si>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</si>
  <si>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</si>
  <si>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</si>
  <si>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</si>
  <si>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</si>
  <si>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</si>
  <si>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</si>
  <si>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</si>
  <si>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</si>
  <si>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</si>
  <si>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</si>
  <si>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</si>
  <si>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</si>
  <si>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</si>
  <si>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</si>
  <si>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</si>
  <si>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</si>
  <si>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</si>
  <si>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</si>
  <si>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</si>
  <si>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</si>
  <si>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</si>
  <si>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</si>
  <si>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</si>
  <si>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</si>
  <si>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</si>
  <si>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</si>
  <si>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</si>
  <si>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</si>
  <si>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</si>
  <si>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</si>
  <si>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</si>
  <si>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</si>
  <si>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</si>
  <si>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</si>
  <si>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</si>
  <si>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</si>
  <si>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</si>
  <si>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</si>
  <si>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</si>
  <si>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</si>
  <si>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</si>
  <si>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</si>
  <si>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</si>
  <si>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</si>
  <si>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</si>
  <si>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</si>
  <si>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</si>
  <si>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</si>
  <si>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</si>
  <si>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</si>
  <si>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</si>
  <si>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</si>
  <si>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</si>
  <si>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</si>
  <si>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</si>
  <si>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</si>
  <si>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</si>
  <si>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</si>
  <si>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</si>
  <si>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</si>
  <si>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</si>
  <si>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</si>
  <si>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</si>
  <si>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</si>
  <si>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</si>
  <si>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</si>
  <si>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</si>
  <si>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</si>
  <si>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</si>
  <si>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</si>
  <si>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</si>
  <si>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</si>
  <si>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</si>
  <si>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</si>
  <si>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</si>
  <si>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</si>
  <si>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</si>
  <si>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</si>
  <si>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</si>
  <si>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</si>
  <si>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</si>
  <si>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</si>
  <si>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</si>
  <si>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</si>
  <si>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</si>
  <si>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</si>
  <si>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</si>
  <si>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</si>
  <si>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</si>
  <si>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</si>
  <si>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</si>
  <si>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</si>
  <si>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</si>
  <si>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</si>
  <si>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</si>
  <si>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</si>
  <si>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</si>
  <si>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</si>
  <si>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</si>
  <si>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</si>
  <si>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</si>
  <si>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</si>
  <si>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</si>
  <si>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</si>
  <si>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</si>
  <si>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</si>
  <si>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</si>
  <si>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</si>
  <si>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</si>
  <si>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</si>
  <si>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</si>
  <si>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</si>
  <si>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</si>
  <si>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</si>
  <si>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</si>
  <si>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</si>
  <si>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</si>
  <si>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</si>
  <si>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</si>
  <si>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</si>
  <si>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</si>
  <si>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</si>
  <si>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</si>
  <si>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</si>
  <si>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</si>
  <si>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</si>
  <si>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</si>
  <si>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</si>
  <si>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</si>
  <si>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</si>
  <si>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</si>
  <si>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</si>
  <si>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</si>
  <si>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</si>
  <si>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</si>
  <si>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</si>
  <si>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</si>
  <si>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</si>
  <si>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</si>
  <si>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</si>
  <si>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</si>
  <si>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</si>
  <si>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</si>
  <si>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</si>
  <si>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</si>
  <si>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</si>
  <si>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</si>
  <si>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</si>
  <si>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</si>
  <si>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</si>
  <si>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</si>
  <si>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</si>
  <si>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</si>
  <si>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</si>
  <si>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</si>
  <si>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</si>
  <si>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</si>
  <si>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</si>
  <si>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</si>
  <si>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</si>
  <si>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</si>
  <si>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</si>
  <si>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</si>
  <si>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</si>
  <si>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</si>
  <si>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</si>
  <si>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</si>
  <si>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</si>
  <si>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</si>
  <si>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</si>
  <si>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</si>
  <si>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</si>
  <si>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</si>
  <si>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</si>
  <si>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</si>
  <si>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</si>
  <si>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</si>
  <si>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</si>
  <si>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</si>
  <si>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</si>
  <si>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</si>
  <si>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</si>
  <si>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</si>
  <si>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</si>
  <si>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</si>
  <si>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</si>
  <si>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</si>
  <si>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v 0.3 (2021-12-26)</t>
  </si>
  <si>
    <t>https://olinda.bcb.gov.br/olinda/servico/taxaJuros/versao/v2/aplicacao#!/recursos</t>
  </si>
  <si>
    <t>* Beware that the BCB's  webservices are case sensitive, that is, "IPCA" works but "ipca" does not.</t>
  </si>
  <si>
    <t>FOCUS</t>
  </si>
  <si>
    <t>SCR</t>
  </si>
  <si>
    <t>SPI</t>
  </si>
  <si>
    <t>SGS</t>
  </si>
  <si>
    <t>https://olinda.bcb.gov.br/olinda/servico/SPI/versao/v1/aplicacao#!/recursos</t>
  </si>
  <si>
    <t>https://dadosabertos.bcb.gov.br/dataset/20542-saldo-da-carteira-de-credito-com-recursos-livres---total/resource/6e2b0c97-afab-4790-b8aa-b9542923cf88</t>
  </si>
  <si>
    <t>* There are some known limitations with functions that directly query the webservices. Basically, avoid returning much data in a single function call and avoid many function calls:</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</si>
  <si>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</si>
  <si>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</si>
  <si>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</si>
  <si>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</si>
  <si>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</si>
  <si>
    <t>v 0.1 (2021-12-16)</t>
  </si>
  <si>
    <t>Major change: instead of using Excel's WEBSERVICE function to fetch data, xlFOCUS now uses the object MSXML2.serverXMLHTTP, which allows for larger query results to be fetched!</t>
  </si>
  <si>
    <t>* To read large JSON files generated by the webservices (tested with FOCUS, SCR and SPI), one can download them to a folder and then read them with the function xlFOCUS_ReadJSONFile.</t>
  </si>
  <si>
    <t>* These functions rely on fetching data from online webservices, which can be unavailable at times. So, when designing your spreadsheet, consider copying function results and pasting them as values.</t>
  </si>
  <si>
    <t>xlFOCUS (v. 0.4)</t>
  </si>
  <si>
    <t>anoMes</t>
  </si>
  <si>
    <t>CAIXA ECONOMICA FEDERAL</t>
  </si>
  <si>
    <t>FINANCIAMENTO IMOBILIÁRIO COM TAXAS REGULADAS - PRÉ-FIXADO</t>
  </si>
  <si>
    <t>Real Estate Credit Interest Rates</t>
  </si>
  <si>
    <t>Real Estate Indicators</t>
  </si>
  <si>
    <t>imoveis_area_total_rj</t>
  </si>
  <si>
    <t>New function to get data from the SCR system: xlFOCUS_SCR_TaxasDeJurosMensal.</t>
  </si>
  <si>
    <t>New function to get JSON data from the MercadoImobiliario webservice of the BCB: xlFOCUS_MercadoImobiliario.</t>
  </si>
  <si>
    <t>Function xlFOCUS_SGS_ReadJSON now returns N/A for missing observations.</t>
  </si>
  <si>
    <t>New function to get time series data from the ipeadata webservice: xlFOCUS_ipeadata.</t>
  </si>
  <si>
    <t>New function to get JSON data from the ipeadata webservice: xlFOCUS_ipeadata_ReadJSON.</t>
  </si>
  <si>
    <t>All references to non-standard libraries in the VBA code are now late-binding, so there is no need to make reference to them in the user's spreadsheets.</t>
  </si>
  <si>
    <t>3) Drag the VBA modules "xlFOCUS" and "xlFOCUS_JsonConverter" from this spreadsheet to your spreadsheet. Now, close the VBA Editor. You're ready to use xlFOCUS!</t>
  </si>
  <si>
    <t>* 10,000 is the maximum number of observations returned by each function call to BCB's webservices</t>
  </si>
  <si>
    <t>* In general, the limitations of each webservice also apply to the queries demanded by this tool's functions. We recommend you to read their documentation.</t>
  </si>
  <si>
    <t>Alternatively, copy to your spreadsheet the VBA modules named xlFOCUS and xlFOCUS_JsonConverter, both embedded in this spreadsheet.</t>
  </si>
  <si>
    <t>The JsonConverter module is part of the "VBA-JSON" project developed by Tim Hall and available at the website below. The xlFOCUS_JsonConverter module is a slight modification of v2.3.1. so as to simplify its use in this tool.</t>
  </si>
  <si>
    <t>If you are updating from a version older than v. 0.4, you need to also replace the module "JsonConverter" by the current version of the module "xlFOCUS_JsonConverter" also embedded in this spreadsheet.</t>
  </si>
  <si>
    <t>If you are updating from a version as old as at least v. 0.4, you need to also replace the module "xlFOCUS_JsonConverter" by its current version also embedded in this spreadsheet.</t>
  </si>
  <si>
    <t>* There should be a function for each resource covered by this tool. One can find the metadata on their webpages:</t>
  </si>
  <si>
    <t>http://www.ipeadata.gov.br/api/</t>
  </si>
  <si>
    <t>ipeadata</t>
  </si>
  <si>
    <t>MercadoImobiliario</t>
  </si>
  <si>
    <t>https://dadosabertos.bcb.gov.br/dataset/informacoes-do-mercado-imobiliario</t>
  </si>
  <si>
    <t>New function to get the metadata from a time series from the ipeadata webservice: xlFOCUS_ipeadata_Metadados.</t>
  </si>
  <si>
    <t>* Below, one finds a quick summary of SOME of the functions and their available fields. NOT all fields are obligatory, i.e if DataFInal is left empty, query returns all available values up to the present date</t>
  </si>
  <si>
    <t>This spreadsheet exposes examples of how to fetch data from economic data webservices, including FOCUS (market expectations), SGS and ipeadata (economic indicators), SCR (credit data), SPI (payments system), and more.</t>
  </si>
  <si>
    <t>New function to read JSON files: xlFOCUS_ReadJSONFile.</t>
  </si>
  <si>
    <t>New function to fetch data from any webservice: xlFOCUS_WEBSERVICE. It does not suffer from the same data amount limitations imposed by Excel's function WEBSERVICE, but it is still limited by Excel's maximum string size.</t>
  </si>
  <si>
    <t>New function to read a JSON script from BCB's webservice: xlFOCUS_ReadJSONFromWEBSERVICE. It does not suffer from neither the same data amount limitations imposed by Excel's function WEBSERVICE nor from Excel's maximum string size.</t>
  </si>
  <si>
    <t>v 0.4 (2022-01-01)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</si>
</sst>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16]mmm\-yy;@"/>
    <numFmt numFmtId="165" formatCode="yyyy"/>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0">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87">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2" fillId="0" borderId="0" xfId="2"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1" xfId="4" applyAlignment="1">
      <alignment wrapText="1"/>
    </xf>
    <xf numFmtId="0" fontId="4" fillId="0" borderId="0" xfId="2" applyFont="1" applyFill="1"/>
    <xf numFmtId="0" fontId="2" fillId="0" borderId="0" xfId="2" applyFill="1"/>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strRef>
              <c:f>'Exp Monthly'!$D$4:$D$239</c:f>
              <c:strCache>
                <c:ptCount val="1"/>
                <c:pt idx="0">
                  <c:v># Barra de fórmulas aberta</c:v>
                </c:pt>
              </c:strCache>
            </c:strRef>
          </c:cat>
          <c:val>
            <c:numRef>
              <c:f>'Exp Monthly'!$E$4:$E$239</c:f>
              <c:numCache>
                <c:formatCode>General</c:formatCode>
                <c:ptCount val="236"/>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strRef>
              <c:f>'Exp Monthly'!$D$4:$D$239</c:f>
              <c:strCache>
                <c:ptCount val="1"/>
                <c:pt idx="0">
                  <c:v># Barra de fórmulas aberta</c:v>
                </c:pt>
              </c:strCache>
            </c:strRef>
          </c:cat>
          <c:val>
            <c:numRef>
              <c:f>'Exp Monthly'!$F$4:$F$239</c:f>
              <c:numCache>
                <c:formatCode>General</c:formatCode>
                <c:ptCount val="236"/>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strRef>
              <c:f>'Exp Monthly'!$D$4:$D$239</c:f>
              <c:strCache>
                <c:ptCount val="1"/>
                <c:pt idx="0">
                  <c:v># Barra de fórmulas aberta</c:v>
                </c:pt>
              </c:strCache>
            </c:strRef>
          </c:cat>
          <c:val>
            <c:numRef>
              <c:f>'Exp Monthly'!$G$4:$G$239</c:f>
              <c:numCache>
                <c:formatCode>General</c:formatCode>
                <c:ptCount val="236"/>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strRef>
              <c:f>'Exp Quarterly'!$D$4:$D$189</c:f>
              <c:strCache>
                <c:ptCount val="1"/>
                <c:pt idx="0">
                  <c:v># Barra de fórmulas aberta</c:v>
                </c:pt>
              </c:strCache>
            </c:strRef>
          </c:cat>
          <c:val>
            <c:numRef>
              <c:f>'Exp Quarterly'!$E$4:$E$189</c:f>
              <c:numCache>
                <c:formatCode>General</c:formatCode>
                <c:ptCount val="186"/>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strRef>
              <c:f>'Exp Quarterly'!$D$4:$D$189</c:f>
              <c:strCache>
                <c:ptCount val="1"/>
                <c:pt idx="0">
                  <c:v># Barra de fórmulas aberta</c:v>
                </c:pt>
              </c:strCache>
            </c:strRef>
          </c:cat>
          <c:val>
            <c:numRef>
              <c:f>'Exp Quarterly'!$F$4:$F$189</c:f>
              <c:numCache>
                <c:formatCode>General</c:formatCode>
                <c:ptCount val="186"/>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strRef>
              <c:f>'Exp Quarterly'!$D$4:$D$189</c:f>
              <c:strCache>
                <c:ptCount val="1"/>
                <c:pt idx="0">
                  <c:v># Barra de fórmulas aberta</c:v>
                </c:pt>
              </c:strCache>
            </c:strRef>
          </c:cat>
          <c:val>
            <c:numRef>
              <c:f>'Exp Quarterly'!$G$4:$G$189</c:f>
              <c:numCache>
                <c:formatCode>General</c:formatCode>
                <c:ptCount val="186"/>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strRef>
              <c:f>'Exp Annual'!$D$4:$D$461</c:f>
              <c:strCache>
                <c:ptCount val="1"/>
                <c:pt idx="0">
                  <c:v># Barra de fórmulas aberta</c:v>
                </c:pt>
              </c:strCache>
            </c:strRef>
          </c:cat>
          <c:val>
            <c:numRef>
              <c:f>'Exp Annual'!$E$4:$E$461</c:f>
              <c:numCache>
                <c:formatCode>General</c:formatCode>
                <c:ptCount val="458"/>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strRef>
              <c:f>'Exp Annual'!$D$4:$D$461</c:f>
              <c:strCache>
                <c:ptCount val="1"/>
                <c:pt idx="0">
                  <c:v># Barra de fórmulas aberta</c:v>
                </c:pt>
              </c:strCache>
            </c:strRef>
          </c:cat>
          <c:val>
            <c:numRef>
              <c:f>'Exp Annual'!$F$4:$F$461</c:f>
              <c:numCache>
                <c:formatCode>General</c:formatCode>
                <c:ptCount val="458"/>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strRef>
              <c:f>'Exp Annual'!$D$4:$D$461</c:f>
              <c:strCache>
                <c:ptCount val="1"/>
                <c:pt idx="0">
                  <c:v># Barra de fórmulas aberta</c:v>
                </c:pt>
              </c:strCache>
            </c:strRef>
          </c:cat>
          <c:val>
            <c:numRef>
              <c:f>'Exp Annual'!$G$4:$G$461</c:f>
              <c:numCache>
                <c:formatCode>General</c:formatCode>
                <c:ptCount val="458"/>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strRef>
              <c:f>'Exp 12 Months'!$D$4:$D$189</c:f>
              <c:strCache>
                <c:ptCount val="1"/>
                <c:pt idx="0">
                  <c:v># Barra de fórmulas aberta</c:v>
                </c:pt>
              </c:strCache>
            </c:strRef>
          </c:cat>
          <c:val>
            <c:numRef>
              <c:f>'Exp 12 Months'!$E$4:$E$189</c:f>
              <c:numCache>
                <c:formatCode>General</c:formatCode>
                <c:ptCount val="186"/>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strRef>
              <c:f>'Exp 12 Months'!$D$4:$D$189</c:f>
              <c:strCache>
                <c:ptCount val="1"/>
                <c:pt idx="0">
                  <c:v># Barra de fórmulas aberta</c:v>
                </c:pt>
              </c:strCache>
            </c:strRef>
          </c:cat>
          <c:val>
            <c:numRef>
              <c:f>'Exp 12 Months'!$F$4:$F$189</c:f>
              <c:numCache>
                <c:formatCode>General</c:formatCode>
                <c:ptCount val="186"/>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strRef>
              <c:f>'Exp 12 Months'!$D$4:$D$189</c:f>
              <c:strCache>
                <c:ptCount val="1"/>
                <c:pt idx="0">
                  <c:v># Barra de fórmulas aberta</c:v>
                </c:pt>
              </c:strCache>
            </c:strRef>
          </c:cat>
          <c:val>
            <c:numRef>
              <c:f>'Exp 12 Months'!$G$4:$G$189</c:f>
              <c:numCache>
                <c:formatCode>General</c:formatCode>
                <c:ptCount val="186"/>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strRef>
              <c:f>'Top5 Monthly'!$D$4:$D$189</c:f>
              <c:strCache>
                <c:ptCount val="1"/>
                <c:pt idx="0">
                  <c:v># Barra de fórmulas aberta</c:v>
                </c:pt>
              </c:strCache>
            </c:strRef>
          </c:cat>
          <c:val>
            <c:numRef>
              <c:f>'Top5 Monthly'!$E$4:$E$189</c:f>
              <c:numCache>
                <c:formatCode>General</c:formatCode>
                <c:ptCount val="186"/>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strRef>
              <c:f>'Top5 Monthly'!$D$4:$D$189</c:f>
              <c:strCache>
                <c:ptCount val="1"/>
                <c:pt idx="0">
                  <c:v># Barra de fórmulas aberta</c:v>
                </c:pt>
              </c:strCache>
            </c:strRef>
          </c:cat>
          <c:val>
            <c:numRef>
              <c:f>'Top5 Monthly'!$F$4:$F$189</c:f>
              <c:numCache>
                <c:formatCode>General</c:formatCode>
                <c:ptCount val="186"/>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strRef>
              <c:f>'Top5 Monthly'!$D$4:$D$189</c:f>
              <c:strCache>
                <c:ptCount val="1"/>
                <c:pt idx="0">
                  <c:v># Barra de fórmulas aberta</c:v>
                </c:pt>
              </c:strCache>
            </c:strRef>
          </c:cat>
          <c:val>
            <c:numRef>
              <c:f>'Top5 Monthly'!$G$4:$G$189</c:f>
              <c:numCache>
                <c:formatCode>General</c:formatCode>
                <c:ptCount val="186"/>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strRef>
              <c:f>'Top5 Annual'!$D$4:$D$461</c:f>
              <c:strCache>
                <c:ptCount val="1"/>
                <c:pt idx="0">
                  <c:v># Barra de fórmulas aberta</c:v>
                </c:pt>
              </c:strCache>
            </c:strRef>
          </c:cat>
          <c:val>
            <c:numRef>
              <c:f>'Top5 Annual'!$E$4:$E$461</c:f>
              <c:numCache>
                <c:formatCode>General</c:formatCode>
                <c:ptCount val="458"/>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strRef>
              <c:f>'Top5 Annual'!$D$4:$D$461</c:f>
              <c:strCache>
                <c:ptCount val="1"/>
                <c:pt idx="0">
                  <c:v># Barra de fórmulas aberta</c:v>
                </c:pt>
              </c:strCache>
            </c:strRef>
          </c:cat>
          <c:val>
            <c:numRef>
              <c:f>'Top5 Annual'!$F$4:$F$461</c:f>
              <c:numCache>
                <c:formatCode>General</c:formatCode>
                <c:ptCount val="458"/>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strRef>
              <c:f>'Top5 Annual'!$D$4:$D$461</c:f>
              <c:strCache>
                <c:ptCount val="1"/>
                <c:pt idx="0">
                  <c:v># Barra de fórmulas aberta</c:v>
                </c:pt>
              </c:strCache>
            </c:strRef>
          </c:cat>
          <c:val>
            <c:numRef>
              <c:f>'Top5 Annual'!$G$4:$G$461</c:f>
              <c:numCache>
                <c:formatCode>General</c:formatCode>
                <c:ptCount val="458"/>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strRef>
              <c:f>'Exp Institutions'!$D$4:$D$461</c:f>
              <c:strCache>
                <c:ptCount val="1"/>
                <c:pt idx="0">
                  <c:v># Barra de fórmulas aberta</c:v>
                </c:pt>
              </c:strCache>
            </c:strRef>
          </c:cat>
          <c:val>
            <c:numRef>
              <c:f>'Exp Institutions'!$F$4:$F$461</c:f>
              <c:numCache>
                <c:formatCode>General</c:formatCode>
                <c:ptCount val="458"/>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strRef>
              <c:f>SGS!$D$5:$D$240</c:f>
              <c:strCache>
                <c:ptCount val="1"/>
                <c:pt idx="0">
                  <c:v># Barra de fórmulas aberta</c:v>
                </c:pt>
              </c:strCache>
            </c:strRef>
          </c:cat>
          <c:val>
            <c:numRef>
              <c:f>SGS!$E$5:$E$240</c:f>
              <c:numCache>
                <c:formatCode>0.00</c:formatCode>
                <c:ptCount val="236"/>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Daily'!$H$1:$N$1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Daily'!$E$3</c:f>
              <c:strCache>
                <c:ptCount val="1"/>
                <c:pt idx="0">
                  <c:v>TaxaJurosAoAno</c:v>
                </c:pt>
              </c:strCache>
            </c:strRef>
          </c:tx>
          <c:spPr>
            <a:ln w="28575" cap="rnd">
              <a:solidFill>
                <a:schemeClr val="accent3"/>
              </a:solidFill>
              <a:round/>
            </a:ln>
            <a:effectLst/>
          </c:spPr>
          <c:marker>
            <c:symbol val="none"/>
          </c:marker>
          <c:cat>
            <c:strRef>
              <c:f>'SCR Daily'!$D$4:$D$239</c:f>
              <c:strCache>
                <c:ptCount val="1"/>
                <c:pt idx="0">
                  <c:v># Barra de fórmulas aberta</c:v>
                </c:pt>
              </c:strCache>
            </c:strRef>
          </c:cat>
          <c:val>
            <c:numRef>
              <c:f>'SCR Daily'!$E$4:$E$235</c:f>
              <c:numCache>
                <c:formatCode>General</c:formatCode>
                <c:ptCount val="232"/>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in val="2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Monthly'!$H$1:$N$1</c:f>
          <c:strCache>
            <c:ptCount val="7"/>
            <c:pt idx="0">
              <c:v>Interest rate for FINANCIAMENTO IMOBILIÁRIO COM TAXAS REGULADAS - PRÉ-FIXADO of CAIXA ECONOMICA FEDERAL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Monthly'!$E$3</c:f>
              <c:strCache>
                <c:ptCount val="1"/>
                <c:pt idx="0">
                  <c:v>TaxaJurosAoAno</c:v>
                </c:pt>
              </c:strCache>
            </c:strRef>
          </c:tx>
          <c:spPr>
            <a:ln w="28575" cap="rnd">
              <a:solidFill>
                <a:schemeClr val="accent3"/>
              </a:solidFill>
              <a:round/>
            </a:ln>
            <a:effectLst/>
          </c:spPr>
          <c:marker>
            <c:symbol val="none"/>
          </c:marker>
          <c:cat>
            <c:strRef>
              <c:f>'SCR Monthly'!$D$4:$D$53</c:f>
              <c:strCache>
                <c:ptCount val="1"/>
                <c:pt idx="0">
                  <c:v># Barra de fórmulas aberta</c:v>
                </c:pt>
              </c:strCache>
            </c:strRef>
          </c:cat>
          <c:val>
            <c:numRef>
              <c:f>'SCR Monthly'!$E$4:$E$53</c:f>
              <c:numCache>
                <c:formatCode>General</c:formatCode>
                <c:ptCount val="50"/>
              </c:numCache>
            </c:numRef>
          </c:val>
          <c:smooth val="0"/>
          <c:extLst>
            <c:ext xmlns:c16="http://schemas.microsoft.com/office/drawing/2014/chart" uri="{C3380CC4-5D6E-409C-BE32-E72D297353CC}">
              <c16:uniqueId val="{00000000-13C2-4225-8951-B3A2022D1E77}"/>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'Real Estate'!$J$1:$P$1</c:f>
          <c:strCache>
            <c:ptCount val="7"/>
            <c:pt idx="0">
              <c:v>Indicator values for Real Estate series imoveis_area_total_rj</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'Real Estate'!$E$4</c:f>
              <c:strCache>
                <c:ptCount val="1"/>
                <c:pt idx="0">
                  <c:v>Value</c:v>
                </c:pt>
              </c:strCache>
            </c:strRef>
          </c:tx>
          <c:spPr>
            <a:ln w="28575" cap="rnd">
              <a:solidFill>
                <a:schemeClr val="accent2"/>
              </a:solidFill>
              <a:round/>
            </a:ln>
            <a:effectLst/>
          </c:spPr>
          <c:marker>
            <c:symbol val="none"/>
          </c:marker>
          <c:cat>
            <c:strRef>
              <c:f>'Real Estate'!$D$5:$D$240</c:f>
              <c:strCache>
                <c:ptCount val="1"/>
                <c:pt idx="0">
                  <c:v># Barra de fórmulas aberta</c:v>
                </c:pt>
              </c:strCache>
            </c:strRef>
          </c:cat>
          <c:val>
            <c:numRef>
              <c:f>'Real Estate'!$E$5:$E$240</c:f>
              <c:numCache>
                <c:formatCode>0.00</c:formatCode>
                <c:ptCount val="236"/>
              </c:numCache>
            </c:numRef>
          </c:val>
          <c:smooth val="0"/>
          <c:extLst>
            <c:ext xmlns:c16="http://schemas.microsoft.com/office/drawing/2014/chart" uri="{C3380CC4-5D6E-409C-BE32-E72D297353CC}">
              <c16:uniqueId val="{00000000-EF60-494D-960D-3C1FBF7B0EE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strRef>
              <c:f>'SGS vs FOCUS'!$F$5:$F$240</c:f>
              <c:strCache>
                <c:ptCount val="1"/>
                <c:pt idx="0">
                  <c:v># Barra de fórmulas aberta</c:v>
                </c:pt>
              </c:strCache>
            </c:strRef>
          </c:cat>
          <c:val>
            <c:numRef>
              <c:f>'SGS vs FOCUS'!$N$5:$N$51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strRef>
              <c:f>'SGS vs FOCUS'!$F$5:$F$240</c:f>
              <c:strCache>
                <c:ptCount val="1"/>
                <c:pt idx="0">
                  <c:v># Barra de fórmulas aberta</c:v>
                </c:pt>
              </c:strCache>
            </c:strRef>
          </c:cat>
          <c:val>
            <c:numRef>
              <c:f>'SGS vs FOCUS'!$O$5:$O$51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FOCUS'!$G$5:$G$240</c:f>
              <c:numCache>
                <c:formatCode>0.00</c:formatCode>
                <c:ptCount val="236"/>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strRef>
              <c:f>'SGS vs FOCUS'!$F$5:$F$240</c:f>
              <c:strCache>
                <c:ptCount val="1"/>
                <c:pt idx="0">
                  <c:v># Barra de fórmulas aberta</c:v>
                </c:pt>
              </c:strCache>
            </c:strRef>
          </c:cat>
          <c: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FOCUS'!$R$5:$R$240</c:f>
              <c:numCache>
                <c:formatCode>0.00</c:formatCode>
                <c:ptCount val="236"/>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15679968"/>
        <c:crosses val="max"/>
        <c:crossBetween val="between"/>
        <c:majorUnit val="5"/>
      </c:valAx>
      <c:catAx>
        <c:axId val="215679968"/>
        <c:scaling>
          <c:orientation val="minMax"/>
        </c:scaling>
        <c:delete val="1"/>
        <c:axPos val="b"/>
        <c:numFmt formatCode="General" sourceLinked="1"/>
        <c:majorTickMark val="out"/>
        <c:minorTickMark val="none"/>
        <c:tickLblPos val="nextTo"/>
        <c:crossAx val="215677056"/>
        <c:crosses val="autoZero"/>
        <c:auto val="1"/>
        <c:lblAlgn val="ctr"/>
        <c:lblOffset val="100"/>
        <c:noMultiLvlLbl val="1"/>
      </c:cat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FOCUS'!$AD$5:$AD$51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strRef>
              <c:f>'SGS vs FOCUS'!$F$5:$F$240</c:f>
              <c:strCache>
                <c:ptCount val="1"/>
                <c:pt idx="0">
                  <c:v># Barra de fórmulas aberta</c:v>
                </c:pt>
              </c:strCache>
            </c:strRef>
          </c:cat>
          <c:val>
            <c:numRef>
              <c:f>'SGS vs FOCUS'!$AF$5:$AF$51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FOCUS'!$Z$5:$Z$51</c:f>
              <c:numCache>
                <c:formatCode>0.00</c:formatCode>
                <c:ptCount val="47"/>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FOCUS'!$AD$5:$AD$51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 Id="rId9"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2</xdr:col>
      <xdr:colOff>161925</xdr:colOff>
      <xdr:row>28</xdr:row>
      <xdr:rowOff>95249</xdr:rowOff>
    </xdr:from>
    <xdr:to>
      <xdr:col>10</xdr:col>
      <xdr:colOff>595916</xdr:colOff>
      <xdr:row>28</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5172074"/>
          <a:ext cx="5987066"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6972300"/>
          <a:ext cx="2342656"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2"/>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5DC44D76-7725-43F7-BBFF-0BC9FFB90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73885D14-1D4B-4973-855D-01C52FB54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1"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0"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12" Type="http://schemas.openxmlformats.org/officeDocument/2006/relationships/drawing" Target="../drawings/drawing1.xm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11" Type="http://schemas.openxmlformats.org/officeDocument/2006/relationships/printerSettings" Target="../printerSettings/printerSettings1.bin"/><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hyperlink" Target="https://dadosabertos.bcb.gov.br/dataset/informacoes-do-mercado-imobiliario" TargetMode="Externa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hyperlink" Target="http://www.ipeadata.gov.br/ap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112"/>
  <sheetViews>
    <sheetView showGridLines="0" tabSelected="1" workbookViewId="0">
      <selection activeCell="B2" sqref="B2"/>
    </sheetView>
  </sheetViews>
  <sheetFormatPr defaultRowHeight="12.75" x14ac:dyDescent="0.2"/>
  <cols>
    <col min="1" max="1" width="2.7109375" style="1" customWidth="1"/>
    <col min="2" max="2" width="9.140625" style="1" customWidth="1"/>
    <col min="3" max="3" width="19.28515625" style="1" customWidth="1"/>
    <col min="4" max="10" width="9.140625" style="1"/>
    <col min="11" max="17" width="13.7109375" style="1" customWidth="1"/>
    <col min="18" max="16384" width="9.140625" style="1"/>
  </cols>
  <sheetData>
    <row r="2" spans="2:20" ht="18" x14ac:dyDescent="0.25">
      <c r="B2" s="56" t="s">
        <v>581</v>
      </c>
      <c r="C2" s="57"/>
      <c r="D2" s="57"/>
      <c r="E2" s="57"/>
      <c r="F2" s="57"/>
      <c r="G2" s="57"/>
      <c r="H2" s="57"/>
      <c r="I2" s="57"/>
      <c r="J2" s="57"/>
      <c r="K2" s="57"/>
      <c r="L2" s="57"/>
      <c r="M2" s="57"/>
      <c r="N2" s="57"/>
      <c r="O2" s="57"/>
      <c r="P2" s="57"/>
      <c r="Q2" s="57"/>
      <c r="R2" s="57"/>
      <c r="S2" s="57"/>
      <c r="T2" s="57"/>
    </row>
    <row r="4" spans="2:20" ht="14.25" x14ac:dyDescent="0.2">
      <c r="B4" s="2" t="s">
        <v>608</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2" t="s">
        <v>120</v>
      </c>
    </row>
    <row r="11" spans="2:20" ht="15" x14ac:dyDescent="0.25">
      <c r="B11" s="20" t="s">
        <v>119</v>
      </c>
    </row>
    <row r="12" spans="2:20" x14ac:dyDescent="0.2">
      <c r="B12" s="3"/>
    </row>
    <row r="13" spans="2:20" ht="15" x14ac:dyDescent="0.25">
      <c r="B13" s="52" t="s">
        <v>143</v>
      </c>
    </row>
    <row r="14" spans="2:20" ht="15" x14ac:dyDescent="0.25">
      <c r="B14" s="52" t="s">
        <v>144</v>
      </c>
    </row>
    <row r="15" spans="2:20" ht="15" x14ac:dyDescent="0.25">
      <c r="B15" s="52" t="s">
        <v>599</v>
      </c>
    </row>
    <row r="16" spans="2:20" ht="15" x14ac:dyDescent="0.25">
      <c r="B16" s="52" t="s">
        <v>600</v>
      </c>
    </row>
    <row r="17" spans="2:4" x14ac:dyDescent="0.2">
      <c r="B17" s="3"/>
    </row>
    <row r="18" spans="2:4" ht="15" x14ac:dyDescent="0.25">
      <c r="B18" s="52" t="s">
        <v>145</v>
      </c>
    </row>
    <row r="19" spans="2:4" ht="15" x14ac:dyDescent="0.25">
      <c r="B19" s="52" t="s">
        <v>597</v>
      </c>
    </row>
    <row r="20" spans="2:4" ht="15" x14ac:dyDescent="0.25">
      <c r="B20" s="52" t="s">
        <v>598</v>
      </c>
    </row>
    <row r="21" spans="2:4" ht="15" x14ac:dyDescent="0.25">
      <c r="B21" s="20" t="s">
        <v>118</v>
      </c>
    </row>
    <row r="22" spans="2:4" ht="15" x14ac:dyDescent="0.25">
      <c r="B22" s="20"/>
    </row>
    <row r="23" spans="2:4" ht="14.25" x14ac:dyDescent="0.2">
      <c r="C23" s="2" t="s">
        <v>136</v>
      </c>
    </row>
    <row r="24" spans="2:4" ht="10.5" customHeight="1" x14ac:dyDescent="0.2">
      <c r="C24" s="2"/>
    </row>
    <row r="25" spans="2:4" ht="15" customHeight="1" x14ac:dyDescent="0.25">
      <c r="C25" s="20" t="s">
        <v>135</v>
      </c>
    </row>
    <row r="26" spans="2:4" ht="15" customHeight="1" x14ac:dyDescent="0.25">
      <c r="C26" s="20" t="s">
        <v>134</v>
      </c>
    </row>
    <row r="27" spans="2:4" ht="15" x14ac:dyDescent="0.25">
      <c r="C27" s="2"/>
      <c r="D27" s="20"/>
    </row>
    <row r="28" spans="2:4" ht="14.25" x14ac:dyDescent="0.2">
      <c r="C28" s="2" t="s">
        <v>138</v>
      </c>
    </row>
    <row r="29" spans="2:4" ht="112.5" customHeight="1" x14ac:dyDescent="0.25">
      <c r="C29" s="20"/>
    </row>
    <row r="30" spans="2:4" ht="15" x14ac:dyDescent="0.25">
      <c r="B30" s="20"/>
    </row>
    <row r="31" spans="2:4" ht="14.25" x14ac:dyDescent="0.2">
      <c r="C31" s="2" t="s">
        <v>594</v>
      </c>
    </row>
    <row r="32" spans="2:4" ht="235.5" customHeight="1" x14ac:dyDescent="0.25">
      <c r="C32" s="20"/>
    </row>
    <row r="33" spans="2:4" ht="15" x14ac:dyDescent="0.25">
      <c r="B33" s="20"/>
    </row>
    <row r="34" spans="2:4" ht="15" x14ac:dyDescent="0.25">
      <c r="B34" s="52" t="s">
        <v>580</v>
      </c>
    </row>
    <row r="35" spans="2:4" ht="15" x14ac:dyDescent="0.25">
      <c r="B35" s="52"/>
      <c r="C35" s="58" t="s">
        <v>117</v>
      </c>
    </row>
    <row r="36" spans="2:4" ht="15" x14ac:dyDescent="0.25">
      <c r="B36" s="52" t="s">
        <v>601</v>
      </c>
    </row>
    <row r="37" spans="2:4" ht="15" x14ac:dyDescent="0.25">
      <c r="C37" s="3" t="s">
        <v>565</v>
      </c>
      <c r="D37" s="20" t="s">
        <v>0</v>
      </c>
    </row>
    <row r="38" spans="2:4" ht="15" x14ac:dyDescent="0.25">
      <c r="C38" s="3" t="s">
        <v>566</v>
      </c>
      <c r="D38" s="20" t="s">
        <v>563</v>
      </c>
    </row>
    <row r="39" spans="2:4" ht="15" x14ac:dyDescent="0.25">
      <c r="C39" s="3" t="s">
        <v>568</v>
      </c>
      <c r="D39" s="20" t="s">
        <v>570</v>
      </c>
    </row>
    <row r="40" spans="2:4" ht="15" x14ac:dyDescent="0.25">
      <c r="C40" s="3" t="s">
        <v>567</v>
      </c>
      <c r="D40" s="20" t="s">
        <v>569</v>
      </c>
    </row>
    <row r="41" spans="2:4" ht="15" x14ac:dyDescent="0.25">
      <c r="C41" s="3" t="s">
        <v>604</v>
      </c>
      <c r="D41" s="20" t="s">
        <v>605</v>
      </c>
    </row>
    <row r="42" spans="2:4" ht="15" x14ac:dyDescent="0.25">
      <c r="C42" s="3" t="s">
        <v>603</v>
      </c>
      <c r="D42" s="20" t="s">
        <v>602</v>
      </c>
    </row>
    <row r="44" spans="2:4" ht="15" x14ac:dyDescent="0.25">
      <c r="B44" s="52" t="s">
        <v>131</v>
      </c>
    </row>
    <row r="46" spans="2:4" ht="15" x14ac:dyDescent="0.25">
      <c r="B46" s="52" t="s">
        <v>564</v>
      </c>
    </row>
    <row r="48" spans="2:4" ht="15" x14ac:dyDescent="0.25">
      <c r="B48" s="52" t="s">
        <v>579</v>
      </c>
    </row>
    <row r="50" spans="2:13" ht="15" x14ac:dyDescent="0.25">
      <c r="B50" s="52" t="s">
        <v>571</v>
      </c>
    </row>
    <row r="51" spans="2:13" ht="14.25" x14ac:dyDescent="0.2">
      <c r="C51" s="83" t="s">
        <v>595</v>
      </c>
      <c r="D51" s="84"/>
      <c r="E51" s="84"/>
      <c r="F51" s="84"/>
      <c r="G51" s="84"/>
      <c r="H51" s="84"/>
      <c r="I51" s="84"/>
      <c r="J51" s="84"/>
      <c r="K51" s="84"/>
      <c r="L51" s="84"/>
    </row>
    <row r="52" spans="2:13" ht="14.25" x14ac:dyDescent="0.2">
      <c r="C52" s="83" t="s">
        <v>596</v>
      </c>
      <c r="D52" s="84"/>
      <c r="E52" s="84"/>
      <c r="F52" s="84"/>
      <c r="G52" s="84"/>
      <c r="H52" s="84"/>
      <c r="I52" s="84"/>
      <c r="J52" s="84"/>
      <c r="K52" s="84"/>
      <c r="L52" s="84"/>
    </row>
    <row r="54" spans="2:13" ht="15" x14ac:dyDescent="0.25">
      <c r="B54" s="52" t="s">
        <v>607</v>
      </c>
    </row>
    <row r="56" spans="2:13" x14ac:dyDescent="0.2">
      <c r="C56" s="3" t="s">
        <v>1</v>
      </c>
      <c r="D56" s="3"/>
      <c r="E56" s="3"/>
      <c r="F56" s="3"/>
      <c r="G56" s="24" t="s">
        <v>2</v>
      </c>
      <c r="H56" s="24"/>
      <c r="I56" s="15"/>
      <c r="J56" s="15"/>
      <c r="K56" s="15"/>
      <c r="L56" s="15"/>
      <c r="M56" s="15"/>
    </row>
    <row r="57" spans="2:13" x14ac:dyDescent="0.2">
      <c r="B57" s="3">
        <v>1</v>
      </c>
      <c r="C57" s="4" t="s">
        <v>121</v>
      </c>
      <c r="D57" s="5"/>
      <c r="E57" s="5"/>
      <c r="F57" s="5"/>
      <c r="G57" s="23" t="s">
        <v>141</v>
      </c>
      <c r="H57" s="23"/>
    </row>
    <row r="58" spans="2:13" x14ac:dyDescent="0.2">
      <c r="B58" s="3">
        <v>2</v>
      </c>
      <c r="C58" s="6" t="s">
        <v>140</v>
      </c>
      <c r="D58" s="23"/>
      <c r="E58" s="23"/>
      <c r="F58" s="23"/>
      <c r="G58" s="23" t="s">
        <v>142</v>
      </c>
      <c r="H58" s="23"/>
    </row>
    <row r="59" spans="2:13" x14ac:dyDescent="0.2">
      <c r="B59" s="3">
        <v>3</v>
      </c>
      <c r="C59" s="6" t="s">
        <v>129</v>
      </c>
      <c r="D59" s="23"/>
      <c r="E59" s="23"/>
      <c r="F59" s="23"/>
      <c r="G59" s="23" t="s">
        <v>130</v>
      </c>
      <c r="H59" s="23"/>
    </row>
    <row r="60" spans="2:13" x14ac:dyDescent="0.2">
      <c r="B60" s="3">
        <v>4</v>
      </c>
      <c r="C60" s="6" t="s">
        <v>122</v>
      </c>
      <c r="D60" s="23"/>
      <c r="E60" s="23"/>
      <c r="F60" s="23"/>
      <c r="G60" s="23" t="s">
        <v>3</v>
      </c>
      <c r="H60" s="23"/>
    </row>
    <row r="61" spans="2:13" x14ac:dyDescent="0.2">
      <c r="B61" s="3">
        <v>5</v>
      </c>
      <c r="C61" s="6" t="s">
        <v>123</v>
      </c>
      <c r="G61" s="1" t="s">
        <v>4</v>
      </c>
    </row>
    <row r="62" spans="2:13" x14ac:dyDescent="0.2">
      <c r="B62" s="3">
        <v>6</v>
      </c>
      <c r="C62" s="6" t="s">
        <v>124</v>
      </c>
      <c r="G62" s="1" t="s">
        <v>5</v>
      </c>
    </row>
    <row r="63" spans="2:13" x14ac:dyDescent="0.2">
      <c r="B63" s="3">
        <v>7</v>
      </c>
      <c r="C63" s="6" t="s">
        <v>125</v>
      </c>
      <c r="G63" s="1" t="s">
        <v>6</v>
      </c>
    </row>
    <row r="64" spans="2:13" x14ac:dyDescent="0.2">
      <c r="B64" s="3">
        <v>8</v>
      </c>
      <c r="C64" s="6" t="s">
        <v>126</v>
      </c>
      <c r="G64" s="1" t="s">
        <v>7</v>
      </c>
    </row>
    <row r="65" spans="2:17" x14ac:dyDescent="0.2">
      <c r="B65" s="3">
        <v>9</v>
      </c>
      <c r="C65" s="6" t="s">
        <v>127</v>
      </c>
      <c r="G65" s="1" t="s">
        <v>8</v>
      </c>
    </row>
    <row r="66" spans="2:17" x14ac:dyDescent="0.2">
      <c r="B66" s="3">
        <v>10</v>
      </c>
      <c r="C66" s="51" t="s">
        <v>128</v>
      </c>
      <c r="D66" s="15"/>
      <c r="E66" s="15"/>
      <c r="F66" s="15"/>
      <c r="G66" s="15" t="s">
        <v>9</v>
      </c>
      <c r="H66" s="15"/>
      <c r="I66" s="15"/>
      <c r="J66" s="15"/>
      <c r="K66" s="15"/>
      <c r="L66" s="15"/>
      <c r="M66" s="15"/>
    </row>
    <row r="68" spans="2:17" x14ac:dyDescent="0.2">
      <c r="C68" s="3" t="s">
        <v>82</v>
      </c>
      <c r="D68" s="3"/>
      <c r="E68" s="3"/>
      <c r="F68" s="3"/>
      <c r="G68" s="24" t="s">
        <v>2</v>
      </c>
      <c r="H68" s="24"/>
      <c r="I68" s="15"/>
      <c r="J68" s="15"/>
      <c r="K68" s="49" t="s">
        <v>97</v>
      </c>
      <c r="L68" s="49" t="s">
        <v>99</v>
      </c>
      <c r="M68" s="49" t="s">
        <v>100</v>
      </c>
      <c r="N68" s="49" t="s">
        <v>103</v>
      </c>
      <c r="O68" s="49" t="s">
        <v>106</v>
      </c>
      <c r="P68" s="49" t="s">
        <v>107</v>
      </c>
      <c r="Q68" s="49" t="s">
        <v>108</v>
      </c>
    </row>
    <row r="69" spans="2:17" x14ac:dyDescent="0.2">
      <c r="B69" s="3">
        <v>1</v>
      </c>
      <c r="C69" s="4" t="s">
        <v>10</v>
      </c>
      <c r="D69" s="5"/>
      <c r="E69" s="5"/>
      <c r="F69" s="5"/>
      <c r="G69" s="23" t="s">
        <v>11</v>
      </c>
      <c r="H69" s="23"/>
      <c r="K69" s="53" t="s">
        <v>98</v>
      </c>
      <c r="L69" s="53" t="s">
        <v>98</v>
      </c>
      <c r="M69" s="53" t="s">
        <v>98</v>
      </c>
      <c r="N69" s="53" t="s">
        <v>98</v>
      </c>
      <c r="O69" s="53" t="s">
        <v>98</v>
      </c>
      <c r="P69" s="53" t="s">
        <v>98</v>
      </c>
      <c r="Q69" s="53" t="s">
        <v>98</v>
      </c>
    </row>
    <row r="70" spans="2:17" x14ac:dyDescent="0.2">
      <c r="B70" s="3">
        <v>2</v>
      </c>
      <c r="C70" s="6" t="s">
        <v>101</v>
      </c>
      <c r="D70" s="23"/>
      <c r="E70" s="23"/>
      <c r="F70" s="23"/>
      <c r="G70" s="23" t="s">
        <v>102</v>
      </c>
      <c r="H70" s="23"/>
      <c r="K70" s="55"/>
      <c r="L70" s="55"/>
      <c r="M70" s="55" t="s">
        <v>98</v>
      </c>
      <c r="N70" s="55"/>
      <c r="O70" s="55"/>
      <c r="P70" s="55"/>
      <c r="Q70" s="55" t="s">
        <v>98</v>
      </c>
    </row>
    <row r="71" spans="2:17" x14ac:dyDescent="0.2">
      <c r="B71" s="3">
        <v>3</v>
      </c>
      <c r="C71" s="6" t="s">
        <v>12</v>
      </c>
      <c r="G71" s="1" t="s">
        <v>13</v>
      </c>
      <c r="K71" s="53" t="s">
        <v>98</v>
      </c>
      <c r="L71" s="53" t="s">
        <v>98</v>
      </c>
      <c r="M71" s="53" t="s">
        <v>98</v>
      </c>
      <c r="N71" s="53" t="s">
        <v>98</v>
      </c>
      <c r="O71" s="53" t="s">
        <v>98</v>
      </c>
      <c r="P71" s="53" t="s">
        <v>98</v>
      </c>
      <c r="Q71" s="53" t="s">
        <v>98</v>
      </c>
    </row>
    <row r="72" spans="2:17" x14ac:dyDescent="0.2">
      <c r="B72" s="3">
        <v>4</v>
      </c>
      <c r="C72" s="6" t="s">
        <v>93</v>
      </c>
      <c r="G72" s="1" t="s">
        <v>94</v>
      </c>
      <c r="K72" s="53" t="s">
        <v>98</v>
      </c>
      <c r="L72" s="53" t="s">
        <v>98</v>
      </c>
      <c r="M72" s="53" t="s">
        <v>98</v>
      </c>
      <c r="N72" s="53"/>
      <c r="O72" s="53" t="s">
        <v>98</v>
      </c>
      <c r="P72" s="53" t="s">
        <v>98</v>
      </c>
      <c r="Q72" s="53" t="s">
        <v>98</v>
      </c>
    </row>
    <row r="73" spans="2:17" x14ac:dyDescent="0.2">
      <c r="B73" s="3">
        <v>5</v>
      </c>
      <c r="C73" s="6" t="s">
        <v>18</v>
      </c>
      <c r="G73" s="1" t="s">
        <v>19</v>
      </c>
      <c r="K73" s="53" t="s">
        <v>98</v>
      </c>
      <c r="L73" s="53" t="s">
        <v>98</v>
      </c>
      <c r="M73" s="53" t="s">
        <v>98</v>
      </c>
      <c r="N73" s="53" t="s">
        <v>98</v>
      </c>
      <c r="O73" s="53" t="s">
        <v>98</v>
      </c>
      <c r="P73" s="53" t="s">
        <v>98</v>
      </c>
      <c r="Q73" s="53"/>
    </row>
    <row r="74" spans="2:17" x14ac:dyDescent="0.2">
      <c r="B74" s="3">
        <v>6</v>
      </c>
      <c r="C74" s="6" t="s">
        <v>16</v>
      </c>
      <c r="G74" s="1" t="s">
        <v>17</v>
      </c>
      <c r="K74" s="53" t="s">
        <v>98</v>
      </c>
      <c r="L74" s="53" t="s">
        <v>98</v>
      </c>
      <c r="M74" s="53" t="s">
        <v>98</v>
      </c>
      <c r="N74" s="53" t="s">
        <v>98</v>
      </c>
      <c r="O74" s="53" t="s">
        <v>98</v>
      </c>
      <c r="P74" s="53" t="s">
        <v>98</v>
      </c>
      <c r="Q74" s="53"/>
    </row>
    <row r="75" spans="2:17" x14ac:dyDescent="0.2">
      <c r="B75" s="3">
        <v>7</v>
      </c>
      <c r="C75" s="6" t="s">
        <v>21</v>
      </c>
      <c r="G75" s="1" t="s">
        <v>22</v>
      </c>
      <c r="K75" s="53" t="s">
        <v>98</v>
      </c>
      <c r="L75" s="53" t="s">
        <v>98</v>
      </c>
      <c r="M75" s="53" t="s">
        <v>98</v>
      </c>
      <c r="N75" s="53" t="s">
        <v>98</v>
      </c>
      <c r="O75" s="53" t="s">
        <v>98</v>
      </c>
      <c r="P75" s="53" t="s">
        <v>98</v>
      </c>
      <c r="Q75" s="53"/>
    </row>
    <row r="76" spans="2:17" x14ac:dyDescent="0.2">
      <c r="B76" s="3">
        <v>8</v>
      </c>
      <c r="C76" s="6" t="s">
        <v>14</v>
      </c>
      <c r="G76" s="1" t="s">
        <v>15</v>
      </c>
      <c r="K76" s="53" t="s">
        <v>98</v>
      </c>
      <c r="L76" s="53" t="s">
        <v>98</v>
      </c>
      <c r="M76" s="53" t="s">
        <v>98</v>
      </c>
      <c r="N76" s="53" t="s">
        <v>98</v>
      </c>
      <c r="O76" s="53" t="s">
        <v>98</v>
      </c>
      <c r="P76" s="53" t="s">
        <v>98</v>
      </c>
      <c r="Q76" s="53"/>
    </row>
    <row r="77" spans="2:17" x14ac:dyDescent="0.2">
      <c r="B77" s="3">
        <v>9</v>
      </c>
      <c r="C77" s="6" t="s">
        <v>20</v>
      </c>
      <c r="G77" s="1" t="s">
        <v>92</v>
      </c>
      <c r="K77" s="53" t="s">
        <v>98</v>
      </c>
      <c r="L77" s="53" t="s">
        <v>98</v>
      </c>
      <c r="M77" s="53" t="s">
        <v>98</v>
      </c>
      <c r="N77" s="53" t="s">
        <v>98</v>
      </c>
      <c r="O77" s="53" t="s">
        <v>98</v>
      </c>
      <c r="P77" s="53" t="s">
        <v>98</v>
      </c>
      <c r="Q77" s="53"/>
    </row>
    <row r="78" spans="2:17" x14ac:dyDescent="0.2">
      <c r="B78" s="3">
        <v>10</v>
      </c>
      <c r="C78" s="6" t="s">
        <v>95</v>
      </c>
      <c r="G78" s="1" t="s">
        <v>96</v>
      </c>
      <c r="K78" s="53" t="s">
        <v>98</v>
      </c>
      <c r="L78" s="53" t="s">
        <v>98</v>
      </c>
      <c r="M78" s="53" t="s">
        <v>98</v>
      </c>
      <c r="N78" s="53" t="s">
        <v>98</v>
      </c>
      <c r="O78" s="53" t="s">
        <v>98</v>
      </c>
      <c r="P78" s="53" t="s">
        <v>98</v>
      </c>
      <c r="Q78" s="53"/>
    </row>
    <row r="79" spans="2:17" x14ac:dyDescent="0.2">
      <c r="B79" s="3">
        <v>11</v>
      </c>
      <c r="C79" s="6" t="s">
        <v>83</v>
      </c>
      <c r="G79" s="1" t="s">
        <v>85</v>
      </c>
      <c r="K79" s="53" t="s">
        <v>98</v>
      </c>
      <c r="L79" s="53" t="s">
        <v>98</v>
      </c>
      <c r="M79" s="53" t="s">
        <v>98</v>
      </c>
      <c r="N79" s="53" t="s">
        <v>98</v>
      </c>
      <c r="O79" s="53"/>
      <c r="P79" s="53"/>
      <c r="Q79" s="53"/>
    </row>
    <row r="80" spans="2:17" x14ac:dyDescent="0.2">
      <c r="B80" s="3">
        <v>12</v>
      </c>
      <c r="C80" s="6" t="s">
        <v>84</v>
      </c>
      <c r="G80" s="1" t="s">
        <v>86</v>
      </c>
      <c r="K80" s="53"/>
      <c r="L80" s="53"/>
      <c r="M80" s="53"/>
      <c r="N80" s="53"/>
      <c r="O80" s="53" t="s">
        <v>98</v>
      </c>
      <c r="P80" s="53" t="s">
        <v>98</v>
      </c>
      <c r="Q80" s="53"/>
    </row>
    <row r="81" spans="2:17" x14ac:dyDescent="0.2">
      <c r="B81" s="3">
        <v>13</v>
      </c>
      <c r="C81" s="6" t="s">
        <v>104</v>
      </c>
      <c r="G81" s="1" t="s">
        <v>105</v>
      </c>
      <c r="K81" s="53"/>
      <c r="L81" s="53"/>
      <c r="M81" s="53"/>
      <c r="N81" s="53" t="s">
        <v>98</v>
      </c>
      <c r="O81" s="53"/>
      <c r="P81" s="53"/>
      <c r="Q81" s="53"/>
    </row>
    <row r="82" spans="2:17" x14ac:dyDescent="0.2">
      <c r="B82" s="3">
        <v>14</v>
      </c>
      <c r="C82" s="6" t="s">
        <v>75</v>
      </c>
      <c r="G82" s="1" t="s">
        <v>109</v>
      </c>
      <c r="K82" s="53"/>
      <c r="L82" s="53"/>
      <c r="M82" s="53"/>
      <c r="N82" s="53" t="s">
        <v>98</v>
      </c>
      <c r="O82" s="53"/>
      <c r="P82" s="53"/>
      <c r="Q82" s="53" t="s">
        <v>98</v>
      </c>
    </row>
    <row r="83" spans="2:17" x14ac:dyDescent="0.2">
      <c r="B83" s="3">
        <v>15</v>
      </c>
      <c r="C83" s="6" t="s">
        <v>110</v>
      </c>
      <c r="G83" s="1" t="s">
        <v>111</v>
      </c>
      <c r="K83" s="53"/>
      <c r="L83" s="53"/>
      <c r="M83" s="53"/>
      <c r="N83" s="53" t="s">
        <v>98</v>
      </c>
      <c r="O83" s="53"/>
      <c r="P83" s="53"/>
      <c r="Q83" s="53" t="s">
        <v>98</v>
      </c>
    </row>
    <row r="84" spans="2:17" x14ac:dyDescent="0.2">
      <c r="B84" s="3">
        <v>16</v>
      </c>
      <c r="C84" s="51" t="s">
        <v>76</v>
      </c>
      <c r="D84" s="15"/>
      <c r="E84" s="15"/>
      <c r="F84" s="15"/>
      <c r="G84" s="15" t="s">
        <v>112</v>
      </c>
      <c r="H84" s="15"/>
      <c r="I84" s="15"/>
      <c r="J84" s="15"/>
      <c r="K84" s="54"/>
      <c r="L84" s="54"/>
      <c r="M84" s="54"/>
      <c r="N84" s="54"/>
      <c r="O84" s="54"/>
      <c r="P84" s="54"/>
      <c r="Q84" s="54" t="s">
        <v>98</v>
      </c>
    </row>
    <row r="85" spans="2:17" x14ac:dyDescent="0.2">
      <c r="K85" s="50"/>
      <c r="L85" s="50"/>
      <c r="M85" s="50"/>
      <c r="N85" s="50"/>
      <c r="O85" s="50"/>
      <c r="P85" s="50"/>
      <c r="Q85" s="50"/>
    </row>
    <row r="87" spans="2:17" ht="15" x14ac:dyDescent="0.25">
      <c r="B87" s="52" t="s">
        <v>137</v>
      </c>
    </row>
    <row r="89" spans="2:17" x14ac:dyDescent="0.2">
      <c r="B89" s="1" t="s">
        <v>577</v>
      </c>
    </row>
    <row r="90" spans="2:17" x14ac:dyDescent="0.2">
      <c r="B90" s="1" t="s">
        <v>558</v>
      </c>
    </row>
    <row r="92" spans="2:17" x14ac:dyDescent="0.2">
      <c r="B92" s="1" t="s">
        <v>573</v>
      </c>
    </row>
    <row r="93" spans="2:17" x14ac:dyDescent="0.2">
      <c r="B93" s="1" t="s">
        <v>557</v>
      </c>
    </row>
    <row r="94" spans="2:17" x14ac:dyDescent="0.2">
      <c r="B94" s="1" t="s">
        <v>609</v>
      </c>
    </row>
    <row r="96" spans="2:17" x14ac:dyDescent="0.2">
      <c r="B96" s="1" t="s">
        <v>562</v>
      </c>
    </row>
    <row r="97" spans="2:2" x14ac:dyDescent="0.2">
      <c r="B97" s="1" t="s">
        <v>572</v>
      </c>
    </row>
    <row r="98" spans="2:2" x14ac:dyDescent="0.2">
      <c r="B98" s="1" t="s">
        <v>559</v>
      </c>
    </row>
    <row r="99" spans="2:2" x14ac:dyDescent="0.2">
      <c r="B99" s="1" t="s">
        <v>561</v>
      </c>
    </row>
    <row r="100" spans="2:2" x14ac:dyDescent="0.2">
      <c r="B100" s="1" t="s">
        <v>560</v>
      </c>
    </row>
    <row r="102" spans="2:2" x14ac:dyDescent="0.2">
      <c r="B102" s="1" t="s">
        <v>612</v>
      </c>
    </row>
    <row r="103" spans="2:2" x14ac:dyDescent="0.2">
      <c r="B103" s="1" t="s">
        <v>578</v>
      </c>
    </row>
    <row r="104" spans="2:2" x14ac:dyDescent="0.2">
      <c r="B104" s="1" t="s">
        <v>593</v>
      </c>
    </row>
    <row r="105" spans="2:2" x14ac:dyDescent="0.2">
      <c r="B105" s="1" t="s">
        <v>610</v>
      </c>
    </row>
    <row r="106" spans="2:2" x14ac:dyDescent="0.2">
      <c r="B106" s="1" t="s">
        <v>611</v>
      </c>
    </row>
    <row r="107" spans="2:2" x14ac:dyDescent="0.2">
      <c r="B107" s="1" t="s">
        <v>590</v>
      </c>
    </row>
    <row r="108" spans="2:2" x14ac:dyDescent="0.2">
      <c r="B108" s="1" t="s">
        <v>591</v>
      </c>
    </row>
    <row r="109" spans="2:2" x14ac:dyDescent="0.2">
      <c r="B109" s="1" t="s">
        <v>606</v>
      </c>
    </row>
    <row r="110" spans="2:2" x14ac:dyDescent="0.2">
      <c r="B110" s="1" t="s">
        <v>592</v>
      </c>
    </row>
    <row r="111" spans="2:2" x14ac:dyDescent="0.2">
      <c r="B111" s="1" t="s">
        <v>589</v>
      </c>
    </row>
    <row r="112" spans="2:2" x14ac:dyDescent="0.2">
      <c r="B112" s="1" t="s">
        <v>588</v>
      </c>
    </row>
  </sheetData>
  <hyperlinks>
    <hyperlink ref="D37" r:id="rId1" location="!/recursos" xr:uid="{DA1103D1-9D1F-4D87-9202-F9DA2AE670CE}"/>
    <hyperlink ref="B21" r:id="rId2" xr:uid="{7839D278-2CAE-4EBD-922D-881BD8BD2FFA}"/>
    <hyperlink ref="B11" r:id="rId3" xr:uid="{0CA12136-B78A-4FD3-8A9B-DB9EB625EAE0}"/>
    <hyperlink ref="C26" r:id="rId4" xr:uid="{051EBEE5-2901-4F57-93F9-55C6FC17D3D2}"/>
    <hyperlink ref="C25" r:id="rId5" xr:uid="{4AFAA2F9-CA0D-43BC-B68F-998AB7EFBD94}"/>
    <hyperlink ref="D38" r:id="rId6" location="!/recursos" xr:uid="{CA7FD5A7-A1CF-49F6-A615-35B53EF7039A}"/>
    <hyperlink ref="D40" r:id="rId7" location="!/recursos" xr:uid="{B46940A2-7DF4-4798-A1F6-48D9510017B1}"/>
    <hyperlink ref="D39" r:id="rId8" xr:uid="{05502716-A4D6-49A2-8302-5F391BB572DF}"/>
    <hyperlink ref="D42" r:id="rId9" xr:uid="{7281D4BD-338E-4531-80D0-D830759B7F36}"/>
    <hyperlink ref="D41" r:id="rId10" xr:uid="{2C538A5F-EF62-4AE1-BF92-365D832F9A26}"/>
  </hyperlinks>
  <pageMargins left="0.511811024" right="0.511811024" top="0.78740157499999996" bottom="0.78740157499999996" header="0.31496062000000002" footer="0.31496062000000002"/>
  <pageSetup paperSize="9" orientation="portrait" r:id="rId11"/>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AC461"/>
  <sheetViews>
    <sheetView showGridLines="0" workbookViewId="0">
      <selection activeCell="L31" sqref="L31"/>
    </sheetView>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16384" width="9.140625" style="1"/>
  </cols>
  <sheetData>
    <row r="1" spans="1:29" ht="15.75" x14ac:dyDescent="0.25">
      <c r="A1" s="9" t="s">
        <v>79</v>
      </c>
      <c r="E1" s="10"/>
      <c r="F1" s="10"/>
      <c r="G1" s="11"/>
      <c r="H1" s="11"/>
    </row>
    <row r="2" spans="1:29" x14ac:dyDescent="0.2">
      <c r="D2" s="12" t="s">
        <v>25</v>
      </c>
      <c r="E2" s="25" t="s">
        <v>10</v>
      </c>
      <c r="F2" s="25" t="s">
        <v>26</v>
      </c>
      <c r="G2" s="25" t="s">
        <v>27</v>
      </c>
      <c r="H2" s="25"/>
      <c r="I2" s="13">
        <f>DATE(YEAR($B$3),1,1)</f>
        <v>44197</v>
      </c>
      <c r="J2" s="13"/>
      <c r="K2" s="3"/>
      <c r="L2" s="3"/>
      <c r="M2" s="3"/>
      <c r="N2" s="3"/>
      <c r="O2" s="3"/>
      <c r="P2" s="21">
        <f>DATE(YEAR(I2)+1,1,1)</f>
        <v>44562</v>
      </c>
      <c r="Q2" s="13"/>
      <c r="R2" s="3"/>
      <c r="S2" s="3"/>
      <c r="T2" s="3"/>
      <c r="U2" s="3"/>
    </row>
    <row r="3" spans="1:29" x14ac:dyDescent="0.2">
      <c r="A3" s="3" t="s">
        <v>28</v>
      </c>
      <c r="B3" s="14">
        <v>44540</v>
      </c>
      <c r="I3" s="47" t="s">
        <v>29</v>
      </c>
      <c r="J3" s="47" t="s">
        <v>30</v>
      </c>
      <c r="K3" s="47" t="s">
        <v>31</v>
      </c>
      <c r="L3" s="47" t="s">
        <v>32</v>
      </c>
      <c r="M3" s="47" t="s">
        <v>33</v>
      </c>
      <c r="N3" s="47" t="s">
        <v>32</v>
      </c>
      <c r="O3" s="47"/>
      <c r="P3" s="48" t="s">
        <v>29</v>
      </c>
      <c r="Q3" s="47" t="s">
        <v>30</v>
      </c>
      <c r="R3" s="47" t="s">
        <v>31</v>
      </c>
      <c r="S3" s="47" t="s">
        <v>32</v>
      </c>
      <c r="T3" s="47" t="s">
        <v>33</v>
      </c>
      <c r="U3" s="47" t="s">
        <v>32</v>
      </c>
    </row>
    <row r="4" spans="1:29" x14ac:dyDescent="0.2">
      <c r="D4" s="31" t="s">
        <v>34</v>
      </c>
      <c r="E4" s="31" t="s">
        <v>35</v>
      </c>
      <c r="F4" s="31"/>
      <c r="G4" s="32" t="s">
        <v>16</v>
      </c>
      <c r="H4" s="32"/>
      <c r="I4" s="33" t="str" cm="1">
        <f t="array" ref="I4">xlFOCUS_IfError(xlFOCUS_ExpectativasAnuais($E4,$F4,I$2,$B$3-28,$B$3-28,0,$G4),"-")</f>
        <v>-</v>
      </c>
      <c r="J4" s="33" t="str" cm="1">
        <f t="array" ref="J4">xlFOCUS_IfError(xlFOCUS_ExpectativasAnuais($E4,$F4,I$2,$B$3-7,$B$3-7,0,$G4),"-")</f>
        <v>-</v>
      </c>
      <c r="K4" s="33" t="str" cm="1">
        <f t="array" ref="K4">xlFOCUS_IfError(xlFOCUS_ExpectativasAnuais($E4,$F4,I$2,$B$3,$B$3,0,$G4),"-")</f>
        <v>-</v>
      </c>
      <c r="L4" s="34" t="str" cm="1">
        <f t="array" ref="L4">xlFOCUS_IfError(xlFOCUS_ExpectativasAnuais($E4,$F4,I$2,$B$3,$B$3,0,"numeroRespondentes"),"-")</f>
        <v>-</v>
      </c>
      <c r="M4" s="33" t="str" cm="1">
        <f t="array" ref="M4">xlFOCUS_IfError(xlFOCUS_ExpectativasAnuais($E4,$F4,I$2,$B$3,$B$3,1,$G4),"-")</f>
        <v>-</v>
      </c>
      <c r="N4" s="34" t="str" cm="1">
        <f t="array" ref="N4">xlFOCUS_IfError(xlFOCUS_ExpectativasAnuais($E4,$F4,I$2,$B$3,$B$3,1,"numeroRespondentes"),"-")</f>
        <v>-</v>
      </c>
      <c r="O4" s="33"/>
      <c r="P4" s="35" t="str" cm="1">
        <f t="array" ref="P4">xlFOCUS_IfError(xlFOCUS_ExpectativasAnuais($E4,$F4,P$2,$B$3-28,$B$3-28,0,$G4),"-")</f>
        <v>-</v>
      </c>
      <c r="Q4" s="33" t="str" cm="1">
        <f t="array" ref="Q4">xlFOCUS_IfError(xlFOCUS_ExpectativasAnuais($E4,$F4,P$2,$B$3-7,$B$3-7,0,$G4),"-")</f>
        <v>-</v>
      </c>
      <c r="R4" s="33" t="str" cm="1">
        <f t="array" ref="R4">xlFOCUS_IfError(xlFOCUS_ExpectativasAnuais($E4,$F4,P$2,$B$3,$B$3,0,$G4),"-")</f>
        <v>-</v>
      </c>
      <c r="S4" s="34" t="str" cm="1">
        <f t="array" ref="S4">xlFOCUS_IfError(xlFOCUS_ExpectativasAnuais($E4,$F4,P$2,$B$3,$B$3,0,"numeroRespondentes"),"-")</f>
        <v>-</v>
      </c>
      <c r="T4" s="33" t="str" cm="1">
        <f t="array" ref="T4">xlFOCUS_IfError(xlFOCUS_ExpectativasAnuais($E4,$F4,P$2,$B$3,$B$3,1,$G4),"-")</f>
        <v>-</v>
      </c>
      <c r="U4" s="34" t="str" cm="1">
        <f t="array" ref="U4">xlFOCUS_IfError(xlFOCUS_ExpectativasAnuais($E4,$F4,P$2,$B$3,$B$3,1,"numeroRespondentes"),"-")</f>
        <v>-</v>
      </c>
    </row>
    <row r="5" spans="1:29" x14ac:dyDescent="0.2">
      <c r="D5" s="26" t="s">
        <v>36</v>
      </c>
      <c r="E5" s="26" t="s">
        <v>37</v>
      </c>
      <c r="F5" s="26"/>
      <c r="G5" s="27" t="s">
        <v>16</v>
      </c>
      <c r="H5" s="27"/>
      <c r="I5" s="28" t="str" cm="1">
        <f t="array" ref="I5">xlFOCUS_IfError(xlFOCUS_ExpectativasAnuais($E5,$F5,I$2,$B$3-28,$B$3-28,0,$G5),"-")</f>
        <v>-</v>
      </c>
      <c r="J5" s="28" t="str" cm="1">
        <f t="array" ref="J5">xlFOCUS_IfError(xlFOCUS_ExpectativasAnuais($E5,$F5,I$2,$B$3-7,$B$3-7,0,$G5),"-")</f>
        <v>-</v>
      </c>
      <c r="K5" s="28" t="str" cm="1">
        <f t="array" ref="K5">xlFOCUS_IfError(xlFOCUS_ExpectativasAnuais($E5,$F5,I$2,$B$3,$B$3,0,$G5),"-")</f>
        <v>-</v>
      </c>
      <c r="L5" s="29" t="str" cm="1">
        <f t="array" ref="L5">xlFOCUS_IfError(xlFOCUS_ExpectativasAnuais($E5,$F5,I$2,$B$3,$B$3,0,"numeroRespondentes"),"-")</f>
        <v>-</v>
      </c>
      <c r="M5" s="28" t="str" cm="1">
        <f t="array" ref="M5">xlFOCUS_IfError(xlFOCUS_ExpectativasAnuais($E5,$F5,I$2,$B$3,$B$3,1,$G5),"-")</f>
        <v>-</v>
      </c>
      <c r="N5" s="29" t="str" cm="1">
        <f t="array" ref="N5">xlFOCUS_IfError(xlFOCUS_ExpectativasAnuais($E5,$F5,I$2,$B$3,$B$3,1,"numeroRespondentes"),"-")</f>
        <v>-</v>
      </c>
      <c r="O5" s="28"/>
      <c r="P5" s="30" t="str" cm="1">
        <f t="array" ref="P5">xlFOCUS_IfError(xlFOCUS_ExpectativasAnuais($E5,$F5,P$2,$B$3-28,$B$3-28,0,$G5),"-")</f>
        <v>-</v>
      </c>
      <c r="Q5" s="28" t="str" cm="1">
        <f t="array" ref="Q5">xlFOCUS_IfError(xlFOCUS_ExpectativasAnuais($E5,$F5,P$2,$B$3-7,$B$3-7,0,$G5),"-")</f>
        <v>-</v>
      </c>
      <c r="R5" s="28" t="str" cm="1">
        <f t="array" ref="R5">xlFOCUS_IfError(xlFOCUS_ExpectativasAnuais($E5,$F5,P$2,$B$3,$B$3,0,$G5),"-")</f>
        <v>-</v>
      </c>
      <c r="S5" s="29" t="str" cm="1">
        <f t="array" ref="S5">xlFOCUS_IfError(xlFOCUS_ExpectativasAnuais($E5,$F5,P$2,$B$3,$B$3,0,"numeroRespondentes"),"-")</f>
        <v>-</v>
      </c>
      <c r="T5" s="28" t="str" cm="1">
        <f t="array" ref="T5">xlFOCUS_IfError(xlFOCUS_ExpectativasAnuais($E5,$F5,P$2,$B$3,$B$3,1,$G5),"-")</f>
        <v>-</v>
      </c>
      <c r="U5" s="29" t="str" cm="1">
        <f t="array" ref="U5">xlFOCUS_IfError(xlFOCUS_ExpectativasAnuais($E5,$F5,P$2,$B$3,$B$3,1,"numeroRespondentes"),"-")</f>
        <v>-</v>
      </c>
    </row>
    <row r="6" spans="1:29" x14ac:dyDescent="0.2">
      <c r="D6" s="31" t="s">
        <v>38</v>
      </c>
      <c r="E6" s="31" t="s">
        <v>39</v>
      </c>
      <c r="F6" s="31"/>
      <c r="G6" s="32" t="s">
        <v>16</v>
      </c>
      <c r="H6" s="32"/>
      <c r="I6" s="33" t="str" cm="1">
        <f t="array" ref="I6">xlFOCUS_IfError(xlFOCUS_ExpectativasAnuais($E6,$F6,I$2,$B$3-28,$B$3-28,0,$G6),"-")</f>
        <v>-</v>
      </c>
      <c r="J6" s="33" t="str" cm="1">
        <f t="array" ref="J6">xlFOCUS_IfError(xlFOCUS_ExpectativasAnuais($E6,$F6,I$2,$B$3-7,$B$3-7,0,$G6),"-")</f>
        <v>-</v>
      </c>
      <c r="K6" s="33" t="str" cm="1">
        <f t="array" ref="K6">xlFOCUS_IfError(xlFOCUS_ExpectativasAnuais($E6,$F6,I$2,$B$3,$B$3,0,$G6),"-")</f>
        <v>-</v>
      </c>
      <c r="L6" s="34" t="str" cm="1">
        <f t="array" ref="L6">xlFOCUS_IfError(xlFOCUS_ExpectativasAnuais($E6,$F6,I$2,$B$3,$B$3,0,"numeroRespondentes"),"-")</f>
        <v>-</v>
      </c>
      <c r="M6" s="33" t="str" cm="1">
        <f t="array" ref="M6">xlFOCUS_IfError(xlFOCUS_ExpectativasAnuais($E6,$F6,I$2,$B$3,$B$3,1,$G6),"-")</f>
        <v>-</v>
      </c>
      <c r="N6" s="34" t="str" cm="1">
        <f t="array" ref="N6">xlFOCUS_IfError(xlFOCUS_ExpectativasAnuais($E6,$F6,I$2,$B$3,$B$3,1,"numeroRespondentes"),"-")</f>
        <v>-</v>
      </c>
      <c r="O6" s="33"/>
      <c r="P6" s="35" t="str" cm="1">
        <f t="array" ref="P6">xlFOCUS_IfError(xlFOCUS_ExpectativasAnuais($E6,$F6,P$2,$B$3-28,$B$3-28,0,$G6),"-")</f>
        <v>-</v>
      </c>
      <c r="Q6" s="33" t="str" cm="1">
        <f t="array" ref="Q6">xlFOCUS_IfError(xlFOCUS_ExpectativasAnuais($E6,$F6,P$2,$B$3-7,$B$3-7,0,$G6),"-")</f>
        <v>-</v>
      </c>
      <c r="R6" s="33" t="str" cm="1">
        <f t="array" ref="R6">xlFOCUS_IfError(xlFOCUS_ExpectativasAnuais($E6,$F6,P$2,$B$3,$B$3,0,$G6),"-")</f>
        <v>-</v>
      </c>
      <c r="S6" s="34" t="str" cm="1">
        <f t="array" ref="S6">xlFOCUS_IfError(xlFOCUS_ExpectativasAnuais($E6,$F6,P$2,$B$3,$B$3,0,"numeroRespondentes"),"-")</f>
        <v>-</v>
      </c>
      <c r="T6" s="33" t="str" cm="1">
        <f t="array" ref="T6">xlFOCUS_IfError(xlFOCUS_ExpectativasAnuais($E6,$F6,P$2,$B$3,$B$3,1,$G6),"-")</f>
        <v>-</v>
      </c>
      <c r="U6" s="34" t="str" cm="1">
        <f t="array" ref="U6">xlFOCUS_IfError(xlFOCUS_ExpectativasAnuais($E6,$F6,P$2,$B$3,$B$3,1,"numeroRespondentes"),"-")</f>
        <v>-</v>
      </c>
    </row>
    <row r="7" spans="1:29" x14ac:dyDescent="0.2">
      <c r="D7" s="26" t="s">
        <v>40</v>
      </c>
      <c r="E7" s="26" t="s">
        <v>41</v>
      </c>
      <c r="F7" s="26"/>
      <c r="G7" s="27" t="s">
        <v>16</v>
      </c>
      <c r="H7" s="27"/>
      <c r="I7" s="28" t="str" cm="1">
        <f t="array" ref="I7">xlFOCUS_IfError(xlFOCUS_ExpectativasAnuais($E7,$F7,I$2,$B$3-28,$B$3-28,0,$G7),"-")</f>
        <v>-</v>
      </c>
      <c r="J7" s="28" t="str" cm="1">
        <f t="array" ref="J7">xlFOCUS_IfError(xlFOCUS_ExpectativasAnuais($E7,$F7,I$2,$B$3-7,$B$3-7,0,$G7),"-")</f>
        <v>-</v>
      </c>
      <c r="K7" s="28" t="str" cm="1">
        <f t="array" ref="K7">xlFOCUS_IfError(xlFOCUS_ExpectativasAnuais($E7,$F7,I$2,$B$3,$B$3,0,$G7),"-")</f>
        <v>-</v>
      </c>
      <c r="L7" s="29" t="str" cm="1">
        <f t="array" ref="L7">xlFOCUS_IfError(xlFOCUS_ExpectativasAnuais($E7,$F7,I$2,$B$3,$B$3,0,"numeroRespondentes"),"-")</f>
        <v>-</v>
      </c>
      <c r="M7" s="28" t="str" cm="1">
        <f t="array" ref="M7">xlFOCUS_IfError(xlFOCUS_ExpectativasAnuais($E7,$F7,I$2,$B$3,$B$3,1,$G7),"-")</f>
        <v>-</v>
      </c>
      <c r="N7" s="29" t="str" cm="1">
        <f t="array" ref="N7">xlFOCUS_IfError(xlFOCUS_ExpectativasAnuais($E7,$F7,I$2,$B$3,$B$3,1,"numeroRespondentes"),"-")</f>
        <v>-</v>
      </c>
      <c r="O7" s="28"/>
      <c r="P7" s="30" t="str" cm="1">
        <f t="array" ref="P7">xlFOCUS_IfError(xlFOCUS_ExpectativasAnuais($E7,$F7,P$2,$B$3-28,$B$3-28,0,$G7),"-")</f>
        <v>-</v>
      </c>
      <c r="Q7" s="28" t="str" cm="1">
        <f t="array" ref="Q7">xlFOCUS_IfError(xlFOCUS_ExpectativasAnuais($E7,$F7,P$2,$B$3-7,$B$3-7,0,$G7),"-")</f>
        <v>-</v>
      </c>
      <c r="R7" s="28" t="str" cm="1">
        <f t="array" ref="R7">xlFOCUS_IfError(xlFOCUS_ExpectativasAnuais($E7,$F7,P$2,$B$3,$B$3,0,$G7),"-")</f>
        <v>-</v>
      </c>
      <c r="S7" s="29" t="str" cm="1">
        <f t="array" ref="S7">xlFOCUS_IfError(xlFOCUS_ExpectativasAnuais($E7,$F7,P$2,$B$3,$B$3,0,"numeroRespondentes"),"-")</f>
        <v>-</v>
      </c>
      <c r="T7" s="28" t="str" cm="1">
        <f t="array" ref="T7">xlFOCUS_IfError(xlFOCUS_ExpectativasAnuais($E7,$F7,P$2,$B$3,$B$3,1,$G7),"-")</f>
        <v>-</v>
      </c>
      <c r="U7" s="29" t="str" cm="1">
        <f t="array" ref="U7">xlFOCUS_IfError(xlFOCUS_ExpectativasAnuais($E7,$F7,P$2,$B$3,$B$3,1,"numeroRespondentes"),"-")</f>
        <v>-</v>
      </c>
    </row>
    <row r="8" spans="1:29" x14ac:dyDescent="0.2">
      <c r="D8" s="31" t="s">
        <v>42</v>
      </c>
      <c r="E8" s="31" t="s">
        <v>43</v>
      </c>
      <c r="F8" s="31"/>
      <c r="G8" s="32" t="s">
        <v>16</v>
      </c>
      <c r="H8" s="32"/>
      <c r="I8" s="33" t="str" cm="1">
        <f t="array" ref="I8">xlFOCUS_IfError(xlFOCUS_ExpectativasAnuais($E8,$F8,I$2,$B$3-28,$B$3-28,0,$G8),"-")</f>
        <v>-</v>
      </c>
      <c r="J8" s="33" t="str" cm="1">
        <f t="array" ref="J8">xlFOCUS_IfError(xlFOCUS_ExpectativasAnuais($E8,$F8,I$2,$B$3-7,$B$3-7,0,$G8),"-")</f>
        <v>-</v>
      </c>
      <c r="K8" s="33" t="str" cm="1">
        <f t="array" ref="K8">xlFOCUS_IfError(xlFOCUS_ExpectativasAnuais($E8,$F8,I$2,$B$3,$B$3,0,$G8),"-")</f>
        <v>-</v>
      </c>
      <c r="L8" s="34" t="str" cm="1">
        <f t="array" ref="L8">xlFOCUS_IfError(xlFOCUS_ExpectativasAnuais($E8,$F8,I$2,$B$3,$B$3,0,"numeroRespondentes"),"-")</f>
        <v>-</v>
      </c>
      <c r="M8" s="33" t="str" cm="1">
        <f t="array" ref="M8">xlFOCUS_IfError(xlFOCUS_ExpectativasAnuais($E8,$F8,I$2,$B$3,$B$3,1,$G8),"-")</f>
        <v>-</v>
      </c>
      <c r="N8" s="34" t="str" cm="1">
        <f t="array" ref="N8">xlFOCUS_IfError(xlFOCUS_ExpectativasAnuais($E8,$F8,I$2,$B$3,$B$3,1,"numeroRespondentes"),"-")</f>
        <v>-</v>
      </c>
      <c r="O8" s="33"/>
      <c r="P8" s="35" t="str" cm="1">
        <f t="array" ref="P8">xlFOCUS_IfError(xlFOCUS_ExpectativasAnuais($E8,$F8,P$2,$B$3-28,$B$3-28,0,$G8),"-")</f>
        <v>-</v>
      </c>
      <c r="Q8" s="33" t="str" cm="1">
        <f t="array" ref="Q8">xlFOCUS_IfError(xlFOCUS_ExpectativasAnuais($E8,$F8,P$2,$B$3-7,$B$3-7,0,$G8),"-")</f>
        <v>-</v>
      </c>
      <c r="R8" s="33" t="str" cm="1">
        <f t="array" ref="R8">xlFOCUS_IfError(xlFOCUS_ExpectativasAnuais($E8,$F8,P$2,$B$3,$B$3,0,$G8),"-")</f>
        <v>-</v>
      </c>
      <c r="S8" s="34" t="str" cm="1">
        <f t="array" ref="S8">xlFOCUS_IfError(xlFOCUS_ExpectativasAnuais($E8,$F8,P$2,$B$3,$B$3,0,"numeroRespondentes"),"-")</f>
        <v>-</v>
      </c>
      <c r="T8" s="33" t="str" cm="1">
        <f t="array" ref="T8">xlFOCUS_IfError(xlFOCUS_ExpectativasAnuais($E8,$F8,P$2,$B$3,$B$3,1,$G8),"-")</f>
        <v>-</v>
      </c>
      <c r="U8" s="34" t="str" cm="1">
        <f t="array" ref="U8">xlFOCUS_IfError(xlFOCUS_ExpectativasAnuais($E8,$F8,P$2,$B$3,$B$3,1,"numeroRespondentes"),"-")</f>
        <v>-</v>
      </c>
    </row>
    <row r="9" spans="1:29" x14ac:dyDescent="0.2">
      <c r="D9" s="26" t="s">
        <v>44</v>
      </c>
      <c r="E9" s="26" t="s">
        <v>45</v>
      </c>
      <c r="F9" s="26"/>
      <c r="G9" s="27" t="s">
        <v>16</v>
      </c>
      <c r="H9" s="27"/>
      <c r="I9" s="28" t="str" cm="1">
        <f t="array" ref="I9">xlFOCUS_IfError(xlFOCUS_ExpectativasAnuais($E9,$F9,I$2,$B$3-28,$B$3-28,0,$G9),"-")</f>
        <v>-</v>
      </c>
      <c r="J9" s="28" t="str" cm="1">
        <f t="array" ref="J9">xlFOCUS_IfError(xlFOCUS_ExpectativasAnuais($E9,$F9,I$2,$B$3-7,$B$3-7,0,$G9),"-")</f>
        <v>-</v>
      </c>
      <c r="K9" s="28" t="str" cm="1">
        <f t="array" ref="K9">xlFOCUS_IfError(xlFOCUS_ExpectativasAnuais($E9,$F9,I$2,$B$3,$B$3,0,$G9),"-")</f>
        <v>-</v>
      </c>
      <c r="L9" s="29" t="str" cm="1">
        <f t="array" ref="L9">xlFOCUS_IfError(xlFOCUS_ExpectativasAnuais($E9,$F9,I$2,$B$3,$B$3,0,"numeroRespondentes"),"-")</f>
        <v>-</v>
      </c>
      <c r="M9" s="28" t="str" cm="1">
        <f t="array" ref="M9">xlFOCUS_IfError(xlFOCUS_ExpectativasAnuais($E9,$F9,I$2,$B$3,$B$3,1,$G9),"-")</f>
        <v>-</v>
      </c>
      <c r="N9" s="29" t="str" cm="1">
        <f t="array" ref="N9">xlFOCUS_IfError(xlFOCUS_ExpectativasAnuais($E9,$F9,I$2,$B$3,$B$3,1,"numeroRespondentes"),"-")</f>
        <v>-</v>
      </c>
      <c r="O9" s="28"/>
      <c r="P9" s="30" t="str" cm="1">
        <f t="array" ref="P9">xlFOCUS_IfError(xlFOCUS_ExpectativasAnuais($E9,$F9,P$2,$B$3-28,$B$3-28,0,$G9),"-")</f>
        <v>-</v>
      </c>
      <c r="Q9" s="28" t="str" cm="1">
        <f t="array" ref="Q9">xlFOCUS_IfError(xlFOCUS_ExpectativasAnuais($E9,$F9,P$2,$B$3-7,$B$3-7,0,$G9),"-")</f>
        <v>-</v>
      </c>
      <c r="R9" s="28" t="str" cm="1">
        <f t="array" ref="R9">xlFOCUS_IfError(xlFOCUS_ExpectativasAnuais($E9,$F9,P$2,$B$3,$B$3,0,$G9),"-")</f>
        <v>-</v>
      </c>
      <c r="S9" s="29" t="str" cm="1">
        <f t="array" ref="S9">xlFOCUS_IfError(xlFOCUS_ExpectativasAnuais($E9,$F9,P$2,$B$3,$B$3,0,"numeroRespondentes"),"-")</f>
        <v>-</v>
      </c>
      <c r="T9" s="28" t="str" cm="1">
        <f t="array" ref="T9">xlFOCUS_IfError(xlFOCUS_ExpectativasAnuais($E9,$F9,P$2,$B$3,$B$3,1,$G9),"-")</f>
        <v>-</v>
      </c>
      <c r="U9" s="29" t="str" cm="1">
        <f t="array" ref="U9">xlFOCUS_IfError(xlFOCUS_ExpectativasAnuais($E9,$F9,P$2,$B$3,$B$3,1,"numeroRespondentes"),"-")</f>
        <v>-</v>
      </c>
    </row>
    <row r="10" spans="1:29" x14ac:dyDescent="0.2">
      <c r="D10" s="36" t="s">
        <v>46</v>
      </c>
      <c r="E10" s="36" t="s">
        <v>47</v>
      </c>
      <c r="F10" s="36"/>
      <c r="G10" s="37" t="s">
        <v>16</v>
      </c>
      <c r="H10" s="37"/>
      <c r="I10" s="38" t="str" cm="1">
        <f t="array" ref="I10">xlFOCUS_IfError(xlFOCUS_ExpectativasAnuais($E10,$F10,I$2,$B$3-28,$B$3-28,0,$G10),"-")</f>
        <v>-</v>
      </c>
      <c r="J10" s="38" t="str" cm="1">
        <f t="array" ref="J10">xlFOCUS_IfError(xlFOCUS_ExpectativasAnuais($E10,$F10,I$2,$B$3-7,$B$3-7,0,$G10),"-")</f>
        <v>-</v>
      </c>
      <c r="K10" s="38" t="str" cm="1">
        <f t="array" ref="K10">xlFOCUS_IfError(xlFOCUS_ExpectativasAnuais($E10,$F10,I$2,$B$3,$B$3,0,$G10),"-")</f>
        <v>-</v>
      </c>
      <c r="L10" s="39" t="str" cm="1">
        <f t="array" ref="L10">xlFOCUS_IfError(xlFOCUS_ExpectativasAnuais($E10,$F10,I$2,$B$3,$B$3,0,"numeroRespondentes"),"-")</f>
        <v>-</v>
      </c>
      <c r="M10" s="38" t="str" cm="1">
        <f t="array" ref="M10">xlFOCUS_IfError(xlFOCUS_ExpectativasAnuais($E10,$F10,I$2,$B$3,$B$3,1,$G10),"-")</f>
        <v>-</v>
      </c>
      <c r="N10" s="39" t="str" cm="1">
        <f t="array" ref="N10">xlFOCUS_IfError(xlFOCUS_ExpectativasAnuais($E10,$F10,I$2,$B$3,$B$3,1,"numeroRespondentes"),"-")</f>
        <v>-</v>
      </c>
      <c r="O10" s="38"/>
      <c r="P10" s="40" t="str" cm="1">
        <f t="array" ref="P10">xlFOCUS_IfError(xlFOCUS_ExpectativasAnuais($E10,$F10,P$2,$B$3-28,$B$3-28,0,$G10),"-")</f>
        <v>-</v>
      </c>
      <c r="Q10" s="38" t="str" cm="1">
        <f t="array" ref="Q10">xlFOCUS_IfError(xlFOCUS_ExpectativasAnuais($E10,$F10,P$2,$B$3-7,$B$3-7,0,$G10),"-")</f>
        <v>-</v>
      </c>
      <c r="R10" s="38" t="str" cm="1">
        <f t="array" ref="R10">xlFOCUS_IfError(xlFOCUS_ExpectativasAnuais($E10,$F10,P$2,$B$3,$B$3,0,$G10),"-")</f>
        <v>-</v>
      </c>
      <c r="S10" s="39" t="str" cm="1">
        <f t="array" ref="S10">xlFOCUS_IfError(xlFOCUS_ExpectativasAnuais($E10,$F10,P$2,$B$3,$B$3,0,"numeroRespondentes"),"-")</f>
        <v>-</v>
      </c>
      <c r="T10" s="38" t="str" cm="1">
        <f t="array" ref="T10">xlFOCUS_IfError(xlFOCUS_ExpectativasAnuais($E10,$F10,P$2,$B$3,$B$3,1,$G10),"-")</f>
        <v>-</v>
      </c>
      <c r="U10" s="39" t="str" cm="1">
        <f t="array" ref="U10">xlFOCUS_IfError(xlFOCUS_ExpectativasAnuais($E10,$F10,P$2,$B$3,$B$3,1,"numeroRespondentes"),"-")</f>
        <v>-</v>
      </c>
    </row>
    <row r="11" spans="1:29" x14ac:dyDescent="0.2">
      <c r="D11" s="26" t="s">
        <v>48</v>
      </c>
      <c r="E11" s="26" t="s">
        <v>49</v>
      </c>
      <c r="F11" s="26" t="s">
        <v>50</v>
      </c>
      <c r="G11" s="26" t="s">
        <v>16</v>
      </c>
      <c r="H11" s="26"/>
      <c r="I11" s="28" t="str" cm="1">
        <f t="array" ref="I11">xlFOCUS_IfError(xlFOCUS_ExpectativasAnuais($E11,$F11,I$2,$B$3-28,$B$3-28,0,$G11),"-")</f>
        <v>-</v>
      </c>
      <c r="J11" s="28" t="str" cm="1">
        <f t="array" ref="J11">xlFOCUS_IfError(xlFOCUS_ExpectativasAnuais($E11,$F11,I$2,$B$3-7,$B$3-7,0,$G11),"-")</f>
        <v>-</v>
      </c>
      <c r="K11" s="28" t="str" cm="1">
        <f t="array" ref="K11">xlFOCUS_IfError(xlFOCUS_ExpectativasAnuais($E11,$F11,I$2,$B$3,$B$3,0,$G11),"-")</f>
        <v>-</v>
      </c>
      <c r="L11" s="29" t="str" cm="1">
        <f t="array" ref="L11">xlFOCUS_IfError(xlFOCUS_ExpectativasAnuais($E11,$F11,I$2,$B$3,$B$3,0,"numeroRespondentes"),"-")</f>
        <v>-</v>
      </c>
      <c r="M11" s="28" t="str" cm="1">
        <f t="array" ref="M11">xlFOCUS_IfError(xlFOCUS_ExpectativasAnuais($E11,$F11,I$2,$B$3,$B$3,1,$G11),"-")</f>
        <v>-</v>
      </c>
      <c r="N11" s="29" t="str" cm="1">
        <f t="array" ref="N11">xlFOCUS_IfError(xlFOCUS_ExpectativasAnuais($E11,$F11,I$2,$B$3,$B$3,1,"numeroRespondentes"),"-")</f>
        <v>-</v>
      </c>
      <c r="O11" s="28"/>
      <c r="P11" s="30" t="str" cm="1">
        <f t="array" ref="P11">xlFOCUS_IfError(xlFOCUS_ExpectativasAnuais($E11,$F11,P$2,$B$3-28,$B$3-28,0,$G11),"-")</f>
        <v>-</v>
      </c>
      <c r="Q11" s="28" t="str" cm="1">
        <f t="array" ref="Q11">xlFOCUS_IfError(xlFOCUS_ExpectativasAnuais($E11,$F11,P$2,$B$3-7,$B$3-7,0,$G11),"-")</f>
        <v>-</v>
      </c>
      <c r="R11" s="28" t="str" cm="1">
        <f t="array" ref="R11">xlFOCUS_IfError(xlFOCUS_ExpectativasAnuais($E11,$F11,P$2,$B$3,$B$3,0,$G11),"-")</f>
        <v>-</v>
      </c>
      <c r="S11" s="29" t="str" cm="1">
        <f t="array" ref="S11">xlFOCUS_IfError(xlFOCUS_ExpectativasAnuais($E11,$F11,P$2,$B$3,$B$3,0,"numeroRespondentes"),"-")</f>
        <v>-</v>
      </c>
      <c r="T11" s="28" t="str" cm="1">
        <f t="array" ref="T11">xlFOCUS_IfError(xlFOCUS_ExpectativasAnuais($E11,$F11,P$2,$B$3,$B$3,1,$G11),"-")</f>
        <v>-</v>
      </c>
      <c r="U11" s="29" t="str" cm="1">
        <f t="array" ref="U11">xlFOCUS_IfError(xlFOCUS_ExpectativasAnuais($E11,$F11,P$2,$B$3,$B$3,1,"numeroRespondentes"),"-")</f>
        <v>-</v>
      </c>
      <c r="V11" s="10"/>
      <c r="W11" s="10"/>
      <c r="X11" s="10"/>
      <c r="Y11" s="10"/>
      <c r="Z11" s="10"/>
      <c r="AA11" s="10"/>
      <c r="AB11" s="10"/>
      <c r="AC11" s="10"/>
    </row>
    <row r="12" spans="1:29" x14ac:dyDescent="0.2">
      <c r="D12" s="41" t="s">
        <v>51</v>
      </c>
      <c r="E12" s="41" t="s">
        <v>52</v>
      </c>
      <c r="F12" s="41"/>
      <c r="G12" s="41" t="s">
        <v>16</v>
      </c>
      <c r="H12" s="41"/>
      <c r="I12" s="42" t="str" cm="1">
        <f t="array" ref="I12">xlFOCUS_IfError(xlFOCUS_ExpectativasAnuais($E12,$F12,I$2,$B$3-28,$B$3-28,0,$G12),"-")</f>
        <v>-</v>
      </c>
      <c r="J12" s="42" t="str" cm="1">
        <f t="array" ref="J12">xlFOCUS_IfError(xlFOCUS_ExpectativasAnuais($E12,$F12,I$2,$B$3-7,$B$3-7,0,$G12),"-")</f>
        <v>-</v>
      </c>
      <c r="K12" s="42" t="str" cm="1">
        <f t="array" ref="K12">xlFOCUS_IfError(xlFOCUS_ExpectativasAnuais($E12,$F12,I$2,$B$3,$B$3,0,$G12),"-")</f>
        <v>-</v>
      </c>
      <c r="L12" s="43" t="str" cm="1">
        <f t="array" ref="L12">xlFOCUS_IfError(xlFOCUS_ExpectativasAnuais($E12,$F12,I$2,$B$3,$B$3,0,"numeroRespondentes"),"-")</f>
        <v>-</v>
      </c>
      <c r="M12" s="42" t="str" cm="1">
        <f t="array" ref="M12">xlFOCUS_IfError(xlFOCUS_ExpectativasAnuais($E12,$F12,I$2,$B$3,$B$3,1,$G12),"-")</f>
        <v>-</v>
      </c>
      <c r="N12" s="43" t="str" cm="1">
        <f t="array" ref="N12">xlFOCUS_IfError(xlFOCUS_ExpectativasAnuais($E12,$F12,I$2,$B$3,$B$3,1,"numeroRespondentes"),"-")</f>
        <v>-</v>
      </c>
      <c r="O12" s="42"/>
      <c r="P12" s="44" t="str" cm="1">
        <f t="array" ref="P12">xlFOCUS_IfError(xlFOCUS_ExpectativasAnuais($E12,$F12,P$2,$B$3-28,$B$3-28,0,$G12),"-")</f>
        <v>-</v>
      </c>
      <c r="Q12" s="42" t="str" cm="1">
        <f t="array" ref="Q12">xlFOCUS_IfError(xlFOCUS_ExpectativasAnuais($E12,$F12,P$2,$B$3-7,$B$3-7,0,$G12),"-")</f>
        <v>-</v>
      </c>
      <c r="R12" s="42" t="str" cm="1">
        <f t="array" ref="R12">xlFOCUS_IfError(xlFOCUS_ExpectativasAnuais($E12,$F12,P$2,$B$3,$B$3,0,$G12),"-")</f>
        <v>-</v>
      </c>
      <c r="S12" s="43" t="str" cm="1">
        <f t="array" ref="S12">xlFOCUS_IfError(xlFOCUS_ExpectativasAnuais($E12,$F12,P$2,$B$3,$B$3,0,"numeroRespondentes"),"-")</f>
        <v>-</v>
      </c>
      <c r="T12" s="42" t="str" cm="1">
        <f t="array" ref="T12">xlFOCUS_IfError(xlFOCUS_ExpectativasAnuais($E12,$F12,P$2,$B$3,$B$3,1,$G12),"-")</f>
        <v>-</v>
      </c>
      <c r="U12" s="43" t="str" cm="1">
        <f t="array" ref="U12">xlFOCUS_IfError(xlFOCUS_ExpectativasAnuais($E12,$F12,P$2,$B$3,$B$3,1,"numeroRespondentes"),"-")</f>
        <v>-</v>
      </c>
      <c r="V12" s="10"/>
      <c r="W12" s="10"/>
      <c r="X12" s="10"/>
      <c r="Y12" s="10"/>
      <c r="Z12" s="10"/>
      <c r="AA12" s="10"/>
      <c r="AB12" s="10"/>
      <c r="AC12" s="10"/>
    </row>
    <row r="13" spans="1:29" x14ac:dyDescent="0.2">
      <c r="D13" s="26" t="s">
        <v>53</v>
      </c>
      <c r="E13" s="26" t="s">
        <v>54</v>
      </c>
      <c r="F13" s="45"/>
      <c r="G13" s="45" t="s">
        <v>16</v>
      </c>
      <c r="H13" s="45"/>
      <c r="I13" s="28" t="str" cm="1">
        <f t="array" ref="I13">xlFOCUS_IfError(xlFOCUS_ExpectativasAnuais($E13,$F13,I$2,$B$3-28,$B$3-28,0,$G13),"-")</f>
        <v>-</v>
      </c>
      <c r="J13" s="28" t="str" cm="1">
        <f t="array" ref="J13">xlFOCUS_IfError(xlFOCUS_ExpectativasAnuais($E13,$F13,I$2,$B$3-7,$B$3-7,0,$G13),"-")</f>
        <v>-</v>
      </c>
      <c r="K13" s="28" t="str" cm="1">
        <f t="array" ref="K13">xlFOCUS_IfError(xlFOCUS_ExpectativasAnuais($E13,$F13,I$2,$B$3,$B$3,0,$G13),"-")</f>
        <v>-</v>
      </c>
      <c r="L13" s="29" t="str" cm="1">
        <f t="array" ref="L13">xlFOCUS_IfError(xlFOCUS_ExpectativasAnuais($E13,$F13,I$2,$B$3,$B$3,0,"numeroRespondentes"),"-")</f>
        <v>-</v>
      </c>
      <c r="M13" s="28" t="str" cm="1">
        <f t="array" ref="M13">xlFOCUS_IfError(xlFOCUS_ExpectativasAnuais($E13,$F13,I$2,$B$3,$B$3,1,$G13),"-")</f>
        <v>-</v>
      </c>
      <c r="N13" s="29" t="str" cm="1">
        <f t="array" ref="N13">xlFOCUS_IfError(xlFOCUS_ExpectativasAnuais($E13,$F13,I$2,$B$3,$B$3,1,"numeroRespondentes"),"-")</f>
        <v>-</v>
      </c>
      <c r="O13" s="28"/>
      <c r="P13" s="30" t="str" cm="1">
        <f t="array" ref="P13">xlFOCUS_IfError(xlFOCUS_ExpectativasAnuais($E13,$F13,P$2,$B$3-28,$B$3-28,0,$G13),"-")</f>
        <v>-</v>
      </c>
      <c r="Q13" s="28" t="str" cm="1">
        <f t="array" ref="Q13">xlFOCUS_IfError(xlFOCUS_ExpectativasAnuais($E13,$F13,P$2,$B$3-7,$B$3-7,0,$G13),"-")</f>
        <v>-</v>
      </c>
      <c r="R13" s="28" t="str" cm="1">
        <f t="array" ref="R13">xlFOCUS_IfError(xlFOCUS_ExpectativasAnuais($E13,$F13,P$2,$B$3,$B$3,0,$G13),"-")</f>
        <v>-</v>
      </c>
      <c r="S13" s="29" t="str" cm="1">
        <f t="array" ref="S13">xlFOCUS_IfError(xlFOCUS_ExpectativasAnuais($E13,$F13,P$2,$B$3,$B$3,0,"numeroRespondentes"),"-")</f>
        <v>-</v>
      </c>
      <c r="T13" s="28" t="str" cm="1">
        <f t="array" ref="T13">xlFOCUS_IfError(xlFOCUS_ExpectativasAnuais($E13,$F13,P$2,$B$3,$B$3,1,$G13),"-")</f>
        <v>-</v>
      </c>
      <c r="U13" s="29" t="str" cm="1">
        <f t="array" ref="U13">xlFOCUS_IfError(xlFOCUS_ExpectativasAnuais($E13,$F13,P$2,$B$3,$B$3,1,"numeroRespondentes"),"-")</f>
        <v>-</v>
      </c>
    </row>
    <row r="14" spans="1:29" x14ac:dyDescent="0.2">
      <c r="D14" s="31" t="s">
        <v>55</v>
      </c>
      <c r="E14" s="31" t="s">
        <v>56</v>
      </c>
      <c r="F14" s="46"/>
      <c r="G14" s="46" t="s">
        <v>16</v>
      </c>
      <c r="H14" s="46"/>
      <c r="I14" s="33" t="str" cm="1">
        <f t="array" ref="I14">xlFOCUS_IfError(xlFOCUS_ExpectativasAnuais($E14,$F14,I$2,$B$3-28,$B$3-28,0,$G14),"-")</f>
        <v>-</v>
      </c>
      <c r="J14" s="33" t="str" cm="1">
        <f t="array" ref="J14">xlFOCUS_IfError(xlFOCUS_ExpectativasAnuais($E14,$F14,I$2,$B$3-7,$B$3-7,0,$G14),"-")</f>
        <v>-</v>
      </c>
      <c r="K14" s="33" t="str" cm="1">
        <f t="array" ref="K14">xlFOCUS_IfError(xlFOCUS_ExpectativasAnuais($E14,$F14,I$2,$B$3,$B$3,0,$G14),"-")</f>
        <v>-</v>
      </c>
      <c r="L14" s="34" t="str" cm="1">
        <f t="array" ref="L14">xlFOCUS_IfError(xlFOCUS_ExpectativasAnuais($E14,$F14,I$2,$B$3,$B$3,0,"numeroRespondentes"),"-")</f>
        <v>-</v>
      </c>
      <c r="M14" s="33" t="str" cm="1">
        <f t="array" ref="M14">xlFOCUS_IfError(xlFOCUS_ExpectativasAnuais($E14,$F14,I$2,$B$3,$B$3,1,$G14),"-")</f>
        <v>-</v>
      </c>
      <c r="N14" s="34" t="str" cm="1">
        <f t="array" ref="N14">xlFOCUS_IfError(xlFOCUS_ExpectativasAnuais($E14,$F14,I$2,$B$3,$B$3,1,"numeroRespondentes"),"-")</f>
        <v>-</v>
      </c>
      <c r="O14" s="33"/>
      <c r="P14" s="35" t="str" cm="1">
        <f t="array" ref="P14">xlFOCUS_IfError(xlFOCUS_ExpectativasAnuais($E14,$F14,P$2,$B$3-28,$B$3-28,0,$G14),"-")</f>
        <v>-</v>
      </c>
      <c r="Q14" s="33" t="str" cm="1">
        <f t="array" ref="Q14">xlFOCUS_IfError(xlFOCUS_ExpectativasAnuais($E14,$F14,P$2,$B$3-7,$B$3-7,0,$G14),"-")</f>
        <v>-</v>
      </c>
      <c r="R14" s="33" t="str" cm="1">
        <f t="array" ref="R14">xlFOCUS_IfError(xlFOCUS_ExpectativasAnuais($E14,$F14,P$2,$B$3,$B$3,0,$G14),"-")</f>
        <v>-</v>
      </c>
      <c r="S14" s="34" t="str" cm="1">
        <f t="array" ref="S14">xlFOCUS_IfError(xlFOCUS_ExpectativasAnuais($E14,$F14,P$2,$B$3,$B$3,0,"numeroRespondentes"),"-")</f>
        <v>-</v>
      </c>
      <c r="T14" s="33" t="str" cm="1">
        <f t="array" ref="T14">xlFOCUS_IfError(xlFOCUS_ExpectativasAnuais($E14,$F14,P$2,$B$3,$B$3,1,$G14),"-")</f>
        <v>-</v>
      </c>
      <c r="U14" s="34" t="str" cm="1">
        <f t="array" ref="U14">xlFOCUS_IfError(xlFOCUS_ExpectativasAnuais($E14,$F14,P$2,$B$3,$B$3,1,"numeroRespondentes"),"-")</f>
        <v>-</v>
      </c>
    </row>
    <row r="15" spans="1:29" x14ac:dyDescent="0.2">
      <c r="D15" s="26" t="s">
        <v>57</v>
      </c>
      <c r="E15" s="26" t="s">
        <v>58</v>
      </c>
      <c r="F15" s="45"/>
      <c r="G15" s="45" t="s">
        <v>16</v>
      </c>
      <c r="H15" s="45"/>
      <c r="I15" s="28" t="str" cm="1">
        <f t="array" ref="I15">xlFOCUS_IfError(xlFOCUS_ExpectativasAnuais($E15,$F15,I$2,$B$3-28,$B$3-28,0,$G15),"-")</f>
        <v>-</v>
      </c>
      <c r="J15" s="28" t="str" cm="1">
        <f t="array" ref="J15">xlFOCUS_IfError(xlFOCUS_ExpectativasAnuais($E15,$F15,I$2,$B$3-7,$B$3-7,0,$G15),"-")</f>
        <v>-</v>
      </c>
      <c r="K15" s="28" t="str" cm="1">
        <f t="array" ref="K15">xlFOCUS_IfError(xlFOCUS_ExpectativasAnuais($E15,$F15,I$2,$B$3,$B$3,0,$G15),"-")</f>
        <v>-</v>
      </c>
      <c r="L15" s="29" t="str" cm="1">
        <f t="array" ref="L15">xlFOCUS_IfError(xlFOCUS_ExpectativasAnuais($E15,$F15,I$2,$B$3,$B$3,0,"numeroRespondentes"),"-")</f>
        <v>-</v>
      </c>
      <c r="M15" s="28" t="str" cm="1">
        <f t="array" ref="M15">xlFOCUS_IfError(xlFOCUS_ExpectativasAnuais($E15,$F15,I$2,$B$3,$B$3,1,$G15),"-")</f>
        <v>-</v>
      </c>
      <c r="N15" s="29" t="str" cm="1">
        <f t="array" ref="N15">xlFOCUS_IfError(xlFOCUS_ExpectativasAnuais($E15,$F15,I$2,$B$3,$B$3,1,"numeroRespondentes"),"-")</f>
        <v>-</v>
      </c>
      <c r="O15" s="28"/>
      <c r="P15" s="30" t="str" cm="1">
        <f t="array" ref="P15">xlFOCUS_IfError(xlFOCUS_ExpectativasAnuais($E15,$F15,P$2,$B$3-28,$B$3-28,0,$G15),"-")</f>
        <v>-</v>
      </c>
      <c r="Q15" s="28" t="str" cm="1">
        <f t="array" ref="Q15">xlFOCUS_IfError(xlFOCUS_ExpectativasAnuais($E15,$F15,P$2,$B$3-7,$B$3-7,0,$G15),"-")</f>
        <v>-</v>
      </c>
      <c r="R15" s="28" t="str" cm="1">
        <f t="array" ref="R15">xlFOCUS_IfError(xlFOCUS_ExpectativasAnuais($E15,$F15,P$2,$B$3,$B$3,0,$G15),"-")</f>
        <v>-</v>
      </c>
      <c r="S15" s="29" t="str" cm="1">
        <f t="array" ref="S15">xlFOCUS_IfError(xlFOCUS_ExpectativasAnuais($E15,$F15,P$2,$B$3,$B$3,0,"numeroRespondentes"),"-")</f>
        <v>-</v>
      </c>
      <c r="T15" s="28" t="str" cm="1">
        <f t="array" ref="T15">xlFOCUS_IfError(xlFOCUS_ExpectativasAnuais($E15,$F15,P$2,$B$3,$B$3,1,$G15),"-")</f>
        <v>-</v>
      </c>
      <c r="U15" s="29" t="str" cm="1">
        <f t="array" ref="U15">xlFOCUS_IfError(xlFOCUS_ExpectativasAnuais($E15,$F15,P$2,$B$3,$B$3,1,"numeroRespondentes"),"-")</f>
        <v>-</v>
      </c>
    </row>
    <row r="16" spans="1:29" x14ac:dyDescent="0.2">
      <c r="D16" s="15"/>
      <c r="E16" s="15"/>
      <c r="F16" s="15"/>
      <c r="G16" s="15"/>
      <c r="H16" s="15"/>
      <c r="I16" s="16"/>
      <c r="J16" s="16"/>
      <c r="K16" s="16"/>
      <c r="L16" s="16"/>
      <c r="M16" s="16"/>
      <c r="N16" s="16"/>
      <c r="O16" s="16"/>
      <c r="P16" s="22"/>
      <c r="Q16" s="16"/>
      <c r="R16" s="16"/>
      <c r="S16" s="16"/>
      <c r="T16" s="16"/>
      <c r="U16" s="16"/>
    </row>
    <row r="18" spans="5:8" x14ac:dyDescent="0.2">
      <c r="E18" s="10"/>
      <c r="F18" s="10"/>
      <c r="G18" s="11"/>
      <c r="H18" s="11"/>
    </row>
    <row r="19" spans="5:8" x14ac:dyDescent="0.2">
      <c r="E19" s="10"/>
      <c r="F19" s="10"/>
      <c r="G19" s="11"/>
      <c r="H19" s="11"/>
    </row>
    <row r="20" spans="5:8" x14ac:dyDescent="0.2">
      <c r="E20" s="10"/>
      <c r="F20" s="10"/>
      <c r="G20" s="11"/>
      <c r="H20" s="11"/>
    </row>
    <row r="21" spans="5:8" x14ac:dyDescent="0.2">
      <c r="E21" s="10"/>
      <c r="F21" s="10"/>
      <c r="G21" s="11"/>
      <c r="H21" s="11"/>
    </row>
    <row r="22" spans="5:8" x14ac:dyDescent="0.2">
      <c r="E22" s="10"/>
      <c r="F22" s="10"/>
      <c r="G22" s="11"/>
      <c r="H22" s="11"/>
    </row>
    <row r="23" spans="5:8" x14ac:dyDescent="0.2">
      <c r="E23" s="10"/>
      <c r="F23" s="10"/>
      <c r="G23" s="11"/>
      <c r="H23" s="11"/>
    </row>
    <row r="24" spans="5:8" x14ac:dyDescent="0.2">
      <c r="E24" s="10"/>
      <c r="F24" s="10"/>
      <c r="G24" s="11"/>
      <c r="H24" s="11"/>
    </row>
    <row r="25" spans="5:8" x14ac:dyDescent="0.2">
      <c r="E25" s="10"/>
      <c r="F25" s="10"/>
      <c r="G25" s="11"/>
      <c r="H25" s="11"/>
    </row>
    <row r="26" spans="5:8" x14ac:dyDescent="0.2">
      <c r="E26" s="10"/>
      <c r="F26" s="10"/>
      <c r="G26" s="11"/>
      <c r="H26" s="11"/>
    </row>
    <row r="27" spans="5:8" x14ac:dyDescent="0.2">
      <c r="E27" s="10"/>
      <c r="F27" s="10"/>
      <c r="G27" s="11"/>
      <c r="H27" s="11"/>
    </row>
    <row r="28" spans="5:8" x14ac:dyDescent="0.2">
      <c r="E28" s="10"/>
      <c r="F28" s="10"/>
      <c r="G28" s="11"/>
      <c r="H28" s="11"/>
    </row>
    <row r="29" spans="5:8" x14ac:dyDescent="0.2">
      <c r="G29" s="17"/>
      <c r="H29" s="17"/>
    </row>
    <row r="30" spans="5:8" x14ac:dyDescent="0.2">
      <c r="G30" s="17"/>
      <c r="H30" s="17"/>
    </row>
    <row r="31" spans="5:8" x14ac:dyDescent="0.2">
      <c r="G31" s="17"/>
      <c r="H31" s="17"/>
    </row>
    <row r="32" spans="5:8" x14ac:dyDescent="0.2">
      <c r="G32" s="17"/>
      <c r="H32" s="17"/>
    </row>
    <row r="33" spans="7:8" x14ac:dyDescent="0.2">
      <c r="G33" s="17"/>
      <c r="H33" s="17"/>
    </row>
    <row r="34" spans="7:8" x14ac:dyDescent="0.2">
      <c r="G34" s="17"/>
      <c r="H34" s="17"/>
    </row>
    <row r="35" spans="7:8" x14ac:dyDescent="0.2">
      <c r="G35" s="17"/>
      <c r="H35" s="17"/>
    </row>
    <row r="36" spans="7:8" x14ac:dyDescent="0.2">
      <c r="G36" s="17"/>
      <c r="H36" s="17"/>
    </row>
    <row r="37" spans="7:8" x14ac:dyDescent="0.2">
      <c r="G37" s="17"/>
      <c r="H37" s="17"/>
    </row>
    <row r="38" spans="7:8" x14ac:dyDescent="0.2">
      <c r="G38" s="17"/>
      <c r="H38" s="17"/>
    </row>
    <row r="39" spans="7:8" x14ac:dyDescent="0.2">
      <c r="G39" s="17"/>
      <c r="H39" s="17"/>
    </row>
    <row r="40" spans="7:8" x14ac:dyDescent="0.2">
      <c r="G40" s="17"/>
      <c r="H40" s="17"/>
    </row>
    <row r="41" spans="7:8" x14ac:dyDescent="0.2">
      <c r="G41" s="17"/>
      <c r="H41" s="17"/>
    </row>
    <row r="42" spans="7:8" x14ac:dyDescent="0.2">
      <c r="G42" s="17"/>
      <c r="H42" s="17"/>
    </row>
    <row r="43" spans="7:8" x14ac:dyDescent="0.2">
      <c r="G43" s="17"/>
      <c r="H43" s="17"/>
    </row>
    <row r="44" spans="7:8" x14ac:dyDescent="0.2">
      <c r="G44" s="17"/>
      <c r="H44" s="17"/>
    </row>
    <row r="45" spans="7:8" x14ac:dyDescent="0.2">
      <c r="G45" s="17"/>
      <c r="H45" s="17"/>
    </row>
    <row r="46" spans="7:8" x14ac:dyDescent="0.2">
      <c r="G46" s="17"/>
      <c r="H46" s="17"/>
    </row>
    <row r="47" spans="7:8" x14ac:dyDescent="0.2">
      <c r="G47" s="17"/>
      <c r="H47" s="17"/>
    </row>
    <row r="48" spans="7:8" x14ac:dyDescent="0.2">
      <c r="G48" s="17"/>
      <c r="H48" s="17"/>
    </row>
    <row r="49" spans="7:8" x14ac:dyDescent="0.2">
      <c r="G49" s="17"/>
      <c r="H49" s="17"/>
    </row>
    <row r="50" spans="7:8" x14ac:dyDescent="0.2">
      <c r="G50" s="17"/>
      <c r="H50" s="17"/>
    </row>
    <row r="51" spans="7:8" x14ac:dyDescent="0.2">
      <c r="G51" s="17"/>
      <c r="H51" s="17"/>
    </row>
    <row r="52" spans="7:8" x14ac:dyDescent="0.2">
      <c r="G52" s="17"/>
      <c r="H52" s="17"/>
    </row>
    <row r="53" spans="7:8" x14ac:dyDescent="0.2">
      <c r="G53" s="17"/>
      <c r="H53" s="17"/>
    </row>
    <row r="54" spans="7:8" x14ac:dyDescent="0.2">
      <c r="G54" s="17"/>
      <c r="H54" s="17"/>
    </row>
    <row r="55" spans="7:8" x14ac:dyDescent="0.2">
      <c r="G55" s="17"/>
      <c r="H55" s="17"/>
    </row>
    <row r="56" spans="7:8" x14ac:dyDescent="0.2">
      <c r="G56" s="17"/>
      <c r="H56" s="17"/>
    </row>
    <row r="57" spans="7:8" x14ac:dyDescent="0.2">
      <c r="G57" s="17"/>
      <c r="H57" s="17"/>
    </row>
    <row r="58" spans="7:8" x14ac:dyDescent="0.2">
      <c r="G58" s="17"/>
      <c r="H58" s="17"/>
    </row>
    <row r="59" spans="7:8" x14ac:dyDescent="0.2">
      <c r="G59" s="17"/>
      <c r="H59" s="17"/>
    </row>
    <row r="60" spans="7:8" x14ac:dyDescent="0.2">
      <c r="G60" s="17"/>
      <c r="H60" s="17"/>
    </row>
    <row r="61" spans="7:8" x14ac:dyDescent="0.2">
      <c r="G61" s="17"/>
      <c r="H61" s="17"/>
    </row>
    <row r="62" spans="7:8" x14ac:dyDescent="0.2">
      <c r="G62" s="17"/>
      <c r="H62" s="17"/>
    </row>
    <row r="63" spans="7:8" x14ac:dyDescent="0.2">
      <c r="G63" s="17"/>
      <c r="H63" s="17"/>
    </row>
    <row r="64" spans="7:8" x14ac:dyDescent="0.2">
      <c r="G64" s="17"/>
      <c r="H64" s="17"/>
    </row>
    <row r="65" spans="7:8" x14ac:dyDescent="0.2">
      <c r="G65" s="17"/>
      <c r="H65" s="17"/>
    </row>
    <row r="66" spans="7:8" x14ac:dyDescent="0.2">
      <c r="G66" s="17"/>
      <c r="H66" s="17"/>
    </row>
    <row r="67" spans="7:8" x14ac:dyDescent="0.2">
      <c r="G67" s="17"/>
      <c r="H67" s="17"/>
    </row>
    <row r="68" spans="7:8" x14ac:dyDescent="0.2">
      <c r="G68" s="17"/>
      <c r="H68" s="17"/>
    </row>
    <row r="69" spans="7:8" x14ac:dyDescent="0.2">
      <c r="G69" s="17"/>
      <c r="H69" s="17"/>
    </row>
    <row r="70" spans="7:8" x14ac:dyDescent="0.2">
      <c r="G70" s="17"/>
      <c r="H70" s="17"/>
    </row>
    <row r="71" spans="7:8" x14ac:dyDescent="0.2">
      <c r="G71" s="17"/>
      <c r="H71" s="17"/>
    </row>
    <row r="72" spans="7:8" x14ac:dyDescent="0.2">
      <c r="G72" s="17"/>
      <c r="H72" s="17"/>
    </row>
    <row r="73" spans="7:8" x14ac:dyDescent="0.2">
      <c r="G73" s="17"/>
      <c r="H73" s="17"/>
    </row>
    <row r="74" spans="7:8" x14ac:dyDescent="0.2">
      <c r="G74" s="17"/>
      <c r="H74" s="17"/>
    </row>
    <row r="75" spans="7:8" x14ac:dyDescent="0.2">
      <c r="G75" s="17"/>
      <c r="H75" s="17"/>
    </row>
    <row r="76" spans="7:8" x14ac:dyDescent="0.2">
      <c r="G76" s="17"/>
      <c r="H76" s="17"/>
    </row>
    <row r="77" spans="7:8" x14ac:dyDescent="0.2">
      <c r="G77" s="17"/>
      <c r="H77" s="17"/>
    </row>
    <row r="78" spans="7:8" x14ac:dyDescent="0.2">
      <c r="G78" s="17"/>
      <c r="H78" s="17"/>
    </row>
    <row r="79" spans="7:8" x14ac:dyDescent="0.2">
      <c r="G79" s="17"/>
      <c r="H79" s="17"/>
    </row>
    <row r="80" spans="7:8" x14ac:dyDescent="0.2">
      <c r="G80" s="17"/>
      <c r="H80" s="17"/>
    </row>
    <row r="81" spans="7:8" x14ac:dyDescent="0.2">
      <c r="G81" s="17"/>
      <c r="H81" s="17"/>
    </row>
    <row r="82" spans="7:8" x14ac:dyDescent="0.2">
      <c r="G82" s="17"/>
      <c r="H82" s="17"/>
    </row>
    <row r="83" spans="7:8" x14ac:dyDescent="0.2">
      <c r="G83" s="17"/>
      <c r="H83" s="17"/>
    </row>
    <row r="84" spans="7:8" x14ac:dyDescent="0.2">
      <c r="G84" s="17"/>
      <c r="H84" s="17"/>
    </row>
    <row r="85" spans="7:8" x14ac:dyDescent="0.2">
      <c r="G85" s="17"/>
      <c r="H85" s="17"/>
    </row>
    <row r="86" spans="7:8" x14ac:dyDescent="0.2">
      <c r="G86" s="17"/>
      <c r="H86" s="17"/>
    </row>
    <row r="87" spans="7:8" x14ac:dyDescent="0.2">
      <c r="G87" s="17"/>
      <c r="H87" s="17"/>
    </row>
    <row r="88" spans="7:8" x14ac:dyDescent="0.2">
      <c r="G88" s="17"/>
      <c r="H88" s="17"/>
    </row>
    <row r="89" spans="7:8" x14ac:dyDescent="0.2">
      <c r="G89" s="17"/>
      <c r="H89" s="17"/>
    </row>
    <row r="90" spans="7:8" x14ac:dyDescent="0.2">
      <c r="G90" s="17"/>
      <c r="H90" s="17"/>
    </row>
    <row r="91" spans="7:8" x14ac:dyDescent="0.2">
      <c r="G91" s="17"/>
      <c r="H91" s="17"/>
    </row>
    <row r="92" spans="7:8" x14ac:dyDescent="0.2">
      <c r="G92" s="17"/>
      <c r="H92" s="17"/>
    </row>
    <row r="93" spans="7:8" x14ac:dyDescent="0.2">
      <c r="G93" s="17"/>
      <c r="H93" s="17"/>
    </row>
    <row r="94" spans="7:8" x14ac:dyDescent="0.2">
      <c r="G94" s="17"/>
      <c r="H94" s="17"/>
    </row>
    <row r="95" spans="7:8" x14ac:dyDescent="0.2">
      <c r="G95" s="17"/>
      <c r="H95" s="17"/>
    </row>
    <row r="96" spans="7:8" x14ac:dyDescent="0.2">
      <c r="G96" s="17"/>
      <c r="H96" s="17"/>
    </row>
    <row r="97" spans="7:8" x14ac:dyDescent="0.2">
      <c r="G97" s="17"/>
      <c r="H97" s="17"/>
    </row>
    <row r="98" spans="7:8" x14ac:dyDescent="0.2">
      <c r="G98" s="17"/>
      <c r="H98" s="17"/>
    </row>
    <row r="99" spans="7:8" x14ac:dyDescent="0.2">
      <c r="G99" s="17"/>
      <c r="H99" s="17"/>
    </row>
    <row r="100" spans="7:8" x14ac:dyDescent="0.2">
      <c r="G100" s="17"/>
      <c r="H100" s="17"/>
    </row>
    <row r="101" spans="7:8" x14ac:dyDescent="0.2">
      <c r="G101" s="17"/>
      <c r="H101" s="17"/>
    </row>
    <row r="102" spans="7:8" x14ac:dyDescent="0.2">
      <c r="G102" s="17"/>
      <c r="H102" s="17"/>
    </row>
    <row r="103" spans="7:8" x14ac:dyDescent="0.2">
      <c r="G103" s="17"/>
      <c r="H103" s="17"/>
    </row>
    <row r="104" spans="7:8" x14ac:dyDescent="0.2">
      <c r="G104" s="17"/>
      <c r="H104" s="17"/>
    </row>
    <row r="105" spans="7:8" x14ac:dyDescent="0.2">
      <c r="G105" s="17"/>
      <c r="H105" s="17"/>
    </row>
    <row r="106" spans="7:8" x14ac:dyDescent="0.2">
      <c r="G106" s="17"/>
      <c r="H106" s="17"/>
    </row>
    <row r="107" spans="7:8" x14ac:dyDescent="0.2">
      <c r="G107" s="17"/>
      <c r="H107" s="17"/>
    </row>
    <row r="108" spans="7:8" x14ac:dyDescent="0.2">
      <c r="G108" s="17"/>
      <c r="H108" s="17"/>
    </row>
    <row r="109" spans="7:8" x14ac:dyDescent="0.2">
      <c r="G109" s="17"/>
      <c r="H109" s="17"/>
    </row>
    <row r="110" spans="7:8" x14ac:dyDescent="0.2">
      <c r="G110" s="17"/>
      <c r="H110" s="17"/>
    </row>
    <row r="111" spans="7:8" x14ac:dyDescent="0.2">
      <c r="G111" s="17"/>
      <c r="H111" s="17"/>
    </row>
    <row r="112" spans="7:8" x14ac:dyDescent="0.2">
      <c r="G112" s="17"/>
      <c r="H112" s="17"/>
    </row>
    <row r="113" spans="7:8" x14ac:dyDescent="0.2">
      <c r="G113" s="17"/>
      <c r="H113" s="17"/>
    </row>
    <row r="114" spans="7:8" x14ac:dyDescent="0.2">
      <c r="G114" s="17"/>
      <c r="H114" s="17"/>
    </row>
    <row r="115" spans="7:8" x14ac:dyDescent="0.2">
      <c r="G115" s="17"/>
      <c r="H115" s="17"/>
    </row>
    <row r="116" spans="7:8" x14ac:dyDescent="0.2">
      <c r="G116" s="17"/>
      <c r="H116" s="17"/>
    </row>
    <row r="117" spans="7:8" x14ac:dyDescent="0.2">
      <c r="G117" s="17"/>
      <c r="H117" s="17"/>
    </row>
    <row r="118" spans="7:8" x14ac:dyDescent="0.2">
      <c r="G118" s="17"/>
      <c r="H118" s="17"/>
    </row>
    <row r="119" spans="7:8" x14ac:dyDescent="0.2">
      <c r="G119" s="17"/>
      <c r="H119" s="17"/>
    </row>
    <row r="120" spans="7:8" x14ac:dyDescent="0.2">
      <c r="G120" s="17"/>
      <c r="H120" s="17"/>
    </row>
    <row r="121" spans="7:8" x14ac:dyDescent="0.2">
      <c r="G121" s="17"/>
      <c r="H121" s="17"/>
    </row>
    <row r="122" spans="7:8" x14ac:dyDescent="0.2">
      <c r="G122" s="17"/>
      <c r="H122" s="17"/>
    </row>
    <row r="123" spans="7:8" x14ac:dyDescent="0.2">
      <c r="G123" s="17"/>
      <c r="H123" s="17"/>
    </row>
    <row r="124" spans="7:8" x14ac:dyDescent="0.2">
      <c r="G124" s="17"/>
      <c r="H124" s="17"/>
    </row>
    <row r="125" spans="7:8" x14ac:dyDescent="0.2">
      <c r="G125" s="17"/>
      <c r="H125" s="17"/>
    </row>
    <row r="126" spans="7:8" x14ac:dyDescent="0.2">
      <c r="G126" s="17"/>
      <c r="H126" s="17"/>
    </row>
    <row r="127" spans="7:8" x14ac:dyDescent="0.2">
      <c r="G127" s="17"/>
      <c r="H127" s="17"/>
    </row>
    <row r="128" spans="7:8" x14ac:dyDescent="0.2">
      <c r="G128" s="17"/>
      <c r="H128" s="17"/>
    </row>
    <row r="129" spans="7:8" x14ac:dyDescent="0.2">
      <c r="G129" s="17"/>
      <c r="H129" s="17"/>
    </row>
    <row r="130" spans="7:8" x14ac:dyDescent="0.2">
      <c r="G130" s="17"/>
      <c r="H130" s="17"/>
    </row>
    <row r="131" spans="7:8" x14ac:dyDescent="0.2">
      <c r="G131" s="17"/>
      <c r="H131" s="17"/>
    </row>
    <row r="132" spans="7:8" x14ac:dyDescent="0.2">
      <c r="G132" s="17"/>
      <c r="H132" s="17"/>
    </row>
    <row r="133" spans="7:8" x14ac:dyDescent="0.2">
      <c r="G133" s="17"/>
      <c r="H133" s="17"/>
    </row>
    <row r="134" spans="7:8" x14ac:dyDescent="0.2">
      <c r="G134" s="17"/>
      <c r="H134" s="17"/>
    </row>
    <row r="135" spans="7:8" x14ac:dyDescent="0.2">
      <c r="G135" s="17"/>
      <c r="H135" s="17"/>
    </row>
    <row r="136" spans="7:8" x14ac:dyDescent="0.2">
      <c r="G136" s="17"/>
      <c r="H136" s="17"/>
    </row>
    <row r="137" spans="7:8" x14ac:dyDescent="0.2">
      <c r="G137" s="17"/>
      <c r="H137" s="17"/>
    </row>
    <row r="138" spans="7:8" x14ac:dyDescent="0.2">
      <c r="G138" s="17"/>
      <c r="H138" s="17"/>
    </row>
    <row r="139" spans="7:8" x14ac:dyDescent="0.2">
      <c r="G139" s="17"/>
      <c r="H139" s="17"/>
    </row>
    <row r="140" spans="7:8" x14ac:dyDescent="0.2">
      <c r="G140" s="17"/>
      <c r="H140" s="17"/>
    </row>
    <row r="141" spans="7:8" x14ac:dyDescent="0.2">
      <c r="G141" s="17"/>
      <c r="H141" s="17"/>
    </row>
    <row r="142" spans="7:8" x14ac:dyDescent="0.2">
      <c r="G142" s="17"/>
      <c r="H142" s="17"/>
    </row>
    <row r="143" spans="7:8" x14ac:dyDescent="0.2">
      <c r="G143" s="17"/>
      <c r="H143" s="17"/>
    </row>
    <row r="144" spans="7:8" x14ac:dyDescent="0.2">
      <c r="G144" s="17"/>
      <c r="H144" s="17"/>
    </row>
    <row r="145" spans="7:8" x14ac:dyDescent="0.2">
      <c r="G145" s="17"/>
      <c r="H145" s="17"/>
    </row>
    <row r="146" spans="7:8" x14ac:dyDescent="0.2">
      <c r="G146" s="17"/>
      <c r="H146" s="17"/>
    </row>
    <row r="147" spans="7:8" x14ac:dyDescent="0.2">
      <c r="G147" s="17"/>
      <c r="H147" s="17"/>
    </row>
    <row r="148" spans="7:8" x14ac:dyDescent="0.2">
      <c r="G148" s="17"/>
      <c r="H148" s="17"/>
    </row>
    <row r="149" spans="7:8" x14ac:dyDescent="0.2">
      <c r="G149" s="17"/>
      <c r="H149" s="17"/>
    </row>
    <row r="150" spans="7:8" x14ac:dyDescent="0.2">
      <c r="G150" s="17"/>
      <c r="H150" s="17"/>
    </row>
    <row r="151" spans="7:8" x14ac:dyDescent="0.2">
      <c r="G151" s="17"/>
      <c r="H151" s="17"/>
    </row>
    <row r="152" spans="7:8" x14ac:dyDescent="0.2">
      <c r="G152" s="17"/>
      <c r="H152" s="17"/>
    </row>
    <row r="153" spans="7:8" x14ac:dyDescent="0.2">
      <c r="G153" s="17"/>
      <c r="H153" s="17"/>
    </row>
    <row r="154" spans="7:8" x14ac:dyDescent="0.2">
      <c r="G154" s="17"/>
      <c r="H154" s="17"/>
    </row>
    <row r="155" spans="7:8" x14ac:dyDescent="0.2">
      <c r="G155" s="17"/>
      <c r="H155" s="17"/>
    </row>
    <row r="156" spans="7:8" x14ac:dyDescent="0.2">
      <c r="G156" s="17"/>
      <c r="H156" s="17"/>
    </row>
    <row r="157" spans="7:8" x14ac:dyDescent="0.2">
      <c r="G157" s="17"/>
      <c r="H157" s="17"/>
    </row>
    <row r="158" spans="7:8" x14ac:dyDescent="0.2">
      <c r="G158" s="17"/>
      <c r="H158" s="17"/>
    </row>
    <row r="159" spans="7:8" x14ac:dyDescent="0.2">
      <c r="G159" s="17"/>
      <c r="H159" s="17"/>
    </row>
    <row r="160" spans="7:8" x14ac:dyDescent="0.2">
      <c r="G160" s="17"/>
      <c r="H160" s="17"/>
    </row>
    <row r="161" spans="7:8" x14ac:dyDescent="0.2">
      <c r="G161" s="17"/>
      <c r="H161" s="17"/>
    </row>
    <row r="162" spans="7:8" x14ac:dyDescent="0.2">
      <c r="G162" s="17"/>
      <c r="H162" s="17"/>
    </row>
    <row r="163" spans="7:8" x14ac:dyDescent="0.2">
      <c r="G163" s="17"/>
      <c r="H163" s="17"/>
    </row>
    <row r="164" spans="7:8" x14ac:dyDescent="0.2">
      <c r="G164" s="17"/>
      <c r="H164" s="17"/>
    </row>
    <row r="165" spans="7:8" x14ac:dyDescent="0.2">
      <c r="G165" s="17"/>
      <c r="H165" s="17"/>
    </row>
    <row r="166" spans="7:8" x14ac:dyDescent="0.2">
      <c r="G166" s="17"/>
      <c r="H166" s="17"/>
    </row>
    <row r="167" spans="7:8" x14ac:dyDescent="0.2">
      <c r="G167" s="17"/>
      <c r="H167" s="17"/>
    </row>
    <row r="168" spans="7:8" x14ac:dyDescent="0.2">
      <c r="G168" s="17"/>
      <c r="H168" s="17"/>
    </row>
    <row r="169" spans="7:8" x14ac:dyDescent="0.2">
      <c r="G169" s="17"/>
      <c r="H169" s="17"/>
    </row>
    <row r="170" spans="7:8" x14ac:dyDescent="0.2">
      <c r="G170" s="17"/>
      <c r="H170" s="17"/>
    </row>
    <row r="171" spans="7:8" x14ac:dyDescent="0.2">
      <c r="G171" s="17"/>
      <c r="H171" s="17"/>
    </row>
    <row r="172" spans="7:8" x14ac:dyDescent="0.2">
      <c r="G172" s="17"/>
      <c r="H172" s="17"/>
    </row>
    <row r="173" spans="7:8" x14ac:dyDescent="0.2">
      <c r="G173" s="17"/>
      <c r="H173" s="17"/>
    </row>
    <row r="174" spans="7:8" x14ac:dyDescent="0.2">
      <c r="G174" s="17"/>
      <c r="H174" s="17"/>
    </row>
    <row r="175" spans="7:8" x14ac:dyDescent="0.2">
      <c r="G175" s="17"/>
      <c r="H175" s="17"/>
    </row>
    <row r="176" spans="7:8" x14ac:dyDescent="0.2">
      <c r="G176" s="17"/>
      <c r="H176" s="17"/>
    </row>
    <row r="177" spans="7:8" x14ac:dyDescent="0.2">
      <c r="G177" s="17"/>
      <c r="H177" s="17"/>
    </row>
    <row r="178" spans="7:8" x14ac:dyDescent="0.2">
      <c r="G178" s="17"/>
      <c r="H178" s="17"/>
    </row>
    <row r="179" spans="7:8" x14ac:dyDescent="0.2">
      <c r="G179" s="17"/>
      <c r="H179" s="17"/>
    </row>
    <row r="180" spans="7:8" x14ac:dyDescent="0.2">
      <c r="G180" s="17"/>
      <c r="H180" s="17"/>
    </row>
    <row r="181" spans="7:8" x14ac:dyDescent="0.2">
      <c r="G181" s="17"/>
      <c r="H181" s="17"/>
    </row>
    <row r="182" spans="7:8" x14ac:dyDescent="0.2">
      <c r="G182" s="17"/>
      <c r="H182" s="17"/>
    </row>
    <row r="183" spans="7:8" x14ac:dyDescent="0.2">
      <c r="G183" s="17"/>
      <c r="H183" s="17"/>
    </row>
    <row r="184" spans="7:8" x14ac:dyDescent="0.2">
      <c r="G184" s="17"/>
      <c r="H184" s="17"/>
    </row>
    <row r="185" spans="7:8" x14ac:dyDescent="0.2">
      <c r="G185" s="17"/>
      <c r="H185" s="17"/>
    </row>
    <row r="186" spans="7:8" x14ac:dyDescent="0.2">
      <c r="G186" s="17"/>
      <c r="H186" s="17"/>
    </row>
    <row r="187" spans="7:8" x14ac:dyDescent="0.2">
      <c r="G187" s="17"/>
      <c r="H187" s="17"/>
    </row>
    <row r="188" spans="7:8" x14ac:dyDescent="0.2">
      <c r="G188" s="17"/>
      <c r="H188" s="17"/>
    </row>
    <row r="189" spans="7:8" x14ac:dyDescent="0.2">
      <c r="G189" s="17"/>
      <c r="H189" s="17"/>
    </row>
    <row r="190" spans="7:8" x14ac:dyDescent="0.2">
      <c r="G190" s="17"/>
      <c r="H190" s="17"/>
    </row>
    <row r="191" spans="7:8" x14ac:dyDescent="0.2">
      <c r="G191" s="17"/>
      <c r="H191" s="17"/>
    </row>
    <row r="192" spans="7:8" x14ac:dyDescent="0.2">
      <c r="G192" s="17"/>
      <c r="H192" s="17"/>
    </row>
    <row r="193" spans="7:8" x14ac:dyDescent="0.2">
      <c r="G193" s="17"/>
      <c r="H193" s="17"/>
    </row>
    <row r="194" spans="7:8" x14ac:dyDescent="0.2">
      <c r="G194" s="17"/>
      <c r="H194" s="17"/>
    </row>
    <row r="195" spans="7:8" x14ac:dyDescent="0.2">
      <c r="G195" s="17"/>
      <c r="H195" s="17"/>
    </row>
    <row r="196" spans="7:8" x14ac:dyDescent="0.2">
      <c r="G196" s="17"/>
      <c r="H196" s="17"/>
    </row>
    <row r="197" spans="7:8" x14ac:dyDescent="0.2">
      <c r="G197" s="17"/>
      <c r="H197" s="17"/>
    </row>
    <row r="198" spans="7:8" x14ac:dyDescent="0.2">
      <c r="G198" s="17"/>
      <c r="H198" s="17"/>
    </row>
    <row r="199" spans="7:8" x14ac:dyDescent="0.2">
      <c r="G199" s="17"/>
      <c r="H199" s="17"/>
    </row>
    <row r="200" spans="7:8" x14ac:dyDescent="0.2">
      <c r="G200" s="17"/>
      <c r="H200" s="17"/>
    </row>
    <row r="201" spans="7:8" x14ac:dyDescent="0.2">
      <c r="G201" s="17"/>
      <c r="H201" s="17"/>
    </row>
    <row r="202" spans="7:8" x14ac:dyDescent="0.2">
      <c r="G202" s="17"/>
      <c r="H202" s="17"/>
    </row>
    <row r="203" spans="7:8" x14ac:dyDescent="0.2">
      <c r="G203" s="17"/>
      <c r="H203" s="17"/>
    </row>
    <row r="204" spans="7:8" x14ac:dyDescent="0.2">
      <c r="G204" s="17"/>
      <c r="H204" s="17"/>
    </row>
    <row r="205" spans="7:8" x14ac:dyDescent="0.2">
      <c r="G205" s="17"/>
      <c r="H205" s="17"/>
    </row>
    <row r="206" spans="7:8" x14ac:dyDescent="0.2">
      <c r="G206" s="17"/>
      <c r="H206" s="17"/>
    </row>
    <row r="207" spans="7:8" x14ac:dyDescent="0.2">
      <c r="G207" s="17"/>
      <c r="H207" s="17"/>
    </row>
    <row r="208" spans="7:8" x14ac:dyDescent="0.2">
      <c r="G208" s="17"/>
      <c r="H208" s="17"/>
    </row>
    <row r="209" spans="7:8" x14ac:dyDescent="0.2">
      <c r="G209" s="17"/>
      <c r="H209" s="17"/>
    </row>
    <row r="210" spans="7:8" x14ac:dyDescent="0.2">
      <c r="G210" s="17"/>
      <c r="H210" s="17"/>
    </row>
    <row r="211" spans="7:8" x14ac:dyDescent="0.2">
      <c r="G211" s="17"/>
      <c r="H211" s="17"/>
    </row>
    <row r="212" spans="7:8" x14ac:dyDescent="0.2">
      <c r="G212" s="17"/>
      <c r="H212" s="17"/>
    </row>
    <row r="213" spans="7:8" x14ac:dyDescent="0.2">
      <c r="G213" s="17"/>
      <c r="H213" s="17"/>
    </row>
    <row r="214" spans="7:8" x14ac:dyDescent="0.2">
      <c r="G214" s="17"/>
      <c r="H214" s="17"/>
    </row>
    <row r="215" spans="7:8" x14ac:dyDescent="0.2">
      <c r="G215" s="17"/>
      <c r="H215" s="17"/>
    </row>
    <row r="216" spans="7:8" x14ac:dyDescent="0.2">
      <c r="G216" s="17"/>
      <c r="H216" s="17"/>
    </row>
    <row r="217" spans="7:8" x14ac:dyDescent="0.2">
      <c r="G217" s="17"/>
      <c r="H217" s="17"/>
    </row>
    <row r="218" spans="7:8" x14ac:dyDescent="0.2">
      <c r="G218" s="17"/>
      <c r="H218" s="17"/>
    </row>
    <row r="219" spans="7:8" x14ac:dyDescent="0.2">
      <c r="G219" s="17"/>
      <c r="H219" s="17"/>
    </row>
    <row r="220" spans="7:8" x14ac:dyDescent="0.2">
      <c r="G220" s="17"/>
      <c r="H220" s="17"/>
    </row>
    <row r="221" spans="7:8" x14ac:dyDescent="0.2">
      <c r="G221" s="17"/>
      <c r="H221" s="17"/>
    </row>
    <row r="222" spans="7:8" x14ac:dyDescent="0.2">
      <c r="G222" s="17"/>
      <c r="H222" s="17"/>
    </row>
    <row r="223" spans="7:8" x14ac:dyDescent="0.2">
      <c r="G223" s="17"/>
      <c r="H223" s="17"/>
    </row>
    <row r="224" spans="7:8" x14ac:dyDescent="0.2">
      <c r="G224" s="17"/>
      <c r="H224" s="17"/>
    </row>
    <row r="225" spans="7:8" x14ac:dyDescent="0.2">
      <c r="G225" s="17"/>
      <c r="H225" s="17"/>
    </row>
    <row r="226" spans="7:8" x14ac:dyDescent="0.2">
      <c r="G226" s="17"/>
      <c r="H226" s="17"/>
    </row>
    <row r="227" spans="7:8" x14ac:dyDescent="0.2">
      <c r="G227" s="17"/>
      <c r="H227" s="17"/>
    </row>
    <row r="228" spans="7:8" x14ac:dyDescent="0.2">
      <c r="G228" s="17"/>
      <c r="H228" s="17"/>
    </row>
    <row r="229" spans="7:8" x14ac:dyDescent="0.2">
      <c r="G229" s="17"/>
      <c r="H229" s="17"/>
    </row>
    <row r="230" spans="7:8" x14ac:dyDescent="0.2">
      <c r="G230" s="17"/>
      <c r="H230" s="17"/>
    </row>
    <row r="231" spans="7:8" x14ac:dyDescent="0.2">
      <c r="G231" s="17"/>
      <c r="H231" s="17"/>
    </row>
    <row r="232" spans="7:8" x14ac:dyDescent="0.2">
      <c r="G232" s="17"/>
      <c r="H232" s="17"/>
    </row>
    <row r="233" spans="7:8" x14ac:dyDescent="0.2">
      <c r="G233" s="17"/>
      <c r="H233" s="17"/>
    </row>
    <row r="234" spans="7:8" x14ac:dyDescent="0.2">
      <c r="G234" s="17"/>
      <c r="H234" s="17"/>
    </row>
    <row r="235" spans="7:8" x14ac:dyDescent="0.2">
      <c r="G235" s="17"/>
      <c r="H235" s="17"/>
    </row>
    <row r="236" spans="7:8" x14ac:dyDescent="0.2">
      <c r="G236" s="17"/>
      <c r="H236" s="17"/>
    </row>
    <row r="237" spans="7:8" x14ac:dyDescent="0.2">
      <c r="G237" s="17"/>
      <c r="H237" s="17"/>
    </row>
    <row r="238" spans="7:8" x14ac:dyDescent="0.2">
      <c r="G238" s="17"/>
      <c r="H238" s="17"/>
    </row>
    <row r="239" spans="7:8" x14ac:dyDescent="0.2">
      <c r="G239" s="17"/>
      <c r="H239" s="17"/>
    </row>
    <row r="240" spans="7:8" x14ac:dyDescent="0.2">
      <c r="G240" s="17"/>
      <c r="H240" s="17"/>
    </row>
    <row r="241" spans="7:8" x14ac:dyDescent="0.2">
      <c r="G241" s="17"/>
      <c r="H241" s="17"/>
    </row>
    <row r="242" spans="7:8" x14ac:dyDescent="0.2">
      <c r="G242" s="17"/>
      <c r="H242" s="17"/>
    </row>
    <row r="243" spans="7:8" x14ac:dyDescent="0.2">
      <c r="G243" s="17"/>
      <c r="H243" s="17"/>
    </row>
    <row r="244" spans="7:8" x14ac:dyDescent="0.2">
      <c r="G244" s="17"/>
      <c r="H244" s="17"/>
    </row>
    <row r="245" spans="7:8" x14ac:dyDescent="0.2">
      <c r="G245" s="17"/>
      <c r="H245" s="17"/>
    </row>
    <row r="246" spans="7:8" x14ac:dyDescent="0.2">
      <c r="G246" s="17"/>
      <c r="H246" s="17"/>
    </row>
    <row r="247" spans="7:8" x14ac:dyDescent="0.2">
      <c r="G247" s="17"/>
      <c r="H247" s="17"/>
    </row>
    <row r="248" spans="7:8" x14ac:dyDescent="0.2">
      <c r="G248" s="17"/>
      <c r="H248" s="17"/>
    </row>
    <row r="249" spans="7:8" x14ac:dyDescent="0.2">
      <c r="G249" s="17"/>
      <c r="H249" s="17"/>
    </row>
    <row r="250" spans="7:8" x14ac:dyDescent="0.2">
      <c r="G250" s="17"/>
      <c r="H250" s="17"/>
    </row>
    <row r="251" spans="7:8" x14ac:dyDescent="0.2">
      <c r="G251" s="17"/>
      <c r="H251" s="17"/>
    </row>
    <row r="252" spans="7:8" x14ac:dyDescent="0.2">
      <c r="G252" s="17"/>
      <c r="H252" s="17"/>
    </row>
    <row r="253" spans="7:8" x14ac:dyDescent="0.2">
      <c r="G253" s="17"/>
      <c r="H253" s="17"/>
    </row>
    <row r="254" spans="7:8" x14ac:dyDescent="0.2">
      <c r="G254" s="17"/>
      <c r="H254" s="17"/>
    </row>
    <row r="255" spans="7:8" x14ac:dyDescent="0.2">
      <c r="G255" s="17"/>
      <c r="H255" s="17"/>
    </row>
    <row r="256" spans="7:8" x14ac:dyDescent="0.2">
      <c r="G256" s="17"/>
      <c r="H256" s="17"/>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D5" sqref="D5"/>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85" t="str">
        <f>"FOCUS forecast for "&amp;$B$3&amp;" of "&amp;PROPER(TEXT($B$5,"[$-409]mmm/aa"))</f>
        <v>FOCUS forecast for IPCA of Jan/22</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xlFOCUS_ExpectativasMensais($B$3,$B$4,$B$5,$B$6,$B$7,$B$8,$D$3:$G$3)</f>
        <v># Barra de fórmulas aberta</v>
      </c>
    </row>
    <row r="5" spans="1:16" x14ac:dyDescent="0.2">
      <c r="A5" s="3" t="s">
        <v>62</v>
      </c>
      <c r="B5" s="14">
        <v>44562</v>
      </c>
      <c r="D5" s="17"/>
    </row>
    <row r="6" spans="1:16" x14ac:dyDescent="0.2">
      <c r="A6" s="3" t="s">
        <v>63</v>
      </c>
      <c r="B6" s="14">
        <v>44197</v>
      </c>
      <c r="D6" s="17"/>
    </row>
    <row r="7" spans="1:16" x14ac:dyDescent="0.2">
      <c r="A7" s="3" t="s">
        <v>64</v>
      </c>
      <c r="B7" s="14"/>
      <c r="D7" s="17"/>
    </row>
    <row r="8" spans="1:16" x14ac:dyDescent="0.2">
      <c r="A8" s="3" t="s">
        <v>65</v>
      </c>
      <c r="B8" s="18">
        <v>1</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2" x14ac:dyDescent="0.2">
      <c r="D33" s="17"/>
    </row>
    <row r="34" spans="4:12" x14ac:dyDescent="0.2">
      <c r="D34" s="17"/>
    </row>
    <row r="35" spans="4:12" x14ac:dyDescent="0.2">
      <c r="D35" s="17"/>
    </row>
    <row r="36" spans="4:12" x14ac:dyDescent="0.2">
      <c r="D36" s="17"/>
    </row>
    <row r="37" spans="4:12" x14ac:dyDescent="0.2">
      <c r="D37" s="17"/>
    </row>
    <row r="38" spans="4:12" x14ac:dyDescent="0.2">
      <c r="D38" s="17"/>
    </row>
    <row r="39" spans="4:12" x14ac:dyDescent="0.2">
      <c r="D39" s="17"/>
      <c r="L39" s="17"/>
    </row>
    <row r="40" spans="4:12" x14ac:dyDescent="0.2">
      <c r="D40" s="17"/>
    </row>
    <row r="41" spans="4:12" x14ac:dyDescent="0.2">
      <c r="D41" s="17"/>
    </row>
    <row r="42" spans="4:12" x14ac:dyDescent="0.2">
      <c r="D42" s="17"/>
    </row>
    <row r="43" spans="4:12" x14ac:dyDescent="0.2">
      <c r="D43" s="17"/>
    </row>
    <row r="44" spans="4:12" x14ac:dyDescent="0.2">
      <c r="D44" s="17"/>
    </row>
    <row r="45" spans="4:12" x14ac:dyDescent="0.2">
      <c r="D45" s="17"/>
    </row>
    <row r="46" spans="4:12" x14ac:dyDescent="0.2">
      <c r="D46" s="17"/>
    </row>
    <row r="47" spans="4:12" x14ac:dyDescent="0.2">
      <c r="D47" s="17"/>
    </row>
    <row r="48" spans="4:12"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B14" sqref="B14"/>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85" t="str">
        <f>"FOCUS forecast for "&amp;$B$3&amp;" of Q"&amp;$B$5</f>
        <v>FOCUS forecast for PIB Total of Q4/2021</v>
      </c>
      <c r="K1" s="86"/>
      <c r="L1" s="86"/>
      <c r="M1" s="86"/>
      <c r="N1" s="86"/>
      <c r="O1" s="86"/>
      <c r="P1" s="86"/>
    </row>
    <row r="3" spans="1:16" x14ac:dyDescent="0.2">
      <c r="A3" s="3" t="s">
        <v>60</v>
      </c>
      <c r="B3" s="18" t="s">
        <v>37</v>
      </c>
      <c r="D3" s="1" t="s">
        <v>12</v>
      </c>
      <c r="E3" s="1" t="s">
        <v>14</v>
      </c>
      <c r="F3" s="1" t="s">
        <v>16</v>
      </c>
      <c r="G3" s="1" t="s">
        <v>20</v>
      </c>
    </row>
    <row r="4" spans="1:16" x14ac:dyDescent="0.2">
      <c r="A4" s="3" t="s">
        <v>61</v>
      </c>
      <c r="B4" s="18"/>
      <c r="D4" s="17" t="str" cm="1">
        <f t="array" ref="D4">xlFOCUS_ExpectativasTrimestrais($B$3,B4,B5,B6,B7,B8,D3:G3)</f>
        <v># Barra de fórmulas aberta</v>
      </c>
    </row>
    <row r="5" spans="1:16" x14ac:dyDescent="0.2">
      <c r="A5" s="3" t="s">
        <v>62</v>
      </c>
      <c r="B5" s="59" t="s">
        <v>133</v>
      </c>
      <c r="D5" s="17"/>
    </row>
    <row r="6" spans="1:16" x14ac:dyDescent="0.2">
      <c r="A6" s="3" t="s">
        <v>63</v>
      </c>
      <c r="B6" s="14"/>
      <c r="D6" s="17"/>
    </row>
    <row r="7" spans="1:16" x14ac:dyDescent="0.2">
      <c r="A7" s="3" t="s">
        <v>64</v>
      </c>
      <c r="B7" s="14"/>
      <c r="D7" s="17"/>
    </row>
    <row r="8" spans="1:16" x14ac:dyDescent="0.2">
      <c r="A8" s="3" t="s">
        <v>65</v>
      </c>
      <c r="B8" s="18">
        <v>0</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D5" sqref="D5"/>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85" t="str">
        <f>"FOCUS forecast for "&amp;$B$3&amp;" of "&amp;PROPER(TEXT($B$5,"[$-409]aaaa"))</f>
        <v>FOCUS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xlFOCUS_ExpectativasAnuais(B3,B4,B5,B6,B7,B8,D3:G3)</f>
        <v># Barra de fórmulas aberta</v>
      </c>
    </row>
    <row r="5" spans="1:16" x14ac:dyDescent="0.2">
      <c r="A5" s="3" t="s">
        <v>62</v>
      </c>
      <c r="B5" s="14">
        <v>44197</v>
      </c>
      <c r="D5" s="17"/>
    </row>
    <row r="6" spans="1:16" x14ac:dyDescent="0.2">
      <c r="A6" s="3" t="s">
        <v>63</v>
      </c>
      <c r="B6" s="14">
        <v>44013</v>
      </c>
      <c r="D6" s="17"/>
    </row>
    <row r="7" spans="1:16" x14ac:dyDescent="0.2">
      <c r="A7" s="3" t="s">
        <v>64</v>
      </c>
      <c r="B7" s="14">
        <v>44531</v>
      </c>
      <c r="D7" s="17"/>
    </row>
    <row r="8" spans="1:16" x14ac:dyDescent="0.2">
      <c r="A8" s="3" t="s">
        <v>65</v>
      </c>
      <c r="B8" s="18">
        <v>1</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D5" sqref="D5"/>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85" t="str">
        <f>"FOCUS forecast for "&amp;$B$3&amp;" 12 months ahead "</f>
        <v xml:space="preserve">FOCUS forecast for IGP-DI 12 months ahead </v>
      </c>
      <c r="K1" s="86"/>
      <c r="L1" s="86"/>
      <c r="M1" s="86"/>
      <c r="N1" s="86"/>
      <c r="O1" s="86"/>
      <c r="P1" s="86"/>
    </row>
    <row r="3" spans="1:16" x14ac:dyDescent="0.2">
      <c r="A3" s="3" t="s">
        <v>60</v>
      </c>
      <c r="B3" s="18" t="s">
        <v>113</v>
      </c>
      <c r="D3" s="1" t="s">
        <v>12</v>
      </c>
      <c r="E3" s="1" t="s">
        <v>14</v>
      </c>
      <c r="F3" s="1" t="s">
        <v>16</v>
      </c>
      <c r="G3" s="1" t="s">
        <v>20</v>
      </c>
    </row>
    <row r="4" spans="1:16" x14ac:dyDescent="0.2">
      <c r="A4" s="3" t="s">
        <v>61</v>
      </c>
      <c r="B4" s="18"/>
      <c r="D4" s="17" t="str" cm="1">
        <f t="array" ref="D4">xlFOCUS_Expectativas12Meses($B$3,B4,B5,B6,B7,B8,D3:G3)</f>
        <v># Barra de fórmulas aberta</v>
      </c>
    </row>
    <row r="5" spans="1:16" x14ac:dyDescent="0.2">
      <c r="A5" s="3" t="s">
        <v>66</v>
      </c>
      <c r="B5" s="18" t="s">
        <v>67</v>
      </c>
      <c r="D5" s="17"/>
    </row>
    <row r="6" spans="1:16" x14ac:dyDescent="0.2">
      <c r="A6" s="3" t="s">
        <v>63</v>
      </c>
      <c r="B6" s="14">
        <v>43861</v>
      </c>
      <c r="D6" s="17"/>
    </row>
    <row r="7" spans="1:16" x14ac:dyDescent="0.2">
      <c r="A7" s="3" t="s">
        <v>64</v>
      </c>
      <c r="B7" s="14">
        <v>44531</v>
      </c>
      <c r="D7" s="17"/>
    </row>
    <row r="8" spans="1:16" x14ac:dyDescent="0.2">
      <c r="A8" s="3" t="s">
        <v>65</v>
      </c>
      <c r="B8" s="18">
        <v>0</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J33" sqref="J33"/>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85" t="str">
        <f>"FOCUS TOP 5 forecast for "&amp;$B$3&amp;" of "&amp;PROPER(TEXT($B$5,"[$-409]mmm/aa"))</f>
        <v>FOCUS TOP 5 forecast for IPCA of Oct/21</v>
      </c>
      <c r="K1" s="86"/>
      <c r="L1" s="86"/>
      <c r="M1" s="86"/>
      <c r="N1" s="86"/>
      <c r="O1" s="86"/>
      <c r="P1" s="86"/>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t="str" cm="1">
        <f t="array" ref="D4">xlFOCUS_ExpectativasTop5Mensais($B$3,,B5,B6,B7,B8,D2:H2)</f>
        <v># Barra de fórmulas aberta</v>
      </c>
    </row>
    <row r="5" spans="1:16" x14ac:dyDescent="0.2">
      <c r="A5" s="3" t="s">
        <v>62</v>
      </c>
      <c r="B5" s="14">
        <v>44470</v>
      </c>
      <c r="D5" s="17"/>
    </row>
    <row r="6" spans="1:16" x14ac:dyDescent="0.2">
      <c r="A6" s="3" t="s">
        <v>63</v>
      </c>
      <c r="B6" s="14">
        <v>44378</v>
      </c>
      <c r="D6" s="17"/>
    </row>
    <row r="7" spans="1:16" x14ac:dyDescent="0.2">
      <c r="A7" s="3" t="s">
        <v>64</v>
      </c>
      <c r="B7" s="14">
        <v>44531</v>
      </c>
      <c r="D7" s="17"/>
    </row>
    <row r="8" spans="1:16" x14ac:dyDescent="0.2">
      <c r="A8" s="3" t="s">
        <v>73</v>
      </c>
      <c r="B8" s="18" t="s">
        <v>74</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B15" sqref="B1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85" t="str">
        <f>"FOCUS TOP 5 forecast for "&amp;$B$3&amp;" of "&amp;PROPER(TEXT($B$5,"[$-409]aaaa"))</f>
        <v>FOCUS TOP 5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xlFOCUS_ExpectativasTop5Anuais(B3,B4,B5,B6,B7,B8,D3:G3)</f>
        <v># Barra de fórmulas aberta</v>
      </c>
    </row>
    <row r="5" spans="1:16" x14ac:dyDescent="0.2">
      <c r="A5" s="3" t="s">
        <v>62</v>
      </c>
      <c r="B5" s="14">
        <v>44197</v>
      </c>
      <c r="D5" s="17"/>
    </row>
    <row r="6" spans="1:16" x14ac:dyDescent="0.2">
      <c r="A6" s="3" t="s">
        <v>63</v>
      </c>
      <c r="B6" s="14">
        <v>44197</v>
      </c>
      <c r="D6" s="17"/>
    </row>
    <row r="7" spans="1:16" x14ac:dyDescent="0.2">
      <c r="A7" s="3" t="s">
        <v>64</v>
      </c>
      <c r="B7" s="14">
        <v>44531</v>
      </c>
      <c r="D7" s="17"/>
    </row>
    <row r="8" spans="1:16" x14ac:dyDescent="0.2">
      <c r="A8" s="3" t="s">
        <v>73</v>
      </c>
      <c r="B8" s="18" t="s">
        <v>74</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H33" sqref="H33"/>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85" t="str">
        <f>"FOCUS forecast by Institution " &amp; $B$6 &amp; " for "&amp;$B$3&amp;" of "&amp;PROPER(TEXT($B$7,"[$-409]aaaa"))</f>
        <v>FOCUS forecast by Institution 16 for IPCA of 2020</v>
      </c>
      <c r="K1" s="86"/>
      <c r="L1" s="86"/>
      <c r="M1" s="86"/>
      <c r="N1" s="86"/>
      <c r="O1" s="86"/>
      <c r="P1" s="86"/>
    </row>
    <row r="3" spans="1:21" x14ac:dyDescent="0.2">
      <c r="A3" s="3" t="s">
        <v>60</v>
      </c>
      <c r="B3" s="18" t="s">
        <v>35</v>
      </c>
      <c r="D3" s="1" t="s">
        <v>12</v>
      </c>
      <c r="E3" s="1" t="s">
        <v>75</v>
      </c>
      <c r="F3" s="1" t="s">
        <v>76</v>
      </c>
    </row>
    <row r="4" spans="1:21" x14ac:dyDescent="0.2">
      <c r="A4" s="3" t="s">
        <v>61</v>
      </c>
      <c r="B4" s="18"/>
      <c r="D4" s="17" t="str" cm="1">
        <f t="array" ref="D4">xlFOCUS_ExpectativasInstituicoes(B3,B4,B7,B6,B8,B9,B5,D3:F3)</f>
        <v># Barra de fórmulas aberta</v>
      </c>
    </row>
    <row r="5" spans="1:21" x14ac:dyDescent="0.2">
      <c r="A5" s="3" t="s">
        <v>110</v>
      </c>
      <c r="B5" s="18" t="s">
        <v>132</v>
      </c>
      <c r="D5" s="17"/>
    </row>
    <row r="6" spans="1:21" x14ac:dyDescent="0.2">
      <c r="A6" s="3" t="s">
        <v>75</v>
      </c>
      <c r="B6" s="18">
        <v>16</v>
      </c>
      <c r="D6" s="17"/>
      <c r="U6" s="19"/>
    </row>
    <row r="7" spans="1:21" x14ac:dyDescent="0.2">
      <c r="A7" s="3" t="s">
        <v>62</v>
      </c>
      <c r="B7" s="14">
        <v>43831</v>
      </c>
      <c r="D7" s="17"/>
    </row>
    <row r="8" spans="1:21" x14ac:dyDescent="0.2">
      <c r="A8" s="3" t="s">
        <v>63</v>
      </c>
      <c r="B8" s="14">
        <v>43800</v>
      </c>
      <c r="D8" s="17"/>
    </row>
    <row r="9" spans="1:21" x14ac:dyDescent="0.2">
      <c r="A9" s="3" t="s">
        <v>64</v>
      </c>
      <c r="B9" s="14"/>
      <c r="D9" s="17"/>
    </row>
    <row r="10" spans="1:21" x14ac:dyDescent="0.2">
      <c r="D10" s="17"/>
    </row>
    <row r="11" spans="1:21" x14ac:dyDescent="0.2">
      <c r="D11" s="17"/>
    </row>
    <row r="12" spans="1:21" x14ac:dyDescent="0.2">
      <c r="D12" s="17"/>
    </row>
    <row r="13" spans="1:21" x14ac:dyDescent="0.2">
      <c r="D13" s="17"/>
    </row>
    <row r="14" spans="1:21" x14ac:dyDescent="0.2">
      <c r="D14" s="17"/>
    </row>
    <row r="15" spans="1:21" x14ac:dyDescent="0.2">
      <c r="D15" s="17"/>
    </row>
    <row r="16" spans="1:21"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A8"/>
  <sheetViews>
    <sheetView workbookViewId="0">
      <selection activeCell="A2" sqref="A2"/>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 s="8" customFormat="1" x14ac:dyDescent="0.2">
      <c r="A1" s="7" t="s">
        <v>77</v>
      </c>
    </row>
    <row r="2" spans="1:1" ht="15" x14ac:dyDescent="0.25">
      <c r="A2" s="20" t="s">
        <v>78</v>
      </c>
    </row>
    <row r="4" spans="1:1" s="8" customFormat="1" x14ac:dyDescent="0.2">
      <c r="A4" s="7" t="s">
        <v>23</v>
      </c>
    </row>
    <row r="5" spans="1:1" x14ac:dyDescent="0.2">
      <c r="A5" s="1" t="str" cm="1">
        <f t="array" ref="A5">xlFOCUS_WEBSERVICE(A2)</f>
        <v>{"@odata.context":"https://was-p.bcnet.bcb.gov.br/olinda/servico/Expectativas/versao/v1/odata$metadata#ExpectativaMercadoMensais","value":[{"Indicador":"IPCA","Data":"2000-01-03","DataReferencia":"04/2000","Media":0.6000,"Mediana":0.6000,"DesvioPadrao":0.1900,"Minimo":null,"Maximo":null,"numeroRespondentes":null,"baseCalculo":0},{"Indicador":"IPCA","Data":"2000-01-04","DataReferencia":"04/2000","Media":0.6000,"Mediana":0.6000,"DesvioPadrao":0.1900,"Minimo":null,"Maximo":null,"numeroRespondentes":null,"baseCalculo":0},{"Indicador":"IPCA","Data":"2000-01-05","DataReferencia":"04/2000","Media":0.6100,"Mediana":0.6000,"DesvioPadrao":0.1900,"Minimo":null,"Maximo":null,"numeroRespondentes":null,"baseCalculo":0},{"Indicador":"IPCA","Data":"2000-01-06","DataReferencia":"04/2000","Media":0.6000,"Mediana":0.6000,"DesvioPadrao":0.1900,"Minimo":null,"Maximo":null,"numeroRespondentes":null,"baseCalculo":0},{"Indicador":"IPCA","Data":"2000-01-07","DataReferencia":"04/2000","Media":0.6000,"Mediana":0.6000,"DesvioPadrao":0.1900,"Minimo":null,"Maximo":null,"numeroRespondentes":null,"baseCalculo":0},{"Indicador":"IPCA","Data":"2000-01-10","DataReferencia":"04/2000","Media":0.6000,"Mediana":0.6000,"DesvioPadrao":0.1900,"Minimo":null,"Maximo":null,"numeroRespondentes":null,"baseCalculo":0},{"Indicador":"IPCA","Data":"2000-01-11","DataReferencia":"04/2000","Media":0.6000,"Mediana":0.6000,"DesvioPadrao":0.1900,"Minimo":null,"Maximo":null,"numeroRespondentes":null,"baseCalculo":0},{"Indicador":"IPCA","Data":"2000-01-12","DataReferencia":"04/2000","Media":0.5800,"Mediana":0.6000,"DesvioPadrao":0.1900,"Minimo":null,"Maximo":null,"numeroRespondentes":null,"baseCalculo":0},{"Indicador":"IPCA","Data":"2000-01-13","DataReferencia":"04/2000","Media":0.5500,"Mediana":0.5000,"DesvioPadrao":0.1700,"Minimo":null,"Maximo":null,"numeroRespondentes":null,"baseCalculo":0},{"Indicador":"IPCA","Data":"2000-01-14","DataReferencia":"04/2000","Media":0.5500,"Mediana":0.5000,"DesvioPadrao":0.1700,"Minimo":null,"Maximo":null,"numeroRespondentes":null,"baseCalculo":0},{"Indicador":"IPCA","Data":"2000-01-17","DataReferencia":"04/2000","Media":0.5500,"Mediana":0.5000,"DesvioPadrao":0.1600,"Minimo":null,"Maximo":null,"numeroRespondentes":null,"baseCalculo":0},{"Indicador":"IPCA","Data":"2000-01-18","DataReferencia":"04/2000","Media":0.5400,"Mediana":0.5000,"DesvioPadrao":0.1600,"Minimo":null,"Maximo":null,"numeroRespondentes":null,"baseCalculo":0},{"Indicador":"IPCA","Data":"2000-01-19","DataReferencia":"04/2000","Media":0.5400,"Mediana":0.5000,"DesvioPadrao":0.1700,"Minimo":null,"Maximo":null,"numeroRespondentes":null,"baseCalculo":0},{"Indicador":"IPCA","Data":"2000-01-20","DataReferencia":"04/2000","Media":0.5300,"Mediana":0.5000,"DesvioPadrao":0.1700,"Minimo":null,"Maximo":null,"numeroRespondentes":null,"baseCalculo":0},{"Indicador":"IPCA","Data":"2000-01-21","DataReferencia":"04/2000","Media":0.5300,"Mediana":0.5000,"DesvioPadrao":0.1600,"Minimo":null,"Maximo":null,"numeroRespondentes":null,"baseCalculo":0},{"Indicador":"IPCA","Data":"2000-01-24","DataReferencia":"04/2000","Media":0.5300,"Mediana":0.5000,"DesvioPadrao":0.1600,"Minimo":null,"Maximo":null,"numeroRespondentes":null,"baseCalculo":0},{"Indicador":"IPCA","Data":"2000-01-25","DataReferencia":"04/2000","Media":0.5300,"Mediana":0.5000,"DesvioPadrao":0.1600,"Minimo":null,"Maximo":null,"numeroRespondentes":null,"baseCalculo":0},{"Indicador":"IPCA","Data":"2000-01-26","DataReferencia":"04/2000","Media":0.5300,"Mediana":0.5000,"DesvioPadrao":0.1600,"Minimo":null,"Maximo":null,"numeroRespondentes":null,"baseCalculo":0},{"Indicador":"IPCA","Data":"2000-01-27","DataReferencia":"04/2000","Media":0.5300,"Mediana":0.5000,"DesvioPadrao":0.1600,"Minimo":null,"Maximo":null,"numeroRespondentes":null,"baseCalculo":0},{"Indicador":"IPCA","Data":"2000-01-28","DataReferencia":"04/2000","Media":0.5300,"Mediana":0.5000,"DesvioPadrao":0.1600,"Minimo":null,"Maximo":null,"numeroRespondentes":null,"baseCalculo":0},{"Indicador":"IPCA","Data":"2000-01-31","DataReferencia":"04/2000","Media":0.5300,"Mediana":0.5000,"DesvioPadrao":0.1600,"Minimo":null,"Maximo":null,"numeroRespondentes":null,"baseCalculo":0},{"Indicador":"IPCA","Data":"2000-02-01","DataReferencia":"04/2000","Media":0.5300,"Mediana":0.5000,"DesvioPadrao":0.1600,"Minimo":null,"Maximo":null,"numeroRespondentes":null,"baseCalculo":0},{"Indicador":"IPCA","Data":"2000-02-02","DataReferencia":"04/2000","Media":0.5300,"Mediana":0.5000,"DesvioPadrao":0.1600,"Minimo":null,"Maximo":null,"numeroRespondentes":null,"baseCalculo":0},{"Indicador":"IPCA","Data":"2000-02-03","DataReferencia":"04/2000","Media":0.5300,"Mediana":0.5000,"DesvioPadrao":0.1600,"Minimo":null,"Maximo":null,"numeroRespondentes":null,"baseCalculo":0},{"Indicador":"IPCA","Data":"2000-02-04","DataReferencia":"04/2000","Media":0.5400,"Mediana":0.5000,"DesvioPadrao":0.1500,"Minimo":null,"Maximo":null,"numeroRespondentes":null,"baseCalculo":0},{"Indicador":"IPCA","Data":"2000-02-07","DataReferencia":"04/2000","Media":0.5400,"Mediana":0.5000,"DesvioPadrao":0.1500,"Minimo":null,"Maximo":null,"numeroRespondentes":null,"baseCalculo":0},{"Indicador":"IPCA","Data":"2000-02-08","DataReferencia":"04/2000","Media":0.5400,"Mediana":0.5000,"DesvioPadrao":0.1500,"Minimo":null,"Maximo":null,"numeroRespondentes":null,"baseCalculo":0},{"Indicador":"IPCA","Data":"2000-02-09","DataReferencia":"04/2000","Media":0.5300,"Mediana":0.5000,"DesvioPadrao":0.1500,"Minimo":null,"Maximo":null,"numeroRespondentes":null,"baseCalculo":0},{"Indicador":"IPCA","Data":"2000-02-10","DataReferencia":"04/2000","Media":0.5300,"Mediana":0.5000,"DesvioPadrao":0.1500,"Minimo":null,"Maximo":null,"numeroRespondentes":null,"baseCalculo":0},{"Indicador":"IPCA","Data":"2000-02-11","DataReferencia":"04/2000","Media":0.5300,"Mediana":0.5000,"DesvioPadrao":0.1500,"Minimo":null,"Maximo":null,"numeroRespondentes":null,"baseCalculo":0},{"Indicador":"IPCA","Data":"2000-02-14","DataReferencia":"04/2000","Media":0.5300,"Mediana":0.5000,"DesvioPadrao":0.1400,"Minimo":null,"Maximo":null,"numeroRespondentes":null,"baseCalculo":0},{"Indicador":"IPCA","Data":"2000-02-15","DataReferencia":"04/2000","Media":0.5300,"Mediana":0.5000,"DesvioPadrao":0.1400,"Minimo":null,"Maximo":null,"numeroRespondentes":null,"baseCalculo":0},{"Indicador":"IPCA","Data":"2000-02-16","DataReferencia":"04/2000","Media":0.5300,"Mediana":0.5000,"DesvioPadrao":0.1400,"Minimo":null,"Maximo":null,"numeroRespondentes":null,"baseCalculo":0},{"Indicador":"IPCA","Data":"2000-02-17","DataReferencia":"04/2000","Media":0.5300,"Mediana":0.5000,"DesvioPadrao":0.1500,"Minimo":null,"Maximo":null,"numeroRespondentes":null,"baseCalculo":0},{"Indicador":"IPCA","Data":"2000-02-18","DataReferencia":"04/2000","Media":0.5300,"Mediana":0.5000,"DesvioPadrao":0.1400,"Minimo":null,"Maximo":null,"numeroRespondentes":null,"baseCalculo":0},{"Indicador":"IPCA","Data":"2000-02-21","DataReferencia":"04/2000","Media":0.5400,"Mediana":0.5000,"DesvioPadrao":0.1500,"Minimo":null,"Maximo":null,"numeroRespondentes":null,"baseCalculo":0},{"Indicador":"IPCA","Data":"2000-02-22","DataReferencia":"04/2000","Media":0.5400,"Mediana":0.5000,"DesvioPadrao":0.1500,"Minimo":null,"Maximo":null,"numeroRespondentes":null,"baseCalculo":0},{"Indicador":"IPCA","Data":"2000-02-23","DataReferencia":"04/2000","Media":0.5500,"Mediana":0.5300,"DesvioPadrao":0.1400,"Minimo":null,"Maximo":null,"numeroRespondentes":null,"baseCalculo":0},{"Indicador":"IPCA","Data":"2000-02-24","DataReferencia":"04/2000","Media":0.5500,"Mediana":0.5300,"DesvioPadrao":0.1500,"Minimo":null,"Maximo":null,"numeroRespondentes":null,"baseCalculo":0},{"Indicador":"IPCA","Data":"2000-02-25","DataReferencia":"04/2000","Media":0.5500,"Mediana":0.5300,"DesvioPadrao":0.1500,"Minimo":null,"Maximo":null,"numeroRespondentes":null,"baseCalculo":0},{"Indicador":"IPCA","Data":"2000-02-28","DataReferencia":"04/2000","Media":0.5500,"Mediana":0.5300,"DesvioPadrao":0.1500,"Minimo":null,"Maximo":null,"numeroRespondentes":null,"baseCalculo":0},{"Indicador":"IPCA","Data":"2000-02-29","DataReferencia":"04/2000","Media":0.5500,"Mediana":0.5300,"DesvioPadrao":0.1500,"Minimo":null,"Maximo":null,"numeroRespondentes":null,"baseCalculo":0},{"Indicador":"IPCA","Data":"2000-03-01","DataReferencia":"04/2000","Media":0.5400,"Mediana":0.5000,"DesvioPadrao":0.1500,"Minimo":null,"Maximo":null,"numeroRespondentes":null,"baseCalculo":0},{"Indicador":"IPCA","Data":"2000-03-02","DataReferencia":"04/2000","Media":0.5300,"Mediana":0.5000,"DesvioPadrao":0.1500,"Minimo":null,"Maximo":null,"numeroRespondentes":null,"baseCalculo":0},{"Indicador":"IPCA","Data":"2000-03-03","DataReferencia":"04/2000","Media":0.5200,"Mediana":0.5200,"DesvioPadrao":0.1400,"Minimo":null,"Maximo":null,"numeroRespondentes":null,"baseCalculo":0},{"Indicador":"IPCA","Data":"2000-03-08","DataReferencia":"04/2000","Media":0.5200,"Mediana":0.5200,"DesvioPadrao":0.1400,"Minimo":null,"Maximo":null,"numeroRespondentes":null,"baseCalculo":0},{"Indicador":"IPCA","Data":"2000-03-09","DataReferencia":"04/2000","Media":0.5200,"Mediana":0.5200,"DesvioPadrao":0.1400,"Minimo":null,"Maximo":null,"numeroRespondentes":null,"baseCalculo":0},{"Indicador":"IPCA","Data":"2000-03-10","DataReferencia":"04/2000","Media":0.5200,"Mediana":0.5200,"DesvioPadrao":0.1400,"Minimo":null,"Maximo":null,"numeroRespondentes":null,"baseCalculo":0},{"Indicador":"IPCA","Data":"2000-03-13","DataReferencia":"04/2000","Media":0.5200,"Mediana":0.5400,"DesvioPadrao":0.1400,"Minimo":null,"Maximo":null,"numeroRespondentes":null,"baseCalculo":0},{"Indicador":"IPCA","Data":"2000-03-14","DataReferencia":"04/2000","Media":0.5200,"Mediana":0.5400,"DesvioPadrao":0.1400,"Minimo":null,"Maximo":null,"numeroRespondentes":null,"baseCalculo":0},{"Indicador":"IPCA","Data":"2000-03-15","DataReferencia":"04/2000","Media":0.5200,"Mediana":0.5400,"DesvioPadrao":0.1400,"Minimo":null,"Maximo":null,"numeroRespondentes":null,"baseCalculo":0},{"Indicador":"IPCA","Data":"2000-03-16","DataReferencia":"04/2000","Media":0.5100,"Mediana":0.5200,"DesvioPadrao":0.1400,"Minimo":null,"Maximo":null,"numeroRespondentes":null,"baseCalculo":0},{"Indicador":"IPCA","Data":"2000-03-17","DataReferencia":"04/2000","Media":0.4900,"Mediana":0.5000,"DesvioPadrao":0.1500,"Minimo":null,"Maximo":null,"numeroRespondentes":null,"baseCalculo":0},{"Indicador":"IPCA","Data":"2000-03-20","DataReferencia":"04/2000","Media":0.4800,"Mediana":0.4700,"DesvioPadrao":0.1400,"Minimo":null,"Maximo":null,"numeroRespondentes":null,"baseCalculo":0},{"Indicador":"IPCA","Data":"2000-03-21","DataReferencia":"04/2000","Media":0.4800,"Mediana":0.4500,"DesvioPadrao":0.1400,"Minimo":null,"Maximo":null,"numeroRespondentes":null,"baseCalculo":0},{"Indicador":"IPCA","Data":"2000-03-22","DataReferencia":"04/2000","Media":0.4800,"Mediana":0.4500,"DesvioPadrao":0.1400,"Minimo":null,"Maximo":null,"numeroRespondentes":null,"baseCalculo":0},{"Indicador":"IPCA","Data":"2000-03-23","DataReferencia":"04/2000","Media":0.4900,"Mediana":0.4900,"DesvioPadrao":0.1500,"Minimo":null,"Maximo":null,"numeroRespondentes":null,"baseCalculo":0},{"Indicador":"IPCA","Data":"2000-03-24","DataReferencia":"04/2000","Media":0.5500,"Mediana":0.5900,"DesvioPadrao":0.1500,"Minimo":null,"Maximo":null,"numeroRespondentes":null,"baseCalculo":0},{"Indicador":"IPCA","Data":"2000-03-27","DataReferencia":"04/2000","Media":0.5500,"Mediana":0.5900,"DesvioPadrao":0.1600,"Minimo":null,"Maximo":null,"numeroRespondentes":null,"baseCalculo":0},{"Indicador":"IPCA","Data":"2000-03-28","DataReferencia":"04/2000","Media":0.5500,"Mediana":0.5900,"DesvioPadrao":0.1600,"Minimo":null,"Maximo":null,"numeroRespondentes":null,"baseCalculo":0},{"Indicador":"IPCA","Data":"2000-03-29","DataReferencia":"04/2000","Media":0.5400,"Mediana":0.5500,"DesvioPadrao":0.1500,"Minimo":null,"Maximo":null,"numeroRespondentes":null,"baseCalculo":0},{"Indicador":"IPCA","Data":"2000-03-30","DataReferencia":"04/2000","Media":0.5500,"Mediana":0.5700,"DesvioPadrao":0.1500,"Minimo":null,"Maximo":null,"numeroRespondentes":null,"baseCalculo":0},{"Indicador":"IPCA","Data":"2000-03-31","DataReferencia":"04/2000","Media":0.5500,"Mediana":0.5600,"DesvioPadrao":0.1500,"Minimo":null,"Maximo":null,"numeroRespondentes":null,"baseCalculo":0},{"Indicador":"IPCA","Data":"2000-04-03","DataReferencia":"04/2000","Media":0.5500,"Mediana":0.5900,"DesvioPadrao":0.1600,"Minimo":null,"Maximo":null,"numeroRespondentes":null,"baseCalculo":0},{"Indicador":"IPCA","Data":"2000-04-04","DataReferencia":"04/2000","Media":0.5500,"Mediana":0.5900,"DesvioPadrao":0.1600,"Minimo":null,"Maximo":null,"numeroRespondentes":null,"baseCalculo":0},{"Indicador":"IPCA","Data":"2000-04-05","DataReferencia":"04/2000","Media":0.5700,"Mediana":0.6000,"DesvioPadrao":0.1600,"Minimo":null,"Maximo":null,"numeroRespondentes":null,"baseCalculo":0},{"Indicador":"IPCA","Data":"2000-04-06","DataReferencia":"04/2000","Media":0.5600,"Mediana":0.6000,"DesvioPadrao":0.1600,"Minimo":null,"Maximo":null,"numeroRespondentes":null,"baseCalculo":0},{"Indicador":"IPCA","Data":"2000-04-07","DataReferencia":"04/2000","Media":0.5600,"Mediana":0.6000,"DesvioPadrao":0.1700,"Minimo":null,"Maximo":null,"numeroRespondentes":null,"baseCalculo":0},{"Indicador":"IPCA","Data":"2000-04-10","DataReferencia":"04/2000","Media":0.5600,"Mediana":0.6000,"DesvioPadrao":0.1700,"Minimo":null,"Maximo":null,"numeroRespondentes":null,"baseCalculo":0},{"Indicador":"IPCA","Data":"2000-04-11","DataReferencia":"04/2000","Media":0.5600,"Mediana":0.6000,"DesvioPadrao":0.1700,"Minimo":null,"Maximo":null,"numeroRespondentes":null,"baseCalculo":0},{"Indicador":"IPCA","Data":"2000-04-12","DataReferencia":"04/2000","Media":0.5700,"Mediana":0.6000,"DesvioPadrao":0.1600,"Minimo":null,"Maximo":null,"numeroRespondentes":null,"baseCalculo":0},{"Indicador":"IPCA","Data":"2000-04-13","DataReferencia":"04/2000","Media":0.5700,"Mediana":0.6000,"DesvioPadrao":0.1700,"Minimo":null,"Maximo":null,"numeroRespondentes":null,"baseCalculo":0},{"Indicador":"IPCA","Data":"2000-04-14","DataReferencia":"04/2000","Media":0.5700,"Mediana":0.6000,"DesvioPadrao":0.1700,"Minimo":null,"Maximo":null,"numeroRespondentes":null,"baseCalculo":0},{"Indicador":"IPCA","Data":"2000-04-17","DataReferencia":"04/2000","Media":0.5800,"Mediana":0.6000,"DesvioPadrao":0.1600,"Minimo":null,"Maximo":null,"numeroRespondentes":null,"baseCalculo":0},{"Indicador":"IPCA","Data":"2000-04-18","DataReferencia":"04/2000","Media":0.5800,"Mediana":0.6000,"DesvioPadrao":0.1600,"Minimo":null,"Maximo":null,"numeroRespondentes":null,"baseCalculo":0},{"Indicador":"IPCA","Data":"2000-04-19","DataReferencia":"04/2000","Media":0.5700,"Mediana":0.6000,"DesvioPadrao":0.1600,"Minimo":null,"Maximo":null,"numeroRespondentes":null,"baseCalculo":0},{"Indicador":"IPCA","Data":"2000-04-20","DataReferencia":"04/2000","Media":0.5700,"Mediana":0.6000,"DesvioPadrao":0.1600,"Minimo":null,"Maximo":null,"numeroRespondentes":null,"baseCalculo":0},{"Indicador":"IPCA","Data":"2000-04-24","DataReferencia":"04/2000","Media":0.5700,"Mediana":0.6000,"DesvioPadrao":0.1600,"Minimo":null,"Maximo":null,"numeroRespondentes":null,"baseCalculo":0},{"Indicador":"IPCA","Data":"2000-04-25","DataReferencia":"04/2000","Media":0.5700,"Mediana":0.6000,"DesvioPadrao":0.1600,"Minimo":null,"Maximo":null,"numeroRespondentes":null,"baseCalculo":0},{"Indicador":"IPCA","Data":"2000-04-26","DataReferencia":"04/2000","Media":0.5700,"Mediana":0.6000,"DesvioPadrao":0.1600,"Minimo":null,"Maximo":null,"numeroRespondentes":null,"baseCalculo":0},{"Indicador":"IPCA","Data":"2000-04-27","DataReferencia":"04/2000","Media":0.5700,"Mediana":0.6000,"DesvioPadrao":0.1600,"Minimo":null,"Maximo":null,"numeroRespondentes":null,"baseCalculo":0},{"Indicador":"IPCA","Data":"2000-04-28","DataReferencia":"04/2000","Media":0.5700,"Mediana":0.6000,"DesvioPadrao":0.1600,"Minimo":null,"Maximo":null,"numeroRespondentes":null,"baseCalculo":0},{"Indicador":"IPCA","Data":"2000-05-02","DataReferencia":"04/2000","Media":0.5600,"Mediana":0.5800,"DesvioPadrao":0.1700,"Minimo":null,"Maximo":null,"numeroRespondentes":null,"baseCalculo":0},{"Indicador":"IPCA","Data":"2000-05-03","DataReferencia":"04/2000","Media":0.5600,"Mediana":0.6000,"DesvioPadrao":0.1600,"Minimo":null,"Maximo":null,"numeroRespondentes":null,"baseCalculo":0},{"Indicador":"IPCA","Data":"2000-05-04","DataReferencia":"04/2000","Media":0.5400,"Mediana":0.6000,"DesvioPadrao":0.1700,"Minimo":null,"Maximo":null,"numeroRespondentes":null,"baseCalculo":0},{"Indicador":"IPCA","Data":"2000-05-05","DataReferencia":"04/2000","Media":0.5300,"Mediana":0.5500,"DesvioPadrao":0.1600,"Minimo":null,"Maximo":null,"numeroRespondentes":null,"baseCalculo":0},{"Indicador":"IPCA","Data":"2000-05-08","DataReferencia":"04/2000","Media":0.5200,"Mediana":0.5500,"DesvioPadrao":0.1700,"Minimo":null,"Maximo":null,"numeroRespondentes":null,"baseCalculo":0},{"Indicador":"IPCA","Data":"2000-05-09","DataReferencia":"04/2000","Media":0.5100,"Mediana":0.5500,"DesvioPadrao":0.1700,"Minimo":null,"Maximo":null,"numeroRespondentes":null,"baseCalculo":0},{"Indicador":"IPCA","Data":"2000-05-10","DataReferencia":"04/2000","Media":0.5000,"Mediana":0.5000,"DesvioPadrao":0.1700,"Minimo":null,"Maximo":null,"numeroRespondentes":null,"baseCalculo":0}]}</v>
      </c>
    </row>
    <row r="7" spans="1:1" s="8" customFormat="1" x14ac:dyDescent="0.2">
      <c r="A7" s="7" t="s">
        <v>24</v>
      </c>
    </row>
    <row r="8" spans="1:1" x14ac:dyDescent="0.2">
      <c r="A8" s="1" t="str" cm="1">
        <f t="array" ref="A8">xlFOCUS_ReadJSON(A5,TRUE)</f>
        <v># Barra de fórmulas aberta</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135"/>
  <sheetViews>
    <sheetView workbookViewId="0">
      <selection activeCell="A5" sqref="A5"/>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139</v>
      </c>
    </row>
    <row r="2" spans="1:11" ht="15" x14ac:dyDescent="0.25">
      <c r="A2" s="20" t="s">
        <v>574</v>
      </c>
    </row>
    <row r="4" spans="1:11" s="8" customFormat="1" x14ac:dyDescent="0.2">
      <c r="A4" s="7" t="s">
        <v>24</v>
      </c>
    </row>
    <row r="5" spans="1:11" ht="15" x14ac:dyDescent="0.25">
      <c r="A5" s="1" t="str" cm="1">
        <f t="array" ref="A5">xlFOCUS_ReadJSONFile(A2,TRUE)</f>
        <v># Barra de fórmulas aberta</v>
      </c>
      <c r="F5"/>
      <c r="G5"/>
      <c r="H5"/>
      <c r="I5"/>
      <c r="J5"/>
      <c r="K5"/>
    </row>
    <row r="6" spans="1:11" ht="15" x14ac:dyDescent="0.25">
      <c r="F6"/>
      <c r="G6"/>
      <c r="H6"/>
      <c r="I6"/>
      <c r="J6"/>
      <c r="K6"/>
    </row>
    <row r="7" spans="1:11" ht="15" x14ac:dyDescent="0.25">
      <c r="F7"/>
      <c r="G7"/>
      <c r="H7"/>
      <c r="I7"/>
      <c r="J7"/>
      <c r="K7"/>
    </row>
    <row r="8" spans="1:11" ht="15" x14ac:dyDescent="0.25">
      <c r="F8"/>
      <c r="G8"/>
      <c r="H8"/>
      <c r="I8"/>
      <c r="J8"/>
      <c r="K8"/>
    </row>
    <row r="9" spans="1:11" ht="15" x14ac:dyDescent="0.25">
      <c r="F9"/>
      <c r="G9"/>
      <c r="H9"/>
      <c r="I9"/>
      <c r="J9"/>
      <c r="K9"/>
    </row>
    <row r="10" spans="1:11" ht="15" x14ac:dyDescent="0.25">
      <c r="F10"/>
      <c r="G10"/>
      <c r="H10"/>
      <c r="I10"/>
      <c r="J10"/>
      <c r="K10"/>
    </row>
    <row r="11" spans="1:11" ht="15" x14ac:dyDescent="0.25">
      <c r="F11"/>
      <c r="G11"/>
      <c r="H11"/>
      <c r="I11"/>
      <c r="J11"/>
      <c r="K11"/>
    </row>
    <row r="12" spans="1:11" ht="15" x14ac:dyDescent="0.25">
      <c r="F12"/>
      <c r="G12"/>
      <c r="H12"/>
      <c r="I12"/>
      <c r="J12"/>
      <c r="K12"/>
    </row>
    <row r="13" spans="1:11" ht="15" x14ac:dyDescent="0.25">
      <c r="F13"/>
      <c r="G13"/>
      <c r="H13"/>
      <c r="I13"/>
      <c r="J13"/>
      <c r="K13"/>
    </row>
    <row r="14" spans="1:11" ht="15" x14ac:dyDescent="0.25">
      <c r="F14"/>
      <c r="G14"/>
      <c r="H14"/>
      <c r="I14"/>
      <c r="J14"/>
      <c r="K14"/>
    </row>
    <row r="15" spans="1:11" ht="15" x14ac:dyDescent="0.25">
      <c r="F15"/>
      <c r="G15"/>
      <c r="H15"/>
      <c r="I15"/>
      <c r="J15"/>
      <c r="K15"/>
    </row>
    <row r="16" spans="1:11" ht="15" x14ac:dyDescent="0.25">
      <c r="F16"/>
      <c r="G16"/>
      <c r="H16"/>
      <c r="I16"/>
      <c r="J16"/>
      <c r="K16"/>
    </row>
    <row r="17" spans="6:11" ht="15" x14ac:dyDescent="0.25">
      <c r="F17"/>
      <c r="G17"/>
      <c r="H17"/>
      <c r="I17"/>
      <c r="J17"/>
      <c r="K17"/>
    </row>
    <row r="18" spans="6:11" ht="15" x14ac:dyDescent="0.25">
      <c r="F18"/>
      <c r="G18"/>
      <c r="H18"/>
      <c r="I18"/>
      <c r="J18"/>
      <c r="K18"/>
    </row>
    <row r="19" spans="6:11" ht="15" x14ac:dyDescent="0.25">
      <c r="F19"/>
      <c r="G19"/>
      <c r="H19"/>
      <c r="I19"/>
      <c r="J19"/>
      <c r="K19"/>
    </row>
    <row r="20" spans="6:11" ht="15" x14ac:dyDescent="0.25">
      <c r="F20"/>
      <c r="G20"/>
      <c r="H20"/>
      <c r="I20"/>
      <c r="J20"/>
      <c r="K20"/>
    </row>
    <row r="21" spans="6:11" ht="15" x14ac:dyDescent="0.25">
      <c r="F21"/>
      <c r="G21"/>
      <c r="H21"/>
      <c r="I21"/>
      <c r="J21"/>
      <c r="K21"/>
    </row>
    <row r="22" spans="6:11" ht="15" x14ac:dyDescent="0.25">
      <c r="F22"/>
      <c r="G22"/>
      <c r="H22"/>
      <c r="I22"/>
      <c r="J22"/>
      <c r="K22"/>
    </row>
    <row r="23" spans="6:11" ht="15" x14ac:dyDescent="0.25">
      <c r="F23"/>
      <c r="G23"/>
      <c r="H23"/>
      <c r="I23"/>
      <c r="J23"/>
      <c r="K23"/>
    </row>
    <row r="24" spans="6:11" ht="15" x14ac:dyDescent="0.25">
      <c r="F24"/>
      <c r="G24"/>
      <c r="H24"/>
      <c r="I24"/>
      <c r="J24"/>
      <c r="K24"/>
    </row>
    <row r="25" spans="6:11" ht="15" x14ac:dyDescent="0.25">
      <c r="F25"/>
      <c r="G25"/>
      <c r="H25"/>
      <c r="I25"/>
      <c r="J25"/>
      <c r="K25"/>
    </row>
    <row r="26" spans="6:11" ht="15" x14ac:dyDescent="0.25">
      <c r="F26"/>
      <c r="G26"/>
      <c r="H26"/>
      <c r="I26"/>
      <c r="J26"/>
      <c r="K26"/>
    </row>
    <row r="27" spans="6:11" ht="15" x14ac:dyDescent="0.25">
      <c r="F27"/>
      <c r="G27"/>
      <c r="H27"/>
      <c r="I27"/>
      <c r="J27"/>
      <c r="K27"/>
    </row>
    <row r="28" spans="6:11" ht="15" x14ac:dyDescent="0.25">
      <c r="F28"/>
      <c r="G28"/>
      <c r="H28"/>
      <c r="I28"/>
      <c r="J28"/>
      <c r="K28"/>
    </row>
    <row r="29" spans="6:11" ht="15" x14ac:dyDescent="0.25">
      <c r="F29"/>
      <c r="G29"/>
      <c r="H29"/>
      <c r="I29"/>
      <c r="J29"/>
      <c r="K29"/>
    </row>
    <row r="30" spans="6:11" ht="15" x14ac:dyDescent="0.25">
      <c r="F30"/>
      <c r="G30"/>
      <c r="H30"/>
      <c r="I30"/>
      <c r="J30"/>
      <c r="K30"/>
    </row>
    <row r="31" spans="6:11" ht="15" x14ac:dyDescent="0.25">
      <c r="F31"/>
      <c r="G31"/>
      <c r="H31"/>
      <c r="I31"/>
      <c r="J31"/>
      <c r="K31"/>
    </row>
    <row r="32" spans="6:11" ht="15" x14ac:dyDescent="0.25">
      <c r="F32"/>
      <c r="G32"/>
      <c r="H32"/>
      <c r="I32"/>
      <c r="J32"/>
      <c r="K32"/>
    </row>
    <row r="33" spans="6:11" ht="15" x14ac:dyDescent="0.25">
      <c r="F33"/>
      <c r="G33"/>
      <c r="H33"/>
      <c r="I33"/>
      <c r="J33"/>
      <c r="K33"/>
    </row>
    <row r="34" spans="6:11" ht="15" x14ac:dyDescent="0.25">
      <c r="F34"/>
      <c r="G34"/>
      <c r="H34"/>
      <c r="I34"/>
      <c r="J34"/>
      <c r="K34"/>
    </row>
    <row r="35" spans="6:11" ht="15" x14ac:dyDescent="0.25">
      <c r="F35"/>
      <c r="G35"/>
      <c r="H35"/>
      <c r="I35"/>
      <c r="J35"/>
      <c r="K35"/>
    </row>
    <row r="36" spans="6:11" ht="15" x14ac:dyDescent="0.25">
      <c r="F36"/>
      <c r="G36"/>
      <c r="H36"/>
      <c r="I36"/>
      <c r="J36"/>
      <c r="K36"/>
    </row>
    <row r="37" spans="6:11" ht="15" x14ac:dyDescent="0.25">
      <c r="F37"/>
      <c r="G37"/>
      <c r="H37"/>
      <c r="I37"/>
      <c r="J37"/>
      <c r="K37"/>
    </row>
    <row r="38" spans="6:11" ht="15" x14ac:dyDescent="0.25">
      <c r="F38"/>
      <c r="G38"/>
      <c r="H38"/>
      <c r="I38"/>
      <c r="J38"/>
      <c r="K38"/>
    </row>
    <row r="39" spans="6:11" ht="15" x14ac:dyDescent="0.25">
      <c r="F39"/>
      <c r="G39"/>
      <c r="H39"/>
      <c r="I39"/>
      <c r="J39"/>
      <c r="K39"/>
    </row>
    <row r="40" spans="6:11" ht="15" x14ac:dyDescent="0.25">
      <c r="F40"/>
      <c r="G40"/>
      <c r="H40"/>
      <c r="I40"/>
      <c r="J40"/>
      <c r="K40"/>
    </row>
    <row r="41" spans="6:11" ht="15" x14ac:dyDescent="0.25">
      <c r="F41"/>
      <c r="G41"/>
      <c r="H41"/>
      <c r="I41"/>
      <c r="J41"/>
      <c r="K41"/>
    </row>
    <row r="42" spans="6:11" ht="15" x14ac:dyDescent="0.25">
      <c r="F42"/>
      <c r="G42"/>
      <c r="H42"/>
      <c r="I42"/>
      <c r="J42"/>
      <c r="K42"/>
    </row>
    <row r="43" spans="6:11" ht="15" x14ac:dyDescent="0.25">
      <c r="F43"/>
      <c r="G43"/>
      <c r="H43"/>
      <c r="I43"/>
      <c r="J43"/>
      <c r="K43"/>
    </row>
    <row r="44" spans="6:11" ht="15" x14ac:dyDescent="0.25">
      <c r="F44"/>
      <c r="G44"/>
      <c r="H44"/>
      <c r="I44"/>
      <c r="J44"/>
      <c r="K44"/>
    </row>
    <row r="45" spans="6:11" ht="15" x14ac:dyDescent="0.25">
      <c r="F45"/>
      <c r="G45"/>
      <c r="H45"/>
      <c r="I45"/>
      <c r="J45"/>
      <c r="K45"/>
    </row>
    <row r="46" spans="6:11" ht="15" x14ac:dyDescent="0.25">
      <c r="F46"/>
      <c r="G46"/>
      <c r="H46"/>
      <c r="I46"/>
      <c r="J46"/>
      <c r="K46"/>
    </row>
    <row r="47" spans="6:11" ht="15" x14ac:dyDescent="0.25">
      <c r="F47"/>
      <c r="G47"/>
      <c r="H47"/>
      <c r="I47"/>
      <c r="J47"/>
      <c r="K47"/>
    </row>
    <row r="48" spans="6:11" ht="15" x14ac:dyDescent="0.25">
      <c r="F48"/>
      <c r="G48"/>
      <c r="H48"/>
      <c r="I48"/>
      <c r="J48"/>
      <c r="K48"/>
    </row>
    <row r="49" spans="6:11" ht="15" x14ac:dyDescent="0.25">
      <c r="F49"/>
      <c r="G49"/>
      <c r="H49"/>
      <c r="I49"/>
      <c r="J49"/>
      <c r="K49"/>
    </row>
    <row r="50" spans="6:11" ht="15" x14ac:dyDescent="0.25">
      <c r="F50"/>
      <c r="G50"/>
      <c r="H50"/>
      <c r="I50"/>
      <c r="J50"/>
      <c r="K50"/>
    </row>
    <row r="51" spans="6:11" ht="15" x14ac:dyDescent="0.25">
      <c r="F51"/>
      <c r="G51"/>
      <c r="H51"/>
      <c r="I51"/>
      <c r="J51"/>
      <c r="K51"/>
    </row>
    <row r="52" spans="6:11" ht="15" x14ac:dyDescent="0.25">
      <c r="F52"/>
      <c r="G52"/>
      <c r="H52"/>
      <c r="I52"/>
      <c r="J52"/>
      <c r="K52"/>
    </row>
    <row r="53" spans="6:11" ht="15" x14ac:dyDescent="0.25">
      <c r="F53"/>
      <c r="G53"/>
      <c r="H53"/>
      <c r="I53"/>
      <c r="J53"/>
      <c r="K53"/>
    </row>
    <row r="54" spans="6:11" ht="15" x14ac:dyDescent="0.25">
      <c r="F54"/>
      <c r="G54"/>
      <c r="H54"/>
      <c r="I54"/>
      <c r="J54"/>
      <c r="K54"/>
    </row>
    <row r="55" spans="6:11" ht="15" x14ac:dyDescent="0.25">
      <c r="F55"/>
      <c r="G55"/>
      <c r="H55"/>
      <c r="I55"/>
      <c r="J55"/>
      <c r="K55"/>
    </row>
    <row r="56" spans="6:11" ht="15" x14ac:dyDescent="0.25">
      <c r="F56"/>
      <c r="G56"/>
      <c r="H56"/>
      <c r="I56"/>
      <c r="J56"/>
      <c r="K56"/>
    </row>
    <row r="57" spans="6:11" ht="15" x14ac:dyDescent="0.25">
      <c r="F57"/>
      <c r="G57"/>
      <c r="H57"/>
      <c r="I57"/>
      <c r="J57"/>
      <c r="K57"/>
    </row>
    <row r="58" spans="6:11" ht="15" x14ac:dyDescent="0.25">
      <c r="F58"/>
      <c r="G58"/>
      <c r="H58"/>
      <c r="I58"/>
      <c r="J58"/>
      <c r="K58"/>
    </row>
    <row r="59" spans="6:11" ht="15" x14ac:dyDescent="0.25">
      <c r="F59"/>
      <c r="G59"/>
      <c r="H59"/>
      <c r="I59"/>
      <c r="J59"/>
      <c r="K59"/>
    </row>
    <row r="60" spans="6:11" ht="15" x14ac:dyDescent="0.25">
      <c r="F60"/>
      <c r="G60"/>
      <c r="H60"/>
      <c r="I60"/>
      <c r="J60"/>
      <c r="K60"/>
    </row>
    <row r="61" spans="6:11" ht="15" x14ac:dyDescent="0.25">
      <c r="F61"/>
      <c r="G61"/>
      <c r="H61"/>
      <c r="I61"/>
      <c r="J61"/>
      <c r="K61"/>
    </row>
    <row r="62" spans="6:11" ht="15" x14ac:dyDescent="0.25">
      <c r="F62"/>
      <c r="G62"/>
      <c r="H62"/>
      <c r="I62"/>
      <c r="J62"/>
      <c r="K62"/>
    </row>
    <row r="63" spans="6:11" ht="15" x14ac:dyDescent="0.25">
      <c r="F63"/>
      <c r="G63"/>
      <c r="H63"/>
      <c r="I63"/>
      <c r="J63"/>
      <c r="K63"/>
    </row>
    <row r="64" spans="6:11" ht="15" x14ac:dyDescent="0.25">
      <c r="F64"/>
      <c r="G64"/>
      <c r="H64"/>
      <c r="I64"/>
      <c r="J64"/>
      <c r="K64"/>
    </row>
    <row r="65" spans="6:11" ht="15" x14ac:dyDescent="0.25">
      <c r="F65"/>
      <c r="G65"/>
      <c r="H65"/>
      <c r="I65"/>
      <c r="J65"/>
      <c r="K65"/>
    </row>
    <row r="66" spans="6:11" ht="15" x14ac:dyDescent="0.25">
      <c r="F66"/>
      <c r="G66"/>
      <c r="H66"/>
      <c r="I66"/>
      <c r="J66"/>
      <c r="K66"/>
    </row>
    <row r="67" spans="6:11" ht="15" x14ac:dyDescent="0.25">
      <c r="F67"/>
      <c r="G67"/>
      <c r="H67"/>
      <c r="I67"/>
      <c r="J67"/>
      <c r="K67"/>
    </row>
    <row r="68" spans="6:11" ht="15" x14ac:dyDescent="0.25">
      <c r="F68"/>
      <c r="G68"/>
      <c r="H68"/>
      <c r="I68"/>
      <c r="J68"/>
      <c r="K68"/>
    </row>
    <row r="69" spans="6:11" ht="15" x14ac:dyDescent="0.25">
      <c r="F69"/>
      <c r="G69"/>
      <c r="H69"/>
      <c r="I69"/>
      <c r="J69"/>
      <c r="K69"/>
    </row>
    <row r="70" spans="6:11" ht="15" x14ac:dyDescent="0.25">
      <c r="F70"/>
      <c r="G70"/>
      <c r="H70"/>
      <c r="I70"/>
      <c r="J70"/>
      <c r="K70"/>
    </row>
    <row r="71" spans="6:11" ht="15" x14ac:dyDescent="0.25">
      <c r="F71"/>
      <c r="G71"/>
      <c r="H71"/>
      <c r="I71"/>
      <c r="J71"/>
      <c r="K71"/>
    </row>
    <row r="72" spans="6:11" ht="15" x14ac:dyDescent="0.25">
      <c r="F72"/>
      <c r="G72"/>
      <c r="H72"/>
      <c r="I72"/>
      <c r="J72"/>
      <c r="K72"/>
    </row>
    <row r="73" spans="6:11" ht="15" x14ac:dyDescent="0.25">
      <c r="F73"/>
      <c r="G73"/>
      <c r="H73"/>
      <c r="I73"/>
      <c r="J73"/>
      <c r="K73"/>
    </row>
    <row r="74" spans="6:11" ht="15" x14ac:dyDescent="0.25">
      <c r="F74"/>
      <c r="G74"/>
      <c r="H74"/>
      <c r="I74"/>
      <c r="J74"/>
      <c r="K74"/>
    </row>
    <row r="75" spans="6:11" ht="15" x14ac:dyDescent="0.25">
      <c r="F75"/>
      <c r="G75"/>
      <c r="H75"/>
      <c r="I75"/>
      <c r="J75"/>
      <c r="K75"/>
    </row>
    <row r="76" spans="6:11" ht="15" x14ac:dyDescent="0.25">
      <c r="F76"/>
      <c r="G76"/>
      <c r="H76"/>
      <c r="I76"/>
      <c r="J76"/>
      <c r="K76"/>
    </row>
    <row r="77" spans="6:11" ht="15" x14ac:dyDescent="0.25">
      <c r="F77"/>
      <c r="G77"/>
      <c r="H77"/>
      <c r="I77"/>
      <c r="J77"/>
      <c r="K77"/>
    </row>
    <row r="78" spans="6:11" ht="15" x14ac:dyDescent="0.25">
      <c r="F78"/>
      <c r="G78"/>
      <c r="H78"/>
      <c r="I78"/>
      <c r="J78"/>
      <c r="K78"/>
    </row>
    <row r="79" spans="6:11" ht="15" x14ac:dyDescent="0.25">
      <c r="F79"/>
      <c r="G79"/>
      <c r="H79"/>
      <c r="I79"/>
      <c r="J79"/>
      <c r="K79"/>
    </row>
    <row r="80" spans="6:11" ht="15" x14ac:dyDescent="0.25">
      <c r="F80"/>
      <c r="G80"/>
      <c r="H80"/>
      <c r="I80"/>
      <c r="J80"/>
      <c r="K80"/>
    </row>
    <row r="81" spans="6:11" ht="15" x14ac:dyDescent="0.25">
      <c r="F81"/>
      <c r="G81"/>
      <c r="H81"/>
      <c r="I81"/>
      <c r="J81"/>
      <c r="K81"/>
    </row>
    <row r="82" spans="6:11" ht="15" x14ac:dyDescent="0.25">
      <c r="F82"/>
      <c r="G82"/>
      <c r="H82"/>
      <c r="I82"/>
      <c r="J82"/>
      <c r="K82"/>
    </row>
    <row r="83" spans="6:11" ht="15" x14ac:dyDescent="0.25">
      <c r="F83"/>
      <c r="G83"/>
      <c r="H83"/>
      <c r="I83"/>
      <c r="J83"/>
      <c r="K83"/>
    </row>
    <row r="84" spans="6:11" ht="15" x14ac:dyDescent="0.25">
      <c r="F84"/>
      <c r="G84"/>
      <c r="H84"/>
      <c r="I84"/>
      <c r="J84"/>
      <c r="K84"/>
    </row>
    <row r="85" spans="6:11" ht="15" x14ac:dyDescent="0.25">
      <c r="F85"/>
      <c r="G85"/>
      <c r="H85"/>
      <c r="I85"/>
      <c r="J85"/>
      <c r="K85"/>
    </row>
    <row r="86" spans="6:11" ht="15" x14ac:dyDescent="0.25">
      <c r="F86"/>
      <c r="G86"/>
      <c r="H86"/>
      <c r="I86"/>
      <c r="J86"/>
      <c r="K86"/>
    </row>
    <row r="87" spans="6:11" ht="15" x14ac:dyDescent="0.25">
      <c r="F87"/>
      <c r="G87"/>
      <c r="H87"/>
      <c r="I87"/>
      <c r="J87"/>
      <c r="K87"/>
    </row>
    <row r="88" spans="6:11" ht="15" x14ac:dyDescent="0.25">
      <c r="F88"/>
      <c r="G88"/>
      <c r="H88"/>
      <c r="I88"/>
      <c r="J88"/>
      <c r="K88"/>
    </row>
    <row r="89" spans="6:11" ht="15" x14ac:dyDescent="0.25">
      <c r="F89"/>
      <c r="G89"/>
      <c r="H89"/>
      <c r="I89"/>
      <c r="J89"/>
      <c r="K89"/>
    </row>
    <row r="90" spans="6:11" ht="15" x14ac:dyDescent="0.25">
      <c r="F90"/>
      <c r="G90"/>
      <c r="H90"/>
      <c r="I90"/>
      <c r="J90"/>
      <c r="K90"/>
    </row>
    <row r="91" spans="6:11" ht="15" x14ac:dyDescent="0.25">
      <c r="F91"/>
      <c r="G91"/>
      <c r="H91"/>
      <c r="I91"/>
      <c r="J91"/>
      <c r="K91"/>
    </row>
    <row r="92" spans="6:11" ht="15" x14ac:dyDescent="0.25">
      <c r="F92"/>
      <c r="G92"/>
      <c r="H92"/>
      <c r="I92"/>
      <c r="J92"/>
      <c r="K92"/>
    </row>
    <row r="93" spans="6:11" ht="15" x14ac:dyDescent="0.25">
      <c r="F93"/>
      <c r="G93"/>
      <c r="H93"/>
      <c r="I93"/>
      <c r="J93"/>
      <c r="K93"/>
    </row>
    <row r="94" spans="6:11" ht="15" x14ac:dyDescent="0.25">
      <c r="F94"/>
      <c r="G94"/>
      <c r="H94"/>
      <c r="I94"/>
      <c r="J94"/>
      <c r="K94"/>
    </row>
    <row r="95" spans="6:11" ht="15" x14ac:dyDescent="0.25">
      <c r="F95"/>
      <c r="G95"/>
      <c r="H95"/>
      <c r="I95"/>
      <c r="J95"/>
      <c r="K95"/>
    </row>
    <row r="96" spans="6:11" ht="15" x14ac:dyDescent="0.25">
      <c r="F96"/>
      <c r="G96"/>
      <c r="H96"/>
      <c r="I96"/>
      <c r="J96"/>
      <c r="K96"/>
    </row>
    <row r="97" spans="6:11" ht="15" x14ac:dyDescent="0.25">
      <c r="F97"/>
      <c r="G97"/>
      <c r="H97"/>
      <c r="I97"/>
      <c r="J97"/>
      <c r="K97"/>
    </row>
    <row r="98" spans="6:11" ht="15" x14ac:dyDescent="0.25">
      <c r="F98"/>
      <c r="G98"/>
      <c r="H98"/>
      <c r="I98"/>
      <c r="J98"/>
      <c r="K98"/>
    </row>
    <row r="99" spans="6:11" ht="15" x14ac:dyDescent="0.25">
      <c r="F99"/>
      <c r="G99"/>
      <c r="H99"/>
      <c r="I99"/>
      <c r="J99"/>
      <c r="K99"/>
    </row>
    <row r="100" spans="6:11" ht="15" x14ac:dyDescent="0.25">
      <c r="F100"/>
      <c r="G100"/>
      <c r="H100"/>
      <c r="I100"/>
      <c r="J100"/>
      <c r="K100"/>
    </row>
    <row r="101" spans="6:11" ht="15" x14ac:dyDescent="0.25">
      <c r="F101"/>
      <c r="G101"/>
      <c r="H101"/>
      <c r="I101"/>
      <c r="J101"/>
      <c r="K101"/>
    </row>
    <row r="102" spans="6:11" ht="15" x14ac:dyDescent="0.25">
      <c r="F102"/>
      <c r="G102"/>
      <c r="H102"/>
      <c r="I102"/>
      <c r="J102"/>
      <c r="K102"/>
    </row>
    <row r="103" spans="6:11" ht="15" x14ac:dyDescent="0.25">
      <c r="F103"/>
      <c r="G103"/>
      <c r="H103"/>
      <c r="I103"/>
      <c r="J103"/>
      <c r="K103"/>
    </row>
    <row r="104" spans="6:11" ht="15" x14ac:dyDescent="0.25">
      <c r="F104"/>
      <c r="G104"/>
      <c r="H104"/>
      <c r="I104"/>
      <c r="J104"/>
      <c r="K104"/>
    </row>
    <row r="105" spans="6:11" ht="15" x14ac:dyDescent="0.25">
      <c r="F105"/>
      <c r="G105"/>
      <c r="H105"/>
      <c r="I105"/>
      <c r="J105"/>
      <c r="K105"/>
    </row>
    <row r="106" spans="6:11" ht="15" x14ac:dyDescent="0.25">
      <c r="F106"/>
      <c r="G106"/>
      <c r="H106"/>
      <c r="I106"/>
      <c r="J106"/>
      <c r="K106"/>
    </row>
    <row r="107" spans="6:11" ht="15" x14ac:dyDescent="0.25">
      <c r="F107"/>
      <c r="G107"/>
      <c r="H107"/>
      <c r="I107"/>
      <c r="J107"/>
      <c r="K107"/>
    </row>
    <row r="108" spans="6:11" ht="15" x14ac:dyDescent="0.25">
      <c r="F108"/>
      <c r="G108"/>
      <c r="H108"/>
      <c r="I108"/>
      <c r="J108"/>
      <c r="K108"/>
    </row>
    <row r="109" spans="6:11" ht="15" x14ac:dyDescent="0.25">
      <c r="F109"/>
      <c r="G109"/>
      <c r="H109"/>
      <c r="I109"/>
      <c r="J109"/>
      <c r="K109"/>
    </row>
    <row r="110" spans="6:11" ht="15" x14ac:dyDescent="0.25">
      <c r="F110"/>
      <c r="G110"/>
      <c r="H110"/>
      <c r="I110"/>
      <c r="J110"/>
      <c r="K110"/>
    </row>
    <row r="111" spans="6:11" ht="15" x14ac:dyDescent="0.25">
      <c r="F111"/>
      <c r="G111"/>
      <c r="H111"/>
      <c r="I111"/>
      <c r="J111"/>
      <c r="K111"/>
    </row>
    <row r="112" spans="6:11" ht="15" x14ac:dyDescent="0.25">
      <c r="F112"/>
      <c r="G112"/>
      <c r="H112"/>
      <c r="I112"/>
      <c r="J112"/>
      <c r="K112"/>
    </row>
    <row r="113" spans="6:11" ht="15" x14ac:dyDescent="0.25">
      <c r="F113"/>
      <c r="G113"/>
      <c r="H113"/>
      <c r="I113"/>
      <c r="J113"/>
      <c r="K113"/>
    </row>
    <row r="114" spans="6:11" ht="15" x14ac:dyDescent="0.25">
      <c r="F114"/>
      <c r="G114"/>
      <c r="H114"/>
      <c r="I114"/>
      <c r="J114"/>
      <c r="K114"/>
    </row>
    <row r="115" spans="6:11" ht="15" x14ac:dyDescent="0.25">
      <c r="F115"/>
      <c r="G115"/>
      <c r="H115"/>
      <c r="I115"/>
      <c r="J115"/>
      <c r="K115"/>
    </row>
    <row r="116" spans="6:11" ht="15" x14ac:dyDescent="0.25">
      <c r="F116"/>
      <c r="G116"/>
      <c r="H116"/>
      <c r="I116"/>
      <c r="J116"/>
      <c r="K116"/>
    </row>
    <row r="117" spans="6:11" ht="15" x14ac:dyDescent="0.25">
      <c r="F117"/>
      <c r="G117"/>
      <c r="H117"/>
      <c r="I117"/>
      <c r="J117"/>
      <c r="K117"/>
    </row>
    <row r="118" spans="6:11" ht="15" x14ac:dyDescent="0.25">
      <c r="F118"/>
      <c r="G118"/>
      <c r="H118"/>
      <c r="I118"/>
      <c r="J118"/>
      <c r="K118"/>
    </row>
    <row r="119" spans="6:11" ht="15" x14ac:dyDescent="0.25">
      <c r="F119"/>
      <c r="G119"/>
      <c r="H119"/>
      <c r="I119"/>
      <c r="J119"/>
      <c r="K119"/>
    </row>
    <row r="120" spans="6:11" ht="15" x14ac:dyDescent="0.25">
      <c r="F120"/>
      <c r="G120"/>
      <c r="H120"/>
      <c r="I120"/>
      <c r="J120"/>
      <c r="K120"/>
    </row>
    <row r="121" spans="6:11" ht="15" x14ac:dyDescent="0.25">
      <c r="F121"/>
      <c r="G121"/>
      <c r="H121"/>
      <c r="I121"/>
      <c r="J121"/>
      <c r="K121"/>
    </row>
    <row r="122" spans="6:11" ht="15" x14ac:dyDescent="0.25">
      <c r="F122"/>
      <c r="G122"/>
      <c r="H122"/>
      <c r="I122"/>
      <c r="J122"/>
      <c r="K122"/>
    </row>
    <row r="123" spans="6:11" ht="15" x14ac:dyDescent="0.25">
      <c r="F123"/>
      <c r="G123"/>
      <c r="H123"/>
      <c r="I123"/>
      <c r="J123"/>
      <c r="K123"/>
    </row>
    <row r="124" spans="6:11" ht="15" x14ac:dyDescent="0.25">
      <c r="F124"/>
      <c r="G124"/>
      <c r="H124"/>
      <c r="I124"/>
      <c r="J124"/>
      <c r="K124"/>
    </row>
    <row r="125" spans="6:11" ht="15" x14ac:dyDescent="0.25">
      <c r="F125"/>
      <c r="G125"/>
      <c r="H125"/>
      <c r="I125"/>
      <c r="J125"/>
      <c r="K125"/>
    </row>
    <row r="126" spans="6:11" ht="15" x14ac:dyDescent="0.25">
      <c r="F126"/>
      <c r="G126"/>
      <c r="H126"/>
      <c r="I126"/>
      <c r="J126"/>
      <c r="K126"/>
    </row>
    <row r="127" spans="6:11" ht="15" x14ac:dyDescent="0.25">
      <c r="F127"/>
      <c r="G127"/>
      <c r="H127"/>
      <c r="I127"/>
      <c r="J127"/>
      <c r="K127"/>
    </row>
    <row r="128" spans="6:11" ht="15" x14ac:dyDescent="0.25">
      <c r="F128"/>
      <c r="G128"/>
      <c r="H128"/>
      <c r="I128"/>
      <c r="J128"/>
      <c r="K128"/>
    </row>
    <row r="129" spans="6:11" ht="15" x14ac:dyDescent="0.25">
      <c r="F129"/>
      <c r="G129"/>
      <c r="H129"/>
      <c r="I129"/>
      <c r="J129"/>
      <c r="K129"/>
    </row>
    <row r="130" spans="6:11" ht="15" x14ac:dyDescent="0.25">
      <c r="F130"/>
      <c r="G130"/>
      <c r="H130"/>
      <c r="I130"/>
      <c r="J130"/>
      <c r="K130"/>
    </row>
    <row r="131" spans="6:11" ht="15" x14ac:dyDescent="0.25">
      <c r="F131"/>
      <c r="G131"/>
      <c r="H131"/>
      <c r="I131"/>
      <c r="J131"/>
      <c r="K131"/>
    </row>
    <row r="132" spans="6:11" ht="15" x14ac:dyDescent="0.25">
      <c r="F132"/>
      <c r="G132"/>
      <c r="H132"/>
      <c r="I132"/>
      <c r="J132"/>
      <c r="K132"/>
    </row>
    <row r="133" spans="6:11" ht="15" x14ac:dyDescent="0.25">
      <c r="F133"/>
      <c r="G133"/>
      <c r="H133"/>
      <c r="I133"/>
      <c r="J133"/>
      <c r="K133"/>
    </row>
    <row r="134" spans="6:11" ht="15" x14ac:dyDescent="0.25">
      <c r="F134"/>
      <c r="G134"/>
      <c r="H134"/>
      <c r="I134"/>
      <c r="J134"/>
      <c r="K134"/>
    </row>
    <row r="135" spans="6:11" ht="15" x14ac:dyDescent="0.25">
      <c r="F135"/>
      <c r="G135"/>
      <c r="H135"/>
      <c r="I135"/>
      <c r="J135"/>
      <c r="K135"/>
    </row>
  </sheetData>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07"/>
  <sheetViews>
    <sheetView workbookViewId="0">
      <selection activeCell="D6" sqref="D6"/>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146</v>
      </c>
      <c r="I1" s="3" t="s">
        <v>59</v>
      </c>
      <c r="J1" s="85" t="str">
        <f>"Indicator values for SGS series "&amp;$B$4</f>
        <v>Indicator values for SGS series 433</v>
      </c>
      <c r="K1" s="86"/>
      <c r="L1" s="86"/>
      <c r="M1" s="86"/>
      <c r="N1" s="86"/>
      <c r="O1" s="86"/>
      <c r="P1" s="86"/>
    </row>
    <row r="3" spans="1:16"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t="str" cm="1">
        <f t="array" ref="D5">xlFOCUS_SGS($B$4,B5,B6,B7,B8)</f>
        <v># Barra de fórmulas aberta</v>
      </c>
      <c r="E5" s="11"/>
    </row>
    <row r="6" spans="1:16" x14ac:dyDescent="0.2">
      <c r="A6" s="3" t="s">
        <v>64</v>
      </c>
      <c r="B6" s="14"/>
      <c r="D6" s="17"/>
      <c r="E6" s="11"/>
    </row>
    <row r="7" spans="1:16" x14ac:dyDescent="0.2">
      <c r="A7" s="3" t="s">
        <v>148</v>
      </c>
      <c r="B7" s="18"/>
      <c r="D7" s="17"/>
      <c r="E7" s="11"/>
    </row>
    <row r="8" spans="1:16" x14ac:dyDescent="0.2">
      <c r="A8" s="3" t="s">
        <v>147</v>
      </c>
      <c r="B8" s="18">
        <v>2</v>
      </c>
      <c r="D8" s="17"/>
      <c r="E8" s="11"/>
    </row>
    <row r="9" spans="1:16" x14ac:dyDescent="0.2">
      <c r="D9" s="17"/>
      <c r="E9" s="11"/>
    </row>
    <row r="10" spans="1:16" x14ac:dyDescent="0.2">
      <c r="D10" s="17"/>
      <c r="E10" s="11"/>
    </row>
    <row r="11" spans="1:16" x14ac:dyDescent="0.2">
      <c r="D11" s="17"/>
      <c r="E11" s="11"/>
    </row>
    <row r="12" spans="1:16" x14ac:dyDescent="0.2">
      <c r="D12" s="17"/>
      <c r="E12" s="11"/>
    </row>
    <row r="13" spans="1:16" x14ac:dyDescent="0.2">
      <c r="D13" s="17"/>
      <c r="E13" s="11"/>
    </row>
    <row r="14" spans="1:16" x14ac:dyDescent="0.2">
      <c r="D14" s="17"/>
      <c r="E14" s="11"/>
    </row>
    <row r="15" spans="1:16" x14ac:dyDescent="0.2">
      <c r="D15" s="17"/>
      <c r="E15" s="11"/>
    </row>
    <row r="16" spans="1:16" x14ac:dyDescent="0.2">
      <c r="D16" s="17"/>
      <c r="E16" s="11"/>
    </row>
    <row r="17" spans="4:5" x14ac:dyDescent="0.2">
      <c r="D17" s="17"/>
      <c r="E17" s="11"/>
    </row>
    <row r="18" spans="4:5" x14ac:dyDescent="0.2">
      <c r="D18" s="17"/>
      <c r="E18" s="11"/>
    </row>
    <row r="19" spans="4:5" x14ac:dyDescent="0.2">
      <c r="D19" s="17"/>
      <c r="E19" s="11"/>
    </row>
    <row r="20" spans="4:5" x14ac:dyDescent="0.2">
      <c r="D20" s="17"/>
      <c r="E20" s="11"/>
    </row>
    <row r="21" spans="4:5" x14ac:dyDescent="0.2">
      <c r="D21" s="17"/>
      <c r="E21" s="11"/>
    </row>
    <row r="22" spans="4:5" x14ac:dyDescent="0.2">
      <c r="D22" s="17"/>
      <c r="E22" s="11"/>
    </row>
    <row r="23" spans="4:5" x14ac:dyDescent="0.2">
      <c r="D23" s="17"/>
      <c r="E23" s="11"/>
    </row>
    <row r="24" spans="4:5" x14ac:dyDescent="0.2">
      <c r="D24" s="17"/>
      <c r="E24" s="11"/>
    </row>
    <row r="25" spans="4:5" x14ac:dyDescent="0.2">
      <c r="D25" s="17"/>
      <c r="E25" s="11"/>
    </row>
    <row r="26" spans="4:5" x14ac:dyDescent="0.2">
      <c r="D26" s="17"/>
      <c r="E26" s="11"/>
    </row>
    <row r="27" spans="4:5" x14ac:dyDescent="0.2">
      <c r="D27" s="17"/>
      <c r="E27" s="11"/>
    </row>
    <row r="28" spans="4:5" x14ac:dyDescent="0.2">
      <c r="D28" s="17"/>
      <c r="E28" s="11"/>
    </row>
    <row r="29" spans="4:5" x14ac:dyDescent="0.2">
      <c r="D29" s="17"/>
      <c r="E29" s="11"/>
    </row>
    <row r="30" spans="4:5" x14ac:dyDescent="0.2">
      <c r="D30" s="17"/>
      <c r="E30" s="11"/>
    </row>
    <row r="31" spans="4:5" x14ac:dyDescent="0.2">
      <c r="D31" s="17"/>
      <c r="E31" s="11"/>
    </row>
    <row r="32" spans="4:5" x14ac:dyDescent="0.2">
      <c r="D32" s="17"/>
      <c r="E32" s="11"/>
    </row>
    <row r="33" spans="4:12" x14ac:dyDescent="0.2">
      <c r="D33" s="17"/>
      <c r="E33" s="11"/>
    </row>
    <row r="34" spans="4:12" x14ac:dyDescent="0.2">
      <c r="D34" s="17"/>
      <c r="E34" s="11"/>
    </row>
    <row r="35" spans="4:12" x14ac:dyDescent="0.2">
      <c r="D35" s="17"/>
      <c r="E35" s="11"/>
    </row>
    <row r="36" spans="4:12" x14ac:dyDescent="0.2">
      <c r="D36" s="17"/>
      <c r="E36" s="11"/>
    </row>
    <row r="37" spans="4:12" x14ac:dyDescent="0.2">
      <c r="D37" s="17"/>
      <c r="E37" s="11"/>
    </row>
    <row r="38" spans="4:12" x14ac:dyDescent="0.2">
      <c r="D38" s="17"/>
      <c r="E38" s="11"/>
    </row>
    <row r="39" spans="4:12" x14ac:dyDescent="0.2">
      <c r="D39" s="17"/>
      <c r="E39" s="11"/>
    </row>
    <row r="40" spans="4:12" x14ac:dyDescent="0.2">
      <c r="D40" s="17"/>
      <c r="E40" s="11"/>
      <c r="L40" s="17"/>
    </row>
    <row r="41" spans="4:12" x14ac:dyDescent="0.2">
      <c r="D41" s="17"/>
      <c r="E41" s="11"/>
    </row>
    <row r="42" spans="4:12" x14ac:dyDescent="0.2">
      <c r="D42" s="17"/>
      <c r="E42" s="11"/>
    </row>
    <row r="43" spans="4:12" x14ac:dyDescent="0.2">
      <c r="D43" s="17"/>
      <c r="E43" s="11"/>
    </row>
    <row r="44" spans="4:12" x14ac:dyDescent="0.2">
      <c r="D44" s="17"/>
      <c r="E44" s="11"/>
    </row>
    <row r="45" spans="4:12" x14ac:dyDescent="0.2">
      <c r="D45" s="17"/>
      <c r="E45" s="11"/>
    </row>
    <row r="46" spans="4:12" x14ac:dyDescent="0.2">
      <c r="D46" s="17"/>
      <c r="E46" s="11"/>
    </row>
    <row r="47" spans="4:12" x14ac:dyDescent="0.2">
      <c r="D47" s="17"/>
      <c r="E47" s="11"/>
    </row>
    <row r="48" spans="4:12" x14ac:dyDescent="0.2">
      <c r="D48" s="17"/>
      <c r="E48" s="11"/>
    </row>
    <row r="49" spans="4:5" x14ac:dyDescent="0.2">
      <c r="D49" s="17"/>
      <c r="E49" s="11"/>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135"/>
  <sheetViews>
    <sheetView topLeftCell="D1" workbookViewId="0">
      <selection activeCell="L3" sqref="L3"/>
    </sheetView>
  </sheetViews>
  <sheetFormatPr defaultRowHeight="12.75" x14ac:dyDescent="0.2"/>
  <cols>
    <col min="1" max="1" width="9.140625" style="1"/>
    <col min="2" max="2" width="46.28515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139</v>
      </c>
    </row>
    <row r="2" spans="1:29" ht="15" x14ac:dyDescent="0.25">
      <c r="A2" s="20" t="s">
        <v>575</v>
      </c>
    </row>
    <row r="3" spans="1:29" ht="15" x14ac:dyDescent="0.25">
      <c r="K3" s="60" t="s">
        <v>276</v>
      </c>
      <c r="L3" t="s">
        <v>511</v>
      </c>
    </row>
    <row r="4" spans="1:29" s="8" customFormat="1" x14ac:dyDescent="0.2">
      <c r="A4" s="7" t="s">
        <v>24</v>
      </c>
    </row>
    <row r="5" spans="1:29" ht="15" x14ac:dyDescent="0.25">
      <c r="A5" s="1" t="str" cm="1">
        <f t="array" ref="A5">xlFOCUS_ReadJSONFile(A2,TRUE)</f>
        <v># Barra de fórmulas aberta</v>
      </c>
      <c r="F5"/>
      <c r="G5"/>
      <c r="H5"/>
      <c r="I5"/>
      <c r="J5"/>
      <c r="K5" s="60" t="s">
        <v>275</v>
      </c>
      <c r="L5" s="60" t="s">
        <v>175</v>
      </c>
      <c r="M5"/>
      <c r="N5"/>
      <c r="O5"/>
      <c r="P5"/>
      <c r="Q5"/>
      <c r="R5"/>
      <c r="S5"/>
      <c r="T5"/>
      <c r="U5"/>
      <c r="V5"/>
      <c r="W5"/>
      <c r="X5"/>
      <c r="Y5"/>
      <c r="Z5"/>
      <c r="AA5"/>
      <c r="AB5"/>
      <c r="AC5"/>
    </row>
    <row r="6" spans="1:29" ht="15" x14ac:dyDescent="0.25">
      <c r="F6"/>
      <c r="G6"/>
      <c r="H6"/>
      <c r="I6"/>
      <c r="J6"/>
      <c r="K6" s="60" t="s">
        <v>149</v>
      </c>
      <c r="L6" t="s">
        <v>176</v>
      </c>
      <c r="M6" t="s">
        <v>178</v>
      </c>
      <c r="N6" t="s">
        <v>510</v>
      </c>
      <c r="O6" t="s">
        <v>173</v>
      </c>
      <c r="P6"/>
      <c r="Q6"/>
      <c r="R6"/>
      <c r="S6"/>
      <c r="T6"/>
      <c r="U6"/>
      <c r="V6"/>
      <c r="W6"/>
      <c r="X6"/>
      <c r="Y6"/>
      <c r="Z6"/>
      <c r="AA6"/>
      <c r="AB6"/>
      <c r="AC6"/>
    </row>
    <row r="7" spans="1:29" ht="15" x14ac:dyDescent="0.25">
      <c r="F7"/>
      <c r="G7"/>
      <c r="H7"/>
      <c r="I7"/>
      <c r="J7"/>
      <c r="K7" s="61" t="s">
        <v>179</v>
      </c>
      <c r="L7" s="62">
        <v>10.38</v>
      </c>
      <c r="M7" s="62">
        <v>9.7899999999999991</v>
      </c>
      <c r="N7" s="62"/>
      <c r="O7" s="62">
        <v>10.38</v>
      </c>
      <c r="P7"/>
      <c r="Q7"/>
      <c r="R7"/>
      <c r="S7"/>
      <c r="T7"/>
      <c r="U7"/>
      <c r="V7"/>
      <c r="W7"/>
      <c r="X7"/>
      <c r="Y7"/>
      <c r="Z7"/>
      <c r="AA7"/>
      <c r="AB7"/>
      <c r="AC7"/>
    </row>
    <row r="8" spans="1:29" ht="15" x14ac:dyDescent="0.25">
      <c r="F8"/>
      <c r="G8"/>
      <c r="H8"/>
      <c r="I8"/>
      <c r="J8"/>
      <c r="K8" s="61" t="s">
        <v>180</v>
      </c>
      <c r="L8" s="62">
        <v>10.16</v>
      </c>
      <c r="M8" s="62">
        <v>9.7100000000000009</v>
      </c>
      <c r="N8" s="62"/>
      <c r="O8" s="62">
        <v>10.16</v>
      </c>
      <c r="P8"/>
      <c r="Q8"/>
      <c r="R8"/>
      <c r="S8"/>
      <c r="T8"/>
      <c r="U8"/>
      <c r="V8"/>
      <c r="W8"/>
      <c r="X8"/>
      <c r="Y8"/>
      <c r="Z8"/>
      <c r="AA8"/>
      <c r="AB8"/>
      <c r="AC8"/>
    </row>
    <row r="9" spans="1:29" ht="15" x14ac:dyDescent="0.25">
      <c r="F9"/>
      <c r="G9"/>
      <c r="H9"/>
      <c r="I9"/>
      <c r="J9"/>
      <c r="K9" s="61" t="s">
        <v>181</v>
      </c>
      <c r="L9" s="62">
        <v>10.06</v>
      </c>
      <c r="M9" s="62">
        <v>9.75</v>
      </c>
      <c r="N9" s="62"/>
      <c r="O9" s="62">
        <v>10.06</v>
      </c>
      <c r="P9"/>
      <c r="Q9"/>
      <c r="R9"/>
      <c r="S9"/>
      <c r="T9"/>
      <c r="U9"/>
      <c r="V9"/>
      <c r="W9"/>
      <c r="X9"/>
      <c r="Y9"/>
      <c r="Z9"/>
      <c r="AA9"/>
      <c r="AB9"/>
      <c r="AC9"/>
    </row>
    <row r="10" spans="1:29" ht="15" x14ac:dyDescent="0.25">
      <c r="F10"/>
      <c r="G10"/>
      <c r="H10"/>
      <c r="I10"/>
      <c r="J10"/>
      <c r="K10" s="61" t="s">
        <v>182</v>
      </c>
      <c r="L10" s="62">
        <v>10.17</v>
      </c>
      <c r="M10" s="62">
        <v>9.66</v>
      </c>
      <c r="N10" s="62"/>
      <c r="O10" s="62">
        <v>10.17</v>
      </c>
      <c r="P10"/>
      <c r="Q10"/>
      <c r="R10"/>
      <c r="S10"/>
      <c r="T10"/>
      <c r="U10"/>
      <c r="V10"/>
      <c r="W10"/>
      <c r="X10"/>
      <c r="Y10"/>
      <c r="Z10"/>
      <c r="AA10"/>
      <c r="AB10"/>
      <c r="AC10"/>
    </row>
    <row r="11" spans="1:29" ht="15" x14ac:dyDescent="0.25">
      <c r="F11"/>
      <c r="G11"/>
      <c r="H11"/>
      <c r="I11"/>
      <c r="J11"/>
      <c r="K11" s="61" t="s">
        <v>183</v>
      </c>
      <c r="L11" s="62">
        <v>10.25</v>
      </c>
      <c r="M11" s="62">
        <v>9.67</v>
      </c>
      <c r="N11" s="62"/>
      <c r="O11" s="62">
        <v>10.25</v>
      </c>
      <c r="P11"/>
      <c r="Q11"/>
      <c r="R11"/>
      <c r="S11"/>
      <c r="T11"/>
      <c r="U11"/>
      <c r="V11"/>
      <c r="W11"/>
      <c r="X11"/>
      <c r="Y11"/>
      <c r="Z11"/>
      <c r="AA11"/>
      <c r="AB11"/>
      <c r="AC11"/>
    </row>
    <row r="12" spans="1:29" ht="15" x14ac:dyDescent="0.25">
      <c r="F12"/>
      <c r="G12"/>
      <c r="H12"/>
      <c r="I12"/>
      <c r="J12"/>
      <c r="K12" s="61" t="s">
        <v>184</v>
      </c>
      <c r="L12" s="62">
        <v>9.99</v>
      </c>
      <c r="M12" s="62">
        <v>9.44</v>
      </c>
      <c r="N12" s="62"/>
      <c r="O12" s="62">
        <v>9.99</v>
      </c>
      <c r="P12"/>
      <c r="Q12"/>
      <c r="R12"/>
      <c r="S12"/>
      <c r="T12"/>
      <c r="U12"/>
      <c r="V12"/>
      <c r="W12"/>
      <c r="X12"/>
      <c r="Y12"/>
      <c r="Z12"/>
      <c r="AA12"/>
      <c r="AB12"/>
      <c r="AC12"/>
    </row>
    <row r="13" spans="1:29" ht="15" x14ac:dyDescent="0.25">
      <c r="F13"/>
      <c r="G13"/>
      <c r="H13"/>
      <c r="I13"/>
      <c r="J13"/>
      <c r="K13" s="61" t="s">
        <v>185</v>
      </c>
      <c r="L13" s="62">
        <v>9.9</v>
      </c>
      <c r="M13" s="62">
        <v>9.34</v>
      </c>
      <c r="N13" s="62"/>
      <c r="O13" s="62">
        <v>9.9</v>
      </c>
      <c r="P13"/>
      <c r="Q13"/>
      <c r="R13"/>
      <c r="S13"/>
      <c r="T13"/>
      <c r="U13"/>
      <c r="V13"/>
      <c r="W13"/>
      <c r="X13"/>
      <c r="Y13"/>
      <c r="Z13"/>
      <c r="AA13"/>
      <c r="AB13"/>
      <c r="AC13"/>
    </row>
    <row r="14" spans="1:29" ht="15" x14ac:dyDescent="0.25">
      <c r="F14"/>
      <c r="G14"/>
      <c r="H14"/>
      <c r="I14"/>
      <c r="J14"/>
      <c r="K14" s="61" t="s">
        <v>186</v>
      </c>
      <c r="L14" s="62">
        <v>9.83</v>
      </c>
      <c r="M14" s="62">
        <v>9.18</v>
      </c>
      <c r="N14" s="62"/>
      <c r="O14" s="62">
        <v>9.83</v>
      </c>
      <c r="P14"/>
      <c r="Q14"/>
      <c r="R14"/>
      <c r="S14"/>
      <c r="T14"/>
      <c r="U14"/>
      <c r="V14"/>
      <c r="W14"/>
      <c r="X14"/>
      <c r="Y14"/>
      <c r="Z14"/>
      <c r="AA14"/>
      <c r="AB14"/>
      <c r="AC14"/>
    </row>
    <row r="15" spans="1:29" ht="15" x14ac:dyDescent="0.25">
      <c r="F15"/>
      <c r="G15"/>
      <c r="H15"/>
      <c r="I15"/>
      <c r="J15"/>
      <c r="K15" s="61" t="s">
        <v>187</v>
      </c>
      <c r="L15" s="62">
        <v>9.6199999999999992</v>
      </c>
      <c r="M15" s="62">
        <v>9.25</v>
      </c>
      <c r="N15" s="62"/>
      <c r="O15" s="62">
        <v>9.6199999999999992</v>
      </c>
      <c r="P15"/>
      <c r="Q15"/>
      <c r="R15"/>
      <c r="S15"/>
      <c r="T15"/>
      <c r="U15"/>
      <c r="V15"/>
      <c r="W15"/>
      <c r="X15"/>
      <c r="Y15"/>
      <c r="Z15"/>
      <c r="AA15"/>
      <c r="AB15"/>
      <c r="AC15"/>
    </row>
    <row r="16" spans="1:29" ht="15" x14ac:dyDescent="0.25">
      <c r="F16"/>
      <c r="G16"/>
      <c r="H16"/>
      <c r="I16"/>
      <c r="J16"/>
      <c r="K16" s="61" t="s">
        <v>188</v>
      </c>
      <c r="L16" s="62">
        <v>9.6199999999999992</v>
      </c>
      <c r="M16" s="62">
        <v>9.07</v>
      </c>
      <c r="N16" s="62"/>
      <c r="O16" s="62">
        <v>9.6199999999999992</v>
      </c>
      <c r="P16"/>
      <c r="Q16"/>
      <c r="R16"/>
      <c r="S16"/>
      <c r="T16"/>
      <c r="U16"/>
      <c r="V16"/>
      <c r="W16"/>
      <c r="X16"/>
      <c r="Y16"/>
      <c r="Z16"/>
      <c r="AA16"/>
      <c r="AB16"/>
      <c r="AC16"/>
    </row>
    <row r="17" spans="6:29" ht="15" x14ac:dyDescent="0.25">
      <c r="F17"/>
      <c r="G17"/>
      <c r="H17"/>
      <c r="I17"/>
      <c r="J17"/>
      <c r="K17" s="61" t="s">
        <v>189</v>
      </c>
      <c r="L17" s="62">
        <v>9.51</v>
      </c>
      <c r="M17" s="62">
        <v>9.18</v>
      </c>
      <c r="N17" s="62"/>
      <c r="O17" s="62">
        <v>9.51</v>
      </c>
      <c r="P17"/>
      <c r="Q17"/>
      <c r="R17"/>
      <c r="S17"/>
      <c r="T17"/>
      <c r="U17"/>
      <c r="V17"/>
      <c r="W17"/>
      <c r="X17"/>
      <c r="Y17"/>
      <c r="Z17"/>
      <c r="AA17"/>
      <c r="AB17"/>
      <c r="AC17"/>
    </row>
    <row r="18" spans="6:29" ht="15" x14ac:dyDescent="0.25">
      <c r="F18"/>
      <c r="G18"/>
      <c r="H18"/>
      <c r="I18"/>
      <c r="J18"/>
      <c r="K18" s="61" t="s">
        <v>190</v>
      </c>
      <c r="L18" s="62">
        <v>9.5500000000000007</v>
      </c>
      <c r="M18" s="62">
        <v>9.0399999999999991</v>
      </c>
      <c r="N18" s="62"/>
      <c r="O18" s="62">
        <v>9.5500000000000007</v>
      </c>
      <c r="P18"/>
      <c r="Q18"/>
      <c r="R18"/>
      <c r="S18"/>
      <c r="T18"/>
      <c r="U18"/>
      <c r="V18"/>
      <c r="W18"/>
      <c r="X18"/>
      <c r="Y18"/>
      <c r="Z18"/>
      <c r="AA18"/>
      <c r="AB18"/>
      <c r="AC18"/>
    </row>
    <row r="19" spans="6:29" ht="15" x14ac:dyDescent="0.25">
      <c r="F19"/>
      <c r="G19"/>
      <c r="H19"/>
      <c r="I19"/>
      <c r="J19"/>
      <c r="K19" s="61" t="s">
        <v>191</v>
      </c>
      <c r="L19" s="62">
        <v>9.25</v>
      </c>
      <c r="M19" s="62">
        <v>8.9600000000000009</v>
      </c>
      <c r="N19" s="62"/>
      <c r="O19" s="62">
        <v>9.25</v>
      </c>
      <c r="P19"/>
      <c r="Q19"/>
      <c r="R19"/>
      <c r="S19"/>
      <c r="T19"/>
      <c r="U19"/>
      <c r="V19"/>
      <c r="W19"/>
      <c r="X19"/>
      <c r="Y19"/>
      <c r="Z19"/>
      <c r="AA19"/>
      <c r="AB19"/>
      <c r="AC19"/>
    </row>
    <row r="20" spans="6:29" ht="15" x14ac:dyDescent="0.25">
      <c r="F20"/>
      <c r="G20"/>
      <c r="H20"/>
      <c r="I20"/>
      <c r="J20"/>
      <c r="K20" s="61" t="s">
        <v>192</v>
      </c>
      <c r="L20" s="62">
        <v>9.4</v>
      </c>
      <c r="M20" s="62">
        <v>8.81</v>
      </c>
      <c r="N20" s="62"/>
      <c r="O20" s="62">
        <v>9.4</v>
      </c>
      <c r="P20"/>
      <c r="Q20"/>
      <c r="R20"/>
      <c r="S20"/>
      <c r="T20"/>
      <c r="U20"/>
      <c r="V20"/>
      <c r="W20"/>
      <c r="X20"/>
      <c r="Y20"/>
      <c r="Z20"/>
      <c r="AA20"/>
      <c r="AB20"/>
      <c r="AC20"/>
    </row>
    <row r="21" spans="6:29" ht="15" x14ac:dyDescent="0.25">
      <c r="F21"/>
      <c r="G21"/>
      <c r="H21"/>
      <c r="I21"/>
      <c r="J21"/>
      <c r="K21" s="61" t="s">
        <v>193</v>
      </c>
      <c r="L21" s="62">
        <v>9.07</v>
      </c>
      <c r="M21" s="62">
        <v>8.75</v>
      </c>
      <c r="N21" s="62"/>
      <c r="O21" s="62">
        <v>9.07</v>
      </c>
      <c r="P21"/>
      <c r="Q21"/>
      <c r="R21"/>
      <c r="S21"/>
      <c r="T21"/>
      <c r="U21"/>
      <c r="V21"/>
      <c r="W21"/>
      <c r="X21"/>
      <c r="Y21"/>
      <c r="Z21"/>
      <c r="AA21"/>
      <c r="AB21"/>
      <c r="AC21"/>
    </row>
    <row r="22" spans="6:29" ht="15" x14ac:dyDescent="0.25">
      <c r="F22"/>
      <c r="G22"/>
      <c r="H22"/>
      <c r="I22"/>
      <c r="J22"/>
      <c r="K22" s="61" t="s">
        <v>194</v>
      </c>
      <c r="L22" s="62">
        <v>8.83</v>
      </c>
      <c r="M22" s="62">
        <v>8.7100000000000009</v>
      </c>
      <c r="N22" s="62"/>
      <c r="O22" s="62">
        <v>8.83</v>
      </c>
      <c r="P22"/>
      <c r="Q22"/>
      <c r="R22"/>
      <c r="S22"/>
      <c r="T22"/>
      <c r="U22"/>
      <c r="V22"/>
      <c r="W22"/>
      <c r="X22"/>
      <c r="Y22"/>
      <c r="Z22"/>
      <c r="AA22"/>
      <c r="AB22"/>
      <c r="AC22"/>
    </row>
    <row r="23" spans="6:29" ht="15" x14ac:dyDescent="0.25">
      <c r="F23"/>
      <c r="G23"/>
      <c r="H23"/>
      <c r="I23"/>
      <c r="J23"/>
      <c r="K23" s="61" t="s">
        <v>195</v>
      </c>
      <c r="L23" s="62">
        <v>8.7200000000000006</v>
      </c>
      <c r="M23" s="62">
        <v>8.67</v>
      </c>
      <c r="N23" s="62"/>
      <c r="O23" s="62">
        <v>8.7200000000000006</v>
      </c>
      <c r="P23"/>
      <c r="Q23"/>
      <c r="R23"/>
      <c r="S23"/>
      <c r="T23"/>
      <c r="U23"/>
      <c r="V23"/>
      <c r="W23"/>
      <c r="X23"/>
      <c r="Y23"/>
      <c r="Z23"/>
      <c r="AA23"/>
      <c r="AB23"/>
      <c r="AC23"/>
    </row>
    <row r="24" spans="6:29" ht="15" x14ac:dyDescent="0.25">
      <c r="F24"/>
      <c r="G24"/>
      <c r="H24"/>
      <c r="I24"/>
      <c r="J24"/>
      <c r="K24" s="61" t="s">
        <v>196</v>
      </c>
      <c r="L24" s="62">
        <v>8.64</v>
      </c>
      <c r="M24" s="62">
        <v>8.67</v>
      </c>
      <c r="N24" s="62"/>
      <c r="O24" s="62">
        <v>8.67</v>
      </c>
      <c r="P24"/>
      <c r="Q24"/>
      <c r="R24"/>
      <c r="S24"/>
      <c r="T24"/>
      <c r="U24"/>
      <c r="V24"/>
      <c r="W24"/>
      <c r="X24"/>
      <c r="Y24"/>
      <c r="Z24"/>
      <c r="AA24"/>
      <c r="AB24"/>
      <c r="AC24"/>
    </row>
    <row r="25" spans="6:29" ht="15" x14ac:dyDescent="0.25">
      <c r="F25"/>
      <c r="G25"/>
      <c r="H25"/>
      <c r="I25"/>
      <c r="J25"/>
      <c r="K25" s="61" t="s">
        <v>197</v>
      </c>
      <c r="L25" s="62">
        <v>8.6999999999999993</v>
      </c>
      <c r="M25" s="62">
        <v>8.57</v>
      </c>
      <c r="N25" s="62"/>
      <c r="O25" s="62">
        <v>8.6999999999999993</v>
      </c>
      <c r="P25"/>
      <c r="Q25"/>
      <c r="R25"/>
      <c r="S25"/>
      <c r="T25"/>
      <c r="U25"/>
      <c r="V25"/>
      <c r="W25"/>
      <c r="X25"/>
      <c r="Y25"/>
      <c r="Z25"/>
      <c r="AA25"/>
      <c r="AB25"/>
      <c r="AC25"/>
    </row>
    <row r="26" spans="6:29" ht="15" x14ac:dyDescent="0.25">
      <c r="F26"/>
      <c r="G26"/>
      <c r="H26"/>
      <c r="I26"/>
      <c r="J26"/>
      <c r="K26" s="61" t="s">
        <v>198</v>
      </c>
      <c r="L26" s="62">
        <v>8.7799999999999994</v>
      </c>
      <c r="M26" s="62">
        <v>8.49</v>
      </c>
      <c r="N26" s="62"/>
      <c r="O26" s="62">
        <v>8.7799999999999994</v>
      </c>
      <c r="P26"/>
      <c r="Q26"/>
      <c r="R26"/>
      <c r="S26"/>
      <c r="T26"/>
      <c r="U26"/>
      <c r="V26"/>
      <c r="W26"/>
      <c r="X26"/>
      <c r="Y26"/>
      <c r="Z26"/>
      <c r="AA26"/>
      <c r="AB26"/>
      <c r="AC26"/>
    </row>
    <row r="27" spans="6:29" ht="15" x14ac:dyDescent="0.25">
      <c r="F27"/>
      <c r="G27"/>
      <c r="H27"/>
      <c r="I27"/>
      <c r="J27"/>
      <c r="K27" s="61" t="s">
        <v>199</v>
      </c>
      <c r="L27" s="62">
        <v>8.74</v>
      </c>
      <c r="M27" s="62">
        <v>8.6199999999999992</v>
      </c>
      <c r="N27" s="62"/>
      <c r="O27" s="62">
        <v>8.74</v>
      </c>
      <c r="P27"/>
      <c r="Q27"/>
      <c r="R27"/>
      <c r="S27"/>
      <c r="T27"/>
      <c r="U27"/>
      <c r="V27"/>
      <c r="W27"/>
      <c r="X27"/>
      <c r="Y27"/>
      <c r="Z27"/>
      <c r="AA27"/>
      <c r="AB27"/>
      <c r="AC27"/>
    </row>
    <row r="28" spans="6:29" ht="15" x14ac:dyDescent="0.25">
      <c r="F28"/>
      <c r="G28"/>
      <c r="H28"/>
      <c r="I28"/>
      <c r="J28"/>
      <c r="K28" s="61" t="s">
        <v>200</v>
      </c>
      <c r="L28" s="62">
        <v>8.69</v>
      </c>
      <c r="M28" s="62">
        <v>8.5</v>
      </c>
      <c r="N28" s="62"/>
      <c r="O28" s="62">
        <v>8.69</v>
      </c>
      <c r="P28"/>
      <c r="Q28"/>
      <c r="R28"/>
      <c r="S28"/>
      <c r="T28"/>
      <c r="U28"/>
      <c r="V28"/>
      <c r="W28"/>
      <c r="X28"/>
      <c r="Y28"/>
      <c r="Z28"/>
      <c r="AA28"/>
      <c r="AB28"/>
      <c r="AC28"/>
    </row>
    <row r="29" spans="6:29" ht="15" x14ac:dyDescent="0.25">
      <c r="F29"/>
      <c r="G29"/>
      <c r="H29"/>
      <c r="I29"/>
      <c r="J29"/>
      <c r="K29" s="61" t="s">
        <v>201</v>
      </c>
      <c r="L29" s="62">
        <v>8.76</v>
      </c>
      <c r="M29" s="62">
        <v>8.59</v>
      </c>
      <c r="N29" s="62"/>
      <c r="O29" s="62">
        <v>8.76</v>
      </c>
      <c r="P29"/>
      <c r="Q29"/>
      <c r="R29"/>
      <c r="S29"/>
      <c r="T29"/>
      <c r="U29"/>
      <c r="V29"/>
      <c r="W29"/>
      <c r="X29"/>
      <c r="Y29"/>
      <c r="Z29"/>
      <c r="AA29"/>
      <c r="AB29"/>
      <c r="AC29"/>
    </row>
    <row r="30" spans="6:29" ht="15" x14ac:dyDescent="0.25">
      <c r="F30"/>
      <c r="G30"/>
      <c r="H30"/>
      <c r="I30"/>
      <c r="J30"/>
      <c r="K30" s="61" t="s">
        <v>202</v>
      </c>
      <c r="L30" s="62">
        <v>8.8800000000000008</v>
      </c>
      <c r="M30" s="62">
        <v>8.51</v>
      </c>
      <c r="N30" s="62"/>
      <c r="O30" s="62">
        <v>8.8800000000000008</v>
      </c>
      <c r="P30"/>
      <c r="Q30"/>
      <c r="R30"/>
      <c r="S30"/>
      <c r="T30"/>
      <c r="U30"/>
      <c r="V30"/>
      <c r="W30"/>
      <c r="X30"/>
      <c r="Y30"/>
      <c r="Z30"/>
      <c r="AA30"/>
      <c r="AB30"/>
      <c r="AC30"/>
    </row>
    <row r="31" spans="6:29" ht="15" x14ac:dyDescent="0.25">
      <c r="F31"/>
      <c r="G31"/>
      <c r="H31"/>
      <c r="I31"/>
      <c r="J31"/>
      <c r="K31" s="61" t="s">
        <v>203</v>
      </c>
      <c r="L31" s="62">
        <v>8.85</v>
      </c>
      <c r="M31" s="62">
        <v>8.6300000000000008</v>
      </c>
      <c r="N31" s="62"/>
      <c r="O31" s="62">
        <v>8.85</v>
      </c>
      <c r="P31"/>
      <c r="Q31"/>
      <c r="R31"/>
      <c r="S31"/>
      <c r="T31"/>
      <c r="U31"/>
      <c r="V31"/>
      <c r="W31"/>
      <c r="X31"/>
      <c r="Y31"/>
      <c r="Z31"/>
      <c r="AA31"/>
      <c r="AB31"/>
      <c r="AC31"/>
    </row>
    <row r="32" spans="6:29" ht="15" x14ac:dyDescent="0.25">
      <c r="F32"/>
      <c r="G32"/>
      <c r="H32"/>
      <c r="I32"/>
      <c r="J32"/>
      <c r="K32" s="61" t="s">
        <v>204</v>
      </c>
      <c r="L32" s="62">
        <v>8.8699999999999992</v>
      </c>
      <c r="M32" s="62">
        <v>8.58</v>
      </c>
      <c r="N32" s="62"/>
      <c r="O32" s="62">
        <v>8.8699999999999992</v>
      </c>
      <c r="P32"/>
      <c r="Q32"/>
      <c r="R32"/>
      <c r="S32"/>
      <c r="T32"/>
      <c r="U32"/>
      <c r="V32"/>
      <c r="W32"/>
      <c r="X32"/>
      <c r="Y32"/>
      <c r="Z32"/>
      <c r="AA32"/>
      <c r="AB32"/>
      <c r="AC32"/>
    </row>
    <row r="33" spans="6:29" ht="15" x14ac:dyDescent="0.25">
      <c r="F33"/>
      <c r="G33"/>
      <c r="H33"/>
      <c r="I33"/>
      <c r="J33"/>
      <c r="K33" s="61" t="s">
        <v>205</v>
      </c>
      <c r="L33" s="62">
        <v>8.81</v>
      </c>
      <c r="M33" s="62">
        <v>8.59</v>
      </c>
      <c r="N33" s="62"/>
      <c r="O33" s="62">
        <v>8.81</v>
      </c>
      <c r="P33"/>
      <c r="Q33"/>
      <c r="R33"/>
      <c r="S33"/>
      <c r="T33"/>
      <c r="U33"/>
      <c r="V33"/>
      <c r="W33"/>
      <c r="X33"/>
      <c r="Y33"/>
      <c r="Z33"/>
      <c r="AA33"/>
      <c r="AB33"/>
      <c r="AC33"/>
    </row>
    <row r="34" spans="6:29" ht="15" x14ac:dyDescent="0.25">
      <c r="F34"/>
      <c r="G34"/>
      <c r="H34"/>
      <c r="I34"/>
      <c r="J34"/>
      <c r="K34" s="61" t="s">
        <v>206</v>
      </c>
      <c r="L34" s="62">
        <v>8.8800000000000008</v>
      </c>
      <c r="M34" s="62">
        <v>8.58</v>
      </c>
      <c r="N34" s="62"/>
      <c r="O34" s="62">
        <v>8.8800000000000008</v>
      </c>
      <c r="P34"/>
      <c r="Q34"/>
      <c r="R34"/>
      <c r="S34"/>
      <c r="T34"/>
      <c r="U34"/>
      <c r="V34"/>
      <c r="W34"/>
      <c r="X34"/>
      <c r="Y34"/>
      <c r="Z34"/>
      <c r="AA34"/>
      <c r="AB34"/>
      <c r="AC34"/>
    </row>
    <row r="35" spans="6:29" ht="15" x14ac:dyDescent="0.25">
      <c r="F35"/>
      <c r="G35"/>
      <c r="H35"/>
      <c r="I35"/>
      <c r="J35"/>
      <c r="K35" s="61" t="s">
        <v>207</v>
      </c>
      <c r="L35" s="62">
        <v>8.85</v>
      </c>
      <c r="M35" s="62">
        <v>8.7200000000000006</v>
      </c>
      <c r="N35" s="62">
        <v>9.4700000000000006</v>
      </c>
      <c r="O35" s="62">
        <v>9.4700000000000006</v>
      </c>
      <c r="P35"/>
      <c r="Q35"/>
      <c r="R35"/>
      <c r="S35"/>
      <c r="T35"/>
      <c r="U35"/>
      <c r="V35"/>
      <c r="W35"/>
      <c r="X35"/>
      <c r="Y35"/>
      <c r="Z35"/>
      <c r="AA35"/>
      <c r="AB35"/>
      <c r="AC35"/>
    </row>
    <row r="36" spans="6:29" ht="15" x14ac:dyDescent="0.25">
      <c r="F36"/>
      <c r="G36"/>
      <c r="H36"/>
      <c r="I36"/>
      <c r="J36"/>
      <c r="K36" s="61" t="s">
        <v>208</v>
      </c>
      <c r="L36" s="62">
        <v>8.9700000000000006</v>
      </c>
      <c r="M36" s="62">
        <v>8.6999999999999993</v>
      </c>
      <c r="N36" s="62">
        <v>9.49</v>
      </c>
      <c r="O36" s="62">
        <v>9.49</v>
      </c>
      <c r="P36"/>
      <c r="Q36"/>
      <c r="R36"/>
      <c r="S36"/>
      <c r="T36"/>
      <c r="U36"/>
      <c r="V36"/>
      <c r="W36"/>
      <c r="X36"/>
      <c r="Y36"/>
      <c r="Z36"/>
      <c r="AA36"/>
      <c r="AB36"/>
      <c r="AC36"/>
    </row>
    <row r="37" spans="6:29" ht="15" x14ac:dyDescent="0.25">
      <c r="F37"/>
      <c r="G37"/>
      <c r="H37"/>
      <c r="I37"/>
      <c r="J37"/>
      <c r="K37" s="61" t="s">
        <v>209</v>
      </c>
      <c r="L37" s="62">
        <v>9.08</v>
      </c>
      <c r="M37" s="62">
        <v>8.7100000000000009</v>
      </c>
      <c r="N37" s="62">
        <v>9.4499999999999993</v>
      </c>
      <c r="O37" s="62">
        <v>9.4499999999999993</v>
      </c>
      <c r="P37"/>
      <c r="Q37"/>
      <c r="R37"/>
      <c r="S37"/>
      <c r="T37"/>
      <c r="U37"/>
      <c r="V37"/>
      <c r="W37"/>
      <c r="X37"/>
      <c r="Y37"/>
      <c r="Z37"/>
      <c r="AA37"/>
      <c r="AB37"/>
      <c r="AC37"/>
    </row>
    <row r="38" spans="6:29" ht="15" x14ac:dyDescent="0.25">
      <c r="F38"/>
      <c r="G38"/>
      <c r="H38"/>
      <c r="I38"/>
      <c r="J38"/>
      <c r="K38" s="61" t="s">
        <v>210</v>
      </c>
      <c r="L38" s="62">
        <v>9</v>
      </c>
      <c r="M38" s="62">
        <v>8.73</v>
      </c>
      <c r="N38" s="62">
        <v>9.48</v>
      </c>
      <c r="O38" s="62">
        <v>9.48</v>
      </c>
      <c r="P38"/>
      <c r="Q38"/>
      <c r="R38"/>
      <c r="S38"/>
      <c r="T38"/>
      <c r="U38"/>
      <c r="V38"/>
      <c r="W38"/>
      <c r="X38"/>
      <c r="Y38"/>
      <c r="Z38"/>
      <c r="AA38"/>
      <c r="AB38"/>
      <c r="AC38"/>
    </row>
    <row r="39" spans="6:29" ht="15" x14ac:dyDescent="0.25">
      <c r="F39"/>
      <c r="G39"/>
      <c r="H39"/>
      <c r="I39"/>
      <c r="J39"/>
      <c r="K39" s="61" t="s">
        <v>211</v>
      </c>
      <c r="L39" s="62">
        <v>8.92</v>
      </c>
      <c r="M39" s="62">
        <v>8.73</v>
      </c>
      <c r="N39" s="62">
        <v>9.3800000000000008</v>
      </c>
      <c r="O39" s="62">
        <v>9.3800000000000008</v>
      </c>
      <c r="P39"/>
      <c r="Q39"/>
      <c r="R39"/>
      <c r="S39"/>
      <c r="T39"/>
      <c r="U39"/>
      <c r="V39"/>
      <c r="W39"/>
      <c r="X39"/>
      <c r="Y39"/>
      <c r="Z39"/>
      <c r="AA39"/>
      <c r="AB39"/>
      <c r="AC39"/>
    </row>
    <row r="40" spans="6:29" ht="15" x14ac:dyDescent="0.25">
      <c r="F40"/>
      <c r="G40"/>
      <c r="H40"/>
      <c r="I40"/>
      <c r="J40"/>
      <c r="K40" s="61" t="s">
        <v>212</v>
      </c>
      <c r="L40" s="62">
        <v>8.91</v>
      </c>
      <c r="M40" s="62">
        <v>8.9700000000000006</v>
      </c>
      <c r="N40" s="62">
        <v>9.36</v>
      </c>
      <c r="O40" s="62">
        <v>9.36</v>
      </c>
      <c r="P40"/>
      <c r="Q40"/>
      <c r="R40"/>
      <c r="S40"/>
      <c r="T40"/>
      <c r="U40"/>
      <c r="V40"/>
      <c r="W40"/>
      <c r="X40"/>
      <c r="Y40"/>
      <c r="Z40"/>
      <c r="AA40"/>
      <c r="AB40"/>
      <c r="AC40"/>
    </row>
    <row r="41" spans="6:29" ht="15" x14ac:dyDescent="0.25">
      <c r="F41"/>
      <c r="G41"/>
      <c r="H41"/>
      <c r="I41"/>
      <c r="J41"/>
      <c r="K41" s="61" t="s">
        <v>213</v>
      </c>
      <c r="L41" s="62">
        <v>9.01</v>
      </c>
      <c r="M41" s="62">
        <v>9.08</v>
      </c>
      <c r="N41" s="62">
        <v>9.36</v>
      </c>
      <c r="O41" s="62">
        <v>9.36</v>
      </c>
      <c r="P41"/>
      <c r="Q41"/>
      <c r="R41"/>
      <c r="S41"/>
      <c r="T41"/>
      <c r="U41"/>
      <c r="V41"/>
      <c r="W41"/>
      <c r="X41"/>
      <c r="Y41"/>
      <c r="Z41"/>
      <c r="AA41"/>
      <c r="AB41"/>
      <c r="AC41"/>
    </row>
    <row r="42" spans="6:29" ht="15" x14ac:dyDescent="0.25">
      <c r="F42"/>
      <c r="G42"/>
      <c r="H42"/>
      <c r="I42"/>
      <c r="J42"/>
      <c r="K42" s="61" t="s">
        <v>214</v>
      </c>
      <c r="L42" s="62">
        <v>8.9499999999999993</v>
      </c>
      <c r="M42" s="62">
        <v>9.0399999999999991</v>
      </c>
      <c r="N42" s="62">
        <v>9.4</v>
      </c>
      <c r="O42" s="62">
        <v>9.4</v>
      </c>
      <c r="P42"/>
      <c r="Q42"/>
      <c r="R42"/>
      <c r="S42"/>
      <c r="T42"/>
      <c r="U42"/>
      <c r="V42"/>
      <c r="W42"/>
      <c r="X42"/>
      <c r="Y42"/>
      <c r="Z42"/>
      <c r="AA42"/>
      <c r="AB42"/>
      <c r="AC42"/>
    </row>
    <row r="43" spans="6:29" ht="15" x14ac:dyDescent="0.25">
      <c r="F43"/>
      <c r="G43"/>
      <c r="H43"/>
      <c r="I43"/>
      <c r="J43"/>
      <c r="K43" s="61" t="s">
        <v>215</v>
      </c>
      <c r="L43" s="62">
        <v>8.9499999999999993</v>
      </c>
      <c r="M43" s="62">
        <v>9.14</v>
      </c>
      <c r="N43" s="62">
        <v>9.36</v>
      </c>
      <c r="O43" s="62">
        <v>9.36</v>
      </c>
      <c r="P43"/>
      <c r="Q43"/>
      <c r="R43"/>
      <c r="S43"/>
      <c r="T43"/>
      <c r="U43"/>
      <c r="V43"/>
      <c r="W43"/>
      <c r="X43"/>
      <c r="Y43"/>
      <c r="Z43"/>
      <c r="AA43"/>
      <c r="AB43"/>
      <c r="AC43"/>
    </row>
    <row r="44" spans="6:29" ht="15" x14ac:dyDescent="0.25">
      <c r="F44"/>
      <c r="G44"/>
      <c r="H44"/>
      <c r="I44"/>
      <c r="J44"/>
      <c r="K44" s="61" t="s">
        <v>216</v>
      </c>
      <c r="L44" s="62">
        <v>9.08</v>
      </c>
      <c r="M44" s="62">
        <v>9.02</v>
      </c>
      <c r="N44" s="62">
        <v>9.3800000000000008</v>
      </c>
      <c r="O44" s="62">
        <v>9.3800000000000008</v>
      </c>
      <c r="P44"/>
      <c r="Q44"/>
      <c r="R44"/>
      <c r="S44"/>
      <c r="T44"/>
      <c r="U44"/>
      <c r="V44"/>
      <c r="W44"/>
      <c r="X44"/>
      <c r="Y44"/>
      <c r="Z44"/>
      <c r="AA44"/>
      <c r="AB44"/>
      <c r="AC44"/>
    </row>
    <row r="45" spans="6:29" ht="15" x14ac:dyDescent="0.25">
      <c r="F45"/>
      <c r="G45"/>
      <c r="H45"/>
      <c r="I45"/>
      <c r="J45"/>
      <c r="K45" s="61" t="s">
        <v>217</v>
      </c>
      <c r="L45" s="62">
        <v>9.42</v>
      </c>
      <c r="M45" s="62">
        <v>9.25</v>
      </c>
      <c r="N45" s="62">
        <v>9.51</v>
      </c>
      <c r="O45" s="62">
        <v>9.51</v>
      </c>
      <c r="P45"/>
      <c r="Q45"/>
      <c r="R45"/>
      <c r="S45"/>
      <c r="T45"/>
      <c r="U45"/>
      <c r="V45"/>
      <c r="W45"/>
      <c r="X45"/>
      <c r="Y45"/>
      <c r="Z45"/>
      <c r="AA45"/>
      <c r="AB45"/>
      <c r="AC45"/>
    </row>
    <row r="46" spans="6:29" ht="15" x14ac:dyDescent="0.25">
      <c r="F46"/>
      <c r="G46"/>
      <c r="H46"/>
      <c r="I46"/>
      <c r="J46"/>
      <c r="K46" s="61" t="s">
        <v>218</v>
      </c>
      <c r="L46" s="62">
        <v>9.64</v>
      </c>
      <c r="M46" s="62">
        <v>9.5299999999999994</v>
      </c>
      <c r="N46" s="62">
        <v>9.6</v>
      </c>
      <c r="O46" s="62">
        <v>9.64</v>
      </c>
      <c r="P46"/>
      <c r="Q46"/>
      <c r="R46"/>
      <c r="S46"/>
      <c r="T46"/>
      <c r="U46"/>
      <c r="V46"/>
      <c r="W46"/>
      <c r="X46"/>
      <c r="Y46"/>
      <c r="Z46"/>
      <c r="AA46"/>
      <c r="AB46"/>
      <c r="AC46"/>
    </row>
    <row r="47" spans="6:29" ht="15" x14ac:dyDescent="0.25">
      <c r="F47"/>
      <c r="G47"/>
      <c r="H47"/>
      <c r="I47"/>
      <c r="J47"/>
      <c r="K47" s="61" t="s">
        <v>219</v>
      </c>
      <c r="L47" s="62">
        <v>9.75</v>
      </c>
      <c r="M47" s="62">
        <v>9.75</v>
      </c>
      <c r="N47" s="62">
        <v>9.6999999999999993</v>
      </c>
      <c r="O47" s="62">
        <v>9.75</v>
      </c>
      <c r="P47"/>
      <c r="Q47"/>
      <c r="R47"/>
      <c r="S47"/>
      <c r="T47"/>
      <c r="U47"/>
      <c r="V47"/>
      <c r="W47"/>
      <c r="X47"/>
      <c r="Y47"/>
      <c r="Z47"/>
      <c r="AA47"/>
      <c r="AB47"/>
      <c r="AC47"/>
    </row>
    <row r="48" spans="6:29" ht="15" x14ac:dyDescent="0.25">
      <c r="F48"/>
      <c r="G48"/>
      <c r="H48"/>
      <c r="I48"/>
      <c r="J48"/>
      <c r="K48" s="61" t="s">
        <v>220</v>
      </c>
      <c r="L48" s="62">
        <v>10.119999999999999</v>
      </c>
      <c r="M48" s="62">
        <v>10.31</v>
      </c>
      <c r="N48" s="62">
        <v>10.039999999999999</v>
      </c>
      <c r="O48" s="62">
        <v>10.31</v>
      </c>
      <c r="P48"/>
      <c r="Q48"/>
      <c r="R48"/>
      <c r="S48"/>
      <c r="T48"/>
      <c r="U48"/>
      <c r="V48"/>
      <c r="W48"/>
      <c r="X48"/>
      <c r="Y48"/>
      <c r="Z48"/>
      <c r="AA48"/>
      <c r="AB48"/>
      <c r="AC48"/>
    </row>
    <row r="49" spans="6:29" ht="15" x14ac:dyDescent="0.25">
      <c r="F49"/>
      <c r="G49"/>
      <c r="H49"/>
      <c r="I49"/>
      <c r="J49"/>
      <c r="K49" s="61" t="s">
        <v>221</v>
      </c>
      <c r="L49" s="62">
        <v>10.25</v>
      </c>
      <c r="M49" s="62">
        <v>10.95</v>
      </c>
      <c r="N49" s="62">
        <v>10.119999999999999</v>
      </c>
      <c r="O49" s="62">
        <v>10.95</v>
      </c>
      <c r="P49"/>
      <c r="Q49"/>
      <c r="R49"/>
      <c r="S49"/>
      <c r="T49"/>
      <c r="U49"/>
      <c r="V49"/>
      <c r="W49"/>
      <c r="X49"/>
      <c r="Y49"/>
      <c r="Z49"/>
      <c r="AA49"/>
      <c r="AB49"/>
      <c r="AC49"/>
    </row>
    <row r="50" spans="6:29" ht="15" x14ac:dyDescent="0.25">
      <c r="F50"/>
      <c r="G50"/>
      <c r="H50"/>
      <c r="I50"/>
      <c r="J50"/>
      <c r="K50" s="61" t="s">
        <v>222</v>
      </c>
      <c r="L50" s="62">
        <v>10.39</v>
      </c>
      <c r="M50" s="62">
        <v>11.34</v>
      </c>
      <c r="N50" s="62">
        <v>10.210000000000001</v>
      </c>
      <c r="O50" s="62">
        <v>11.34</v>
      </c>
      <c r="P50"/>
      <c r="Q50"/>
      <c r="R50"/>
      <c r="S50"/>
      <c r="T50"/>
      <c r="U50"/>
      <c r="V50"/>
      <c r="W50"/>
      <c r="X50"/>
      <c r="Y50"/>
      <c r="Z50"/>
      <c r="AA50"/>
      <c r="AB50"/>
      <c r="AC50"/>
    </row>
    <row r="51" spans="6:29" ht="15" x14ac:dyDescent="0.25">
      <c r="F51"/>
      <c r="G51"/>
      <c r="H51"/>
      <c r="I51"/>
      <c r="J51"/>
      <c r="K51" s="61" t="s">
        <v>223</v>
      </c>
      <c r="L51" s="62">
        <v>10.4</v>
      </c>
      <c r="M51" s="62">
        <v>11.39</v>
      </c>
      <c r="N51" s="62">
        <v>10.31</v>
      </c>
      <c r="O51" s="62">
        <v>11.39</v>
      </c>
      <c r="P51"/>
      <c r="Q51"/>
      <c r="R51"/>
      <c r="S51"/>
      <c r="T51"/>
      <c r="U51"/>
      <c r="V51"/>
      <c r="W51"/>
      <c r="X51"/>
      <c r="Y51"/>
      <c r="Z51"/>
      <c r="AA51"/>
      <c r="AB51"/>
      <c r="AC51"/>
    </row>
    <row r="52" spans="6:29" ht="15" x14ac:dyDescent="0.25">
      <c r="F52"/>
      <c r="G52"/>
      <c r="H52"/>
      <c r="I52"/>
      <c r="J52"/>
      <c r="K52" s="61" t="s">
        <v>224</v>
      </c>
      <c r="L52" s="62">
        <v>10.68</v>
      </c>
      <c r="M52" s="62">
        <v>11.42</v>
      </c>
      <c r="N52" s="62">
        <v>10.62</v>
      </c>
      <c r="O52" s="62">
        <v>11.42</v>
      </c>
      <c r="P52"/>
      <c r="Q52"/>
      <c r="R52"/>
      <c r="S52"/>
      <c r="T52"/>
      <c r="U52"/>
      <c r="V52"/>
      <c r="W52"/>
      <c r="X52"/>
      <c r="Y52"/>
      <c r="Z52"/>
      <c r="AA52"/>
      <c r="AB52"/>
      <c r="AC52"/>
    </row>
    <row r="53" spans="6:29" ht="15" x14ac:dyDescent="0.25">
      <c r="F53"/>
      <c r="G53"/>
      <c r="H53"/>
      <c r="I53"/>
      <c r="J53"/>
      <c r="K53" s="61" t="s">
        <v>225</v>
      </c>
      <c r="L53" s="62">
        <v>10.62</v>
      </c>
      <c r="M53" s="62">
        <v>11.43</v>
      </c>
      <c r="N53" s="62">
        <v>10.93</v>
      </c>
      <c r="O53" s="62">
        <v>11.43</v>
      </c>
      <c r="P53"/>
      <c r="Q53"/>
      <c r="R53"/>
      <c r="S53"/>
      <c r="T53"/>
      <c r="U53"/>
      <c r="V53"/>
      <c r="W53"/>
      <c r="X53"/>
      <c r="Y53"/>
      <c r="Z53"/>
      <c r="AA53"/>
      <c r="AB53"/>
      <c r="AC53"/>
    </row>
    <row r="54" spans="6:29" ht="15" x14ac:dyDescent="0.25">
      <c r="F54"/>
      <c r="G54"/>
      <c r="H54"/>
      <c r="I54"/>
      <c r="J54"/>
      <c r="K54" s="61" t="s">
        <v>226</v>
      </c>
      <c r="L54" s="62">
        <v>11.01</v>
      </c>
      <c r="M54" s="62">
        <v>11.29</v>
      </c>
      <c r="N54" s="62">
        <v>11.07</v>
      </c>
      <c r="O54" s="62">
        <v>11.29</v>
      </c>
      <c r="P54"/>
      <c r="Q54"/>
      <c r="R54"/>
      <c r="S54"/>
      <c r="T54"/>
      <c r="U54"/>
      <c r="V54"/>
      <c r="W54"/>
      <c r="X54"/>
      <c r="Y54"/>
      <c r="Z54"/>
      <c r="AA54"/>
      <c r="AB54"/>
      <c r="AC54"/>
    </row>
    <row r="55" spans="6:29" ht="15" x14ac:dyDescent="0.25">
      <c r="F55"/>
      <c r="G55"/>
      <c r="H55"/>
      <c r="I55"/>
      <c r="J55"/>
      <c r="K55" s="61" t="s">
        <v>227</v>
      </c>
      <c r="L55" s="62">
        <v>11.31</v>
      </c>
      <c r="M55" s="62">
        <v>11.4</v>
      </c>
      <c r="N55" s="62">
        <v>11.29</v>
      </c>
      <c r="O55" s="62">
        <v>11.4</v>
      </c>
      <c r="P55"/>
      <c r="Q55"/>
      <c r="R55"/>
      <c r="S55"/>
      <c r="T55"/>
      <c r="U55"/>
      <c r="V55"/>
      <c r="W55"/>
      <c r="X55"/>
      <c r="Y55"/>
      <c r="Z55"/>
      <c r="AA55"/>
      <c r="AB55"/>
      <c r="AC55"/>
    </row>
    <row r="56" spans="6:29" ht="15" x14ac:dyDescent="0.25">
      <c r="F56"/>
      <c r="G56"/>
      <c r="H56"/>
      <c r="I56"/>
      <c r="J56"/>
      <c r="K56" s="61" t="s">
        <v>228</v>
      </c>
      <c r="L56" s="62">
        <v>11.38</v>
      </c>
      <c r="M56" s="62">
        <v>11.43</v>
      </c>
      <c r="N56" s="62">
        <v>10.88</v>
      </c>
      <c r="O56" s="62">
        <v>11.43</v>
      </c>
      <c r="P56"/>
      <c r="Q56"/>
      <c r="R56"/>
      <c r="S56"/>
      <c r="T56"/>
      <c r="U56"/>
      <c r="V56"/>
      <c r="W56"/>
      <c r="X56"/>
      <c r="Y56"/>
      <c r="Z56"/>
      <c r="AA56"/>
      <c r="AB56"/>
      <c r="AC56"/>
    </row>
    <row r="57" spans="6:29" ht="15" x14ac:dyDescent="0.25">
      <c r="F57"/>
      <c r="G57"/>
      <c r="H57"/>
      <c r="I57"/>
      <c r="J57"/>
      <c r="K57" s="61" t="s">
        <v>229</v>
      </c>
      <c r="L57" s="62">
        <v>11.64</v>
      </c>
      <c r="M57" s="62">
        <v>11.36</v>
      </c>
      <c r="N57" s="62">
        <v>11.58</v>
      </c>
      <c r="O57" s="62">
        <v>11.64</v>
      </c>
      <c r="P57"/>
      <c r="Q57"/>
      <c r="R57"/>
      <c r="S57"/>
      <c r="T57"/>
      <c r="U57"/>
      <c r="V57"/>
      <c r="W57"/>
      <c r="X57"/>
      <c r="Y57"/>
      <c r="Z57"/>
      <c r="AA57"/>
      <c r="AB57"/>
      <c r="AC57"/>
    </row>
    <row r="58" spans="6:29" ht="15" x14ac:dyDescent="0.25">
      <c r="F58"/>
      <c r="G58"/>
      <c r="H58"/>
      <c r="I58"/>
      <c r="J58"/>
      <c r="K58" s="61" t="s">
        <v>230</v>
      </c>
      <c r="L58" s="62">
        <v>11.81</v>
      </c>
      <c r="M58" s="62">
        <v>11.36</v>
      </c>
      <c r="N58" s="62">
        <v>11.73</v>
      </c>
      <c r="O58" s="62">
        <v>11.81</v>
      </c>
      <c r="P58"/>
      <c r="Q58"/>
      <c r="R58"/>
      <c r="S58"/>
      <c r="T58"/>
      <c r="U58"/>
      <c r="V58"/>
      <c r="W58"/>
      <c r="X58"/>
      <c r="Y58"/>
      <c r="Z58"/>
      <c r="AA58"/>
      <c r="AB58"/>
      <c r="AC58"/>
    </row>
    <row r="59" spans="6:29" ht="15" x14ac:dyDescent="0.25">
      <c r="F59"/>
      <c r="G59"/>
      <c r="H59"/>
      <c r="I59"/>
      <c r="J59"/>
      <c r="K59" s="61" t="s">
        <v>231</v>
      </c>
      <c r="L59" s="62">
        <v>11.8</v>
      </c>
      <c r="M59" s="62">
        <v>11.49</v>
      </c>
      <c r="N59" s="62">
        <v>11.72</v>
      </c>
      <c r="O59" s="62">
        <v>11.8</v>
      </c>
      <c r="P59"/>
      <c r="Q59"/>
      <c r="R59"/>
      <c r="S59"/>
      <c r="T59"/>
      <c r="U59"/>
      <c r="V59"/>
      <c r="W59"/>
      <c r="X59"/>
      <c r="Y59"/>
      <c r="Z59"/>
      <c r="AA59"/>
      <c r="AB59"/>
      <c r="AC59"/>
    </row>
    <row r="60" spans="6:29" ht="15" x14ac:dyDescent="0.25">
      <c r="F60"/>
      <c r="G60"/>
      <c r="H60"/>
      <c r="I60"/>
      <c r="J60"/>
      <c r="K60" s="61" t="s">
        <v>232</v>
      </c>
      <c r="L60" s="62">
        <v>11.89</v>
      </c>
      <c r="M60" s="62">
        <v>11.59</v>
      </c>
      <c r="N60" s="62">
        <v>11.83</v>
      </c>
      <c r="O60" s="62">
        <v>11.89</v>
      </c>
      <c r="P60"/>
      <c r="Q60"/>
      <c r="R60"/>
      <c r="S60"/>
      <c r="T60"/>
      <c r="U60"/>
      <c r="V60"/>
      <c r="W60"/>
      <c r="X60"/>
      <c r="Y60"/>
      <c r="Z60"/>
      <c r="AA60"/>
      <c r="AB60"/>
      <c r="AC60"/>
    </row>
    <row r="61" spans="6:29" ht="15" x14ac:dyDescent="0.25">
      <c r="F61"/>
      <c r="G61"/>
      <c r="H61"/>
      <c r="I61"/>
      <c r="J61"/>
      <c r="K61" s="61" t="s">
        <v>233</v>
      </c>
      <c r="L61" s="62">
        <v>12.1</v>
      </c>
      <c r="M61" s="62">
        <v>11.95</v>
      </c>
      <c r="N61" s="62">
        <v>11.76</v>
      </c>
      <c r="O61" s="62">
        <v>12.1</v>
      </c>
      <c r="P61"/>
      <c r="Q61"/>
      <c r="R61"/>
      <c r="S61"/>
      <c r="T61"/>
      <c r="U61"/>
      <c r="V61"/>
      <c r="W61"/>
      <c r="X61"/>
      <c r="Y61"/>
      <c r="Z61"/>
      <c r="AA61"/>
      <c r="AB61"/>
      <c r="AC61"/>
    </row>
    <row r="62" spans="6:29" ht="15" x14ac:dyDescent="0.25">
      <c r="F62"/>
      <c r="G62"/>
      <c r="H62"/>
      <c r="I62"/>
      <c r="J62"/>
      <c r="K62" s="61" t="s">
        <v>234</v>
      </c>
      <c r="L62" s="62">
        <v>12.13</v>
      </c>
      <c r="M62" s="62">
        <v>11.92</v>
      </c>
      <c r="N62" s="62">
        <v>11.78</v>
      </c>
      <c r="O62" s="62">
        <v>12.13</v>
      </c>
      <c r="P62"/>
      <c r="Q62"/>
      <c r="R62"/>
      <c r="S62"/>
      <c r="T62"/>
      <c r="U62"/>
      <c r="V62"/>
      <c r="W62"/>
      <c r="X62"/>
      <c r="Y62"/>
      <c r="Z62"/>
      <c r="AA62"/>
      <c r="AB62"/>
      <c r="AC62"/>
    </row>
    <row r="63" spans="6:29" ht="15" x14ac:dyDescent="0.25">
      <c r="F63"/>
      <c r="G63"/>
      <c r="H63"/>
      <c r="I63"/>
      <c r="J63"/>
      <c r="K63" s="61" t="s">
        <v>235</v>
      </c>
      <c r="L63" s="62">
        <v>12.07</v>
      </c>
      <c r="M63" s="62">
        <v>11.94</v>
      </c>
      <c r="N63" s="62">
        <v>11.81</v>
      </c>
      <c r="O63" s="62">
        <v>12.07</v>
      </c>
      <c r="P63"/>
      <c r="Q63"/>
      <c r="R63"/>
      <c r="S63"/>
      <c r="T63"/>
      <c r="U63"/>
      <c r="V63"/>
      <c r="W63"/>
      <c r="X63"/>
      <c r="Y63"/>
      <c r="Z63"/>
      <c r="AA63"/>
      <c r="AB63"/>
      <c r="AC63"/>
    </row>
    <row r="64" spans="6:29" ht="15" x14ac:dyDescent="0.25">
      <c r="F64"/>
      <c r="G64"/>
      <c r="H64"/>
      <c r="I64"/>
      <c r="J64"/>
      <c r="K64" s="61" t="s">
        <v>236</v>
      </c>
      <c r="L64" s="62">
        <v>11.65</v>
      </c>
      <c r="M64" s="62">
        <v>11.69</v>
      </c>
      <c r="N64" s="62">
        <v>11.78</v>
      </c>
      <c r="O64" s="62">
        <v>11.78</v>
      </c>
      <c r="P64"/>
      <c r="Q64"/>
      <c r="R64"/>
      <c r="S64"/>
      <c r="T64"/>
      <c r="U64"/>
      <c r="V64"/>
      <c r="W64"/>
      <c r="X64"/>
      <c r="Y64"/>
      <c r="Z64"/>
      <c r="AA64"/>
      <c r="AB64"/>
      <c r="AC64"/>
    </row>
    <row r="65" spans="6:29" ht="15" x14ac:dyDescent="0.25">
      <c r="F65"/>
      <c r="G65"/>
      <c r="H65"/>
      <c r="I65"/>
      <c r="J65"/>
      <c r="K65" s="61" t="s">
        <v>237</v>
      </c>
      <c r="L65" s="62">
        <v>11.73</v>
      </c>
      <c r="M65" s="62">
        <v>11.73</v>
      </c>
      <c r="N65" s="62">
        <v>11.8</v>
      </c>
      <c r="O65" s="62">
        <v>11.8</v>
      </c>
      <c r="P65"/>
      <c r="Q65"/>
      <c r="R65"/>
      <c r="S65"/>
      <c r="T65"/>
      <c r="U65"/>
      <c r="V65"/>
      <c r="W65"/>
      <c r="X65"/>
      <c r="Y65"/>
      <c r="Z65"/>
      <c r="AA65"/>
      <c r="AB65"/>
      <c r="AC65"/>
    </row>
    <row r="66" spans="6:29" ht="15" x14ac:dyDescent="0.25">
      <c r="F66"/>
      <c r="G66"/>
      <c r="H66"/>
      <c r="I66"/>
      <c r="J66"/>
      <c r="K66" s="61" t="s">
        <v>238</v>
      </c>
      <c r="L66" s="62">
        <v>11.57</v>
      </c>
      <c r="M66" s="62">
        <v>11.59</v>
      </c>
      <c r="N66" s="62">
        <v>11.78</v>
      </c>
      <c r="O66" s="62">
        <v>11.78</v>
      </c>
      <c r="P66"/>
      <c r="Q66"/>
      <c r="R66"/>
      <c r="S66"/>
      <c r="T66"/>
      <c r="U66"/>
      <c r="V66"/>
      <c r="W66"/>
      <c r="X66"/>
      <c r="Y66"/>
      <c r="Z66"/>
      <c r="AA66"/>
      <c r="AB66"/>
      <c r="AC66"/>
    </row>
    <row r="67" spans="6:29" ht="15" x14ac:dyDescent="0.25">
      <c r="F67"/>
      <c r="G67"/>
      <c r="H67"/>
      <c r="I67"/>
      <c r="J67"/>
      <c r="K67" s="61" t="s">
        <v>239</v>
      </c>
      <c r="L67" s="62">
        <v>11.73</v>
      </c>
      <c r="M67" s="62">
        <v>11.64</v>
      </c>
      <c r="N67" s="62">
        <v>11.8</v>
      </c>
      <c r="O67" s="62">
        <v>11.8</v>
      </c>
      <c r="P67"/>
      <c r="Q67"/>
      <c r="R67"/>
      <c r="S67"/>
      <c r="T67"/>
      <c r="U67"/>
      <c r="V67"/>
      <c r="W67"/>
      <c r="X67"/>
      <c r="Y67"/>
      <c r="Z67"/>
      <c r="AA67"/>
      <c r="AB67"/>
      <c r="AC67"/>
    </row>
    <row r="68" spans="6:29" ht="15" x14ac:dyDescent="0.25">
      <c r="F68"/>
      <c r="G68"/>
      <c r="H68"/>
      <c r="I68"/>
      <c r="J68"/>
      <c r="K68" s="61" t="s">
        <v>240</v>
      </c>
      <c r="L68" s="62">
        <v>11.6</v>
      </c>
      <c r="M68" s="62">
        <v>11.68</v>
      </c>
      <c r="N68" s="62">
        <v>11.8</v>
      </c>
      <c r="O68" s="62">
        <v>11.8</v>
      </c>
      <c r="P68"/>
      <c r="Q68"/>
      <c r="R68"/>
      <c r="S68"/>
      <c r="T68"/>
      <c r="U68"/>
      <c r="V68"/>
      <c r="W68"/>
      <c r="X68"/>
      <c r="Y68"/>
      <c r="Z68"/>
      <c r="AA68"/>
      <c r="AB68"/>
      <c r="AC68"/>
    </row>
    <row r="69" spans="6:29" ht="15" x14ac:dyDescent="0.25">
      <c r="F69"/>
      <c r="G69"/>
      <c r="H69"/>
      <c r="I69"/>
      <c r="J69"/>
      <c r="K69" s="61" t="s">
        <v>241</v>
      </c>
      <c r="L69" s="62">
        <v>11.48</v>
      </c>
      <c r="M69" s="62">
        <v>11.35</v>
      </c>
      <c r="N69" s="62">
        <v>11.63</v>
      </c>
      <c r="O69" s="62">
        <v>11.63</v>
      </c>
      <c r="P69"/>
      <c r="Q69"/>
      <c r="R69"/>
      <c r="S69"/>
      <c r="T69"/>
      <c r="U69"/>
      <c r="V69"/>
      <c r="W69"/>
      <c r="X69"/>
      <c r="Y69"/>
      <c r="Z69"/>
      <c r="AA69"/>
      <c r="AB69"/>
      <c r="AC69"/>
    </row>
    <row r="70" spans="6:29" ht="15" x14ac:dyDescent="0.25">
      <c r="F70"/>
      <c r="G70"/>
      <c r="H70"/>
      <c r="I70"/>
      <c r="J70"/>
      <c r="K70" s="61" t="s">
        <v>242</v>
      </c>
      <c r="L70" s="62">
        <v>11.38</v>
      </c>
      <c r="M70" s="62">
        <v>11.67</v>
      </c>
      <c r="N70" s="62">
        <v>11.5</v>
      </c>
      <c r="O70" s="62">
        <v>11.67</v>
      </c>
      <c r="P70"/>
      <c r="Q70"/>
      <c r="R70"/>
      <c r="S70"/>
      <c r="T70"/>
      <c r="U70"/>
      <c r="V70"/>
      <c r="W70"/>
      <c r="X70"/>
      <c r="Y70"/>
      <c r="Z70"/>
      <c r="AA70"/>
      <c r="AB70"/>
      <c r="AC70"/>
    </row>
    <row r="71" spans="6:29" ht="15" x14ac:dyDescent="0.25">
      <c r="F71"/>
      <c r="G71"/>
      <c r="H71"/>
      <c r="I71"/>
      <c r="J71"/>
      <c r="K71" s="61" t="s">
        <v>243</v>
      </c>
      <c r="L71" s="62">
        <v>11.33</v>
      </c>
      <c r="M71" s="62">
        <v>11.45</v>
      </c>
      <c r="N71" s="62">
        <v>11.62</v>
      </c>
      <c r="O71" s="62">
        <v>11.62</v>
      </c>
      <c r="P71"/>
      <c r="Q71"/>
      <c r="R71"/>
      <c r="S71"/>
      <c r="T71"/>
      <c r="U71"/>
      <c r="V71"/>
      <c r="W71"/>
      <c r="X71"/>
      <c r="Y71"/>
      <c r="Z71"/>
      <c r="AA71"/>
      <c r="AB71"/>
      <c r="AC71"/>
    </row>
    <row r="72" spans="6:29" ht="15" x14ac:dyDescent="0.25">
      <c r="F72"/>
      <c r="G72"/>
      <c r="H72"/>
      <c r="I72"/>
      <c r="J72"/>
      <c r="K72" s="61" t="s">
        <v>244</v>
      </c>
      <c r="L72" s="62">
        <v>11.43</v>
      </c>
      <c r="M72" s="62">
        <v>11.33</v>
      </c>
      <c r="N72" s="62">
        <v>11.52</v>
      </c>
      <c r="O72" s="62">
        <v>11.52</v>
      </c>
      <c r="P72"/>
      <c r="Q72"/>
      <c r="R72"/>
      <c r="S72"/>
      <c r="T72"/>
      <c r="U72"/>
      <c r="V72"/>
      <c r="W72"/>
      <c r="X72"/>
      <c r="Y72"/>
      <c r="Z72"/>
      <c r="AA72"/>
      <c r="AB72"/>
      <c r="AC72"/>
    </row>
    <row r="73" spans="6:29" ht="15" x14ac:dyDescent="0.25">
      <c r="F73"/>
      <c r="G73"/>
      <c r="H73"/>
      <c r="I73"/>
      <c r="J73"/>
      <c r="K73" s="61" t="s">
        <v>245</v>
      </c>
      <c r="L73" s="62">
        <v>11.51</v>
      </c>
      <c r="M73" s="62">
        <v>10.97</v>
      </c>
      <c r="N73" s="62">
        <v>11.42</v>
      </c>
      <c r="O73" s="62">
        <v>11.51</v>
      </c>
      <c r="P73"/>
      <c r="Q73"/>
      <c r="R73"/>
      <c r="S73"/>
      <c r="T73"/>
      <c r="U73"/>
      <c r="V73"/>
      <c r="W73"/>
      <c r="X73"/>
      <c r="Y73"/>
      <c r="Z73"/>
      <c r="AA73"/>
      <c r="AB73"/>
      <c r="AC73"/>
    </row>
    <row r="74" spans="6:29" ht="15" x14ac:dyDescent="0.25">
      <c r="F74"/>
      <c r="G74"/>
      <c r="H74"/>
      <c r="I74"/>
      <c r="J74"/>
      <c r="K74" s="61" t="s">
        <v>246</v>
      </c>
      <c r="L74" s="62">
        <v>11.31</v>
      </c>
      <c r="M74" s="62">
        <v>10.38</v>
      </c>
      <c r="N74" s="62">
        <v>10.85</v>
      </c>
      <c r="O74" s="62">
        <v>11.31</v>
      </c>
      <c r="P74"/>
      <c r="Q74"/>
      <c r="R74"/>
      <c r="S74"/>
      <c r="T74"/>
      <c r="U74"/>
      <c r="V74"/>
      <c r="W74"/>
      <c r="X74"/>
      <c r="Y74"/>
      <c r="Z74"/>
      <c r="AA74"/>
      <c r="AB74"/>
      <c r="AC74"/>
    </row>
    <row r="75" spans="6:29" ht="15" x14ac:dyDescent="0.25">
      <c r="F75"/>
      <c r="G75"/>
      <c r="H75"/>
      <c r="I75"/>
      <c r="J75"/>
      <c r="K75" s="61" t="s">
        <v>247</v>
      </c>
      <c r="L75" s="62">
        <v>11.2</v>
      </c>
      <c r="M75" s="62">
        <v>10.26</v>
      </c>
      <c r="N75" s="62">
        <v>10.59</v>
      </c>
      <c r="O75" s="62">
        <v>11.2</v>
      </c>
      <c r="P75"/>
      <c r="Q75"/>
      <c r="R75"/>
      <c r="S75"/>
      <c r="T75"/>
      <c r="U75"/>
      <c r="V75"/>
      <c r="W75"/>
      <c r="X75"/>
      <c r="Y75"/>
      <c r="Z75"/>
      <c r="AA75"/>
      <c r="AB75"/>
      <c r="AC75"/>
    </row>
    <row r="76" spans="6:29" ht="15" x14ac:dyDescent="0.25">
      <c r="F76"/>
      <c r="G76"/>
      <c r="H76"/>
      <c r="I76"/>
      <c r="J76"/>
      <c r="K76" s="61" t="s">
        <v>248</v>
      </c>
      <c r="L76" s="62">
        <v>10.74</v>
      </c>
      <c r="M76" s="62">
        <v>10.19</v>
      </c>
      <c r="N76" s="62">
        <v>10.51</v>
      </c>
      <c r="O76" s="62">
        <v>10.74</v>
      </c>
      <c r="P76"/>
      <c r="Q76"/>
      <c r="R76"/>
      <c r="S76"/>
      <c r="T76"/>
      <c r="U76"/>
      <c r="V76"/>
      <c r="W76"/>
      <c r="X76"/>
      <c r="Y76"/>
      <c r="Z76"/>
      <c r="AA76"/>
      <c r="AB76"/>
      <c r="AC76"/>
    </row>
    <row r="77" spans="6:29" ht="15" x14ac:dyDescent="0.25">
      <c r="F77"/>
      <c r="G77"/>
      <c r="H77"/>
      <c r="I77"/>
      <c r="J77"/>
      <c r="K77" s="61" t="s">
        <v>249</v>
      </c>
      <c r="L77" s="62">
        <v>10.73</v>
      </c>
      <c r="M77" s="62">
        <v>10.16</v>
      </c>
      <c r="N77" s="62">
        <v>10.49</v>
      </c>
      <c r="O77" s="62">
        <v>10.73</v>
      </c>
      <c r="P77"/>
      <c r="Q77"/>
      <c r="R77"/>
      <c r="S77"/>
      <c r="T77"/>
      <c r="U77"/>
      <c r="V77"/>
      <c r="W77"/>
      <c r="X77"/>
      <c r="Y77"/>
      <c r="Z77"/>
      <c r="AA77"/>
      <c r="AB77"/>
      <c r="AC77"/>
    </row>
    <row r="78" spans="6:29" ht="15" x14ac:dyDescent="0.25">
      <c r="F78"/>
      <c r="G78"/>
      <c r="H78"/>
      <c r="I78"/>
      <c r="J78"/>
      <c r="K78" s="61" t="s">
        <v>250</v>
      </c>
      <c r="L78" s="62">
        <v>10.46</v>
      </c>
      <c r="M78" s="62">
        <v>10.07</v>
      </c>
      <c r="N78" s="62">
        <v>9.98</v>
      </c>
      <c r="O78" s="62">
        <v>10.46</v>
      </c>
      <c r="P78"/>
      <c r="Q78"/>
      <c r="R78"/>
      <c r="S78"/>
      <c r="T78"/>
      <c r="U78"/>
      <c r="V78"/>
      <c r="W78"/>
      <c r="X78"/>
      <c r="Y78"/>
      <c r="Z78"/>
      <c r="AA78"/>
      <c r="AB78"/>
      <c r="AC78"/>
    </row>
    <row r="79" spans="6:29" ht="15" x14ac:dyDescent="0.25">
      <c r="F79"/>
      <c r="G79"/>
      <c r="H79"/>
      <c r="I79"/>
      <c r="J79"/>
      <c r="K79" s="61" t="s">
        <v>251</v>
      </c>
      <c r="L79" s="62">
        <v>10.36</v>
      </c>
      <c r="M79" s="62">
        <v>10</v>
      </c>
      <c r="N79" s="62">
        <v>9.83</v>
      </c>
      <c r="O79" s="62">
        <v>10.36</v>
      </c>
      <c r="P79"/>
      <c r="Q79"/>
      <c r="R79"/>
      <c r="S79"/>
      <c r="T79"/>
      <c r="U79"/>
      <c r="V79"/>
      <c r="W79"/>
      <c r="X79"/>
      <c r="Y79"/>
      <c r="Z79"/>
      <c r="AA79"/>
      <c r="AB79"/>
      <c r="AC79"/>
    </row>
    <row r="80" spans="6:29" ht="15" x14ac:dyDescent="0.25">
      <c r="F80"/>
      <c r="G80"/>
      <c r="H80"/>
      <c r="I80"/>
      <c r="J80"/>
      <c r="K80" s="61" t="s">
        <v>252</v>
      </c>
      <c r="L80" s="62">
        <v>10.17</v>
      </c>
      <c r="M80" s="62">
        <v>10.02</v>
      </c>
      <c r="N80" s="62">
        <v>9.81</v>
      </c>
      <c r="O80" s="62">
        <v>10.17</v>
      </c>
      <c r="P80"/>
      <c r="Q80"/>
      <c r="R80"/>
      <c r="S80"/>
      <c r="T80"/>
      <c r="U80"/>
      <c r="V80"/>
      <c r="W80"/>
      <c r="X80"/>
      <c r="Y80"/>
      <c r="Z80"/>
      <c r="AA80"/>
      <c r="AB80"/>
      <c r="AC80"/>
    </row>
    <row r="81" spans="6:29" ht="15" x14ac:dyDescent="0.25">
      <c r="F81"/>
      <c r="G81"/>
      <c r="H81"/>
      <c r="I81"/>
      <c r="J81"/>
      <c r="K81" s="61" t="s">
        <v>253</v>
      </c>
      <c r="L81" s="62">
        <v>10.119999999999999</v>
      </c>
      <c r="M81" s="62">
        <v>10.11</v>
      </c>
      <c r="N81" s="62">
        <v>9.6199999999999992</v>
      </c>
      <c r="O81" s="62">
        <v>10.119999999999999</v>
      </c>
      <c r="P81"/>
      <c r="Q81"/>
      <c r="R81"/>
      <c r="S81"/>
      <c r="T81"/>
      <c r="U81"/>
      <c r="V81"/>
      <c r="W81"/>
      <c r="X81"/>
      <c r="Y81"/>
      <c r="Z81"/>
      <c r="AA81"/>
      <c r="AB81"/>
      <c r="AC81"/>
    </row>
    <row r="82" spans="6:29" ht="15" x14ac:dyDescent="0.25">
      <c r="F82"/>
      <c r="G82"/>
      <c r="H82"/>
      <c r="I82"/>
      <c r="J82"/>
      <c r="K82" s="61" t="s">
        <v>254</v>
      </c>
      <c r="L82" s="62">
        <v>9.94</v>
      </c>
      <c r="M82" s="62">
        <v>9.98</v>
      </c>
      <c r="N82" s="62">
        <v>9.5299999999999994</v>
      </c>
      <c r="O82" s="62">
        <v>9.98</v>
      </c>
      <c r="P82"/>
      <c r="Q82"/>
      <c r="R82"/>
      <c r="S82"/>
      <c r="T82"/>
      <c r="U82"/>
      <c r="V82"/>
      <c r="W82"/>
      <c r="X82"/>
      <c r="Y82"/>
      <c r="Z82"/>
      <c r="AA82"/>
      <c r="AB82"/>
      <c r="AC82"/>
    </row>
    <row r="83" spans="6:29" ht="15" x14ac:dyDescent="0.25">
      <c r="F83"/>
      <c r="G83"/>
      <c r="H83"/>
      <c r="I83"/>
      <c r="J83"/>
      <c r="K83" s="61" t="s">
        <v>255</v>
      </c>
      <c r="L83" s="62">
        <v>9.9</v>
      </c>
      <c r="M83" s="62">
        <v>9.74</v>
      </c>
      <c r="N83" s="62">
        <v>9.4700000000000006</v>
      </c>
      <c r="O83" s="62">
        <v>9.9</v>
      </c>
      <c r="P83"/>
      <c r="Q83"/>
      <c r="R83"/>
      <c r="S83"/>
      <c r="T83"/>
      <c r="U83"/>
      <c r="V83"/>
      <c r="W83"/>
      <c r="X83"/>
      <c r="Y83"/>
      <c r="Z83"/>
      <c r="AA83"/>
      <c r="AB83"/>
      <c r="AC83"/>
    </row>
    <row r="84" spans="6:29" ht="15" x14ac:dyDescent="0.25">
      <c r="F84"/>
      <c r="G84"/>
      <c r="H84"/>
      <c r="I84"/>
      <c r="J84"/>
      <c r="K84" s="61" t="s">
        <v>256</v>
      </c>
      <c r="L84" s="62">
        <v>9.75</v>
      </c>
      <c r="M84" s="62">
        <v>9.57</v>
      </c>
      <c r="N84" s="62">
        <v>9.33</v>
      </c>
      <c r="O84" s="62">
        <v>9.75</v>
      </c>
      <c r="P84"/>
      <c r="Q84"/>
      <c r="R84"/>
      <c r="S84"/>
      <c r="T84"/>
      <c r="U84"/>
      <c r="V84"/>
      <c r="W84"/>
      <c r="X84"/>
      <c r="Y84"/>
      <c r="Z84"/>
      <c r="AA84"/>
      <c r="AB84"/>
      <c r="AC84"/>
    </row>
    <row r="85" spans="6:29" ht="15" x14ac:dyDescent="0.25">
      <c r="F85"/>
      <c r="G85"/>
      <c r="H85"/>
      <c r="I85"/>
      <c r="J85"/>
      <c r="K85" s="61" t="s">
        <v>257</v>
      </c>
      <c r="L85" s="62">
        <v>9.6300000000000008</v>
      </c>
      <c r="M85" s="62">
        <v>9.59</v>
      </c>
      <c r="N85" s="62">
        <v>9.3000000000000007</v>
      </c>
      <c r="O85" s="62">
        <v>9.6300000000000008</v>
      </c>
      <c r="P85"/>
      <c r="Q85"/>
      <c r="R85"/>
      <c r="S85"/>
      <c r="T85"/>
      <c r="U85"/>
      <c r="V85"/>
      <c r="W85"/>
      <c r="X85"/>
      <c r="Y85"/>
      <c r="Z85"/>
      <c r="AA85"/>
      <c r="AB85"/>
      <c r="AC85"/>
    </row>
    <row r="86" spans="6:29" ht="15" x14ac:dyDescent="0.25">
      <c r="F86"/>
      <c r="G86"/>
      <c r="H86"/>
      <c r="I86"/>
      <c r="J86"/>
      <c r="K86" s="61" t="s">
        <v>258</v>
      </c>
      <c r="L86" s="62">
        <v>9.61</v>
      </c>
      <c r="M86" s="62">
        <v>9.6</v>
      </c>
      <c r="N86" s="62">
        <v>9.1</v>
      </c>
      <c r="O86" s="62">
        <v>9.61</v>
      </c>
      <c r="P86"/>
      <c r="Q86"/>
      <c r="R86"/>
      <c r="S86"/>
      <c r="T86"/>
      <c r="U86"/>
      <c r="V86"/>
      <c r="W86"/>
      <c r="X86"/>
      <c r="Y86"/>
      <c r="Z86"/>
      <c r="AA86"/>
      <c r="AB86"/>
      <c r="AC86"/>
    </row>
    <row r="87" spans="6:29" ht="15" x14ac:dyDescent="0.25">
      <c r="F87"/>
      <c r="G87"/>
      <c r="H87"/>
      <c r="I87"/>
      <c r="J87"/>
      <c r="K87" s="61" t="s">
        <v>259</v>
      </c>
      <c r="L87" s="62">
        <v>9.49</v>
      </c>
      <c r="M87" s="62">
        <v>9.56</v>
      </c>
      <c r="N87" s="62">
        <v>8.9600000000000009</v>
      </c>
      <c r="O87" s="62">
        <v>9.56</v>
      </c>
      <c r="P87"/>
      <c r="Q87"/>
      <c r="R87"/>
      <c r="S87"/>
      <c r="T87"/>
      <c r="U87"/>
      <c r="V87"/>
      <c r="W87"/>
      <c r="X87"/>
      <c r="Y87"/>
      <c r="Z87"/>
      <c r="AA87"/>
      <c r="AB87"/>
      <c r="AC87"/>
    </row>
    <row r="88" spans="6:29" ht="15" x14ac:dyDescent="0.25">
      <c r="F88"/>
      <c r="G88"/>
      <c r="H88"/>
      <c r="I88"/>
      <c r="J88"/>
      <c r="K88" s="61" t="s">
        <v>260</v>
      </c>
      <c r="L88" s="62">
        <v>9.3699999999999992</v>
      </c>
      <c r="M88" s="62">
        <v>9.5500000000000007</v>
      </c>
      <c r="N88" s="62">
        <v>8.84</v>
      </c>
      <c r="O88" s="62">
        <v>9.5500000000000007</v>
      </c>
      <c r="P88"/>
      <c r="Q88"/>
      <c r="R88"/>
      <c r="S88"/>
      <c r="T88"/>
      <c r="U88"/>
      <c r="V88"/>
      <c r="W88"/>
      <c r="X88"/>
      <c r="Y88"/>
      <c r="Z88"/>
      <c r="AA88"/>
      <c r="AB88"/>
      <c r="AC88"/>
    </row>
    <row r="89" spans="6:29" ht="15" x14ac:dyDescent="0.25">
      <c r="F89"/>
      <c r="G89"/>
      <c r="H89"/>
      <c r="I89"/>
      <c r="J89"/>
      <c r="K89" s="61" t="s">
        <v>261</v>
      </c>
      <c r="L89" s="62">
        <v>9.34</v>
      </c>
      <c r="M89" s="62">
        <v>9.3800000000000008</v>
      </c>
      <c r="N89" s="62">
        <v>8.66</v>
      </c>
      <c r="O89" s="62">
        <v>9.3800000000000008</v>
      </c>
      <c r="P89"/>
      <c r="Q89"/>
      <c r="R89"/>
      <c r="S89"/>
      <c r="T89"/>
      <c r="U89"/>
      <c r="V89"/>
      <c r="W89"/>
      <c r="X89"/>
      <c r="Y89"/>
      <c r="Z89"/>
      <c r="AA89"/>
      <c r="AB89"/>
      <c r="AC89"/>
    </row>
    <row r="90" spans="6:29" ht="15" x14ac:dyDescent="0.25">
      <c r="F90"/>
      <c r="G90"/>
      <c r="H90"/>
      <c r="I90"/>
      <c r="J90"/>
      <c r="K90" s="61" t="s">
        <v>262</v>
      </c>
      <c r="L90" s="62">
        <v>9.26</v>
      </c>
      <c r="M90" s="62">
        <v>9.36</v>
      </c>
      <c r="N90" s="62">
        <v>8.6999999999999993</v>
      </c>
      <c r="O90" s="62">
        <v>9.36</v>
      </c>
      <c r="P90"/>
      <c r="Q90"/>
      <c r="R90"/>
      <c r="S90"/>
      <c r="T90"/>
      <c r="U90"/>
      <c r="V90"/>
      <c r="W90"/>
      <c r="X90"/>
      <c r="Y90"/>
      <c r="Z90"/>
      <c r="AA90"/>
      <c r="AB90"/>
      <c r="AC90"/>
    </row>
    <row r="91" spans="6:29" ht="15" x14ac:dyDescent="0.25">
      <c r="F91"/>
      <c r="G91"/>
      <c r="H91"/>
      <c r="I91"/>
      <c r="J91"/>
      <c r="K91" s="61" t="s">
        <v>263</v>
      </c>
      <c r="L91" s="62">
        <v>9.3699999999999992</v>
      </c>
      <c r="M91" s="62">
        <v>9.35</v>
      </c>
      <c r="N91" s="62">
        <v>8.66</v>
      </c>
      <c r="O91" s="62">
        <v>9.3699999999999992</v>
      </c>
      <c r="P91"/>
      <c r="Q91"/>
      <c r="R91"/>
      <c r="S91"/>
      <c r="T91"/>
      <c r="U91"/>
      <c r="V91"/>
      <c r="W91"/>
      <c r="X91"/>
      <c r="Y91"/>
      <c r="Z91"/>
      <c r="AA91"/>
      <c r="AB91"/>
      <c r="AC91"/>
    </row>
    <row r="92" spans="6:29" ht="15" x14ac:dyDescent="0.25">
      <c r="F92"/>
      <c r="G92"/>
      <c r="H92"/>
      <c r="I92"/>
      <c r="J92"/>
      <c r="K92" s="61" t="s">
        <v>264</v>
      </c>
      <c r="L92" s="62">
        <v>9.4</v>
      </c>
      <c r="M92" s="62">
        <v>9.23</v>
      </c>
      <c r="N92" s="62">
        <v>8.57</v>
      </c>
      <c r="O92" s="62">
        <v>9.4</v>
      </c>
      <c r="P92"/>
      <c r="Q92"/>
      <c r="R92"/>
      <c r="S92"/>
      <c r="T92"/>
      <c r="U92"/>
      <c r="V92"/>
      <c r="W92"/>
      <c r="X92"/>
      <c r="Y92"/>
      <c r="Z92"/>
      <c r="AA92"/>
      <c r="AB92"/>
      <c r="AC92"/>
    </row>
    <row r="93" spans="6:29" ht="15" x14ac:dyDescent="0.25">
      <c r="F93"/>
      <c r="G93"/>
      <c r="H93"/>
      <c r="I93"/>
      <c r="J93"/>
      <c r="K93" s="61" t="s">
        <v>265</v>
      </c>
      <c r="L93" s="62">
        <v>9.35</v>
      </c>
      <c r="M93" s="62">
        <v>9.2100000000000009</v>
      </c>
      <c r="N93" s="62">
        <v>8.48</v>
      </c>
      <c r="O93" s="62">
        <v>9.35</v>
      </c>
      <c r="P93"/>
      <c r="Q93"/>
      <c r="R93"/>
      <c r="S93"/>
      <c r="T93"/>
      <c r="U93"/>
      <c r="V93"/>
      <c r="W93"/>
      <c r="X93"/>
      <c r="Y93"/>
      <c r="Z93"/>
      <c r="AA93"/>
      <c r="AB93"/>
      <c r="AC93"/>
    </row>
    <row r="94" spans="6:29" ht="15" x14ac:dyDescent="0.25">
      <c r="F94"/>
      <c r="G94"/>
      <c r="H94"/>
      <c r="I94"/>
      <c r="J94"/>
      <c r="K94" s="61" t="s">
        <v>266</v>
      </c>
      <c r="L94" s="62">
        <v>9.2100000000000009</v>
      </c>
      <c r="M94" s="62">
        <v>9.15</v>
      </c>
      <c r="N94" s="62">
        <v>8.5</v>
      </c>
      <c r="O94" s="62">
        <v>9.2100000000000009</v>
      </c>
      <c r="P94"/>
      <c r="Q94"/>
      <c r="R94"/>
      <c r="S94"/>
      <c r="T94"/>
      <c r="U94"/>
      <c r="V94"/>
      <c r="W94"/>
      <c r="X94"/>
      <c r="Y94"/>
      <c r="Z94"/>
      <c r="AA94"/>
      <c r="AB94"/>
      <c r="AC94"/>
    </row>
    <row r="95" spans="6:29" ht="15" x14ac:dyDescent="0.25">
      <c r="F95"/>
      <c r="G95"/>
      <c r="H95"/>
      <c r="I95"/>
      <c r="J95"/>
      <c r="K95" s="61" t="s">
        <v>267</v>
      </c>
      <c r="L95" s="62">
        <v>8.9600000000000009</v>
      </c>
      <c r="M95" s="62">
        <v>8.8800000000000008</v>
      </c>
      <c r="N95" s="62">
        <v>8.56</v>
      </c>
      <c r="O95" s="62">
        <v>8.9600000000000009</v>
      </c>
      <c r="P95"/>
      <c r="Q95"/>
      <c r="R95"/>
      <c r="S95"/>
      <c r="T95"/>
      <c r="U95"/>
      <c r="V95"/>
      <c r="W95"/>
      <c r="X95"/>
      <c r="Y95"/>
      <c r="Z95"/>
      <c r="AA95"/>
      <c r="AB95"/>
      <c r="AC95"/>
    </row>
    <row r="96" spans="6:29" ht="15" x14ac:dyDescent="0.25">
      <c r="F96"/>
      <c r="G96"/>
      <c r="H96"/>
      <c r="I96"/>
      <c r="J96"/>
      <c r="K96" s="61" t="s">
        <v>268</v>
      </c>
      <c r="L96" s="62">
        <v>8.9600000000000009</v>
      </c>
      <c r="M96" s="62">
        <v>9.27</v>
      </c>
      <c r="N96" s="62">
        <v>8.48</v>
      </c>
      <c r="O96" s="62">
        <v>9.27</v>
      </c>
      <c r="P96"/>
      <c r="Q96"/>
      <c r="R96"/>
      <c r="S96"/>
      <c r="T96"/>
      <c r="U96"/>
      <c r="V96"/>
      <c r="W96"/>
      <c r="X96"/>
      <c r="Y96"/>
      <c r="Z96"/>
      <c r="AA96"/>
      <c r="AB96"/>
      <c r="AC96"/>
    </row>
    <row r="97" spans="6:29" ht="15" x14ac:dyDescent="0.25">
      <c r="F97"/>
      <c r="G97"/>
      <c r="H97"/>
      <c r="I97"/>
      <c r="J97"/>
      <c r="K97" s="61" t="s">
        <v>269</v>
      </c>
      <c r="L97" s="62">
        <v>8.7899999999999991</v>
      </c>
      <c r="M97" s="62">
        <v>9.15</v>
      </c>
      <c r="N97" s="62">
        <v>8.48</v>
      </c>
      <c r="O97" s="62">
        <v>9.15</v>
      </c>
      <c r="P97"/>
      <c r="Q97"/>
      <c r="R97"/>
      <c r="S97"/>
      <c r="T97"/>
      <c r="U97"/>
      <c r="V97"/>
      <c r="W97"/>
      <c r="X97"/>
      <c r="Y97"/>
      <c r="Z97"/>
      <c r="AA97"/>
      <c r="AB97"/>
      <c r="AC97"/>
    </row>
    <row r="98" spans="6:29" ht="15" x14ac:dyDescent="0.25">
      <c r="F98"/>
      <c r="G98"/>
      <c r="H98"/>
      <c r="I98"/>
      <c r="J98"/>
      <c r="K98" s="61" t="s">
        <v>270</v>
      </c>
      <c r="L98" s="62">
        <v>8.7100000000000009</v>
      </c>
      <c r="M98" s="62">
        <v>8.9600000000000009</v>
      </c>
      <c r="N98" s="62">
        <v>8.34</v>
      </c>
      <c r="O98" s="62">
        <v>8.9600000000000009</v>
      </c>
      <c r="P98"/>
      <c r="Q98"/>
      <c r="R98"/>
      <c r="S98"/>
      <c r="T98"/>
      <c r="U98"/>
      <c r="V98"/>
      <c r="W98"/>
      <c r="X98"/>
      <c r="Y98"/>
      <c r="Z98"/>
      <c r="AA98"/>
      <c r="AB98"/>
      <c r="AC98"/>
    </row>
    <row r="99" spans="6:29" ht="15" x14ac:dyDescent="0.25">
      <c r="F99"/>
      <c r="G99"/>
      <c r="H99"/>
      <c r="I99"/>
      <c r="J99"/>
      <c r="K99" s="61" t="s">
        <v>271</v>
      </c>
      <c r="L99" s="62">
        <v>8.65</v>
      </c>
      <c r="M99" s="62">
        <v>8.2899999999999991</v>
      </c>
      <c r="N99" s="62">
        <v>8.31</v>
      </c>
      <c r="O99" s="62">
        <v>8.65</v>
      </c>
      <c r="P99"/>
      <c r="Q99"/>
      <c r="R99"/>
      <c r="S99"/>
      <c r="T99"/>
      <c r="U99"/>
      <c r="V99"/>
      <c r="W99"/>
      <c r="X99"/>
      <c r="Y99"/>
      <c r="Z99"/>
      <c r="AA99"/>
      <c r="AB99"/>
      <c r="AC99"/>
    </row>
    <row r="100" spans="6:29" ht="15" x14ac:dyDescent="0.25">
      <c r="F100"/>
      <c r="G100"/>
      <c r="H100"/>
      <c r="I100"/>
      <c r="J100"/>
      <c r="K100" s="61" t="s">
        <v>272</v>
      </c>
      <c r="L100" s="62">
        <v>8.57</v>
      </c>
      <c r="M100" s="62">
        <v>8.26</v>
      </c>
      <c r="N100" s="62">
        <v>7.81</v>
      </c>
      <c r="O100" s="62">
        <v>8.57</v>
      </c>
      <c r="P100"/>
      <c r="Q100"/>
      <c r="R100"/>
      <c r="S100"/>
      <c r="T100"/>
      <c r="U100"/>
      <c r="V100"/>
      <c r="W100"/>
      <c r="X100"/>
      <c r="Y100"/>
      <c r="Z100"/>
      <c r="AA100"/>
      <c r="AB100"/>
      <c r="AC100"/>
    </row>
    <row r="101" spans="6:29" ht="15" x14ac:dyDescent="0.25">
      <c r="F101"/>
      <c r="G101"/>
      <c r="H101"/>
      <c r="I101"/>
      <c r="J101"/>
      <c r="K101" s="61" t="s">
        <v>273</v>
      </c>
      <c r="L101" s="62">
        <v>8.17</v>
      </c>
      <c r="M101" s="62">
        <v>8.41</v>
      </c>
      <c r="N101" s="62">
        <v>7.7</v>
      </c>
      <c r="O101" s="62">
        <v>8.41</v>
      </c>
      <c r="P101"/>
      <c r="Q101"/>
      <c r="R101"/>
      <c r="S101"/>
      <c r="T101"/>
      <c r="U101"/>
      <c r="V101"/>
      <c r="W101"/>
      <c r="X101"/>
      <c r="Y101"/>
      <c r="Z101"/>
      <c r="AA101"/>
      <c r="AB101"/>
      <c r="AC101"/>
    </row>
    <row r="102" spans="6:29" ht="15" x14ac:dyDescent="0.25">
      <c r="F102"/>
      <c r="G102"/>
      <c r="H102"/>
      <c r="I102"/>
      <c r="J102"/>
      <c r="K102" s="61" t="s">
        <v>274</v>
      </c>
      <c r="L102" s="62">
        <v>7.89</v>
      </c>
      <c r="M102" s="62">
        <v>8.36</v>
      </c>
      <c r="N102" s="62">
        <v>7.7</v>
      </c>
      <c r="O102" s="62">
        <v>8.36</v>
      </c>
      <c r="P102"/>
      <c r="Q102"/>
      <c r="R102"/>
      <c r="S102"/>
      <c r="T102"/>
      <c r="U102"/>
      <c r="V102"/>
      <c r="W102"/>
      <c r="X102"/>
      <c r="Y102"/>
      <c r="Z102"/>
      <c r="AA102"/>
      <c r="AB102"/>
      <c r="AC102"/>
    </row>
    <row r="103" spans="6:29" ht="15" x14ac:dyDescent="0.25">
      <c r="F103"/>
      <c r="G103"/>
      <c r="H103"/>
      <c r="I103"/>
      <c r="J103"/>
      <c r="K103" s="61" t="s">
        <v>150</v>
      </c>
      <c r="L103" s="62">
        <v>7.76</v>
      </c>
      <c r="M103" s="62">
        <v>8.35</v>
      </c>
      <c r="N103" s="62">
        <v>7.63</v>
      </c>
      <c r="O103" s="62">
        <v>8.35</v>
      </c>
      <c r="P103"/>
      <c r="Q103"/>
      <c r="R103"/>
      <c r="S103"/>
      <c r="T103"/>
      <c r="U103"/>
      <c r="V103"/>
      <c r="W103"/>
      <c r="X103"/>
      <c r="Y103"/>
      <c r="Z103"/>
      <c r="AA103"/>
      <c r="AB103"/>
      <c r="AC103"/>
    </row>
    <row r="104" spans="6:29" ht="15" x14ac:dyDescent="0.25">
      <c r="F104"/>
      <c r="G104"/>
      <c r="H104"/>
      <c r="I104"/>
      <c r="J104"/>
      <c r="K104" s="61" t="s">
        <v>151</v>
      </c>
      <c r="L104" s="62">
        <v>7.64</v>
      </c>
      <c r="M104" s="62">
        <v>8.14</v>
      </c>
      <c r="N104" s="62">
        <v>7.53</v>
      </c>
      <c r="O104" s="62">
        <v>8.14</v>
      </c>
      <c r="P104"/>
      <c r="Q104"/>
      <c r="R104"/>
      <c r="S104"/>
      <c r="T104"/>
      <c r="U104"/>
      <c r="V104"/>
      <c r="W104"/>
      <c r="X104"/>
      <c r="Y104"/>
      <c r="Z104"/>
      <c r="AA104"/>
      <c r="AB104"/>
      <c r="AC104"/>
    </row>
    <row r="105" spans="6:29" ht="15" x14ac:dyDescent="0.25">
      <c r="F105"/>
      <c r="G105"/>
      <c r="H105"/>
      <c r="I105"/>
      <c r="J105"/>
      <c r="K105" s="61" t="s">
        <v>152</v>
      </c>
      <c r="L105" s="62">
        <v>7.68</v>
      </c>
      <c r="M105" s="62">
        <v>8.36</v>
      </c>
      <c r="N105" s="62">
        <v>7.56</v>
      </c>
      <c r="O105" s="62">
        <v>8.36</v>
      </c>
      <c r="P105"/>
      <c r="Q105"/>
      <c r="R105"/>
      <c r="S105"/>
      <c r="T105"/>
      <c r="U105"/>
      <c r="V105"/>
      <c r="W105"/>
      <c r="X105"/>
      <c r="Y105"/>
      <c r="Z105"/>
      <c r="AA105"/>
      <c r="AB105"/>
      <c r="AC105"/>
    </row>
    <row r="106" spans="6:29" ht="15" x14ac:dyDescent="0.25">
      <c r="F106"/>
      <c r="G106"/>
      <c r="H106"/>
      <c r="I106"/>
      <c r="J106"/>
      <c r="K106" s="61" t="s">
        <v>153</v>
      </c>
      <c r="L106" s="62">
        <v>7.44</v>
      </c>
      <c r="M106" s="62">
        <v>8.17</v>
      </c>
      <c r="N106" s="62">
        <v>7.4</v>
      </c>
      <c r="O106" s="62">
        <v>8.17</v>
      </c>
      <c r="P106"/>
      <c r="Q106"/>
      <c r="R106"/>
      <c r="S106"/>
      <c r="T106"/>
      <c r="U106"/>
      <c r="V106"/>
      <c r="W106"/>
      <c r="X106"/>
      <c r="Y106"/>
      <c r="Z106"/>
      <c r="AA106"/>
      <c r="AB106"/>
      <c r="AC106"/>
    </row>
    <row r="107" spans="6:29" ht="15" x14ac:dyDescent="0.25">
      <c r="F107"/>
      <c r="G107"/>
      <c r="H107"/>
      <c r="I107"/>
      <c r="J107"/>
      <c r="K107" s="61" t="s">
        <v>154</v>
      </c>
      <c r="L107" s="62">
        <v>7.66</v>
      </c>
      <c r="M107" s="62">
        <v>8.14</v>
      </c>
      <c r="N107" s="62">
        <v>7.44</v>
      </c>
      <c r="O107" s="62">
        <v>8.14</v>
      </c>
      <c r="P107"/>
      <c r="Q107"/>
      <c r="R107"/>
      <c r="S107"/>
      <c r="T107"/>
      <c r="U107"/>
      <c r="V107"/>
      <c r="W107"/>
      <c r="X107"/>
      <c r="Y107"/>
      <c r="Z107"/>
      <c r="AA107"/>
      <c r="AB107"/>
      <c r="AC107"/>
    </row>
    <row r="108" spans="6:29" ht="15" x14ac:dyDescent="0.25">
      <c r="F108"/>
      <c r="G108"/>
      <c r="H108"/>
      <c r="I108"/>
      <c r="J108"/>
      <c r="K108" s="61" t="s">
        <v>155</v>
      </c>
      <c r="L108" s="62">
        <v>7.45</v>
      </c>
      <c r="M108" s="62">
        <v>8.09</v>
      </c>
      <c r="N108" s="62">
        <v>7.38</v>
      </c>
      <c r="O108" s="62">
        <v>8.09</v>
      </c>
      <c r="P108"/>
      <c r="Q108"/>
      <c r="R108"/>
      <c r="S108"/>
      <c r="T108"/>
      <c r="U108"/>
      <c r="V108"/>
      <c r="W108"/>
      <c r="X108"/>
      <c r="Y108"/>
      <c r="Z108"/>
      <c r="AA108"/>
      <c r="AB108"/>
      <c r="AC108"/>
    </row>
    <row r="109" spans="6:29" ht="15" x14ac:dyDescent="0.25">
      <c r="F109"/>
      <c r="G109"/>
      <c r="H109"/>
      <c r="I109"/>
      <c r="J109"/>
      <c r="K109" s="61" t="s">
        <v>156</v>
      </c>
      <c r="L109" s="62">
        <v>7.48</v>
      </c>
      <c r="M109" s="62">
        <v>7.36</v>
      </c>
      <c r="N109" s="62">
        <v>7.36</v>
      </c>
      <c r="O109" s="62">
        <v>7.48</v>
      </c>
      <c r="P109"/>
      <c r="Q109"/>
      <c r="R109"/>
      <c r="S109"/>
      <c r="T109"/>
      <c r="U109"/>
      <c r="V109"/>
      <c r="W109"/>
      <c r="X109"/>
      <c r="Y109"/>
      <c r="Z109"/>
      <c r="AA109"/>
      <c r="AB109"/>
      <c r="AC109"/>
    </row>
    <row r="110" spans="6:29" ht="15" x14ac:dyDescent="0.25">
      <c r="F110"/>
      <c r="G110"/>
      <c r="H110"/>
      <c r="I110"/>
      <c r="J110"/>
      <c r="K110" s="61" t="s">
        <v>157</v>
      </c>
      <c r="L110" s="62">
        <v>7.27</v>
      </c>
      <c r="M110" s="62">
        <v>7.36</v>
      </c>
      <c r="N110" s="62">
        <v>7.25</v>
      </c>
      <c r="O110" s="62">
        <v>7.36</v>
      </c>
      <c r="P110"/>
      <c r="Q110"/>
      <c r="R110"/>
      <c r="S110"/>
      <c r="T110"/>
      <c r="U110"/>
      <c r="V110"/>
      <c r="W110"/>
      <c r="X110"/>
      <c r="Y110"/>
      <c r="Z110"/>
      <c r="AA110"/>
      <c r="AB110"/>
      <c r="AC110"/>
    </row>
    <row r="111" spans="6:29" ht="15" x14ac:dyDescent="0.25">
      <c r="F111"/>
      <c r="G111"/>
      <c r="H111"/>
      <c r="I111"/>
      <c r="J111"/>
      <c r="K111" s="61" t="s">
        <v>158</v>
      </c>
      <c r="L111" s="62">
        <v>7.17</v>
      </c>
      <c r="M111" s="62">
        <v>7.31</v>
      </c>
      <c r="N111" s="62">
        <v>7.15</v>
      </c>
      <c r="O111" s="62">
        <v>7.31</v>
      </c>
      <c r="P111"/>
      <c r="Q111"/>
      <c r="R111"/>
      <c r="S111"/>
      <c r="T111"/>
      <c r="U111"/>
      <c r="V111"/>
      <c r="W111"/>
      <c r="X111"/>
      <c r="Y111"/>
      <c r="Z111"/>
      <c r="AA111"/>
      <c r="AB111"/>
      <c r="AC111"/>
    </row>
    <row r="112" spans="6:29" ht="15" x14ac:dyDescent="0.25">
      <c r="F112"/>
      <c r="G112"/>
      <c r="H112"/>
      <c r="I112"/>
      <c r="J112"/>
      <c r="K112" s="61" t="s">
        <v>159</v>
      </c>
      <c r="L112" s="62">
        <v>7.23</v>
      </c>
      <c r="M112" s="62">
        <v>7.32</v>
      </c>
      <c r="N112" s="62">
        <v>7.13</v>
      </c>
      <c r="O112" s="62">
        <v>7.32</v>
      </c>
      <c r="P112"/>
      <c r="Q112"/>
      <c r="R112"/>
      <c r="S112"/>
      <c r="T112"/>
      <c r="U112"/>
      <c r="V112"/>
      <c r="W112"/>
      <c r="X112"/>
      <c r="Y112"/>
      <c r="Z112"/>
      <c r="AA112"/>
      <c r="AB112"/>
      <c r="AC112"/>
    </row>
    <row r="113" spans="6:29" ht="15" x14ac:dyDescent="0.25">
      <c r="F113"/>
      <c r="G113"/>
      <c r="H113"/>
      <c r="I113"/>
      <c r="J113"/>
      <c r="K113" s="61" t="s">
        <v>160</v>
      </c>
      <c r="L113" s="62">
        <v>7.19</v>
      </c>
      <c r="M113" s="62">
        <v>7.25</v>
      </c>
      <c r="N113" s="62">
        <v>7.19</v>
      </c>
      <c r="O113" s="62">
        <v>7.25</v>
      </c>
      <c r="P113"/>
      <c r="Q113"/>
      <c r="R113"/>
      <c r="S113"/>
      <c r="T113"/>
      <c r="U113"/>
      <c r="V113"/>
      <c r="W113"/>
      <c r="X113"/>
      <c r="Y113"/>
      <c r="Z113"/>
      <c r="AA113"/>
      <c r="AB113"/>
      <c r="AC113"/>
    </row>
    <row r="114" spans="6:29" ht="15" x14ac:dyDescent="0.25">
      <c r="F114"/>
      <c r="G114"/>
      <c r="H114"/>
      <c r="I114"/>
      <c r="J114"/>
      <c r="K114" s="61" t="s">
        <v>161</v>
      </c>
      <c r="L114" s="62">
        <v>7.12</v>
      </c>
      <c r="M114" s="62">
        <v>7.38</v>
      </c>
      <c r="N114" s="62">
        <v>7.14</v>
      </c>
      <c r="O114" s="62">
        <v>7.38</v>
      </c>
      <c r="P114"/>
      <c r="Q114"/>
      <c r="R114"/>
      <c r="S114"/>
      <c r="T114"/>
      <c r="U114"/>
      <c r="V114"/>
      <c r="W114"/>
      <c r="X114"/>
      <c r="Y114"/>
      <c r="Z114"/>
      <c r="AA114"/>
      <c r="AB114"/>
      <c r="AC114"/>
    </row>
    <row r="115" spans="6:29" ht="15" x14ac:dyDescent="0.25">
      <c r="F115"/>
      <c r="G115"/>
      <c r="H115"/>
      <c r="I115"/>
      <c r="J115"/>
      <c r="K115" s="61" t="s">
        <v>162</v>
      </c>
      <c r="L115" s="62">
        <v>6.94</v>
      </c>
      <c r="M115" s="62">
        <v>7.38</v>
      </c>
      <c r="N115" s="62">
        <v>7.08</v>
      </c>
      <c r="O115" s="62">
        <v>7.38</v>
      </c>
      <c r="P115"/>
      <c r="Q115"/>
      <c r="R115"/>
      <c r="S115"/>
      <c r="T115"/>
      <c r="U115"/>
      <c r="V115"/>
      <c r="W115"/>
      <c r="X115"/>
      <c r="Y115"/>
      <c r="Z115"/>
      <c r="AA115"/>
      <c r="AB115"/>
      <c r="AC115"/>
    </row>
    <row r="116" spans="6:29" ht="15" x14ac:dyDescent="0.25">
      <c r="F116"/>
      <c r="G116"/>
      <c r="H116"/>
      <c r="I116"/>
      <c r="J116"/>
      <c r="K116" s="61" t="s">
        <v>163</v>
      </c>
      <c r="L116" s="62">
        <v>6.96</v>
      </c>
      <c r="M116" s="62">
        <v>7.44</v>
      </c>
      <c r="N116" s="62">
        <v>7.08</v>
      </c>
      <c r="O116" s="62">
        <v>7.44</v>
      </c>
      <c r="P116"/>
      <c r="Q116"/>
      <c r="R116"/>
      <c r="S116"/>
      <c r="T116"/>
      <c r="U116"/>
      <c r="V116"/>
      <c r="W116"/>
      <c r="X116"/>
      <c r="Y116"/>
      <c r="Z116"/>
      <c r="AA116"/>
      <c r="AB116"/>
      <c r="AC116"/>
    </row>
    <row r="117" spans="6:29" ht="15" x14ac:dyDescent="0.25">
      <c r="F117"/>
      <c r="G117"/>
      <c r="H117"/>
      <c r="I117"/>
      <c r="J117"/>
      <c r="K117" s="61" t="s">
        <v>164</v>
      </c>
      <c r="L117" s="62">
        <v>6.92</v>
      </c>
      <c r="M117" s="62">
        <v>7.34</v>
      </c>
      <c r="N117" s="62">
        <v>7.08</v>
      </c>
      <c r="O117" s="62">
        <v>7.34</v>
      </c>
      <c r="P117"/>
      <c r="Q117"/>
      <c r="R117"/>
      <c r="S117"/>
      <c r="T117"/>
      <c r="U117"/>
      <c r="V117"/>
      <c r="W117"/>
      <c r="X117"/>
      <c r="Y117"/>
      <c r="Z117"/>
      <c r="AA117"/>
      <c r="AB117"/>
      <c r="AC117"/>
    </row>
    <row r="118" spans="6:29" ht="15" x14ac:dyDescent="0.25">
      <c r="F118"/>
      <c r="G118"/>
      <c r="H118"/>
      <c r="I118"/>
      <c r="J118"/>
      <c r="K118" s="61" t="s">
        <v>165</v>
      </c>
      <c r="L118" s="62">
        <v>6.84</v>
      </c>
      <c r="M118" s="62">
        <v>7.36</v>
      </c>
      <c r="N118" s="62">
        <v>6.97</v>
      </c>
      <c r="O118" s="62">
        <v>7.36</v>
      </c>
      <c r="P118"/>
      <c r="Q118"/>
      <c r="R118"/>
      <c r="S118"/>
      <c r="T118"/>
      <c r="U118"/>
      <c r="V118"/>
      <c r="W118"/>
      <c r="X118"/>
      <c r="Y118"/>
      <c r="Z118"/>
      <c r="AA118"/>
      <c r="AB118"/>
      <c r="AC118"/>
    </row>
    <row r="119" spans="6:29" ht="15" x14ac:dyDescent="0.25">
      <c r="F119"/>
      <c r="G119"/>
      <c r="H119"/>
      <c r="I119"/>
      <c r="J119"/>
      <c r="K119" s="61" t="s">
        <v>166</v>
      </c>
      <c r="L119" s="62">
        <v>6.85</v>
      </c>
      <c r="M119" s="62">
        <v>7.43</v>
      </c>
      <c r="N119" s="62">
        <v>7</v>
      </c>
      <c r="O119" s="62">
        <v>7.43</v>
      </c>
      <c r="P119"/>
      <c r="Q119"/>
      <c r="R119"/>
      <c r="S119"/>
      <c r="T119"/>
      <c r="U119"/>
      <c r="V119"/>
      <c r="W119"/>
      <c r="X119"/>
      <c r="Y119"/>
      <c r="Z119"/>
      <c r="AA119"/>
      <c r="AB119"/>
      <c r="AC119"/>
    </row>
    <row r="120" spans="6:29" ht="15" x14ac:dyDescent="0.25">
      <c r="F120"/>
      <c r="G120"/>
      <c r="H120"/>
      <c r="I120"/>
      <c r="J120"/>
      <c r="K120" s="61" t="s">
        <v>167</v>
      </c>
      <c r="L120" s="62">
        <v>6.93</v>
      </c>
      <c r="M120" s="62">
        <v>7.56</v>
      </c>
      <c r="N120" s="62">
        <v>6.93</v>
      </c>
      <c r="O120" s="62">
        <v>7.56</v>
      </c>
      <c r="P120"/>
      <c r="Q120"/>
      <c r="R120"/>
      <c r="S120"/>
      <c r="T120"/>
      <c r="U120"/>
      <c r="V120"/>
      <c r="W120"/>
      <c r="X120"/>
      <c r="Y120"/>
      <c r="Z120"/>
      <c r="AA120"/>
      <c r="AB120"/>
      <c r="AC120"/>
    </row>
    <row r="121" spans="6:29" ht="15" x14ac:dyDescent="0.25">
      <c r="F121"/>
      <c r="G121"/>
      <c r="H121"/>
      <c r="I121"/>
      <c r="J121"/>
      <c r="K121" s="61" t="s">
        <v>168</v>
      </c>
      <c r="L121" s="62">
        <v>6.88</v>
      </c>
      <c r="M121" s="62">
        <v>7.51</v>
      </c>
      <c r="N121" s="62">
        <v>6.95</v>
      </c>
      <c r="O121" s="62">
        <v>7.51</v>
      </c>
      <c r="P121"/>
      <c r="Q121"/>
      <c r="R121"/>
      <c r="S121"/>
      <c r="T121"/>
      <c r="U121"/>
      <c r="V121"/>
      <c r="W121"/>
      <c r="X121"/>
      <c r="Y121"/>
      <c r="Z121"/>
      <c r="AA121"/>
      <c r="AB121"/>
      <c r="AC121"/>
    </row>
    <row r="122" spans="6:29" ht="15" x14ac:dyDescent="0.25">
      <c r="F122"/>
      <c r="G122"/>
      <c r="H122"/>
      <c r="I122"/>
      <c r="J122"/>
      <c r="K122" s="61" t="s">
        <v>169</v>
      </c>
      <c r="L122" s="62">
        <v>6.89</v>
      </c>
      <c r="M122" s="62">
        <v>7.66</v>
      </c>
      <c r="N122" s="62">
        <v>7.01</v>
      </c>
      <c r="O122" s="62">
        <v>7.66</v>
      </c>
      <c r="P122"/>
      <c r="Q122"/>
      <c r="R122"/>
      <c r="S122"/>
      <c r="T122"/>
      <c r="U122"/>
      <c r="V122"/>
      <c r="W122"/>
      <c r="X122"/>
      <c r="Y122"/>
      <c r="Z122"/>
      <c r="AA122"/>
      <c r="AB122"/>
      <c r="AC122"/>
    </row>
    <row r="123" spans="6:29" ht="15" x14ac:dyDescent="0.25">
      <c r="F123"/>
      <c r="G123"/>
      <c r="H123"/>
      <c r="I123"/>
      <c r="J123"/>
      <c r="K123" s="61" t="s">
        <v>170</v>
      </c>
      <c r="L123" s="62">
        <v>6.95</v>
      </c>
      <c r="M123" s="62">
        <v>7.83</v>
      </c>
      <c r="N123" s="62">
        <v>7.19</v>
      </c>
      <c r="O123" s="62">
        <v>7.83</v>
      </c>
      <c r="P123"/>
      <c r="Q123"/>
      <c r="R123"/>
      <c r="S123"/>
      <c r="T123"/>
      <c r="U123"/>
      <c r="V123"/>
      <c r="W123"/>
      <c r="X123"/>
      <c r="Y123"/>
      <c r="Z123"/>
      <c r="AA123"/>
      <c r="AB123"/>
      <c r="AC123"/>
    </row>
    <row r="124" spans="6:29" ht="15" x14ac:dyDescent="0.25">
      <c r="F124"/>
      <c r="G124"/>
      <c r="H124"/>
      <c r="I124"/>
      <c r="J124"/>
      <c r="K124" s="61" t="s">
        <v>171</v>
      </c>
      <c r="L124" s="62">
        <v>7.85</v>
      </c>
      <c r="M124" s="62">
        <v>8.35</v>
      </c>
      <c r="N124" s="62">
        <v>7.47</v>
      </c>
      <c r="O124" s="62">
        <v>8.35</v>
      </c>
      <c r="P124"/>
      <c r="Q124"/>
      <c r="R124"/>
      <c r="S124"/>
      <c r="T124"/>
      <c r="U124"/>
      <c r="V124"/>
      <c r="W124"/>
      <c r="X124"/>
      <c r="Y124"/>
      <c r="Z124"/>
      <c r="AA124"/>
      <c r="AB124"/>
      <c r="AC124"/>
    </row>
    <row r="125" spans="6:29" ht="15" x14ac:dyDescent="0.25">
      <c r="F125"/>
      <c r="G125"/>
      <c r="H125"/>
      <c r="I125"/>
      <c r="J125"/>
      <c r="K125" s="61" t="s">
        <v>172</v>
      </c>
      <c r="L125" s="62">
        <v>8.31</v>
      </c>
      <c r="M125" s="62">
        <v>8.73</v>
      </c>
      <c r="N125" s="62">
        <v>8</v>
      </c>
      <c r="O125" s="62">
        <v>8.73</v>
      </c>
      <c r="P125"/>
      <c r="Q125"/>
      <c r="R125"/>
      <c r="S125"/>
      <c r="T125"/>
      <c r="U125"/>
      <c r="V125"/>
      <c r="W125"/>
      <c r="X125"/>
      <c r="Y125"/>
      <c r="Z125"/>
      <c r="AA125"/>
      <c r="AB125"/>
      <c r="AC125"/>
    </row>
    <row r="126" spans="6:29" ht="15" x14ac:dyDescent="0.25">
      <c r="F126"/>
      <c r="G126"/>
      <c r="H126"/>
      <c r="I126"/>
      <c r="J126"/>
      <c r="K126"/>
      <c r="L126"/>
      <c r="M126"/>
      <c r="N126"/>
      <c r="O126"/>
      <c r="P126"/>
      <c r="Q126"/>
      <c r="R126"/>
      <c r="S126"/>
      <c r="T126"/>
      <c r="U126"/>
      <c r="V126"/>
      <c r="W126"/>
      <c r="X126"/>
      <c r="Y126"/>
      <c r="Z126"/>
      <c r="AA126"/>
      <c r="AB126"/>
      <c r="AC126"/>
    </row>
    <row r="127" spans="6:29" ht="15" x14ac:dyDescent="0.25">
      <c r="F127"/>
      <c r="G127"/>
      <c r="H127"/>
      <c r="I127"/>
      <c r="J127"/>
      <c r="K127"/>
    </row>
    <row r="128" spans="6:29" ht="15" x14ac:dyDescent="0.25">
      <c r="F128"/>
      <c r="G128"/>
      <c r="H128"/>
      <c r="I128"/>
      <c r="J128"/>
      <c r="K128"/>
    </row>
    <row r="129" spans="6:11" ht="15" x14ac:dyDescent="0.25">
      <c r="F129"/>
      <c r="G129"/>
      <c r="H129"/>
      <c r="I129"/>
      <c r="J129"/>
      <c r="K129"/>
    </row>
    <row r="130" spans="6:11" ht="15" x14ac:dyDescent="0.25">
      <c r="F130"/>
      <c r="G130"/>
      <c r="H130"/>
      <c r="I130"/>
      <c r="J130"/>
      <c r="K130"/>
    </row>
    <row r="131" spans="6:11" ht="15" x14ac:dyDescent="0.25">
      <c r="F131"/>
      <c r="G131"/>
      <c r="H131"/>
      <c r="I131"/>
      <c r="J131"/>
      <c r="K131"/>
    </row>
    <row r="132" spans="6:11" ht="15" x14ac:dyDescent="0.25">
      <c r="F132"/>
      <c r="G132"/>
      <c r="H132"/>
      <c r="I132"/>
      <c r="J132"/>
      <c r="K132"/>
    </row>
    <row r="133" spans="6:11" ht="15" x14ac:dyDescent="0.25">
      <c r="F133"/>
      <c r="G133"/>
      <c r="H133"/>
      <c r="I133"/>
      <c r="J133"/>
      <c r="K133"/>
    </row>
    <row r="134" spans="6:11" ht="15" x14ac:dyDescent="0.25">
      <c r="F134"/>
      <c r="G134"/>
      <c r="H134"/>
      <c r="I134"/>
      <c r="J134"/>
      <c r="K134"/>
    </row>
    <row r="135" spans="6:11" ht="15" x14ac:dyDescent="0.25">
      <c r="F135"/>
      <c r="G135"/>
      <c r="H135"/>
      <c r="I135"/>
      <c r="J135"/>
      <c r="K135"/>
    </row>
  </sheetData>
  <pageMargins left="0.511811024" right="0.511811024" top="0.78740157499999996" bottom="0.78740157499999996" header="0.31496062000000002" footer="0.31496062000000002"/>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238"/>
  <sheetViews>
    <sheetView workbookViewId="0">
      <selection activeCell="A3" sqref="A3"/>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139</v>
      </c>
    </row>
    <row r="2" spans="1:66" ht="15" x14ac:dyDescent="0.25">
      <c r="A2" s="20" t="s">
        <v>576</v>
      </c>
      <c r="K2" s="60" t="s">
        <v>513</v>
      </c>
      <c r="L2" t="s">
        <v>514</v>
      </c>
    </row>
    <row r="3" spans="1:66" ht="15" x14ac:dyDescent="0.25">
      <c r="K3" s="60" t="s">
        <v>276</v>
      </c>
      <c r="L3" t="s">
        <v>509</v>
      </c>
    </row>
    <row r="4" spans="1:66" s="8" customFormat="1" x14ac:dyDescent="0.2">
      <c r="A4" s="7" t="s">
        <v>24</v>
      </c>
    </row>
    <row r="5" spans="1:66" ht="15" x14ac:dyDescent="0.25">
      <c r="A5" s="1" t="str" cm="1">
        <f t="array" ref="A5">xlFOCUS_ReadJSONFile(A2,TRUE)</f>
        <v># Barra de fórmulas aberta</v>
      </c>
      <c r="F5"/>
      <c r="G5"/>
      <c r="H5"/>
      <c r="I5"/>
      <c r="J5"/>
      <c r="K5" s="60" t="s">
        <v>174</v>
      </c>
      <c r="L5" s="60" t="s">
        <v>175</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F6"/>
      <c r="G6"/>
      <c r="H6"/>
      <c r="I6"/>
      <c r="J6"/>
      <c r="K6" s="60" t="s">
        <v>149</v>
      </c>
      <c r="L6" t="s">
        <v>176</v>
      </c>
      <c r="M6" t="s">
        <v>177</v>
      </c>
      <c r="N6" t="s">
        <v>178</v>
      </c>
      <c r="O6" t="s">
        <v>510</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F7"/>
      <c r="G7"/>
      <c r="H7"/>
      <c r="I7"/>
      <c r="J7"/>
      <c r="K7" s="61" t="s">
        <v>277</v>
      </c>
      <c r="L7" s="62">
        <v>15.55</v>
      </c>
      <c r="M7" s="62">
        <v>15.97</v>
      </c>
      <c r="N7" s="62">
        <v>15.63</v>
      </c>
      <c r="O7" s="62">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F8"/>
      <c r="G8"/>
      <c r="H8"/>
      <c r="I8"/>
      <c r="J8"/>
      <c r="K8" s="61" t="s">
        <v>278</v>
      </c>
      <c r="L8" s="62">
        <v>15.36</v>
      </c>
      <c r="M8" s="62">
        <v>15.77</v>
      </c>
      <c r="N8" s="62">
        <v>15.57</v>
      </c>
      <c r="O8" s="62">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F9"/>
      <c r="G9"/>
      <c r="H9"/>
      <c r="I9"/>
      <c r="J9"/>
      <c r="K9" s="61" t="s">
        <v>279</v>
      </c>
      <c r="L9" s="62">
        <v>15.49</v>
      </c>
      <c r="M9" s="62">
        <v>15.65</v>
      </c>
      <c r="N9" s="62">
        <v>15.46</v>
      </c>
      <c r="O9" s="62">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F10"/>
      <c r="G10"/>
      <c r="H10"/>
      <c r="I10"/>
      <c r="J10"/>
      <c r="K10" s="61" t="s">
        <v>280</v>
      </c>
      <c r="L10" s="62">
        <v>15.34</v>
      </c>
      <c r="M10" s="62">
        <v>15.67</v>
      </c>
      <c r="N10" s="62">
        <v>15.52</v>
      </c>
      <c r="O10" s="62">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F11"/>
      <c r="G11"/>
      <c r="H11"/>
      <c r="I11"/>
      <c r="J11"/>
      <c r="K11" s="61" t="s">
        <v>281</v>
      </c>
      <c r="L11" s="62">
        <v>15.27</v>
      </c>
      <c r="M11" s="62">
        <v>15.89</v>
      </c>
      <c r="N11" s="62">
        <v>15.65</v>
      </c>
      <c r="O11" s="62">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F12"/>
      <c r="G12"/>
      <c r="H12"/>
      <c r="I12"/>
      <c r="J12"/>
      <c r="K12" s="61" t="s">
        <v>282</v>
      </c>
      <c r="L12" s="62">
        <v>15.11</v>
      </c>
      <c r="M12" s="62">
        <v>15.75</v>
      </c>
      <c r="N12" s="62">
        <v>15.85</v>
      </c>
      <c r="O12" s="6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F13"/>
      <c r="G13"/>
      <c r="H13"/>
      <c r="I13"/>
      <c r="J13"/>
      <c r="K13" s="61" t="s">
        <v>283</v>
      </c>
      <c r="L13" s="62">
        <v>15.04</v>
      </c>
      <c r="M13" s="62">
        <v>15.86</v>
      </c>
      <c r="N13" s="62">
        <v>15.96</v>
      </c>
      <c r="O13" s="62">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F14"/>
      <c r="G14"/>
      <c r="H14"/>
      <c r="I14"/>
      <c r="J14"/>
      <c r="K14" s="61" t="s">
        <v>284</v>
      </c>
      <c r="L14" s="62">
        <v>14.88</v>
      </c>
      <c r="M14" s="62">
        <v>15.92</v>
      </c>
      <c r="N14" s="62">
        <v>15.98</v>
      </c>
      <c r="O14" s="62">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F15"/>
      <c r="G15"/>
      <c r="H15"/>
      <c r="I15"/>
      <c r="J15"/>
      <c r="K15" s="61" t="s">
        <v>285</v>
      </c>
      <c r="L15" s="62">
        <v>15.01</v>
      </c>
      <c r="M15" s="62">
        <v>15.88</v>
      </c>
      <c r="N15" s="62">
        <v>15.88</v>
      </c>
      <c r="O15" s="62">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F16"/>
      <c r="G16"/>
      <c r="H16"/>
      <c r="I16"/>
      <c r="J16"/>
      <c r="K16" s="61" t="s">
        <v>286</v>
      </c>
      <c r="L16" s="62">
        <v>15.03</v>
      </c>
      <c r="M16" s="62">
        <v>15.71</v>
      </c>
      <c r="N16" s="62">
        <v>15.92</v>
      </c>
      <c r="O16" s="62">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6:66" ht="15" x14ac:dyDescent="0.25">
      <c r="F17"/>
      <c r="G17"/>
      <c r="H17"/>
      <c r="I17"/>
      <c r="J17"/>
      <c r="K17" s="61" t="s">
        <v>287</v>
      </c>
      <c r="L17" s="62">
        <v>15.13</v>
      </c>
      <c r="M17" s="62">
        <v>15.7</v>
      </c>
      <c r="N17" s="62">
        <v>15.96</v>
      </c>
      <c r="O17" s="62">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6:66" ht="15" x14ac:dyDescent="0.25">
      <c r="F18"/>
      <c r="G18"/>
      <c r="H18"/>
      <c r="I18"/>
      <c r="J18"/>
      <c r="K18" s="61" t="s">
        <v>288</v>
      </c>
      <c r="L18" s="62">
        <v>15.2</v>
      </c>
      <c r="M18" s="62">
        <v>15.59</v>
      </c>
      <c r="N18" s="62">
        <v>15.9</v>
      </c>
      <c r="O18" s="62">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6:66" ht="15" x14ac:dyDescent="0.25">
      <c r="F19"/>
      <c r="G19"/>
      <c r="H19"/>
      <c r="I19"/>
      <c r="J19"/>
      <c r="K19" s="61" t="s">
        <v>289</v>
      </c>
      <c r="L19" s="62">
        <v>15.28</v>
      </c>
      <c r="M19" s="62">
        <v>15.5</v>
      </c>
      <c r="N19" s="62">
        <v>15.84</v>
      </c>
      <c r="O19" s="62">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6:66" ht="15" x14ac:dyDescent="0.25">
      <c r="F20"/>
      <c r="G20"/>
      <c r="H20"/>
      <c r="I20"/>
      <c r="J20"/>
      <c r="K20" s="61" t="s">
        <v>290</v>
      </c>
      <c r="L20" s="62">
        <v>15.22</v>
      </c>
      <c r="M20" s="62">
        <v>15.06</v>
      </c>
      <c r="N20" s="62">
        <v>16.04</v>
      </c>
      <c r="O20" s="62">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6:66" ht="15" x14ac:dyDescent="0.25">
      <c r="F21"/>
      <c r="G21"/>
      <c r="H21"/>
      <c r="I21"/>
      <c r="J21"/>
      <c r="K21" s="61" t="s">
        <v>291</v>
      </c>
      <c r="L21" s="62">
        <v>15.1</v>
      </c>
      <c r="M21" s="62">
        <v>14.89</v>
      </c>
      <c r="N21" s="62">
        <v>16.03</v>
      </c>
      <c r="O21" s="62">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6:66" ht="15" x14ac:dyDescent="0.25">
      <c r="F22"/>
      <c r="G22"/>
      <c r="H22"/>
      <c r="I22"/>
      <c r="J22"/>
      <c r="K22" s="61" t="s">
        <v>292</v>
      </c>
      <c r="L22" s="62">
        <v>15.09</v>
      </c>
      <c r="M22" s="62">
        <v>14.61</v>
      </c>
      <c r="N22" s="62">
        <v>16.190000000000001</v>
      </c>
      <c r="O22" s="6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6:66" ht="15" x14ac:dyDescent="0.25">
      <c r="F23"/>
      <c r="G23"/>
      <c r="H23"/>
      <c r="I23"/>
      <c r="J23"/>
      <c r="K23" s="61" t="s">
        <v>293</v>
      </c>
      <c r="L23" s="62">
        <v>14.83</v>
      </c>
      <c r="M23" s="62">
        <v>14.55</v>
      </c>
      <c r="N23" s="62">
        <v>16.37</v>
      </c>
      <c r="O23" s="62">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6:66" ht="15" x14ac:dyDescent="0.25">
      <c r="F24"/>
      <c r="G24"/>
      <c r="H24"/>
      <c r="I24"/>
      <c r="J24"/>
      <c r="K24" s="61" t="s">
        <v>294</v>
      </c>
      <c r="L24" s="62">
        <v>14.79</v>
      </c>
      <c r="M24" s="62">
        <v>14.47</v>
      </c>
      <c r="N24" s="62">
        <v>16.260000000000002</v>
      </c>
      <c r="O24" s="62">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6:66" ht="15" x14ac:dyDescent="0.25">
      <c r="F25"/>
      <c r="G25"/>
      <c r="H25"/>
      <c r="I25"/>
      <c r="J25"/>
      <c r="K25" s="61" t="s">
        <v>295</v>
      </c>
      <c r="L25" s="62">
        <v>14.67</v>
      </c>
      <c r="M25" s="62">
        <v>14.73</v>
      </c>
      <c r="N25" s="62">
        <v>16.260000000000002</v>
      </c>
      <c r="O25" s="62">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6:66" ht="15" x14ac:dyDescent="0.25">
      <c r="F26"/>
      <c r="G26"/>
      <c r="H26"/>
      <c r="I26"/>
      <c r="J26"/>
      <c r="K26" s="61" t="s">
        <v>296</v>
      </c>
      <c r="L26" s="62">
        <v>14.69</v>
      </c>
      <c r="M26" s="62">
        <v>14.73</v>
      </c>
      <c r="N26" s="62">
        <v>16.329999999999998</v>
      </c>
      <c r="O26" s="62">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6:66" ht="15" x14ac:dyDescent="0.25">
      <c r="F27"/>
      <c r="G27"/>
      <c r="H27"/>
      <c r="I27"/>
      <c r="J27"/>
      <c r="K27" s="61" t="s">
        <v>297</v>
      </c>
      <c r="L27" s="62">
        <v>14.56</v>
      </c>
      <c r="M27" s="62">
        <v>14.81</v>
      </c>
      <c r="N27" s="62">
        <v>16.18</v>
      </c>
      <c r="O27" s="62">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6:66" ht="15" x14ac:dyDescent="0.25">
      <c r="F28"/>
      <c r="G28"/>
      <c r="H28"/>
      <c r="I28"/>
      <c r="J28"/>
      <c r="K28" s="61" t="s">
        <v>298</v>
      </c>
      <c r="L28" s="62">
        <v>14.73</v>
      </c>
      <c r="M28" s="62">
        <v>14.72</v>
      </c>
      <c r="N28" s="62">
        <v>16.420000000000002</v>
      </c>
      <c r="O28" s="62">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6:66" ht="15" x14ac:dyDescent="0.25">
      <c r="F29"/>
      <c r="G29"/>
      <c r="H29"/>
      <c r="I29"/>
      <c r="J29"/>
      <c r="K29" s="61" t="s">
        <v>299</v>
      </c>
      <c r="L29" s="62">
        <v>14.66</v>
      </c>
      <c r="M29" s="62">
        <v>14.7</v>
      </c>
      <c r="N29" s="62">
        <v>16.350000000000001</v>
      </c>
      <c r="O29" s="62">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6:66" ht="15" x14ac:dyDescent="0.25">
      <c r="F30"/>
      <c r="G30"/>
      <c r="H30"/>
      <c r="I30"/>
      <c r="J30"/>
      <c r="K30" s="61" t="s">
        <v>300</v>
      </c>
      <c r="L30" s="62">
        <v>14.6</v>
      </c>
      <c r="M30" s="62">
        <v>14.47</v>
      </c>
      <c r="N30" s="62">
        <v>16.440000000000001</v>
      </c>
      <c r="O30" s="62">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6:66" ht="15" x14ac:dyDescent="0.25">
      <c r="F31"/>
      <c r="G31"/>
      <c r="H31"/>
      <c r="I31"/>
      <c r="J31"/>
      <c r="K31" s="61" t="s">
        <v>301</v>
      </c>
      <c r="L31" s="62">
        <v>14.68</v>
      </c>
      <c r="M31" s="62">
        <v>14.42</v>
      </c>
      <c r="N31" s="62">
        <v>16.55</v>
      </c>
      <c r="O31" s="62">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6:66" ht="15" x14ac:dyDescent="0.25">
      <c r="F32"/>
      <c r="G32"/>
      <c r="H32"/>
      <c r="I32"/>
      <c r="J32"/>
      <c r="K32" s="61" t="s">
        <v>302</v>
      </c>
      <c r="L32" s="62">
        <v>14.67</v>
      </c>
      <c r="M32" s="62">
        <v>14.38</v>
      </c>
      <c r="N32" s="62">
        <v>16.420000000000002</v>
      </c>
      <c r="O32" s="6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6:66" ht="15" x14ac:dyDescent="0.25">
      <c r="F33"/>
      <c r="G33"/>
      <c r="H33"/>
      <c r="I33"/>
      <c r="J33"/>
      <c r="K33" s="61" t="s">
        <v>303</v>
      </c>
      <c r="L33" s="62">
        <v>14.65</v>
      </c>
      <c r="M33" s="62">
        <v>14.34</v>
      </c>
      <c r="N33" s="62">
        <v>16.440000000000001</v>
      </c>
      <c r="O33" s="62">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6:66" ht="15" x14ac:dyDescent="0.25">
      <c r="F34"/>
      <c r="G34"/>
      <c r="H34"/>
      <c r="I34"/>
      <c r="J34"/>
      <c r="K34" s="61" t="s">
        <v>304</v>
      </c>
      <c r="L34" s="62">
        <v>14.72</v>
      </c>
      <c r="M34" s="62">
        <v>14.25</v>
      </c>
      <c r="N34" s="62">
        <v>16.5</v>
      </c>
      <c r="O34" s="62">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6:66" ht="15" x14ac:dyDescent="0.25">
      <c r="F35"/>
      <c r="G35"/>
      <c r="H35"/>
      <c r="I35"/>
      <c r="J35"/>
      <c r="K35" s="61" t="s">
        <v>305</v>
      </c>
      <c r="L35" s="62">
        <v>14.82</v>
      </c>
      <c r="M35" s="62">
        <v>14.27</v>
      </c>
      <c r="N35" s="62">
        <v>16.45</v>
      </c>
      <c r="O35" s="62">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6:66" ht="15" x14ac:dyDescent="0.25">
      <c r="F36"/>
      <c r="G36"/>
      <c r="H36"/>
      <c r="I36"/>
      <c r="J36"/>
      <c r="K36" s="61" t="s">
        <v>306</v>
      </c>
      <c r="L36" s="62">
        <v>14.81</v>
      </c>
      <c r="M36" s="62">
        <v>14.28</v>
      </c>
      <c r="N36" s="62">
        <v>16.34</v>
      </c>
      <c r="O36" s="62">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6:66" ht="15" x14ac:dyDescent="0.25">
      <c r="F37"/>
      <c r="G37"/>
      <c r="H37"/>
      <c r="I37"/>
      <c r="J37"/>
      <c r="K37" s="61" t="s">
        <v>307</v>
      </c>
      <c r="L37" s="62">
        <v>14.93</v>
      </c>
      <c r="M37" s="62">
        <v>14.16</v>
      </c>
      <c r="N37" s="62">
        <v>16.579999999999998</v>
      </c>
      <c r="O37" s="62">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6:66" ht="15" x14ac:dyDescent="0.25">
      <c r="F38"/>
      <c r="G38"/>
      <c r="H38"/>
      <c r="I38"/>
      <c r="J38"/>
      <c r="K38" s="61" t="s">
        <v>308</v>
      </c>
      <c r="L38" s="62">
        <v>14.89</v>
      </c>
      <c r="M38" s="62">
        <v>14.17</v>
      </c>
      <c r="N38" s="62">
        <v>16.52</v>
      </c>
      <c r="O38" s="62">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6:66" ht="15" x14ac:dyDescent="0.25">
      <c r="F39"/>
      <c r="G39"/>
      <c r="H39"/>
      <c r="I39"/>
      <c r="J39"/>
      <c r="K39" s="61" t="s">
        <v>309</v>
      </c>
      <c r="L39" s="62">
        <v>15.06</v>
      </c>
      <c r="M39" s="62">
        <v>14.29</v>
      </c>
      <c r="N39" s="62">
        <v>16.600000000000001</v>
      </c>
      <c r="O39" s="62">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6:66" ht="15" x14ac:dyDescent="0.25">
      <c r="F40"/>
      <c r="G40"/>
      <c r="H40"/>
      <c r="I40"/>
      <c r="J40"/>
      <c r="K40" s="61" t="s">
        <v>310</v>
      </c>
      <c r="L40" s="62">
        <v>15.17</v>
      </c>
      <c r="M40" s="62">
        <v>14.22</v>
      </c>
      <c r="N40" s="62">
        <v>16.48</v>
      </c>
      <c r="O40" s="62">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6:66" ht="15" x14ac:dyDescent="0.25">
      <c r="F41"/>
      <c r="G41"/>
      <c r="H41"/>
      <c r="I41"/>
      <c r="J41"/>
      <c r="K41" s="61" t="s">
        <v>311</v>
      </c>
      <c r="L41" s="62">
        <v>15.13</v>
      </c>
      <c r="M41" s="62">
        <v>14.09</v>
      </c>
      <c r="N41" s="62">
        <v>16.579999999999998</v>
      </c>
      <c r="O41" s="62">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6:66" ht="15" x14ac:dyDescent="0.25">
      <c r="F42"/>
      <c r="G42"/>
      <c r="H42"/>
      <c r="I42"/>
      <c r="J42"/>
      <c r="K42" s="61" t="s">
        <v>312</v>
      </c>
      <c r="L42" s="62">
        <v>15.17</v>
      </c>
      <c r="M42" s="62">
        <v>14.01</v>
      </c>
      <c r="N42" s="62">
        <v>16.149999999999999</v>
      </c>
      <c r="O42" s="6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6:66" ht="15" x14ac:dyDescent="0.25">
      <c r="F43"/>
      <c r="G43"/>
      <c r="H43"/>
      <c r="I43"/>
      <c r="J43"/>
      <c r="K43" s="61" t="s">
        <v>313</v>
      </c>
      <c r="L43" s="62">
        <v>15.42</v>
      </c>
      <c r="M43" s="62">
        <v>13.91</v>
      </c>
      <c r="N43" s="62">
        <v>16.14</v>
      </c>
      <c r="O43" s="62">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6:66" ht="15" x14ac:dyDescent="0.25">
      <c r="F44"/>
      <c r="G44"/>
      <c r="H44"/>
      <c r="I44"/>
      <c r="J44"/>
      <c r="K44" s="61" t="s">
        <v>314</v>
      </c>
      <c r="L44" s="62">
        <v>15.53</v>
      </c>
      <c r="M44" s="62">
        <v>13.95</v>
      </c>
      <c r="N44" s="62">
        <v>16.079999999999998</v>
      </c>
      <c r="O44" s="62">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6:66" ht="15" x14ac:dyDescent="0.25">
      <c r="F45"/>
      <c r="G45"/>
      <c r="H45"/>
      <c r="I45"/>
      <c r="J45"/>
      <c r="K45" s="61" t="s">
        <v>315</v>
      </c>
      <c r="L45" s="62">
        <v>15.7</v>
      </c>
      <c r="M45" s="62">
        <v>14.08</v>
      </c>
      <c r="N45" s="62">
        <v>16.11</v>
      </c>
      <c r="O45" s="62">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6:66" ht="15" x14ac:dyDescent="0.25">
      <c r="F46"/>
      <c r="G46"/>
      <c r="H46"/>
      <c r="I46"/>
      <c r="J46"/>
      <c r="K46" s="61" t="s">
        <v>316</v>
      </c>
      <c r="L46" s="62">
        <v>15.92</v>
      </c>
      <c r="M46" s="62">
        <v>14.33</v>
      </c>
      <c r="N46" s="62">
        <v>16.23</v>
      </c>
      <c r="O46" s="62">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6:66" ht="15" x14ac:dyDescent="0.25">
      <c r="F47"/>
      <c r="G47"/>
      <c r="H47"/>
      <c r="I47"/>
      <c r="J47"/>
      <c r="K47" s="61" t="s">
        <v>317</v>
      </c>
      <c r="L47" s="62">
        <v>15.98</v>
      </c>
      <c r="M47" s="62">
        <v>14.7</v>
      </c>
      <c r="N47" s="62">
        <v>16.36</v>
      </c>
      <c r="O47" s="62">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6:66" ht="15" x14ac:dyDescent="0.25">
      <c r="F48"/>
      <c r="G48"/>
      <c r="H48"/>
      <c r="I48"/>
      <c r="J48"/>
      <c r="K48" s="61" t="s">
        <v>318</v>
      </c>
      <c r="L48" s="62">
        <v>16.02</v>
      </c>
      <c r="M48" s="62">
        <v>14.95</v>
      </c>
      <c r="N48" s="62">
        <v>16.21</v>
      </c>
      <c r="O48" s="62">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6:66" ht="15" x14ac:dyDescent="0.25">
      <c r="F49"/>
      <c r="G49"/>
      <c r="H49"/>
      <c r="I49"/>
      <c r="J49"/>
      <c r="K49" s="61" t="s">
        <v>319</v>
      </c>
      <c r="L49" s="62">
        <v>15.98</v>
      </c>
      <c r="M49" s="62">
        <v>14.71</v>
      </c>
      <c r="N49" s="62">
        <v>16.38</v>
      </c>
      <c r="O49" s="62">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6:66" ht="15" x14ac:dyDescent="0.25">
      <c r="F50"/>
      <c r="G50"/>
      <c r="H50"/>
      <c r="I50"/>
      <c r="J50"/>
      <c r="K50" s="61" t="s">
        <v>320</v>
      </c>
      <c r="L50" s="62">
        <v>15.9</v>
      </c>
      <c r="M50" s="62">
        <v>14.71</v>
      </c>
      <c r="N50" s="62">
        <v>16.34</v>
      </c>
      <c r="O50" s="62">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6:66" ht="15" x14ac:dyDescent="0.25">
      <c r="F51"/>
      <c r="G51"/>
      <c r="H51"/>
      <c r="I51"/>
      <c r="J51"/>
      <c r="K51" s="61" t="s">
        <v>321</v>
      </c>
      <c r="L51" s="62">
        <v>16.05</v>
      </c>
      <c r="M51" s="62">
        <v>14.47</v>
      </c>
      <c r="N51" s="62">
        <v>16.53</v>
      </c>
      <c r="O51" s="62">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6:66" ht="15" x14ac:dyDescent="0.25">
      <c r="F52"/>
      <c r="G52"/>
      <c r="H52"/>
      <c r="I52"/>
      <c r="J52"/>
      <c r="K52" s="61" t="s">
        <v>322</v>
      </c>
      <c r="L52" s="62">
        <v>16.12</v>
      </c>
      <c r="M52" s="62">
        <v>14.31</v>
      </c>
      <c r="N52" s="62">
        <v>16.510000000000002</v>
      </c>
      <c r="O52" s="6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6:66" ht="15" x14ac:dyDescent="0.25">
      <c r="F53"/>
      <c r="G53"/>
      <c r="H53"/>
      <c r="I53"/>
      <c r="J53"/>
      <c r="K53" s="61" t="s">
        <v>323</v>
      </c>
      <c r="L53" s="62">
        <v>16.059999999999999</v>
      </c>
      <c r="M53" s="62">
        <v>14.15</v>
      </c>
      <c r="N53" s="62">
        <v>16.350000000000001</v>
      </c>
      <c r="O53" s="62">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6:66" ht="15" x14ac:dyDescent="0.25">
      <c r="F54"/>
      <c r="G54"/>
      <c r="H54"/>
      <c r="I54"/>
      <c r="J54"/>
      <c r="K54" s="61" t="s">
        <v>324</v>
      </c>
      <c r="L54" s="62">
        <v>16.05</v>
      </c>
      <c r="M54" s="62">
        <v>14.2</v>
      </c>
      <c r="N54" s="62">
        <v>16.27</v>
      </c>
      <c r="O54" s="62">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6:66" ht="15" x14ac:dyDescent="0.25">
      <c r="F55"/>
      <c r="G55"/>
      <c r="H55"/>
      <c r="I55"/>
      <c r="J55"/>
      <c r="K55" s="61" t="s">
        <v>325</v>
      </c>
      <c r="L55" s="62">
        <v>16.010000000000002</v>
      </c>
      <c r="M55" s="62">
        <v>14.04</v>
      </c>
      <c r="N55" s="62">
        <v>16.32</v>
      </c>
      <c r="O55" s="62">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6:66" ht="15" x14ac:dyDescent="0.25">
      <c r="F56"/>
      <c r="G56"/>
      <c r="H56"/>
      <c r="I56"/>
      <c r="J56"/>
      <c r="K56" s="61" t="s">
        <v>326</v>
      </c>
      <c r="L56" s="62">
        <v>15.84</v>
      </c>
      <c r="M56" s="62">
        <v>14.06</v>
      </c>
      <c r="N56" s="62">
        <v>16.2</v>
      </c>
      <c r="O56" s="62">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6:66" ht="15" x14ac:dyDescent="0.25">
      <c r="F57"/>
      <c r="G57"/>
      <c r="H57"/>
      <c r="I57"/>
      <c r="J57"/>
      <c r="K57" s="61" t="s">
        <v>327</v>
      </c>
      <c r="L57" s="62">
        <v>15.69</v>
      </c>
      <c r="M57" s="62">
        <v>14.07</v>
      </c>
      <c r="N57" s="62">
        <v>16.23</v>
      </c>
      <c r="O57" s="62">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6:66" ht="15" x14ac:dyDescent="0.25">
      <c r="F58"/>
      <c r="G58"/>
      <c r="H58"/>
      <c r="I58"/>
      <c r="J58"/>
      <c r="K58" s="61" t="s">
        <v>328</v>
      </c>
      <c r="L58" s="62">
        <v>15.76</v>
      </c>
      <c r="M58" s="62">
        <v>14.19</v>
      </c>
      <c r="N58" s="62">
        <v>16.239999999999998</v>
      </c>
      <c r="O58" s="62">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6:66" ht="15" x14ac:dyDescent="0.25">
      <c r="F59"/>
      <c r="G59"/>
      <c r="H59"/>
      <c r="I59"/>
      <c r="J59"/>
      <c r="K59" s="61" t="s">
        <v>329</v>
      </c>
      <c r="L59" s="62">
        <v>15.73</v>
      </c>
      <c r="M59" s="62">
        <v>14.5</v>
      </c>
      <c r="N59" s="62">
        <v>16.170000000000002</v>
      </c>
      <c r="O59" s="62">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6:66" ht="15" x14ac:dyDescent="0.25">
      <c r="F60"/>
      <c r="G60"/>
      <c r="H60"/>
      <c r="I60"/>
      <c r="J60"/>
      <c r="K60" s="61" t="s">
        <v>330</v>
      </c>
      <c r="L60" s="62">
        <v>15.8</v>
      </c>
      <c r="M60" s="62">
        <v>14.54</v>
      </c>
      <c r="N60" s="62"/>
      <c r="O60" s="62">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6:66" ht="15" x14ac:dyDescent="0.25">
      <c r="F61"/>
      <c r="G61"/>
      <c r="H61"/>
      <c r="I61"/>
      <c r="J61"/>
      <c r="K61" s="61" t="s">
        <v>331</v>
      </c>
      <c r="L61" s="62">
        <v>15.93</v>
      </c>
      <c r="M61" s="62">
        <v>14.85</v>
      </c>
      <c r="N61" s="62">
        <v>15.99</v>
      </c>
      <c r="O61" s="62">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6:66" ht="15" x14ac:dyDescent="0.25">
      <c r="F62"/>
      <c r="G62"/>
      <c r="H62"/>
      <c r="I62"/>
      <c r="J62"/>
      <c r="K62" s="61" t="s">
        <v>332</v>
      </c>
      <c r="L62" s="62">
        <v>16.05</v>
      </c>
      <c r="M62" s="62">
        <v>14.87</v>
      </c>
      <c r="N62" s="62">
        <v>16.02</v>
      </c>
      <c r="O62" s="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6:66" ht="15" x14ac:dyDescent="0.25">
      <c r="F63"/>
      <c r="G63"/>
      <c r="H63"/>
      <c r="I63"/>
      <c r="J63"/>
      <c r="K63" s="61" t="s">
        <v>333</v>
      </c>
      <c r="L63" s="62">
        <v>16.059999999999999</v>
      </c>
      <c r="M63" s="62">
        <v>14.69</v>
      </c>
      <c r="N63" s="62">
        <v>16.059999999999999</v>
      </c>
      <c r="O63" s="62">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6:66" ht="15" x14ac:dyDescent="0.25">
      <c r="F64"/>
      <c r="G64"/>
      <c r="H64"/>
      <c r="I64"/>
      <c r="J64"/>
      <c r="K64" s="61" t="s">
        <v>334</v>
      </c>
      <c r="L64" s="62">
        <v>16.05</v>
      </c>
      <c r="M64" s="62">
        <v>14.49</v>
      </c>
      <c r="N64" s="62">
        <v>16.12</v>
      </c>
      <c r="O64" s="62">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6:66" ht="15" x14ac:dyDescent="0.25">
      <c r="F65"/>
      <c r="G65"/>
      <c r="H65"/>
      <c r="I65"/>
      <c r="J65"/>
      <c r="K65" s="61" t="s">
        <v>335</v>
      </c>
      <c r="L65" s="62">
        <v>16.11</v>
      </c>
      <c r="M65" s="62">
        <v>14.64</v>
      </c>
      <c r="N65" s="62">
        <v>16.05</v>
      </c>
      <c r="O65" s="62">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6:66" ht="15" x14ac:dyDescent="0.25">
      <c r="F66"/>
      <c r="G66"/>
      <c r="H66"/>
      <c r="I66"/>
      <c r="J66"/>
      <c r="K66" s="61" t="s">
        <v>336</v>
      </c>
      <c r="L66" s="62">
        <v>16.07</v>
      </c>
      <c r="M66" s="62">
        <v>14.66</v>
      </c>
      <c r="N66" s="62">
        <v>16.170000000000002</v>
      </c>
      <c r="O66" s="62">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6:66" ht="15" x14ac:dyDescent="0.25">
      <c r="F67"/>
      <c r="G67"/>
      <c r="H67"/>
      <c r="I67"/>
      <c r="J67"/>
      <c r="K67" s="61" t="s">
        <v>337</v>
      </c>
      <c r="L67" s="62">
        <v>16.25</v>
      </c>
      <c r="M67" s="62">
        <v>14.92</v>
      </c>
      <c r="N67" s="62">
        <v>16.45</v>
      </c>
      <c r="O67" s="62">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6:66" ht="15" x14ac:dyDescent="0.25">
      <c r="F68"/>
      <c r="G68"/>
      <c r="H68"/>
      <c r="I68"/>
      <c r="J68"/>
      <c r="K68" s="61" t="s">
        <v>338</v>
      </c>
      <c r="L68" s="62">
        <v>16.3</v>
      </c>
      <c r="M68" s="62">
        <v>15.2</v>
      </c>
      <c r="N68" s="62">
        <v>16.38</v>
      </c>
      <c r="O68" s="62">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6:66" ht="15" x14ac:dyDescent="0.25">
      <c r="F69"/>
      <c r="G69"/>
      <c r="H69"/>
      <c r="I69"/>
      <c r="J69"/>
      <c r="K69" s="61" t="s">
        <v>339</v>
      </c>
      <c r="L69" s="62">
        <v>16.54</v>
      </c>
      <c r="M69" s="62">
        <v>15.35</v>
      </c>
      <c r="N69" s="62">
        <v>16.5</v>
      </c>
      <c r="O69" s="62">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6:66" ht="15" x14ac:dyDescent="0.25">
      <c r="F70"/>
      <c r="G70"/>
      <c r="H70"/>
      <c r="I70"/>
      <c r="J70"/>
      <c r="K70" s="61" t="s">
        <v>340</v>
      </c>
      <c r="L70" s="62">
        <v>16.579999999999998</v>
      </c>
      <c r="M70" s="62">
        <v>15.45</v>
      </c>
      <c r="N70" s="62">
        <v>16.63</v>
      </c>
      <c r="O70" s="62">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6:66" ht="15" x14ac:dyDescent="0.25">
      <c r="F71"/>
      <c r="G71"/>
      <c r="H71"/>
      <c r="I71"/>
      <c r="J71"/>
      <c r="K71" s="61" t="s">
        <v>341</v>
      </c>
      <c r="L71" s="62">
        <v>16.71</v>
      </c>
      <c r="M71" s="62">
        <v>15.25</v>
      </c>
      <c r="N71" s="62">
        <v>16.46</v>
      </c>
      <c r="O71" s="62">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6:66" ht="15" x14ac:dyDescent="0.25">
      <c r="F72"/>
      <c r="G72"/>
      <c r="H72"/>
      <c r="I72"/>
      <c r="J72"/>
      <c r="K72" s="61" t="s">
        <v>342</v>
      </c>
      <c r="L72" s="62">
        <v>16.71</v>
      </c>
      <c r="M72" s="62">
        <v>15.21</v>
      </c>
      <c r="N72" s="62">
        <v>16.350000000000001</v>
      </c>
      <c r="O72" s="6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6:66" ht="15" x14ac:dyDescent="0.25">
      <c r="F73"/>
      <c r="G73"/>
      <c r="H73"/>
      <c r="I73"/>
      <c r="J73"/>
      <c r="K73" s="61" t="s">
        <v>343</v>
      </c>
      <c r="L73" s="62">
        <v>16.760000000000002</v>
      </c>
      <c r="M73" s="62">
        <v>15.41</v>
      </c>
      <c r="N73" s="62">
        <v>16.37</v>
      </c>
      <c r="O73" s="62">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6:66" ht="15" x14ac:dyDescent="0.25">
      <c r="F74"/>
      <c r="G74"/>
      <c r="H74"/>
      <c r="I74"/>
      <c r="J74"/>
      <c r="K74" s="61" t="s">
        <v>344</v>
      </c>
      <c r="L74" s="62">
        <v>16.760000000000002</v>
      </c>
      <c r="M74" s="62">
        <v>15.53</v>
      </c>
      <c r="N74" s="62">
        <v>16.23</v>
      </c>
      <c r="O74" s="62">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6:66" ht="15" x14ac:dyDescent="0.25">
      <c r="F75"/>
      <c r="G75"/>
      <c r="H75"/>
      <c r="I75"/>
      <c r="J75"/>
      <c r="K75" s="61" t="s">
        <v>345</v>
      </c>
      <c r="L75" s="62">
        <v>16.77</v>
      </c>
      <c r="M75" s="62">
        <v>15.28</v>
      </c>
      <c r="N75" s="62">
        <v>16.2</v>
      </c>
      <c r="O75" s="62">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6:66" ht="15" x14ac:dyDescent="0.25">
      <c r="F76"/>
      <c r="G76"/>
      <c r="H76"/>
      <c r="I76"/>
      <c r="J76"/>
      <c r="K76" s="61" t="s">
        <v>346</v>
      </c>
      <c r="L76" s="62">
        <v>16.690000000000001</v>
      </c>
      <c r="M76" s="62">
        <v>15.44</v>
      </c>
      <c r="N76" s="62">
        <v>16.38</v>
      </c>
      <c r="O76" s="62">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6:66" ht="15" x14ac:dyDescent="0.25">
      <c r="F77"/>
      <c r="G77"/>
      <c r="H77"/>
      <c r="I77"/>
      <c r="J77"/>
      <c r="K77" s="61" t="s">
        <v>347</v>
      </c>
      <c r="L77" s="62">
        <v>16.62</v>
      </c>
      <c r="M77" s="62">
        <v>15.35</v>
      </c>
      <c r="N77" s="62">
        <v>16.25</v>
      </c>
      <c r="O77" s="62">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6:66" ht="15" x14ac:dyDescent="0.25">
      <c r="F78"/>
      <c r="G78"/>
      <c r="H78"/>
      <c r="I78"/>
      <c r="J78"/>
      <c r="K78" s="61" t="s">
        <v>348</v>
      </c>
      <c r="L78" s="62">
        <v>16.62</v>
      </c>
      <c r="M78" s="62">
        <v>15.19</v>
      </c>
      <c r="N78" s="62">
        <v>16.18</v>
      </c>
      <c r="O78" s="62">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6:66" ht="15" x14ac:dyDescent="0.25">
      <c r="F79"/>
      <c r="G79"/>
      <c r="H79"/>
      <c r="I79"/>
      <c r="J79"/>
      <c r="K79" s="61" t="s">
        <v>349</v>
      </c>
      <c r="L79" s="62">
        <v>16.43</v>
      </c>
      <c r="M79" s="62">
        <v>15</v>
      </c>
      <c r="N79" s="62">
        <v>16.190000000000001</v>
      </c>
      <c r="O79" s="62">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6:66" ht="15" x14ac:dyDescent="0.25">
      <c r="F80"/>
      <c r="G80"/>
      <c r="H80"/>
      <c r="I80"/>
      <c r="J80"/>
      <c r="K80" s="61" t="s">
        <v>350</v>
      </c>
      <c r="L80" s="62">
        <v>16.36</v>
      </c>
      <c r="M80" s="62">
        <v>15.09</v>
      </c>
      <c r="N80" s="62">
        <v>15.99</v>
      </c>
      <c r="O80" s="62">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6:66" ht="15" x14ac:dyDescent="0.25">
      <c r="F81"/>
      <c r="G81"/>
      <c r="H81"/>
      <c r="I81"/>
      <c r="J81"/>
      <c r="K81" s="61" t="s">
        <v>351</v>
      </c>
      <c r="L81" s="62">
        <v>16.22</v>
      </c>
      <c r="M81" s="62">
        <v>15.09</v>
      </c>
      <c r="N81" s="62">
        <v>15.92</v>
      </c>
      <c r="O81" s="62">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6:66" ht="15" x14ac:dyDescent="0.25">
      <c r="F82"/>
      <c r="G82"/>
      <c r="H82"/>
      <c r="I82"/>
      <c r="J82"/>
      <c r="K82" s="61" t="s">
        <v>352</v>
      </c>
      <c r="L82" s="62">
        <v>16.100000000000001</v>
      </c>
      <c r="M82" s="62">
        <v>15.11</v>
      </c>
      <c r="N82" s="62">
        <v>15.97</v>
      </c>
      <c r="O82" s="6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6:66" ht="15" x14ac:dyDescent="0.25">
      <c r="F83"/>
      <c r="G83"/>
      <c r="H83"/>
      <c r="I83"/>
      <c r="J83"/>
      <c r="K83" s="61" t="s">
        <v>353</v>
      </c>
      <c r="L83" s="62">
        <v>16.02</v>
      </c>
      <c r="M83" s="62">
        <v>15.12</v>
      </c>
      <c r="N83" s="62">
        <v>15.94</v>
      </c>
      <c r="O83" s="62">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6:66" ht="15" x14ac:dyDescent="0.25">
      <c r="F84"/>
      <c r="G84"/>
      <c r="H84"/>
      <c r="I84"/>
      <c r="J84"/>
      <c r="K84" s="61" t="s">
        <v>354</v>
      </c>
      <c r="L84" s="62">
        <v>16.059999999999999</v>
      </c>
      <c r="M84" s="62">
        <v>15.31</v>
      </c>
      <c r="N84" s="62">
        <v>15.89</v>
      </c>
      <c r="O84" s="62">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6:66" ht="15" x14ac:dyDescent="0.25">
      <c r="F85"/>
      <c r="G85"/>
      <c r="H85"/>
      <c r="I85"/>
      <c r="J85"/>
      <c r="K85" s="61" t="s">
        <v>355</v>
      </c>
      <c r="L85" s="62">
        <v>16.05</v>
      </c>
      <c r="M85" s="62">
        <v>15.36</v>
      </c>
      <c r="N85" s="62">
        <v>15.82</v>
      </c>
      <c r="O85" s="62">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6:66" ht="15" x14ac:dyDescent="0.25">
      <c r="F86"/>
      <c r="G86"/>
      <c r="H86"/>
      <c r="I86"/>
      <c r="J86"/>
      <c r="K86" s="61" t="s">
        <v>356</v>
      </c>
      <c r="L86" s="62">
        <v>16.190000000000001</v>
      </c>
      <c r="M86" s="62">
        <v>15.56</v>
      </c>
      <c r="N86" s="62">
        <v>16.03</v>
      </c>
      <c r="O86" s="62">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6:66" ht="15" x14ac:dyDescent="0.25">
      <c r="F87"/>
      <c r="G87"/>
      <c r="H87"/>
      <c r="I87"/>
      <c r="J87"/>
      <c r="K87" s="61" t="s">
        <v>357</v>
      </c>
      <c r="L87" s="62">
        <v>16.350000000000001</v>
      </c>
      <c r="M87" s="62">
        <v>15.61</v>
      </c>
      <c r="N87" s="62">
        <v>16.18</v>
      </c>
      <c r="O87" s="62">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6:66" ht="15" x14ac:dyDescent="0.25">
      <c r="F88"/>
      <c r="G88"/>
      <c r="H88"/>
      <c r="I88"/>
      <c r="J88"/>
      <c r="K88" s="61" t="s">
        <v>358</v>
      </c>
      <c r="L88" s="62">
        <v>16.53</v>
      </c>
      <c r="M88" s="62">
        <v>15.81</v>
      </c>
      <c r="N88" s="62">
        <v>16.510000000000002</v>
      </c>
      <c r="O88" s="62">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6:66" ht="15" x14ac:dyDescent="0.25">
      <c r="F89"/>
      <c r="G89"/>
      <c r="H89"/>
      <c r="I89"/>
      <c r="J89"/>
      <c r="K89" s="61" t="s">
        <v>359</v>
      </c>
      <c r="L89" s="62">
        <v>16.63</v>
      </c>
      <c r="M89" s="62">
        <v>15.82</v>
      </c>
      <c r="N89" s="62">
        <v>16.88</v>
      </c>
      <c r="O89" s="62">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6:66" ht="15" x14ac:dyDescent="0.25">
      <c r="F90"/>
      <c r="G90"/>
      <c r="H90"/>
      <c r="I90"/>
      <c r="J90"/>
      <c r="K90" s="61" t="s">
        <v>360</v>
      </c>
      <c r="L90" s="62">
        <v>16.72</v>
      </c>
      <c r="M90" s="62">
        <v>15.87</v>
      </c>
      <c r="N90" s="62">
        <v>17.3</v>
      </c>
      <c r="O90" s="62">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6:66" ht="15" x14ac:dyDescent="0.25">
      <c r="F91"/>
      <c r="G91"/>
      <c r="H91"/>
      <c r="I91"/>
      <c r="J91"/>
      <c r="K91" s="61" t="s">
        <v>361</v>
      </c>
      <c r="L91" s="62">
        <v>16.78</v>
      </c>
      <c r="M91" s="62">
        <v>15.58</v>
      </c>
      <c r="N91" s="62">
        <v>17.3</v>
      </c>
      <c r="O91" s="62">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6:66" ht="15" x14ac:dyDescent="0.25">
      <c r="F92"/>
      <c r="G92"/>
      <c r="H92"/>
      <c r="I92"/>
      <c r="J92"/>
      <c r="K92" s="61" t="s">
        <v>362</v>
      </c>
      <c r="L92" s="62">
        <v>16.77</v>
      </c>
      <c r="M92" s="62">
        <v>15.71</v>
      </c>
      <c r="N92" s="62">
        <v>17.52</v>
      </c>
      <c r="O92" s="6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6:66" ht="15" x14ac:dyDescent="0.25">
      <c r="F93"/>
      <c r="G93"/>
      <c r="H93"/>
      <c r="I93"/>
      <c r="J93"/>
      <c r="K93" s="61" t="s">
        <v>363</v>
      </c>
      <c r="L93" s="62">
        <v>16.809999999999999</v>
      </c>
      <c r="M93" s="62">
        <v>15.58</v>
      </c>
      <c r="N93" s="62">
        <v>17.59</v>
      </c>
      <c r="O93" s="62">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6:66" ht="15" x14ac:dyDescent="0.25">
      <c r="F94"/>
      <c r="G94"/>
      <c r="H94"/>
      <c r="I94"/>
      <c r="J94"/>
      <c r="K94" s="61" t="s">
        <v>364</v>
      </c>
      <c r="L94" s="62">
        <v>16.899999999999999</v>
      </c>
      <c r="M94" s="62">
        <v>15.46</v>
      </c>
      <c r="N94" s="62">
        <v>17.43</v>
      </c>
      <c r="O94" s="62">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6:66" ht="15" x14ac:dyDescent="0.25">
      <c r="F95"/>
      <c r="G95"/>
      <c r="H95"/>
      <c r="I95"/>
      <c r="J95"/>
      <c r="K95" s="61" t="s">
        <v>365</v>
      </c>
      <c r="L95" s="62">
        <v>16.88</v>
      </c>
      <c r="M95" s="62">
        <v>15.65</v>
      </c>
      <c r="N95" s="62">
        <v>17.66</v>
      </c>
      <c r="O95" s="62">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6:66" ht="15" x14ac:dyDescent="0.25">
      <c r="F96"/>
      <c r="G96"/>
      <c r="H96"/>
      <c r="I96"/>
      <c r="J96"/>
      <c r="K96" s="61" t="s">
        <v>366</v>
      </c>
      <c r="L96" s="62">
        <v>16.71</v>
      </c>
      <c r="M96" s="62">
        <v>15.67</v>
      </c>
      <c r="N96" s="62">
        <v>17.59</v>
      </c>
      <c r="O96" s="62">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6:66" ht="15" x14ac:dyDescent="0.25">
      <c r="F97"/>
      <c r="G97"/>
      <c r="H97"/>
      <c r="I97"/>
      <c r="J97"/>
      <c r="K97" s="61" t="s">
        <v>367</v>
      </c>
      <c r="L97" s="62">
        <v>16.760000000000002</v>
      </c>
      <c r="M97" s="62">
        <v>15.68</v>
      </c>
      <c r="N97" s="62">
        <v>17.510000000000002</v>
      </c>
      <c r="O97" s="62">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6:66" ht="15" x14ac:dyDescent="0.25">
      <c r="F98"/>
      <c r="G98"/>
      <c r="H98"/>
      <c r="I98"/>
      <c r="J98"/>
      <c r="K98" s="61" t="s">
        <v>368</v>
      </c>
      <c r="L98" s="62">
        <v>16.64</v>
      </c>
      <c r="M98" s="62">
        <v>15.67</v>
      </c>
      <c r="N98" s="62">
        <v>17.47</v>
      </c>
      <c r="O98" s="62">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6:66" ht="15" x14ac:dyDescent="0.25">
      <c r="F99"/>
      <c r="G99"/>
      <c r="H99"/>
      <c r="I99"/>
      <c r="J99"/>
      <c r="K99" s="61" t="s">
        <v>369</v>
      </c>
      <c r="L99" s="62">
        <v>16.579999999999998</v>
      </c>
      <c r="M99" s="62">
        <v>15.79</v>
      </c>
      <c r="N99" s="62">
        <v>17.559999999999999</v>
      </c>
      <c r="O99" s="62">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6:66" ht="15" x14ac:dyDescent="0.25">
      <c r="F100"/>
      <c r="G100"/>
      <c r="H100"/>
      <c r="I100"/>
      <c r="J100"/>
      <c r="K100" s="61" t="s">
        <v>370</v>
      </c>
      <c r="L100" s="62">
        <v>16.68</v>
      </c>
      <c r="M100" s="62">
        <v>15.69</v>
      </c>
      <c r="N100" s="62">
        <v>17.45</v>
      </c>
      <c r="O100" s="62">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6:66" ht="15" x14ac:dyDescent="0.25">
      <c r="F101"/>
      <c r="G101"/>
      <c r="H101"/>
      <c r="I101"/>
      <c r="J101"/>
      <c r="K101" s="61" t="s">
        <v>371</v>
      </c>
      <c r="L101" s="62">
        <v>16.829999999999998</v>
      </c>
      <c r="M101" s="62">
        <v>15.72</v>
      </c>
      <c r="N101" s="62">
        <v>17.59</v>
      </c>
      <c r="O101" s="62">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6:66" ht="15" x14ac:dyDescent="0.25">
      <c r="F102"/>
      <c r="G102"/>
      <c r="H102"/>
      <c r="I102"/>
      <c r="J102"/>
      <c r="K102" s="61" t="s">
        <v>372</v>
      </c>
      <c r="L102" s="62">
        <v>16.78</v>
      </c>
      <c r="M102" s="62">
        <v>15.68</v>
      </c>
      <c r="N102" s="62">
        <v>17.63</v>
      </c>
      <c r="O102" s="6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6:66" ht="15" x14ac:dyDescent="0.25">
      <c r="F103"/>
      <c r="G103"/>
      <c r="H103"/>
      <c r="I103"/>
      <c r="J103"/>
      <c r="K103" s="61" t="s">
        <v>373</v>
      </c>
      <c r="L103" s="62">
        <v>16.72</v>
      </c>
      <c r="M103" s="62">
        <v>15.71</v>
      </c>
      <c r="N103" s="62">
        <v>17.440000000000001</v>
      </c>
      <c r="O103" s="62">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6:66" ht="15" x14ac:dyDescent="0.25">
      <c r="F104"/>
      <c r="G104"/>
      <c r="H104"/>
      <c r="I104"/>
      <c r="J104"/>
      <c r="K104" s="61" t="s">
        <v>374</v>
      </c>
      <c r="L104" s="62">
        <v>16.670000000000002</v>
      </c>
      <c r="M104" s="62">
        <v>15.58</v>
      </c>
      <c r="N104" s="62">
        <v>17.45</v>
      </c>
      <c r="O104" s="62">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6:66" ht="15" x14ac:dyDescent="0.25">
      <c r="F105"/>
      <c r="G105"/>
      <c r="H105"/>
      <c r="I105"/>
      <c r="J105"/>
      <c r="K105" s="61" t="s">
        <v>375</v>
      </c>
      <c r="L105" s="62">
        <v>16.600000000000001</v>
      </c>
      <c r="M105" s="62">
        <v>15.53</v>
      </c>
      <c r="N105" s="62">
        <v>17.34</v>
      </c>
      <c r="O105" s="62">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6:66" ht="15" x14ac:dyDescent="0.25">
      <c r="F106"/>
      <c r="G106"/>
      <c r="H106"/>
      <c r="I106"/>
      <c r="J106"/>
      <c r="K106" s="61" t="s">
        <v>376</v>
      </c>
      <c r="L106" s="62">
        <v>16.57</v>
      </c>
      <c r="M106" s="62">
        <v>15.73</v>
      </c>
      <c r="N106" s="62">
        <v>17.260000000000002</v>
      </c>
      <c r="O106" s="62">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6:66" ht="15" x14ac:dyDescent="0.25">
      <c r="F107"/>
      <c r="G107"/>
      <c r="H107"/>
      <c r="I107"/>
      <c r="J107"/>
      <c r="K107" s="61" t="s">
        <v>377</v>
      </c>
      <c r="L107" s="62">
        <v>16.5</v>
      </c>
      <c r="M107" s="62">
        <v>15.7</v>
      </c>
      <c r="N107" s="62">
        <v>17.309999999999999</v>
      </c>
      <c r="O107" s="62">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6:66" ht="15" x14ac:dyDescent="0.25">
      <c r="F108"/>
      <c r="G108"/>
      <c r="H108"/>
      <c r="I108"/>
      <c r="J108"/>
      <c r="K108" s="61" t="s">
        <v>378</v>
      </c>
      <c r="L108" s="62">
        <v>16.62</v>
      </c>
      <c r="M108" s="62">
        <v>15.71</v>
      </c>
      <c r="N108" s="62">
        <v>17.61</v>
      </c>
      <c r="O108" s="62">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6:66" ht="15" x14ac:dyDescent="0.25">
      <c r="F109"/>
      <c r="G109"/>
      <c r="H109"/>
      <c r="I109"/>
      <c r="J109"/>
      <c r="K109" s="61" t="s">
        <v>379</v>
      </c>
      <c r="L109" s="62">
        <v>16.63</v>
      </c>
      <c r="M109" s="62">
        <v>15.88</v>
      </c>
      <c r="N109" s="62">
        <v>17.739999999999998</v>
      </c>
      <c r="O109" s="62">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6:66" ht="15" x14ac:dyDescent="0.25">
      <c r="F110"/>
      <c r="G110"/>
      <c r="H110"/>
      <c r="I110"/>
      <c r="J110"/>
      <c r="K110" s="61" t="s">
        <v>380</v>
      </c>
      <c r="L110" s="62">
        <v>16.72</v>
      </c>
      <c r="M110" s="62">
        <v>16.05</v>
      </c>
      <c r="N110" s="62">
        <v>17.899999999999999</v>
      </c>
      <c r="O110" s="62">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6:66" ht="15" x14ac:dyDescent="0.25">
      <c r="F111"/>
      <c r="G111"/>
      <c r="H111"/>
      <c r="I111"/>
      <c r="J111"/>
      <c r="K111" s="61" t="s">
        <v>381</v>
      </c>
      <c r="L111" s="62">
        <v>16.7</v>
      </c>
      <c r="M111" s="62">
        <v>15.86</v>
      </c>
      <c r="N111" s="62">
        <v>18.27</v>
      </c>
      <c r="O111" s="62">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6:66" ht="15" x14ac:dyDescent="0.25">
      <c r="F112"/>
      <c r="G112"/>
      <c r="H112"/>
      <c r="I112"/>
      <c r="J112"/>
      <c r="K112" s="61" t="s">
        <v>382</v>
      </c>
      <c r="L112" s="62">
        <v>16.78</v>
      </c>
      <c r="M112" s="62">
        <v>15.86</v>
      </c>
      <c r="N112" s="62">
        <v>18.22</v>
      </c>
      <c r="O112" s="6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6:66" ht="15" x14ac:dyDescent="0.25">
      <c r="F113"/>
      <c r="G113"/>
      <c r="H113"/>
      <c r="I113"/>
      <c r="J113"/>
      <c r="K113" s="61" t="s">
        <v>383</v>
      </c>
      <c r="L113" s="62">
        <v>16.760000000000002</v>
      </c>
      <c r="M113" s="62">
        <v>15.86</v>
      </c>
      <c r="N113" s="62">
        <v>18.309999999999999</v>
      </c>
      <c r="O113" s="62">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6:66" ht="15" x14ac:dyDescent="0.25">
      <c r="F114"/>
      <c r="G114"/>
      <c r="H114"/>
      <c r="I114"/>
      <c r="J114"/>
      <c r="K114" s="61" t="s">
        <v>384</v>
      </c>
      <c r="L114" s="62">
        <v>16.95</v>
      </c>
      <c r="M114" s="62">
        <v>15.81</v>
      </c>
      <c r="N114" s="62">
        <v>18.579999999999998</v>
      </c>
      <c r="O114" s="62">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6:66" ht="15" x14ac:dyDescent="0.25">
      <c r="F115"/>
      <c r="G115"/>
      <c r="H115"/>
      <c r="I115"/>
      <c r="J115"/>
      <c r="K115" s="61" t="s">
        <v>385</v>
      </c>
      <c r="L115" s="62">
        <v>16.809999999999999</v>
      </c>
      <c r="M115" s="62">
        <v>15.55</v>
      </c>
      <c r="N115" s="62">
        <v>18.600000000000001</v>
      </c>
      <c r="O115" s="62">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6:66" ht="15" x14ac:dyDescent="0.25">
      <c r="F116"/>
      <c r="G116"/>
      <c r="H116"/>
      <c r="I116"/>
      <c r="J116"/>
      <c r="K116" s="61" t="s">
        <v>386</v>
      </c>
      <c r="L116" s="62">
        <v>16.91</v>
      </c>
      <c r="M116" s="62">
        <v>15.53</v>
      </c>
      <c r="N116" s="62">
        <v>18.53</v>
      </c>
      <c r="O116" s="62">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6:66" ht="15" x14ac:dyDescent="0.25">
      <c r="F117"/>
      <c r="G117"/>
      <c r="H117"/>
      <c r="I117"/>
      <c r="J117"/>
      <c r="K117" s="61" t="s">
        <v>387</v>
      </c>
      <c r="L117" s="62">
        <v>16.91</v>
      </c>
      <c r="M117" s="62">
        <v>15.46</v>
      </c>
      <c r="N117" s="62">
        <v>18.73</v>
      </c>
      <c r="O117" s="62">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6:66" ht="15" x14ac:dyDescent="0.25">
      <c r="F118"/>
      <c r="G118"/>
      <c r="H118"/>
      <c r="I118"/>
      <c r="J118"/>
      <c r="K118" s="61" t="s">
        <v>388</v>
      </c>
      <c r="L118" s="62">
        <v>17.02</v>
      </c>
      <c r="M118" s="62">
        <v>15.26</v>
      </c>
      <c r="N118" s="62">
        <v>18.63</v>
      </c>
      <c r="O118" s="62">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6:66" ht="15" x14ac:dyDescent="0.25">
      <c r="F119"/>
      <c r="G119"/>
      <c r="H119"/>
      <c r="I119"/>
      <c r="J119"/>
      <c r="K119" s="61" t="s">
        <v>389</v>
      </c>
      <c r="L119" s="62">
        <v>16.899999999999999</v>
      </c>
      <c r="M119" s="62">
        <v>15.17</v>
      </c>
      <c r="N119" s="62">
        <v>18.28</v>
      </c>
      <c r="O119" s="62">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6:66" ht="15" x14ac:dyDescent="0.25">
      <c r="F120"/>
      <c r="G120"/>
      <c r="H120"/>
      <c r="I120"/>
      <c r="J120"/>
      <c r="K120" s="61" t="s">
        <v>390</v>
      </c>
      <c r="L120" s="62">
        <v>17.170000000000002</v>
      </c>
      <c r="M120" s="62">
        <v>15.24</v>
      </c>
      <c r="N120" s="62">
        <v>18.34</v>
      </c>
      <c r="O120" s="62">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6:66" ht="15" x14ac:dyDescent="0.25">
      <c r="F121"/>
      <c r="G121"/>
      <c r="H121"/>
      <c r="I121"/>
      <c r="J121"/>
      <c r="K121" s="61" t="s">
        <v>391</v>
      </c>
      <c r="L121" s="62">
        <v>17.21</v>
      </c>
      <c r="M121" s="62">
        <v>15.2</v>
      </c>
      <c r="N121" s="62">
        <v>18.309999999999999</v>
      </c>
      <c r="O121" s="62">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6:66" ht="15" x14ac:dyDescent="0.25">
      <c r="F122"/>
      <c r="G122"/>
      <c r="H122"/>
      <c r="I122"/>
      <c r="J122"/>
      <c r="K122" s="61" t="s">
        <v>392</v>
      </c>
      <c r="L122" s="62">
        <v>17.420000000000002</v>
      </c>
      <c r="M122" s="62">
        <v>15.21</v>
      </c>
      <c r="N122" s="62">
        <v>18.28</v>
      </c>
      <c r="O122" s="6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6:66" ht="15" x14ac:dyDescent="0.25">
      <c r="F123"/>
      <c r="G123"/>
      <c r="H123"/>
      <c r="I123"/>
      <c r="J123"/>
      <c r="K123" s="61" t="s">
        <v>393</v>
      </c>
      <c r="L123" s="62">
        <v>17.37</v>
      </c>
      <c r="M123" s="62">
        <v>15.27</v>
      </c>
      <c r="N123" s="62">
        <v>18.21</v>
      </c>
      <c r="O123" s="62">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6:66" ht="15" x14ac:dyDescent="0.25">
      <c r="F124"/>
      <c r="G124"/>
      <c r="H124"/>
      <c r="I124"/>
      <c r="J124"/>
      <c r="K124" s="61" t="s">
        <v>394</v>
      </c>
      <c r="L124" s="62">
        <v>17.440000000000001</v>
      </c>
      <c r="M124" s="62">
        <v>15.25</v>
      </c>
      <c r="N124" s="62">
        <v>18.36</v>
      </c>
      <c r="O124" s="62">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6:66" ht="15" x14ac:dyDescent="0.25">
      <c r="F125"/>
      <c r="G125"/>
      <c r="H125"/>
      <c r="I125"/>
      <c r="J125"/>
      <c r="K125" s="61" t="s">
        <v>395</v>
      </c>
      <c r="L125" s="62">
        <v>17.27</v>
      </c>
      <c r="M125" s="62">
        <v>15.26</v>
      </c>
      <c r="N125" s="62">
        <v>18.53</v>
      </c>
      <c r="O125" s="62">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6:66" ht="15" x14ac:dyDescent="0.25">
      <c r="F126"/>
      <c r="G126"/>
      <c r="H126"/>
      <c r="I126"/>
      <c r="J126"/>
      <c r="K126" s="61" t="s">
        <v>396</v>
      </c>
      <c r="L126" s="62">
        <v>17.37</v>
      </c>
      <c r="M126" s="62">
        <v>15.12</v>
      </c>
      <c r="N126" s="62">
        <v>18.32</v>
      </c>
      <c r="O126" s="62">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6:66" ht="15" x14ac:dyDescent="0.25">
      <c r="F127"/>
      <c r="G127"/>
      <c r="H127"/>
      <c r="I127"/>
      <c r="J127"/>
      <c r="K127" s="61" t="s">
        <v>397</v>
      </c>
      <c r="L127" s="62">
        <v>17.260000000000002</v>
      </c>
      <c r="M127" s="62">
        <v>15.18</v>
      </c>
      <c r="N127" s="62">
        <v>18.39</v>
      </c>
      <c r="O127" s="62">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6:66" ht="15" x14ac:dyDescent="0.25">
      <c r="F128"/>
      <c r="G128"/>
      <c r="H128"/>
      <c r="I128"/>
      <c r="J128"/>
      <c r="K128" s="61" t="s">
        <v>398</v>
      </c>
      <c r="L128" s="62">
        <v>17.34</v>
      </c>
      <c r="M128" s="62">
        <v>15.21</v>
      </c>
      <c r="N128" s="62">
        <v>18.579999999999998</v>
      </c>
      <c r="O128" s="62">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6:66" ht="15" x14ac:dyDescent="0.25">
      <c r="F129"/>
      <c r="G129"/>
      <c r="H129"/>
      <c r="I129"/>
      <c r="J129"/>
      <c r="K129" s="61" t="s">
        <v>399</v>
      </c>
      <c r="L129" s="62">
        <v>17.489999999999998</v>
      </c>
      <c r="M129" s="62">
        <v>15.23</v>
      </c>
      <c r="N129" s="62">
        <v>18.48</v>
      </c>
      <c r="O129" s="62">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6:66" ht="15" x14ac:dyDescent="0.25">
      <c r="F130"/>
      <c r="G130"/>
      <c r="H130"/>
      <c r="I130"/>
      <c r="J130"/>
      <c r="K130" s="61" t="s">
        <v>400</v>
      </c>
      <c r="L130" s="62">
        <v>17.73</v>
      </c>
      <c r="M130" s="62">
        <v>15.19</v>
      </c>
      <c r="N130" s="62">
        <v>18.38</v>
      </c>
      <c r="O130" s="62">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6:66" ht="15" x14ac:dyDescent="0.25">
      <c r="F131"/>
      <c r="G131"/>
      <c r="H131"/>
      <c r="I131"/>
      <c r="J131"/>
      <c r="K131" s="61" t="s">
        <v>401</v>
      </c>
      <c r="L131" s="62">
        <v>17.84</v>
      </c>
      <c r="M131" s="62">
        <v>15.58</v>
      </c>
      <c r="N131" s="62">
        <v>18.88</v>
      </c>
      <c r="O131" s="62">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6:66" ht="15" x14ac:dyDescent="0.25">
      <c r="F132"/>
      <c r="G132"/>
      <c r="H132"/>
      <c r="I132"/>
      <c r="J132"/>
      <c r="K132" s="61" t="s">
        <v>402</v>
      </c>
      <c r="L132" s="62">
        <v>18.100000000000001</v>
      </c>
      <c r="M132" s="62">
        <v>15.99</v>
      </c>
      <c r="N132" s="62">
        <v>18.62</v>
      </c>
      <c r="O132" s="6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6:66" ht="15" x14ac:dyDescent="0.25">
      <c r="F133"/>
      <c r="G133"/>
      <c r="H133"/>
      <c r="I133"/>
      <c r="J133"/>
      <c r="K133" s="61" t="s">
        <v>403</v>
      </c>
      <c r="L133" s="62">
        <v>18.2</v>
      </c>
      <c r="M133" s="62">
        <v>15.86</v>
      </c>
      <c r="N133" s="62">
        <v>18.600000000000001</v>
      </c>
      <c r="O133" s="62">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6:66" ht="15" x14ac:dyDescent="0.25">
      <c r="F134"/>
      <c r="G134"/>
      <c r="H134"/>
      <c r="I134"/>
      <c r="J134"/>
      <c r="K134" s="61" t="s">
        <v>404</v>
      </c>
      <c r="L134" s="62">
        <v>18.22</v>
      </c>
      <c r="M134" s="62">
        <v>15.9</v>
      </c>
      <c r="N134" s="62">
        <v>18.73</v>
      </c>
      <c r="O134" s="62">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6:66" ht="15" x14ac:dyDescent="0.25">
      <c r="F135"/>
      <c r="G135"/>
      <c r="H135"/>
      <c r="I135"/>
      <c r="J135"/>
      <c r="K135" s="61" t="s">
        <v>405</v>
      </c>
      <c r="L135" s="62">
        <v>18.190000000000001</v>
      </c>
      <c r="M135" s="62">
        <v>15.91</v>
      </c>
      <c r="N135" s="62">
        <v>18.850000000000001</v>
      </c>
      <c r="O135" s="62">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6:66" ht="15" x14ac:dyDescent="0.25">
      <c r="K136" s="61" t="s">
        <v>406</v>
      </c>
      <c r="L136" s="62">
        <v>18.350000000000001</v>
      </c>
      <c r="M136" s="62">
        <v>15.92</v>
      </c>
      <c r="N136" s="62">
        <v>16.91</v>
      </c>
      <c r="O136" s="62">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6:66" ht="15" x14ac:dyDescent="0.25">
      <c r="K137" s="61" t="s">
        <v>407</v>
      </c>
      <c r="L137" s="62">
        <v>18.309999999999999</v>
      </c>
      <c r="M137" s="62">
        <v>15.77</v>
      </c>
      <c r="N137" s="62"/>
      <c r="O137" s="62">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6:66" ht="15" x14ac:dyDescent="0.25">
      <c r="K138" s="61" t="s">
        <v>408</v>
      </c>
      <c r="L138" s="62">
        <v>18.41</v>
      </c>
      <c r="M138" s="62">
        <v>15.84</v>
      </c>
      <c r="N138" s="62"/>
      <c r="O138" s="62">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6:66" ht="15" x14ac:dyDescent="0.25">
      <c r="K139" s="61" t="s">
        <v>409</v>
      </c>
      <c r="L139" s="62">
        <v>18.3</v>
      </c>
      <c r="M139" s="62">
        <v>15.85</v>
      </c>
      <c r="N139" s="62"/>
      <c r="O139" s="62">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6:66" ht="15" x14ac:dyDescent="0.25">
      <c r="K140" s="61" t="s">
        <v>410</v>
      </c>
      <c r="L140" s="62">
        <v>18.350000000000001</v>
      </c>
      <c r="M140" s="62">
        <v>15.73</v>
      </c>
      <c r="N140" s="62">
        <v>18.260000000000002</v>
      </c>
      <c r="O140" s="62">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6:66" ht="15" x14ac:dyDescent="0.25">
      <c r="K141" s="61" t="s">
        <v>411</v>
      </c>
      <c r="L141" s="62">
        <v>18.14</v>
      </c>
      <c r="M141" s="62">
        <v>15.8</v>
      </c>
      <c r="N141" s="62">
        <v>18.61</v>
      </c>
      <c r="O141" s="62">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6:66" ht="15" x14ac:dyDescent="0.25">
      <c r="K142" s="61" t="s">
        <v>412</v>
      </c>
      <c r="L142" s="62">
        <v>18.13</v>
      </c>
      <c r="M142" s="62">
        <v>15.83</v>
      </c>
      <c r="N142" s="62">
        <v>18.68</v>
      </c>
      <c r="O142" s="6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6:66" ht="15" x14ac:dyDescent="0.25">
      <c r="K143" s="61" t="s">
        <v>413</v>
      </c>
      <c r="L143" s="62">
        <v>17.989999999999998</v>
      </c>
      <c r="M143" s="62">
        <v>15.77</v>
      </c>
      <c r="N143" s="62">
        <v>18.809999999999999</v>
      </c>
      <c r="O143" s="62">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6:66" ht="15" x14ac:dyDescent="0.25">
      <c r="K144" s="61" t="s">
        <v>414</v>
      </c>
      <c r="L144" s="62">
        <v>18.11</v>
      </c>
      <c r="M144" s="62">
        <v>15.7</v>
      </c>
      <c r="N144" s="62">
        <v>19.2</v>
      </c>
      <c r="O144" s="62">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1:66" ht="15" x14ac:dyDescent="0.25">
      <c r="K145" s="61" t="s">
        <v>415</v>
      </c>
      <c r="L145" s="62">
        <v>18.04</v>
      </c>
      <c r="M145" s="62">
        <v>15.91</v>
      </c>
      <c r="N145" s="62">
        <v>18.84</v>
      </c>
      <c r="O145" s="62">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1:66" ht="15" x14ac:dyDescent="0.25">
      <c r="K146" s="61" t="s">
        <v>416</v>
      </c>
      <c r="L146" s="62">
        <v>18.03</v>
      </c>
      <c r="M146" s="62">
        <v>15.73</v>
      </c>
      <c r="N146" s="62">
        <v>18.2</v>
      </c>
      <c r="O146" s="62">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1:66" ht="15" x14ac:dyDescent="0.25">
      <c r="K147" s="61" t="s">
        <v>417</v>
      </c>
      <c r="L147" s="62">
        <v>17.87</v>
      </c>
      <c r="M147" s="62">
        <v>15.77</v>
      </c>
      <c r="N147" s="62">
        <v>18.600000000000001</v>
      </c>
      <c r="O147" s="62">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1:66" ht="15" x14ac:dyDescent="0.25">
      <c r="K148" s="61" t="s">
        <v>418</v>
      </c>
      <c r="L148" s="62">
        <v>17.89</v>
      </c>
      <c r="M148" s="62">
        <v>15.63</v>
      </c>
      <c r="N148" s="62">
        <v>18.47</v>
      </c>
      <c r="O148" s="62">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1:66" ht="15" x14ac:dyDescent="0.25">
      <c r="K149" s="61" t="s">
        <v>419</v>
      </c>
      <c r="L149" s="62">
        <v>17.809999999999999</v>
      </c>
      <c r="M149" s="62">
        <v>15.46</v>
      </c>
      <c r="N149" s="62">
        <v>19.09</v>
      </c>
      <c r="O149" s="62">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1:66" ht="15" x14ac:dyDescent="0.25">
      <c r="K150" s="61" t="s">
        <v>420</v>
      </c>
      <c r="L150" s="62">
        <v>17.899999999999999</v>
      </c>
      <c r="M150" s="62">
        <v>15.26</v>
      </c>
      <c r="N150" s="62">
        <v>19.309999999999999</v>
      </c>
      <c r="O150" s="62">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1:66" ht="15" x14ac:dyDescent="0.25">
      <c r="K151" s="61" t="s">
        <v>421</v>
      </c>
      <c r="L151" s="62">
        <v>17.98</v>
      </c>
      <c r="M151" s="62">
        <v>15.27</v>
      </c>
      <c r="N151" s="62">
        <v>18.88</v>
      </c>
      <c r="O151" s="62">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1:66" ht="15" x14ac:dyDescent="0.25">
      <c r="K152" s="61" t="s">
        <v>422</v>
      </c>
      <c r="L152" s="62">
        <v>18.260000000000002</v>
      </c>
      <c r="M152" s="62">
        <v>15.34</v>
      </c>
      <c r="N152" s="62">
        <v>20.05</v>
      </c>
      <c r="O152" s="6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1:66" ht="15" x14ac:dyDescent="0.25">
      <c r="K153" s="61" t="s">
        <v>423</v>
      </c>
      <c r="L153" s="62">
        <v>18.329999999999998</v>
      </c>
      <c r="M153" s="62">
        <v>15.74</v>
      </c>
      <c r="N153" s="62">
        <v>20.38</v>
      </c>
      <c r="O153" s="62">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1:66" ht="15" x14ac:dyDescent="0.25">
      <c r="K154" s="61" t="s">
        <v>424</v>
      </c>
      <c r="L154" s="62">
        <v>18.46</v>
      </c>
      <c r="M154" s="62">
        <v>16.14</v>
      </c>
      <c r="N154" s="62">
        <v>20.03</v>
      </c>
      <c r="O154" s="62">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1:66" ht="15" x14ac:dyDescent="0.25">
      <c r="K155" s="61" t="s">
        <v>425</v>
      </c>
      <c r="L155" s="62">
        <v>18.54</v>
      </c>
      <c r="M155" s="62">
        <v>16.32</v>
      </c>
      <c r="N155" s="62">
        <v>21.24</v>
      </c>
      <c r="O155" s="62">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1:66" ht="15" x14ac:dyDescent="0.25">
      <c r="K156" s="61" t="s">
        <v>426</v>
      </c>
      <c r="L156" s="62">
        <v>18.68</v>
      </c>
      <c r="M156" s="62">
        <v>16.46</v>
      </c>
      <c r="N156" s="62">
        <v>22.73</v>
      </c>
      <c r="O156" s="62">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1:66" ht="15" x14ac:dyDescent="0.25">
      <c r="K157" s="61" t="s">
        <v>427</v>
      </c>
      <c r="L157" s="62">
        <v>18.72</v>
      </c>
      <c r="M157" s="62">
        <v>16.489999999999998</v>
      </c>
      <c r="N157" s="62">
        <v>22.99</v>
      </c>
      <c r="O157" s="62">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1:66" ht="15" x14ac:dyDescent="0.25">
      <c r="K158" s="61" t="s">
        <v>428</v>
      </c>
      <c r="L158" s="62">
        <v>18.829999999999998</v>
      </c>
      <c r="M158" s="62">
        <v>16.45</v>
      </c>
      <c r="N158" s="62">
        <v>23.73</v>
      </c>
      <c r="O158" s="62">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1:66" ht="15" x14ac:dyDescent="0.25">
      <c r="K159" s="61" t="s">
        <v>429</v>
      </c>
      <c r="L159" s="62">
        <v>18.98</v>
      </c>
      <c r="M159" s="62">
        <v>16.45</v>
      </c>
      <c r="N159" s="62">
        <v>24.21</v>
      </c>
      <c r="O159" s="62">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1:66" ht="15" x14ac:dyDescent="0.25">
      <c r="K160" s="61" t="s">
        <v>430</v>
      </c>
      <c r="L160" s="62">
        <v>19.02</v>
      </c>
      <c r="M160" s="62">
        <v>16.47</v>
      </c>
      <c r="N160" s="62">
        <v>23.18</v>
      </c>
      <c r="O160" s="62">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1:66" ht="15" x14ac:dyDescent="0.25">
      <c r="K161" s="61" t="s">
        <v>431</v>
      </c>
      <c r="L161" s="62">
        <v>18.8</v>
      </c>
      <c r="M161" s="62">
        <v>16.66</v>
      </c>
      <c r="N161" s="62">
        <v>22.73</v>
      </c>
      <c r="O161" s="62">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1:66" ht="15" x14ac:dyDescent="0.25">
      <c r="K162" s="61" t="s">
        <v>432</v>
      </c>
      <c r="L162" s="62">
        <v>18.829999999999998</v>
      </c>
      <c r="M162" s="62">
        <v>16.649999999999999</v>
      </c>
      <c r="N162" s="62">
        <v>22.93</v>
      </c>
      <c r="O162" s="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1:66" ht="15" x14ac:dyDescent="0.25">
      <c r="K163" s="61" t="s">
        <v>433</v>
      </c>
      <c r="L163" s="62">
        <v>18.649999999999999</v>
      </c>
      <c r="M163" s="62">
        <v>16.5</v>
      </c>
      <c r="N163" s="62">
        <v>23.3</v>
      </c>
      <c r="O163" s="62">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1:66" ht="15" x14ac:dyDescent="0.25">
      <c r="K164" s="61" t="s">
        <v>434</v>
      </c>
      <c r="L164" s="62">
        <v>18.670000000000002</v>
      </c>
      <c r="M164" s="62">
        <v>16.48</v>
      </c>
      <c r="N164" s="62">
        <v>23.03</v>
      </c>
      <c r="O164" s="62">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1:66" ht="15" x14ac:dyDescent="0.25">
      <c r="K165" s="61" t="s">
        <v>435</v>
      </c>
      <c r="L165" s="62">
        <v>18.760000000000002</v>
      </c>
      <c r="M165" s="62">
        <v>16.600000000000001</v>
      </c>
      <c r="N165" s="62">
        <v>24.5</v>
      </c>
      <c r="O165" s="62">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1:66" ht="15" x14ac:dyDescent="0.25">
      <c r="K166" s="61" t="s">
        <v>436</v>
      </c>
      <c r="L166" s="62">
        <v>18.899999999999999</v>
      </c>
      <c r="M166" s="62">
        <v>16.510000000000002</v>
      </c>
      <c r="N166" s="62">
        <v>23.5</v>
      </c>
      <c r="O166" s="62">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1:66" ht="15" x14ac:dyDescent="0.25">
      <c r="K167" s="61" t="s">
        <v>437</v>
      </c>
      <c r="L167" s="62">
        <v>18.89</v>
      </c>
      <c r="M167" s="62">
        <v>16.53</v>
      </c>
      <c r="N167" s="62">
        <v>24.15</v>
      </c>
      <c r="O167" s="62">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1:66" ht="15" x14ac:dyDescent="0.25">
      <c r="K168" s="61" t="s">
        <v>438</v>
      </c>
      <c r="L168" s="62">
        <v>19.07</v>
      </c>
      <c r="M168" s="62">
        <v>16.68</v>
      </c>
      <c r="N168" s="62">
        <v>24.24</v>
      </c>
      <c r="O168" s="62">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1:66" ht="15" x14ac:dyDescent="0.25">
      <c r="K169" s="61" t="s">
        <v>439</v>
      </c>
      <c r="L169" s="62">
        <v>18.88</v>
      </c>
      <c r="M169" s="62">
        <v>16.55</v>
      </c>
      <c r="N169" s="62">
        <v>23.98</v>
      </c>
      <c r="O169" s="62">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1:66" ht="15" x14ac:dyDescent="0.25">
      <c r="K170" s="61" t="s">
        <v>440</v>
      </c>
      <c r="L170" s="62">
        <v>18.760000000000002</v>
      </c>
      <c r="M170" s="62">
        <v>16.38</v>
      </c>
      <c r="N170" s="62">
        <v>23.13</v>
      </c>
      <c r="O170" s="62">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1:66" ht="15" x14ac:dyDescent="0.25">
      <c r="K171" s="61" t="s">
        <v>441</v>
      </c>
      <c r="L171" s="62">
        <v>18.829999999999998</v>
      </c>
      <c r="M171" s="62">
        <v>16.45</v>
      </c>
      <c r="N171" s="62">
        <v>23.95</v>
      </c>
      <c r="O171" s="62">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1:66" ht="15" x14ac:dyDescent="0.25">
      <c r="K172" s="61" t="s">
        <v>442</v>
      </c>
      <c r="L172" s="62">
        <v>18.78</v>
      </c>
      <c r="M172" s="62">
        <v>16.420000000000002</v>
      </c>
      <c r="N172" s="62">
        <v>22.75</v>
      </c>
      <c r="O172" s="6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1:66" ht="15" x14ac:dyDescent="0.25">
      <c r="K173" s="61" t="s">
        <v>443</v>
      </c>
      <c r="L173" s="62">
        <v>18.73</v>
      </c>
      <c r="M173" s="62">
        <v>16.57</v>
      </c>
      <c r="N173" s="62">
        <v>22.67</v>
      </c>
      <c r="O173" s="62">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1:66" ht="15" x14ac:dyDescent="0.25">
      <c r="K174" s="61" t="s">
        <v>444</v>
      </c>
      <c r="L174" s="62">
        <v>18.899999999999999</v>
      </c>
      <c r="M174" s="62">
        <v>16.71</v>
      </c>
      <c r="N174" s="62">
        <v>22.69</v>
      </c>
      <c r="O174" s="62">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1:66" ht="15" x14ac:dyDescent="0.25">
      <c r="K175" s="61" t="s">
        <v>445</v>
      </c>
      <c r="L175" s="62">
        <v>18.98</v>
      </c>
      <c r="M175" s="62">
        <v>16.89</v>
      </c>
      <c r="N175" s="62">
        <v>22.26</v>
      </c>
      <c r="O175" s="62">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1:66" ht="15" x14ac:dyDescent="0.25">
      <c r="K176" s="61" t="s">
        <v>446</v>
      </c>
      <c r="L176" s="62">
        <v>19.100000000000001</v>
      </c>
      <c r="M176" s="62">
        <v>16.989999999999998</v>
      </c>
      <c r="N176" s="62">
        <v>21.9</v>
      </c>
      <c r="O176" s="62">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1:66" ht="15" x14ac:dyDescent="0.25">
      <c r="K177" s="61" t="s">
        <v>447</v>
      </c>
      <c r="L177" s="62">
        <v>19.32</v>
      </c>
      <c r="M177" s="62">
        <v>16.95</v>
      </c>
      <c r="N177" s="62">
        <v>21.87</v>
      </c>
      <c r="O177" s="62">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1:66" ht="15" x14ac:dyDescent="0.25">
      <c r="K178" s="61" t="s">
        <v>448</v>
      </c>
      <c r="L178" s="62">
        <v>19.600000000000001</v>
      </c>
      <c r="M178" s="62">
        <v>16.66</v>
      </c>
      <c r="N178" s="62">
        <v>22.09</v>
      </c>
      <c r="O178" s="62">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1:66" ht="15" x14ac:dyDescent="0.25">
      <c r="K179" s="61" t="s">
        <v>449</v>
      </c>
      <c r="L179" s="62">
        <v>19.71</v>
      </c>
      <c r="M179" s="62">
        <v>16.73</v>
      </c>
      <c r="N179" s="62">
        <v>22.17</v>
      </c>
      <c r="O179" s="62">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1:66" ht="15" x14ac:dyDescent="0.25">
      <c r="K180" s="61" t="s">
        <v>450</v>
      </c>
      <c r="L180" s="62">
        <v>19.89</v>
      </c>
      <c r="M180" s="62">
        <v>16.66</v>
      </c>
      <c r="N180" s="62">
        <v>22.63</v>
      </c>
      <c r="O180" s="62">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1:66" ht="15" x14ac:dyDescent="0.25">
      <c r="K181" s="61" t="s">
        <v>451</v>
      </c>
      <c r="L181" s="62">
        <v>19.8</v>
      </c>
      <c r="M181" s="62">
        <v>16.48</v>
      </c>
      <c r="N181" s="62">
        <v>22.64</v>
      </c>
      <c r="O181" s="62">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1:66" ht="15" x14ac:dyDescent="0.25">
      <c r="K182" s="61" t="s">
        <v>452</v>
      </c>
      <c r="L182" s="62">
        <v>19.95</v>
      </c>
      <c r="M182" s="62">
        <v>16.46</v>
      </c>
      <c r="N182" s="62">
        <v>23.06</v>
      </c>
      <c r="O182" s="6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1:66" ht="15" x14ac:dyDescent="0.25">
      <c r="K183" s="61" t="s">
        <v>453</v>
      </c>
      <c r="L183" s="62">
        <v>19.88</v>
      </c>
      <c r="M183" s="62">
        <v>16.54</v>
      </c>
      <c r="N183" s="62">
        <v>23.39</v>
      </c>
      <c r="O183" s="62">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1:66" ht="15" x14ac:dyDescent="0.25">
      <c r="K184" s="61" t="s">
        <v>454</v>
      </c>
      <c r="L184" s="62">
        <v>19.95</v>
      </c>
      <c r="M184" s="62">
        <v>16.54</v>
      </c>
      <c r="N184" s="62">
        <v>23.95</v>
      </c>
      <c r="O184" s="62">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1:66" ht="15" x14ac:dyDescent="0.25">
      <c r="K185" s="61" t="s">
        <v>455</v>
      </c>
      <c r="L185" s="62">
        <v>20</v>
      </c>
      <c r="M185" s="62">
        <v>16.63</v>
      </c>
      <c r="N185" s="62">
        <v>23.92</v>
      </c>
      <c r="O185" s="62">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1:66" ht="15" x14ac:dyDescent="0.25">
      <c r="K186" s="61" t="s">
        <v>456</v>
      </c>
      <c r="L186" s="62">
        <v>20.29</v>
      </c>
      <c r="M186" s="62">
        <v>16.79</v>
      </c>
      <c r="N186" s="62">
        <v>24.54</v>
      </c>
      <c r="O186" s="62">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1:66" ht="15" x14ac:dyDescent="0.25">
      <c r="K187" s="61" t="s">
        <v>457</v>
      </c>
      <c r="L187" s="62">
        <v>20.28</v>
      </c>
      <c r="M187" s="62">
        <v>17.010000000000002</v>
      </c>
      <c r="N187" s="62">
        <v>24.56</v>
      </c>
      <c r="O187" s="62">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1:66" ht="15" x14ac:dyDescent="0.25">
      <c r="K188" s="61" t="s">
        <v>458</v>
      </c>
      <c r="L188" s="62">
        <v>20.66</v>
      </c>
      <c r="M188" s="62">
        <v>17.149999999999999</v>
      </c>
      <c r="N188" s="62">
        <v>24.3</v>
      </c>
      <c r="O188" s="62">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1:66" ht="15" x14ac:dyDescent="0.25">
      <c r="K189" s="61" t="s">
        <v>459</v>
      </c>
      <c r="L189" s="62">
        <v>20.7</v>
      </c>
      <c r="M189" s="62">
        <v>17.239999999999998</v>
      </c>
      <c r="N189" s="62">
        <v>24.3</v>
      </c>
      <c r="O189" s="62">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1:66" ht="15" x14ac:dyDescent="0.25">
      <c r="K190" s="61" t="s">
        <v>460</v>
      </c>
      <c r="L190" s="62">
        <v>20.88</v>
      </c>
      <c r="M190" s="62">
        <v>17.21</v>
      </c>
      <c r="N190" s="62">
        <v>24.66</v>
      </c>
      <c r="O190" s="62">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1:66" ht="15" x14ac:dyDescent="0.25">
      <c r="K191" s="61" t="s">
        <v>461</v>
      </c>
      <c r="L191" s="62">
        <v>21.01</v>
      </c>
      <c r="M191" s="62">
        <v>17.329999999999998</v>
      </c>
      <c r="N191" s="62">
        <v>24.94</v>
      </c>
      <c r="O191" s="62">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1:66" ht="15" x14ac:dyDescent="0.25">
      <c r="K192" s="61" t="s">
        <v>462</v>
      </c>
      <c r="L192" s="62">
        <v>21.1</v>
      </c>
      <c r="M192" s="62">
        <v>17.420000000000002</v>
      </c>
      <c r="N192" s="62">
        <v>25.1</v>
      </c>
      <c r="O192" s="6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1:66" ht="15" x14ac:dyDescent="0.25">
      <c r="K193" s="61" t="s">
        <v>463</v>
      </c>
      <c r="L193" s="62">
        <v>21.18</v>
      </c>
      <c r="M193" s="62">
        <v>17.53</v>
      </c>
      <c r="N193" s="62">
        <v>24.71</v>
      </c>
      <c r="O193" s="62">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1:66" ht="15" x14ac:dyDescent="0.25">
      <c r="K194" s="61" t="s">
        <v>464</v>
      </c>
      <c r="L194" s="62">
        <v>21.46</v>
      </c>
      <c r="M194" s="62">
        <v>17.68</v>
      </c>
      <c r="N194" s="62">
        <v>24.5</v>
      </c>
      <c r="O194" s="62">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1:66" ht="15" x14ac:dyDescent="0.25">
      <c r="K195" s="61" t="s">
        <v>465</v>
      </c>
      <c r="L195" s="62">
        <v>21.64</v>
      </c>
      <c r="M195" s="62">
        <v>17.940000000000001</v>
      </c>
      <c r="N195" s="62">
        <v>24.51</v>
      </c>
      <c r="O195" s="62">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1:66" ht="15" x14ac:dyDescent="0.25">
      <c r="K196" s="61" t="s">
        <v>466</v>
      </c>
      <c r="L196" s="62">
        <v>21.73</v>
      </c>
      <c r="M196" s="62">
        <v>18.13</v>
      </c>
      <c r="N196" s="62">
        <v>24.02</v>
      </c>
      <c r="O196" s="62">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1:66" ht="15" x14ac:dyDescent="0.25">
      <c r="K197" s="61" t="s">
        <v>467</v>
      </c>
      <c r="L197" s="62">
        <v>21.84</v>
      </c>
      <c r="M197" s="62">
        <v>18.37</v>
      </c>
      <c r="N197" s="62">
        <v>24.07</v>
      </c>
      <c r="O197" s="62">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1:66" ht="15" x14ac:dyDescent="0.25">
      <c r="K198" s="61" t="s">
        <v>468</v>
      </c>
      <c r="L198" s="62">
        <v>21.5</v>
      </c>
      <c r="M198" s="62">
        <v>18.5</v>
      </c>
      <c r="N198" s="62">
        <v>24.76</v>
      </c>
      <c r="O198" s="62">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1:66" ht="15" x14ac:dyDescent="0.25">
      <c r="K199" s="61" t="s">
        <v>469</v>
      </c>
      <c r="L199" s="62">
        <v>21.3</v>
      </c>
      <c r="M199" s="62">
        <v>18.579999999999998</v>
      </c>
      <c r="N199" s="62">
        <v>24.4</v>
      </c>
      <c r="O199" s="62">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1:66" ht="15" x14ac:dyDescent="0.25">
      <c r="K200" s="61" t="s">
        <v>470</v>
      </c>
      <c r="L200" s="62">
        <v>21.3</v>
      </c>
      <c r="M200" s="62">
        <v>18.829999999999998</v>
      </c>
      <c r="N200" s="62">
        <v>23.98</v>
      </c>
      <c r="O200" s="62">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1:66" ht="15" x14ac:dyDescent="0.25">
      <c r="K201" s="61" t="s">
        <v>471</v>
      </c>
      <c r="L201" s="62">
        <v>21.29</v>
      </c>
      <c r="M201" s="62">
        <v>19.079999999999998</v>
      </c>
      <c r="N201" s="62">
        <v>23.85</v>
      </c>
      <c r="O201" s="62">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1:66" ht="15" x14ac:dyDescent="0.25">
      <c r="K202" s="61" t="s">
        <v>472</v>
      </c>
      <c r="L202" s="62">
        <v>21.23</v>
      </c>
      <c r="M202" s="62">
        <v>18.899999999999999</v>
      </c>
      <c r="N202" s="62">
        <v>24.59</v>
      </c>
      <c r="O202" s="6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1:66" ht="15" x14ac:dyDescent="0.25">
      <c r="K203" s="61" t="s">
        <v>473</v>
      </c>
      <c r="L203" s="62">
        <v>21.49</v>
      </c>
      <c r="M203" s="62">
        <v>18.989999999999998</v>
      </c>
      <c r="N203" s="62">
        <v>23.78</v>
      </c>
      <c r="O203" s="62">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1:66" ht="15" x14ac:dyDescent="0.25">
      <c r="K204" s="61" t="s">
        <v>474</v>
      </c>
      <c r="L204" s="62">
        <v>21.5</v>
      </c>
      <c r="M204" s="62">
        <v>19.149999999999999</v>
      </c>
      <c r="N204" s="62">
        <v>24.97</v>
      </c>
      <c r="O204" s="62">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1:66" ht="15" x14ac:dyDescent="0.25">
      <c r="K205" s="61" t="s">
        <v>475</v>
      </c>
      <c r="L205" s="62">
        <v>21.79</v>
      </c>
      <c r="M205" s="62">
        <v>19.03</v>
      </c>
      <c r="N205" s="62">
        <v>25.43</v>
      </c>
      <c r="O205" s="62">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1:66" ht="15" x14ac:dyDescent="0.25">
      <c r="K206" s="61" t="s">
        <v>476</v>
      </c>
      <c r="L206" s="62">
        <v>21.75</v>
      </c>
      <c r="M206" s="62">
        <v>18.850000000000001</v>
      </c>
      <c r="N206" s="62">
        <v>26.25</v>
      </c>
      <c r="O206" s="62">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1:66" ht="15" x14ac:dyDescent="0.25">
      <c r="K207" s="61" t="s">
        <v>477</v>
      </c>
      <c r="L207" s="62">
        <v>22.04</v>
      </c>
      <c r="M207" s="62">
        <v>18.89</v>
      </c>
      <c r="N207" s="62">
        <v>25.93</v>
      </c>
      <c r="O207" s="62">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1:66" ht="15" x14ac:dyDescent="0.25">
      <c r="K208" s="61" t="s">
        <v>478</v>
      </c>
      <c r="L208" s="62">
        <v>21.99</v>
      </c>
      <c r="M208" s="62">
        <v>18.82</v>
      </c>
      <c r="N208" s="62">
        <v>25.05</v>
      </c>
      <c r="O208" s="62">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1:66" ht="15" x14ac:dyDescent="0.25">
      <c r="K209" s="61" t="s">
        <v>479</v>
      </c>
      <c r="L209" s="62">
        <v>22.53</v>
      </c>
      <c r="M209" s="62">
        <v>18.78</v>
      </c>
      <c r="N209" s="62">
        <v>23.99</v>
      </c>
      <c r="O209" s="62">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1:66" ht="15" x14ac:dyDescent="0.25">
      <c r="K210" s="61" t="s">
        <v>480</v>
      </c>
      <c r="L210" s="62">
        <v>22.42</v>
      </c>
      <c r="M210" s="62">
        <v>18.899999999999999</v>
      </c>
      <c r="N210" s="62">
        <v>24.74</v>
      </c>
      <c r="O210" s="62">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1:66" ht="15" x14ac:dyDescent="0.25">
      <c r="K211" s="61" t="s">
        <v>481</v>
      </c>
      <c r="L211" s="62">
        <v>22.76</v>
      </c>
      <c r="M211" s="62">
        <v>18.920000000000002</v>
      </c>
      <c r="N211" s="62">
        <v>25.28</v>
      </c>
      <c r="O211" s="62">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1:66" ht="15" x14ac:dyDescent="0.25">
      <c r="K212" s="61" t="s">
        <v>482</v>
      </c>
      <c r="L212" s="62">
        <v>22.78</v>
      </c>
      <c r="M212" s="62">
        <v>19.04</v>
      </c>
      <c r="N212" s="62">
        <v>25.04</v>
      </c>
      <c r="O212" s="6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1:66" ht="15" x14ac:dyDescent="0.25">
      <c r="K213" s="61" t="s">
        <v>483</v>
      </c>
      <c r="L213" s="62">
        <v>23.25</v>
      </c>
      <c r="M213" s="62">
        <v>19.09</v>
      </c>
      <c r="N213" s="62">
        <v>24.57</v>
      </c>
      <c r="O213" s="62">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1:66" ht="15" x14ac:dyDescent="0.25">
      <c r="K214" s="61" t="s">
        <v>484</v>
      </c>
      <c r="L214" s="62">
        <v>23.23</v>
      </c>
      <c r="M214" s="62">
        <v>19.489999999999998</v>
      </c>
      <c r="N214" s="62">
        <v>24.27</v>
      </c>
      <c r="O214" s="62">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1:66" ht="15" x14ac:dyDescent="0.25">
      <c r="K215" s="61" t="s">
        <v>485</v>
      </c>
      <c r="L215" s="62">
        <v>23.48</v>
      </c>
      <c r="M215" s="62">
        <v>19.670000000000002</v>
      </c>
      <c r="N215" s="62">
        <v>23.59</v>
      </c>
      <c r="O215" s="62">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1:66" ht="15" x14ac:dyDescent="0.25">
      <c r="K216" s="61" t="s">
        <v>486</v>
      </c>
      <c r="L216" s="62">
        <v>23.64</v>
      </c>
      <c r="M216" s="62">
        <v>19.940000000000001</v>
      </c>
      <c r="N216" s="62">
        <v>23.32</v>
      </c>
      <c r="O216" s="62">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1:66" ht="15" x14ac:dyDescent="0.25">
      <c r="K217" s="61" t="s">
        <v>487</v>
      </c>
      <c r="L217" s="62">
        <v>23.64</v>
      </c>
      <c r="M217" s="62">
        <v>20.51</v>
      </c>
      <c r="N217" s="62">
        <v>26.24</v>
      </c>
      <c r="O217" s="62">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1:66" ht="15" x14ac:dyDescent="0.25">
      <c r="K218" s="61" t="s">
        <v>488</v>
      </c>
      <c r="L218" s="62">
        <v>23.52</v>
      </c>
      <c r="M218" s="62">
        <v>20.73</v>
      </c>
      <c r="N218" s="62">
        <v>26.12</v>
      </c>
      <c r="O218" s="62">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1:66" ht="15" x14ac:dyDescent="0.25">
      <c r="K219" s="61" t="s">
        <v>489</v>
      </c>
      <c r="L219" s="62">
        <v>23.56</v>
      </c>
      <c r="M219" s="62">
        <v>20.73</v>
      </c>
      <c r="N219" s="62">
        <v>27.75</v>
      </c>
      <c r="O219" s="62">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1:66" ht="15" x14ac:dyDescent="0.25">
      <c r="K220" s="61" t="s">
        <v>490</v>
      </c>
      <c r="L220" s="62">
        <v>23.64</v>
      </c>
      <c r="M220" s="62">
        <v>20.83</v>
      </c>
      <c r="N220" s="62">
        <v>27.98</v>
      </c>
      <c r="O220" s="62">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1:66" ht="15" x14ac:dyDescent="0.25">
      <c r="K221" s="61" t="s">
        <v>491</v>
      </c>
      <c r="L221" s="62">
        <v>23.84</v>
      </c>
      <c r="M221" s="62">
        <v>20.55</v>
      </c>
      <c r="N221" s="62">
        <v>28.5</v>
      </c>
      <c r="O221" s="62">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1:66" ht="15" x14ac:dyDescent="0.25">
      <c r="K222" s="61" t="s">
        <v>492</v>
      </c>
      <c r="L222" s="62">
        <v>23.82</v>
      </c>
      <c r="M222" s="62">
        <v>20.350000000000001</v>
      </c>
      <c r="N222" s="62">
        <v>27.34</v>
      </c>
      <c r="O222" s="6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1:66" ht="15" x14ac:dyDescent="0.25">
      <c r="K223" s="61" t="s">
        <v>493</v>
      </c>
      <c r="L223" s="62">
        <v>23.86</v>
      </c>
      <c r="M223" s="62">
        <v>20.32</v>
      </c>
      <c r="N223" s="62">
        <v>28.38</v>
      </c>
      <c r="O223" s="62">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1:66" ht="15" x14ac:dyDescent="0.25">
      <c r="K224" s="61" t="s">
        <v>494</v>
      </c>
      <c r="L224" s="62">
        <v>23.94</v>
      </c>
      <c r="M224" s="62">
        <v>20.079999999999998</v>
      </c>
      <c r="N224" s="62">
        <v>27.93</v>
      </c>
      <c r="O224" s="62">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1:66" ht="15" x14ac:dyDescent="0.25">
      <c r="K225" s="61" t="s">
        <v>495</v>
      </c>
      <c r="L225" s="62">
        <v>24.02</v>
      </c>
      <c r="M225" s="62">
        <v>19.809999999999999</v>
      </c>
      <c r="N225" s="62">
        <v>27.83</v>
      </c>
      <c r="O225" s="62">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1:66" ht="15" x14ac:dyDescent="0.25">
      <c r="K226" s="61" t="s">
        <v>496</v>
      </c>
      <c r="L226" s="62">
        <v>23.96</v>
      </c>
      <c r="M226" s="62">
        <v>19.86</v>
      </c>
      <c r="N226" s="62">
        <v>26.46</v>
      </c>
      <c r="O226" s="62">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1:66" ht="15" x14ac:dyDescent="0.25">
      <c r="K227" s="61" t="s">
        <v>497</v>
      </c>
      <c r="L227" s="62">
        <v>23.92</v>
      </c>
      <c r="M227" s="62">
        <v>19.760000000000002</v>
      </c>
      <c r="N227" s="62">
        <v>27.1</v>
      </c>
      <c r="O227" s="62">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1:66" ht="15" x14ac:dyDescent="0.25">
      <c r="K228" s="61" t="s">
        <v>498</v>
      </c>
      <c r="L228" s="62">
        <v>23.84</v>
      </c>
      <c r="M228" s="62">
        <v>19.75</v>
      </c>
      <c r="N228" s="62">
        <v>28.21</v>
      </c>
      <c r="O228" s="62">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1:66" ht="15" x14ac:dyDescent="0.25">
      <c r="K229" s="61" t="s">
        <v>499</v>
      </c>
      <c r="L229" s="62">
        <v>23.63</v>
      </c>
      <c r="M229" s="62">
        <v>19.829999999999998</v>
      </c>
      <c r="N229" s="62">
        <v>26.51</v>
      </c>
      <c r="O229" s="62">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1:66" ht="15" x14ac:dyDescent="0.25">
      <c r="K230" s="61" t="s">
        <v>500</v>
      </c>
      <c r="L230" s="62">
        <v>23.49</v>
      </c>
      <c r="M230" s="62">
        <v>19.89</v>
      </c>
      <c r="N230" s="62">
        <v>26.59</v>
      </c>
      <c r="O230" s="62">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1:66" ht="15" x14ac:dyDescent="0.25">
      <c r="K231" s="61" t="s">
        <v>501</v>
      </c>
      <c r="L231" s="62">
        <v>23.35</v>
      </c>
      <c r="M231" s="62">
        <v>19.88</v>
      </c>
      <c r="N231" s="62">
        <v>27.52</v>
      </c>
      <c r="O231" s="62">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1:66" ht="15" x14ac:dyDescent="0.25">
      <c r="K232" s="61" t="s">
        <v>502</v>
      </c>
      <c r="L232" s="62">
        <v>23.18</v>
      </c>
      <c r="M232" s="62">
        <v>19.96</v>
      </c>
      <c r="N232" s="62">
        <v>27.46</v>
      </c>
      <c r="O232" s="6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1:66" ht="15" x14ac:dyDescent="0.25">
      <c r="K233" s="61" t="s">
        <v>503</v>
      </c>
      <c r="L233" s="62">
        <v>23</v>
      </c>
      <c r="M233" s="62">
        <v>20</v>
      </c>
      <c r="N233" s="62">
        <v>27.32</v>
      </c>
      <c r="O233" s="62">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1:66" ht="15" x14ac:dyDescent="0.25">
      <c r="K234" s="61" t="s">
        <v>504</v>
      </c>
      <c r="L234" s="62">
        <v>22.93</v>
      </c>
      <c r="M234" s="62">
        <v>20.04</v>
      </c>
      <c r="N234" s="62">
        <v>29.73</v>
      </c>
      <c r="O234" s="62">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1:66" ht="15" x14ac:dyDescent="0.25">
      <c r="K235" s="61" t="s">
        <v>505</v>
      </c>
      <c r="L235" s="62">
        <v>22.91</v>
      </c>
      <c r="M235" s="62">
        <v>20.07</v>
      </c>
      <c r="N235" s="62">
        <v>28.15</v>
      </c>
      <c r="O235" s="62">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1:66" ht="15" x14ac:dyDescent="0.25">
      <c r="K236" s="61" t="s">
        <v>506</v>
      </c>
      <c r="L236" s="62">
        <v>22.88</v>
      </c>
      <c r="M236" s="62">
        <v>20.05</v>
      </c>
      <c r="N236" s="62">
        <v>28.35</v>
      </c>
      <c r="O236" s="62">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1:66" ht="15" x14ac:dyDescent="0.25">
      <c r="K237" s="61" t="s">
        <v>507</v>
      </c>
      <c r="L237" s="62">
        <v>22.92</v>
      </c>
      <c r="M237" s="62">
        <v>20.190000000000001</v>
      </c>
      <c r="N237" s="62">
        <v>27.85</v>
      </c>
      <c r="O237" s="62">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1:66" ht="15" x14ac:dyDescent="0.25">
      <c r="K238" s="61" t="s">
        <v>508</v>
      </c>
      <c r="L238" s="62">
        <v>22.86</v>
      </c>
      <c r="M238" s="62">
        <v>20.07</v>
      </c>
      <c r="N238" s="62">
        <v>27.67</v>
      </c>
      <c r="O238" s="62">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399"/>
  <sheetViews>
    <sheetView workbookViewId="0">
      <selection activeCell="D5" sqref="D5"/>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520</v>
      </c>
      <c r="G1" s="3" t="s">
        <v>59</v>
      </c>
      <c r="H1" s="85" t="str">
        <f>"Interest rate for "&amp;$B$3&amp;""&amp;" of "&amp;$B$8</f>
        <v>Interest rate for CRÉDITO PESSOAL CONSIGNADO PÚBLICO - PRÉ-FIXADO of BCO BRADESCO S.A.</v>
      </c>
      <c r="I1" s="86"/>
      <c r="J1" s="86"/>
      <c r="K1" s="86"/>
      <c r="L1" s="86"/>
      <c r="M1" s="86"/>
      <c r="N1" s="86"/>
    </row>
    <row r="3" spans="1:14" x14ac:dyDescent="0.2">
      <c r="A3" s="3" t="s">
        <v>276</v>
      </c>
      <c r="B3" s="18" t="s">
        <v>515</v>
      </c>
      <c r="D3" s="1" t="s">
        <v>518</v>
      </c>
      <c r="E3" s="63" t="s">
        <v>519</v>
      </c>
    </row>
    <row r="4" spans="1:14" x14ac:dyDescent="0.2">
      <c r="A4" s="3" t="s">
        <v>513</v>
      </c>
      <c r="B4" s="18" t="s">
        <v>514</v>
      </c>
      <c r="D4" s="17" t="str" cm="1">
        <f t="array" ref="D4">xlFOCUS_SCR_TaxasDeJurosDiario(B3,B4,B5,B6,B7,B8,D3:E3)</f>
        <v># Barra de fórmulas aberta</v>
      </c>
    </row>
    <row r="5" spans="1:14" x14ac:dyDescent="0.2">
      <c r="A5" s="3" t="s">
        <v>63</v>
      </c>
      <c r="B5" s="14">
        <v>40179</v>
      </c>
      <c r="D5" s="17"/>
    </row>
    <row r="6" spans="1:14" x14ac:dyDescent="0.2">
      <c r="A6" s="3" t="s">
        <v>64</v>
      </c>
      <c r="B6" s="14">
        <v>44561</v>
      </c>
      <c r="D6" s="17"/>
    </row>
    <row r="7" spans="1:14" x14ac:dyDescent="0.2">
      <c r="A7" s="3" t="s">
        <v>516</v>
      </c>
      <c r="B7" s="18"/>
      <c r="D7" s="17"/>
    </row>
    <row r="8" spans="1:14" x14ac:dyDescent="0.2">
      <c r="A8" s="3" t="s">
        <v>517</v>
      </c>
      <c r="B8" s="18" t="s">
        <v>176</v>
      </c>
      <c r="D8" s="17"/>
    </row>
    <row r="9" spans="1:14" x14ac:dyDescent="0.2">
      <c r="D9" s="17"/>
    </row>
    <row r="10" spans="1:14" x14ac:dyDescent="0.2">
      <c r="D10" s="17"/>
    </row>
    <row r="11" spans="1:14" x14ac:dyDescent="0.2">
      <c r="D11" s="17"/>
    </row>
    <row r="12" spans="1:14" x14ac:dyDescent="0.2">
      <c r="D12" s="17"/>
    </row>
    <row r="13" spans="1:14" x14ac:dyDescent="0.2">
      <c r="D13" s="17"/>
    </row>
    <row r="14" spans="1:14" x14ac:dyDescent="0.2">
      <c r="D14" s="17"/>
    </row>
    <row r="15" spans="1:14" x14ac:dyDescent="0.2">
      <c r="D15" s="17"/>
    </row>
    <row r="16" spans="1:14"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0" x14ac:dyDescent="0.2">
      <c r="D33" s="17"/>
    </row>
    <row r="34" spans="4:10" x14ac:dyDescent="0.2">
      <c r="D34" s="17"/>
    </row>
    <row r="35" spans="4:10" x14ac:dyDescent="0.2">
      <c r="D35" s="17"/>
    </row>
    <row r="36" spans="4:10" x14ac:dyDescent="0.2">
      <c r="D36" s="17"/>
    </row>
    <row r="37" spans="4:10" x14ac:dyDescent="0.2">
      <c r="D37" s="17"/>
    </row>
    <row r="38" spans="4:10" x14ac:dyDescent="0.2">
      <c r="D38" s="17"/>
    </row>
    <row r="39" spans="4:10" x14ac:dyDescent="0.2">
      <c r="D39" s="17"/>
      <c r="J39" s="17"/>
    </row>
    <row r="40" spans="4:10" x14ac:dyDescent="0.2">
      <c r="D40" s="17"/>
    </row>
    <row r="41" spans="4:10" x14ac:dyDescent="0.2">
      <c r="D41" s="17"/>
    </row>
    <row r="42" spans="4:10" x14ac:dyDescent="0.2">
      <c r="D42" s="17"/>
    </row>
    <row r="43" spans="4:10" x14ac:dyDescent="0.2">
      <c r="D43" s="17"/>
    </row>
    <row r="44" spans="4:10" x14ac:dyDescent="0.2">
      <c r="D44" s="17"/>
    </row>
    <row r="45" spans="4:10" x14ac:dyDescent="0.2">
      <c r="D45" s="17"/>
    </row>
    <row r="46" spans="4:10" x14ac:dyDescent="0.2">
      <c r="D46" s="17"/>
    </row>
    <row r="47" spans="4:10" x14ac:dyDescent="0.2">
      <c r="D47" s="17"/>
    </row>
    <row r="48" spans="4:10"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3A5C-70AD-4E9A-A9E1-5FBBF04D1BE9}">
  <sheetPr codeName="Planilha19"/>
  <dimension ref="A1:N399"/>
  <sheetViews>
    <sheetView workbookViewId="0">
      <selection activeCell="D5" sqref="D5"/>
    </sheetView>
  </sheetViews>
  <sheetFormatPr defaultRowHeight="12.75" x14ac:dyDescent="0.2"/>
  <cols>
    <col min="1" max="1" width="37.28515625" style="1" customWidth="1"/>
    <col min="2" max="2" width="64.7109375" style="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585</v>
      </c>
      <c r="G1" s="3" t="s">
        <v>59</v>
      </c>
      <c r="H1" s="85" t="str">
        <f>"Interest rate for "&amp;$B$3&amp;""&amp;" of "&amp;$B$7</f>
        <v>Interest rate for FINANCIAMENTO IMOBILIÁRIO COM TAXAS REGULADAS - PRÉ-FIXADO of CAIXA ECONOMICA FEDERAL</v>
      </c>
      <c r="I1" s="86"/>
      <c r="J1" s="86"/>
      <c r="K1" s="86"/>
      <c r="L1" s="86"/>
      <c r="M1" s="86"/>
      <c r="N1" s="86"/>
    </row>
    <row r="3" spans="1:14" ht="25.5" x14ac:dyDescent="0.2">
      <c r="A3" s="3" t="s">
        <v>276</v>
      </c>
      <c r="B3" s="82" t="s">
        <v>584</v>
      </c>
      <c r="D3" s="1" t="s">
        <v>582</v>
      </c>
      <c r="E3" s="63" t="s">
        <v>519</v>
      </c>
    </row>
    <row r="4" spans="1:14" x14ac:dyDescent="0.2">
      <c r="A4" s="3" t="s">
        <v>63</v>
      </c>
      <c r="B4" s="14"/>
      <c r="D4" s="17" t="str" cm="1">
        <f t="array" ref="D4">xlFOCUS_SCR_TaxasDeJurosMensal(B3,B4,B5,B6,B7,D3:E3)</f>
        <v># Barra de fórmulas aberta</v>
      </c>
    </row>
    <row r="5" spans="1:14" x14ac:dyDescent="0.2">
      <c r="A5" s="3" t="s">
        <v>64</v>
      </c>
      <c r="B5" s="14"/>
      <c r="D5" s="17"/>
    </row>
    <row r="6" spans="1:14" x14ac:dyDescent="0.2">
      <c r="A6" s="3" t="s">
        <v>516</v>
      </c>
      <c r="B6" s="18"/>
      <c r="D6" s="17"/>
    </row>
    <row r="7" spans="1:14" x14ac:dyDescent="0.2">
      <c r="A7" s="3" t="s">
        <v>517</v>
      </c>
      <c r="B7" s="18" t="s">
        <v>583</v>
      </c>
      <c r="D7" s="17"/>
    </row>
    <row r="8" spans="1:14" x14ac:dyDescent="0.2">
      <c r="D8" s="17"/>
    </row>
    <row r="9" spans="1:14" x14ac:dyDescent="0.2">
      <c r="D9" s="17"/>
    </row>
    <row r="10" spans="1:14" x14ac:dyDescent="0.2">
      <c r="D10" s="17"/>
    </row>
    <row r="11" spans="1:14" x14ac:dyDescent="0.2">
      <c r="D11" s="17"/>
    </row>
    <row r="12" spans="1:14" x14ac:dyDescent="0.2">
      <c r="D12" s="17"/>
    </row>
    <row r="13" spans="1:14" x14ac:dyDescent="0.2">
      <c r="D13" s="17"/>
    </row>
    <row r="14" spans="1:14" x14ac:dyDescent="0.2">
      <c r="D14" s="17"/>
    </row>
    <row r="15" spans="1:14" x14ac:dyDescent="0.2">
      <c r="D15" s="17"/>
    </row>
    <row r="16" spans="1:14"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0" x14ac:dyDescent="0.2">
      <c r="D33" s="17"/>
    </row>
    <row r="34" spans="4:10" x14ac:dyDescent="0.2">
      <c r="D34" s="17"/>
    </row>
    <row r="35" spans="4:10" x14ac:dyDescent="0.2">
      <c r="D35" s="17"/>
    </row>
    <row r="36" spans="4:10" x14ac:dyDescent="0.2">
      <c r="D36" s="17"/>
    </row>
    <row r="37" spans="4:10" x14ac:dyDescent="0.2">
      <c r="D37" s="17"/>
    </row>
    <row r="38" spans="4:10" x14ac:dyDescent="0.2">
      <c r="D38" s="17"/>
    </row>
    <row r="39" spans="4:10" x14ac:dyDescent="0.2">
      <c r="D39" s="17"/>
      <c r="J39" s="17"/>
    </row>
    <row r="40" spans="4:10" x14ac:dyDescent="0.2">
      <c r="D40" s="17"/>
    </row>
    <row r="41" spans="4:10" x14ac:dyDescent="0.2">
      <c r="D41" s="17"/>
    </row>
    <row r="42" spans="4:10" x14ac:dyDescent="0.2">
      <c r="D42" s="17"/>
    </row>
    <row r="43" spans="4:10" x14ac:dyDescent="0.2">
      <c r="D43" s="17"/>
    </row>
    <row r="44" spans="4:10" x14ac:dyDescent="0.2">
      <c r="D44" s="17"/>
    </row>
    <row r="45" spans="4:10" x14ac:dyDescent="0.2">
      <c r="D45" s="17"/>
    </row>
    <row r="46" spans="4:10" x14ac:dyDescent="0.2">
      <c r="D46" s="17"/>
    </row>
    <row r="47" spans="4:10" x14ac:dyDescent="0.2">
      <c r="D47" s="17"/>
    </row>
    <row r="48" spans="4:10"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94F5-E85F-4A63-B9AB-B6237604727C}">
  <sheetPr codeName="Planilha21"/>
  <dimension ref="A1:P507"/>
  <sheetViews>
    <sheetView workbookViewId="0">
      <selection activeCell="D6" sqref="D6"/>
    </sheetView>
  </sheetViews>
  <sheetFormatPr defaultRowHeight="12.75" x14ac:dyDescent="0.2"/>
  <cols>
    <col min="1" max="1" width="37.28515625" style="1" customWidth="1"/>
    <col min="2" max="2" width="24.7109375" style="1" customWidth="1"/>
    <col min="3" max="3" width="10.140625" style="1" bestFit="1" customWidth="1"/>
    <col min="4" max="4" width="12" style="1" customWidth="1"/>
    <col min="5" max="5" width="6.5703125" style="1" bestFit="1" customWidth="1"/>
    <col min="6"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586</v>
      </c>
      <c r="I1" s="3" t="s">
        <v>59</v>
      </c>
      <c r="J1" s="85" t="str">
        <f>"Indicator values for Real Estate series "&amp;$B$4</f>
        <v>Indicator values for Real Estate series imoveis_area_total_rj</v>
      </c>
      <c r="K1" s="86"/>
      <c r="L1" s="86"/>
      <c r="M1" s="86"/>
      <c r="N1" s="86"/>
      <c r="O1" s="86"/>
      <c r="P1" s="86"/>
    </row>
    <row r="3" spans="1:16" x14ac:dyDescent="0.2">
      <c r="A3" s="3" t="s">
        <v>512</v>
      </c>
    </row>
    <row r="4" spans="1:16" x14ac:dyDescent="0.2">
      <c r="A4" s="3" t="s">
        <v>60</v>
      </c>
      <c r="B4" s="82" t="s">
        <v>587</v>
      </c>
      <c r="D4" s="1" t="s">
        <v>68</v>
      </c>
      <c r="E4" s="1" t="s">
        <v>112</v>
      </c>
    </row>
    <row r="5" spans="1:16" x14ac:dyDescent="0.2">
      <c r="A5" s="3" t="s">
        <v>63</v>
      </c>
      <c r="B5" s="14"/>
      <c r="D5" s="17" t="str" cm="1">
        <f t="array" ref="D5">xlFOCUS_MercadoImobiliario($B$4,B5,B6,B7,B8)</f>
        <v># Barra de fórmulas aberta</v>
      </c>
      <c r="E5" s="11"/>
    </row>
    <row r="6" spans="1:16" x14ac:dyDescent="0.2">
      <c r="A6" s="3" t="s">
        <v>64</v>
      </c>
      <c r="B6" s="14"/>
      <c r="D6" s="17"/>
      <c r="E6" s="11"/>
    </row>
    <row r="7" spans="1:16" x14ac:dyDescent="0.2">
      <c r="A7" s="3" t="s">
        <v>148</v>
      </c>
      <c r="B7" s="18"/>
      <c r="D7" s="17"/>
      <c r="E7" s="11"/>
    </row>
    <row r="8" spans="1:16" x14ac:dyDescent="0.2">
      <c r="A8" s="3" t="s">
        <v>147</v>
      </c>
      <c r="B8" s="18">
        <v>2</v>
      </c>
      <c r="D8" s="17"/>
      <c r="E8" s="11"/>
    </row>
    <row r="9" spans="1:16" x14ac:dyDescent="0.2">
      <c r="D9" s="17"/>
      <c r="E9" s="11"/>
    </row>
    <row r="10" spans="1:16" x14ac:dyDescent="0.2">
      <c r="D10" s="17"/>
      <c r="E10" s="11"/>
    </row>
    <row r="11" spans="1:16" x14ac:dyDescent="0.2">
      <c r="D11" s="17"/>
      <c r="E11" s="11"/>
    </row>
    <row r="12" spans="1:16" x14ac:dyDescent="0.2">
      <c r="D12" s="17"/>
      <c r="E12" s="11"/>
    </row>
    <row r="13" spans="1:16" x14ac:dyDescent="0.2">
      <c r="D13" s="17"/>
      <c r="E13" s="11"/>
    </row>
    <row r="14" spans="1:16" x14ac:dyDescent="0.2">
      <c r="D14" s="17"/>
      <c r="E14" s="11"/>
    </row>
    <row r="15" spans="1:16" x14ac:dyDescent="0.2">
      <c r="D15" s="17"/>
      <c r="E15" s="11"/>
    </row>
    <row r="16" spans="1:16" x14ac:dyDescent="0.2">
      <c r="D16" s="17"/>
      <c r="E16" s="11"/>
    </row>
    <row r="17" spans="4:5" x14ac:dyDescent="0.2">
      <c r="D17" s="17"/>
      <c r="E17" s="11"/>
    </row>
    <row r="18" spans="4:5" x14ac:dyDescent="0.2">
      <c r="D18" s="17"/>
      <c r="E18" s="11"/>
    </row>
    <row r="19" spans="4:5" x14ac:dyDescent="0.2">
      <c r="D19" s="17"/>
      <c r="E19" s="11"/>
    </row>
    <row r="20" spans="4:5" x14ac:dyDescent="0.2">
      <c r="D20" s="17"/>
      <c r="E20" s="11"/>
    </row>
    <row r="21" spans="4:5" x14ac:dyDescent="0.2">
      <c r="D21" s="17"/>
      <c r="E21" s="11"/>
    </row>
    <row r="22" spans="4:5" x14ac:dyDescent="0.2">
      <c r="D22" s="17"/>
      <c r="E22" s="11"/>
    </row>
    <row r="23" spans="4:5" x14ac:dyDescent="0.2">
      <c r="D23" s="17"/>
      <c r="E23" s="11"/>
    </row>
    <row r="24" spans="4:5" x14ac:dyDescent="0.2">
      <c r="D24" s="17"/>
      <c r="E24" s="11"/>
    </row>
    <row r="25" spans="4:5" x14ac:dyDescent="0.2">
      <c r="D25" s="17"/>
      <c r="E25" s="11"/>
    </row>
    <row r="26" spans="4:5" x14ac:dyDescent="0.2">
      <c r="D26" s="17"/>
      <c r="E26" s="11"/>
    </row>
    <row r="27" spans="4:5" x14ac:dyDescent="0.2">
      <c r="D27" s="17"/>
      <c r="E27" s="11"/>
    </row>
    <row r="28" spans="4:5" x14ac:dyDescent="0.2">
      <c r="D28" s="17"/>
      <c r="E28" s="11"/>
    </row>
    <row r="29" spans="4:5" x14ac:dyDescent="0.2">
      <c r="D29" s="17"/>
      <c r="E29" s="11"/>
    </row>
    <row r="30" spans="4:5" x14ac:dyDescent="0.2">
      <c r="D30" s="17"/>
      <c r="E30" s="11"/>
    </row>
    <row r="31" spans="4:5" x14ac:dyDescent="0.2">
      <c r="D31" s="17"/>
      <c r="E31" s="11"/>
    </row>
    <row r="32" spans="4:5" x14ac:dyDescent="0.2">
      <c r="D32" s="17"/>
      <c r="E32" s="11"/>
    </row>
    <row r="33" spans="4:12" x14ac:dyDescent="0.2">
      <c r="D33" s="17"/>
      <c r="E33" s="11"/>
    </row>
    <row r="34" spans="4:12" x14ac:dyDescent="0.2">
      <c r="D34" s="17"/>
      <c r="E34" s="11"/>
    </row>
    <row r="35" spans="4:12" x14ac:dyDescent="0.2">
      <c r="D35" s="17"/>
      <c r="E35" s="11"/>
    </row>
    <row r="36" spans="4:12" x14ac:dyDescent="0.2">
      <c r="D36" s="17"/>
      <c r="E36" s="11"/>
    </row>
    <row r="37" spans="4:12" x14ac:dyDescent="0.2">
      <c r="D37" s="17"/>
      <c r="E37" s="11"/>
    </row>
    <row r="38" spans="4:12" x14ac:dyDescent="0.2">
      <c r="D38" s="17"/>
      <c r="E38" s="11"/>
    </row>
    <row r="39" spans="4:12" x14ac:dyDescent="0.2">
      <c r="D39" s="17"/>
      <c r="E39" s="11"/>
    </row>
    <row r="40" spans="4:12" x14ac:dyDescent="0.2">
      <c r="D40" s="17"/>
      <c r="E40" s="11"/>
      <c r="L40" s="17"/>
    </row>
    <row r="41" spans="4:12" x14ac:dyDescent="0.2">
      <c r="D41" s="17"/>
      <c r="E41" s="11"/>
    </row>
    <row r="42" spans="4:12" x14ac:dyDescent="0.2">
      <c r="D42" s="17"/>
      <c r="E42" s="11"/>
    </row>
    <row r="43" spans="4:12" x14ac:dyDescent="0.2">
      <c r="D43" s="17"/>
      <c r="E43" s="11"/>
    </row>
    <row r="44" spans="4:12" x14ac:dyDescent="0.2">
      <c r="D44" s="17"/>
      <c r="E44" s="11"/>
    </row>
    <row r="45" spans="4:12" x14ac:dyDescent="0.2">
      <c r="D45" s="17"/>
      <c r="E45" s="11"/>
    </row>
    <row r="46" spans="4:12" x14ac:dyDescent="0.2">
      <c r="D46" s="17"/>
      <c r="E46" s="11"/>
    </row>
    <row r="47" spans="4:12" x14ac:dyDescent="0.2">
      <c r="D47" s="17"/>
      <c r="E47" s="11"/>
    </row>
    <row r="48" spans="4:12" x14ac:dyDescent="0.2">
      <c r="D48" s="17"/>
      <c r="E48" s="11"/>
    </row>
    <row r="49" spans="4:5" x14ac:dyDescent="0.2">
      <c r="D49" s="17"/>
      <c r="E49" s="11"/>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F6" sqref="F6"/>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146</v>
      </c>
    </row>
    <row r="3" spans="1:33"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556</v>
      </c>
      <c r="E4" s="1" t="s">
        <v>554</v>
      </c>
      <c r="F4" s="1" t="s">
        <v>12</v>
      </c>
      <c r="G4" s="1" t="s">
        <v>76</v>
      </c>
      <c r="H4" s="1" t="s">
        <v>550</v>
      </c>
      <c r="I4" s="1" t="s">
        <v>551</v>
      </c>
      <c r="J4" s="1" t="s">
        <v>552</v>
      </c>
      <c r="K4" s="1" t="s">
        <v>553</v>
      </c>
      <c r="L4" s="1" t="s">
        <v>546</v>
      </c>
      <c r="M4" s="1" t="s">
        <v>547</v>
      </c>
      <c r="N4" s="1" t="s">
        <v>548</v>
      </c>
      <c r="O4" s="1" t="s">
        <v>549</v>
      </c>
      <c r="Q4" s="1" t="s">
        <v>12</v>
      </c>
      <c r="R4" s="1" t="s">
        <v>76</v>
      </c>
      <c r="S4" s="1" t="s">
        <v>550</v>
      </c>
      <c r="T4" s="1" t="s">
        <v>551</v>
      </c>
      <c r="V4" s="1" t="s">
        <v>546</v>
      </c>
      <c r="W4" s="1" t="s">
        <v>547</v>
      </c>
      <c r="Y4" s="1" t="s">
        <v>12</v>
      </c>
      <c r="Z4" s="1" t="s">
        <v>76</v>
      </c>
      <c r="AA4" s="1" t="s">
        <v>550</v>
      </c>
      <c r="AB4" s="1" t="s">
        <v>551</v>
      </c>
      <c r="AC4" s="1" t="s">
        <v>552</v>
      </c>
      <c r="AD4" s="1" t="s">
        <v>546</v>
      </c>
      <c r="AE4" s="1" t="s">
        <v>547</v>
      </c>
      <c r="AF4" s="1" t="s">
        <v>548</v>
      </c>
    </row>
    <row r="5" spans="1:33" x14ac:dyDescent="0.2">
      <c r="A5" s="3" t="s">
        <v>63</v>
      </c>
      <c r="B5" s="14">
        <v>41275</v>
      </c>
      <c r="D5" s="1">
        <f t="shared" ref="D5:D51" si="0">IF(E5&gt;=$B$26,-99999999,0)</f>
        <v>-99999999</v>
      </c>
      <c r="E5" s="1">
        <f t="shared" ref="E5:E51" si="1">IF(F5&gt;=$B$26,99999999,0)</f>
        <v>99999999</v>
      </c>
      <c r="F5" s="17" t="str" cm="1">
        <f t="array" ref="F5">xlFOCUS_SGS($B$4,$B$5,$B$6,$B$7,$B$8)</f>
        <v># Barra de fórmulas aberta</v>
      </c>
      <c r="G5" s="11"/>
      <c r="H5" s="11" t="str" cm="1">
        <f t="array" ref="H5">xlFOCUS_ExpectativasMensais("IPCA",,$F5,WORKDAY(EDATE($F5,-2),-1,Holidays),WORKDAY(EDATE($F5,-2),-1,Holidays),0,"Mediana")</f>
        <v># Barra de fórmulas aberta</v>
      </c>
      <c r="I5" s="11" t="str" cm="1">
        <f t="array" ref="I5">xlFOCUS_ExpectativasMensais("IPCA",,$F5,WORKDAY(EDATE($F5,-1),-1,Holidays),WORKDAY(EDATE($F5,-1),-1,Holidays),0,"Mediana")</f>
        <v># Barra de fórmulas aberta</v>
      </c>
      <c r="J5" s="11" t="str" cm="1">
        <f t="array" ref="J5">xlFOCUS_ExpectativasMensais("IPCA",,$F5,WORKDAY(EDATE($F5,0),-1,Holidays),WORKDAY(EDATE($F5,0),-1,Holidays),0,"Mediana")</f>
        <v># Barra de fórmulas aberta</v>
      </c>
      <c r="K5" s="11" t="str" cm="1">
        <f t="array" ref="K5">xlFOCUS_ExpectativasMensais("IPCA",,$F5,WORKDAY(EDATE($F5,1),-1,Holidays),WORKDAY(EDATE($F5,1),-1,Holidays),0,"Mediana")</f>
        <v># Barra de fórmulas aberta</v>
      </c>
      <c r="L5" s="11" t="e">
        <f t="shared" ref="L5:L51" si="2">$G5-H5</f>
        <v>#VALUE!</v>
      </c>
      <c r="M5" s="11" t="e">
        <f t="shared" ref="M5:M51" si="3">$G5-I5</f>
        <v>#VALUE!</v>
      </c>
      <c r="N5" s="11" t="e">
        <f t="shared" ref="N5:N51" si="4">$G5-J5</f>
        <v>#VALUE!</v>
      </c>
      <c r="O5" s="11" t="e">
        <f t="shared" ref="O5:O51" si="5">$G5-K5</f>
        <v>#VALUE!</v>
      </c>
      <c r="Q5" s="17" t="str" cm="1">
        <f t="array" ref="Q5">xlFOCUS_SGS($B$12,$B$13,$B$14,$B$15,$B$16)</f>
        <v># Barra de fórmulas aberta</v>
      </c>
      <c r="R5" s="11"/>
      <c r="S5" s="11" t="str" cm="1">
        <f t="array" ref="S5">xlFOCUS_ExpectativasMensais("Câmbio",,$Q5,WORKDAY(EDATE($Q5,-2),-1,Holidays),WORKDAY(EDATE($Q5,-2),-1,Holidays),0,"Mediana")</f>
        <v># Barra de fórmulas aberta</v>
      </c>
      <c r="T5" s="11" t="str" cm="1">
        <f t="array" ref="T5">xlFOCUS_ExpectativasMensais("Câmbio",,$Q5,WORKDAY(EDATE($Q5,-1),-1,Holidays),WORKDAY(EDATE($Q5,-1),-1,Holidays),0,"Mediana")</f>
        <v># Barra de fórmulas aberta</v>
      </c>
      <c r="V5" s="11" t="e">
        <f t="shared" ref="V5:V51" si="6">($R5-S5)/S5*100</f>
        <v>#VALUE!</v>
      </c>
      <c r="W5" s="11" t="e">
        <f t="shared" ref="W5:W51" si="7">($R5-T5)/T5*100</f>
        <v>#VALUE!</v>
      </c>
      <c r="X5" s="11"/>
      <c r="Y5" s="17" t="str" cm="1">
        <f t="array" ref="Y5">xlFOCUS_SGS($B$19,$B$20,$B$21,$B$22,$B$23)</f>
        <v># Barra de fórmulas aberta</v>
      </c>
      <c r="Z5" s="11"/>
      <c r="AA5" s="11" t="str" cm="1">
        <f t="array" ref="AA5">xlFOCUS_ExpectativasMensais("IGP-M",,$Y5,WORKDAY(EDATE($Y5,-2),-1,Holidays),WORKDAY(EDATE($Y5,-2),-1,Holidays),0,"Mediana")</f>
        <v># Barra de fórmulas aberta</v>
      </c>
      <c r="AB5" s="11" t="str" cm="1">
        <f t="array" ref="AB5">xlFOCUS_ExpectativasMensais("IGP-M",,$Y5,WORKDAY(EDATE($Y5,-1),-1,Holidays),WORKDAY(EDATE($Y5,-1),-1,Holidays),0,"Mediana")</f>
        <v># Barra de fórmulas aberta</v>
      </c>
      <c r="AC5" s="11" t="str" cm="1">
        <f t="array" ref="AC5">xlFOCUS_ExpectativasMensais("IGP-M",,$Y5,WORKDAY(EDATE($Y5,0),-1,Holidays),WORKDAY(EDATE($Y5,0),-1,Holidays),0,"Mediana")</f>
        <v># Barra de fórmulas aberta</v>
      </c>
      <c r="AD5" s="11" t="e">
        <f t="shared" ref="AD5:AD51" si="8">$Z5-AA5</f>
        <v>#VALUE!</v>
      </c>
      <c r="AE5" s="11" t="e">
        <f t="shared" ref="AE5:AE51" si="9">$Z5-AB5</f>
        <v>#VALUE!</v>
      </c>
      <c r="AF5" s="11" t="e">
        <f t="shared" ref="AF5:AF51" si="10">$Z5-AC5</f>
        <v>#VALUE!</v>
      </c>
      <c r="AG5" s="11"/>
    </row>
    <row r="6" spans="1:33" x14ac:dyDescent="0.2">
      <c r="A6" s="3" t="s">
        <v>64</v>
      </c>
      <c r="B6" s="14">
        <v>42675</v>
      </c>
      <c r="D6" s="1">
        <f t="shared" si="0"/>
        <v>0</v>
      </c>
      <c r="E6" s="1">
        <f t="shared" si="1"/>
        <v>0</v>
      </c>
      <c r="F6" s="17"/>
      <c r="G6" s="11"/>
      <c r="H6" s="11" t="str" cm="1">
        <f t="array" ref="H6">xlFOCUS_ExpectativasMensais("IPCA",,$F6,WORKDAY(EDATE($F6,-2),-1,Holidays),WORKDAY(EDATE($F6,-2),-1,Holidays),0,"Mediana")</f>
        <v># Barra de fórmulas aberta</v>
      </c>
      <c r="I6" s="11" t="str" cm="1">
        <f t="array" ref="I6">xlFOCUS_ExpectativasMensais("IPCA",,$F6,WORKDAY(EDATE($F6,-1),-1,Holidays),WORKDAY(EDATE($F6,-1),-1,Holidays),0,"Mediana")</f>
        <v># Barra de fórmulas aberta</v>
      </c>
      <c r="J6" s="11" t="str" cm="1">
        <f t="array" ref="J6">xlFOCUS_ExpectativasMensais("IPCA",,$F6,WORKDAY(EDATE($F6,0),-1,Holidays),WORKDAY(EDATE($F6,0),-1,Holidays),0,"Mediana")</f>
        <v># Barra de fórmulas aberta</v>
      </c>
      <c r="K6" s="11" t="str" cm="1">
        <f t="array" ref="K6">xlFOCUS_ExpectativasMensais("IPCA",,$F6,WORKDAY(EDATE($F6,1),-1,Holidays),WORKDAY(EDATE($F6,1),-1,Holidays),0,"Mediana")</f>
        <v># Barra de fórmulas aberta</v>
      </c>
      <c r="L6" s="11" t="e">
        <f t="shared" si="2"/>
        <v>#VALUE!</v>
      </c>
      <c r="M6" s="11" t="e">
        <f t="shared" si="3"/>
        <v>#VALUE!</v>
      </c>
      <c r="N6" s="11" t="e">
        <f t="shared" si="4"/>
        <v>#VALUE!</v>
      </c>
      <c r="O6" s="11" t="e">
        <f t="shared" si="5"/>
        <v>#VALUE!</v>
      </c>
      <c r="Q6" s="17"/>
      <c r="R6" s="11"/>
      <c r="S6" s="11" t="str" cm="1">
        <f t="array" ref="S6">xlFOCUS_ExpectativasMensais("Câmbio",,$Q6,WORKDAY(EDATE($Q6,-2),-1,Holidays),WORKDAY(EDATE($Q6,-2),-1,Holidays),0,"Mediana")</f>
        <v># Barra de fórmulas aberta</v>
      </c>
      <c r="T6" s="11" t="str" cm="1">
        <f t="array" ref="T6">xlFOCUS_ExpectativasMensais("Câmbio",,$Q6,WORKDAY(EDATE($Q6,-1),-1,Holidays),WORKDAY(EDATE($Q6,-1),-1,Holidays),0,"Mediana")</f>
        <v># Barra de fórmulas aberta</v>
      </c>
      <c r="V6" s="11" t="e">
        <f t="shared" si="6"/>
        <v>#VALUE!</v>
      </c>
      <c r="W6" s="11" t="e">
        <f t="shared" si="7"/>
        <v>#VALUE!</v>
      </c>
      <c r="X6" s="11"/>
      <c r="Y6" s="17"/>
      <c r="Z6" s="11"/>
      <c r="AA6" s="11" t="str" cm="1">
        <f t="array" ref="AA6">xlFOCUS_ExpectativasMensais("IGP-M",,$Y6,WORKDAY(EDATE($Y6,-2),-1,Holidays),WORKDAY(EDATE($Y6,-2),-1,Holidays),0,"Mediana")</f>
        <v># Barra de fórmulas aberta</v>
      </c>
      <c r="AB6" s="11" t="str" cm="1">
        <f t="array" ref="AB6">xlFOCUS_ExpectativasMensais("IGP-M",,$Y6,WORKDAY(EDATE($Y6,-1),-1,Holidays),WORKDAY(EDATE($Y6,-1),-1,Holidays),0,"Mediana")</f>
        <v># Barra de fórmulas aberta</v>
      </c>
      <c r="AC6" s="11" t="str" cm="1">
        <f t="array" ref="AC6">xlFOCUS_ExpectativasMensais("IGP-M",,$Y6,WORKDAY(EDATE($Y6,0),-1,Holidays),WORKDAY(EDATE($Y6,0),-1,Holidays),0,"Mediana")</f>
        <v># Barra de fórmulas aberta</v>
      </c>
      <c r="AD6" s="11" t="e">
        <f t="shared" si="8"/>
        <v>#VALUE!</v>
      </c>
      <c r="AE6" s="11" t="e">
        <f t="shared" si="9"/>
        <v>#VALUE!</v>
      </c>
      <c r="AF6" s="11" t="e">
        <f t="shared" si="10"/>
        <v>#VALUE!</v>
      </c>
      <c r="AG6" s="11"/>
    </row>
    <row r="7" spans="1:33" x14ac:dyDescent="0.2">
      <c r="A7" s="3" t="s">
        <v>148</v>
      </c>
      <c r="B7" s="18"/>
      <c r="D7" s="1">
        <f t="shared" si="0"/>
        <v>0</v>
      </c>
      <c r="E7" s="1">
        <f t="shared" si="1"/>
        <v>0</v>
      </c>
      <c r="F7" s="17"/>
      <c r="G7" s="11"/>
      <c r="H7" s="11" t="str" cm="1">
        <f t="array" ref="H7">xlFOCUS_ExpectativasMensais("IPCA",,$F7,WORKDAY(EDATE($F7,-2),-1,Holidays),WORKDAY(EDATE($F7,-2),-1,Holidays),0,"Mediana")</f>
        <v># Barra de fórmulas aberta</v>
      </c>
      <c r="I7" s="11" t="str" cm="1">
        <f t="array" ref="I7">xlFOCUS_ExpectativasMensais("IPCA",,$F7,WORKDAY(EDATE($F7,-1),-1,Holidays),WORKDAY(EDATE($F7,-1),-1,Holidays),0,"Mediana")</f>
        <v># Barra de fórmulas aberta</v>
      </c>
      <c r="J7" s="11" t="str" cm="1">
        <f t="array" ref="J7">xlFOCUS_ExpectativasMensais("IPCA",,$F7,WORKDAY(EDATE($F7,0),-1,Holidays),WORKDAY(EDATE($F7,0),-1,Holidays),0,"Mediana")</f>
        <v># Barra de fórmulas aberta</v>
      </c>
      <c r="K7" s="11" t="str" cm="1">
        <f t="array" ref="K7">xlFOCUS_ExpectativasMensais("IPCA",,$F7,WORKDAY(EDATE($F7,1),-1,Holidays),WORKDAY(EDATE($F7,1),-1,Holidays),0,"Mediana")</f>
        <v># Barra de fórmulas aberta</v>
      </c>
      <c r="L7" s="11" t="e">
        <f t="shared" si="2"/>
        <v>#VALUE!</v>
      </c>
      <c r="M7" s="11" t="e">
        <f t="shared" si="3"/>
        <v>#VALUE!</v>
      </c>
      <c r="N7" s="11" t="e">
        <f t="shared" si="4"/>
        <v>#VALUE!</v>
      </c>
      <c r="O7" s="11" t="e">
        <f t="shared" si="5"/>
        <v>#VALUE!</v>
      </c>
      <c r="Q7" s="17"/>
      <c r="R7" s="11"/>
      <c r="S7" s="11" t="str" cm="1">
        <f t="array" ref="S7">xlFOCUS_ExpectativasMensais("Câmbio",,$Q7,WORKDAY(EDATE($Q7,-2),-1,Holidays),WORKDAY(EDATE($Q7,-2),-1,Holidays),0,"Mediana")</f>
        <v># Barra de fórmulas aberta</v>
      </c>
      <c r="T7" s="11" t="str" cm="1">
        <f t="array" ref="T7">xlFOCUS_ExpectativasMensais("Câmbio",,$Q7,WORKDAY(EDATE($Q7,-1),-1,Holidays),WORKDAY(EDATE($Q7,-1),-1,Holidays),0,"Mediana")</f>
        <v># Barra de fórmulas aberta</v>
      </c>
      <c r="V7" s="11" t="e">
        <f t="shared" si="6"/>
        <v>#VALUE!</v>
      </c>
      <c r="W7" s="11" t="e">
        <f t="shared" si="7"/>
        <v>#VALUE!</v>
      </c>
      <c r="X7" s="11"/>
      <c r="Y7" s="17"/>
      <c r="Z7" s="11"/>
      <c r="AA7" s="11" t="str" cm="1">
        <f t="array" ref="AA7">xlFOCUS_ExpectativasMensais("IGP-M",,$Y7,WORKDAY(EDATE($Y7,-2),-1,Holidays),WORKDAY(EDATE($Y7,-2),-1,Holidays),0,"Mediana")</f>
        <v># Barra de fórmulas aberta</v>
      </c>
      <c r="AB7" s="11" t="str" cm="1">
        <f t="array" ref="AB7">xlFOCUS_ExpectativasMensais("IGP-M",,$Y7,WORKDAY(EDATE($Y7,-1),-1,Holidays),WORKDAY(EDATE($Y7,-1),-1,Holidays),0,"Mediana")</f>
        <v># Barra de fórmulas aberta</v>
      </c>
      <c r="AC7" s="11" t="str" cm="1">
        <f t="array" ref="AC7">xlFOCUS_ExpectativasMensais("IGP-M",,$Y7,WORKDAY(EDATE($Y7,0),-1,Holidays),WORKDAY(EDATE($Y7,0),-1,Holidays),0,"Mediana")</f>
        <v># Barra de fórmulas aberta</v>
      </c>
      <c r="AD7" s="11" t="e">
        <f t="shared" si="8"/>
        <v>#VALUE!</v>
      </c>
      <c r="AE7" s="11" t="e">
        <f t="shared" si="9"/>
        <v>#VALUE!</v>
      </c>
      <c r="AF7" s="11" t="e">
        <f t="shared" si="10"/>
        <v>#VALUE!</v>
      </c>
      <c r="AG7" s="11"/>
    </row>
    <row r="8" spans="1:33" x14ac:dyDescent="0.2">
      <c r="A8" s="3" t="s">
        <v>147</v>
      </c>
      <c r="B8" s="18">
        <v>2</v>
      </c>
      <c r="D8" s="1">
        <f t="shared" si="0"/>
        <v>0</v>
      </c>
      <c r="E8" s="1">
        <f t="shared" si="1"/>
        <v>0</v>
      </c>
      <c r="F8" s="17"/>
      <c r="G8" s="11"/>
      <c r="H8" s="11" t="str" cm="1">
        <f t="array" ref="H8">xlFOCUS_ExpectativasMensais("IPCA",,$F8,WORKDAY(EDATE($F8,-2),-1,Holidays),WORKDAY(EDATE($F8,-2),-1,Holidays),0,"Mediana")</f>
        <v># Barra de fórmulas aberta</v>
      </c>
      <c r="I8" s="11" t="str" cm="1">
        <f t="array" ref="I8">xlFOCUS_ExpectativasMensais("IPCA",,$F8,WORKDAY(EDATE($F8,-1),-1,Holidays),WORKDAY(EDATE($F8,-1),-1,Holidays),0,"Mediana")</f>
        <v># Barra de fórmulas aberta</v>
      </c>
      <c r="J8" s="11" t="str" cm="1">
        <f t="array" ref="J8">xlFOCUS_ExpectativasMensais("IPCA",,$F8,WORKDAY(EDATE($F8,0),-1,Holidays),WORKDAY(EDATE($F8,0),-1,Holidays),0,"Mediana")</f>
        <v># Barra de fórmulas aberta</v>
      </c>
      <c r="K8" s="11" t="str" cm="1">
        <f t="array" ref="K8">xlFOCUS_ExpectativasMensais("IPCA",,$F8,WORKDAY(EDATE($F8,1),-1,Holidays),WORKDAY(EDATE($F8,1),-1,Holidays),0,"Mediana")</f>
        <v># Barra de fórmulas aberta</v>
      </c>
      <c r="L8" s="11" t="e">
        <f t="shared" si="2"/>
        <v>#VALUE!</v>
      </c>
      <c r="M8" s="11" t="e">
        <f t="shared" si="3"/>
        <v>#VALUE!</v>
      </c>
      <c r="N8" s="11" t="e">
        <f t="shared" si="4"/>
        <v>#VALUE!</v>
      </c>
      <c r="O8" s="11" t="e">
        <f t="shared" si="5"/>
        <v>#VALUE!</v>
      </c>
      <c r="Q8" s="17"/>
      <c r="R8" s="11"/>
      <c r="S8" s="11" t="str" cm="1">
        <f t="array" ref="S8">xlFOCUS_ExpectativasMensais("Câmbio",,$Q8,WORKDAY(EDATE($Q8,-2),-1,Holidays),WORKDAY(EDATE($Q8,-2),-1,Holidays),0,"Mediana")</f>
        <v># Barra de fórmulas aberta</v>
      </c>
      <c r="T8" s="11" t="str" cm="1">
        <f t="array" ref="T8">xlFOCUS_ExpectativasMensais("Câmbio",,$Q8,WORKDAY(EDATE($Q8,-1),-1,Holidays),WORKDAY(EDATE($Q8,-1),-1,Holidays),0,"Mediana")</f>
        <v># Barra de fórmulas aberta</v>
      </c>
      <c r="V8" s="11" t="e">
        <f t="shared" si="6"/>
        <v>#VALUE!</v>
      </c>
      <c r="W8" s="11" t="e">
        <f t="shared" si="7"/>
        <v>#VALUE!</v>
      </c>
      <c r="X8" s="11"/>
      <c r="Y8" s="17"/>
      <c r="Z8" s="11"/>
      <c r="AA8" s="11" t="str" cm="1">
        <f t="array" ref="AA8">xlFOCUS_ExpectativasMensais("IGP-M",,$Y8,WORKDAY(EDATE($Y8,-2),-1,Holidays),WORKDAY(EDATE($Y8,-2),-1,Holidays),0,"Mediana")</f>
        <v># Barra de fórmulas aberta</v>
      </c>
      <c r="AB8" s="11" t="str" cm="1">
        <f t="array" ref="AB8">xlFOCUS_ExpectativasMensais("IGP-M",,$Y8,WORKDAY(EDATE($Y8,-1),-1,Holidays),WORKDAY(EDATE($Y8,-1),-1,Holidays),0,"Mediana")</f>
        <v># Barra de fórmulas aberta</v>
      </c>
      <c r="AC8" s="11" t="str" cm="1">
        <f t="array" ref="AC8">xlFOCUS_ExpectativasMensais("IGP-M",,$Y8,WORKDAY(EDATE($Y8,0),-1,Holidays),WORKDAY(EDATE($Y8,0),-1,Holidays),0,"Mediana")</f>
        <v># Barra de fórmulas aberta</v>
      </c>
      <c r="AD8" s="11" t="e">
        <f t="shared" si="8"/>
        <v>#VALUE!</v>
      </c>
      <c r="AE8" s="11" t="e">
        <f t="shared" si="9"/>
        <v>#VALUE!</v>
      </c>
      <c r="AF8" s="11" t="e">
        <f t="shared" si="10"/>
        <v>#VALUE!</v>
      </c>
      <c r="AG8" s="11"/>
    </row>
    <row r="9" spans="1:33" x14ac:dyDescent="0.2">
      <c r="D9" s="1">
        <f t="shared" si="0"/>
        <v>0</v>
      </c>
      <c r="E9" s="1">
        <f t="shared" si="1"/>
        <v>0</v>
      </c>
      <c r="F9" s="17"/>
      <c r="G9" s="11"/>
      <c r="H9" s="11" t="str" cm="1">
        <f t="array" ref="H9">xlFOCUS_ExpectativasMensais("IPCA",,$F9,WORKDAY(EDATE($F9,-2),-1,Holidays),WORKDAY(EDATE($F9,-2),-1,Holidays),0,"Mediana")</f>
        <v># Barra de fórmulas aberta</v>
      </c>
      <c r="I9" s="11" t="str" cm="1">
        <f t="array" ref="I9">xlFOCUS_ExpectativasMensais("IPCA",,$F9,WORKDAY(EDATE($F9,-1),-1,Holidays),WORKDAY(EDATE($F9,-1),-1,Holidays),0,"Mediana")</f>
        <v># Barra de fórmulas aberta</v>
      </c>
      <c r="J9" s="11" t="str" cm="1">
        <f t="array" ref="J9">xlFOCUS_ExpectativasMensais("IPCA",,$F9,WORKDAY(EDATE($F9,0),-1,Holidays),WORKDAY(EDATE($F9,0),-1,Holidays),0,"Mediana")</f>
        <v># Barra de fórmulas aberta</v>
      </c>
      <c r="K9" s="11" t="str" cm="1">
        <f t="array" ref="K9">xlFOCUS_ExpectativasMensais("IPCA",,$F9,WORKDAY(EDATE($F9,1),-1,Holidays),WORKDAY(EDATE($F9,1),-1,Holidays),0,"Mediana")</f>
        <v># Barra de fórmulas aberta</v>
      </c>
      <c r="L9" s="11" t="e">
        <f t="shared" si="2"/>
        <v>#VALUE!</v>
      </c>
      <c r="M9" s="11" t="e">
        <f t="shared" si="3"/>
        <v>#VALUE!</v>
      </c>
      <c r="N9" s="11" t="e">
        <f t="shared" si="4"/>
        <v>#VALUE!</v>
      </c>
      <c r="O9" s="11" t="e">
        <f t="shared" si="5"/>
        <v>#VALUE!</v>
      </c>
      <c r="Q9" s="17"/>
      <c r="R9" s="11"/>
      <c r="S9" s="11" t="str" cm="1">
        <f t="array" ref="S9">xlFOCUS_ExpectativasMensais("Câmbio",,$Q9,WORKDAY(EDATE($Q9,-2),-1,Holidays),WORKDAY(EDATE($Q9,-2),-1,Holidays),0,"Mediana")</f>
        <v># Barra de fórmulas aberta</v>
      </c>
      <c r="T9" s="11" t="str" cm="1">
        <f t="array" ref="T9">xlFOCUS_ExpectativasMensais("Câmbio",,$Q9,WORKDAY(EDATE($Q9,-1),-1,Holidays),WORKDAY(EDATE($Q9,-1),-1,Holidays),0,"Mediana")</f>
        <v># Barra de fórmulas aberta</v>
      </c>
      <c r="V9" s="11" t="e">
        <f t="shared" si="6"/>
        <v>#VALUE!</v>
      </c>
      <c r="W9" s="11" t="e">
        <f t="shared" si="7"/>
        <v>#VALUE!</v>
      </c>
      <c r="X9" s="11"/>
      <c r="Y9" s="17"/>
      <c r="Z9" s="11"/>
      <c r="AA9" s="11" t="str" cm="1">
        <f t="array" ref="AA9">xlFOCUS_ExpectativasMensais("IGP-M",,$Y9,WORKDAY(EDATE($Y9,-2),-1,Holidays),WORKDAY(EDATE($Y9,-2),-1,Holidays),0,"Mediana")</f>
        <v># Barra de fórmulas aberta</v>
      </c>
      <c r="AB9" s="11" t="str" cm="1">
        <f t="array" ref="AB9">xlFOCUS_ExpectativasMensais("IGP-M",,$Y9,WORKDAY(EDATE($Y9,-1),-1,Holidays),WORKDAY(EDATE($Y9,-1),-1,Holidays),0,"Mediana")</f>
        <v># Barra de fórmulas aberta</v>
      </c>
      <c r="AC9" s="11" t="str" cm="1">
        <f t="array" ref="AC9">xlFOCUS_ExpectativasMensais("IGP-M",,$Y9,WORKDAY(EDATE($Y9,0),-1,Holidays),WORKDAY(EDATE($Y9,0),-1,Holidays),0,"Mediana")</f>
        <v># Barra de fórmulas aberta</v>
      </c>
      <c r="AD9" s="11" t="e">
        <f t="shared" si="8"/>
        <v>#VALUE!</v>
      </c>
      <c r="AE9" s="11" t="e">
        <f t="shared" si="9"/>
        <v>#VALUE!</v>
      </c>
      <c r="AF9" s="11" t="e">
        <f t="shared" si="10"/>
        <v>#VALUE!</v>
      </c>
      <c r="AG9" s="11"/>
    </row>
    <row r="10" spans="1:33" x14ac:dyDescent="0.2">
      <c r="D10" s="1">
        <f t="shared" si="0"/>
        <v>0</v>
      </c>
      <c r="E10" s="1">
        <f t="shared" si="1"/>
        <v>0</v>
      </c>
      <c r="F10" s="17"/>
      <c r="G10" s="11"/>
      <c r="H10" s="11" t="str" cm="1">
        <f t="array" ref="H10">xlFOCUS_ExpectativasMensais("IPCA",,$F10,WORKDAY(EDATE($F10,-2),-1,Holidays),WORKDAY(EDATE($F10,-2),-1,Holidays),0,"Mediana")</f>
        <v># Barra de fórmulas aberta</v>
      </c>
      <c r="I10" s="11" t="str" cm="1">
        <f t="array" ref="I10">xlFOCUS_ExpectativasMensais("IPCA",,$F10,WORKDAY(EDATE($F10,-1),-1,Holidays),WORKDAY(EDATE($F10,-1),-1,Holidays),0,"Mediana")</f>
        <v># Barra de fórmulas aberta</v>
      </c>
      <c r="J10" s="11" t="str" cm="1">
        <f t="array" ref="J10">xlFOCUS_ExpectativasMensais("IPCA",,$F10,WORKDAY(EDATE($F10,0),-1,Holidays),WORKDAY(EDATE($F10,0),-1,Holidays),0,"Mediana")</f>
        <v># Barra de fórmulas aberta</v>
      </c>
      <c r="K10" s="11" t="str" cm="1">
        <f t="array" ref="K10">xlFOCUS_ExpectativasMensais("IPCA",,$F10,WORKDAY(EDATE($F10,1),-1,Holidays),WORKDAY(EDATE($F10,1),-1,Holidays),0,"Mediana")</f>
        <v># Barra de fórmulas aberta</v>
      </c>
      <c r="L10" s="11" t="e">
        <f t="shared" si="2"/>
        <v>#VALUE!</v>
      </c>
      <c r="M10" s="11" t="e">
        <f t="shared" si="3"/>
        <v>#VALUE!</v>
      </c>
      <c r="N10" s="11" t="e">
        <f t="shared" si="4"/>
        <v>#VALUE!</v>
      </c>
      <c r="O10" s="11" t="e">
        <f t="shared" si="5"/>
        <v>#VALUE!</v>
      </c>
      <c r="Q10" s="17"/>
      <c r="R10" s="11"/>
      <c r="S10" s="11" t="str" cm="1">
        <f t="array" ref="S10">xlFOCUS_ExpectativasMensais("Câmbio",,$Q10,WORKDAY(EDATE($Q10,-2),-1,Holidays),WORKDAY(EDATE($Q10,-2),-1,Holidays),0,"Mediana")</f>
        <v># Barra de fórmulas aberta</v>
      </c>
      <c r="T10" s="11" t="str" cm="1">
        <f t="array" ref="T10">xlFOCUS_ExpectativasMensais("Câmbio",,$Q10,WORKDAY(EDATE($Q10,-1),-1,Holidays),WORKDAY(EDATE($Q10,-1),-1,Holidays),0,"Mediana")</f>
        <v># Barra de fórmulas aberta</v>
      </c>
      <c r="V10" s="11" t="e">
        <f t="shared" si="6"/>
        <v>#VALUE!</v>
      </c>
      <c r="W10" s="11" t="e">
        <f t="shared" si="7"/>
        <v>#VALUE!</v>
      </c>
      <c r="X10" s="11"/>
      <c r="Y10" s="17"/>
      <c r="Z10" s="11"/>
      <c r="AA10" s="11" t="str" cm="1">
        <f t="array" ref="AA10">xlFOCUS_ExpectativasMensais("IGP-M",,$Y10,WORKDAY(EDATE($Y10,-2),-1,Holidays),WORKDAY(EDATE($Y10,-2),-1,Holidays),0,"Mediana")</f>
        <v># Barra de fórmulas aberta</v>
      </c>
      <c r="AB10" s="11" t="str" cm="1">
        <f t="array" ref="AB10">xlFOCUS_ExpectativasMensais("IGP-M",,$Y10,WORKDAY(EDATE($Y10,-1),-1,Holidays),WORKDAY(EDATE($Y10,-1),-1,Holidays),0,"Mediana")</f>
        <v># Barra de fórmulas aberta</v>
      </c>
      <c r="AC10" s="11" t="str" cm="1">
        <f t="array" ref="AC10">xlFOCUS_ExpectativasMensais("IGP-M",,$Y10,WORKDAY(EDATE($Y10,0),-1,Holidays),WORKDAY(EDATE($Y10,0),-1,Holidays),0,"Mediana")</f>
        <v># Barra de fórmulas aberta</v>
      </c>
      <c r="AD10" s="11" t="e">
        <f t="shared" si="8"/>
        <v>#VALUE!</v>
      </c>
      <c r="AE10" s="11" t="e">
        <f t="shared" si="9"/>
        <v>#VALUE!</v>
      </c>
      <c r="AF10" s="11" t="e">
        <f t="shared" si="10"/>
        <v>#VALUE!</v>
      </c>
      <c r="AG10" s="11"/>
    </row>
    <row r="11" spans="1:33" x14ac:dyDescent="0.2">
      <c r="A11" s="3" t="s">
        <v>512</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 t="shared" si="0"/>
        <v>0</v>
      </c>
      <c r="E11" s="1">
        <f t="shared" si="1"/>
        <v>0</v>
      </c>
      <c r="F11" s="17"/>
      <c r="G11" s="11"/>
      <c r="H11" s="11" t="str" cm="1">
        <f t="array" ref="H11">xlFOCUS_ExpectativasMensais("IPCA",,$F11,WORKDAY(EDATE($F11,-2),-1,Holidays),WORKDAY(EDATE($F11,-2),-1,Holidays),0,"Mediana")</f>
        <v># Barra de fórmulas aberta</v>
      </c>
      <c r="I11" s="11" t="str" cm="1">
        <f t="array" ref="I11">xlFOCUS_ExpectativasMensais("IPCA",,$F11,WORKDAY(EDATE($F11,-1),-1,Holidays),WORKDAY(EDATE($F11,-1),-1,Holidays),0,"Mediana")</f>
        <v># Barra de fórmulas aberta</v>
      </c>
      <c r="J11" s="11" t="str" cm="1">
        <f t="array" ref="J11">xlFOCUS_ExpectativasMensais("IPCA",,$F11,WORKDAY(EDATE($F11,0),-1,Holidays),WORKDAY(EDATE($F11,0),-1,Holidays),0,"Mediana")</f>
        <v># Barra de fórmulas aberta</v>
      </c>
      <c r="K11" s="11" t="str" cm="1">
        <f t="array" ref="K11">xlFOCUS_ExpectativasMensais("IPCA",,$F11,WORKDAY(EDATE($F11,1),-1,Holidays),WORKDAY(EDATE($F11,1),-1,Holidays),0,"Mediana")</f>
        <v># Barra de fórmulas aberta</v>
      </c>
      <c r="L11" s="11" t="e">
        <f t="shared" si="2"/>
        <v>#VALUE!</v>
      </c>
      <c r="M11" s="11" t="e">
        <f t="shared" si="3"/>
        <v>#VALUE!</v>
      </c>
      <c r="N11" s="11" t="e">
        <f t="shared" si="4"/>
        <v>#VALUE!</v>
      </c>
      <c r="O11" s="11" t="e">
        <f t="shared" si="5"/>
        <v>#VALUE!</v>
      </c>
      <c r="Q11" s="17"/>
      <c r="R11" s="11"/>
      <c r="S11" s="11" t="str" cm="1">
        <f t="array" ref="S11">xlFOCUS_ExpectativasMensais("Câmbio",,$Q11,WORKDAY(EDATE($Q11,-2),-1,Holidays),WORKDAY(EDATE($Q11,-2),-1,Holidays),0,"Mediana")</f>
        <v># Barra de fórmulas aberta</v>
      </c>
      <c r="T11" s="11" t="str" cm="1">
        <f t="array" ref="T11">xlFOCUS_ExpectativasMensais("Câmbio",,$Q11,WORKDAY(EDATE($Q11,-1),-1,Holidays),WORKDAY(EDATE($Q11,-1),-1,Holidays),0,"Mediana")</f>
        <v># Barra de fórmulas aberta</v>
      </c>
      <c r="V11" s="11" t="e">
        <f t="shared" si="6"/>
        <v>#VALUE!</v>
      </c>
      <c r="W11" s="11" t="e">
        <f t="shared" si="7"/>
        <v>#VALUE!</v>
      </c>
      <c r="X11" s="11"/>
      <c r="Y11" s="17"/>
      <c r="Z11" s="11"/>
      <c r="AA11" s="11" t="str" cm="1">
        <f t="array" ref="AA11">xlFOCUS_ExpectativasMensais("IGP-M",,$Y11,WORKDAY(EDATE($Y11,-2),-1,Holidays),WORKDAY(EDATE($Y11,-2),-1,Holidays),0,"Mediana")</f>
        <v># Barra de fórmulas aberta</v>
      </c>
      <c r="AB11" s="11" t="str" cm="1">
        <f t="array" ref="AB11">xlFOCUS_ExpectativasMensais("IGP-M",,$Y11,WORKDAY(EDATE($Y11,-1),-1,Holidays),WORKDAY(EDATE($Y11,-1),-1,Holidays),0,"Mediana")</f>
        <v># Barra de fórmulas aberta</v>
      </c>
      <c r="AC11" s="11" t="str" cm="1">
        <f t="array" ref="AC11">xlFOCUS_ExpectativasMensais("IGP-M",,$Y11,WORKDAY(EDATE($Y11,0),-1,Holidays),WORKDAY(EDATE($Y11,0),-1,Holidays),0,"Mediana")</f>
        <v># Barra de fórmulas aberta</v>
      </c>
      <c r="AD11" s="11" t="e">
        <f t="shared" si="8"/>
        <v>#VALUE!</v>
      </c>
      <c r="AE11" s="11" t="e">
        <f t="shared" si="9"/>
        <v>#VALUE!</v>
      </c>
      <c r="AF11" s="11" t="e">
        <f t="shared" si="10"/>
        <v>#VALUE!</v>
      </c>
      <c r="AG11" s="11"/>
    </row>
    <row r="12" spans="1:33" x14ac:dyDescent="0.2">
      <c r="A12" s="3" t="s">
        <v>60</v>
      </c>
      <c r="B12" s="18">
        <v>3698</v>
      </c>
      <c r="D12" s="1">
        <f t="shared" si="0"/>
        <v>0</v>
      </c>
      <c r="E12" s="1">
        <f t="shared" si="1"/>
        <v>0</v>
      </c>
      <c r="F12" s="17"/>
      <c r="G12" s="11"/>
      <c r="H12" s="11" t="str" cm="1">
        <f t="array" ref="H12">xlFOCUS_ExpectativasMensais("IPCA",,$F12,WORKDAY(EDATE($F12,-2),-1,Holidays),WORKDAY(EDATE($F12,-2),-1,Holidays),0,"Mediana")</f>
        <v># Barra de fórmulas aberta</v>
      </c>
      <c r="I12" s="11" t="str" cm="1">
        <f t="array" ref="I12">xlFOCUS_ExpectativasMensais("IPCA",,$F12,WORKDAY(EDATE($F12,-1),-1,Holidays),WORKDAY(EDATE($F12,-1),-1,Holidays),0,"Mediana")</f>
        <v># Barra de fórmulas aberta</v>
      </c>
      <c r="J12" s="11" t="str" cm="1">
        <f t="array" ref="J12">xlFOCUS_ExpectativasMensais("IPCA",,$F12,WORKDAY(EDATE($F12,0),-1,Holidays),WORKDAY(EDATE($F12,0),-1,Holidays),0,"Mediana")</f>
        <v># Barra de fórmulas aberta</v>
      </c>
      <c r="K12" s="11" t="str" cm="1">
        <f t="array" ref="K12">xlFOCUS_ExpectativasMensais("IPCA",,$F12,WORKDAY(EDATE($F12,1),-1,Holidays),WORKDAY(EDATE($F12,1),-1,Holidays),0,"Mediana")</f>
        <v># Barra de fórmulas aberta</v>
      </c>
      <c r="L12" s="11" t="e">
        <f t="shared" si="2"/>
        <v>#VALUE!</v>
      </c>
      <c r="M12" s="11" t="e">
        <f t="shared" si="3"/>
        <v>#VALUE!</v>
      </c>
      <c r="N12" s="11" t="e">
        <f t="shared" si="4"/>
        <v>#VALUE!</v>
      </c>
      <c r="O12" s="11" t="e">
        <f t="shared" si="5"/>
        <v>#VALUE!</v>
      </c>
      <c r="Q12" s="17"/>
      <c r="R12" s="11"/>
      <c r="S12" s="11" t="str" cm="1">
        <f t="array" ref="S12">xlFOCUS_ExpectativasMensais("Câmbio",,$Q12,WORKDAY(EDATE($Q12,-2),-1,Holidays),WORKDAY(EDATE($Q12,-2),-1,Holidays),0,"Mediana")</f>
        <v># Barra de fórmulas aberta</v>
      </c>
      <c r="T12" s="11" t="str" cm="1">
        <f t="array" ref="T12">xlFOCUS_ExpectativasMensais("Câmbio",,$Q12,WORKDAY(EDATE($Q12,-1),-1,Holidays),WORKDAY(EDATE($Q12,-1),-1,Holidays),0,"Mediana")</f>
        <v># Barra de fórmulas aberta</v>
      </c>
      <c r="V12" s="11" t="e">
        <f t="shared" si="6"/>
        <v>#VALUE!</v>
      </c>
      <c r="W12" s="11" t="e">
        <f t="shared" si="7"/>
        <v>#VALUE!</v>
      </c>
      <c r="X12" s="11"/>
      <c r="Y12" s="17"/>
      <c r="Z12" s="11"/>
      <c r="AA12" s="11" t="str" cm="1">
        <f t="array" ref="AA12">xlFOCUS_ExpectativasMensais("IGP-M",,$Y12,WORKDAY(EDATE($Y12,-2),-1,Holidays),WORKDAY(EDATE($Y12,-2),-1,Holidays),0,"Mediana")</f>
        <v># Barra de fórmulas aberta</v>
      </c>
      <c r="AB12" s="11" t="str" cm="1">
        <f t="array" ref="AB12">xlFOCUS_ExpectativasMensais("IGP-M",,$Y12,WORKDAY(EDATE($Y12,-1),-1,Holidays),WORKDAY(EDATE($Y12,-1),-1,Holidays),0,"Mediana")</f>
        <v># Barra de fórmulas aberta</v>
      </c>
      <c r="AC12" s="11" t="str" cm="1">
        <f t="array" ref="AC12">xlFOCUS_ExpectativasMensais("IGP-M",,$Y12,WORKDAY(EDATE($Y12,0),-1,Holidays),WORKDAY(EDATE($Y12,0),-1,Holidays),0,"Mediana")</f>
        <v># Barra de fórmulas aberta</v>
      </c>
      <c r="AD12" s="11" t="e">
        <f t="shared" si="8"/>
        <v>#VALUE!</v>
      </c>
      <c r="AE12" s="11" t="e">
        <f t="shared" si="9"/>
        <v>#VALUE!</v>
      </c>
      <c r="AF12" s="11" t="e">
        <f t="shared" si="10"/>
        <v>#VALUE!</v>
      </c>
      <c r="AG12" s="11"/>
    </row>
    <row r="13" spans="1:33" x14ac:dyDescent="0.2">
      <c r="A13" s="3" t="s">
        <v>63</v>
      </c>
      <c r="B13" s="14">
        <v>41275</v>
      </c>
      <c r="D13" s="1">
        <f t="shared" si="0"/>
        <v>0</v>
      </c>
      <c r="E13" s="1">
        <f t="shared" si="1"/>
        <v>0</v>
      </c>
      <c r="F13" s="17"/>
      <c r="G13" s="11"/>
      <c r="H13" s="11" t="str" cm="1">
        <f t="array" ref="H13">xlFOCUS_ExpectativasMensais("IPCA",,$F13,WORKDAY(EDATE($F13,-2),-1,Holidays),WORKDAY(EDATE($F13,-2),-1,Holidays),0,"Mediana")</f>
        <v># Barra de fórmulas aberta</v>
      </c>
      <c r="I13" s="11" t="str" cm="1">
        <f t="array" ref="I13">xlFOCUS_ExpectativasMensais("IPCA",,$F13,WORKDAY(EDATE($F13,-1),-1,Holidays),WORKDAY(EDATE($F13,-1),-1,Holidays),0,"Mediana")</f>
        <v># Barra de fórmulas aberta</v>
      </c>
      <c r="J13" s="11" t="str" cm="1">
        <f t="array" ref="J13">xlFOCUS_ExpectativasMensais("IPCA",,$F13,WORKDAY(EDATE($F13,0),-1,Holidays),WORKDAY(EDATE($F13,0),-1,Holidays),0,"Mediana")</f>
        <v># Barra de fórmulas aberta</v>
      </c>
      <c r="K13" s="11" t="str" cm="1">
        <f t="array" ref="K13">xlFOCUS_ExpectativasMensais("IPCA",,$F13,WORKDAY(EDATE($F13,1),-1,Holidays),WORKDAY(EDATE($F13,1),-1,Holidays),0,"Mediana")</f>
        <v># Barra de fórmulas aberta</v>
      </c>
      <c r="L13" s="11" t="e">
        <f t="shared" si="2"/>
        <v>#VALUE!</v>
      </c>
      <c r="M13" s="11" t="e">
        <f t="shared" si="3"/>
        <v>#VALUE!</v>
      </c>
      <c r="N13" s="11" t="e">
        <f t="shared" si="4"/>
        <v>#VALUE!</v>
      </c>
      <c r="O13" s="11" t="e">
        <f t="shared" si="5"/>
        <v>#VALUE!</v>
      </c>
      <c r="Q13" s="17"/>
      <c r="R13" s="11"/>
      <c r="S13" s="11" t="str" cm="1">
        <f t="array" ref="S13">xlFOCUS_ExpectativasMensais("Câmbio",,$Q13,WORKDAY(EDATE($Q13,-2),-1,Holidays),WORKDAY(EDATE($Q13,-2),-1,Holidays),0,"Mediana")</f>
        <v># Barra de fórmulas aberta</v>
      </c>
      <c r="T13" s="11" t="str" cm="1">
        <f t="array" ref="T13">xlFOCUS_ExpectativasMensais("Câmbio",,$Q13,WORKDAY(EDATE($Q13,-1),-1,Holidays),WORKDAY(EDATE($Q13,-1),-1,Holidays),0,"Mediana")</f>
        <v># Barra de fórmulas aberta</v>
      </c>
      <c r="V13" s="11" t="e">
        <f t="shared" si="6"/>
        <v>#VALUE!</v>
      </c>
      <c r="W13" s="11" t="e">
        <f t="shared" si="7"/>
        <v>#VALUE!</v>
      </c>
      <c r="X13" s="11"/>
      <c r="Y13" s="17"/>
      <c r="Z13" s="11"/>
      <c r="AA13" s="11" t="str" cm="1">
        <f t="array" ref="AA13">xlFOCUS_ExpectativasMensais("IGP-M",,$Y13,WORKDAY(EDATE($Y13,-2),-1,Holidays),WORKDAY(EDATE($Y13,-2),-1,Holidays),0,"Mediana")</f>
        <v># Barra de fórmulas aberta</v>
      </c>
      <c r="AB13" s="11" t="str" cm="1">
        <f t="array" ref="AB13">xlFOCUS_ExpectativasMensais("IGP-M",,$Y13,WORKDAY(EDATE($Y13,-1),-1,Holidays),WORKDAY(EDATE($Y13,-1),-1,Holidays),0,"Mediana")</f>
        <v># Barra de fórmulas aberta</v>
      </c>
      <c r="AC13" s="11" t="str" cm="1">
        <f t="array" ref="AC13">xlFOCUS_ExpectativasMensais("IGP-M",,$Y13,WORKDAY(EDATE($Y13,0),-1,Holidays),WORKDAY(EDATE($Y13,0),-1,Holidays),0,"Mediana")</f>
        <v># Barra de fórmulas aberta</v>
      </c>
      <c r="AD13" s="11" t="e">
        <f t="shared" si="8"/>
        <v>#VALUE!</v>
      </c>
      <c r="AE13" s="11" t="e">
        <f t="shared" si="9"/>
        <v>#VALUE!</v>
      </c>
      <c r="AF13" s="11" t="e">
        <f t="shared" si="10"/>
        <v>#VALUE!</v>
      </c>
      <c r="AG13" s="11"/>
    </row>
    <row r="14" spans="1:33" x14ac:dyDescent="0.2">
      <c r="A14" s="3" t="s">
        <v>64</v>
      </c>
      <c r="B14" s="14">
        <v>42675</v>
      </c>
      <c r="D14" s="1">
        <f t="shared" si="0"/>
        <v>0</v>
      </c>
      <c r="E14" s="1">
        <f t="shared" si="1"/>
        <v>0</v>
      </c>
      <c r="F14" s="17"/>
      <c r="G14" s="11"/>
      <c r="H14" s="11" t="str" cm="1">
        <f t="array" ref="H14">xlFOCUS_ExpectativasMensais("IPCA",,$F14,WORKDAY(EDATE($F14,-2),-1,Holidays),WORKDAY(EDATE($F14,-2),-1,Holidays),0,"Mediana")</f>
        <v># Barra de fórmulas aberta</v>
      </c>
      <c r="I14" s="11" t="str" cm="1">
        <f t="array" ref="I14">xlFOCUS_ExpectativasMensais("IPCA",,$F14,WORKDAY(EDATE($F14,-1),-1,Holidays),WORKDAY(EDATE($F14,-1),-1,Holidays),0,"Mediana")</f>
        <v># Barra de fórmulas aberta</v>
      </c>
      <c r="J14" s="11" t="str" cm="1">
        <f t="array" ref="J14">xlFOCUS_ExpectativasMensais("IPCA",,$F14,WORKDAY(EDATE($F14,0),-1,Holidays),WORKDAY(EDATE($F14,0),-1,Holidays),0,"Mediana")</f>
        <v># Barra de fórmulas aberta</v>
      </c>
      <c r="K14" s="11" t="str" cm="1">
        <f t="array" ref="K14">xlFOCUS_ExpectativasMensais("IPCA",,$F14,WORKDAY(EDATE($F14,1),-1,Holidays),WORKDAY(EDATE($F14,1),-1,Holidays),0,"Mediana")</f>
        <v># Barra de fórmulas aberta</v>
      </c>
      <c r="L14" s="11" t="e">
        <f t="shared" si="2"/>
        <v>#VALUE!</v>
      </c>
      <c r="M14" s="11" t="e">
        <f t="shared" si="3"/>
        <v>#VALUE!</v>
      </c>
      <c r="N14" s="11" t="e">
        <f t="shared" si="4"/>
        <v>#VALUE!</v>
      </c>
      <c r="O14" s="11" t="e">
        <f t="shared" si="5"/>
        <v>#VALUE!</v>
      </c>
      <c r="Q14" s="17"/>
      <c r="R14" s="11"/>
      <c r="S14" s="11" t="str" cm="1">
        <f t="array" ref="S14">xlFOCUS_ExpectativasMensais("Câmbio",,$Q14,WORKDAY(EDATE($Q14,-2),-1,Holidays),WORKDAY(EDATE($Q14,-2),-1,Holidays),0,"Mediana")</f>
        <v># Barra de fórmulas aberta</v>
      </c>
      <c r="T14" s="11" t="str" cm="1">
        <f t="array" ref="T14">xlFOCUS_ExpectativasMensais("Câmbio",,$Q14,WORKDAY(EDATE($Q14,-1),-1,Holidays),WORKDAY(EDATE($Q14,-1),-1,Holidays),0,"Mediana")</f>
        <v># Barra de fórmulas aberta</v>
      </c>
      <c r="V14" s="11" t="e">
        <f t="shared" si="6"/>
        <v>#VALUE!</v>
      </c>
      <c r="W14" s="11" t="e">
        <f t="shared" si="7"/>
        <v>#VALUE!</v>
      </c>
      <c r="X14" s="11"/>
      <c r="Y14" s="17"/>
      <c r="Z14" s="11"/>
      <c r="AA14" s="11" t="str" cm="1">
        <f t="array" ref="AA14">xlFOCUS_ExpectativasMensais("IGP-M",,$Y14,WORKDAY(EDATE($Y14,-2),-1,Holidays),WORKDAY(EDATE($Y14,-2),-1,Holidays),0,"Mediana")</f>
        <v># Barra de fórmulas aberta</v>
      </c>
      <c r="AB14" s="11" t="str" cm="1">
        <f t="array" ref="AB14">xlFOCUS_ExpectativasMensais("IGP-M",,$Y14,WORKDAY(EDATE($Y14,-1),-1,Holidays),WORKDAY(EDATE($Y14,-1),-1,Holidays),0,"Mediana")</f>
        <v># Barra de fórmulas aberta</v>
      </c>
      <c r="AC14" s="11" t="str" cm="1">
        <f t="array" ref="AC14">xlFOCUS_ExpectativasMensais("IGP-M",,$Y14,WORKDAY(EDATE($Y14,0),-1,Holidays),WORKDAY(EDATE($Y14,0),-1,Holidays),0,"Mediana")</f>
        <v># Barra de fórmulas aberta</v>
      </c>
      <c r="AD14" s="11" t="e">
        <f t="shared" si="8"/>
        <v>#VALUE!</v>
      </c>
      <c r="AE14" s="11" t="e">
        <f t="shared" si="9"/>
        <v>#VALUE!</v>
      </c>
      <c r="AF14" s="11" t="e">
        <f t="shared" si="10"/>
        <v>#VALUE!</v>
      </c>
      <c r="AG14" s="11"/>
    </row>
    <row r="15" spans="1:33" x14ac:dyDescent="0.2">
      <c r="A15" s="3" t="s">
        <v>148</v>
      </c>
      <c r="B15" s="18"/>
      <c r="D15" s="1">
        <f t="shared" si="0"/>
        <v>0</v>
      </c>
      <c r="E15" s="1">
        <f t="shared" si="1"/>
        <v>0</v>
      </c>
      <c r="F15" s="17"/>
      <c r="G15" s="11"/>
      <c r="H15" s="11" t="str" cm="1">
        <f t="array" ref="H15">xlFOCUS_ExpectativasMensais("IPCA",,$F15,WORKDAY(EDATE($F15,-2),-1,Holidays),WORKDAY(EDATE($F15,-2),-1,Holidays),0,"Mediana")</f>
        <v># Barra de fórmulas aberta</v>
      </c>
      <c r="I15" s="11" t="str" cm="1">
        <f t="array" ref="I15">xlFOCUS_ExpectativasMensais("IPCA",,$F15,WORKDAY(EDATE($F15,-1),-1,Holidays),WORKDAY(EDATE($F15,-1),-1,Holidays),0,"Mediana")</f>
        <v># Barra de fórmulas aberta</v>
      </c>
      <c r="J15" s="11" t="str" cm="1">
        <f t="array" ref="J15">xlFOCUS_ExpectativasMensais("IPCA",,$F15,WORKDAY(EDATE($F15,0),-1,Holidays),WORKDAY(EDATE($F15,0),-1,Holidays),0,"Mediana")</f>
        <v># Barra de fórmulas aberta</v>
      </c>
      <c r="K15" s="11" t="str" cm="1">
        <f t="array" ref="K15">xlFOCUS_ExpectativasMensais("IPCA",,$F15,WORKDAY(EDATE($F15,1),-1,Holidays),WORKDAY(EDATE($F15,1),-1,Holidays),0,"Mediana")</f>
        <v># Barra de fórmulas aberta</v>
      </c>
      <c r="L15" s="11" t="e">
        <f t="shared" si="2"/>
        <v>#VALUE!</v>
      </c>
      <c r="M15" s="11" t="e">
        <f t="shared" si="3"/>
        <v>#VALUE!</v>
      </c>
      <c r="N15" s="11" t="e">
        <f t="shared" si="4"/>
        <v>#VALUE!</v>
      </c>
      <c r="O15" s="11" t="e">
        <f t="shared" si="5"/>
        <v>#VALUE!</v>
      </c>
      <c r="Q15" s="17"/>
      <c r="R15" s="11"/>
      <c r="S15" s="11" t="str" cm="1">
        <f t="array" ref="S15">xlFOCUS_ExpectativasMensais("Câmbio",,$Q15,WORKDAY(EDATE($Q15,-2),-1,Holidays),WORKDAY(EDATE($Q15,-2),-1,Holidays),0,"Mediana")</f>
        <v># Barra de fórmulas aberta</v>
      </c>
      <c r="T15" s="11" t="str" cm="1">
        <f t="array" ref="T15">xlFOCUS_ExpectativasMensais("Câmbio",,$Q15,WORKDAY(EDATE($Q15,-1),-1,Holidays),WORKDAY(EDATE($Q15,-1),-1,Holidays),0,"Mediana")</f>
        <v># Barra de fórmulas aberta</v>
      </c>
      <c r="V15" s="11" t="e">
        <f t="shared" si="6"/>
        <v>#VALUE!</v>
      </c>
      <c r="W15" s="11" t="e">
        <f t="shared" si="7"/>
        <v>#VALUE!</v>
      </c>
      <c r="X15" s="11"/>
      <c r="Y15" s="17"/>
      <c r="Z15" s="11"/>
      <c r="AA15" s="11" t="str" cm="1">
        <f t="array" ref="AA15">xlFOCUS_ExpectativasMensais("IGP-M",,$Y15,WORKDAY(EDATE($Y15,-2),-1,Holidays),WORKDAY(EDATE($Y15,-2),-1,Holidays),0,"Mediana")</f>
        <v># Barra de fórmulas aberta</v>
      </c>
      <c r="AB15" s="11" t="str" cm="1">
        <f t="array" ref="AB15">xlFOCUS_ExpectativasMensais("IGP-M",,$Y15,WORKDAY(EDATE($Y15,-1),-1,Holidays),WORKDAY(EDATE($Y15,-1),-1,Holidays),0,"Mediana")</f>
        <v># Barra de fórmulas aberta</v>
      </c>
      <c r="AC15" s="11" t="str" cm="1">
        <f t="array" ref="AC15">xlFOCUS_ExpectativasMensais("IGP-M",,$Y15,WORKDAY(EDATE($Y15,0),-1,Holidays),WORKDAY(EDATE($Y15,0),-1,Holidays),0,"Mediana")</f>
        <v># Barra de fórmulas aberta</v>
      </c>
      <c r="AD15" s="11" t="e">
        <f t="shared" si="8"/>
        <v>#VALUE!</v>
      </c>
      <c r="AE15" s="11" t="e">
        <f t="shared" si="9"/>
        <v>#VALUE!</v>
      </c>
      <c r="AF15" s="11" t="e">
        <f t="shared" si="10"/>
        <v>#VALUE!</v>
      </c>
      <c r="AG15" s="11"/>
    </row>
    <row r="16" spans="1:33" x14ac:dyDescent="0.2">
      <c r="A16" s="3" t="s">
        <v>147</v>
      </c>
      <c r="B16" s="18">
        <v>2</v>
      </c>
      <c r="D16" s="1">
        <f t="shared" si="0"/>
        <v>0</v>
      </c>
      <c r="E16" s="1">
        <f t="shared" si="1"/>
        <v>0</v>
      </c>
      <c r="F16" s="17"/>
      <c r="G16" s="11"/>
      <c r="H16" s="11" t="str" cm="1">
        <f t="array" ref="H16">xlFOCUS_ExpectativasMensais("IPCA",,$F16,WORKDAY(EDATE($F16,-2),-1,Holidays),WORKDAY(EDATE($F16,-2),-1,Holidays),0,"Mediana")</f>
        <v># Barra de fórmulas aberta</v>
      </c>
      <c r="I16" s="11" t="str" cm="1">
        <f t="array" ref="I16">xlFOCUS_ExpectativasMensais("IPCA",,$F16,WORKDAY(EDATE($F16,-1),-1,Holidays),WORKDAY(EDATE($F16,-1),-1,Holidays),0,"Mediana")</f>
        <v># Barra de fórmulas aberta</v>
      </c>
      <c r="J16" s="11" t="str" cm="1">
        <f t="array" ref="J16">xlFOCUS_ExpectativasMensais("IPCA",,$F16,WORKDAY(EDATE($F16,0),-1,Holidays),WORKDAY(EDATE($F16,0),-1,Holidays),0,"Mediana")</f>
        <v># Barra de fórmulas aberta</v>
      </c>
      <c r="K16" s="11" t="str" cm="1">
        <f t="array" ref="K16">xlFOCUS_ExpectativasMensais("IPCA",,$F16,WORKDAY(EDATE($F16,1),-1,Holidays),WORKDAY(EDATE($F16,1),-1,Holidays),0,"Mediana")</f>
        <v># Barra de fórmulas aberta</v>
      </c>
      <c r="L16" s="11" t="e">
        <f t="shared" si="2"/>
        <v>#VALUE!</v>
      </c>
      <c r="M16" s="11" t="e">
        <f t="shared" si="3"/>
        <v>#VALUE!</v>
      </c>
      <c r="N16" s="11" t="e">
        <f t="shared" si="4"/>
        <v>#VALUE!</v>
      </c>
      <c r="O16" s="11" t="e">
        <f t="shared" si="5"/>
        <v>#VALUE!</v>
      </c>
      <c r="Q16" s="17"/>
      <c r="R16" s="11"/>
      <c r="S16" s="11" t="str" cm="1">
        <f t="array" ref="S16">xlFOCUS_ExpectativasMensais("Câmbio",,$Q16,WORKDAY(EDATE($Q16,-2),-1,Holidays),WORKDAY(EDATE($Q16,-2),-1,Holidays),0,"Mediana")</f>
        <v># Barra de fórmulas aberta</v>
      </c>
      <c r="T16" s="11" t="str" cm="1">
        <f t="array" ref="T16">xlFOCUS_ExpectativasMensais("Câmbio",,$Q16,WORKDAY(EDATE($Q16,-1),-1,Holidays),WORKDAY(EDATE($Q16,-1),-1,Holidays),0,"Mediana")</f>
        <v># Barra de fórmulas aberta</v>
      </c>
      <c r="V16" s="11" t="e">
        <f t="shared" si="6"/>
        <v>#VALUE!</v>
      </c>
      <c r="W16" s="11" t="e">
        <f t="shared" si="7"/>
        <v>#VALUE!</v>
      </c>
      <c r="X16" s="11"/>
      <c r="Y16" s="17"/>
      <c r="Z16" s="11"/>
      <c r="AA16" s="11" t="str" cm="1">
        <f t="array" ref="AA16">xlFOCUS_ExpectativasMensais("IGP-M",,$Y16,WORKDAY(EDATE($Y16,-2),-1,Holidays),WORKDAY(EDATE($Y16,-2),-1,Holidays),0,"Mediana")</f>
        <v># Barra de fórmulas aberta</v>
      </c>
      <c r="AB16" s="11" t="str" cm="1">
        <f t="array" ref="AB16">xlFOCUS_ExpectativasMensais("IGP-M",,$Y16,WORKDAY(EDATE($Y16,-1),-1,Holidays),WORKDAY(EDATE($Y16,-1),-1,Holidays),0,"Mediana")</f>
        <v># Barra de fórmulas aberta</v>
      </c>
      <c r="AC16" s="11" t="str" cm="1">
        <f t="array" ref="AC16">xlFOCUS_ExpectativasMensais("IGP-M",,$Y16,WORKDAY(EDATE($Y16,0),-1,Holidays),WORKDAY(EDATE($Y16,0),-1,Holidays),0,"Mediana")</f>
        <v># Barra de fórmulas aberta</v>
      </c>
      <c r="AD16" s="11" t="e">
        <f t="shared" si="8"/>
        <v>#VALUE!</v>
      </c>
      <c r="AE16" s="11" t="e">
        <f t="shared" si="9"/>
        <v>#VALUE!</v>
      </c>
      <c r="AF16" s="11" t="e">
        <f t="shared" si="10"/>
        <v>#VALUE!</v>
      </c>
      <c r="AG16" s="11"/>
    </row>
    <row r="17" spans="1:33" x14ac:dyDescent="0.2">
      <c r="D17" s="1">
        <f t="shared" si="0"/>
        <v>0</v>
      </c>
      <c r="E17" s="1">
        <f t="shared" si="1"/>
        <v>0</v>
      </c>
      <c r="F17" s="17"/>
      <c r="G17" s="11"/>
      <c r="H17" s="11" t="str" cm="1">
        <f t="array" ref="H17">xlFOCUS_ExpectativasMensais("IPCA",,$F17,WORKDAY(EDATE($F17,-2),-1,Holidays),WORKDAY(EDATE($F17,-2),-1,Holidays),0,"Mediana")</f>
        <v># Barra de fórmulas aberta</v>
      </c>
      <c r="I17" s="11" t="str" cm="1">
        <f t="array" ref="I17">xlFOCUS_ExpectativasMensais("IPCA",,$F17,WORKDAY(EDATE($F17,-1),-1,Holidays),WORKDAY(EDATE($F17,-1),-1,Holidays),0,"Mediana")</f>
        <v># Barra de fórmulas aberta</v>
      </c>
      <c r="J17" s="11" t="str" cm="1">
        <f t="array" ref="J17">xlFOCUS_ExpectativasMensais("IPCA",,$F17,WORKDAY(EDATE($F17,0),-1,Holidays),WORKDAY(EDATE($F17,0),-1,Holidays),0,"Mediana")</f>
        <v># Barra de fórmulas aberta</v>
      </c>
      <c r="K17" s="11" t="str" cm="1">
        <f t="array" ref="K17">xlFOCUS_ExpectativasMensais("IPCA",,$F17,WORKDAY(EDATE($F17,1),-1,Holidays),WORKDAY(EDATE($F17,1),-1,Holidays),0,"Mediana")</f>
        <v># Barra de fórmulas aberta</v>
      </c>
      <c r="L17" s="11" t="e">
        <f t="shared" si="2"/>
        <v>#VALUE!</v>
      </c>
      <c r="M17" s="11" t="e">
        <f t="shared" si="3"/>
        <v>#VALUE!</v>
      </c>
      <c r="N17" s="11" t="e">
        <f t="shared" si="4"/>
        <v>#VALUE!</v>
      </c>
      <c r="O17" s="11" t="e">
        <f t="shared" si="5"/>
        <v>#VALUE!</v>
      </c>
      <c r="Q17" s="17"/>
      <c r="R17" s="11"/>
      <c r="S17" s="11" t="str" cm="1">
        <f t="array" ref="S17">xlFOCUS_ExpectativasMensais("Câmbio",,$Q17,WORKDAY(EDATE($Q17,-2),-1,Holidays),WORKDAY(EDATE($Q17,-2),-1,Holidays),0,"Mediana")</f>
        <v># Barra de fórmulas aberta</v>
      </c>
      <c r="T17" s="11" t="str" cm="1">
        <f t="array" ref="T17">xlFOCUS_ExpectativasMensais("Câmbio",,$Q17,WORKDAY(EDATE($Q17,-1),-1,Holidays),WORKDAY(EDATE($Q17,-1),-1,Holidays),0,"Mediana")</f>
        <v># Barra de fórmulas aberta</v>
      </c>
      <c r="V17" s="11" t="e">
        <f t="shared" si="6"/>
        <v>#VALUE!</v>
      </c>
      <c r="W17" s="11" t="e">
        <f t="shared" si="7"/>
        <v>#VALUE!</v>
      </c>
      <c r="X17" s="11"/>
      <c r="Y17" s="17"/>
      <c r="Z17" s="11"/>
      <c r="AA17" s="11" t="str" cm="1">
        <f t="array" ref="AA17">xlFOCUS_ExpectativasMensais("IGP-M",,$Y17,WORKDAY(EDATE($Y17,-2),-1,Holidays),WORKDAY(EDATE($Y17,-2),-1,Holidays),0,"Mediana")</f>
        <v># Barra de fórmulas aberta</v>
      </c>
      <c r="AB17" s="11" t="str" cm="1">
        <f t="array" ref="AB17">xlFOCUS_ExpectativasMensais("IGP-M",,$Y17,WORKDAY(EDATE($Y17,-1),-1,Holidays),WORKDAY(EDATE($Y17,-1),-1,Holidays),0,"Mediana")</f>
        <v># Barra de fórmulas aberta</v>
      </c>
      <c r="AC17" s="11" t="str" cm="1">
        <f t="array" ref="AC17">xlFOCUS_ExpectativasMensais("IGP-M",,$Y17,WORKDAY(EDATE($Y17,0),-1,Holidays),WORKDAY(EDATE($Y17,0),-1,Holidays),0,"Mediana")</f>
        <v># Barra de fórmulas aberta</v>
      </c>
      <c r="AD17" s="11" t="e">
        <f t="shared" si="8"/>
        <v>#VALUE!</v>
      </c>
      <c r="AE17" s="11" t="e">
        <f t="shared" si="9"/>
        <v>#VALUE!</v>
      </c>
      <c r="AF17" s="11" t="e">
        <f t="shared" si="10"/>
        <v>#VALUE!</v>
      </c>
      <c r="AG17" s="11"/>
    </row>
    <row r="18" spans="1:33" x14ac:dyDescent="0.2">
      <c r="A18" s="3" t="s">
        <v>512</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 t="shared" si="0"/>
        <v>0</v>
      </c>
      <c r="E18" s="1">
        <f t="shared" si="1"/>
        <v>0</v>
      </c>
      <c r="F18" s="17"/>
      <c r="G18" s="11"/>
      <c r="H18" s="11" t="str" cm="1">
        <f t="array" ref="H18">xlFOCUS_ExpectativasMensais("IPCA",,$F18,WORKDAY(EDATE($F18,-2),-1,Holidays),WORKDAY(EDATE($F18,-2),-1,Holidays),0,"Mediana")</f>
        <v># Barra de fórmulas aberta</v>
      </c>
      <c r="I18" s="11" t="str" cm="1">
        <f t="array" ref="I18">xlFOCUS_ExpectativasMensais("IPCA",,$F18,WORKDAY(EDATE($F18,-1),-1,Holidays),WORKDAY(EDATE($F18,-1),-1,Holidays),0,"Mediana")</f>
        <v># Barra de fórmulas aberta</v>
      </c>
      <c r="J18" s="11" t="str" cm="1">
        <f t="array" ref="J18">xlFOCUS_ExpectativasMensais("IPCA",,$F18,WORKDAY(EDATE($F18,0),-1,Holidays),WORKDAY(EDATE($F18,0),-1,Holidays),0,"Mediana")</f>
        <v># Barra de fórmulas aberta</v>
      </c>
      <c r="K18" s="11" t="str" cm="1">
        <f t="array" ref="K18">xlFOCUS_ExpectativasMensais("IPCA",,$F18,WORKDAY(EDATE($F18,1),-1,Holidays),WORKDAY(EDATE($F18,1),-1,Holidays),0,"Mediana")</f>
        <v># Barra de fórmulas aberta</v>
      </c>
      <c r="L18" s="11" t="e">
        <f t="shared" si="2"/>
        <v>#VALUE!</v>
      </c>
      <c r="M18" s="11" t="e">
        <f t="shared" si="3"/>
        <v>#VALUE!</v>
      </c>
      <c r="N18" s="11" t="e">
        <f t="shared" si="4"/>
        <v>#VALUE!</v>
      </c>
      <c r="O18" s="11" t="e">
        <f t="shared" si="5"/>
        <v>#VALUE!</v>
      </c>
      <c r="Q18" s="17"/>
      <c r="R18" s="11"/>
      <c r="S18" s="11" t="str" cm="1">
        <f t="array" ref="S18">xlFOCUS_ExpectativasMensais("Câmbio",,$Q18,WORKDAY(EDATE($Q18,-2),-1,Holidays),WORKDAY(EDATE($Q18,-2),-1,Holidays),0,"Mediana")</f>
        <v># Barra de fórmulas aberta</v>
      </c>
      <c r="T18" s="11" t="str" cm="1">
        <f t="array" ref="T18">xlFOCUS_ExpectativasMensais("Câmbio",,$Q18,WORKDAY(EDATE($Q18,-1),-1,Holidays),WORKDAY(EDATE($Q18,-1),-1,Holidays),0,"Mediana")</f>
        <v># Barra de fórmulas aberta</v>
      </c>
      <c r="V18" s="11" t="e">
        <f t="shared" si="6"/>
        <v>#VALUE!</v>
      </c>
      <c r="W18" s="11" t="e">
        <f t="shared" si="7"/>
        <v>#VALUE!</v>
      </c>
      <c r="X18" s="11"/>
      <c r="Y18" s="17"/>
      <c r="Z18" s="11"/>
      <c r="AA18" s="11" t="str" cm="1">
        <f t="array" ref="AA18">xlFOCUS_ExpectativasMensais("IGP-M",,$Y18,WORKDAY(EDATE($Y18,-2),-1,Holidays),WORKDAY(EDATE($Y18,-2),-1,Holidays),0,"Mediana")</f>
        <v># Barra de fórmulas aberta</v>
      </c>
      <c r="AB18" s="11" t="str" cm="1">
        <f t="array" ref="AB18">xlFOCUS_ExpectativasMensais("IGP-M",,$Y18,WORKDAY(EDATE($Y18,-1),-1,Holidays),WORKDAY(EDATE($Y18,-1),-1,Holidays),0,"Mediana")</f>
        <v># Barra de fórmulas aberta</v>
      </c>
      <c r="AC18" s="11" t="str" cm="1">
        <f t="array" ref="AC18">xlFOCUS_ExpectativasMensais("IGP-M",,$Y18,WORKDAY(EDATE($Y18,0),-1,Holidays),WORKDAY(EDATE($Y18,0),-1,Holidays),0,"Mediana")</f>
        <v># Barra de fórmulas aberta</v>
      </c>
      <c r="AD18" s="11" t="e">
        <f t="shared" si="8"/>
        <v>#VALUE!</v>
      </c>
      <c r="AE18" s="11" t="e">
        <f t="shared" si="9"/>
        <v>#VALUE!</v>
      </c>
      <c r="AF18" s="11" t="e">
        <f t="shared" si="10"/>
        <v>#VALUE!</v>
      </c>
      <c r="AG18" s="11"/>
    </row>
    <row r="19" spans="1:33" x14ac:dyDescent="0.2">
      <c r="A19" s="3" t="s">
        <v>60</v>
      </c>
      <c r="B19" s="18">
        <v>189</v>
      </c>
      <c r="D19" s="1">
        <f t="shared" si="0"/>
        <v>0</v>
      </c>
      <c r="E19" s="1">
        <f t="shared" si="1"/>
        <v>0</v>
      </c>
      <c r="F19" s="17"/>
      <c r="G19" s="11"/>
      <c r="H19" s="11" t="str" cm="1">
        <f t="array" ref="H19">xlFOCUS_ExpectativasMensais("IPCA",,$F19,WORKDAY(EDATE($F19,-2),-1,Holidays),WORKDAY(EDATE($F19,-2),-1,Holidays),0,"Mediana")</f>
        <v># Barra de fórmulas aberta</v>
      </c>
      <c r="I19" s="11" t="str" cm="1">
        <f t="array" ref="I19">xlFOCUS_ExpectativasMensais("IPCA",,$F19,WORKDAY(EDATE($F19,-1),-1,Holidays),WORKDAY(EDATE($F19,-1),-1,Holidays),0,"Mediana")</f>
        <v># Barra de fórmulas aberta</v>
      </c>
      <c r="J19" s="11" t="str" cm="1">
        <f t="array" ref="J19">xlFOCUS_ExpectativasMensais("IPCA",,$F19,WORKDAY(EDATE($F19,0),-1,Holidays),WORKDAY(EDATE($F19,0),-1,Holidays),0,"Mediana")</f>
        <v># Barra de fórmulas aberta</v>
      </c>
      <c r="K19" s="11" t="str" cm="1">
        <f t="array" ref="K19">xlFOCUS_ExpectativasMensais("IPCA",,$F19,WORKDAY(EDATE($F19,1),-1,Holidays),WORKDAY(EDATE($F19,1),-1,Holidays),0,"Mediana")</f>
        <v># Barra de fórmulas aberta</v>
      </c>
      <c r="L19" s="11" t="e">
        <f t="shared" si="2"/>
        <v>#VALUE!</v>
      </c>
      <c r="M19" s="11" t="e">
        <f t="shared" si="3"/>
        <v>#VALUE!</v>
      </c>
      <c r="N19" s="11" t="e">
        <f t="shared" si="4"/>
        <v>#VALUE!</v>
      </c>
      <c r="O19" s="11" t="e">
        <f t="shared" si="5"/>
        <v>#VALUE!</v>
      </c>
      <c r="Q19" s="17"/>
      <c r="R19" s="11"/>
      <c r="S19" s="11" t="str" cm="1">
        <f t="array" ref="S19">xlFOCUS_ExpectativasMensais("Câmbio",,$Q19,WORKDAY(EDATE($Q19,-2),-1,Holidays),WORKDAY(EDATE($Q19,-2),-1,Holidays),0,"Mediana")</f>
        <v># Barra de fórmulas aberta</v>
      </c>
      <c r="T19" s="11" t="str" cm="1">
        <f t="array" ref="T19">xlFOCUS_ExpectativasMensais("Câmbio",,$Q19,WORKDAY(EDATE($Q19,-1),-1,Holidays),WORKDAY(EDATE($Q19,-1),-1,Holidays),0,"Mediana")</f>
        <v># Barra de fórmulas aberta</v>
      </c>
      <c r="V19" s="11" t="e">
        <f t="shared" si="6"/>
        <v>#VALUE!</v>
      </c>
      <c r="W19" s="11" t="e">
        <f t="shared" si="7"/>
        <v>#VALUE!</v>
      </c>
      <c r="X19" s="11"/>
      <c r="Y19" s="17"/>
      <c r="Z19" s="11"/>
      <c r="AA19" s="11" t="str" cm="1">
        <f t="array" ref="AA19">xlFOCUS_ExpectativasMensais("IGP-M",,$Y19,WORKDAY(EDATE($Y19,-2),-1,Holidays),WORKDAY(EDATE($Y19,-2),-1,Holidays),0,"Mediana")</f>
        <v># Barra de fórmulas aberta</v>
      </c>
      <c r="AB19" s="11" t="str" cm="1">
        <f t="array" ref="AB19">xlFOCUS_ExpectativasMensais("IGP-M",,$Y19,WORKDAY(EDATE($Y19,-1),-1,Holidays),WORKDAY(EDATE($Y19,-1),-1,Holidays),0,"Mediana")</f>
        <v># Barra de fórmulas aberta</v>
      </c>
      <c r="AC19" s="11" t="str" cm="1">
        <f t="array" ref="AC19">xlFOCUS_ExpectativasMensais("IGP-M",,$Y19,WORKDAY(EDATE($Y19,0),-1,Holidays),WORKDAY(EDATE($Y19,0),-1,Holidays),0,"Mediana")</f>
        <v># Barra de fórmulas aberta</v>
      </c>
      <c r="AD19" s="11" t="e">
        <f t="shared" si="8"/>
        <v>#VALUE!</v>
      </c>
      <c r="AE19" s="11" t="e">
        <f t="shared" si="9"/>
        <v>#VALUE!</v>
      </c>
      <c r="AF19" s="11" t="e">
        <f t="shared" si="10"/>
        <v>#VALUE!</v>
      </c>
      <c r="AG19" s="11"/>
    </row>
    <row r="20" spans="1:33" x14ac:dyDescent="0.2">
      <c r="A20" s="3" t="s">
        <v>63</v>
      </c>
      <c r="B20" s="14">
        <v>41275</v>
      </c>
      <c r="D20" s="1">
        <f t="shared" si="0"/>
        <v>0</v>
      </c>
      <c r="E20" s="1">
        <f t="shared" si="1"/>
        <v>0</v>
      </c>
      <c r="F20" s="17"/>
      <c r="G20" s="11"/>
      <c r="H20" s="11" t="str" cm="1">
        <f t="array" ref="H20">xlFOCUS_ExpectativasMensais("IPCA",,$F20,WORKDAY(EDATE($F20,-2),-1,Holidays),WORKDAY(EDATE($F20,-2),-1,Holidays),0,"Mediana")</f>
        <v># Barra de fórmulas aberta</v>
      </c>
      <c r="I20" s="11" t="str" cm="1">
        <f t="array" ref="I20">xlFOCUS_ExpectativasMensais("IPCA",,$F20,WORKDAY(EDATE($F20,-1),-1,Holidays),WORKDAY(EDATE($F20,-1),-1,Holidays),0,"Mediana")</f>
        <v># Barra de fórmulas aberta</v>
      </c>
      <c r="J20" s="11" t="str" cm="1">
        <f t="array" ref="J20">xlFOCUS_ExpectativasMensais("IPCA",,$F20,WORKDAY(EDATE($F20,0),-1,Holidays),WORKDAY(EDATE($F20,0),-1,Holidays),0,"Mediana")</f>
        <v># Barra de fórmulas aberta</v>
      </c>
      <c r="K20" s="11" t="str" cm="1">
        <f t="array" ref="K20">xlFOCUS_ExpectativasMensais("IPCA",,$F20,WORKDAY(EDATE($F20,1),-1,Holidays),WORKDAY(EDATE($F20,1),-1,Holidays),0,"Mediana")</f>
        <v># Barra de fórmulas aberta</v>
      </c>
      <c r="L20" s="11" t="e">
        <f t="shared" si="2"/>
        <v>#VALUE!</v>
      </c>
      <c r="M20" s="11" t="e">
        <f t="shared" si="3"/>
        <v>#VALUE!</v>
      </c>
      <c r="N20" s="11" t="e">
        <f t="shared" si="4"/>
        <v>#VALUE!</v>
      </c>
      <c r="O20" s="11" t="e">
        <f t="shared" si="5"/>
        <v>#VALUE!</v>
      </c>
      <c r="Q20" s="17"/>
      <c r="R20" s="11"/>
      <c r="S20" s="11" t="str" cm="1">
        <f t="array" ref="S20">xlFOCUS_ExpectativasMensais("Câmbio",,$Q20,WORKDAY(EDATE($Q20,-2),-1,Holidays),WORKDAY(EDATE($Q20,-2),-1,Holidays),0,"Mediana")</f>
        <v># Barra de fórmulas aberta</v>
      </c>
      <c r="T20" s="11" t="str" cm="1">
        <f t="array" ref="T20">xlFOCUS_ExpectativasMensais("Câmbio",,$Q20,WORKDAY(EDATE($Q20,-1),-1,Holidays),WORKDAY(EDATE($Q20,-1),-1,Holidays),0,"Mediana")</f>
        <v># Barra de fórmulas aberta</v>
      </c>
      <c r="V20" s="11" t="e">
        <f t="shared" si="6"/>
        <v>#VALUE!</v>
      </c>
      <c r="W20" s="11" t="e">
        <f t="shared" si="7"/>
        <v>#VALUE!</v>
      </c>
      <c r="X20" s="11"/>
      <c r="Y20" s="17"/>
      <c r="Z20" s="11"/>
      <c r="AA20" s="11" t="str" cm="1">
        <f t="array" ref="AA20">xlFOCUS_ExpectativasMensais("IGP-M",,$Y20,WORKDAY(EDATE($Y20,-2),-1,Holidays),WORKDAY(EDATE($Y20,-2),-1,Holidays),0,"Mediana")</f>
        <v># Barra de fórmulas aberta</v>
      </c>
      <c r="AB20" s="11" t="str" cm="1">
        <f t="array" ref="AB20">xlFOCUS_ExpectativasMensais("IGP-M",,$Y20,WORKDAY(EDATE($Y20,-1),-1,Holidays),WORKDAY(EDATE($Y20,-1),-1,Holidays),0,"Mediana")</f>
        <v># Barra de fórmulas aberta</v>
      </c>
      <c r="AC20" s="11" t="str" cm="1">
        <f t="array" ref="AC20">xlFOCUS_ExpectativasMensais("IGP-M",,$Y20,WORKDAY(EDATE($Y20,0),-1,Holidays),WORKDAY(EDATE($Y20,0),-1,Holidays),0,"Mediana")</f>
        <v># Barra de fórmulas aberta</v>
      </c>
      <c r="AD20" s="11" t="e">
        <f t="shared" si="8"/>
        <v>#VALUE!</v>
      </c>
      <c r="AE20" s="11" t="e">
        <f t="shared" si="9"/>
        <v>#VALUE!</v>
      </c>
      <c r="AF20" s="11" t="e">
        <f t="shared" si="10"/>
        <v>#VALUE!</v>
      </c>
      <c r="AG20" s="11"/>
    </row>
    <row r="21" spans="1:33" x14ac:dyDescent="0.2">
      <c r="A21" s="3" t="s">
        <v>64</v>
      </c>
      <c r="B21" s="14">
        <v>42675</v>
      </c>
      <c r="D21" s="1">
        <f t="shared" si="0"/>
        <v>0</v>
      </c>
      <c r="E21" s="1">
        <f t="shared" si="1"/>
        <v>0</v>
      </c>
      <c r="F21" s="17"/>
      <c r="G21" s="11"/>
      <c r="H21" s="11" t="str" cm="1">
        <f t="array" ref="H21">xlFOCUS_ExpectativasMensais("IPCA",,$F21,WORKDAY(EDATE($F21,-2),-1,Holidays),WORKDAY(EDATE($F21,-2),-1,Holidays),0,"Mediana")</f>
        <v># Barra de fórmulas aberta</v>
      </c>
      <c r="I21" s="11" t="str" cm="1">
        <f t="array" ref="I21">xlFOCUS_ExpectativasMensais("IPCA",,$F21,WORKDAY(EDATE($F21,-1),-1,Holidays),WORKDAY(EDATE($F21,-1),-1,Holidays),0,"Mediana")</f>
        <v># Barra de fórmulas aberta</v>
      </c>
      <c r="J21" s="11" t="str" cm="1">
        <f t="array" ref="J21">xlFOCUS_ExpectativasMensais("IPCA",,$F21,WORKDAY(EDATE($F21,0),-1,Holidays),WORKDAY(EDATE($F21,0),-1,Holidays),0,"Mediana")</f>
        <v># Barra de fórmulas aberta</v>
      </c>
      <c r="K21" s="11" t="str" cm="1">
        <f t="array" ref="K21">xlFOCUS_ExpectativasMensais("IPCA",,$F21,WORKDAY(EDATE($F21,1),-1,Holidays),WORKDAY(EDATE($F21,1),-1,Holidays),0,"Mediana")</f>
        <v># Barra de fórmulas aberta</v>
      </c>
      <c r="L21" s="11" t="e">
        <f t="shared" si="2"/>
        <v>#VALUE!</v>
      </c>
      <c r="M21" s="11" t="e">
        <f t="shared" si="3"/>
        <v>#VALUE!</v>
      </c>
      <c r="N21" s="11" t="e">
        <f t="shared" si="4"/>
        <v>#VALUE!</v>
      </c>
      <c r="O21" s="11" t="e">
        <f t="shared" si="5"/>
        <v>#VALUE!</v>
      </c>
      <c r="Q21" s="17"/>
      <c r="R21" s="11"/>
      <c r="S21" s="11" t="str" cm="1">
        <f t="array" ref="S21">xlFOCUS_ExpectativasMensais("Câmbio",,$Q21,WORKDAY(EDATE($Q21,-2),-1,Holidays),WORKDAY(EDATE($Q21,-2),-1,Holidays),0,"Mediana")</f>
        <v># Barra de fórmulas aberta</v>
      </c>
      <c r="T21" s="11" t="str" cm="1">
        <f t="array" ref="T21">xlFOCUS_ExpectativasMensais("Câmbio",,$Q21,WORKDAY(EDATE($Q21,-1),-1,Holidays),WORKDAY(EDATE($Q21,-1),-1,Holidays),0,"Mediana")</f>
        <v># Barra de fórmulas aberta</v>
      </c>
      <c r="V21" s="11" t="e">
        <f t="shared" si="6"/>
        <v>#VALUE!</v>
      </c>
      <c r="W21" s="11" t="e">
        <f t="shared" si="7"/>
        <v>#VALUE!</v>
      </c>
      <c r="X21" s="11"/>
      <c r="Y21" s="17"/>
      <c r="Z21" s="11"/>
      <c r="AA21" s="11" t="str" cm="1">
        <f t="array" ref="AA21">xlFOCUS_ExpectativasMensais("IGP-M",,$Y21,WORKDAY(EDATE($Y21,-2),-1,Holidays),WORKDAY(EDATE($Y21,-2),-1,Holidays),0,"Mediana")</f>
        <v># Barra de fórmulas aberta</v>
      </c>
      <c r="AB21" s="11" t="str" cm="1">
        <f t="array" ref="AB21">xlFOCUS_ExpectativasMensais("IGP-M",,$Y21,WORKDAY(EDATE($Y21,-1),-1,Holidays),WORKDAY(EDATE($Y21,-1),-1,Holidays),0,"Mediana")</f>
        <v># Barra de fórmulas aberta</v>
      </c>
      <c r="AC21" s="11" t="str" cm="1">
        <f t="array" ref="AC21">xlFOCUS_ExpectativasMensais("IGP-M",,$Y21,WORKDAY(EDATE($Y21,0),-1,Holidays),WORKDAY(EDATE($Y21,0),-1,Holidays),0,"Mediana")</f>
        <v># Barra de fórmulas aberta</v>
      </c>
      <c r="AD21" s="11" t="e">
        <f t="shared" si="8"/>
        <v>#VALUE!</v>
      </c>
      <c r="AE21" s="11" t="e">
        <f t="shared" si="9"/>
        <v>#VALUE!</v>
      </c>
      <c r="AF21" s="11" t="e">
        <f t="shared" si="10"/>
        <v>#VALUE!</v>
      </c>
      <c r="AG21" s="11"/>
    </row>
    <row r="22" spans="1:33" x14ac:dyDescent="0.2">
      <c r="A22" s="3" t="s">
        <v>148</v>
      </c>
      <c r="B22" s="18"/>
      <c r="D22" s="1">
        <f t="shared" si="0"/>
        <v>0</v>
      </c>
      <c r="E22" s="1">
        <f t="shared" si="1"/>
        <v>0</v>
      </c>
      <c r="F22" s="17"/>
      <c r="G22" s="11"/>
      <c r="H22" s="11" t="str" cm="1">
        <f t="array" ref="H22">xlFOCUS_ExpectativasMensais("IPCA",,$F22,WORKDAY(EDATE($F22,-2),-1,Holidays),WORKDAY(EDATE($F22,-2),-1,Holidays),0,"Mediana")</f>
        <v># Barra de fórmulas aberta</v>
      </c>
      <c r="I22" s="11" t="str" cm="1">
        <f t="array" ref="I22">xlFOCUS_ExpectativasMensais("IPCA",,$F22,WORKDAY(EDATE($F22,-1),-1,Holidays),WORKDAY(EDATE($F22,-1),-1,Holidays),0,"Mediana")</f>
        <v># Barra de fórmulas aberta</v>
      </c>
      <c r="J22" s="11" t="str" cm="1">
        <f t="array" ref="J22">xlFOCUS_ExpectativasMensais("IPCA",,$F22,WORKDAY(EDATE($F22,0),-1,Holidays),WORKDAY(EDATE($F22,0),-1,Holidays),0,"Mediana")</f>
        <v># Barra de fórmulas aberta</v>
      </c>
      <c r="K22" s="11" t="str" cm="1">
        <f t="array" ref="K22">xlFOCUS_ExpectativasMensais("IPCA",,$F22,WORKDAY(EDATE($F22,1),-1,Holidays),WORKDAY(EDATE($F22,1),-1,Holidays),0,"Mediana")</f>
        <v># Barra de fórmulas aberta</v>
      </c>
      <c r="L22" s="11" t="e">
        <f t="shared" si="2"/>
        <v>#VALUE!</v>
      </c>
      <c r="M22" s="11" t="e">
        <f t="shared" si="3"/>
        <v>#VALUE!</v>
      </c>
      <c r="N22" s="11" t="e">
        <f t="shared" si="4"/>
        <v>#VALUE!</v>
      </c>
      <c r="O22" s="11" t="e">
        <f t="shared" si="5"/>
        <v>#VALUE!</v>
      </c>
      <c r="Q22" s="17"/>
      <c r="R22" s="11"/>
      <c r="S22" s="11" t="str" cm="1">
        <f t="array" ref="S22">xlFOCUS_ExpectativasMensais("Câmbio",,$Q22,WORKDAY(EDATE($Q22,-2),-1,Holidays),WORKDAY(EDATE($Q22,-2),-1,Holidays),0,"Mediana")</f>
        <v># Barra de fórmulas aberta</v>
      </c>
      <c r="T22" s="11" t="str" cm="1">
        <f t="array" ref="T22">xlFOCUS_ExpectativasMensais("Câmbio",,$Q22,WORKDAY(EDATE($Q22,-1),-1,Holidays),WORKDAY(EDATE($Q22,-1),-1,Holidays),0,"Mediana")</f>
        <v># Barra de fórmulas aberta</v>
      </c>
      <c r="V22" s="11" t="e">
        <f t="shared" si="6"/>
        <v>#VALUE!</v>
      </c>
      <c r="W22" s="11" t="e">
        <f t="shared" si="7"/>
        <v>#VALUE!</v>
      </c>
      <c r="X22" s="11"/>
      <c r="Y22" s="17"/>
      <c r="Z22" s="11"/>
      <c r="AA22" s="11" t="str" cm="1">
        <f t="array" ref="AA22">xlFOCUS_ExpectativasMensais("IGP-M",,$Y22,WORKDAY(EDATE($Y22,-2),-1,Holidays),WORKDAY(EDATE($Y22,-2),-1,Holidays),0,"Mediana")</f>
        <v># Barra de fórmulas aberta</v>
      </c>
      <c r="AB22" s="11" t="str" cm="1">
        <f t="array" ref="AB22">xlFOCUS_ExpectativasMensais("IGP-M",,$Y22,WORKDAY(EDATE($Y22,-1),-1,Holidays),WORKDAY(EDATE($Y22,-1),-1,Holidays),0,"Mediana")</f>
        <v># Barra de fórmulas aberta</v>
      </c>
      <c r="AC22" s="11" t="str" cm="1">
        <f t="array" ref="AC22">xlFOCUS_ExpectativasMensais("IGP-M",,$Y22,WORKDAY(EDATE($Y22,0),-1,Holidays),WORKDAY(EDATE($Y22,0),-1,Holidays),0,"Mediana")</f>
        <v># Barra de fórmulas aberta</v>
      </c>
      <c r="AD22" s="11" t="e">
        <f t="shared" si="8"/>
        <v>#VALUE!</v>
      </c>
      <c r="AE22" s="11" t="e">
        <f t="shared" si="9"/>
        <v>#VALUE!</v>
      </c>
      <c r="AF22" s="11" t="e">
        <f t="shared" si="10"/>
        <v>#VALUE!</v>
      </c>
      <c r="AG22" s="11"/>
    </row>
    <row r="23" spans="1:33" x14ac:dyDescent="0.2">
      <c r="A23" s="3" t="s">
        <v>147</v>
      </c>
      <c r="B23" s="18">
        <v>2</v>
      </c>
      <c r="D23" s="1">
        <f t="shared" si="0"/>
        <v>0</v>
      </c>
      <c r="E23" s="1">
        <f t="shared" si="1"/>
        <v>0</v>
      </c>
      <c r="F23" s="17"/>
      <c r="G23" s="11"/>
      <c r="H23" s="11" t="str" cm="1">
        <f t="array" ref="H23">xlFOCUS_ExpectativasMensais("IPCA",,$F23,WORKDAY(EDATE($F23,-2),-1,Holidays),WORKDAY(EDATE($F23,-2),-1,Holidays),0,"Mediana")</f>
        <v># Barra de fórmulas aberta</v>
      </c>
      <c r="I23" s="11" t="str" cm="1">
        <f t="array" ref="I23">xlFOCUS_ExpectativasMensais("IPCA",,$F23,WORKDAY(EDATE($F23,-1),-1,Holidays),WORKDAY(EDATE($F23,-1),-1,Holidays),0,"Mediana")</f>
        <v># Barra de fórmulas aberta</v>
      </c>
      <c r="J23" s="11" t="str" cm="1">
        <f t="array" ref="J23">xlFOCUS_ExpectativasMensais("IPCA",,$F23,WORKDAY(EDATE($F23,0),-1,Holidays),WORKDAY(EDATE($F23,0),-1,Holidays),0,"Mediana")</f>
        <v># Barra de fórmulas aberta</v>
      </c>
      <c r="K23" s="11" t="str" cm="1">
        <f t="array" ref="K23">xlFOCUS_ExpectativasMensais("IPCA",,$F23,WORKDAY(EDATE($F23,1),-1,Holidays),WORKDAY(EDATE($F23,1),-1,Holidays),0,"Mediana")</f>
        <v># Barra de fórmulas aberta</v>
      </c>
      <c r="L23" s="11" t="e">
        <f t="shared" si="2"/>
        <v>#VALUE!</v>
      </c>
      <c r="M23" s="11" t="e">
        <f t="shared" si="3"/>
        <v>#VALUE!</v>
      </c>
      <c r="N23" s="11" t="e">
        <f t="shared" si="4"/>
        <v>#VALUE!</v>
      </c>
      <c r="O23" s="11" t="e">
        <f t="shared" si="5"/>
        <v>#VALUE!</v>
      </c>
      <c r="Q23" s="17"/>
      <c r="R23" s="11"/>
      <c r="S23" s="11" t="str" cm="1">
        <f t="array" ref="S23">xlFOCUS_ExpectativasMensais("Câmbio",,$Q23,WORKDAY(EDATE($Q23,-2),-1,Holidays),WORKDAY(EDATE($Q23,-2),-1,Holidays),0,"Mediana")</f>
        <v># Barra de fórmulas aberta</v>
      </c>
      <c r="T23" s="11" t="str" cm="1">
        <f t="array" ref="T23">xlFOCUS_ExpectativasMensais("Câmbio",,$Q23,WORKDAY(EDATE($Q23,-1),-1,Holidays),WORKDAY(EDATE($Q23,-1),-1,Holidays),0,"Mediana")</f>
        <v># Barra de fórmulas aberta</v>
      </c>
      <c r="V23" s="11" t="e">
        <f t="shared" si="6"/>
        <v>#VALUE!</v>
      </c>
      <c r="W23" s="11" t="e">
        <f t="shared" si="7"/>
        <v>#VALUE!</v>
      </c>
      <c r="X23" s="11"/>
      <c r="Y23" s="17"/>
      <c r="Z23" s="11"/>
      <c r="AA23" s="11" t="str" cm="1">
        <f t="array" ref="AA23">xlFOCUS_ExpectativasMensais("IGP-M",,$Y23,WORKDAY(EDATE($Y23,-2),-1,Holidays),WORKDAY(EDATE($Y23,-2),-1,Holidays),0,"Mediana")</f>
        <v># Barra de fórmulas aberta</v>
      </c>
      <c r="AB23" s="11" t="str" cm="1">
        <f t="array" ref="AB23">xlFOCUS_ExpectativasMensais("IGP-M",,$Y23,WORKDAY(EDATE($Y23,-1),-1,Holidays),WORKDAY(EDATE($Y23,-1),-1,Holidays),0,"Mediana")</f>
        <v># Barra de fórmulas aberta</v>
      </c>
      <c r="AC23" s="11" t="str" cm="1">
        <f t="array" ref="AC23">xlFOCUS_ExpectativasMensais("IGP-M",,$Y23,WORKDAY(EDATE($Y23,0),-1,Holidays),WORKDAY(EDATE($Y23,0),-1,Holidays),0,"Mediana")</f>
        <v># Barra de fórmulas aberta</v>
      </c>
      <c r="AD23" s="11" t="e">
        <f t="shared" si="8"/>
        <v>#VALUE!</v>
      </c>
      <c r="AE23" s="11" t="e">
        <f t="shared" si="9"/>
        <v>#VALUE!</v>
      </c>
      <c r="AF23" s="11" t="e">
        <f t="shared" si="10"/>
        <v>#VALUE!</v>
      </c>
      <c r="AG23" s="11"/>
    </row>
    <row r="24" spans="1:33" x14ac:dyDescent="0.2">
      <c r="D24" s="1">
        <f t="shared" si="0"/>
        <v>0</v>
      </c>
      <c r="E24" s="1">
        <f t="shared" si="1"/>
        <v>0</v>
      </c>
      <c r="F24" s="17"/>
      <c r="G24" s="11"/>
      <c r="H24" s="11" t="str" cm="1">
        <f t="array" ref="H24">xlFOCUS_ExpectativasMensais("IPCA",,$F24,WORKDAY(EDATE($F24,-2),-1,Holidays),WORKDAY(EDATE($F24,-2),-1,Holidays),0,"Mediana")</f>
        <v># Barra de fórmulas aberta</v>
      </c>
      <c r="I24" s="11" t="str" cm="1">
        <f t="array" ref="I24">xlFOCUS_ExpectativasMensais("IPCA",,$F24,WORKDAY(EDATE($F24,-1),-1,Holidays),WORKDAY(EDATE($F24,-1),-1,Holidays),0,"Mediana")</f>
        <v># Barra de fórmulas aberta</v>
      </c>
      <c r="J24" s="11" t="str" cm="1">
        <f t="array" ref="J24">xlFOCUS_ExpectativasMensais("IPCA",,$F24,WORKDAY(EDATE($F24,0),-1,Holidays),WORKDAY(EDATE($F24,0),-1,Holidays),0,"Mediana")</f>
        <v># Barra de fórmulas aberta</v>
      </c>
      <c r="K24" s="11" t="str" cm="1">
        <f t="array" ref="K24">xlFOCUS_ExpectativasMensais("IPCA",,$F24,WORKDAY(EDATE($F24,1),-1,Holidays),WORKDAY(EDATE($F24,1),-1,Holidays),0,"Mediana")</f>
        <v># Barra de fórmulas aberta</v>
      </c>
      <c r="L24" s="11" t="e">
        <f t="shared" si="2"/>
        <v>#VALUE!</v>
      </c>
      <c r="M24" s="11" t="e">
        <f t="shared" si="3"/>
        <v>#VALUE!</v>
      </c>
      <c r="N24" s="11" t="e">
        <f t="shared" si="4"/>
        <v>#VALUE!</v>
      </c>
      <c r="O24" s="11" t="e">
        <f t="shared" si="5"/>
        <v>#VALUE!</v>
      </c>
      <c r="Q24" s="17"/>
      <c r="R24" s="11"/>
      <c r="S24" s="11" t="str" cm="1">
        <f t="array" ref="S24">xlFOCUS_ExpectativasMensais("Câmbio",,$Q24,WORKDAY(EDATE($Q24,-2),-1,Holidays),WORKDAY(EDATE($Q24,-2),-1,Holidays),0,"Mediana")</f>
        <v># Barra de fórmulas aberta</v>
      </c>
      <c r="T24" s="11" t="str" cm="1">
        <f t="array" ref="T24">xlFOCUS_ExpectativasMensais("Câmbio",,$Q24,WORKDAY(EDATE($Q24,-1),-1,Holidays),WORKDAY(EDATE($Q24,-1),-1,Holidays),0,"Mediana")</f>
        <v># Barra de fórmulas aberta</v>
      </c>
      <c r="V24" s="11" t="e">
        <f t="shared" si="6"/>
        <v>#VALUE!</v>
      </c>
      <c r="W24" s="11" t="e">
        <f t="shared" si="7"/>
        <v>#VALUE!</v>
      </c>
      <c r="X24" s="11"/>
      <c r="Y24" s="17"/>
      <c r="Z24" s="11"/>
      <c r="AA24" s="11" t="str" cm="1">
        <f t="array" ref="AA24">xlFOCUS_ExpectativasMensais("IGP-M",,$Y24,WORKDAY(EDATE($Y24,-2),-1,Holidays),WORKDAY(EDATE($Y24,-2),-1,Holidays),0,"Mediana")</f>
        <v># Barra de fórmulas aberta</v>
      </c>
      <c r="AB24" s="11" t="str" cm="1">
        <f t="array" ref="AB24">xlFOCUS_ExpectativasMensais("IGP-M",,$Y24,WORKDAY(EDATE($Y24,-1),-1,Holidays),WORKDAY(EDATE($Y24,-1),-1,Holidays),0,"Mediana")</f>
        <v># Barra de fórmulas aberta</v>
      </c>
      <c r="AC24" s="11" t="str" cm="1">
        <f t="array" ref="AC24">xlFOCUS_ExpectativasMensais("IGP-M",,$Y24,WORKDAY(EDATE($Y24,0),-1,Holidays),WORKDAY(EDATE($Y24,0),-1,Holidays),0,"Mediana")</f>
        <v># Barra de fórmulas aberta</v>
      </c>
      <c r="AD24" s="11" t="e">
        <f t="shared" si="8"/>
        <v>#VALUE!</v>
      </c>
      <c r="AE24" s="11" t="e">
        <f t="shared" si="9"/>
        <v>#VALUE!</v>
      </c>
      <c r="AF24" s="11" t="e">
        <f t="shared" si="10"/>
        <v>#VALUE!</v>
      </c>
      <c r="AG24" s="11"/>
    </row>
    <row r="25" spans="1:33" x14ac:dyDescent="0.2">
      <c r="D25" s="1">
        <f t="shared" si="0"/>
        <v>0</v>
      </c>
      <c r="E25" s="1">
        <f t="shared" si="1"/>
        <v>0</v>
      </c>
      <c r="F25" s="17"/>
      <c r="G25" s="11"/>
      <c r="H25" s="11" t="str" cm="1">
        <f t="array" ref="H25">xlFOCUS_ExpectativasMensais("IPCA",,$F25,WORKDAY(EDATE($F25,-2),-1,Holidays),WORKDAY(EDATE($F25,-2),-1,Holidays),0,"Mediana")</f>
        <v># Barra de fórmulas aberta</v>
      </c>
      <c r="I25" s="11" t="str" cm="1">
        <f t="array" ref="I25">xlFOCUS_ExpectativasMensais("IPCA",,$F25,WORKDAY(EDATE($F25,-1),-1,Holidays),WORKDAY(EDATE($F25,-1),-1,Holidays),0,"Mediana")</f>
        <v># Barra de fórmulas aberta</v>
      </c>
      <c r="J25" s="11" t="str" cm="1">
        <f t="array" ref="J25">xlFOCUS_ExpectativasMensais("IPCA",,$F25,WORKDAY(EDATE($F25,0),-1,Holidays),WORKDAY(EDATE($F25,0),-1,Holidays),0,"Mediana")</f>
        <v># Barra de fórmulas aberta</v>
      </c>
      <c r="K25" s="11" t="str" cm="1">
        <f t="array" ref="K25">xlFOCUS_ExpectativasMensais("IPCA",,$F25,WORKDAY(EDATE($F25,1),-1,Holidays),WORKDAY(EDATE($F25,1),-1,Holidays),0,"Mediana")</f>
        <v># Barra de fórmulas aberta</v>
      </c>
      <c r="L25" s="11" t="e">
        <f t="shared" si="2"/>
        <v>#VALUE!</v>
      </c>
      <c r="M25" s="11" t="e">
        <f t="shared" si="3"/>
        <v>#VALUE!</v>
      </c>
      <c r="N25" s="11" t="e">
        <f t="shared" si="4"/>
        <v>#VALUE!</v>
      </c>
      <c r="O25" s="11" t="e">
        <f t="shared" si="5"/>
        <v>#VALUE!</v>
      </c>
      <c r="Q25" s="17"/>
      <c r="R25" s="11"/>
      <c r="S25" s="11" t="str" cm="1">
        <f t="array" ref="S25">xlFOCUS_ExpectativasMensais("Câmbio",,$Q25,WORKDAY(EDATE($Q25,-2),-1,Holidays),WORKDAY(EDATE($Q25,-2),-1,Holidays),0,"Mediana")</f>
        <v># Barra de fórmulas aberta</v>
      </c>
      <c r="T25" s="11" t="str" cm="1">
        <f t="array" ref="T25">xlFOCUS_ExpectativasMensais("Câmbio",,$Q25,WORKDAY(EDATE($Q25,-1),-1,Holidays),WORKDAY(EDATE($Q25,-1),-1,Holidays),0,"Mediana")</f>
        <v># Barra de fórmulas aberta</v>
      </c>
      <c r="V25" s="11" t="e">
        <f t="shared" si="6"/>
        <v>#VALUE!</v>
      </c>
      <c r="W25" s="11" t="e">
        <f t="shared" si="7"/>
        <v>#VALUE!</v>
      </c>
      <c r="X25" s="11"/>
      <c r="Y25" s="17"/>
      <c r="Z25" s="11"/>
      <c r="AA25" s="11" t="str" cm="1">
        <f t="array" ref="AA25">xlFOCUS_ExpectativasMensais("IGP-M",,$Y25,WORKDAY(EDATE($Y25,-2),-1,Holidays),WORKDAY(EDATE($Y25,-2),-1,Holidays),0,"Mediana")</f>
        <v># Barra de fórmulas aberta</v>
      </c>
      <c r="AB25" s="11" t="str" cm="1">
        <f t="array" ref="AB25">xlFOCUS_ExpectativasMensais("IGP-M",,$Y25,WORKDAY(EDATE($Y25,-1),-1,Holidays),WORKDAY(EDATE($Y25,-1),-1,Holidays),0,"Mediana")</f>
        <v># Barra de fórmulas aberta</v>
      </c>
      <c r="AC25" s="11" t="str" cm="1">
        <f t="array" ref="AC25">xlFOCUS_ExpectativasMensais("IGP-M",,$Y25,WORKDAY(EDATE($Y25,0),-1,Holidays),WORKDAY(EDATE($Y25,0),-1,Holidays),0,"Mediana")</f>
        <v># Barra de fórmulas aberta</v>
      </c>
      <c r="AD25" s="11" t="e">
        <f t="shared" si="8"/>
        <v>#VALUE!</v>
      </c>
      <c r="AE25" s="11" t="e">
        <f t="shared" si="9"/>
        <v>#VALUE!</v>
      </c>
      <c r="AF25" s="11" t="e">
        <f t="shared" si="10"/>
        <v>#VALUE!</v>
      </c>
      <c r="AG25" s="11"/>
    </row>
    <row r="26" spans="1:33" x14ac:dyDescent="0.2">
      <c r="A26" s="3" t="s">
        <v>555</v>
      </c>
      <c r="B26" s="14">
        <v>43891</v>
      </c>
      <c r="D26" s="1">
        <f t="shared" si="0"/>
        <v>0</v>
      </c>
      <c r="E26" s="1">
        <f t="shared" si="1"/>
        <v>0</v>
      </c>
      <c r="F26" s="17"/>
      <c r="G26" s="11"/>
      <c r="H26" s="11" t="str" cm="1">
        <f t="array" ref="H26">xlFOCUS_ExpectativasMensais("IPCA",,$F26,WORKDAY(EDATE($F26,-2),-1,Holidays),WORKDAY(EDATE($F26,-2),-1,Holidays),0,"Mediana")</f>
        <v># Barra de fórmulas aberta</v>
      </c>
      <c r="I26" s="11" t="str" cm="1">
        <f t="array" ref="I26">xlFOCUS_ExpectativasMensais("IPCA",,$F26,WORKDAY(EDATE($F26,-1),-1,Holidays),WORKDAY(EDATE($F26,-1),-1,Holidays),0,"Mediana")</f>
        <v># Barra de fórmulas aberta</v>
      </c>
      <c r="J26" s="11" t="str" cm="1">
        <f t="array" ref="J26">xlFOCUS_ExpectativasMensais("IPCA",,$F26,WORKDAY(EDATE($F26,0),-1,Holidays),WORKDAY(EDATE($F26,0),-1,Holidays),0,"Mediana")</f>
        <v># Barra de fórmulas aberta</v>
      </c>
      <c r="K26" s="11" t="str" cm="1">
        <f t="array" ref="K26">xlFOCUS_ExpectativasMensais("IPCA",,$F26,WORKDAY(EDATE($F26,1),-1,Holidays),WORKDAY(EDATE($F26,1),-1,Holidays),0,"Mediana")</f>
        <v># Barra de fórmulas aberta</v>
      </c>
      <c r="L26" s="11" t="e">
        <f t="shared" si="2"/>
        <v>#VALUE!</v>
      </c>
      <c r="M26" s="11" t="e">
        <f t="shared" si="3"/>
        <v>#VALUE!</v>
      </c>
      <c r="N26" s="11" t="e">
        <f t="shared" si="4"/>
        <v>#VALUE!</v>
      </c>
      <c r="O26" s="11" t="e">
        <f t="shared" si="5"/>
        <v>#VALUE!</v>
      </c>
      <c r="Q26" s="17"/>
      <c r="R26" s="11"/>
      <c r="S26" s="11" t="str" cm="1">
        <f t="array" ref="S26">xlFOCUS_ExpectativasMensais("Câmbio",,$Q26,WORKDAY(EDATE($Q26,-2),-1,Holidays),WORKDAY(EDATE($Q26,-2),-1,Holidays),0,"Mediana")</f>
        <v># Barra de fórmulas aberta</v>
      </c>
      <c r="T26" s="11" t="str" cm="1">
        <f t="array" ref="T26">xlFOCUS_ExpectativasMensais("Câmbio",,$Q26,WORKDAY(EDATE($Q26,-1),-1,Holidays),WORKDAY(EDATE($Q26,-1),-1,Holidays),0,"Mediana")</f>
        <v># Barra de fórmulas aberta</v>
      </c>
      <c r="V26" s="11" t="e">
        <f t="shared" si="6"/>
        <v>#VALUE!</v>
      </c>
      <c r="W26" s="11" t="e">
        <f t="shared" si="7"/>
        <v>#VALUE!</v>
      </c>
      <c r="X26" s="11"/>
      <c r="Y26" s="17"/>
      <c r="Z26" s="11"/>
      <c r="AA26" s="11" t="str" cm="1">
        <f t="array" ref="AA26">xlFOCUS_ExpectativasMensais("IGP-M",,$Y26,WORKDAY(EDATE($Y26,-2),-1,Holidays),WORKDAY(EDATE($Y26,-2),-1,Holidays),0,"Mediana")</f>
        <v># Barra de fórmulas aberta</v>
      </c>
      <c r="AB26" s="11" t="str" cm="1">
        <f t="array" ref="AB26">xlFOCUS_ExpectativasMensais("IGP-M",,$Y26,WORKDAY(EDATE($Y26,-1),-1,Holidays),WORKDAY(EDATE($Y26,-1),-1,Holidays),0,"Mediana")</f>
        <v># Barra de fórmulas aberta</v>
      </c>
      <c r="AC26" s="11" t="str" cm="1">
        <f t="array" ref="AC26">xlFOCUS_ExpectativasMensais("IGP-M",,$Y26,WORKDAY(EDATE($Y26,0),-1,Holidays),WORKDAY(EDATE($Y26,0),-1,Holidays),0,"Mediana")</f>
        <v># Barra de fórmulas aberta</v>
      </c>
      <c r="AD26" s="11" t="e">
        <f t="shared" si="8"/>
        <v>#VALUE!</v>
      </c>
      <c r="AE26" s="11" t="e">
        <f t="shared" si="9"/>
        <v>#VALUE!</v>
      </c>
      <c r="AF26" s="11" t="e">
        <f t="shared" si="10"/>
        <v>#VALUE!</v>
      </c>
      <c r="AG26" s="11"/>
    </row>
    <row r="27" spans="1:33" x14ac:dyDescent="0.2">
      <c r="D27" s="1">
        <f t="shared" si="0"/>
        <v>0</v>
      </c>
      <c r="E27" s="1">
        <f t="shared" si="1"/>
        <v>0</v>
      </c>
      <c r="F27" s="17"/>
      <c r="G27" s="11"/>
      <c r="H27" s="11" t="str" cm="1">
        <f t="array" ref="H27">xlFOCUS_ExpectativasMensais("IPCA",,$F27,WORKDAY(EDATE($F27,-2),-1,Holidays),WORKDAY(EDATE($F27,-2),-1,Holidays),0,"Mediana")</f>
        <v># Barra de fórmulas aberta</v>
      </c>
      <c r="I27" s="11" t="str" cm="1">
        <f t="array" ref="I27">xlFOCUS_ExpectativasMensais("IPCA",,$F27,WORKDAY(EDATE($F27,-1),-1,Holidays),WORKDAY(EDATE($F27,-1),-1,Holidays),0,"Mediana")</f>
        <v># Barra de fórmulas aberta</v>
      </c>
      <c r="J27" s="11" t="str" cm="1">
        <f t="array" ref="J27">xlFOCUS_ExpectativasMensais("IPCA",,$F27,WORKDAY(EDATE($F27,0),-1,Holidays),WORKDAY(EDATE($F27,0),-1,Holidays),0,"Mediana")</f>
        <v># Barra de fórmulas aberta</v>
      </c>
      <c r="K27" s="11" t="str" cm="1">
        <f t="array" ref="K27">xlFOCUS_ExpectativasMensais("IPCA",,$F27,WORKDAY(EDATE($F27,1),-1,Holidays),WORKDAY(EDATE($F27,1),-1,Holidays),0,"Mediana")</f>
        <v># Barra de fórmulas aberta</v>
      </c>
      <c r="L27" s="11" t="e">
        <f t="shared" si="2"/>
        <v>#VALUE!</v>
      </c>
      <c r="M27" s="11" t="e">
        <f t="shared" si="3"/>
        <v>#VALUE!</v>
      </c>
      <c r="N27" s="11" t="e">
        <f t="shared" si="4"/>
        <v>#VALUE!</v>
      </c>
      <c r="O27" s="11" t="e">
        <f t="shared" si="5"/>
        <v>#VALUE!</v>
      </c>
      <c r="Q27" s="17"/>
      <c r="R27" s="11"/>
      <c r="S27" s="11" t="str" cm="1">
        <f t="array" ref="S27">xlFOCUS_ExpectativasMensais("Câmbio",,$Q27,WORKDAY(EDATE($Q27,-2),-1,Holidays),WORKDAY(EDATE($Q27,-2),-1,Holidays),0,"Mediana")</f>
        <v># Barra de fórmulas aberta</v>
      </c>
      <c r="T27" s="11" t="str" cm="1">
        <f t="array" ref="T27">xlFOCUS_ExpectativasMensais("Câmbio",,$Q27,WORKDAY(EDATE($Q27,-1),-1,Holidays),WORKDAY(EDATE($Q27,-1),-1,Holidays),0,"Mediana")</f>
        <v># Barra de fórmulas aberta</v>
      </c>
      <c r="V27" s="11" t="e">
        <f t="shared" si="6"/>
        <v>#VALUE!</v>
      </c>
      <c r="W27" s="11" t="e">
        <f t="shared" si="7"/>
        <v>#VALUE!</v>
      </c>
      <c r="X27" s="11"/>
      <c r="Y27" s="17"/>
      <c r="Z27" s="11"/>
      <c r="AA27" s="11" t="str" cm="1">
        <f t="array" ref="AA27">xlFOCUS_ExpectativasMensais("IGP-M",,$Y27,WORKDAY(EDATE($Y27,-2),-1,Holidays),WORKDAY(EDATE($Y27,-2),-1,Holidays),0,"Mediana")</f>
        <v># Barra de fórmulas aberta</v>
      </c>
      <c r="AB27" s="11" t="str" cm="1">
        <f t="array" ref="AB27">xlFOCUS_ExpectativasMensais("IGP-M",,$Y27,WORKDAY(EDATE($Y27,-1),-1,Holidays),WORKDAY(EDATE($Y27,-1),-1,Holidays),0,"Mediana")</f>
        <v># Barra de fórmulas aberta</v>
      </c>
      <c r="AC27" s="11" t="str" cm="1">
        <f t="array" ref="AC27">xlFOCUS_ExpectativasMensais("IGP-M",,$Y27,WORKDAY(EDATE($Y27,0),-1,Holidays),WORKDAY(EDATE($Y27,0),-1,Holidays),0,"Mediana")</f>
        <v># Barra de fórmulas aberta</v>
      </c>
      <c r="AD27" s="11" t="e">
        <f t="shared" si="8"/>
        <v>#VALUE!</v>
      </c>
      <c r="AE27" s="11" t="e">
        <f t="shared" si="9"/>
        <v>#VALUE!</v>
      </c>
      <c r="AF27" s="11" t="e">
        <f t="shared" si="10"/>
        <v>#VALUE!</v>
      </c>
      <c r="AG27" s="11"/>
    </row>
    <row r="28" spans="1:33" x14ac:dyDescent="0.2">
      <c r="D28" s="1">
        <f t="shared" si="0"/>
        <v>0</v>
      </c>
      <c r="E28" s="1">
        <f t="shared" si="1"/>
        <v>0</v>
      </c>
      <c r="F28" s="17"/>
      <c r="G28" s="11"/>
      <c r="H28" s="11" t="str" cm="1">
        <f t="array" ref="H28">xlFOCUS_ExpectativasMensais("IPCA",,$F28,WORKDAY(EDATE($F28,-2),-1,Holidays),WORKDAY(EDATE($F28,-2),-1,Holidays),0,"Mediana")</f>
        <v># Barra de fórmulas aberta</v>
      </c>
      <c r="I28" s="11" t="str" cm="1">
        <f t="array" ref="I28">xlFOCUS_ExpectativasMensais("IPCA",,$F28,WORKDAY(EDATE($F28,-1),-1,Holidays),WORKDAY(EDATE($F28,-1),-1,Holidays),0,"Mediana")</f>
        <v># Barra de fórmulas aberta</v>
      </c>
      <c r="J28" s="11" t="str" cm="1">
        <f t="array" ref="J28">xlFOCUS_ExpectativasMensais("IPCA",,$F28,WORKDAY(EDATE($F28,0),-1,Holidays),WORKDAY(EDATE($F28,0),-1,Holidays),0,"Mediana")</f>
        <v># Barra de fórmulas aberta</v>
      </c>
      <c r="K28" s="11" t="str" cm="1">
        <f t="array" ref="K28">xlFOCUS_ExpectativasMensais("IPCA",,$F28,WORKDAY(EDATE($F28,1),-1,Holidays),WORKDAY(EDATE($F28,1),-1,Holidays),0,"Mediana")</f>
        <v># Barra de fórmulas aberta</v>
      </c>
      <c r="L28" s="11" t="e">
        <f t="shared" si="2"/>
        <v>#VALUE!</v>
      </c>
      <c r="M28" s="11" t="e">
        <f t="shared" si="3"/>
        <v>#VALUE!</v>
      </c>
      <c r="N28" s="11" t="e">
        <f t="shared" si="4"/>
        <v>#VALUE!</v>
      </c>
      <c r="O28" s="11" t="e">
        <f t="shared" si="5"/>
        <v>#VALUE!</v>
      </c>
      <c r="Q28" s="17"/>
      <c r="R28" s="11"/>
      <c r="S28" s="11" t="str" cm="1">
        <f t="array" ref="S28">xlFOCUS_ExpectativasMensais("Câmbio",,$Q28,WORKDAY(EDATE($Q28,-2),-1,Holidays),WORKDAY(EDATE($Q28,-2),-1,Holidays),0,"Mediana")</f>
        <v># Barra de fórmulas aberta</v>
      </c>
      <c r="T28" s="11" t="str" cm="1">
        <f t="array" ref="T28">xlFOCUS_ExpectativasMensais("Câmbio",,$Q28,WORKDAY(EDATE($Q28,-1),-1,Holidays),WORKDAY(EDATE($Q28,-1),-1,Holidays),0,"Mediana")</f>
        <v># Barra de fórmulas aberta</v>
      </c>
      <c r="V28" s="11" t="e">
        <f t="shared" si="6"/>
        <v>#VALUE!</v>
      </c>
      <c r="W28" s="11" t="e">
        <f t="shared" si="7"/>
        <v>#VALUE!</v>
      </c>
      <c r="X28" s="11"/>
      <c r="Y28" s="17"/>
      <c r="Z28" s="11"/>
      <c r="AA28" s="11" t="str" cm="1">
        <f t="array" ref="AA28">xlFOCUS_ExpectativasMensais("IGP-M",,$Y28,WORKDAY(EDATE($Y28,-2),-1,Holidays),WORKDAY(EDATE($Y28,-2),-1,Holidays),0,"Mediana")</f>
        <v># Barra de fórmulas aberta</v>
      </c>
      <c r="AB28" s="11" t="str" cm="1">
        <f t="array" ref="AB28">xlFOCUS_ExpectativasMensais("IGP-M",,$Y28,WORKDAY(EDATE($Y28,-1),-1,Holidays),WORKDAY(EDATE($Y28,-1),-1,Holidays),0,"Mediana")</f>
        <v># Barra de fórmulas aberta</v>
      </c>
      <c r="AC28" s="11" t="str" cm="1">
        <f t="array" ref="AC28">xlFOCUS_ExpectativasMensais("IGP-M",,$Y28,WORKDAY(EDATE($Y28,0),-1,Holidays),WORKDAY(EDATE($Y28,0),-1,Holidays),0,"Mediana")</f>
        <v># Barra de fórmulas aberta</v>
      </c>
      <c r="AD28" s="11" t="e">
        <f t="shared" si="8"/>
        <v>#VALUE!</v>
      </c>
      <c r="AE28" s="11" t="e">
        <f t="shared" si="9"/>
        <v>#VALUE!</v>
      </c>
      <c r="AF28" s="11" t="e">
        <f t="shared" si="10"/>
        <v>#VALUE!</v>
      </c>
      <c r="AG28" s="11"/>
    </row>
    <row r="29" spans="1:33" x14ac:dyDescent="0.2">
      <c r="D29" s="1">
        <f t="shared" si="0"/>
        <v>0</v>
      </c>
      <c r="E29" s="1">
        <f t="shared" si="1"/>
        <v>0</v>
      </c>
      <c r="F29" s="17"/>
      <c r="G29" s="11"/>
      <c r="H29" s="11" t="str" cm="1">
        <f t="array" ref="H29">xlFOCUS_ExpectativasMensais("IPCA",,$F29,WORKDAY(EDATE($F29,-2),-1,Holidays),WORKDAY(EDATE($F29,-2),-1,Holidays),0,"Mediana")</f>
        <v># Barra de fórmulas aberta</v>
      </c>
      <c r="I29" s="11" t="str" cm="1">
        <f t="array" ref="I29">xlFOCUS_ExpectativasMensais("IPCA",,$F29,WORKDAY(EDATE($F29,-1),-1,Holidays),WORKDAY(EDATE($F29,-1),-1,Holidays),0,"Mediana")</f>
        <v># Barra de fórmulas aberta</v>
      </c>
      <c r="J29" s="11" t="str" cm="1">
        <f t="array" ref="J29">xlFOCUS_ExpectativasMensais("IPCA",,$F29,WORKDAY(EDATE($F29,0),-1,Holidays),WORKDAY(EDATE($F29,0),-1,Holidays),0,"Mediana")</f>
        <v># Barra de fórmulas aberta</v>
      </c>
      <c r="K29" s="11" t="str" cm="1">
        <f t="array" ref="K29">xlFOCUS_ExpectativasMensais("IPCA",,$F29,WORKDAY(EDATE($F29,1),-1,Holidays),WORKDAY(EDATE($F29,1),-1,Holidays),0,"Mediana")</f>
        <v># Barra de fórmulas aberta</v>
      </c>
      <c r="L29" s="11" t="e">
        <f t="shared" si="2"/>
        <v>#VALUE!</v>
      </c>
      <c r="M29" s="11" t="e">
        <f t="shared" si="3"/>
        <v>#VALUE!</v>
      </c>
      <c r="N29" s="11" t="e">
        <f t="shared" si="4"/>
        <v>#VALUE!</v>
      </c>
      <c r="O29" s="11" t="e">
        <f t="shared" si="5"/>
        <v>#VALUE!</v>
      </c>
      <c r="Q29" s="17"/>
      <c r="R29" s="11"/>
      <c r="S29" s="11" t="str" cm="1">
        <f t="array" ref="S29">xlFOCUS_ExpectativasMensais("Câmbio",,$Q29,WORKDAY(EDATE($Q29,-2),-1,Holidays),WORKDAY(EDATE($Q29,-2),-1,Holidays),0,"Mediana")</f>
        <v># Barra de fórmulas aberta</v>
      </c>
      <c r="T29" s="11" t="str" cm="1">
        <f t="array" ref="T29">xlFOCUS_ExpectativasMensais("Câmbio",,$Q29,WORKDAY(EDATE($Q29,-1),-1,Holidays),WORKDAY(EDATE($Q29,-1),-1,Holidays),0,"Mediana")</f>
        <v># Barra de fórmulas aberta</v>
      </c>
      <c r="V29" s="11" t="e">
        <f t="shared" si="6"/>
        <v>#VALUE!</v>
      </c>
      <c r="W29" s="11" t="e">
        <f t="shared" si="7"/>
        <v>#VALUE!</v>
      </c>
      <c r="X29" s="11"/>
      <c r="Y29" s="17"/>
      <c r="Z29" s="11"/>
      <c r="AA29" s="11" t="str" cm="1">
        <f t="array" ref="AA29">xlFOCUS_ExpectativasMensais("IGP-M",,$Y29,WORKDAY(EDATE($Y29,-2),-1,Holidays),WORKDAY(EDATE($Y29,-2),-1,Holidays),0,"Mediana")</f>
        <v># Barra de fórmulas aberta</v>
      </c>
      <c r="AB29" s="11" t="str" cm="1">
        <f t="array" ref="AB29">xlFOCUS_ExpectativasMensais("IGP-M",,$Y29,WORKDAY(EDATE($Y29,-1),-1,Holidays),WORKDAY(EDATE($Y29,-1),-1,Holidays),0,"Mediana")</f>
        <v># Barra de fórmulas aberta</v>
      </c>
      <c r="AC29" s="11" t="str" cm="1">
        <f t="array" ref="AC29">xlFOCUS_ExpectativasMensais("IGP-M",,$Y29,WORKDAY(EDATE($Y29,0),-1,Holidays),WORKDAY(EDATE($Y29,0),-1,Holidays),0,"Mediana")</f>
        <v># Barra de fórmulas aberta</v>
      </c>
      <c r="AD29" s="11" t="e">
        <f t="shared" si="8"/>
        <v>#VALUE!</v>
      </c>
      <c r="AE29" s="11" t="e">
        <f t="shared" si="9"/>
        <v>#VALUE!</v>
      </c>
      <c r="AF29" s="11" t="e">
        <f t="shared" si="10"/>
        <v>#VALUE!</v>
      </c>
      <c r="AG29" s="11"/>
    </row>
    <row r="30" spans="1:33" x14ac:dyDescent="0.2">
      <c r="D30" s="1">
        <f t="shared" si="0"/>
        <v>0</v>
      </c>
      <c r="E30" s="1">
        <f t="shared" si="1"/>
        <v>0</v>
      </c>
      <c r="F30" s="17"/>
      <c r="G30" s="11"/>
      <c r="H30" s="11" t="str" cm="1">
        <f t="array" ref="H30">xlFOCUS_ExpectativasMensais("IPCA",,$F30,WORKDAY(EDATE($F30,-2),-1,Holidays),WORKDAY(EDATE($F30,-2),-1,Holidays),0,"Mediana")</f>
        <v># Barra de fórmulas aberta</v>
      </c>
      <c r="I30" s="11" t="str" cm="1">
        <f t="array" ref="I30">xlFOCUS_ExpectativasMensais("IPCA",,$F30,WORKDAY(EDATE($F30,-1),-1,Holidays),WORKDAY(EDATE($F30,-1),-1,Holidays),0,"Mediana")</f>
        <v># Barra de fórmulas aberta</v>
      </c>
      <c r="J30" s="11" t="str" cm="1">
        <f t="array" ref="J30">xlFOCUS_ExpectativasMensais("IPCA",,$F30,WORKDAY(EDATE($F30,0),-1,Holidays),WORKDAY(EDATE($F30,0),-1,Holidays),0,"Mediana")</f>
        <v># Barra de fórmulas aberta</v>
      </c>
      <c r="K30" s="11" t="str" cm="1">
        <f t="array" ref="K30">xlFOCUS_ExpectativasMensais("IPCA",,$F30,WORKDAY(EDATE($F30,1),-1,Holidays),WORKDAY(EDATE($F30,1),-1,Holidays),0,"Mediana")</f>
        <v># Barra de fórmulas aberta</v>
      </c>
      <c r="L30" s="11" t="e">
        <f t="shared" si="2"/>
        <v>#VALUE!</v>
      </c>
      <c r="M30" s="11" t="e">
        <f t="shared" si="3"/>
        <v>#VALUE!</v>
      </c>
      <c r="N30" s="11" t="e">
        <f t="shared" si="4"/>
        <v>#VALUE!</v>
      </c>
      <c r="O30" s="11" t="e">
        <f t="shared" si="5"/>
        <v>#VALUE!</v>
      </c>
      <c r="Q30" s="17"/>
      <c r="R30" s="11"/>
      <c r="S30" s="11" t="str" cm="1">
        <f t="array" ref="S30">xlFOCUS_ExpectativasMensais("Câmbio",,$Q30,WORKDAY(EDATE($Q30,-2),-1,Holidays),WORKDAY(EDATE($Q30,-2),-1,Holidays),0,"Mediana")</f>
        <v># Barra de fórmulas aberta</v>
      </c>
      <c r="T30" s="11" t="str" cm="1">
        <f t="array" ref="T30">xlFOCUS_ExpectativasMensais("Câmbio",,$Q30,WORKDAY(EDATE($Q30,-1),-1,Holidays),WORKDAY(EDATE($Q30,-1),-1,Holidays),0,"Mediana")</f>
        <v># Barra de fórmulas aberta</v>
      </c>
      <c r="V30" s="11" t="e">
        <f t="shared" si="6"/>
        <v>#VALUE!</v>
      </c>
      <c r="W30" s="11" t="e">
        <f t="shared" si="7"/>
        <v>#VALUE!</v>
      </c>
      <c r="X30" s="11"/>
      <c r="Y30" s="17"/>
      <c r="Z30" s="11"/>
      <c r="AA30" s="11" t="str" cm="1">
        <f t="array" ref="AA30">xlFOCUS_ExpectativasMensais("IGP-M",,$Y30,WORKDAY(EDATE($Y30,-2),-1,Holidays),WORKDAY(EDATE($Y30,-2),-1,Holidays),0,"Mediana")</f>
        <v># Barra de fórmulas aberta</v>
      </c>
      <c r="AB30" s="11" t="str" cm="1">
        <f t="array" ref="AB30">xlFOCUS_ExpectativasMensais("IGP-M",,$Y30,WORKDAY(EDATE($Y30,-1),-1,Holidays),WORKDAY(EDATE($Y30,-1),-1,Holidays),0,"Mediana")</f>
        <v># Barra de fórmulas aberta</v>
      </c>
      <c r="AC30" s="11" t="str" cm="1">
        <f t="array" ref="AC30">xlFOCUS_ExpectativasMensais("IGP-M",,$Y30,WORKDAY(EDATE($Y30,0),-1,Holidays),WORKDAY(EDATE($Y30,0),-1,Holidays),0,"Mediana")</f>
        <v># Barra de fórmulas aberta</v>
      </c>
      <c r="AD30" s="11" t="e">
        <f t="shared" si="8"/>
        <v>#VALUE!</v>
      </c>
      <c r="AE30" s="11" t="e">
        <f t="shared" si="9"/>
        <v>#VALUE!</v>
      </c>
      <c r="AF30" s="11" t="e">
        <f t="shared" si="10"/>
        <v>#VALUE!</v>
      </c>
      <c r="AG30" s="11"/>
    </row>
    <row r="31" spans="1:33" x14ac:dyDescent="0.2">
      <c r="D31" s="1">
        <f t="shared" si="0"/>
        <v>0</v>
      </c>
      <c r="E31" s="1">
        <f t="shared" si="1"/>
        <v>0</v>
      </c>
      <c r="F31" s="17"/>
      <c r="G31" s="11"/>
      <c r="H31" s="11" t="str" cm="1">
        <f t="array" ref="H31">xlFOCUS_ExpectativasMensais("IPCA",,$F31,WORKDAY(EDATE($F31,-2),-1,Holidays),WORKDAY(EDATE($F31,-2),-1,Holidays),0,"Mediana")</f>
        <v># Barra de fórmulas aberta</v>
      </c>
      <c r="I31" s="11" t="str" cm="1">
        <f t="array" ref="I31">xlFOCUS_ExpectativasMensais("IPCA",,$F31,WORKDAY(EDATE($F31,-1),-1,Holidays),WORKDAY(EDATE($F31,-1),-1,Holidays),0,"Mediana")</f>
        <v># Barra de fórmulas aberta</v>
      </c>
      <c r="J31" s="11" t="str" cm="1">
        <f t="array" ref="J31">xlFOCUS_ExpectativasMensais("IPCA",,$F31,WORKDAY(EDATE($F31,0),-1,Holidays),WORKDAY(EDATE($F31,0),-1,Holidays),0,"Mediana")</f>
        <v># Barra de fórmulas aberta</v>
      </c>
      <c r="K31" s="11" t="str" cm="1">
        <f t="array" ref="K31">xlFOCUS_ExpectativasMensais("IPCA",,$F31,WORKDAY(EDATE($F31,1),-1,Holidays),WORKDAY(EDATE($F31,1),-1,Holidays),0,"Mediana")</f>
        <v># Barra de fórmulas aberta</v>
      </c>
      <c r="L31" s="11" t="e">
        <f t="shared" si="2"/>
        <v>#VALUE!</v>
      </c>
      <c r="M31" s="11" t="e">
        <f t="shared" si="3"/>
        <v>#VALUE!</v>
      </c>
      <c r="N31" s="11" t="e">
        <f t="shared" si="4"/>
        <v>#VALUE!</v>
      </c>
      <c r="O31" s="11" t="e">
        <f t="shared" si="5"/>
        <v>#VALUE!</v>
      </c>
      <c r="Q31" s="17"/>
      <c r="R31" s="11"/>
      <c r="S31" s="11" t="str" cm="1">
        <f t="array" ref="S31">xlFOCUS_ExpectativasMensais("Câmbio",,$Q31,WORKDAY(EDATE($Q31,-2),-1,Holidays),WORKDAY(EDATE($Q31,-2),-1,Holidays),0,"Mediana")</f>
        <v># Barra de fórmulas aberta</v>
      </c>
      <c r="T31" s="11" t="str" cm="1">
        <f t="array" ref="T31">xlFOCUS_ExpectativasMensais("Câmbio",,$Q31,WORKDAY(EDATE($Q31,-1),-1,Holidays),WORKDAY(EDATE($Q31,-1),-1,Holidays),0,"Mediana")</f>
        <v># Barra de fórmulas aberta</v>
      </c>
      <c r="V31" s="11" t="e">
        <f t="shared" si="6"/>
        <v>#VALUE!</v>
      </c>
      <c r="W31" s="11" t="e">
        <f t="shared" si="7"/>
        <v>#VALUE!</v>
      </c>
      <c r="X31" s="11"/>
      <c r="Y31" s="17"/>
      <c r="Z31" s="11"/>
      <c r="AA31" s="11" t="str" cm="1">
        <f t="array" ref="AA31">xlFOCUS_ExpectativasMensais("IGP-M",,$Y31,WORKDAY(EDATE($Y31,-2),-1,Holidays),WORKDAY(EDATE($Y31,-2),-1,Holidays),0,"Mediana")</f>
        <v># Barra de fórmulas aberta</v>
      </c>
      <c r="AB31" s="11" t="str" cm="1">
        <f t="array" ref="AB31">xlFOCUS_ExpectativasMensais("IGP-M",,$Y31,WORKDAY(EDATE($Y31,-1),-1,Holidays),WORKDAY(EDATE($Y31,-1),-1,Holidays),0,"Mediana")</f>
        <v># Barra de fórmulas aberta</v>
      </c>
      <c r="AC31" s="11" t="str" cm="1">
        <f t="array" ref="AC31">xlFOCUS_ExpectativasMensais("IGP-M",,$Y31,WORKDAY(EDATE($Y31,0),-1,Holidays),WORKDAY(EDATE($Y31,0),-1,Holidays),0,"Mediana")</f>
        <v># Barra de fórmulas aberta</v>
      </c>
      <c r="AD31" s="11" t="e">
        <f t="shared" si="8"/>
        <v>#VALUE!</v>
      </c>
      <c r="AE31" s="11" t="e">
        <f t="shared" si="9"/>
        <v>#VALUE!</v>
      </c>
      <c r="AF31" s="11" t="e">
        <f t="shared" si="10"/>
        <v>#VALUE!</v>
      </c>
      <c r="AG31" s="11"/>
    </row>
    <row r="32" spans="1:33" x14ac:dyDescent="0.2">
      <c r="D32" s="1">
        <f t="shared" si="0"/>
        <v>0</v>
      </c>
      <c r="E32" s="1">
        <f t="shared" si="1"/>
        <v>0</v>
      </c>
      <c r="F32" s="17"/>
      <c r="G32" s="11"/>
      <c r="H32" s="11" t="str" cm="1">
        <f t="array" ref="H32">xlFOCUS_ExpectativasMensais("IPCA",,$F32,WORKDAY(EDATE($F32,-2),-1,Holidays),WORKDAY(EDATE($F32,-2),-1,Holidays),0,"Mediana")</f>
        <v># Barra de fórmulas aberta</v>
      </c>
      <c r="I32" s="11" t="str" cm="1">
        <f t="array" ref="I32">xlFOCUS_ExpectativasMensais("IPCA",,$F32,WORKDAY(EDATE($F32,-1),-1,Holidays),WORKDAY(EDATE($F32,-1),-1,Holidays),0,"Mediana")</f>
        <v># Barra de fórmulas aberta</v>
      </c>
      <c r="J32" s="11" t="str" cm="1">
        <f t="array" ref="J32">xlFOCUS_ExpectativasMensais("IPCA",,$F32,WORKDAY(EDATE($F32,0),-1,Holidays),WORKDAY(EDATE($F32,0),-1,Holidays),0,"Mediana")</f>
        <v># Barra de fórmulas aberta</v>
      </c>
      <c r="K32" s="11" t="str" cm="1">
        <f t="array" ref="K32">xlFOCUS_ExpectativasMensais("IPCA",,$F32,WORKDAY(EDATE($F32,1),-1,Holidays),WORKDAY(EDATE($F32,1),-1,Holidays),0,"Mediana")</f>
        <v># Barra de fórmulas aberta</v>
      </c>
      <c r="L32" s="11" t="e">
        <f t="shared" si="2"/>
        <v>#VALUE!</v>
      </c>
      <c r="M32" s="11" t="e">
        <f t="shared" si="3"/>
        <v>#VALUE!</v>
      </c>
      <c r="N32" s="11" t="e">
        <f t="shared" si="4"/>
        <v>#VALUE!</v>
      </c>
      <c r="O32" s="11" t="e">
        <f t="shared" si="5"/>
        <v>#VALUE!</v>
      </c>
      <c r="Q32" s="17"/>
      <c r="R32" s="11"/>
      <c r="S32" s="11" t="str" cm="1">
        <f t="array" ref="S32">xlFOCUS_ExpectativasMensais("Câmbio",,$Q32,WORKDAY(EDATE($Q32,-2),-1,Holidays),WORKDAY(EDATE($Q32,-2),-1,Holidays),0,"Mediana")</f>
        <v># Barra de fórmulas aberta</v>
      </c>
      <c r="T32" s="11" t="str" cm="1">
        <f t="array" ref="T32">xlFOCUS_ExpectativasMensais("Câmbio",,$Q32,WORKDAY(EDATE($Q32,-1),-1,Holidays),WORKDAY(EDATE($Q32,-1),-1,Holidays),0,"Mediana")</f>
        <v># Barra de fórmulas aberta</v>
      </c>
      <c r="V32" s="11" t="e">
        <f t="shared" si="6"/>
        <v>#VALUE!</v>
      </c>
      <c r="W32" s="11" t="e">
        <f t="shared" si="7"/>
        <v>#VALUE!</v>
      </c>
      <c r="X32" s="11"/>
      <c r="Y32" s="17"/>
      <c r="Z32" s="11"/>
      <c r="AA32" s="11" t="str" cm="1">
        <f t="array" ref="AA32">xlFOCUS_ExpectativasMensais("IGP-M",,$Y32,WORKDAY(EDATE($Y32,-2),-1,Holidays),WORKDAY(EDATE($Y32,-2),-1,Holidays),0,"Mediana")</f>
        <v># Barra de fórmulas aberta</v>
      </c>
      <c r="AB32" s="11" t="str" cm="1">
        <f t="array" ref="AB32">xlFOCUS_ExpectativasMensais("IGP-M",,$Y32,WORKDAY(EDATE($Y32,-1),-1,Holidays),WORKDAY(EDATE($Y32,-1),-1,Holidays),0,"Mediana")</f>
        <v># Barra de fórmulas aberta</v>
      </c>
      <c r="AC32" s="11" t="str" cm="1">
        <f t="array" ref="AC32">xlFOCUS_ExpectativasMensais("IGP-M",,$Y32,WORKDAY(EDATE($Y32,0),-1,Holidays),WORKDAY(EDATE($Y32,0),-1,Holidays),0,"Mediana")</f>
        <v># Barra de fórmulas aberta</v>
      </c>
      <c r="AD32" s="11" t="e">
        <f t="shared" si="8"/>
        <v>#VALUE!</v>
      </c>
      <c r="AE32" s="11" t="e">
        <f t="shared" si="9"/>
        <v>#VALUE!</v>
      </c>
      <c r="AF32" s="11" t="e">
        <f t="shared" si="10"/>
        <v>#VALUE!</v>
      </c>
      <c r="AG32" s="11"/>
    </row>
    <row r="33" spans="4:33" x14ac:dyDescent="0.2">
      <c r="D33" s="1">
        <f t="shared" si="0"/>
        <v>0</v>
      </c>
      <c r="E33" s="1">
        <f t="shared" si="1"/>
        <v>0</v>
      </c>
      <c r="F33" s="17"/>
      <c r="G33" s="11"/>
      <c r="H33" s="11" t="str" cm="1">
        <f t="array" ref="H33">xlFOCUS_ExpectativasMensais("IPCA",,$F33,WORKDAY(EDATE($F33,-2),-1,Holidays),WORKDAY(EDATE($F33,-2),-1,Holidays),0,"Mediana")</f>
        <v># Barra de fórmulas aberta</v>
      </c>
      <c r="I33" s="11" t="str" cm="1">
        <f t="array" ref="I33">xlFOCUS_ExpectativasMensais("IPCA",,$F33,WORKDAY(EDATE($F33,-1),-1,Holidays),WORKDAY(EDATE($F33,-1),-1,Holidays),0,"Mediana")</f>
        <v># Barra de fórmulas aberta</v>
      </c>
      <c r="J33" s="11" t="str" cm="1">
        <f t="array" ref="J33">xlFOCUS_ExpectativasMensais("IPCA",,$F33,WORKDAY(EDATE($F33,0),-1,Holidays),WORKDAY(EDATE($F33,0),-1,Holidays),0,"Mediana")</f>
        <v># Barra de fórmulas aberta</v>
      </c>
      <c r="K33" s="11" t="str" cm="1">
        <f t="array" ref="K33">xlFOCUS_ExpectativasMensais("IPCA",,$F33,WORKDAY(EDATE($F33,1),-1,Holidays),WORKDAY(EDATE($F33,1),-1,Holidays),0,"Mediana")</f>
        <v># Barra de fórmulas aberta</v>
      </c>
      <c r="L33" s="11" t="e">
        <f t="shared" si="2"/>
        <v>#VALUE!</v>
      </c>
      <c r="M33" s="11" t="e">
        <f t="shared" si="3"/>
        <v>#VALUE!</v>
      </c>
      <c r="N33" s="11" t="e">
        <f t="shared" si="4"/>
        <v>#VALUE!</v>
      </c>
      <c r="O33" s="11" t="e">
        <f t="shared" si="5"/>
        <v>#VALUE!</v>
      </c>
      <c r="Q33" s="17"/>
      <c r="R33" s="11"/>
      <c r="S33" s="11" t="str" cm="1">
        <f t="array" ref="S33">xlFOCUS_ExpectativasMensais("Câmbio",,$Q33,WORKDAY(EDATE($Q33,-2),-1,Holidays),WORKDAY(EDATE($Q33,-2),-1,Holidays),0,"Mediana")</f>
        <v># Barra de fórmulas aberta</v>
      </c>
      <c r="T33" s="11" t="str" cm="1">
        <f t="array" ref="T33">xlFOCUS_ExpectativasMensais("Câmbio",,$Q33,WORKDAY(EDATE($Q33,-1),-1,Holidays),WORKDAY(EDATE($Q33,-1),-1,Holidays),0,"Mediana")</f>
        <v># Barra de fórmulas aberta</v>
      </c>
      <c r="V33" s="11" t="e">
        <f t="shared" si="6"/>
        <v>#VALUE!</v>
      </c>
      <c r="W33" s="11" t="e">
        <f t="shared" si="7"/>
        <v>#VALUE!</v>
      </c>
      <c r="X33" s="11"/>
      <c r="Y33" s="17"/>
      <c r="Z33" s="11"/>
      <c r="AA33" s="11" t="str" cm="1">
        <f t="array" ref="AA33">xlFOCUS_ExpectativasMensais("IGP-M",,$Y33,WORKDAY(EDATE($Y33,-2),-1,Holidays),WORKDAY(EDATE($Y33,-2),-1,Holidays),0,"Mediana")</f>
        <v># Barra de fórmulas aberta</v>
      </c>
      <c r="AB33" s="11" t="str" cm="1">
        <f t="array" ref="AB33">xlFOCUS_ExpectativasMensais("IGP-M",,$Y33,WORKDAY(EDATE($Y33,-1),-1,Holidays),WORKDAY(EDATE($Y33,-1),-1,Holidays),0,"Mediana")</f>
        <v># Barra de fórmulas aberta</v>
      </c>
      <c r="AC33" s="11" t="str" cm="1">
        <f t="array" ref="AC33">xlFOCUS_ExpectativasMensais("IGP-M",,$Y33,WORKDAY(EDATE($Y33,0),-1,Holidays),WORKDAY(EDATE($Y33,0),-1,Holidays),0,"Mediana")</f>
        <v># Barra de fórmulas aberta</v>
      </c>
      <c r="AD33" s="11" t="e">
        <f t="shared" si="8"/>
        <v>#VALUE!</v>
      </c>
      <c r="AE33" s="11" t="e">
        <f t="shared" si="9"/>
        <v>#VALUE!</v>
      </c>
      <c r="AF33" s="11" t="e">
        <f t="shared" si="10"/>
        <v>#VALUE!</v>
      </c>
      <c r="AG33" s="11"/>
    </row>
    <row r="34" spans="4:33" x14ac:dyDescent="0.2">
      <c r="D34" s="1">
        <f t="shared" si="0"/>
        <v>0</v>
      </c>
      <c r="E34" s="1">
        <f t="shared" si="1"/>
        <v>0</v>
      </c>
      <c r="F34" s="17"/>
      <c r="G34" s="11"/>
      <c r="H34" s="11" t="str" cm="1">
        <f t="array" ref="H34">xlFOCUS_ExpectativasMensais("IPCA",,$F34,WORKDAY(EDATE($F34,-2),-1,Holidays),WORKDAY(EDATE($F34,-2),-1,Holidays),0,"Mediana")</f>
        <v># Barra de fórmulas aberta</v>
      </c>
      <c r="I34" s="11" t="str" cm="1">
        <f t="array" ref="I34">xlFOCUS_ExpectativasMensais("IPCA",,$F34,WORKDAY(EDATE($F34,-1),-1,Holidays),WORKDAY(EDATE($F34,-1),-1,Holidays),0,"Mediana")</f>
        <v># Barra de fórmulas aberta</v>
      </c>
      <c r="J34" s="11" t="str" cm="1">
        <f t="array" ref="J34">xlFOCUS_ExpectativasMensais("IPCA",,$F34,WORKDAY(EDATE($F34,0),-1,Holidays),WORKDAY(EDATE($F34,0),-1,Holidays),0,"Mediana")</f>
        <v># Barra de fórmulas aberta</v>
      </c>
      <c r="K34" s="11" t="str" cm="1">
        <f t="array" ref="K34">xlFOCUS_ExpectativasMensais("IPCA",,$F34,WORKDAY(EDATE($F34,1),-1,Holidays),WORKDAY(EDATE($F34,1),-1,Holidays),0,"Mediana")</f>
        <v># Barra de fórmulas aberta</v>
      </c>
      <c r="L34" s="11" t="e">
        <f t="shared" si="2"/>
        <v>#VALUE!</v>
      </c>
      <c r="M34" s="11" t="e">
        <f t="shared" si="3"/>
        <v>#VALUE!</v>
      </c>
      <c r="N34" s="11" t="e">
        <f t="shared" si="4"/>
        <v>#VALUE!</v>
      </c>
      <c r="O34" s="11" t="e">
        <f t="shared" si="5"/>
        <v>#VALUE!</v>
      </c>
      <c r="Q34" s="17"/>
      <c r="R34" s="11"/>
      <c r="S34" s="11" t="str" cm="1">
        <f t="array" ref="S34">xlFOCUS_ExpectativasMensais("Câmbio",,$Q34,WORKDAY(EDATE($Q34,-2),-1,Holidays),WORKDAY(EDATE($Q34,-2),-1,Holidays),0,"Mediana")</f>
        <v># Barra de fórmulas aberta</v>
      </c>
      <c r="T34" s="11" t="str" cm="1">
        <f t="array" ref="T34">xlFOCUS_ExpectativasMensais("Câmbio",,$Q34,WORKDAY(EDATE($Q34,-1),-1,Holidays),WORKDAY(EDATE($Q34,-1),-1,Holidays),0,"Mediana")</f>
        <v># Barra de fórmulas aberta</v>
      </c>
      <c r="V34" s="11" t="e">
        <f t="shared" si="6"/>
        <v>#VALUE!</v>
      </c>
      <c r="W34" s="11" t="e">
        <f t="shared" si="7"/>
        <v>#VALUE!</v>
      </c>
      <c r="X34" s="11"/>
      <c r="Y34" s="17"/>
      <c r="Z34" s="11"/>
      <c r="AA34" s="11" t="str" cm="1">
        <f t="array" ref="AA34">xlFOCUS_ExpectativasMensais("IGP-M",,$Y34,WORKDAY(EDATE($Y34,-2),-1,Holidays),WORKDAY(EDATE($Y34,-2),-1,Holidays),0,"Mediana")</f>
        <v># Barra de fórmulas aberta</v>
      </c>
      <c r="AB34" s="11" t="str" cm="1">
        <f t="array" ref="AB34">xlFOCUS_ExpectativasMensais("IGP-M",,$Y34,WORKDAY(EDATE($Y34,-1),-1,Holidays),WORKDAY(EDATE($Y34,-1),-1,Holidays),0,"Mediana")</f>
        <v># Barra de fórmulas aberta</v>
      </c>
      <c r="AC34" s="11" t="str" cm="1">
        <f t="array" ref="AC34">xlFOCUS_ExpectativasMensais("IGP-M",,$Y34,WORKDAY(EDATE($Y34,0),-1,Holidays),WORKDAY(EDATE($Y34,0),-1,Holidays),0,"Mediana")</f>
        <v># Barra de fórmulas aberta</v>
      </c>
      <c r="AD34" s="11" t="e">
        <f t="shared" si="8"/>
        <v>#VALUE!</v>
      </c>
      <c r="AE34" s="11" t="e">
        <f t="shared" si="9"/>
        <v>#VALUE!</v>
      </c>
      <c r="AF34" s="11" t="e">
        <f t="shared" si="10"/>
        <v>#VALUE!</v>
      </c>
      <c r="AG34" s="11"/>
    </row>
    <row r="35" spans="4:33" x14ac:dyDescent="0.2">
      <c r="D35" s="1">
        <f t="shared" si="0"/>
        <v>0</v>
      </c>
      <c r="E35" s="1">
        <f t="shared" si="1"/>
        <v>0</v>
      </c>
      <c r="F35" s="17"/>
      <c r="G35" s="11"/>
      <c r="H35" s="11" t="str" cm="1">
        <f t="array" ref="H35">xlFOCUS_ExpectativasMensais("IPCA",,$F35,WORKDAY(EDATE($F35,-2),-1,Holidays),WORKDAY(EDATE($F35,-2),-1,Holidays),0,"Mediana")</f>
        <v># Barra de fórmulas aberta</v>
      </c>
      <c r="I35" s="11" t="str" cm="1">
        <f t="array" ref="I35">xlFOCUS_ExpectativasMensais("IPCA",,$F35,WORKDAY(EDATE($F35,-1),-1,Holidays),WORKDAY(EDATE($F35,-1),-1,Holidays),0,"Mediana")</f>
        <v># Barra de fórmulas aberta</v>
      </c>
      <c r="J35" s="11" t="str" cm="1">
        <f t="array" ref="J35">xlFOCUS_ExpectativasMensais("IPCA",,$F35,WORKDAY(EDATE($F35,0),-1,Holidays),WORKDAY(EDATE($F35,0),-1,Holidays),0,"Mediana")</f>
        <v># Barra de fórmulas aberta</v>
      </c>
      <c r="K35" s="11" t="str" cm="1">
        <f t="array" ref="K35">xlFOCUS_ExpectativasMensais("IPCA",,$F35,WORKDAY(EDATE($F35,1),-1,Holidays),WORKDAY(EDATE($F35,1),-1,Holidays),0,"Mediana")</f>
        <v># Barra de fórmulas aberta</v>
      </c>
      <c r="L35" s="11" t="e">
        <f t="shared" si="2"/>
        <v>#VALUE!</v>
      </c>
      <c r="M35" s="11" t="e">
        <f t="shared" si="3"/>
        <v>#VALUE!</v>
      </c>
      <c r="N35" s="11" t="e">
        <f t="shared" si="4"/>
        <v>#VALUE!</v>
      </c>
      <c r="O35" s="11" t="e">
        <f t="shared" si="5"/>
        <v>#VALUE!</v>
      </c>
      <c r="Q35" s="17"/>
      <c r="R35" s="11"/>
      <c r="S35" s="11" t="str" cm="1">
        <f t="array" ref="S35">xlFOCUS_ExpectativasMensais("Câmbio",,$Q35,WORKDAY(EDATE($Q35,-2),-1,Holidays),WORKDAY(EDATE($Q35,-2),-1,Holidays),0,"Mediana")</f>
        <v># Barra de fórmulas aberta</v>
      </c>
      <c r="T35" s="11" t="str" cm="1">
        <f t="array" ref="T35">xlFOCUS_ExpectativasMensais("Câmbio",,$Q35,WORKDAY(EDATE($Q35,-1),-1,Holidays),WORKDAY(EDATE($Q35,-1),-1,Holidays),0,"Mediana")</f>
        <v># Barra de fórmulas aberta</v>
      </c>
      <c r="V35" s="11" t="e">
        <f t="shared" si="6"/>
        <v>#VALUE!</v>
      </c>
      <c r="W35" s="11" t="e">
        <f t="shared" si="7"/>
        <v>#VALUE!</v>
      </c>
      <c r="X35" s="11"/>
      <c r="Y35" s="17"/>
      <c r="Z35" s="11"/>
      <c r="AA35" s="11" t="str" cm="1">
        <f t="array" ref="AA35">xlFOCUS_ExpectativasMensais("IGP-M",,$Y35,WORKDAY(EDATE($Y35,-2),-1,Holidays),WORKDAY(EDATE($Y35,-2),-1,Holidays),0,"Mediana")</f>
        <v># Barra de fórmulas aberta</v>
      </c>
      <c r="AB35" s="11" t="str" cm="1">
        <f t="array" ref="AB35">xlFOCUS_ExpectativasMensais("IGP-M",,$Y35,WORKDAY(EDATE($Y35,-1),-1,Holidays),WORKDAY(EDATE($Y35,-1),-1,Holidays),0,"Mediana")</f>
        <v># Barra de fórmulas aberta</v>
      </c>
      <c r="AC35" s="11" t="str" cm="1">
        <f t="array" ref="AC35">xlFOCUS_ExpectativasMensais("IGP-M",,$Y35,WORKDAY(EDATE($Y35,0),-1,Holidays),WORKDAY(EDATE($Y35,0),-1,Holidays),0,"Mediana")</f>
        <v># Barra de fórmulas aberta</v>
      </c>
      <c r="AD35" s="11" t="e">
        <f t="shared" si="8"/>
        <v>#VALUE!</v>
      </c>
      <c r="AE35" s="11" t="e">
        <f t="shared" si="9"/>
        <v>#VALUE!</v>
      </c>
      <c r="AF35" s="11" t="e">
        <f t="shared" si="10"/>
        <v>#VALUE!</v>
      </c>
      <c r="AG35" s="11"/>
    </row>
    <row r="36" spans="4:33" x14ac:dyDescent="0.2">
      <c r="D36" s="1">
        <f t="shared" si="0"/>
        <v>0</v>
      </c>
      <c r="E36" s="1">
        <f t="shared" si="1"/>
        <v>0</v>
      </c>
      <c r="F36" s="17"/>
      <c r="G36" s="11"/>
      <c r="H36" s="11" t="str" cm="1">
        <f t="array" ref="H36">xlFOCUS_ExpectativasMensais("IPCA",,$F36,WORKDAY(EDATE($F36,-2),-1,Holidays),WORKDAY(EDATE($F36,-2),-1,Holidays),0,"Mediana")</f>
        <v># Barra de fórmulas aberta</v>
      </c>
      <c r="I36" s="11" t="str" cm="1">
        <f t="array" ref="I36">xlFOCUS_ExpectativasMensais("IPCA",,$F36,WORKDAY(EDATE($F36,-1),-1,Holidays),WORKDAY(EDATE($F36,-1),-1,Holidays),0,"Mediana")</f>
        <v># Barra de fórmulas aberta</v>
      </c>
      <c r="J36" s="11" t="str" cm="1">
        <f t="array" ref="J36">xlFOCUS_ExpectativasMensais("IPCA",,$F36,WORKDAY(EDATE($F36,0),-1,Holidays),WORKDAY(EDATE($F36,0),-1,Holidays),0,"Mediana")</f>
        <v># Barra de fórmulas aberta</v>
      </c>
      <c r="K36" s="11" t="str" cm="1">
        <f t="array" ref="K36">xlFOCUS_ExpectativasMensais("IPCA",,$F36,WORKDAY(EDATE($F36,1),-1,Holidays),WORKDAY(EDATE($F36,1),-1,Holidays),0,"Mediana")</f>
        <v># Barra de fórmulas aberta</v>
      </c>
      <c r="L36" s="11" t="e">
        <f t="shared" si="2"/>
        <v>#VALUE!</v>
      </c>
      <c r="M36" s="11" t="e">
        <f t="shared" si="3"/>
        <v>#VALUE!</v>
      </c>
      <c r="N36" s="11" t="e">
        <f t="shared" si="4"/>
        <v>#VALUE!</v>
      </c>
      <c r="O36" s="11" t="e">
        <f t="shared" si="5"/>
        <v>#VALUE!</v>
      </c>
      <c r="Q36" s="17"/>
      <c r="R36" s="11"/>
      <c r="S36" s="11" t="str" cm="1">
        <f t="array" ref="S36">xlFOCUS_ExpectativasMensais("Câmbio",,$Q36,WORKDAY(EDATE($Q36,-2),-1,Holidays),WORKDAY(EDATE($Q36,-2),-1,Holidays),0,"Mediana")</f>
        <v># Barra de fórmulas aberta</v>
      </c>
      <c r="T36" s="11" t="str" cm="1">
        <f t="array" ref="T36">xlFOCUS_ExpectativasMensais("Câmbio",,$Q36,WORKDAY(EDATE($Q36,-1),-1,Holidays),WORKDAY(EDATE($Q36,-1),-1,Holidays),0,"Mediana")</f>
        <v># Barra de fórmulas aberta</v>
      </c>
      <c r="V36" s="11" t="e">
        <f t="shared" si="6"/>
        <v>#VALUE!</v>
      </c>
      <c r="W36" s="11" t="e">
        <f t="shared" si="7"/>
        <v>#VALUE!</v>
      </c>
      <c r="X36" s="11"/>
      <c r="Y36" s="17"/>
      <c r="Z36" s="11"/>
      <c r="AA36" s="11" t="str" cm="1">
        <f t="array" ref="AA36">xlFOCUS_ExpectativasMensais("IGP-M",,$Y36,WORKDAY(EDATE($Y36,-2),-1,Holidays),WORKDAY(EDATE($Y36,-2),-1,Holidays),0,"Mediana")</f>
        <v># Barra de fórmulas aberta</v>
      </c>
      <c r="AB36" s="11" t="str" cm="1">
        <f t="array" ref="AB36">xlFOCUS_ExpectativasMensais("IGP-M",,$Y36,WORKDAY(EDATE($Y36,-1),-1,Holidays),WORKDAY(EDATE($Y36,-1),-1,Holidays),0,"Mediana")</f>
        <v># Barra de fórmulas aberta</v>
      </c>
      <c r="AC36" s="11" t="str" cm="1">
        <f t="array" ref="AC36">xlFOCUS_ExpectativasMensais("IGP-M",,$Y36,WORKDAY(EDATE($Y36,0),-1,Holidays),WORKDAY(EDATE($Y36,0),-1,Holidays),0,"Mediana")</f>
        <v># Barra de fórmulas aberta</v>
      </c>
      <c r="AD36" s="11" t="e">
        <f t="shared" si="8"/>
        <v>#VALUE!</v>
      </c>
      <c r="AE36" s="11" t="e">
        <f t="shared" si="9"/>
        <v>#VALUE!</v>
      </c>
      <c r="AF36" s="11" t="e">
        <f t="shared" si="10"/>
        <v>#VALUE!</v>
      </c>
      <c r="AG36" s="11"/>
    </row>
    <row r="37" spans="4:33" x14ac:dyDescent="0.2">
      <c r="D37" s="1">
        <f t="shared" si="0"/>
        <v>0</v>
      </c>
      <c r="E37" s="1">
        <f t="shared" si="1"/>
        <v>0</v>
      </c>
      <c r="F37" s="17"/>
      <c r="G37" s="11"/>
      <c r="H37" s="11" t="str" cm="1">
        <f t="array" ref="H37">xlFOCUS_ExpectativasMensais("IPCA",,$F37,WORKDAY(EDATE($F37,-2),-1,Holidays),WORKDAY(EDATE($F37,-2),-1,Holidays),0,"Mediana")</f>
        <v># Barra de fórmulas aberta</v>
      </c>
      <c r="I37" s="11" t="str" cm="1">
        <f t="array" ref="I37">xlFOCUS_ExpectativasMensais("IPCA",,$F37,WORKDAY(EDATE($F37,-1),-1,Holidays),WORKDAY(EDATE($F37,-1),-1,Holidays),0,"Mediana")</f>
        <v># Barra de fórmulas aberta</v>
      </c>
      <c r="J37" s="11" t="str" cm="1">
        <f t="array" ref="J37">xlFOCUS_ExpectativasMensais("IPCA",,$F37,WORKDAY(EDATE($F37,0),-1,Holidays),WORKDAY(EDATE($F37,0),-1,Holidays),0,"Mediana")</f>
        <v># Barra de fórmulas aberta</v>
      </c>
      <c r="K37" s="11" t="str" cm="1">
        <f t="array" ref="K37">xlFOCUS_ExpectativasMensais("IPCA",,$F37,WORKDAY(EDATE($F37,1),-1,Holidays),WORKDAY(EDATE($F37,1),-1,Holidays),0,"Mediana")</f>
        <v># Barra de fórmulas aberta</v>
      </c>
      <c r="L37" s="11" t="e">
        <f t="shared" si="2"/>
        <v>#VALUE!</v>
      </c>
      <c r="M37" s="11" t="e">
        <f t="shared" si="3"/>
        <v>#VALUE!</v>
      </c>
      <c r="N37" s="11" t="e">
        <f t="shared" si="4"/>
        <v>#VALUE!</v>
      </c>
      <c r="O37" s="11" t="e">
        <f t="shared" si="5"/>
        <v>#VALUE!</v>
      </c>
      <c r="Q37" s="17"/>
      <c r="R37" s="11"/>
      <c r="S37" s="11" t="str" cm="1">
        <f t="array" ref="S37">xlFOCUS_ExpectativasMensais("Câmbio",,$Q37,WORKDAY(EDATE($Q37,-2),-1,Holidays),WORKDAY(EDATE($Q37,-2),-1,Holidays),0,"Mediana")</f>
        <v># Barra de fórmulas aberta</v>
      </c>
      <c r="T37" s="11" t="str" cm="1">
        <f t="array" ref="T37">xlFOCUS_ExpectativasMensais("Câmbio",,$Q37,WORKDAY(EDATE($Q37,-1),-1,Holidays),WORKDAY(EDATE($Q37,-1),-1,Holidays),0,"Mediana")</f>
        <v># Barra de fórmulas aberta</v>
      </c>
      <c r="V37" s="11" t="e">
        <f t="shared" si="6"/>
        <v>#VALUE!</v>
      </c>
      <c r="W37" s="11" t="e">
        <f t="shared" si="7"/>
        <v>#VALUE!</v>
      </c>
      <c r="X37" s="11"/>
      <c r="Y37" s="17"/>
      <c r="Z37" s="11"/>
      <c r="AA37" s="11" t="str" cm="1">
        <f t="array" ref="AA37">xlFOCUS_ExpectativasMensais("IGP-M",,$Y37,WORKDAY(EDATE($Y37,-2),-1,Holidays),WORKDAY(EDATE($Y37,-2),-1,Holidays),0,"Mediana")</f>
        <v># Barra de fórmulas aberta</v>
      </c>
      <c r="AB37" s="11" t="str" cm="1">
        <f t="array" ref="AB37">xlFOCUS_ExpectativasMensais("IGP-M",,$Y37,WORKDAY(EDATE($Y37,-1),-1,Holidays),WORKDAY(EDATE($Y37,-1),-1,Holidays),0,"Mediana")</f>
        <v># Barra de fórmulas aberta</v>
      </c>
      <c r="AC37" s="11" t="str" cm="1">
        <f t="array" ref="AC37">xlFOCUS_ExpectativasMensais("IGP-M",,$Y37,WORKDAY(EDATE($Y37,0),-1,Holidays),WORKDAY(EDATE($Y37,0),-1,Holidays),0,"Mediana")</f>
        <v># Barra de fórmulas aberta</v>
      </c>
      <c r="AD37" s="11" t="e">
        <f t="shared" si="8"/>
        <v>#VALUE!</v>
      </c>
      <c r="AE37" s="11" t="e">
        <f t="shared" si="9"/>
        <v>#VALUE!</v>
      </c>
      <c r="AF37" s="11" t="e">
        <f t="shared" si="10"/>
        <v>#VALUE!</v>
      </c>
      <c r="AG37" s="11"/>
    </row>
    <row r="38" spans="4:33" x14ac:dyDescent="0.2">
      <c r="D38" s="1">
        <f t="shared" si="0"/>
        <v>0</v>
      </c>
      <c r="E38" s="1">
        <f t="shared" si="1"/>
        <v>0</v>
      </c>
      <c r="F38" s="17"/>
      <c r="G38" s="11"/>
      <c r="H38" s="11" t="str" cm="1">
        <f t="array" ref="H38">xlFOCUS_ExpectativasMensais("IPCA",,$F38,WORKDAY(EDATE($F38,-2),-1,Holidays),WORKDAY(EDATE($F38,-2),-1,Holidays),0,"Mediana")</f>
        <v># Barra de fórmulas aberta</v>
      </c>
      <c r="I38" s="11" t="str" cm="1">
        <f t="array" ref="I38">xlFOCUS_ExpectativasMensais("IPCA",,$F38,WORKDAY(EDATE($F38,-1),-1,Holidays),WORKDAY(EDATE($F38,-1),-1,Holidays),0,"Mediana")</f>
        <v># Barra de fórmulas aberta</v>
      </c>
      <c r="J38" s="11" t="str" cm="1">
        <f t="array" ref="J38">xlFOCUS_ExpectativasMensais("IPCA",,$F38,WORKDAY(EDATE($F38,0),-1,Holidays),WORKDAY(EDATE($F38,0),-1,Holidays),0,"Mediana")</f>
        <v># Barra de fórmulas aberta</v>
      </c>
      <c r="K38" s="11" t="str" cm="1">
        <f t="array" ref="K38">xlFOCUS_ExpectativasMensais("IPCA",,$F38,WORKDAY(EDATE($F38,1),-1,Holidays),WORKDAY(EDATE($F38,1),-1,Holidays),0,"Mediana")</f>
        <v># Barra de fórmulas aberta</v>
      </c>
      <c r="L38" s="11" t="e">
        <f t="shared" si="2"/>
        <v>#VALUE!</v>
      </c>
      <c r="M38" s="11" t="e">
        <f t="shared" si="3"/>
        <v>#VALUE!</v>
      </c>
      <c r="N38" s="11" t="e">
        <f t="shared" si="4"/>
        <v>#VALUE!</v>
      </c>
      <c r="O38" s="11" t="e">
        <f t="shared" si="5"/>
        <v>#VALUE!</v>
      </c>
      <c r="Q38" s="17"/>
      <c r="R38" s="11"/>
      <c r="S38" s="11" t="str" cm="1">
        <f t="array" ref="S38">xlFOCUS_ExpectativasMensais("Câmbio",,$Q38,WORKDAY(EDATE($Q38,-2),-1,Holidays),WORKDAY(EDATE($Q38,-2),-1,Holidays),0,"Mediana")</f>
        <v># Barra de fórmulas aberta</v>
      </c>
      <c r="T38" s="11" t="str" cm="1">
        <f t="array" ref="T38">xlFOCUS_ExpectativasMensais("Câmbio",,$Q38,WORKDAY(EDATE($Q38,-1),-1,Holidays),WORKDAY(EDATE($Q38,-1),-1,Holidays),0,"Mediana")</f>
        <v># Barra de fórmulas aberta</v>
      </c>
      <c r="V38" s="11" t="e">
        <f t="shared" si="6"/>
        <v>#VALUE!</v>
      </c>
      <c r="W38" s="11" t="e">
        <f t="shared" si="7"/>
        <v>#VALUE!</v>
      </c>
      <c r="X38" s="11"/>
      <c r="Y38" s="17"/>
      <c r="Z38" s="11"/>
      <c r="AA38" s="11" t="str" cm="1">
        <f t="array" ref="AA38">xlFOCUS_ExpectativasMensais("IGP-M",,$Y38,WORKDAY(EDATE($Y38,-2),-1,Holidays),WORKDAY(EDATE($Y38,-2),-1,Holidays),0,"Mediana")</f>
        <v># Barra de fórmulas aberta</v>
      </c>
      <c r="AB38" s="11" t="str" cm="1">
        <f t="array" ref="AB38">xlFOCUS_ExpectativasMensais("IGP-M",,$Y38,WORKDAY(EDATE($Y38,-1),-1,Holidays),WORKDAY(EDATE($Y38,-1),-1,Holidays),0,"Mediana")</f>
        <v># Barra de fórmulas aberta</v>
      </c>
      <c r="AC38" s="11" t="str" cm="1">
        <f t="array" ref="AC38">xlFOCUS_ExpectativasMensais("IGP-M",,$Y38,WORKDAY(EDATE($Y38,0),-1,Holidays),WORKDAY(EDATE($Y38,0),-1,Holidays),0,"Mediana")</f>
        <v># Barra de fórmulas aberta</v>
      </c>
      <c r="AD38" s="11" t="e">
        <f t="shared" si="8"/>
        <v>#VALUE!</v>
      </c>
      <c r="AE38" s="11" t="e">
        <f t="shared" si="9"/>
        <v>#VALUE!</v>
      </c>
      <c r="AF38" s="11" t="e">
        <f t="shared" si="10"/>
        <v>#VALUE!</v>
      </c>
      <c r="AG38" s="11"/>
    </row>
    <row r="39" spans="4:33" x14ac:dyDescent="0.2">
      <c r="D39" s="1">
        <f t="shared" si="0"/>
        <v>0</v>
      </c>
      <c r="E39" s="1">
        <f t="shared" si="1"/>
        <v>0</v>
      </c>
      <c r="F39" s="17"/>
      <c r="G39" s="11"/>
      <c r="H39" s="11" t="str" cm="1">
        <f t="array" ref="H39">xlFOCUS_ExpectativasMensais("IPCA",,$F39,WORKDAY(EDATE($F39,-2),-1,Holidays),WORKDAY(EDATE($F39,-2),-1,Holidays),0,"Mediana")</f>
        <v># Barra de fórmulas aberta</v>
      </c>
      <c r="I39" s="11" t="str" cm="1">
        <f t="array" ref="I39">xlFOCUS_ExpectativasMensais("IPCA",,$F39,WORKDAY(EDATE($F39,-1),-1,Holidays),WORKDAY(EDATE($F39,-1),-1,Holidays),0,"Mediana")</f>
        <v># Barra de fórmulas aberta</v>
      </c>
      <c r="J39" s="11" t="str" cm="1">
        <f t="array" ref="J39">xlFOCUS_ExpectativasMensais("IPCA",,$F39,WORKDAY(EDATE($F39,0),-1,Holidays),WORKDAY(EDATE($F39,0),-1,Holidays),0,"Mediana")</f>
        <v># Barra de fórmulas aberta</v>
      </c>
      <c r="K39" s="11" t="str" cm="1">
        <f t="array" ref="K39">xlFOCUS_ExpectativasMensais("IPCA",,$F39,WORKDAY(EDATE($F39,1),-1,Holidays),WORKDAY(EDATE($F39,1),-1,Holidays),0,"Mediana")</f>
        <v># Barra de fórmulas aberta</v>
      </c>
      <c r="L39" s="11" t="e">
        <f t="shared" si="2"/>
        <v>#VALUE!</v>
      </c>
      <c r="M39" s="11" t="e">
        <f t="shared" si="3"/>
        <v>#VALUE!</v>
      </c>
      <c r="N39" s="11" t="e">
        <f t="shared" si="4"/>
        <v>#VALUE!</v>
      </c>
      <c r="O39" s="11" t="e">
        <f t="shared" si="5"/>
        <v>#VALUE!</v>
      </c>
      <c r="Q39" s="17"/>
      <c r="R39" s="11"/>
      <c r="S39" s="11" t="str" cm="1">
        <f t="array" ref="S39">xlFOCUS_ExpectativasMensais("Câmbio",,$Q39,WORKDAY(EDATE($Q39,-2),-1,Holidays),WORKDAY(EDATE($Q39,-2),-1,Holidays),0,"Mediana")</f>
        <v># Barra de fórmulas aberta</v>
      </c>
      <c r="T39" s="11" t="str" cm="1">
        <f t="array" ref="T39">xlFOCUS_ExpectativasMensais("Câmbio",,$Q39,WORKDAY(EDATE($Q39,-1),-1,Holidays),WORKDAY(EDATE($Q39,-1),-1,Holidays),0,"Mediana")</f>
        <v># Barra de fórmulas aberta</v>
      </c>
      <c r="V39" s="11" t="e">
        <f t="shared" si="6"/>
        <v>#VALUE!</v>
      </c>
      <c r="W39" s="11" t="e">
        <f t="shared" si="7"/>
        <v>#VALUE!</v>
      </c>
      <c r="X39" s="11"/>
      <c r="Y39" s="17"/>
      <c r="Z39" s="11"/>
      <c r="AA39" s="11" t="str" cm="1">
        <f t="array" ref="AA39">xlFOCUS_ExpectativasMensais("IGP-M",,$Y39,WORKDAY(EDATE($Y39,-2),-1,Holidays),WORKDAY(EDATE($Y39,-2),-1,Holidays),0,"Mediana")</f>
        <v># Barra de fórmulas aberta</v>
      </c>
      <c r="AB39" s="11" t="str" cm="1">
        <f t="array" ref="AB39">xlFOCUS_ExpectativasMensais("IGP-M",,$Y39,WORKDAY(EDATE($Y39,-1),-1,Holidays),WORKDAY(EDATE($Y39,-1),-1,Holidays),0,"Mediana")</f>
        <v># Barra de fórmulas aberta</v>
      </c>
      <c r="AC39" s="11" t="str" cm="1">
        <f t="array" ref="AC39">xlFOCUS_ExpectativasMensais("IGP-M",,$Y39,WORKDAY(EDATE($Y39,0),-1,Holidays),WORKDAY(EDATE($Y39,0),-1,Holidays),0,"Mediana")</f>
        <v># Barra de fórmulas aberta</v>
      </c>
      <c r="AD39" s="11" t="e">
        <f t="shared" si="8"/>
        <v>#VALUE!</v>
      </c>
      <c r="AE39" s="11" t="e">
        <f t="shared" si="9"/>
        <v>#VALUE!</v>
      </c>
      <c r="AF39" s="11" t="e">
        <f t="shared" si="10"/>
        <v>#VALUE!</v>
      </c>
      <c r="AG39" s="11"/>
    </row>
    <row r="40" spans="4:33" x14ac:dyDescent="0.2">
      <c r="D40" s="1">
        <f t="shared" si="0"/>
        <v>0</v>
      </c>
      <c r="E40" s="1">
        <f t="shared" si="1"/>
        <v>0</v>
      </c>
      <c r="F40" s="17"/>
      <c r="G40" s="11"/>
      <c r="H40" s="11" t="str" cm="1">
        <f t="array" ref="H40">xlFOCUS_ExpectativasMensais("IPCA",,$F40,WORKDAY(EDATE($F40,-2),-1,Holidays),WORKDAY(EDATE($F40,-2),-1,Holidays),0,"Mediana")</f>
        <v># Barra de fórmulas aberta</v>
      </c>
      <c r="I40" s="11" t="str" cm="1">
        <f t="array" ref="I40">xlFOCUS_ExpectativasMensais("IPCA",,$F40,WORKDAY(EDATE($F40,-1),-1,Holidays),WORKDAY(EDATE($F40,-1),-1,Holidays),0,"Mediana")</f>
        <v># Barra de fórmulas aberta</v>
      </c>
      <c r="J40" s="11" t="str" cm="1">
        <f t="array" ref="J40">xlFOCUS_ExpectativasMensais("IPCA",,$F40,WORKDAY(EDATE($F40,0),-1,Holidays),WORKDAY(EDATE($F40,0),-1,Holidays),0,"Mediana")</f>
        <v># Barra de fórmulas aberta</v>
      </c>
      <c r="K40" s="11" t="str" cm="1">
        <f t="array" ref="K40">xlFOCUS_ExpectativasMensais("IPCA",,$F40,WORKDAY(EDATE($F40,1),-1,Holidays),WORKDAY(EDATE($F40,1),-1,Holidays),0,"Mediana")</f>
        <v># Barra de fórmulas aberta</v>
      </c>
      <c r="L40" s="11" t="e">
        <f t="shared" si="2"/>
        <v>#VALUE!</v>
      </c>
      <c r="M40" s="11" t="e">
        <f t="shared" si="3"/>
        <v>#VALUE!</v>
      </c>
      <c r="N40" s="11" t="e">
        <f t="shared" si="4"/>
        <v>#VALUE!</v>
      </c>
      <c r="O40" s="11" t="e">
        <f t="shared" si="5"/>
        <v>#VALUE!</v>
      </c>
      <c r="P40" s="17"/>
      <c r="Q40" s="17"/>
      <c r="R40" s="11"/>
      <c r="S40" s="11" t="str" cm="1">
        <f t="array" ref="S40">xlFOCUS_ExpectativasMensais("Câmbio",,$Q40,WORKDAY(EDATE($Q40,-2),-1,Holidays),WORKDAY(EDATE($Q40,-2),-1,Holidays),0,"Mediana")</f>
        <v># Barra de fórmulas aberta</v>
      </c>
      <c r="T40" s="11" t="str" cm="1">
        <f t="array" ref="T40">xlFOCUS_ExpectativasMensais("Câmbio",,$Q40,WORKDAY(EDATE($Q40,-1),-1,Holidays),WORKDAY(EDATE($Q40,-1),-1,Holidays),0,"Mediana")</f>
        <v># Barra de fórmulas aberta</v>
      </c>
      <c r="V40" s="11" t="e">
        <f t="shared" si="6"/>
        <v>#VALUE!</v>
      </c>
      <c r="W40" s="11" t="e">
        <f t="shared" si="7"/>
        <v>#VALUE!</v>
      </c>
      <c r="X40" s="11"/>
      <c r="Y40" s="17"/>
      <c r="Z40" s="11"/>
      <c r="AA40" s="11" t="str" cm="1">
        <f t="array" ref="AA40">xlFOCUS_ExpectativasMensais("IGP-M",,$Y40,WORKDAY(EDATE($Y40,-2),-1,Holidays),WORKDAY(EDATE($Y40,-2),-1,Holidays),0,"Mediana")</f>
        <v># Barra de fórmulas aberta</v>
      </c>
      <c r="AB40" s="11" t="str" cm="1">
        <f t="array" ref="AB40">xlFOCUS_ExpectativasMensais("IGP-M",,$Y40,WORKDAY(EDATE($Y40,-1),-1,Holidays),WORKDAY(EDATE($Y40,-1),-1,Holidays),0,"Mediana")</f>
        <v># Barra de fórmulas aberta</v>
      </c>
      <c r="AC40" s="11" t="str" cm="1">
        <f t="array" ref="AC40">xlFOCUS_ExpectativasMensais("IGP-M",,$Y40,WORKDAY(EDATE($Y40,0),-1,Holidays),WORKDAY(EDATE($Y40,0),-1,Holidays),0,"Mediana")</f>
        <v># Barra de fórmulas aberta</v>
      </c>
      <c r="AD40" s="11" t="e">
        <f t="shared" si="8"/>
        <v>#VALUE!</v>
      </c>
      <c r="AE40" s="11" t="e">
        <f t="shared" si="9"/>
        <v>#VALUE!</v>
      </c>
      <c r="AF40" s="11" t="e">
        <f t="shared" si="10"/>
        <v>#VALUE!</v>
      </c>
      <c r="AG40" s="11"/>
    </row>
    <row r="41" spans="4:33" x14ac:dyDescent="0.2">
      <c r="D41" s="1">
        <f t="shared" si="0"/>
        <v>0</v>
      </c>
      <c r="E41" s="1">
        <f t="shared" si="1"/>
        <v>0</v>
      </c>
      <c r="F41" s="17"/>
      <c r="G41" s="11"/>
      <c r="H41" s="11" t="str" cm="1">
        <f t="array" ref="H41">xlFOCUS_ExpectativasMensais("IPCA",,$F41,WORKDAY(EDATE($F41,-2),-1,Holidays),WORKDAY(EDATE($F41,-2),-1,Holidays),0,"Mediana")</f>
        <v># Barra de fórmulas aberta</v>
      </c>
      <c r="I41" s="11" t="str" cm="1">
        <f t="array" ref="I41">xlFOCUS_ExpectativasMensais("IPCA",,$F41,WORKDAY(EDATE($F41,-1),-1,Holidays),WORKDAY(EDATE($F41,-1),-1,Holidays),0,"Mediana")</f>
        <v># Barra de fórmulas aberta</v>
      </c>
      <c r="J41" s="11" t="str" cm="1">
        <f t="array" ref="J41">xlFOCUS_ExpectativasMensais("IPCA",,$F41,WORKDAY(EDATE($F41,0),-1,Holidays),WORKDAY(EDATE($F41,0),-1,Holidays),0,"Mediana")</f>
        <v># Barra de fórmulas aberta</v>
      </c>
      <c r="K41" s="11" t="str" cm="1">
        <f t="array" ref="K41">xlFOCUS_ExpectativasMensais("IPCA",,$F41,WORKDAY(EDATE($F41,1),-1,Holidays),WORKDAY(EDATE($F41,1),-1,Holidays),0,"Mediana")</f>
        <v># Barra de fórmulas aberta</v>
      </c>
      <c r="L41" s="11" t="e">
        <f t="shared" si="2"/>
        <v>#VALUE!</v>
      </c>
      <c r="M41" s="11" t="e">
        <f t="shared" si="3"/>
        <v>#VALUE!</v>
      </c>
      <c r="N41" s="11" t="e">
        <f t="shared" si="4"/>
        <v>#VALUE!</v>
      </c>
      <c r="O41" s="11" t="e">
        <f t="shared" si="5"/>
        <v>#VALUE!</v>
      </c>
      <c r="Q41" s="17"/>
      <c r="R41" s="11"/>
      <c r="S41" s="11" t="str" cm="1">
        <f t="array" ref="S41">xlFOCUS_ExpectativasMensais("Câmbio",,$Q41,WORKDAY(EDATE($Q41,-2),-1,Holidays),WORKDAY(EDATE($Q41,-2),-1,Holidays),0,"Mediana")</f>
        <v># Barra de fórmulas aberta</v>
      </c>
      <c r="T41" s="11" t="str" cm="1">
        <f t="array" ref="T41">xlFOCUS_ExpectativasMensais("Câmbio",,$Q41,WORKDAY(EDATE($Q41,-1),-1,Holidays),WORKDAY(EDATE($Q41,-1),-1,Holidays),0,"Mediana")</f>
        <v># Barra de fórmulas aberta</v>
      </c>
      <c r="V41" s="11" t="e">
        <f t="shared" si="6"/>
        <v>#VALUE!</v>
      </c>
      <c r="W41" s="11" t="e">
        <f t="shared" si="7"/>
        <v>#VALUE!</v>
      </c>
      <c r="X41" s="11"/>
      <c r="Y41" s="17"/>
      <c r="Z41" s="11"/>
      <c r="AA41" s="11" t="str" cm="1">
        <f t="array" ref="AA41">xlFOCUS_ExpectativasMensais("IGP-M",,$Y41,WORKDAY(EDATE($Y41,-2),-1,Holidays),WORKDAY(EDATE($Y41,-2),-1,Holidays),0,"Mediana")</f>
        <v># Barra de fórmulas aberta</v>
      </c>
      <c r="AB41" s="11" t="str" cm="1">
        <f t="array" ref="AB41">xlFOCUS_ExpectativasMensais("IGP-M",,$Y41,WORKDAY(EDATE($Y41,-1),-1,Holidays),WORKDAY(EDATE($Y41,-1),-1,Holidays),0,"Mediana")</f>
        <v># Barra de fórmulas aberta</v>
      </c>
      <c r="AC41" s="11" t="str" cm="1">
        <f t="array" ref="AC41">xlFOCUS_ExpectativasMensais("IGP-M",,$Y41,WORKDAY(EDATE($Y41,0),-1,Holidays),WORKDAY(EDATE($Y41,0),-1,Holidays),0,"Mediana")</f>
        <v># Barra de fórmulas aberta</v>
      </c>
      <c r="AD41" s="11" t="e">
        <f t="shared" si="8"/>
        <v>#VALUE!</v>
      </c>
      <c r="AE41" s="11" t="e">
        <f t="shared" si="9"/>
        <v>#VALUE!</v>
      </c>
      <c r="AF41" s="11" t="e">
        <f t="shared" si="10"/>
        <v>#VALUE!</v>
      </c>
      <c r="AG41" s="11"/>
    </row>
    <row r="42" spans="4:33" x14ac:dyDescent="0.2">
      <c r="D42" s="1">
        <f t="shared" si="0"/>
        <v>0</v>
      </c>
      <c r="E42" s="1">
        <f t="shared" si="1"/>
        <v>0</v>
      </c>
      <c r="F42" s="17"/>
      <c r="G42" s="11"/>
      <c r="H42" s="11" t="str" cm="1">
        <f t="array" ref="H42">xlFOCUS_ExpectativasMensais("IPCA",,$F42,WORKDAY(EDATE($F42,-2),-1,Holidays),WORKDAY(EDATE($F42,-2),-1,Holidays),0,"Mediana")</f>
        <v># Barra de fórmulas aberta</v>
      </c>
      <c r="I42" s="11" t="str" cm="1">
        <f t="array" ref="I42">xlFOCUS_ExpectativasMensais("IPCA",,$F42,WORKDAY(EDATE($F42,-1),-1,Holidays),WORKDAY(EDATE($F42,-1),-1,Holidays),0,"Mediana")</f>
        <v># Barra de fórmulas aberta</v>
      </c>
      <c r="J42" s="11" t="str" cm="1">
        <f t="array" ref="J42">xlFOCUS_ExpectativasMensais("IPCA",,$F42,WORKDAY(EDATE($F42,0),-1,Holidays),WORKDAY(EDATE($F42,0),-1,Holidays),0,"Mediana")</f>
        <v># Barra de fórmulas aberta</v>
      </c>
      <c r="K42" s="11" t="str" cm="1">
        <f t="array" ref="K42">xlFOCUS_ExpectativasMensais("IPCA",,$F42,WORKDAY(EDATE($F42,1),-1,Holidays),WORKDAY(EDATE($F42,1),-1,Holidays),0,"Mediana")</f>
        <v># Barra de fórmulas aberta</v>
      </c>
      <c r="L42" s="11" t="e">
        <f t="shared" si="2"/>
        <v>#VALUE!</v>
      </c>
      <c r="M42" s="11" t="e">
        <f t="shared" si="3"/>
        <v>#VALUE!</v>
      </c>
      <c r="N42" s="11" t="e">
        <f t="shared" si="4"/>
        <v>#VALUE!</v>
      </c>
      <c r="O42" s="11" t="e">
        <f t="shared" si="5"/>
        <v>#VALUE!</v>
      </c>
      <c r="Q42" s="17"/>
      <c r="R42" s="11"/>
      <c r="S42" s="11" t="str" cm="1">
        <f t="array" ref="S42">xlFOCUS_ExpectativasMensais("Câmbio",,$Q42,WORKDAY(EDATE($Q42,-2),-1,Holidays),WORKDAY(EDATE($Q42,-2),-1,Holidays),0,"Mediana")</f>
        <v># Barra de fórmulas aberta</v>
      </c>
      <c r="T42" s="11" t="str" cm="1">
        <f t="array" ref="T42">xlFOCUS_ExpectativasMensais("Câmbio",,$Q42,WORKDAY(EDATE($Q42,-1),-1,Holidays),WORKDAY(EDATE($Q42,-1),-1,Holidays),0,"Mediana")</f>
        <v># Barra de fórmulas aberta</v>
      </c>
      <c r="V42" s="11" t="e">
        <f t="shared" si="6"/>
        <v>#VALUE!</v>
      </c>
      <c r="W42" s="11" t="e">
        <f t="shared" si="7"/>
        <v>#VALUE!</v>
      </c>
      <c r="X42" s="11"/>
      <c r="Y42" s="17"/>
      <c r="Z42" s="11"/>
      <c r="AA42" s="11" t="str" cm="1">
        <f t="array" ref="AA42">xlFOCUS_ExpectativasMensais("IGP-M",,$Y42,WORKDAY(EDATE($Y42,-2),-1,Holidays),WORKDAY(EDATE($Y42,-2),-1,Holidays),0,"Mediana")</f>
        <v># Barra de fórmulas aberta</v>
      </c>
      <c r="AB42" s="11" t="str" cm="1">
        <f t="array" ref="AB42">xlFOCUS_ExpectativasMensais("IGP-M",,$Y42,WORKDAY(EDATE($Y42,-1),-1,Holidays),WORKDAY(EDATE($Y42,-1),-1,Holidays),0,"Mediana")</f>
        <v># Barra de fórmulas aberta</v>
      </c>
      <c r="AC42" s="11" t="str" cm="1">
        <f t="array" ref="AC42">xlFOCUS_ExpectativasMensais("IGP-M",,$Y42,WORKDAY(EDATE($Y42,0),-1,Holidays),WORKDAY(EDATE($Y42,0),-1,Holidays),0,"Mediana")</f>
        <v># Barra de fórmulas aberta</v>
      </c>
      <c r="AD42" s="11" t="e">
        <f t="shared" si="8"/>
        <v>#VALUE!</v>
      </c>
      <c r="AE42" s="11" t="e">
        <f t="shared" si="9"/>
        <v>#VALUE!</v>
      </c>
      <c r="AF42" s="11" t="e">
        <f t="shared" si="10"/>
        <v>#VALUE!</v>
      </c>
      <c r="AG42" s="11"/>
    </row>
    <row r="43" spans="4:33" x14ac:dyDescent="0.2">
      <c r="D43" s="1">
        <f t="shared" si="0"/>
        <v>0</v>
      </c>
      <c r="E43" s="1">
        <f t="shared" si="1"/>
        <v>0</v>
      </c>
      <c r="F43" s="17"/>
      <c r="G43" s="11"/>
      <c r="H43" s="11" t="str" cm="1">
        <f t="array" ref="H43">xlFOCUS_ExpectativasMensais("IPCA",,$F43,WORKDAY(EDATE($F43,-2),-1,Holidays),WORKDAY(EDATE($F43,-2),-1,Holidays),0,"Mediana")</f>
        <v># Barra de fórmulas aberta</v>
      </c>
      <c r="I43" s="11" t="str" cm="1">
        <f t="array" ref="I43">xlFOCUS_ExpectativasMensais("IPCA",,$F43,WORKDAY(EDATE($F43,-1),-1,Holidays),WORKDAY(EDATE($F43,-1),-1,Holidays),0,"Mediana")</f>
        <v># Barra de fórmulas aberta</v>
      </c>
      <c r="J43" s="11" t="str" cm="1">
        <f t="array" ref="J43">xlFOCUS_ExpectativasMensais("IPCA",,$F43,WORKDAY(EDATE($F43,0),-1,Holidays),WORKDAY(EDATE($F43,0),-1,Holidays),0,"Mediana")</f>
        <v># Barra de fórmulas aberta</v>
      </c>
      <c r="K43" s="11" t="str" cm="1">
        <f t="array" ref="K43">xlFOCUS_ExpectativasMensais("IPCA",,$F43,WORKDAY(EDATE($F43,1),-1,Holidays),WORKDAY(EDATE($F43,1),-1,Holidays),0,"Mediana")</f>
        <v># Barra de fórmulas aberta</v>
      </c>
      <c r="L43" s="11" t="e">
        <f t="shared" si="2"/>
        <v>#VALUE!</v>
      </c>
      <c r="M43" s="11" t="e">
        <f t="shared" si="3"/>
        <v>#VALUE!</v>
      </c>
      <c r="N43" s="11" t="e">
        <f t="shared" si="4"/>
        <v>#VALUE!</v>
      </c>
      <c r="O43" s="11" t="e">
        <f t="shared" si="5"/>
        <v>#VALUE!</v>
      </c>
      <c r="Q43" s="17"/>
      <c r="R43" s="11"/>
      <c r="S43" s="11" t="str" cm="1">
        <f t="array" ref="S43">xlFOCUS_ExpectativasMensais("Câmbio",,$Q43,WORKDAY(EDATE($Q43,-2),-1,Holidays),WORKDAY(EDATE($Q43,-2),-1,Holidays),0,"Mediana")</f>
        <v># Barra de fórmulas aberta</v>
      </c>
      <c r="T43" s="11" t="str" cm="1">
        <f t="array" ref="T43">xlFOCUS_ExpectativasMensais("Câmbio",,$Q43,WORKDAY(EDATE($Q43,-1),-1,Holidays),WORKDAY(EDATE($Q43,-1),-1,Holidays),0,"Mediana")</f>
        <v># Barra de fórmulas aberta</v>
      </c>
      <c r="V43" s="11" t="e">
        <f t="shared" si="6"/>
        <v>#VALUE!</v>
      </c>
      <c r="W43" s="11" t="e">
        <f t="shared" si="7"/>
        <v>#VALUE!</v>
      </c>
      <c r="X43" s="11"/>
      <c r="Y43" s="17"/>
      <c r="Z43" s="11"/>
      <c r="AA43" s="11" t="str" cm="1">
        <f t="array" ref="AA43">xlFOCUS_ExpectativasMensais("IGP-M",,$Y43,WORKDAY(EDATE($Y43,-2),-1,Holidays),WORKDAY(EDATE($Y43,-2),-1,Holidays),0,"Mediana")</f>
        <v># Barra de fórmulas aberta</v>
      </c>
      <c r="AB43" s="11" t="str" cm="1">
        <f t="array" ref="AB43">xlFOCUS_ExpectativasMensais("IGP-M",,$Y43,WORKDAY(EDATE($Y43,-1),-1,Holidays),WORKDAY(EDATE($Y43,-1),-1,Holidays),0,"Mediana")</f>
        <v># Barra de fórmulas aberta</v>
      </c>
      <c r="AC43" s="11" t="str" cm="1">
        <f t="array" ref="AC43">xlFOCUS_ExpectativasMensais("IGP-M",,$Y43,WORKDAY(EDATE($Y43,0),-1,Holidays),WORKDAY(EDATE($Y43,0),-1,Holidays),0,"Mediana")</f>
        <v># Barra de fórmulas aberta</v>
      </c>
      <c r="AD43" s="11" t="e">
        <f t="shared" si="8"/>
        <v>#VALUE!</v>
      </c>
      <c r="AE43" s="11" t="e">
        <f t="shared" si="9"/>
        <v>#VALUE!</v>
      </c>
      <c r="AF43" s="11" t="e">
        <f t="shared" si="10"/>
        <v>#VALUE!</v>
      </c>
      <c r="AG43" s="11"/>
    </row>
    <row r="44" spans="4:33" x14ac:dyDescent="0.2">
      <c r="D44" s="1">
        <f t="shared" si="0"/>
        <v>0</v>
      </c>
      <c r="E44" s="1">
        <f t="shared" si="1"/>
        <v>0</v>
      </c>
      <c r="F44" s="17"/>
      <c r="G44" s="11"/>
      <c r="H44" s="11" t="str" cm="1">
        <f t="array" ref="H44">xlFOCUS_ExpectativasMensais("IPCA",,$F44,WORKDAY(EDATE($F44,-2),-1,Holidays),WORKDAY(EDATE($F44,-2),-1,Holidays),0,"Mediana")</f>
        <v># Barra de fórmulas aberta</v>
      </c>
      <c r="I44" s="11" t="str" cm="1">
        <f t="array" ref="I44">xlFOCUS_ExpectativasMensais("IPCA",,$F44,WORKDAY(EDATE($F44,-1),-1,Holidays),WORKDAY(EDATE($F44,-1),-1,Holidays),0,"Mediana")</f>
        <v># Barra de fórmulas aberta</v>
      </c>
      <c r="J44" s="11" t="str" cm="1">
        <f t="array" ref="J44">xlFOCUS_ExpectativasMensais("IPCA",,$F44,WORKDAY(EDATE($F44,0),-1,Holidays),WORKDAY(EDATE($F44,0),-1,Holidays),0,"Mediana")</f>
        <v># Barra de fórmulas aberta</v>
      </c>
      <c r="K44" s="11" t="str" cm="1">
        <f t="array" ref="K44">xlFOCUS_ExpectativasMensais("IPCA",,$F44,WORKDAY(EDATE($F44,1),-1,Holidays),WORKDAY(EDATE($F44,1),-1,Holidays),0,"Mediana")</f>
        <v># Barra de fórmulas aberta</v>
      </c>
      <c r="L44" s="11" t="e">
        <f t="shared" si="2"/>
        <v>#VALUE!</v>
      </c>
      <c r="M44" s="11" t="e">
        <f t="shared" si="3"/>
        <v>#VALUE!</v>
      </c>
      <c r="N44" s="11" t="e">
        <f t="shared" si="4"/>
        <v>#VALUE!</v>
      </c>
      <c r="O44" s="11" t="e">
        <f t="shared" si="5"/>
        <v>#VALUE!</v>
      </c>
      <c r="Q44" s="17"/>
      <c r="R44" s="11"/>
      <c r="S44" s="11" t="str" cm="1">
        <f t="array" ref="S44">xlFOCUS_ExpectativasMensais("Câmbio",,$Q44,WORKDAY(EDATE($Q44,-2),-1,Holidays),WORKDAY(EDATE($Q44,-2),-1,Holidays),0,"Mediana")</f>
        <v># Barra de fórmulas aberta</v>
      </c>
      <c r="T44" s="11" t="str" cm="1">
        <f t="array" ref="T44">xlFOCUS_ExpectativasMensais("Câmbio",,$Q44,WORKDAY(EDATE($Q44,-1),-1,Holidays),WORKDAY(EDATE($Q44,-1),-1,Holidays),0,"Mediana")</f>
        <v># Barra de fórmulas aberta</v>
      </c>
      <c r="V44" s="11" t="e">
        <f t="shared" si="6"/>
        <v>#VALUE!</v>
      </c>
      <c r="W44" s="11" t="e">
        <f t="shared" si="7"/>
        <v>#VALUE!</v>
      </c>
      <c r="X44" s="11"/>
      <c r="Y44" s="17"/>
      <c r="Z44" s="11"/>
      <c r="AA44" s="11" t="str" cm="1">
        <f t="array" ref="AA44">xlFOCUS_ExpectativasMensais("IGP-M",,$Y44,WORKDAY(EDATE($Y44,-2),-1,Holidays),WORKDAY(EDATE($Y44,-2),-1,Holidays),0,"Mediana")</f>
        <v># Barra de fórmulas aberta</v>
      </c>
      <c r="AB44" s="11" t="str" cm="1">
        <f t="array" ref="AB44">xlFOCUS_ExpectativasMensais("IGP-M",,$Y44,WORKDAY(EDATE($Y44,-1),-1,Holidays),WORKDAY(EDATE($Y44,-1),-1,Holidays),0,"Mediana")</f>
        <v># Barra de fórmulas aberta</v>
      </c>
      <c r="AC44" s="11" t="str" cm="1">
        <f t="array" ref="AC44">xlFOCUS_ExpectativasMensais("IGP-M",,$Y44,WORKDAY(EDATE($Y44,0),-1,Holidays),WORKDAY(EDATE($Y44,0),-1,Holidays),0,"Mediana")</f>
        <v># Barra de fórmulas aberta</v>
      </c>
      <c r="AD44" s="11" t="e">
        <f t="shared" si="8"/>
        <v>#VALUE!</v>
      </c>
      <c r="AE44" s="11" t="e">
        <f t="shared" si="9"/>
        <v>#VALUE!</v>
      </c>
      <c r="AF44" s="11" t="e">
        <f t="shared" si="10"/>
        <v>#VALUE!</v>
      </c>
      <c r="AG44" s="11"/>
    </row>
    <row r="45" spans="4:33" x14ac:dyDescent="0.2">
      <c r="D45" s="1">
        <f t="shared" si="0"/>
        <v>0</v>
      </c>
      <c r="E45" s="1">
        <f t="shared" si="1"/>
        <v>0</v>
      </c>
      <c r="F45" s="17"/>
      <c r="G45" s="11"/>
      <c r="H45" s="11" t="str" cm="1">
        <f t="array" ref="H45">xlFOCUS_ExpectativasMensais("IPCA",,$F45,WORKDAY(EDATE($F45,-2),-1,Holidays),WORKDAY(EDATE($F45,-2),-1,Holidays),0,"Mediana")</f>
        <v># Barra de fórmulas aberta</v>
      </c>
      <c r="I45" s="11" t="str" cm="1">
        <f t="array" ref="I45">xlFOCUS_ExpectativasMensais("IPCA",,$F45,WORKDAY(EDATE($F45,-1),-1,Holidays),WORKDAY(EDATE($F45,-1),-1,Holidays),0,"Mediana")</f>
        <v># Barra de fórmulas aberta</v>
      </c>
      <c r="J45" s="11" t="str" cm="1">
        <f t="array" ref="J45">xlFOCUS_ExpectativasMensais("IPCA",,$F45,WORKDAY(EDATE($F45,0),-1,Holidays),WORKDAY(EDATE($F45,0),-1,Holidays),0,"Mediana")</f>
        <v># Barra de fórmulas aberta</v>
      </c>
      <c r="K45" s="11" t="str" cm="1">
        <f t="array" ref="K45">xlFOCUS_ExpectativasMensais("IPCA",,$F45,WORKDAY(EDATE($F45,1),-1,Holidays),WORKDAY(EDATE($F45,1),-1,Holidays),0,"Mediana")</f>
        <v># Barra de fórmulas aberta</v>
      </c>
      <c r="L45" s="11" t="e">
        <f t="shared" si="2"/>
        <v>#VALUE!</v>
      </c>
      <c r="M45" s="11" t="e">
        <f t="shared" si="3"/>
        <v>#VALUE!</v>
      </c>
      <c r="N45" s="11" t="e">
        <f t="shared" si="4"/>
        <v>#VALUE!</v>
      </c>
      <c r="O45" s="11" t="e">
        <f t="shared" si="5"/>
        <v>#VALUE!</v>
      </c>
      <c r="Q45" s="17"/>
      <c r="R45" s="11"/>
      <c r="S45" s="11" t="str" cm="1">
        <f t="array" ref="S45">xlFOCUS_ExpectativasMensais("Câmbio",,$Q45,WORKDAY(EDATE($Q45,-2),-1,Holidays),WORKDAY(EDATE($Q45,-2),-1,Holidays),0,"Mediana")</f>
        <v># Barra de fórmulas aberta</v>
      </c>
      <c r="T45" s="11" t="str" cm="1">
        <f t="array" ref="T45">xlFOCUS_ExpectativasMensais("Câmbio",,$Q45,WORKDAY(EDATE($Q45,-1),-1,Holidays),WORKDAY(EDATE($Q45,-1),-1,Holidays),0,"Mediana")</f>
        <v># Barra de fórmulas aberta</v>
      </c>
      <c r="V45" s="11" t="e">
        <f t="shared" si="6"/>
        <v>#VALUE!</v>
      </c>
      <c r="W45" s="11" t="e">
        <f t="shared" si="7"/>
        <v>#VALUE!</v>
      </c>
      <c r="X45" s="11"/>
      <c r="Y45" s="17"/>
      <c r="Z45" s="11"/>
      <c r="AA45" s="11" t="str" cm="1">
        <f t="array" ref="AA45">xlFOCUS_ExpectativasMensais("IGP-M",,$Y45,WORKDAY(EDATE($Y45,-2),-1,Holidays),WORKDAY(EDATE($Y45,-2),-1,Holidays),0,"Mediana")</f>
        <v># Barra de fórmulas aberta</v>
      </c>
      <c r="AB45" s="11" t="str" cm="1">
        <f t="array" ref="AB45">xlFOCUS_ExpectativasMensais("IGP-M",,$Y45,WORKDAY(EDATE($Y45,-1),-1,Holidays),WORKDAY(EDATE($Y45,-1),-1,Holidays),0,"Mediana")</f>
        <v># Barra de fórmulas aberta</v>
      </c>
      <c r="AC45" s="11" t="str" cm="1">
        <f t="array" ref="AC45">xlFOCUS_ExpectativasMensais("IGP-M",,$Y45,WORKDAY(EDATE($Y45,0),-1,Holidays),WORKDAY(EDATE($Y45,0),-1,Holidays),0,"Mediana")</f>
        <v># Barra de fórmulas aberta</v>
      </c>
      <c r="AD45" s="11" t="e">
        <f t="shared" si="8"/>
        <v>#VALUE!</v>
      </c>
      <c r="AE45" s="11" t="e">
        <f t="shared" si="9"/>
        <v>#VALUE!</v>
      </c>
      <c r="AF45" s="11" t="e">
        <f t="shared" si="10"/>
        <v>#VALUE!</v>
      </c>
      <c r="AG45" s="11"/>
    </row>
    <row r="46" spans="4:33" x14ac:dyDescent="0.2">
      <c r="D46" s="1">
        <f t="shared" si="0"/>
        <v>0</v>
      </c>
      <c r="E46" s="1">
        <f t="shared" si="1"/>
        <v>0</v>
      </c>
      <c r="F46" s="17"/>
      <c r="G46" s="11"/>
      <c r="H46" s="11" t="str" cm="1">
        <f t="array" ref="H46">xlFOCUS_ExpectativasMensais("IPCA",,$F46,WORKDAY(EDATE($F46,-2),-1,Holidays),WORKDAY(EDATE($F46,-2),-1,Holidays),0,"Mediana")</f>
        <v># Barra de fórmulas aberta</v>
      </c>
      <c r="I46" s="11" t="str" cm="1">
        <f t="array" ref="I46">xlFOCUS_ExpectativasMensais("IPCA",,$F46,WORKDAY(EDATE($F46,-1),-1,Holidays),WORKDAY(EDATE($F46,-1),-1,Holidays),0,"Mediana")</f>
        <v># Barra de fórmulas aberta</v>
      </c>
      <c r="J46" s="11" t="str" cm="1">
        <f t="array" ref="J46">xlFOCUS_ExpectativasMensais("IPCA",,$F46,WORKDAY(EDATE($F46,0),-1,Holidays),WORKDAY(EDATE($F46,0),-1,Holidays),0,"Mediana")</f>
        <v># Barra de fórmulas aberta</v>
      </c>
      <c r="K46" s="11" t="str" cm="1">
        <f t="array" ref="K46">xlFOCUS_ExpectativasMensais("IPCA",,$F46,WORKDAY(EDATE($F46,1),-1,Holidays),WORKDAY(EDATE($F46,1),-1,Holidays),0,"Mediana")</f>
        <v># Barra de fórmulas aberta</v>
      </c>
      <c r="L46" s="11" t="e">
        <f t="shared" si="2"/>
        <v>#VALUE!</v>
      </c>
      <c r="M46" s="11" t="e">
        <f t="shared" si="3"/>
        <v>#VALUE!</v>
      </c>
      <c r="N46" s="11" t="e">
        <f t="shared" si="4"/>
        <v>#VALUE!</v>
      </c>
      <c r="O46" s="11" t="e">
        <f t="shared" si="5"/>
        <v>#VALUE!</v>
      </c>
      <c r="Q46" s="17"/>
      <c r="R46" s="11"/>
      <c r="S46" s="11" t="str" cm="1">
        <f t="array" ref="S46">xlFOCUS_ExpectativasMensais("Câmbio",,$Q46,WORKDAY(EDATE($Q46,-2),-1,Holidays),WORKDAY(EDATE($Q46,-2),-1,Holidays),0,"Mediana")</f>
        <v># Barra de fórmulas aberta</v>
      </c>
      <c r="T46" s="11" t="str" cm="1">
        <f t="array" ref="T46">xlFOCUS_ExpectativasMensais("Câmbio",,$Q46,WORKDAY(EDATE($Q46,-1),-1,Holidays),WORKDAY(EDATE($Q46,-1),-1,Holidays),0,"Mediana")</f>
        <v># Barra de fórmulas aberta</v>
      </c>
      <c r="V46" s="11" t="e">
        <f t="shared" si="6"/>
        <v>#VALUE!</v>
      </c>
      <c r="W46" s="11" t="e">
        <f t="shared" si="7"/>
        <v>#VALUE!</v>
      </c>
      <c r="X46" s="11"/>
      <c r="Y46" s="17"/>
      <c r="Z46" s="11"/>
      <c r="AA46" s="11" t="str" cm="1">
        <f t="array" ref="AA46">xlFOCUS_ExpectativasMensais("IGP-M",,$Y46,WORKDAY(EDATE($Y46,-2),-1,Holidays),WORKDAY(EDATE($Y46,-2),-1,Holidays),0,"Mediana")</f>
        <v># Barra de fórmulas aberta</v>
      </c>
      <c r="AB46" s="11" t="str" cm="1">
        <f t="array" ref="AB46">xlFOCUS_ExpectativasMensais("IGP-M",,$Y46,WORKDAY(EDATE($Y46,-1),-1,Holidays),WORKDAY(EDATE($Y46,-1),-1,Holidays),0,"Mediana")</f>
        <v># Barra de fórmulas aberta</v>
      </c>
      <c r="AC46" s="11" t="str" cm="1">
        <f t="array" ref="AC46">xlFOCUS_ExpectativasMensais("IGP-M",,$Y46,WORKDAY(EDATE($Y46,0),-1,Holidays),WORKDAY(EDATE($Y46,0),-1,Holidays),0,"Mediana")</f>
        <v># Barra de fórmulas aberta</v>
      </c>
      <c r="AD46" s="11" t="e">
        <f t="shared" si="8"/>
        <v>#VALUE!</v>
      </c>
      <c r="AE46" s="11" t="e">
        <f t="shared" si="9"/>
        <v>#VALUE!</v>
      </c>
      <c r="AF46" s="11" t="e">
        <f t="shared" si="10"/>
        <v>#VALUE!</v>
      </c>
      <c r="AG46" s="11"/>
    </row>
    <row r="47" spans="4:33" x14ac:dyDescent="0.2">
      <c r="D47" s="1">
        <f t="shared" si="0"/>
        <v>0</v>
      </c>
      <c r="E47" s="1">
        <f t="shared" si="1"/>
        <v>0</v>
      </c>
      <c r="F47" s="17"/>
      <c r="G47" s="11"/>
      <c r="H47" s="11" t="str" cm="1">
        <f t="array" ref="H47">xlFOCUS_ExpectativasMensais("IPCA",,$F47,WORKDAY(EDATE($F47,-2),-1,Holidays),WORKDAY(EDATE($F47,-2),-1,Holidays),0,"Mediana")</f>
        <v># Barra de fórmulas aberta</v>
      </c>
      <c r="I47" s="11" t="str" cm="1">
        <f t="array" ref="I47">xlFOCUS_ExpectativasMensais("IPCA",,$F47,WORKDAY(EDATE($F47,-1),-1,Holidays),WORKDAY(EDATE($F47,-1),-1,Holidays),0,"Mediana")</f>
        <v># Barra de fórmulas aberta</v>
      </c>
      <c r="J47" s="11" t="str" cm="1">
        <f t="array" ref="J47">xlFOCUS_ExpectativasMensais("IPCA",,$F47,WORKDAY(EDATE($F47,0),-1,Holidays),WORKDAY(EDATE($F47,0),-1,Holidays),0,"Mediana")</f>
        <v># Barra de fórmulas aberta</v>
      </c>
      <c r="K47" s="11" t="str" cm="1">
        <f t="array" ref="K47">xlFOCUS_ExpectativasMensais("IPCA",,$F47,WORKDAY(EDATE($F47,1),-1,Holidays),WORKDAY(EDATE($F47,1),-1,Holidays),0,"Mediana")</f>
        <v># Barra de fórmulas aberta</v>
      </c>
      <c r="L47" s="11" t="e">
        <f t="shared" si="2"/>
        <v>#VALUE!</v>
      </c>
      <c r="M47" s="11" t="e">
        <f t="shared" si="3"/>
        <v>#VALUE!</v>
      </c>
      <c r="N47" s="11" t="e">
        <f t="shared" si="4"/>
        <v>#VALUE!</v>
      </c>
      <c r="O47" s="11" t="e">
        <f t="shared" si="5"/>
        <v>#VALUE!</v>
      </c>
      <c r="Q47" s="17"/>
      <c r="R47" s="11"/>
      <c r="S47" s="11" t="str" cm="1">
        <f t="array" ref="S47">xlFOCUS_ExpectativasMensais("Câmbio",,$Q47,WORKDAY(EDATE($Q47,-2),-1,Holidays),WORKDAY(EDATE($Q47,-2),-1,Holidays),0,"Mediana")</f>
        <v># Barra de fórmulas aberta</v>
      </c>
      <c r="T47" s="11" t="str" cm="1">
        <f t="array" ref="T47">xlFOCUS_ExpectativasMensais("Câmbio",,$Q47,WORKDAY(EDATE($Q47,-1),-1,Holidays),WORKDAY(EDATE($Q47,-1),-1,Holidays),0,"Mediana")</f>
        <v># Barra de fórmulas aberta</v>
      </c>
      <c r="V47" s="11" t="e">
        <f t="shared" si="6"/>
        <v>#VALUE!</v>
      </c>
      <c r="W47" s="11" t="e">
        <f t="shared" si="7"/>
        <v>#VALUE!</v>
      </c>
      <c r="X47" s="11"/>
      <c r="Y47" s="17"/>
      <c r="Z47" s="11"/>
      <c r="AA47" s="11" t="str" cm="1">
        <f t="array" ref="AA47">xlFOCUS_ExpectativasMensais("IGP-M",,$Y47,WORKDAY(EDATE($Y47,-2),-1,Holidays),WORKDAY(EDATE($Y47,-2),-1,Holidays),0,"Mediana")</f>
        <v># Barra de fórmulas aberta</v>
      </c>
      <c r="AB47" s="11" t="str" cm="1">
        <f t="array" ref="AB47">xlFOCUS_ExpectativasMensais("IGP-M",,$Y47,WORKDAY(EDATE($Y47,-1),-1,Holidays),WORKDAY(EDATE($Y47,-1),-1,Holidays),0,"Mediana")</f>
        <v># Barra de fórmulas aberta</v>
      </c>
      <c r="AC47" s="11" t="str" cm="1">
        <f t="array" ref="AC47">xlFOCUS_ExpectativasMensais("IGP-M",,$Y47,WORKDAY(EDATE($Y47,0),-1,Holidays),WORKDAY(EDATE($Y47,0),-1,Holidays),0,"Mediana")</f>
        <v># Barra de fórmulas aberta</v>
      </c>
      <c r="AD47" s="11" t="e">
        <f t="shared" si="8"/>
        <v>#VALUE!</v>
      </c>
      <c r="AE47" s="11" t="e">
        <f t="shared" si="9"/>
        <v>#VALUE!</v>
      </c>
      <c r="AF47" s="11" t="e">
        <f t="shared" si="10"/>
        <v>#VALUE!</v>
      </c>
      <c r="AG47" s="11"/>
    </row>
    <row r="48" spans="4:33" x14ac:dyDescent="0.2">
      <c r="D48" s="1">
        <f t="shared" si="0"/>
        <v>0</v>
      </c>
      <c r="E48" s="1">
        <f t="shared" si="1"/>
        <v>0</v>
      </c>
      <c r="F48" s="17"/>
      <c r="G48" s="11"/>
      <c r="H48" s="11" t="str" cm="1">
        <f t="array" ref="H48">xlFOCUS_ExpectativasMensais("IPCA",,$F48,WORKDAY(EDATE($F48,-2),-1,Holidays),WORKDAY(EDATE($F48,-2),-1,Holidays),0,"Mediana")</f>
        <v># Barra de fórmulas aberta</v>
      </c>
      <c r="I48" s="11" t="str" cm="1">
        <f t="array" ref="I48">xlFOCUS_ExpectativasMensais("IPCA",,$F48,WORKDAY(EDATE($F48,-1),-1,Holidays),WORKDAY(EDATE($F48,-1),-1,Holidays),0,"Mediana")</f>
        <v># Barra de fórmulas aberta</v>
      </c>
      <c r="J48" s="11" t="str" cm="1">
        <f t="array" ref="J48">xlFOCUS_ExpectativasMensais("IPCA",,$F48,WORKDAY(EDATE($F48,0),-1,Holidays),WORKDAY(EDATE($F48,0),-1,Holidays),0,"Mediana")</f>
        <v># Barra de fórmulas aberta</v>
      </c>
      <c r="K48" s="11" t="str" cm="1">
        <f t="array" ref="K48">xlFOCUS_ExpectativasMensais("IPCA",,$F48,WORKDAY(EDATE($F48,1),-1,Holidays),WORKDAY(EDATE($F48,1),-1,Holidays),0,"Mediana")</f>
        <v># Barra de fórmulas aberta</v>
      </c>
      <c r="L48" s="11" t="e">
        <f t="shared" si="2"/>
        <v>#VALUE!</v>
      </c>
      <c r="M48" s="11" t="e">
        <f t="shared" si="3"/>
        <v>#VALUE!</v>
      </c>
      <c r="N48" s="11" t="e">
        <f t="shared" si="4"/>
        <v>#VALUE!</v>
      </c>
      <c r="O48" s="11" t="e">
        <f t="shared" si="5"/>
        <v>#VALUE!</v>
      </c>
      <c r="Q48" s="17"/>
      <c r="R48" s="11"/>
      <c r="S48" s="11" t="str" cm="1">
        <f t="array" ref="S48">xlFOCUS_ExpectativasMensais("Câmbio",,$Q48,WORKDAY(EDATE($Q48,-2),-1,Holidays),WORKDAY(EDATE($Q48,-2),-1,Holidays),0,"Mediana")</f>
        <v># Barra de fórmulas aberta</v>
      </c>
      <c r="T48" s="11" t="str" cm="1">
        <f t="array" ref="T48">xlFOCUS_ExpectativasMensais("Câmbio",,$Q48,WORKDAY(EDATE($Q48,-1),-1,Holidays),WORKDAY(EDATE($Q48,-1),-1,Holidays),0,"Mediana")</f>
        <v># Barra de fórmulas aberta</v>
      </c>
      <c r="V48" s="11" t="e">
        <f t="shared" si="6"/>
        <v>#VALUE!</v>
      </c>
      <c r="W48" s="11" t="e">
        <f t="shared" si="7"/>
        <v>#VALUE!</v>
      </c>
      <c r="X48" s="11"/>
      <c r="Y48" s="17"/>
      <c r="Z48" s="11"/>
      <c r="AA48" s="11" t="str" cm="1">
        <f t="array" ref="AA48">xlFOCUS_ExpectativasMensais("IGP-M",,$Y48,WORKDAY(EDATE($Y48,-2),-1,Holidays),WORKDAY(EDATE($Y48,-2),-1,Holidays),0,"Mediana")</f>
        <v># Barra de fórmulas aberta</v>
      </c>
      <c r="AB48" s="11" t="str" cm="1">
        <f t="array" ref="AB48">xlFOCUS_ExpectativasMensais("IGP-M",,$Y48,WORKDAY(EDATE($Y48,-1),-1,Holidays),WORKDAY(EDATE($Y48,-1),-1,Holidays),0,"Mediana")</f>
        <v># Barra de fórmulas aberta</v>
      </c>
      <c r="AC48" s="11" t="str" cm="1">
        <f t="array" ref="AC48">xlFOCUS_ExpectativasMensais("IGP-M",,$Y48,WORKDAY(EDATE($Y48,0),-1,Holidays),WORKDAY(EDATE($Y48,0),-1,Holidays),0,"Mediana")</f>
        <v># Barra de fórmulas aberta</v>
      </c>
      <c r="AD48" s="11" t="e">
        <f t="shared" si="8"/>
        <v>#VALUE!</v>
      </c>
      <c r="AE48" s="11" t="e">
        <f t="shared" si="9"/>
        <v>#VALUE!</v>
      </c>
      <c r="AF48" s="11" t="e">
        <f t="shared" si="10"/>
        <v>#VALUE!</v>
      </c>
      <c r="AG48" s="11"/>
    </row>
    <row r="49" spans="4:33" x14ac:dyDescent="0.2">
      <c r="D49" s="1">
        <f t="shared" si="0"/>
        <v>0</v>
      </c>
      <c r="E49" s="1">
        <f t="shared" si="1"/>
        <v>0</v>
      </c>
      <c r="F49" s="17"/>
      <c r="G49" s="11"/>
      <c r="H49" s="11" t="str" cm="1">
        <f t="array" ref="H49">xlFOCUS_ExpectativasMensais("IPCA",,$F49,WORKDAY(EDATE($F49,-2),-1,Holidays),WORKDAY(EDATE($F49,-2),-1,Holidays),0,"Mediana")</f>
        <v># Barra de fórmulas aberta</v>
      </c>
      <c r="I49" s="11" t="str" cm="1">
        <f t="array" ref="I49">xlFOCUS_ExpectativasMensais("IPCA",,$F49,WORKDAY(EDATE($F49,-1),-1,Holidays),WORKDAY(EDATE($F49,-1),-1,Holidays),0,"Mediana")</f>
        <v># Barra de fórmulas aberta</v>
      </c>
      <c r="J49" s="11" t="str" cm="1">
        <f t="array" ref="J49">xlFOCUS_ExpectativasMensais("IPCA",,$F49,WORKDAY(EDATE($F49,0),-1,Holidays),WORKDAY(EDATE($F49,0),-1,Holidays),0,"Mediana")</f>
        <v># Barra de fórmulas aberta</v>
      </c>
      <c r="K49" s="11" t="str" cm="1">
        <f t="array" ref="K49">xlFOCUS_ExpectativasMensais("IPCA",,$F49,WORKDAY(EDATE($F49,1),-1,Holidays),WORKDAY(EDATE($F49,1),-1,Holidays),0,"Mediana")</f>
        <v># Barra de fórmulas aberta</v>
      </c>
      <c r="L49" s="11" t="e">
        <f t="shared" si="2"/>
        <v>#VALUE!</v>
      </c>
      <c r="M49" s="11" t="e">
        <f t="shared" si="3"/>
        <v>#VALUE!</v>
      </c>
      <c r="N49" s="11" t="e">
        <f t="shared" si="4"/>
        <v>#VALUE!</v>
      </c>
      <c r="O49" s="11" t="e">
        <f t="shared" si="5"/>
        <v>#VALUE!</v>
      </c>
      <c r="Q49" s="17"/>
      <c r="R49" s="11"/>
      <c r="S49" s="11" t="str" cm="1">
        <f t="array" ref="S49">xlFOCUS_ExpectativasMensais("Câmbio",,$Q49,WORKDAY(EDATE($Q49,-2),-1,Holidays),WORKDAY(EDATE($Q49,-2),-1,Holidays),0,"Mediana")</f>
        <v># Barra de fórmulas aberta</v>
      </c>
      <c r="T49" s="11" t="str" cm="1">
        <f t="array" ref="T49">xlFOCUS_ExpectativasMensais("Câmbio",,$Q49,WORKDAY(EDATE($Q49,-1),-1,Holidays),WORKDAY(EDATE($Q49,-1),-1,Holidays),0,"Mediana")</f>
        <v># Barra de fórmulas aberta</v>
      </c>
      <c r="V49" s="11" t="e">
        <f t="shared" si="6"/>
        <v>#VALUE!</v>
      </c>
      <c r="W49" s="11" t="e">
        <f t="shared" si="7"/>
        <v>#VALUE!</v>
      </c>
      <c r="X49" s="11"/>
      <c r="Y49" s="17"/>
      <c r="Z49" s="11"/>
      <c r="AA49" s="11" t="str" cm="1">
        <f t="array" ref="AA49">xlFOCUS_ExpectativasMensais("IGP-M",,$Y49,WORKDAY(EDATE($Y49,-2),-1,Holidays),WORKDAY(EDATE($Y49,-2),-1,Holidays),0,"Mediana")</f>
        <v># Barra de fórmulas aberta</v>
      </c>
      <c r="AB49" s="11" t="str" cm="1">
        <f t="array" ref="AB49">xlFOCUS_ExpectativasMensais("IGP-M",,$Y49,WORKDAY(EDATE($Y49,-1),-1,Holidays),WORKDAY(EDATE($Y49,-1),-1,Holidays),0,"Mediana")</f>
        <v># Barra de fórmulas aberta</v>
      </c>
      <c r="AC49" s="11" t="str" cm="1">
        <f t="array" ref="AC49">xlFOCUS_ExpectativasMensais("IGP-M",,$Y49,WORKDAY(EDATE($Y49,0),-1,Holidays),WORKDAY(EDATE($Y49,0),-1,Holidays),0,"Mediana")</f>
        <v># Barra de fórmulas aberta</v>
      </c>
      <c r="AD49" s="11" t="e">
        <f t="shared" si="8"/>
        <v>#VALUE!</v>
      </c>
      <c r="AE49" s="11" t="e">
        <f t="shared" si="9"/>
        <v>#VALUE!</v>
      </c>
      <c r="AF49" s="11" t="e">
        <f t="shared" si="10"/>
        <v>#VALUE!</v>
      </c>
      <c r="AG49" s="11"/>
    </row>
    <row r="50" spans="4:33" x14ac:dyDescent="0.2">
      <c r="D50" s="1">
        <f t="shared" si="0"/>
        <v>0</v>
      </c>
      <c r="E50" s="1">
        <f t="shared" si="1"/>
        <v>0</v>
      </c>
      <c r="F50" s="17"/>
      <c r="G50" s="11"/>
      <c r="H50" s="11" t="str" cm="1">
        <f t="array" ref="H50">xlFOCUS_ExpectativasMensais("IPCA",,$F50,WORKDAY(EDATE($F50,-2),-1,Holidays),WORKDAY(EDATE($F50,-2),-1,Holidays),0,"Mediana")</f>
        <v># Barra de fórmulas aberta</v>
      </c>
      <c r="I50" s="11" t="str" cm="1">
        <f t="array" ref="I50">xlFOCUS_ExpectativasMensais("IPCA",,$F50,WORKDAY(EDATE($F50,-1),-1,Holidays),WORKDAY(EDATE($F50,-1),-1,Holidays),0,"Mediana")</f>
        <v># Barra de fórmulas aberta</v>
      </c>
      <c r="J50" s="11" t="str" cm="1">
        <f t="array" ref="J50">xlFOCUS_ExpectativasMensais("IPCA",,$F50,WORKDAY(EDATE($F50,0),-1,Holidays),WORKDAY(EDATE($F50,0),-1,Holidays),0,"Mediana")</f>
        <v># Barra de fórmulas aberta</v>
      </c>
      <c r="K50" s="11" t="str" cm="1">
        <f t="array" ref="K50">xlFOCUS_ExpectativasMensais("IPCA",,$F50,WORKDAY(EDATE($F50,1),-1,Holidays),WORKDAY(EDATE($F50,1),-1,Holidays),0,"Mediana")</f>
        <v># Barra de fórmulas aberta</v>
      </c>
      <c r="L50" s="11" t="e">
        <f t="shared" si="2"/>
        <v>#VALUE!</v>
      </c>
      <c r="M50" s="11" t="e">
        <f t="shared" si="3"/>
        <v>#VALUE!</v>
      </c>
      <c r="N50" s="11" t="e">
        <f t="shared" si="4"/>
        <v>#VALUE!</v>
      </c>
      <c r="O50" s="11" t="e">
        <f t="shared" si="5"/>
        <v>#VALUE!</v>
      </c>
      <c r="Q50" s="17"/>
      <c r="R50" s="11"/>
      <c r="S50" s="11" t="str" cm="1">
        <f t="array" ref="S50">xlFOCUS_ExpectativasMensais("Câmbio",,$Q50,WORKDAY(EDATE($Q50,-2),-1,Holidays),WORKDAY(EDATE($Q50,-2),-1,Holidays),0,"Mediana")</f>
        <v># Barra de fórmulas aberta</v>
      </c>
      <c r="T50" s="11" t="str" cm="1">
        <f t="array" ref="T50">xlFOCUS_ExpectativasMensais("Câmbio",,$Q50,WORKDAY(EDATE($Q50,-1),-1,Holidays),WORKDAY(EDATE($Q50,-1),-1,Holidays),0,"Mediana")</f>
        <v># Barra de fórmulas aberta</v>
      </c>
      <c r="V50" s="11" t="e">
        <f t="shared" si="6"/>
        <v>#VALUE!</v>
      </c>
      <c r="W50" s="11" t="e">
        <f t="shared" si="7"/>
        <v>#VALUE!</v>
      </c>
      <c r="X50" s="11"/>
      <c r="Y50" s="17"/>
      <c r="Z50" s="11"/>
      <c r="AA50" s="11" t="str" cm="1">
        <f t="array" ref="AA50">xlFOCUS_ExpectativasMensais("IGP-M",,$Y50,WORKDAY(EDATE($Y50,-2),-1,Holidays),WORKDAY(EDATE($Y50,-2),-1,Holidays),0,"Mediana")</f>
        <v># Barra de fórmulas aberta</v>
      </c>
      <c r="AB50" s="11" t="str" cm="1">
        <f t="array" ref="AB50">xlFOCUS_ExpectativasMensais("IGP-M",,$Y50,WORKDAY(EDATE($Y50,-1),-1,Holidays),WORKDAY(EDATE($Y50,-1),-1,Holidays),0,"Mediana")</f>
        <v># Barra de fórmulas aberta</v>
      </c>
      <c r="AC50" s="11" t="str" cm="1">
        <f t="array" ref="AC50">xlFOCUS_ExpectativasMensais("IGP-M",,$Y50,WORKDAY(EDATE($Y50,0),-1,Holidays),WORKDAY(EDATE($Y50,0),-1,Holidays),0,"Mediana")</f>
        <v># Barra de fórmulas aberta</v>
      </c>
      <c r="AD50" s="11" t="e">
        <f t="shared" si="8"/>
        <v>#VALUE!</v>
      </c>
      <c r="AE50" s="11" t="e">
        <f t="shared" si="9"/>
        <v>#VALUE!</v>
      </c>
      <c r="AF50" s="11" t="e">
        <f t="shared" si="10"/>
        <v>#VALUE!</v>
      </c>
      <c r="AG50" s="11"/>
    </row>
    <row r="51" spans="4:33" x14ac:dyDescent="0.2">
      <c r="D51" s="1">
        <f t="shared" si="0"/>
        <v>0</v>
      </c>
      <c r="E51" s="1">
        <f t="shared" si="1"/>
        <v>0</v>
      </c>
      <c r="F51" s="17"/>
      <c r="G51" s="11"/>
      <c r="H51" s="11" t="str" cm="1">
        <f t="array" ref="H51">xlFOCUS_ExpectativasMensais("IPCA",,$F51,WORKDAY(EDATE($F51,-2),-1,Holidays),WORKDAY(EDATE($F51,-2),-1,Holidays),0,"Mediana")</f>
        <v># Barra de fórmulas aberta</v>
      </c>
      <c r="I51" s="11" t="str" cm="1">
        <f t="array" ref="I51">xlFOCUS_ExpectativasMensais("IPCA",,$F51,WORKDAY(EDATE($F51,-1),-1,Holidays),WORKDAY(EDATE($F51,-1),-1,Holidays),0,"Mediana")</f>
        <v># Barra de fórmulas aberta</v>
      </c>
      <c r="J51" s="11" t="str" cm="1">
        <f t="array" ref="J51">xlFOCUS_ExpectativasMensais("IPCA",,$F51,WORKDAY(EDATE($F51,0),-1,Holidays),WORKDAY(EDATE($F51,0),-1,Holidays),0,"Mediana")</f>
        <v># Barra de fórmulas aberta</v>
      </c>
      <c r="K51" s="11" t="str" cm="1">
        <f t="array" ref="K51">xlFOCUS_ExpectativasMensais("IPCA",,$F51,WORKDAY(EDATE($F51,1),-1,Holidays),WORKDAY(EDATE($F51,1),-1,Holidays),0,"Mediana")</f>
        <v># Barra de fórmulas aberta</v>
      </c>
      <c r="L51" s="11" t="e">
        <f t="shared" si="2"/>
        <v>#VALUE!</v>
      </c>
      <c r="M51" s="11" t="e">
        <f t="shared" si="3"/>
        <v>#VALUE!</v>
      </c>
      <c r="N51" s="11" t="e">
        <f t="shared" si="4"/>
        <v>#VALUE!</v>
      </c>
      <c r="O51" s="11" t="e">
        <f t="shared" si="5"/>
        <v>#VALUE!</v>
      </c>
      <c r="Q51" s="17"/>
      <c r="R51" s="11"/>
      <c r="S51" s="11" t="str" cm="1">
        <f t="array" ref="S51">xlFOCUS_ExpectativasMensais("Câmbio",,$Q51,WORKDAY(EDATE($Q51,-2),-1,Holidays),WORKDAY(EDATE($Q51,-2),-1,Holidays),0,"Mediana")</f>
        <v># Barra de fórmulas aberta</v>
      </c>
      <c r="T51" s="11" t="str" cm="1">
        <f t="array" ref="T51">xlFOCUS_ExpectativasMensais("Câmbio",,$Q51,WORKDAY(EDATE($Q51,-1),-1,Holidays),WORKDAY(EDATE($Q51,-1),-1,Holidays),0,"Mediana")</f>
        <v># Barra de fórmulas aberta</v>
      </c>
      <c r="V51" s="11" t="e">
        <f t="shared" si="6"/>
        <v>#VALUE!</v>
      </c>
      <c r="W51" s="11" t="e">
        <f t="shared" si="7"/>
        <v>#VALUE!</v>
      </c>
      <c r="X51" s="11"/>
      <c r="Y51" s="17"/>
      <c r="Z51" s="11"/>
      <c r="AA51" s="11" t="str" cm="1">
        <f t="array" ref="AA51">xlFOCUS_ExpectativasMensais("IGP-M",,$Y51,WORKDAY(EDATE($Y51,-2),-1,Holidays),WORKDAY(EDATE($Y51,-2),-1,Holidays),0,"Mediana")</f>
        <v># Barra de fórmulas aberta</v>
      </c>
      <c r="AB51" s="11" t="str" cm="1">
        <f t="array" ref="AB51">xlFOCUS_ExpectativasMensais("IGP-M",,$Y51,WORKDAY(EDATE($Y51,-1),-1,Holidays),WORKDAY(EDATE($Y51,-1),-1,Holidays),0,"Mediana")</f>
        <v># Barra de fórmulas aberta</v>
      </c>
      <c r="AC51" s="11" t="str" cm="1">
        <f t="array" ref="AC51">xlFOCUS_ExpectativasMensais("IGP-M",,$Y51,WORKDAY(EDATE($Y51,0),-1,Holidays),WORKDAY(EDATE($Y51,0),-1,Holidays),0,"Mediana")</f>
        <v># Barra de fórmulas aberta</v>
      </c>
      <c r="AD51" s="11" t="e">
        <f t="shared" si="8"/>
        <v>#VALUE!</v>
      </c>
      <c r="AE51" s="11" t="e">
        <f t="shared" si="9"/>
        <v>#VALUE!</v>
      </c>
      <c r="AF51" s="11" t="e">
        <f t="shared" si="10"/>
        <v>#VALUE!</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heetViews>
  <sheetFormatPr defaultRowHeight="12.75" x14ac:dyDescent="0.2"/>
  <cols>
    <col min="1" max="1" width="11.28515625" style="67" customWidth="1"/>
    <col min="2" max="2" width="18" style="67" customWidth="1"/>
    <col min="3" max="3" width="45.140625" style="67" customWidth="1"/>
    <col min="4" max="256" width="9.140625" style="67"/>
    <col min="257" max="257" width="11.28515625" style="67" customWidth="1"/>
    <col min="258" max="258" width="18" style="67" customWidth="1"/>
    <col min="259" max="259" width="45.140625" style="67" customWidth="1"/>
    <col min="260" max="512" width="9.140625" style="67"/>
    <col min="513" max="513" width="11.28515625" style="67" customWidth="1"/>
    <col min="514" max="514" width="18" style="67" customWidth="1"/>
    <col min="515" max="515" width="45.140625" style="67" customWidth="1"/>
    <col min="516" max="768" width="9.140625" style="67"/>
    <col min="769" max="769" width="11.28515625" style="67" customWidth="1"/>
    <col min="770" max="770" width="18" style="67" customWidth="1"/>
    <col min="771" max="771" width="45.140625" style="67" customWidth="1"/>
    <col min="772" max="1024" width="9.140625" style="67"/>
    <col min="1025" max="1025" width="11.28515625" style="67" customWidth="1"/>
    <col min="1026" max="1026" width="18" style="67" customWidth="1"/>
    <col min="1027" max="1027" width="45.140625" style="67" customWidth="1"/>
    <col min="1028" max="1280" width="9.140625" style="67"/>
    <col min="1281" max="1281" width="11.28515625" style="67" customWidth="1"/>
    <col min="1282" max="1282" width="18" style="67" customWidth="1"/>
    <col min="1283" max="1283" width="45.140625" style="67" customWidth="1"/>
    <col min="1284" max="1536" width="9.140625" style="67"/>
    <col min="1537" max="1537" width="11.28515625" style="67" customWidth="1"/>
    <col min="1538" max="1538" width="18" style="67" customWidth="1"/>
    <col min="1539" max="1539" width="45.140625" style="67" customWidth="1"/>
    <col min="1540" max="1792" width="9.140625" style="67"/>
    <col min="1793" max="1793" width="11.28515625" style="67" customWidth="1"/>
    <col min="1794" max="1794" width="18" style="67" customWidth="1"/>
    <col min="1795" max="1795" width="45.140625" style="67" customWidth="1"/>
    <col min="1796" max="2048" width="9.140625" style="67"/>
    <col min="2049" max="2049" width="11.28515625" style="67" customWidth="1"/>
    <col min="2050" max="2050" width="18" style="67" customWidth="1"/>
    <col min="2051" max="2051" width="45.140625" style="67" customWidth="1"/>
    <col min="2052" max="2304" width="9.140625" style="67"/>
    <col min="2305" max="2305" width="11.28515625" style="67" customWidth="1"/>
    <col min="2306" max="2306" width="18" style="67" customWidth="1"/>
    <col min="2307" max="2307" width="45.140625" style="67" customWidth="1"/>
    <col min="2308" max="2560" width="9.140625" style="67"/>
    <col min="2561" max="2561" width="11.28515625" style="67" customWidth="1"/>
    <col min="2562" max="2562" width="18" style="67" customWidth="1"/>
    <col min="2563" max="2563" width="45.140625" style="67" customWidth="1"/>
    <col min="2564" max="2816" width="9.140625" style="67"/>
    <col min="2817" max="2817" width="11.28515625" style="67" customWidth="1"/>
    <col min="2818" max="2818" width="18" style="67" customWidth="1"/>
    <col min="2819" max="2819" width="45.140625" style="67" customWidth="1"/>
    <col min="2820" max="3072" width="9.140625" style="67"/>
    <col min="3073" max="3073" width="11.28515625" style="67" customWidth="1"/>
    <col min="3074" max="3074" width="18" style="67" customWidth="1"/>
    <col min="3075" max="3075" width="45.140625" style="67" customWidth="1"/>
    <col min="3076" max="3328" width="9.140625" style="67"/>
    <col min="3329" max="3329" width="11.28515625" style="67" customWidth="1"/>
    <col min="3330" max="3330" width="18" style="67" customWidth="1"/>
    <col min="3331" max="3331" width="45.140625" style="67" customWidth="1"/>
    <col min="3332" max="3584" width="9.140625" style="67"/>
    <col min="3585" max="3585" width="11.28515625" style="67" customWidth="1"/>
    <col min="3586" max="3586" width="18" style="67" customWidth="1"/>
    <col min="3587" max="3587" width="45.140625" style="67" customWidth="1"/>
    <col min="3588" max="3840" width="9.140625" style="67"/>
    <col min="3841" max="3841" width="11.28515625" style="67" customWidth="1"/>
    <col min="3842" max="3842" width="18" style="67" customWidth="1"/>
    <col min="3843" max="3843" width="45.140625" style="67" customWidth="1"/>
    <col min="3844" max="4096" width="9.140625" style="67"/>
    <col min="4097" max="4097" width="11.28515625" style="67" customWidth="1"/>
    <col min="4098" max="4098" width="18" style="67" customWidth="1"/>
    <col min="4099" max="4099" width="45.140625" style="67" customWidth="1"/>
    <col min="4100" max="4352" width="9.140625" style="67"/>
    <col min="4353" max="4353" width="11.28515625" style="67" customWidth="1"/>
    <col min="4354" max="4354" width="18" style="67" customWidth="1"/>
    <col min="4355" max="4355" width="45.140625" style="67" customWidth="1"/>
    <col min="4356" max="4608" width="9.140625" style="67"/>
    <col min="4609" max="4609" width="11.28515625" style="67" customWidth="1"/>
    <col min="4610" max="4610" width="18" style="67" customWidth="1"/>
    <col min="4611" max="4611" width="45.140625" style="67" customWidth="1"/>
    <col min="4612" max="4864" width="9.140625" style="67"/>
    <col min="4865" max="4865" width="11.28515625" style="67" customWidth="1"/>
    <col min="4866" max="4866" width="18" style="67" customWidth="1"/>
    <col min="4867" max="4867" width="45.140625" style="67" customWidth="1"/>
    <col min="4868" max="5120" width="9.140625" style="67"/>
    <col min="5121" max="5121" width="11.28515625" style="67" customWidth="1"/>
    <col min="5122" max="5122" width="18" style="67" customWidth="1"/>
    <col min="5123" max="5123" width="45.140625" style="67" customWidth="1"/>
    <col min="5124" max="5376" width="9.140625" style="67"/>
    <col min="5377" max="5377" width="11.28515625" style="67" customWidth="1"/>
    <col min="5378" max="5378" width="18" style="67" customWidth="1"/>
    <col min="5379" max="5379" width="45.140625" style="67" customWidth="1"/>
    <col min="5380" max="5632" width="9.140625" style="67"/>
    <col min="5633" max="5633" width="11.28515625" style="67" customWidth="1"/>
    <col min="5634" max="5634" width="18" style="67" customWidth="1"/>
    <col min="5635" max="5635" width="45.140625" style="67" customWidth="1"/>
    <col min="5636" max="5888" width="9.140625" style="67"/>
    <col min="5889" max="5889" width="11.28515625" style="67" customWidth="1"/>
    <col min="5890" max="5890" width="18" style="67" customWidth="1"/>
    <col min="5891" max="5891" width="45.140625" style="67" customWidth="1"/>
    <col min="5892" max="6144" width="9.140625" style="67"/>
    <col min="6145" max="6145" width="11.28515625" style="67" customWidth="1"/>
    <col min="6146" max="6146" width="18" style="67" customWidth="1"/>
    <col min="6147" max="6147" width="45.140625" style="67" customWidth="1"/>
    <col min="6148" max="6400" width="9.140625" style="67"/>
    <col min="6401" max="6401" width="11.28515625" style="67" customWidth="1"/>
    <col min="6402" max="6402" width="18" style="67" customWidth="1"/>
    <col min="6403" max="6403" width="45.140625" style="67" customWidth="1"/>
    <col min="6404" max="6656" width="9.140625" style="67"/>
    <col min="6657" max="6657" width="11.28515625" style="67" customWidth="1"/>
    <col min="6658" max="6658" width="18" style="67" customWidth="1"/>
    <col min="6659" max="6659" width="45.140625" style="67" customWidth="1"/>
    <col min="6660" max="6912" width="9.140625" style="67"/>
    <col min="6913" max="6913" width="11.28515625" style="67" customWidth="1"/>
    <col min="6914" max="6914" width="18" style="67" customWidth="1"/>
    <col min="6915" max="6915" width="45.140625" style="67" customWidth="1"/>
    <col min="6916" max="7168" width="9.140625" style="67"/>
    <col min="7169" max="7169" width="11.28515625" style="67" customWidth="1"/>
    <col min="7170" max="7170" width="18" style="67" customWidth="1"/>
    <col min="7171" max="7171" width="45.140625" style="67" customWidth="1"/>
    <col min="7172" max="7424" width="9.140625" style="67"/>
    <col min="7425" max="7425" width="11.28515625" style="67" customWidth="1"/>
    <col min="7426" max="7426" width="18" style="67" customWidth="1"/>
    <col min="7427" max="7427" width="45.140625" style="67" customWidth="1"/>
    <col min="7428" max="7680" width="9.140625" style="67"/>
    <col min="7681" max="7681" width="11.28515625" style="67" customWidth="1"/>
    <col min="7682" max="7682" width="18" style="67" customWidth="1"/>
    <col min="7683" max="7683" width="45.140625" style="67" customWidth="1"/>
    <col min="7684" max="7936" width="9.140625" style="67"/>
    <col min="7937" max="7937" width="11.28515625" style="67" customWidth="1"/>
    <col min="7938" max="7938" width="18" style="67" customWidth="1"/>
    <col min="7939" max="7939" width="45.140625" style="67" customWidth="1"/>
    <col min="7940" max="8192" width="9.140625" style="67"/>
    <col min="8193" max="8193" width="11.28515625" style="67" customWidth="1"/>
    <col min="8194" max="8194" width="18" style="67" customWidth="1"/>
    <col min="8195" max="8195" width="45.140625" style="67" customWidth="1"/>
    <col min="8196" max="8448" width="9.140625" style="67"/>
    <col min="8449" max="8449" width="11.28515625" style="67" customWidth="1"/>
    <col min="8450" max="8450" width="18" style="67" customWidth="1"/>
    <col min="8451" max="8451" width="45.140625" style="67" customWidth="1"/>
    <col min="8452" max="8704" width="9.140625" style="67"/>
    <col min="8705" max="8705" width="11.28515625" style="67" customWidth="1"/>
    <col min="8706" max="8706" width="18" style="67" customWidth="1"/>
    <col min="8707" max="8707" width="45.140625" style="67" customWidth="1"/>
    <col min="8708" max="8960" width="9.140625" style="67"/>
    <col min="8961" max="8961" width="11.28515625" style="67" customWidth="1"/>
    <col min="8962" max="8962" width="18" style="67" customWidth="1"/>
    <col min="8963" max="8963" width="45.140625" style="67" customWidth="1"/>
    <col min="8964" max="9216" width="9.140625" style="67"/>
    <col min="9217" max="9217" width="11.28515625" style="67" customWidth="1"/>
    <col min="9218" max="9218" width="18" style="67" customWidth="1"/>
    <col min="9219" max="9219" width="45.140625" style="67" customWidth="1"/>
    <col min="9220" max="9472" width="9.140625" style="67"/>
    <col min="9473" max="9473" width="11.28515625" style="67" customWidth="1"/>
    <col min="9474" max="9474" width="18" style="67" customWidth="1"/>
    <col min="9475" max="9475" width="45.140625" style="67" customWidth="1"/>
    <col min="9476" max="9728" width="9.140625" style="67"/>
    <col min="9729" max="9729" width="11.28515625" style="67" customWidth="1"/>
    <col min="9730" max="9730" width="18" style="67" customWidth="1"/>
    <col min="9731" max="9731" width="45.140625" style="67" customWidth="1"/>
    <col min="9732" max="9984" width="9.140625" style="67"/>
    <col min="9985" max="9985" width="11.28515625" style="67" customWidth="1"/>
    <col min="9986" max="9986" width="18" style="67" customWidth="1"/>
    <col min="9987" max="9987" width="45.140625" style="67" customWidth="1"/>
    <col min="9988" max="10240" width="9.140625" style="67"/>
    <col min="10241" max="10241" width="11.28515625" style="67" customWidth="1"/>
    <col min="10242" max="10242" width="18" style="67" customWidth="1"/>
    <col min="10243" max="10243" width="45.140625" style="67" customWidth="1"/>
    <col min="10244" max="10496" width="9.140625" style="67"/>
    <col min="10497" max="10497" width="11.28515625" style="67" customWidth="1"/>
    <col min="10498" max="10498" width="18" style="67" customWidth="1"/>
    <col min="10499" max="10499" width="45.140625" style="67" customWidth="1"/>
    <col min="10500" max="10752" width="9.140625" style="67"/>
    <col min="10753" max="10753" width="11.28515625" style="67" customWidth="1"/>
    <col min="10754" max="10754" width="18" style="67" customWidth="1"/>
    <col min="10755" max="10755" width="45.140625" style="67" customWidth="1"/>
    <col min="10756" max="11008" width="9.140625" style="67"/>
    <col min="11009" max="11009" width="11.28515625" style="67" customWidth="1"/>
    <col min="11010" max="11010" width="18" style="67" customWidth="1"/>
    <col min="11011" max="11011" width="45.140625" style="67" customWidth="1"/>
    <col min="11012" max="11264" width="9.140625" style="67"/>
    <col min="11265" max="11265" width="11.28515625" style="67" customWidth="1"/>
    <col min="11266" max="11266" width="18" style="67" customWidth="1"/>
    <col min="11267" max="11267" width="45.140625" style="67" customWidth="1"/>
    <col min="11268" max="11520" width="9.140625" style="67"/>
    <col min="11521" max="11521" width="11.28515625" style="67" customWidth="1"/>
    <col min="11522" max="11522" width="18" style="67" customWidth="1"/>
    <col min="11523" max="11523" width="45.140625" style="67" customWidth="1"/>
    <col min="11524" max="11776" width="9.140625" style="67"/>
    <col min="11777" max="11777" width="11.28515625" style="67" customWidth="1"/>
    <col min="11778" max="11778" width="18" style="67" customWidth="1"/>
    <col min="11779" max="11779" width="45.140625" style="67" customWidth="1"/>
    <col min="11780" max="12032" width="9.140625" style="67"/>
    <col min="12033" max="12033" width="11.28515625" style="67" customWidth="1"/>
    <col min="12034" max="12034" width="18" style="67" customWidth="1"/>
    <col min="12035" max="12035" width="45.140625" style="67" customWidth="1"/>
    <col min="12036" max="12288" width="9.140625" style="67"/>
    <col min="12289" max="12289" width="11.28515625" style="67" customWidth="1"/>
    <col min="12290" max="12290" width="18" style="67" customWidth="1"/>
    <col min="12291" max="12291" width="45.140625" style="67" customWidth="1"/>
    <col min="12292" max="12544" width="9.140625" style="67"/>
    <col min="12545" max="12545" width="11.28515625" style="67" customWidth="1"/>
    <col min="12546" max="12546" width="18" style="67" customWidth="1"/>
    <col min="12547" max="12547" width="45.140625" style="67" customWidth="1"/>
    <col min="12548" max="12800" width="9.140625" style="67"/>
    <col min="12801" max="12801" width="11.28515625" style="67" customWidth="1"/>
    <col min="12802" max="12802" width="18" style="67" customWidth="1"/>
    <col min="12803" max="12803" width="45.140625" style="67" customWidth="1"/>
    <col min="12804" max="13056" width="9.140625" style="67"/>
    <col min="13057" max="13057" width="11.28515625" style="67" customWidth="1"/>
    <col min="13058" max="13058" width="18" style="67" customWidth="1"/>
    <col min="13059" max="13059" width="45.140625" style="67" customWidth="1"/>
    <col min="13060" max="13312" width="9.140625" style="67"/>
    <col min="13313" max="13313" width="11.28515625" style="67" customWidth="1"/>
    <col min="13314" max="13314" width="18" style="67" customWidth="1"/>
    <col min="13315" max="13315" width="45.140625" style="67" customWidth="1"/>
    <col min="13316" max="13568" width="9.140625" style="67"/>
    <col min="13569" max="13569" width="11.28515625" style="67" customWidth="1"/>
    <col min="13570" max="13570" width="18" style="67" customWidth="1"/>
    <col min="13571" max="13571" width="45.140625" style="67" customWidth="1"/>
    <col min="13572" max="13824" width="9.140625" style="67"/>
    <col min="13825" max="13825" width="11.28515625" style="67" customWidth="1"/>
    <col min="13826" max="13826" width="18" style="67" customWidth="1"/>
    <col min="13827" max="13827" width="45.140625" style="67" customWidth="1"/>
    <col min="13828" max="14080" width="9.140625" style="67"/>
    <col min="14081" max="14081" width="11.28515625" style="67" customWidth="1"/>
    <col min="14082" max="14082" width="18" style="67" customWidth="1"/>
    <col min="14083" max="14083" width="45.140625" style="67" customWidth="1"/>
    <col min="14084" max="14336" width="9.140625" style="67"/>
    <col min="14337" max="14337" width="11.28515625" style="67" customWidth="1"/>
    <col min="14338" max="14338" width="18" style="67" customWidth="1"/>
    <col min="14339" max="14339" width="45.140625" style="67" customWidth="1"/>
    <col min="14340" max="14592" width="9.140625" style="67"/>
    <col min="14593" max="14593" width="11.28515625" style="67" customWidth="1"/>
    <col min="14594" max="14594" width="18" style="67" customWidth="1"/>
    <col min="14595" max="14595" width="45.140625" style="67" customWidth="1"/>
    <col min="14596" max="14848" width="9.140625" style="67"/>
    <col min="14849" max="14849" width="11.28515625" style="67" customWidth="1"/>
    <col min="14850" max="14850" width="18" style="67" customWidth="1"/>
    <col min="14851" max="14851" width="45.140625" style="67" customWidth="1"/>
    <col min="14852" max="15104" width="9.140625" style="67"/>
    <col min="15105" max="15105" width="11.28515625" style="67" customWidth="1"/>
    <col min="15106" max="15106" width="18" style="67" customWidth="1"/>
    <col min="15107" max="15107" width="45.140625" style="67" customWidth="1"/>
    <col min="15108" max="15360" width="9.140625" style="67"/>
    <col min="15361" max="15361" width="11.28515625" style="67" customWidth="1"/>
    <col min="15362" max="15362" width="18" style="67" customWidth="1"/>
    <col min="15363" max="15363" width="45.140625" style="67" customWidth="1"/>
    <col min="15364" max="15616" width="9.140625" style="67"/>
    <col min="15617" max="15617" width="11.28515625" style="67" customWidth="1"/>
    <col min="15618" max="15618" width="18" style="67" customWidth="1"/>
    <col min="15619" max="15619" width="45.140625" style="67" customWidth="1"/>
    <col min="15620" max="15872" width="9.140625" style="67"/>
    <col min="15873" max="15873" width="11.28515625" style="67" customWidth="1"/>
    <col min="15874" max="15874" width="18" style="67" customWidth="1"/>
    <col min="15875" max="15875" width="45.140625" style="67" customWidth="1"/>
    <col min="15876" max="16128" width="9.140625" style="67"/>
    <col min="16129" max="16129" width="11.28515625" style="67" customWidth="1"/>
    <col min="16130" max="16130" width="18" style="67" customWidth="1"/>
    <col min="16131" max="16131" width="45.140625" style="67" customWidth="1"/>
    <col min="16132" max="16384" width="9.140625" style="67"/>
  </cols>
  <sheetData>
    <row r="1" spans="1:3" ht="13.5" thickBot="1" x14ac:dyDescent="0.25">
      <c r="A1" s="64" t="s">
        <v>12</v>
      </c>
      <c r="B1" s="65" t="s">
        <v>521</v>
      </c>
      <c r="C1" s="66" t="s">
        <v>522</v>
      </c>
    </row>
    <row r="2" spans="1:3" ht="13.5" thickBot="1" x14ac:dyDescent="0.25">
      <c r="A2" s="68">
        <v>36892</v>
      </c>
      <c r="B2" s="69" t="s">
        <v>523</v>
      </c>
      <c r="C2" s="70" t="s">
        <v>524</v>
      </c>
    </row>
    <row r="3" spans="1:3" ht="13.5" thickBot="1" x14ac:dyDescent="0.25">
      <c r="A3" s="68">
        <v>36948</v>
      </c>
      <c r="B3" s="69" t="s">
        <v>523</v>
      </c>
      <c r="C3" s="70" t="s">
        <v>525</v>
      </c>
    </row>
    <row r="4" spans="1:3" ht="13.5" thickBot="1" x14ac:dyDescent="0.25">
      <c r="A4" s="68">
        <v>36949</v>
      </c>
      <c r="B4" s="69" t="s">
        <v>526</v>
      </c>
      <c r="C4" s="70" t="s">
        <v>525</v>
      </c>
    </row>
    <row r="5" spans="1:3" ht="13.5" thickBot="1" x14ac:dyDescent="0.25">
      <c r="A5" s="68">
        <v>36994</v>
      </c>
      <c r="B5" s="69" t="s">
        <v>527</v>
      </c>
      <c r="C5" s="70" t="s">
        <v>528</v>
      </c>
    </row>
    <row r="6" spans="1:3" ht="13.5" thickBot="1" x14ac:dyDescent="0.25">
      <c r="A6" s="68">
        <v>37002</v>
      </c>
      <c r="B6" s="69" t="s">
        <v>529</v>
      </c>
      <c r="C6" s="70" t="s">
        <v>530</v>
      </c>
    </row>
    <row r="7" spans="1:3" ht="13.5" thickBot="1" x14ac:dyDescent="0.25">
      <c r="A7" s="68">
        <v>37012</v>
      </c>
      <c r="B7" s="69" t="s">
        <v>526</v>
      </c>
      <c r="C7" s="70" t="s">
        <v>531</v>
      </c>
    </row>
    <row r="8" spans="1:3" ht="13.5" thickBot="1" x14ac:dyDescent="0.25">
      <c r="A8" s="68">
        <v>37056</v>
      </c>
      <c r="B8" s="69" t="s">
        <v>532</v>
      </c>
      <c r="C8" s="70" t="s">
        <v>533</v>
      </c>
    </row>
    <row r="9" spans="1:3" ht="13.5" thickBot="1" x14ac:dyDescent="0.25">
      <c r="A9" s="68">
        <v>37141</v>
      </c>
      <c r="B9" s="69" t="s">
        <v>527</v>
      </c>
      <c r="C9" s="70" t="s">
        <v>534</v>
      </c>
    </row>
    <row r="10" spans="1:3" ht="14.25" thickBot="1" x14ac:dyDescent="0.25">
      <c r="A10" s="68">
        <v>37176</v>
      </c>
      <c r="B10" s="69" t="s">
        <v>527</v>
      </c>
      <c r="C10" s="70" t="s">
        <v>535</v>
      </c>
    </row>
    <row r="11" spans="1:3" ht="13.5" thickBot="1" x14ac:dyDescent="0.25">
      <c r="A11" s="68">
        <v>37197</v>
      </c>
      <c r="B11" s="69" t="s">
        <v>527</v>
      </c>
      <c r="C11" s="70" t="s">
        <v>536</v>
      </c>
    </row>
    <row r="12" spans="1:3" ht="13.5" thickBot="1" x14ac:dyDescent="0.25">
      <c r="A12" s="68">
        <v>37210</v>
      </c>
      <c r="B12" s="69" t="s">
        <v>532</v>
      </c>
      <c r="C12" s="70" t="s">
        <v>537</v>
      </c>
    </row>
    <row r="13" spans="1:3" ht="13.5" thickBot="1" x14ac:dyDescent="0.25">
      <c r="A13" s="68">
        <v>37250</v>
      </c>
      <c r="B13" s="69" t="s">
        <v>526</v>
      </c>
      <c r="C13" s="70" t="s">
        <v>538</v>
      </c>
    </row>
    <row r="14" spans="1:3" ht="13.5" thickBot="1" x14ac:dyDescent="0.25">
      <c r="A14" s="71">
        <v>37257</v>
      </c>
      <c r="B14" s="72" t="s">
        <v>526</v>
      </c>
      <c r="C14" s="73" t="s">
        <v>524</v>
      </c>
    </row>
    <row r="15" spans="1:3" ht="13.5" thickBot="1" x14ac:dyDescent="0.25">
      <c r="A15" s="74">
        <v>37298</v>
      </c>
      <c r="B15" s="75" t="s">
        <v>523</v>
      </c>
      <c r="C15" s="76" t="s">
        <v>525</v>
      </c>
    </row>
    <row r="16" spans="1:3" ht="13.5" thickBot="1" x14ac:dyDescent="0.25">
      <c r="A16" s="74">
        <v>37299</v>
      </c>
      <c r="B16" s="75" t="s">
        <v>526</v>
      </c>
      <c r="C16" s="76" t="s">
        <v>525</v>
      </c>
    </row>
    <row r="17" spans="1:3" ht="13.5" thickBot="1" x14ac:dyDescent="0.25">
      <c r="A17" s="74">
        <v>37344</v>
      </c>
      <c r="B17" s="75" t="s">
        <v>527</v>
      </c>
      <c r="C17" s="76" t="s">
        <v>528</v>
      </c>
    </row>
    <row r="18" spans="1:3" ht="13.5" thickBot="1" x14ac:dyDescent="0.25">
      <c r="A18" s="74">
        <v>37367</v>
      </c>
      <c r="B18" s="75" t="s">
        <v>539</v>
      </c>
      <c r="C18" s="76" t="s">
        <v>530</v>
      </c>
    </row>
    <row r="19" spans="1:3" ht="13.5" thickBot="1" x14ac:dyDescent="0.25">
      <c r="A19" s="74">
        <v>37377</v>
      </c>
      <c r="B19" s="75" t="s">
        <v>540</v>
      </c>
      <c r="C19" s="76" t="s">
        <v>531</v>
      </c>
    </row>
    <row r="20" spans="1:3" ht="13.5" thickBot="1" x14ac:dyDescent="0.25">
      <c r="A20" s="74">
        <v>37406</v>
      </c>
      <c r="B20" s="75" t="s">
        <v>532</v>
      </c>
      <c r="C20" s="76" t="s">
        <v>533</v>
      </c>
    </row>
    <row r="21" spans="1:3" ht="13.5" thickBot="1" x14ac:dyDescent="0.25">
      <c r="A21" s="74">
        <v>37506</v>
      </c>
      <c r="B21" s="75" t="s">
        <v>529</v>
      </c>
      <c r="C21" s="76" t="s">
        <v>534</v>
      </c>
    </row>
    <row r="22" spans="1:3" ht="14.25" thickBot="1" x14ac:dyDescent="0.25">
      <c r="A22" s="74">
        <v>37541</v>
      </c>
      <c r="B22" s="75" t="s">
        <v>529</v>
      </c>
      <c r="C22" s="76" t="s">
        <v>535</v>
      </c>
    </row>
    <row r="23" spans="1:3" ht="13.5" thickBot="1" x14ac:dyDescent="0.25">
      <c r="A23" s="74">
        <v>37562</v>
      </c>
      <c r="B23" s="75" t="s">
        <v>529</v>
      </c>
      <c r="C23" s="76" t="s">
        <v>536</v>
      </c>
    </row>
    <row r="24" spans="1:3" ht="13.5" thickBot="1" x14ac:dyDescent="0.25">
      <c r="A24" s="74">
        <v>37575</v>
      </c>
      <c r="B24" s="75" t="s">
        <v>527</v>
      </c>
      <c r="C24" s="76" t="s">
        <v>537</v>
      </c>
    </row>
    <row r="25" spans="1:3" ht="13.5" thickBot="1" x14ac:dyDescent="0.25">
      <c r="A25" s="74">
        <v>37615</v>
      </c>
      <c r="B25" s="75" t="s">
        <v>540</v>
      </c>
      <c r="C25" s="76" t="s">
        <v>538</v>
      </c>
    </row>
    <row r="26" spans="1:3" ht="13.5" thickBot="1" x14ac:dyDescent="0.25">
      <c r="A26" s="77">
        <v>37622</v>
      </c>
      <c r="B26" s="78" t="s">
        <v>540</v>
      </c>
      <c r="C26" s="79" t="s">
        <v>524</v>
      </c>
    </row>
    <row r="27" spans="1:3" ht="13.5" thickBot="1" x14ac:dyDescent="0.25">
      <c r="A27" s="68">
        <v>37683</v>
      </c>
      <c r="B27" s="69" t="s">
        <v>523</v>
      </c>
      <c r="C27" s="70" t="s">
        <v>525</v>
      </c>
    </row>
    <row r="28" spans="1:3" ht="13.5" thickBot="1" x14ac:dyDescent="0.25">
      <c r="A28" s="68">
        <v>37684</v>
      </c>
      <c r="B28" s="69" t="s">
        <v>526</v>
      </c>
      <c r="C28" s="70" t="s">
        <v>525</v>
      </c>
    </row>
    <row r="29" spans="1:3" ht="13.5" thickBot="1" x14ac:dyDescent="0.25">
      <c r="A29" s="68">
        <v>37729</v>
      </c>
      <c r="B29" s="69" t="s">
        <v>527</v>
      </c>
      <c r="C29" s="70" t="s">
        <v>528</v>
      </c>
    </row>
    <row r="30" spans="1:3" ht="13.5" thickBot="1" x14ac:dyDescent="0.25">
      <c r="A30" s="68">
        <v>37732</v>
      </c>
      <c r="B30" s="69" t="s">
        <v>523</v>
      </c>
      <c r="C30" s="70" t="s">
        <v>530</v>
      </c>
    </row>
    <row r="31" spans="1:3" ht="13.5" thickBot="1" x14ac:dyDescent="0.25">
      <c r="A31" s="68">
        <v>37742</v>
      </c>
      <c r="B31" s="69" t="s">
        <v>532</v>
      </c>
      <c r="C31" s="70" t="s">
        <v>531</v>
      </c>
    </row>
    <row r="32" spans="1:3" ht="13.5" thickBot="1" x14ac:dyDescent="0.25">
      <c r="A32" s="68">
        <v>37791</v>
      </c>
      <c r="B32" s="69" t="s">
        <v>532</v>
      </c>
      <c r="C32" s="70" t="s">
        <v>533</v>
      </c>
    </row>
    <row r="33" spans="1:3" ht="13.5" thickBot="1" x14ac:dyDescent="0.25">
      <c r="A33" s="68">
        <v>37871</v>
      </c>
      <c r="B33" s="69" t="s">
        <v>539</v>
      </c>
      <c r="C33" s="70" t="s">
        <v>534</v>
      </c>
    </row>
    <row r="34" spans="1:3" ht="14.25" thickBot="1" x14ac:dyDescent="0.25">
      <c r="A34" s="68">
        <v>37906</v>
      </c>
      <c r="B34" s="69" t="s">
        <v>539</v>
      </c>
      <c r="C34" s="70" t="s">
        <v>535</v>
      </c>
    </row>
    <row r="35" spans="1:3" ht="13.5" thickBot="1" x14ac:dyDescent="0.25">
      <c r="A35" s="68">
        <v>37927</v>
      </c>
      <c r="B35" s="69" t="s">
        <v>539</v>
      </c>
      <c r="C35" s="70" t="s">
        <v>536</v>
      </c>
    </row>
    <row r="36" spans="1:3" ht="13.5" thickBot="1" x14ac:dyDescent="0.25">
      <c r="A36" s="68">
        <v>37940</v>
      </c>
      <c r="B36" s="69" t="s">
        <v>529</v>
      </c>
      <c r="C36" s="70" t="s">
        <v>537</v>
      </c>
    </row>
    <row r="37" spans="1:3" ht="13.5" thickBot="1" x14ac:dyDescent="0.25">
      <c r="A37" s="68">
        <v>37980</v>
      </c>
      <c r="B37" s="69" t="s">
        <v>532</v>
      </c>
      <c r="C37" s="70" t="s">
        <v>538</v>
      </c>
    </row>
    <row r="38" spans="1:3" ht="13.5" thickBot="1" x14ac:dyDescent="0.25">
      <c r="A38" s="71">
        <v>37987</v>
      </c>
      <c r="B38" s="72" t="s">
        <v>532</v>
      </c>
      <c r="C38" s="73" t="s">
        <v>524</v>
      </c>
    </row>
    <row r="39" spans="1:3" ht="13.5" thickBot="1" x14ac:dyDescent="0.25">
      <c r="A39" s="74">
        <v>38040</v>
      </c>
      <c r="B39" s="75" t="s">
        <v>523</v>
      </c>
      <c r="C39" s="76" t="s">
        <v>525</v>
      </c>
    </row>
    <row r="40" spans="1:3" ht="13.5" thickBot="1" x14ac:dyDescent="0.25">
      <c r="A40" s="74">
        <v>38041</v>
      </c>
      <c r="B40" s="75" t="s">
        <v>526</v>
      </c>
      <c r="C40" s="76" t="s">
        <v>525</v>
      </c>
    </row>
    <row r="41" spans="1:3" ht="13.5" thickBot="1" x14ac:dyDescent="0.25">
      <c r="A41" s="74">
        <v>38086</v>
      </c>
      <c r="B41" s="75" t="s">
        <v>527</v>
      </c>
      <c r="C41" s="76" t="s">
        <v>528</v>
      </c>
    </row>
    <row r="42" spans="1:3" ht="13.5" thickBot="1" x14ac:dyDescent="0.25">
      <c r="A42" s="74">
        <v>38098</v>
      </c>
      <c r="B42" s="75" t="s">
        <v>540</v>
      </c>
      <c r="C42" s="76" t="s">
        <v>530</v>
      </c>
    </row>
    <row r="43" spans="1:3" ht="13.5" thickBot="1" x14ac:dyDescent="0.25">
      <c r="A43" s="74">
        <v>38108</v>
      </c>
      <c r="B43" s="75" t="s">
        <v>529</v>
      </c>
      <c r="C43" s="76" t="s">
        <v>531</v>
      </c>
    </row>
    <row r="44" spans="1:3" ht="13.5" thickBot="1" x14ac:dyDescent="0.25">
      <c r="A44" s="74">
        <v>38148</v>
      </c>
      <c r="B44" s="75" t="s">
        <v>532</v>
      </c>
      <c r="C44" s="76" t="s">
        <v>533</v>
      </c>
    </row>
    <row r="45" spans="1:3" ht="13.5" thickBot="1" x14ac:dyDescent="0.25">
      <c r="A45" s="74">
        <v>38237</v>
      </c>
      <c r="B45" s="75" t="s">
        <v>526</v>
      </c>
      <c r="C45" s="76" t="s">
        <v>534</v>
      </c>
    </row>
    <row r="46" spans="1:3" ht="14.25" thickBot="1" x14ac:dyDescent="0.25">
      <c r="A46" s="74">
        <v>38272</v>
      </c>
      <c r="B46" s="75" t="s">
        <v>526</v>
      </c>
      <c r="C46" s="76" t="s">
        <v>535</v>
      </c>
    </row>
    <row r="47" spans="1:3" ht="13.5" thickBot="1" x14ac:dyDescent="0.25">
      <c r="A47" s="74">
        <v>38293</v>
      </c>
      <c r="B47" s="75" t="s">
        <v>526</v>
      </c>
      <c r="C47" s="76" t="s">
        <v>536</v>
      </c>
    </row>
    <row r="48" spans="1:3" ht="13.5" thickBot="1" x14ac:dyDescent="0.25">
      <c r="A48" s="74">
        <v>38306</v>
      </c>
      <c r="B48" s="75" t="s">
        <v>523</v>
      </c>
      <c r="C48" s="76" t="s">
        <v>537</v>
      </c>
    </row>
    <row r="49" spans="1:3" ht="13.5" thickBot="1" x14ac:dyDescent="0.25">
      <c r="A49" s="74">
        <v>38346</v>
      </c>
      <c r="B49" s="75" t="s">
        <v>529</v>
      </c>
      <c r="C49" s="76" t="s">
        <v>538</v>
      </c>
    </row>
    <row r="50" spans="1:3" ht="13.5" thickBot="1" x14ac:dyDescent="0.25">
      <c r="A50" s="77">
        <v>38353</v>
      </c>
      <c r="B50" s="78" t="s">
        <v>529</v>
      </c>
      <c r="C50" s="79" t="s">
        <v>524</v>
      </c>
    </row>
    <row r="51" spans="1:3" ht="13.5" thickBot="1" x14ac:dyDescent="0.25">
      <c r="A51" s="68">
        <v>38390</v>
      </c>
      <c r="B51" s="69" t="s">
        <v>523</v>
      </c>
      <c r="C51" s="70" t="s">
        <v>525</v>
      </c>
    </row>
    <row r="52" spans="1:3" ht="13.5" thickBot="1" x14ac:dyDescent="0.25">
      <c r="A52" s="68">
        <v>38391</v>
      </c>
      <c r="B52" s="69" t="s">
        <v>526</v>
      </c>
      <c r="C52" s="70" t="s">
        <v>525</v>
      </c>
    </row>
    <row r="53" spans="1:3" ht="13.5" thickBot="1" x14ac:dyDescent="0.25">
      <c r="A53" s="68">
        <v>38436</v>
      </c>
      <c r="B53" s="69" t="s">
        <v>527</v>
      </c>
      <c r="C53" s="70" t="s">
        <v>528</v>
      </c>
    </row>
    <row r="54" spans="1:3" ht="13.5" thickBot="1" x14ac:dyDescent="0.25">
      <c r="A54" s="68">
        <v>38463</v>
      </c>
      <c r="B54" s="69" t="s">
        <v>532</v>
      </c>
      <c r="C54" s="70" t="s">
        <v>530</v>
      </c>
    </row>
    <row r="55" spans="1:3" ht="13.5" thickBot="1" x14ac:dyDescent="0.25">
      <c r="A55" s="68">
        <v>38473</v>
      </c>
      <c r="B55" s="69" t="s">
        <v>539</v>
      </c>
      <c r="C55" s="70" t="s">
        <v>531</v>
      </c>
    </row>
    <row r="56" spans="1:3" ht="13.5" thickBot="1" x14ac:dyDescent="0.25">
      <c r="A56" s="68">
        <v>38498</v>
      </c>
      <c r="B56" s="69" t="s">
        <v>532</v>
      </c>
      <c r="C56" s="70" t="s">
        <v>533</v>
      </c>
    </row>
    <row r="57" spans="1:3" ht="13.5" thickBot="1" x14ac:dyDescent="0.25">
      <c r="A57" s="68">
        <v>38602</v>
      </c>
      <c r="B57" s="69" t="s">
        <v>540</v>
      </c>
      <c r="C57" s="70" t="s">
        <v>534</v>
      </c>
    </row>
    <row r="58" spans="1:3" ht="14.25" thickBot="1" x14ac:dyDescent="0.25">
      <c r="A58" s="68">
        <v>38637</v>
      </c>
      <c r="B58" s="69" t="s">
        <v>540</v>
      </c>
      <c r="C58" s="70" t="s">
        <v>535</v>
      </c>
    </row>
    <row r="59" spans="1:3" ht="13.5" thickBot="1" x14ac:dyDescent="0.25">
      <c r="A59" s="68">
        <v>38658</v>
      </c>
      <c r="B59" s="69" t="s">
        <v>540</v>
      </c>
      <c r="C59" s="70" t="s">
        <v>536</v>
      </c>
    </row>
    <row r="60" spans="1:3" ht="13.5" thickBot="1" x14ac:dyDescent="0.25">
      <c r="A60" s="68">
        <v>38671</v>
      </c>
      <c r="B60" s="69" t="s">
        <v>526</v>
      </c>
      <c r="C60" s="70" t="s">
        <v>537</v>
      </c>
    </row>
    <row r="61" spans="1:3" ht="13.5" thickBot="1" x14ac:dyDescent="0.25">
      <c r="A61" s="68">
        <v>38711</v>
      </c>
      <c r="B61" s="69" t="s">
        <v>539</v>
      </c>
      <c r="C61" s="70" t="s">
        <v>538</v>
      </c>
    </row>
    <row r="62" spans="1:3" ht="13.5" thickBot="1" x14ac:dyDescent="0.25">
      <c r="A62" s="71">
        <v>38718</v>
      </c>
      <c r="B62" s="72" t="s">
        <v>539</v>
      </c>
      <c r="C62" s="73" t="s">
        <v>524</v>
      </c>
    </row>
    <row r="63" spans="1:3" ht="13.5" thickBot="1" x14ac:dyDescent="0.25">
      <c r="A63" s="74">
        <v>38775</v>
      </c>
      <c r="B63" s="75" t="s">
        <v>523</v>
      </c>
      <c r="C63" s="76" t="s">
        <v>525</v>
      </c>
    </row>
    <row r="64" spans="1:3" ht="13.5" thickBot="1" x14ac:dyDescent="0.25">
      <c r="A64" s="74">
        <v>38776</v>
      </c>
      <c r="B64" s="75" t="s">
        <v>526</v>
      </c>
      <c r="C64" s="76" t="s">
        <v>525</v>
      </c>
    </row>
    <row r="65" spans="1:3" ht="13.5" thickBot="1" x14ac:dyDescent="0.25">
      <c r="A65" s="74">
        <v>38821</v>
      </c>
      <c r="B65" s="75" t="s">
        <v>527</v>
      </c>
      <c r="C65" s="76" t="s">
        <v>528</v>
      </c>
    </row>
    <row r="66" spans="1:3" ht="13.5" thickBot="1" x14ac:dyDescent="0.25">
      <c r="A66" s="74">
        <v>38828</v>
      </c>
      <c r="B66" s="75" t="s">
        <v>527</v>
      </c>
      <c r="C66" s="76" t="s">
        <v>530</v>
      </c>
    </row>
    <row r="67" spans="1:3" ht="13.5" thickBot="1" x14ac:dyDescent="0.25">
      <c r="A67" s="74">
        <v>38838</v>
      </c>
      <c r="B67" s="75" t="s">
        <v>523</v>
      </c>
      <c r="C67" s="76" t="s">
        <v>531</v>
      </c>
    </row>
    <row r="68" spans="1:3" ht="13.5" thickBot="1" x14ac:dyDescent="0.25">
      <c r="A68" s="74">
        <v>38883</v>
      </c>
      <c r="B68" s="75" t="s">
        <v>532</v>
      </c>
      <c r="C68" s="76" t="s">
        <v>533</v>
      </c>
    </row>
    <row r="69" spans="1:3" ht="13.5" thickBot="1" x14ac:dyDescent="0.25">
      <c r="A69" s="74">
        <v>38967</v>
      </c>
      <c r="B69" s="75" t="s">
        <v>532</v>
      </c>
      <c r="C69" s="76" t="s">
        <v>534</v>
      </c>
    </row>
    <row r="70" spans="1:3" ht="14.25" thickBot="1" x14ac:dyDescent="0.25">
      <c r="A70" s="74">
        <v>39002</v>
      </c>
      <c r="B70" s="75" t="s">
        <v>532</v>
      </c>
      <c r="C70" s="76" t="s">
        <v>535</v>
      </c>
    </row>
    <row r="71" spans="1:3" ht="13.5" thickBot="1" x14ac:dyDescent="0.25">
      <c r="A71" s="74">
        <v>39023</v>
      </c>
      <c r="B71" s="75" t="s">
        <v>532</v>
      </c>
      <c r="C71" s="76" t="s">
        <v>536</v>
      </c>
    </row>
    <row r="72" spans="1:3" ht="13.5" thickBot="1" x14ac:dyDescent="0.25">
      <c r="A72" s="74">
        <v>39036</v>
      </c>
      <c r="B72" s="75" t="s">
        <v>540</v>
      </c>
      <c r="C72" s="76" t="s">
        <v>537</v>
      </c>
    </row>
    <row r="73" spans="1:3" ht="13.5" thickBot="1" x14ac:dyDescent="0.25">
      <c r="A73" s="74">
        <v>39076</v>
      </c>
      <c r="B73" s="75" t="s">
        <v>523</v>
      </c>
      <c r="C73" s="76" t="s">
        <v>538</v>
      </c>
    </row>
    <row r="74" spans="1:3" ht="13.5" thickBot="1" x14ac:dyDescent="0.25">
      <c r="A74" s="77">
        <v>39083</v>
      </c>
      <c r="B74" s="78" t="s">
        <v>523</v>
      </c>
      <c r="C74" s="79" t="s">
        <v>524</v>
      </c>
    </row>
    <row r="75" spans="1:3" ht="13.5" thickBot="1" x14ac:dyDescent="0.25">
      <c r="A75" s="68">
        <v>39132</v>
      </c>
      <c r="B75" s="69" t="s">
        <v>523</v>
      </c>
      <c r="C75" s="70" t="s">
        <v>525</v>
      </c>
    </row>
    <row r="76" spans="1:3" ht="13.5" thickBot="1" x14ac:dyDescent="0.25">
      <c r="A76" s="68">
        <v>39133</v>
      </c>
      <c r="B76" s="69" t="s">
        <v>526</v>
      </c>
      <c r="C76" s="70" t="s">
        <v>525</v>
      </c>
    </row>
    <row r="77" spans="1:3" ht="13.5" thickBot="1" x14ac:dyDescent="0.25">
      <c r="A77" s="68">
        <v>39178</v>
      </c>
      <c r="B77" s="69" t="s">
        <v>527</v>
      </c>
      <c r="C77" s="70" t="s">
        <v>528</v>
      </c>
    </row>
    <row r="78" spans="1:3" ht="13.5" thickBot="1" x14ac:dyDescent="0.25">
      <c r="A78" s="68">
        <v>39193</v>
      </c>
      <c r="B78" s="69" t="s">
        <v>529</v>
      </c>
      <c r="C78" s="70" t="s">
        <v>530</v>
      </c>
    </row>
    <row r="79" spans="1:3" ht="13.5" thickBot="1" x14ac:dyDescent="0.25">
      <c r="A79" s="68">
        <v>39203</v>
      </c>
      <c r="B79" s="69" t="s">
        <v>526</v>
      </c>
      <c r="C79" s="70" t="s">
        <v>531</v>
      </c>
    </row>
    <row r="80" spans="1:3" ht="13.5" thickBot="1" x14ac:dyDescent="0.25">
      <c r="A80" s="68">
        <v>39240</v>
      </c>
      <c r="B80" s="69" t="s">
        <v>532</v>
      </c>
      <c r="C80" s="70" t="s">
        <v>533</v>
      </c>
    </row>
    <row r="81" spans="1:3" ht="13.5" thickBot="1" x14ac:dyDescent="0.25">
      <c r="A81" s="68">
        <v>39332</v>
      </c>
      <c r="B81" s="69" t="s">
        <v>527</v>
      </c>
      <c r="C81" s="70" t="s">
        <v>534</v>
      </c>
    </row>
    <row r="82" spans="1:3" ht="14.25" thickBot="1" x14ac:dyDescent="0.25">
      <c r="A82" s="68">
        <v>39367</v>
      </c>
      <c r="B82" s="69" t="s">
        <v>527</v>
      </c>
      <c r="C82" s="70" t="s">
        <v>535</v>
      </c>
    </row>
    <row r="83" spans="1:3" ht="13.5" thickBot="1" x14ac:dyDescent="0.25">
      <c r="A83" s="68">
        <v>39388</v>
      </c>
      <c r="B83" s="69" t="s">
        <v>527</v>
      </c>
      <c r="C83" s="70" t="s">
        <v>536</v>
      </c>
    </row>
    <row r="84" spans="1:3" ht="13.5" thickBot="1" x14ac:dyDescent="0.25">
      <c r="A84" s="68">
        <v>39401</v>
      </c>
      <c r="B84" s="69" t="s">
        <v>532</v>
      </c>
      <c r="C84" s="70" t="s">
        <v>537</v>
      </c>
    </row>
    <row r="85" spans="1:3" ht="13.5" thickBot="1" x14ac:dyDescent="0.25">
      <c r="A85" s="68">
        <v>39441</v>
      </c>
      <c r="B85" s="69" t="s">
        <v>526</v>
      </c>
      <c r="C85" s="70" t="s">
        <v>538</v>
      </c>
    </row>
    <row r="86" spans="1:3" ht="13.5" thickBot="1" x14ac:dyDescent="0.25">
      <c r="A86" s="71">
        <v>39448</v>
      </c>
      <c r="B86" s="72" t="s">
        <v>526</v>
      </c>
      <c r="C86" s="73" t="s">
        <v>524</v>
      </c>
    </row>
    <row r="87" spans="1:3" ht="13.5" thickBot="1" x14ac:dyDescent="0.25">
      <c r="A87" s="74">
        <v>39482</v>
      </c>
      <c r="B87" s="75" t="s">
        <v>523</v>
      </c>
      <c r="C87" s="76" t="s">
        <v>525</v>
      </c>
    </row>
    <row r="88" spans="1:3" ht="13.5" thickBot="1" x14ac:dyDescent="0.25">
      <c r="A88" s="74">
        <v>39483</v>
      </c>
      <c r="B88" s="75" t="s">
        <v>526</v>
      </c>
      <c r="C88" s="76" t="s">
        <v>525</v>
      </c>
    </row>
    <row r="89" spans="1:3" ht="13.5" thickBot="1" x14ac:dyDescent="0.25">
      <c r="A89" s="74">
        <v>39528</v>
      </c>
      <c r="B89" s="75" t="s">
        <v>527</v>
      </c>
      <c r="C89" s="76" t="s">
        <v>528</v>
      </c>
    </row>
    <row r="90" spans="1:3" ht="13.5" thickBot="1" x14ac:dyDescent="0.25">
      <c r="A90" s="74">
        <v>39559</v>
      </c>
      <c r="B90" s="75" t="s">
        <v>523</v>
      </c>
      <c r="C90" s="76" t="s">
        <v>530</v>
      </c>
    </row>
    <row r="91" spans="1:3" ht="13.5" thickBot="1" x14ac:dyDescent="0.25">
      <c r="A91" s="74">
        <v>39569</v>
      </c>
      <c r="B91" s="75" t="s">
        <v>532</v>
      </c>
      <c r="C91" s="76" t="s">
        <v>531</v>
      </c>
    </row>
    <row r="92" spans="1:3" ht="13.5" thickBot="1" x14ac:dyDescent="0.25">
      <c r="A92" s="74">
        <v>39590</v>
      </c>
      <c r="B92" s="75" t="s">
        <v>532</v>
      </c>
      <c r="C92" s="76" t="s">
        <v>533</v>
      </c>
    </row>
    <row r="93" spans="1:3" ht="13.5" thickBot="1" x14ac:dyDescent="0.25">
      <c r="A93" s="74">
        <v>39698</v>
      </c>
      <c r="B93" s="75" t="s">
        <v>539</v>
      </c>
      <c r="C93" s="76" t="s">
        <v>534</v>
      </c>
    </row>
    <row r="94" spans="1:3" ht="14.25" thickBot="1" x14ac:dyDescent="0.25">
      <c r="A94" s="74">
        <v>39733</v>
      </c>
      <c r="B94" s="75" t="s">
        <v>539</v>
      </c>
      <c r="C94" s="76" t="s">
        <v>535</v>
      </c>
    </row>
    <row r="95" spans="1:3" ht="13.5" thickBot="1" x14ac:dyDescent="0.25">
      <c r="A95" s="74">
        <v>39754</v>
      </c>
      <c r="B95" s="75" t="s">
        <v>539</v>
      </c>
      <c r="C95" s="76" t="s">
        <v>536</v>
      </c>
    </row>
    <row r="96" spans="1:3" ht="13.5" thickBot="1" x14ac:dyDescent="0.25">
      <c r="A96" s="74">
        <v>39767</v>
      </c>
      <c r="B96" s="75" t="s">
        <v>529</v>
      </c>
      <c r="C96" s="76" t="s">
        <v>537</v>
      </c>
    </row>
    <row r="97" spans="1:3" ht="13.5" thickBot="1" x14ac:dyDescent="0.25">
      <c r="A97" s="74">
        <v>39807</v>
      </c>
      <c r="B97" s="75" t="s">
        <v>532</v>
      </c>
      <c r="C97" s="76" t="s">
        <v>538</v>
      </c>
    </row>
    <row r="98" spans="1:3" ht="13.5" thickBot="1" x14ac:dyDescent="0.25">
      <c r="A98" s="77">
        <v>39814</v>
      </c>
      <c r="B98" s="78" t="s">
        <v>532</v>
      </c>
      <c r="C98" s="79" t="s">
        <v>524</v>
      </c>
    </row>
    <row r="99" spans="1:3" ht="13.5" thickBot="1" x14ac:dyDescent="0.25">
      <c r="A99" s="68">
        <v>39867</v>
      </c>
      <c r="B99" s="69" t="s">
        <v>523</v>
      </c>
      <c r="C99" s="70" t="s">
        <v>525</v>
      </c>
    </row>
    <row r="100" spans="1:3" ht="13.5" thickBot="1" x14ac:dyDescent="0.25">
      <c r="A100" s="68">
        <v>39868</v>
      </c>
      <c r="B100" s="69" t="s">
        <v>526</v>
      </c>
      <c r="C100" s="70" t="s">
        <v>525</v>
      </c>
    </row>
    <row r="101" spans="1:3" ht="13.5" thickBot="1" x14ac:dyDescent="0.25">
      <c r="A101" s="68">
        <v>39913</v>
      </c>
      <c r="B101" s="69" t="s">
        <v>527</v>
      </c>
      <c r="C101" s="70" t="s">
        <v>528</v>
      </c>
    </row>
    <row r="102" spans="1:3" ht="13.5" thickBot="1" x14ac:dyDescent="0.25">
      <c r="A102" s="68">
        <v>39924</v>
      </c>
      <c r="B102" s="69" t="s">
        <v>526</v>
      </c>
      <c r="C102" s="70" t="s">
        <v>530</v>
      </c>
    </row>
    <row r="103" spans="1:3" ht="13.5" thickBot="1" x14ac:dyDescent="0.25">
      <c r="A103" s="68">
        <v>39934</v>
      </c>
      <c r="B103" s="69" t="s">
        <v>527</v>
      </c>
      <c r="C103" s="70" t="s">
        <v>531</v>
      </c>
    </row>
    <row r="104" spans="1:3" ht="13.5" thickBot="1" x14ac:dyDescent="0.25">
      <c r="A104" s="68">
        <v>39975</v>
      </c>
      <c r="B104" s="69" t="s">
        <v>532</v>
      </c>
      <c r="C104" s="70" t="s">
        <v>533</v>
      </c>
    </row>
    <row r="105" spans="1:3" ht="13.5" thickBot="1" x14ac:dyDescent="0.25">
      <c r="A105" s="68">
        <v>40063</v>
      </c>
      <c r="B105" s="69" t="s">
        <v>523</v>
      </c>
      <c r="C105" s="70" t="s">
        <v>534</v>
      </c>
    </row>
    <row r="106" spans="1:3" ht="14.25" thickBot="1" x14ac:dyDescent="0.25">
      <c r="A106" s="68">
        <v>40098</v>
      </c>
      <c r="B106" s="69" t="s">
        <v>523</v>
      </c>
      <c r="C106" s="70" t="s">
        <v>535</v>
      </c>
    </row>
    <row r="107" spans="1:3" ht="13.5" thickBot="1" x14ac:dyDescent="0.25">
      <c r="A107" s="68">
        <v>40119</v>
      </c>
      <c r="B107" s="69" t="s">
        <v>523</v>
      </c>
      <c r="C107" s="70" t="s">
        <v>536</v>
      </c>
    </row>
    <row r="108" spans="1:3" ht="13.5" thickBot="1" x14ac:dyDescent="0.25">
      <c r="A108" s="68">
        <v>40132</v>
      </c>
      <c r="B108" s="69" t="s">
        <v>539</v>
      </c>
      <c r="C108" s="70" t="s">
        <v>537</v>
      </c>
    </row>
    <row r="109" spans="1:3" ht="13.5" thickBot="1" x14ac:dyDescent="0.25">
      <c r="A109" s="68">
        <v>40172</v>
      </c>
      <c r="B109" s="69" t="s">
        <v>527</v>
      </c>
      <c r="C109" s="70" t="s">
        <v>538</v>
      </c>
    </row>
    <row r="110" spans="1:3" ht="13.5" thickBot="1" x14ac:dyDescent="0.25">
      <c r="A110" s="71">
        <v>40179</v>
      </c>
      <c r="B110" s="72" t="s">
        <v>527</v>
      </c>
      <c r="C110" s="73" t="s">
        <v>524</v>
      </c>
    </row>
    <row r="111" spans="1:3" ht="13.5" thickBot="1" x14ac:dyDescent="0.25">
      <c r="A111" s="74">
        <v>40224</v>
      </c>
      <c r="B111" s="75" t="s">
        <v>523</v>
      </c>
      <c r="C111" s="76" t="s">
        <v>525</v>
      </c>
    </row>
    <row r="112" spans="1:3" ht="13.5" thickBot="1" x14ac:dyDescent="0.25">
      <c r="A112" s="74">
        <v>40225</v>
      </c>
      <c r="B112" s="75" t="s">
        <v>526</v>
      </c>
      <c r="C112" s="76" t="s">
        <v>525</v>
      </c>
    </row>
    <row r="113" spans="1:3" ht="13.5" thickBot="1" x14ac:dyDescent="0.25">
      <c r="A113" s="74">
        <v>40270</v>
      </c>
      <c r="B113" s="75" t="s">
        <v>527</v>
      </c>
      <c r="C113" s="76" t="s">
        <v>528</v>
      </c>
    </row>
    <row r="114" spans="1:3" ht="13.5" thickBot="1" x14ac:dyDescent="0.25">
      <c r="A114" s="74">
        <v>40289</v>
      </c>
      <c r="B114" s="75" t="s">
        <v>540</v>
      </c>
      <c r="C114" s="76" t="s">
        <v>530</v>
      </c>
    </row>
    <row r="115" spans="1:3" ht="13.5" thickBot="1" x14ac:dyDescent="0.25">
      <c r="A115" s="74">
        <v>40299</v>
      </c>
      <c r="B115" s="75" t="s">
        <v>529</v>
      </c>
      <c r="C115" s="76" t="s">
        <v>531</v>
      </c>
    </row>
    <row r="116" spans="1:3" ht="13.5" thickBot="1" x14ac:dyDescent="0.25">
      <c r="A116" s="74">
        <v>40332</v>
      </c>
      <c r="B116" s="75" t="s">
        <v>532</v>
      </c>
      <c r="C116" s="76" t="s">
        <v>533</v>
      </c>
    </row>
    <row r="117" spans="1:3" ht="13.5" thickBot="1" x14ac:dyDescent="0.25">
      <c r="A117" s="74">
        <v>40428</v>
      </c>
      <c r="B117" s="75" t="s">
        <v>526</v>
      </c>
      <c r="C117" s="76" t="s">
        <v>534</v>
      </c>
    </row>
    <row r="118" spans="1:3" ht="14.25" thickBot="1" x14ac:dyDescent="0.25">
      <c r="A118" s="74">
        <v>40463</v>
      </c>
      <c r="B118" s="75" t="s">
        <v>526</v>
      </c>
      <c r="C118" s="76" t="s">
        <v>535</v>
      </c>
    </row>
    <row r="119" spans="1:3" ht="13.5" thickBot="1" x14ac:dyDescent="0.25">
      <c r="A119" s="74">
        <v>40484</v>
      </c>
      <c r="B119" s="75" t="s">
        <v>526</v>
      </c>
      <c r="C119" s="76" t="s">
        <v>536</v>
      </c>
    </row>
    <row r="120" spans="1:3" ht="13.5" thickBot="1" x14ac:dyDescent="0.25">
      <c r="A120" s="74">
        <v>40497</v>
      </c>
      <c r="B120" s="75" t="s">
        <v>523</v>
      </c>
      <c r="C120" s="76" t="s">
        <v>537</v>
      </c>
    </row>
    <row r="121" spans="1:3" ht="13.5" thickBot="1" x14ac:dyDescent="0.25">
      <c r="A121" s="74">
        <v>40537</v>
      </c>
      <c r="B121" s="75" t="s">
        <v>529</v>
      </c>
      <c r="C121" s="76" t="s">
        <v>538</v>
      </c>
    </row>
    <row r="122" spans="1:3" ht="13.5" thickBot="1" x14ac:dyDescent="0.25">
      <c r="A122" s="77">
        <v>40544</v>
      </c>
      <c r="B122" s="78" t="s">
        <v>529</v>
      </c>
      <c r="C122" s="79" t="s">
        <v>524</v>
      </c>
    </row>
    <row r="123" spans="1:3" ht="13.5" thickBot="1" x14ac:dyDescent="0.25">
      <c r="A123" s="68">
        <v>40609</v>
      </c>
      <c r="B123" s="69" t="s">
        <v>523</v>
      </c>
      <c r="C123" s="70" t="s">
        <v>525</v>
      </c>
    </row>
    <row r="124" spans="1:3" ht="13.5" thickBot="1" x14ac:dyDescent="0.25">
      <c r="A124" s="68">
        <v>40610</v>
      </c>
      <c r="B124" s="69" t="s">
        <v>526</v>
      </c>
      <c r="C124" s="70" t="s">
        <v>525</v>
      </c>
    </row>
    <row r="125" spans="1:3" ht="13.5" thickBot="1" x14ac:dyDescent="0.25">
      <c r="A125" s="68">
        <v>40654</v>
      </c>
      <c r="B125" s="69" t="s">
        <v>532</v>
      </c>
      <c r="C125" s="70" t="s">
        <v>528</v>
      </c>
    </row>
    <row r="126" spans="1:3" ht="13.5" thickBot="1" x14ac:dyDescent="0.25">
      <c r="A126" s="68">
        <v>40655</v>
      </c>
      <c r="B126" s="69" t="s">
        <v>527</v>
      </c>
      <c r="C126" s="70" t="s">
        <v>530</v>
      </c>
    </row>
    <row r="127" spans="1:3" ht="13.5" thickBot="1" x14ac:dyDescent="0.25">
      <c r="A127" s="68">
        <v>40664</v>
      </c>
      <c r="B127" s="69" t="s">
        <v>539</v>
      </c>
      <c r="C127" s="70" t="s">
        <v>531</v>
      </c>
    </row>
    <row r="128" spans="1:3" ht="13.5" thickBot="1" x14ac:dyDescent="0.25">
      <c r="A128" s="68">
        <v>40717</v>
      </c>
      <c r="B128" s="69" t="s">
        <v>532</v>
      </c>
      <c r="C128" s="70" t="s">
        <v>533</v>
      </c>
    </row>
    <row r="129" spans="1:3" ht="13.5" thickBot="1" x14ac:dyDescent="0.25">
      <c r="A129" s="68">
        <v>40793</v>
      </c>
      <c r="B129" s="69" t="s">
        <v>540</v>
      </c>
      <c r="C129" s="70" t="s">
        <v>534</v>
      </c>
    </row>
    <row r="130" spans="1:3" ht="14.25" thickBot="1" x14ac:dyDescent="0.25">
      <c r="A130" s="68">
        <v>40828</v>
      </c>
      <c r="B130" s="69" t="s">
        <v>540</v>
      </c>
      <c r="C130" s="70" t="s">
        <v>535</v>
      </c>
    </row>
    <row r="131" spans="1:3" ht="13.5" thickBot="1" x14ac:dyDescent="0.25">
      <c r="A131" s="68">
        <v>40849</v>
      </c>
      <c r="B131" s="69" t="s">
        <v>540</v>
      </c>
      <c r="C131" s="70" t="s">
        <v>536</v>
      </c>
    </row>
    <row r="132" spans="1:3" ht="13.5" thickBot="1" x14ac:dyDescent="0.25">
      <c r="A132" s="68">
        <v>40862</v>
      </c>
      <c r="B132" s="69" t="s">
        <v>526</v>
      </c>
      <c r="C132" s="70" t="s">
        <v>537</v>
      </c>
    </row>
    <row r="133" spans="1:3" ht="13.5" thickBot="1" x14ac:dyDescent="0.25">
      <c r="A133" s="68">
        <v>40902</v>
      </c>
      <c r="B133" s="69" t="s">
        <v>539</v>
      </c>
      <c r="C133" s="70" t="s">
        <v>538</v>
      </c>
    </row>
    <row r="134" spans="1:3" ht="13.5" thickBot="1" x14ac:dyDescent="0.25">
      <c r="A134" s="71">
        <v>40909</v>
      </c>
      <c r="B134" s="72" t="s">
        <v>539</v>
      </c>
      <c r="C134" s="73" t="s">
        <v>524</v>
      </c>
    </row>
    <row r="135" spans="1:3" ht="13.5" thickBot="1" x14ac:dyDescent="0.25">
      <c r="A135" s="74">
        <v>40959</v>
      </c>
      <c r="B135" s="75" t="s">
        <v>523</v>
      </c>
      <c r="C135" s="76" t="s">
        <v>525</v>
      </c>
    </row>
    <row r="136" spans="1:3" ht="13.5" thickBot="1" x14ac:dyDescent="0.25">
      <c r="A136" s="74">
        <v>40960</v>
      </c>
      <c r="B136" s="75" t="s">
        <v>526</v>
      </c>
      <c r="C136" s="76" t="s">
        <v>525</v>
      </c>
    </row>
    <row r="137" spans="1:3" ht="13.5" thickBot="1" x14ac:dyDescent="0.25">
      <c r="A137" s="74">
        <v>41005</v>
      </c>
      <c r="B137" s="75" t="s">
        <v>527</v>
      </c>
      <c r="C137" s="76" t="s">
        <v>528</v>
      </c>
    </row>
    <row r="138" spans="1:3" ht="13.5" thickBot="1" x14ac:dyDescent="0.25">
      <c r="A138" s="74">
        <v>41020</v>
      </c>
      <c r="B138" s="75" t="s">
        <v>529</v>
      </c>
      <c r="C138" s="76" t="s">
        <v>530</v>
      </c>
    </row>
    <row r="139" spans="1:3" ht="13.5" thickBot="1" x14ac:dyDescent="0.25">
      <c r="A139" s="74">
        <v>41030</v>
      </c>
      <c r="B139" s="75" t="s">
        <v>526</v>
      </c>
      <c r="C139" s="76" t="s">
        <v>531</v>
      </c>
    </row>
    <row r="140" spans="1:3" ht="13.5" thickBot="1" x14ac:dyDescent="0.25">
      <c r="A140" s="74">
        <v>41067</v>
      </c>
      <c r="B140" s="75" t="s">
        <v>532</v>
      </c>
      <c r="C140" s="76" t="s">
        <v>533</v>
      </c>
    </row>
    <row r="141" spans="1:3" ht="13.5" thickBot="1" x14ac:dyDescent="0.25">
      <c r="A141" s="74">
        <v>41159</v>
      </c>
      <c r="B141" s="75" t="s">
        <v>527</v>
      </c>
      <c r="C141" s="76" t="s">
        <v>534</v>
      </c>
    </row>
    <row r="142" spans="1:3" ht="14.25" thickBot="1" x14ac:dyDescent="0.25">
      <c r="A142" s="74">
        <v>41194</v>
      </c>
      <c r="B142" s="75" t="s">
        <v>527</v>
      </c>
      <c r="C142" s="76" t="s">
        <v>535</v>
      </c>
    </row>
    <row r="143" spans="1:3" ht="13.5" thickBot="1" x14ac:dyDescent="0.25">
      <c r="A143" s="74">
        <v>41215</v>
      </c>
      <c r="B143" s="75" t="s">
        <v>527</v>
      </c>
      <c r="C143" s="76" t="s">
        <v>536</v>
      </c>
    </row>
    <row r="144" spans="1:3" ht="13.5" thickBot="1" x14ac:dyDescent="0.25">
      <c r="A144" s="74">
        <v>41228</v>
      </c>
      <c r="B144" s="75" t="s">
        <v>532</v>
      </c>
      <c r="C144" s="76" t="s">
        <v>537</v>
      </c>
    </row>
    <row r="145" spans="1:3" ht="13.5" thickBot="1" x14ac:dyDescent="0.25">
      <c r="A145" s="74">
        <v>41268</v>
      </c>
      <c r="B145" s="75" t="s">
        <v>526</v>
      </c>
      <c r="C145" s="76" t="s">
        <v>538</v>
      </c>
    </row>
    <row r="146" spans="1:3" ht="13.5" thickBot="1" x14ac:dyDescent="0.25">
      <c r="A146" s="77">
        <v>41275</v>
      </c>
      <c r="B146" s="78" t="s">
        <v>526</v>
      </c>
      <c r="C146" s="79" t="s">
        <v>524</v>
      </c>
    </row>
    <row r="147" spans="1:3" ht="13.5" thickBot="1" x14ac:dyDescent="0.25">
      <c r="A147" s="68">
        <v>41316</v>
      </c>
      <c r="B147" s="69" t="s">
        <v>523</v>
      </c>
      <c r="C147" s="70" t="s">
        <v>525</v>
      </c>
    </row>
    <row r="148" spans="1:3" ht="13.5" thickBot="1" x14ac:dyDescent="0.25">
      <c r="A148" s="68">
        <v>41317</v>
      </c>
      <c r="B148" s="69" t="s">
        <v>526</v>
      </c>
      <c r="C148" s="70" t="s">
        <v>525</v>
      </c>
    </row>
    <row r="149" spans="1:3" ht="13.5" thickBot="1" x14ac:dyDescent="0.25">
      <c r="A149" s="68">
        <v>41362</v>
      </c>
      <c r="B149" s="69" t="s">
        <v>527</v>
      </c>
      <c r="C149" s="70" t="s">
        <v>528</v>
      </c>
    </row>
    <row r="150" spans="1:3" ht="13.5" thickBot="1" x14ac:dyDescent="0.25">
      <c r="A150" s="68">
        <v>41385</v>
      </c>
      <c r="B150" s="69" t="s">
        <v>539</v>
      </c>
      <c r="C150" s="70" t="s">
        <v>530</v>
      </c>
    </row>
    <row r="151" spans="1:3" ht="13.5" thickBot="1" x14ac:dyDescent="0.25">
      <c r="A151" s="68">
        <v>41395</v>
      </c>
      <c r="B151" s="69" t="s">
        <v>540</v>
      </c>
      <c r="C151" s="70" t="s">
        <v>531</v>
      </c>
    </row>
    <row r="152" spans="1:3" ht="13.5" thickBot="1" x14ac:dyDescent="0.25">
      <c r="A152" s="68">
        <v>41424</v>
      </c>
      <c r="B152" s="69" t="s">
        <v>532</v>
      </c>
      <c r="C152" s="70" t="s">
        <v>533</v>
      </c>
    </row>
    <row r="153" spans="1:3" ht="13.5" thickBot="1" x14ac:dyDescent="0.25">
      <c r="A153" s="68">
        <v>41524</v>
      </c>
      <c r="B153" s="69" t="s">
        <v>529</v>
      </c>
      <c r="C153" s="70" t="s">
        <v>534</v>
      </c>
    </row>
    <row r="154" spans="1:3" ht="14.25" thickBot="1" x14ac:dyDescent="0.25">
      <c r="A154" s="68">
        <v>41559</v>
      </c>
      <c r="B154" s="69" t="s">
        <v>529</v>
      </c>
      <c r="C154" s="70" t="s">
        <v>535</v>
      </c>
    </row>
    <row r="155" spans="1:3" ht="13.5" thickBot="1" x14ac:dyDescent="0.25">
      <c r="A155" s="68">
        <v>41580</v>
      </c>
      <c r="B155" s="69" t="s">
        <v>529</v>
      </c>
      <c r="C155" s="70" t="s">
        <v>536</v>
      </c>
    </row>
    <row r="156" spans="1:3" ht="13.5" thickBot="1" x14ac:dyDescent="0.25">
      <c r="A156" s="68">
        <v>41593</v>
      </c>
      <c r="B156" s="69" t="s">
        <v>527</v>
      </c>
      <c r="C156" s="70" t="s">
        <v>537</v>
      </c>
    </row>
    <row r="157" spans="1:3" ht="13.5" thickBot="1" x14ac:dyDescent="0.25">
      <c r="A157" s="68">
        <v>41633</v>
      </c>
      <c r="B157" s="69" t="s">
        <v>540</v>
      </c>
      <c r="C157" s="70" t="s">
        <v>538</v>
      </c>
    </row>
    <row r="158" spans="1:3" ht="13.5" thickBot="1" x14ac:dyDescent="0.25">
      <c r="A158" s="71">
        <v>41640</v>
      </c>
      <c r="B158" s="72" t="s">
        <v>540</v>
      </c>
      <c r="C158" s="73" t="s">
        <v>524</v>
      </c>
    </row>
    <row r="159" spans="1:3" ht="13.5" thickBot="1" x14ac:dyDescent="0.25">
      <c r="A159" s="74">
        <v>41701</v>
      </c>
      <c r="B159" s="75" t="s">
        <v>523</v>
      </c>
      <c r="C159" s="76" t="s">
        <v>525</v>
      </c>
    </row>
    <row r="160" spans="1:3" ht="13.5" thickBot="1" x14ac:dyDescent="0.25">
      <c r="A160" s="74">
        <v>41702</v>
      </c>
      <c r="B160" s="75" t="s">
        <v>526</v>
      </c>
      <c r="C160" s="76" t="s">
        <v>525</v>
      </c>
    </row>
    <row r="161" spans="1:3" ht="13.5" thickBot="1" x14ac:dyDescent="0.25">
      <c r="A161" s="74">
        <v>41747</v>
      </c>
      <c r="B161" s="75" t="s">
        <v>527</v>
      </c>
      <c r="C161" s="76" t="s">
        <v>528</v>
      </c>
    </row>
    <row r="162" spans="1:3" ht="13.5" thickBot="1" x14ac:dyDescent="0.25">
      <c r="A162" s="74">
        <v>41750</v>
      </c>
      <c r="B162" s="75" t="s">
        <v>523</v>
      </c>
      <c r="C162" s="76" t="s">
        <v>530</v>
      </c>
    </row>
    <row r="163" spans="1:3" ht="13.5" thickBot="1" x14ac:dyDescent="0.25">
      <c r="A163" s="74">
        <v>41760</v>
      </c>
      <c r="B163" s="75" t="s">
        <v>532</v>
      </c>
      <c r="C163" s="76" t="s">
        <v>531</v>
      </c>
    </row>
    <row r="164" spans="1:3" ht="13.5" thickBot="1" x14ac:dyDescent="0.25">
      <c r="A164" s="74">
        <v>41809</v>
      </c>
      <c r="B164" s="75" t="s">
        <v>532</v>
      </c>
      <c r="C164" s="76" t="s">
        <v>533</v>
      </c>
    </row>
    <row r="165" spans="1:3" ht="13.5" thickBot="1" x14ac:dyDescent="0.25">
      <c r="A165" s="74">
        <v>41889</v>
      </c>
      <c r="B165" s="75" t="s">
        <v>539</v>
      </c>
      <c r="C165" s="76" t="s">
        <v>534</v>
      </c>
    </row>
    <row r="166" spans="1:3" ht="14.25" thickBot="1" x14ac:dyDescent="0.25">
      <c r="A166" s="74">
        <v>41924</v>
      </c>
      <c r="B166" s="75" t="s">
        <v>539</v>
      </c>
      <c r="C166" s="76" t="s">
        <v>535</v>
      </c>
    </row>
    <row r="167" spans="1:3" ht="13.5" thickBot="1" x14ac:dyDescent="0.25">
      <c r="A167" s="74">
        <v>41945</v>
      </c>
      <c r="B167" s="75" t="s">
        <v>539</v>
      </c>
      <c r="C167" s="76" t="s">
        <v>536</v>
      </c>
    </row>
    <row r="168" spans="1:3" ht="13.5" thickBot="1" x14ac:dyDescent="0.25">
      <c r="A168" s="74">
        <v>41958</v>
      </c>
      <c r="B168" s="75" t="s">
        <v>529</v>
      </c>
      <c r="C168" s="76" t="s">
        <v>537</v>
      </c>
    </row>
    <row r="169" spans="1:3" ht="13.5" thickBot="1" x14ac:dyDescent="0.25">
      <c r="A169" s="74">
        <v>41998</v>
      </c>
      <c r="B169" s="75" t="s">
        <v>532</v>
      </c>
      <c r="C169" s="76" t="s">
        <v>538</v>
      </c>
    </row>
    <row r="170" spans="1:3" ht="13.5" thickBot="1" x14ac:dyDescent="0.25">
      <c r="A170" s="77">
        <v>42005</v>
      </c>
      <c r="B170" s="78" t="s">
        <v>532</v>
      </c>
      <c r="C170" s="79" t="s">
        <v>524</v>
      </c>
    </row>
    <row r="171" spans="1:3" ht="13.5" thickBot="1" x14ac:dyDescent="0.25">
      <c r="A171" s="68">
        <v>42051</v>
      </c>
      <c r="B171" s="69" t="s">
        <v>523</v>
      </c>
      <c r="C171" s="70" t="s">
        <v>525</v>
      </c>
    </row>
    <row r="172" spans="1:3" ht="13.5" thickBot="1" x14ac:dyDescent="0.25">
      <c r="A172" s="68">
        <v>42052</v>
      </c>
      <c r="B172" s="69" t="s">
        <v>526</v>
      </c>
      <c r="C172" s="70" t="s">
        <v>525</v>
      </c>
    </row>
    <row r="173" spans="1:3" ht="13.5" thickBot="1" x14ac:dyDescent="0.25">
      <c r="A173" s="68">
        <v>42097</v>
      </c>
      <c r="B173" s="69" t="s">
        <v>527</v>
      </c>
      <c r="C173" s="70" t="s">
        <v>528</v>
      </c>
    </row>
    <row r="174" spans="1:3" ht="13.5" thickBot="1" x14ac:dyDescent="0.25">
      <c r="A174" s="68">
        <v>42115</v>
      </c>
      <c r="B174" s="69" t="s">
        <v>526</v>
      </c>
      <c r="C174" s="70" t="s">
        <v>530</v>
      </c>
    </row>
    <row r="175" spans="1:3" ht="13.5" thickBot="1" x14ac:dyDescent="0.25">
      <c r="A175" s="68">
        <v>42125</v>
      </c>
      <c r="B175" s="69" t="s">
        <v>527</v>
      </c>
      <c r="C175" s="70" t="s">
        <v>531</v>
      </c>
    </row>
    <row r="176" spans="1:3" ht="13.5" thickBot="1" x14ac:dyDescent="0.25">
      <c r="A176" s="68">
        <v>42159</v>
      </c>
      <c r="B176" s="69" t="s">
        <v>532</v>
      </c>
      <c r="C176" s="70" t="s">
        <v>533</v>
      </c>
    </row>
    <row r="177" spans="1:3" ht="13.5" thickBot="1" x14ac:dyDescent="0.25">
      <c r="A177" s="68">
        <v>42254</v>
      </c>
      <c r="B177" s="69" t="s">
        <v>523</v>
      </c>
      <c r="C177" s="70" t="s">
        <v>534</v>
      </c>
    </row>
    <row r="178" spans="1:3" ht="14.25" thickBot="1" x14ac:dyDescent="0.25">
      <c r="A178" s="68">
        <v>42289</v>
      </c>
      <c r="B178" s="69" t="s">
        <v>523</v>
      </c>
      <c r="C178" s="70" t="s">
        <v>535</v>
      </c>
    </row>
    <row r="179" spans="1:3" ht="13.5" thickBot="1" x14ac:dyDescent="0.25">
      <c r="A179" s="68">
        <v>42310</v>
      </c>
      <c r="B179" s="69" t="s">
        <v>523</v>
      </c>
      <c r="C179" s="70" t="s">
        <v>536</v>
      </c>
    </row>
    <row r="180" spans="1:3" ht="13.5" thickBot="1" x14ac:dyDescent="0.25">
      <c r="A180" s="68">
        <v>42323</v>
      </c>
      <c r="B180" s="69" t="s">
        <v>539</v>
      </c>
      <c r="C180" s="70" t="s">
        <v>537</v>
      </c>
    </row>
    <row r="181" spans="1:3" ht="13.5" thickBot="1" x14ac:dyDescent="0.25">
      <c r="A181" s="68">
        <v>42363</v>
      </c>
      <c r="B181" s="69" t="s">
        <v>527</v>
      </c>
      <c r="C181" s="70" t="s">
        <v>538</v>
      </c>
    </row>
    <row r="182" spans="1:3" ht="13.5" thickBot="1" x14ac:dyDescent="0.25">
      <c r="A182" s="71">
        <v>42370</v>
      </c>
      <c r="B182" s="72" t="s">
        <v>527</v>
      </c>
      <c r="C182" s="73" t="s">
        <v>524</v>
      </c>
    </row>
    <row r="183" spans="1:3" ht="13.5" thickBot="1" x14ac:dyDescent="0.25">
      <c r="A183" s="74">
        <v>42408</v>
      </c>
      <c r="B183" s="75" t="s">
        <v>523</v>
      </c>
      <c r="C183" s="76" t="s">
        <v>525</v>
      </c>
    </row>
    <row r="184" spans="1:3" ht="13.5" thickBot="1" x14ac:dyDescent="0.25">
      <c r="A184" s="74">
        <v>42409</v>
      </c>
      <c r="B184" s="75" t="s">
        <v>526</v>
      </c>
      <c r="C184" s="76" t="s">
        <v>525</v>
      </c>
    </row>
    <row r="185" spans="1:3" ht="13.5" thickBot="1" x14ac:dyDescent="0.25">
      <c r="A185" s="74">
        <v>42454</v>
      </c>
      <c r="B185" s="75" t="s">
        <v>527</v>
      </c>
      <c r="C185" s="76" t="s">
        <v>528</v>
      </c>
    </row>
    <row r="186" spans="1:3" ht="13.5" thickBot="1" x14ac:dyDescent="0.25">
      <c r="A186" s="74">
        <v>42481</v>
      </c>
      <c r="B186" s="75" t="s">
        <v>532</v>
      </c>
      <c r="C186" s="76" t="s">
        <v>530</v>
      </c>
    </row>
    <row r="187" spans="1:3" ht="13.5" thickBot="1" x14ac:dyDescent="0.25">
      <c r="A187" s="74">
        <v>42491</v>
      </c>
      <c r="B187" s="75" t="s">
        <v>539</v>
      </c>
      <c r="C187" s="76" t="s">
        <v>531</v>
      </c>
    </row>
    <row r="188" spans="1:3" ht="13.5" thickBot="1" x14ac:dyDescent="0.25">
      <c r="A188" s="74">
        <v>42516</v>
      </c>
      <c r="B188" s="75" t="s">
        <v>532</v>
      </c>
      <c r="C188" s="76" t="s">
        <v>533</v>
      </c>
    </row>
    <row r="189" spans="1:3" ht="13.5" thickBot="1" x14ac:dyDescent="0.25">
      <c r="A189" s="74">
        <v>42620</v>
      </c>
      <c r="B189" s="75" t="s">
        <v>540</v>
      </c>
      <c r="C189" s="76" t="s">
        <v>534</v>
      </c>
    </row>
    <row r="190" spans="1:3" ht="14.25" thickBot="1" x14ac:dyDescent="0.25">
      <c r="A190" s="74">
        <v>42655</v>
      </c>
      <c r="B190" s="75" t="s">
        <v>540</v>
      </c>
      <c r="C190" s="76" t="s">
        <v>535</v>
      </c>
    </row>
    <row r="191" spans="1:3" ht="13.5" thickBot="1" x14ac:dyDescent="0.25">
      <c r="A191" s="74">
        <v>42676</v>
      </c>
      <c r="B191" s="75" t="s">
        <v>540</v>
      </c>
      <c r="C191" s="76" t="s">
        <v>536</v>
      </c>
    </row>
    <row r="192" spans="1:3" ht="13.5" thickBot="1" x14ac:dyDescent="0.25">
      <c r="A192" s="74">
        <v>42689</v>
      </c>
      <c r="B192" s="75" t="s">
        <v>526</v>
      </c>
      <c r="C192" s="76" t="s">
        <v>537</v>
      </c>
    </row>
    <row r="193" spans="1:3" ht="13.5" thickBot="1" x14ac:dyDescent="0.25">
      <c r="A193" s="74">
        <v>42729</v>
      </c>
      <c r="B193" s="75" t="s">
        <v>539</v>
      </c>
      <c r="C193" s="76" t="s">
        <v>538</v>
      </c>
    </row>
    <row r="194" spans="1:3" ht="13.5" thickBot="1" x14ac:dyDescent="0.25">
      <c r="A194" s="77">
        <v>42736</v>
      </c>
      <c r="B194" s="78" t="s">
        <v>539</v>
      </c>
      <c r="C194" s="79" t="s">
        <v>524</v>
      </c>
    </row>
    <row r="195" spans="1:3" ht="13.5" thickBot="1" x14ac:dyDescent="0.25">
      <c r="A195" s="68">
        <v>42793</v>
      </c>
      <c r="B195" s="69" t="s">
        <v>523</v>
      </c>
      <c r="C195" s="70" t="s">
        <v>525</v>
      </c>
    </row>
    <row r="196" spans="1:3" ht="13.5" thickBot="1" x14ac:dyDescent="0.25">
      <c r="A196" s="68">
        <v>42794</v>
      </c>
      <c r="B196" s="69" t="s">
        <v>526</v>
      </c>
      <c r="C196" s="70" t="s">
        <v>525</v>
      </c>
    </row>
    <row r="197" spans="1:3" ht="13.5" thickBot="1" x14ac:dyDescent="0.25">
      <c r="A197" s="68">
        <v>42839</v>
      </c>
      <c r="B197" s="69" t="s">
        <v>527</v>
      </c>
      <c r="C197" s="70" t="s">
        <v>528</v>
      </c>
    </row>
    <row r="198" spans="1:3" ht="13.5" thickBot="1" x14ac:dyDescent="0.25">
      <c r="A198" s="68">
        <v>42846</v>
      </c>
      <c r="B198" s="69" t="s">
        <v>527</v>
      </c>
      <c r="C198" s="70" t="s">
        <v>530</v>
      </c>
    </row>
    <row r="199" spans="1:3" ht="13.5" thickBot="1" x14ac:dyDescent="0.25">
      <c r="A199" s="68">
        <v>42856</v>
      </c>
      <c r="B199" s="69" t="s">
        <v>523</v>
      </c>
      <c r="C199" s="70" t="s">
        <v>531</v>
      </c>
    </row>
    <row r="200" spans="1:3" ht="13.5" thickBot="1" x14ac:dyDescent="0.25">
      <c r="A200" s="68">
        <v>42901</v>
      </c>
      <c r="B200" s="69" t="s">
        <v>532</v>
      </c>
      <c r="C200" s="70" t="s">
        <v>533</v>
      </c>
    </row>
    <row r="201" spans="1:3" ht="13.5" thickBot="1" x14ac:dyDescent="0.25">
      <c r="A201" s="68">
        <v>42985</v>
      </c>
      <c r="B201" s="69" t="s">
        <v>532</v>
      </c>
      <c r="C201" s="70" t="s">
        <v>534</v>
      </c>
    </row>
    <row r="202" spans="1:3" ht="14.25" thickBot="1" x14ac:dyDescent="0.25">
      <c r="A202" s="68">
        <v>43020</v>
      </c>
      <c r="B202" s="69" t="s">
        <v>532</v>
      </c>
      <c r="C202" s="70" t="s">
        <v>535</v>
      </c>
    </row>
    <row r="203" spans="1:3" ht="13.5" thickBot="1" x14ac:dyDescent="0.25">
      <c r="A203" s="68">
        <v>43041</v>
      </c>
      <c r="B203" s="69" t="s">
        <v>532</v>
      </c>
      <c r="C203" s="70" t="s">
        <v>536</v>
      </c>
    </row>
    <row r="204" spans="1:3" ht="13.5" thickBot="1" x14ac:dyDescent="0.25">
      <c r="A204" s="68">
        <v>43054</v>
      </c>
      <c r="B204" s="69" t="s">
        <v>540</v>
      </c>
      <c r="C204" s="70" t="s">
        <v>537</v>
      </c>
    </row>
    <row r="205" spans="1:3" ht="13.5" thickBot="1" x14ac:dyDescent="0.25">
      <c r="A205" s="68">
        <v>43094</v>
      </c>
      <c r="B205" s="69" t="s">
        <v>523</v>
      </c>
      <c r="C205" s="70" t="s">
        <v>538</v>
      </c>
    </row>
    <row r="206" spans="1:3" ht="13.5" thickBot="1" x14ac:dyDescent="0.25">
      <c r="A206" s="71">
        <v>43101</v>
      </c>
      <c r="B206" s="72" t="s">
        <v>523</v>
      </c>
      <c r="C206" s="73" t="s">
        <v>524</v>
      </c>
    </row>
    <row r="207" spans="1:3" ht="13.5" thickBot="1" x14ac:dyDescent="0.25">
      <c r="A207" s="74">
        <v>43143</v>
      </c>
      <c r="B207" s="75" t="s">
        <v>523</v>
      </c>
      <c r="C207" s="76" t="s">
        <v>525</v>
      </c>
    </row>
    <row r="208" spans="1:3" ht="13.5" thickBot="1" x14ac:dyDescent="0.25">
      <c r="A208" s="74">
        <v>43144</v>
      </c>
      <c r="B208" s="75" t="s">
        <v>526</v>
      </c>
      <c r="C208" s="76" t="s">
        <v>525</v>
      </c>
    </row>
    <row r="209" spans="1:3" ht="13.5" thickBot="1" x14ac:dyDescent="0.25">
      <c r="A209" s="74">
        <v>43189</v>
      </c>
      <c r="B209" s="75" t="s">
        <v>527</v>
      </c>
      <c r="C209" s="76" t="s">
        <v>528</v>
      </c>
    </row>
    <row r="210" spans="1:3" ht="13.5" thickBot="1" x14ac:dyDescent="0.25">
      <c r="A210" s="74">
        <v>43211</v>
      </c>
      <c r="B210" s="75" t="s">
        <v>529</v>
      </c>
      <c r="C210" s="76" t="s">
        <v>530</v>
      </c>
    </row>
    <row r="211" spans="1:3" ht="13.5" thickBot="1" x14ac:dyDescent="0.25">
      <c r="A211" s="74">
        <v>43221</v>
      </c>
      <c r="B211" s="75" t="s">
        <v>526</v>
      </c>
      <c r="C211" s="76" t="s">
        <v>531</v>
      </c>
    </row>
    <row r="212" spans="1:3" ht="13.5" thickBot="1" x14ac:dyDescent="0.25">
      <c r="A212" s="74">
        <v>43251</v>
      </c>
      <c r="B212" s="75" t="s">
        <v>532</v>
      </c>
      <c r="C212" s="76" t="s">
        <v>533</v>
      </c>
    </row>
    <row r="213" spans="1:3" ht="13.5" thickBot="1" x14ac:dyDescent="0.25">
      <c r="A213" s="74">
        <v>43350</v>
      </c>
      <c r="B213" s="75" t="s">
        <v>527</v>
      </c>
      <c r="C213" s="76" t="s">
        <v>534</v>
      </c>
    </row>
    <row r="214" spans="1:3" ht="14.25" thickBot="1" x14ac:dyDescent="0.25">
      <c r="A214" s="74">
        <v>43385</v>
      </c>
      <c r="B214" s="75" t="s">
        <v>527</v>
      </c>
      <c r="C214" s="76" t="s">
        <v>535</v>
      </c>
    </row>
    <row r="215" spans="1:3" ht="13.5" thickBot="1" x14ac:dyDescent="0.25">
      <c r="A215" s="74">
        <v>43406</v>
      </c>
      <c r="B215" s="75" t="s">
        <v>527</v>
      </c>
      <c r="C215" s="76" t="s">
        <v>536</v>
      </c>
    </row>
    <row r="216" spans="1:3" ht="13.5" thickBot="1" x14ac:dyDescent="0.25">
      <c r="A216" s="74">
        <v>43419</v>
      </c>
      <c r="B216" s="75" t="s">
        <v>532</v>
      </c>
      <c r="C216" s="76" t="s">
        <v>537</v>
      </c>
    </row>
    <row r="217" spans="1:3" ht="13.5" thickBot="1" x14ac:dyDescent="0.25">
      <c r="A217" s="74">
        <v>43459</v>
      </c>
      <c r="B217" s="75" t="s">
        <v>526</v>
      </c>
      <c r="C217" s="76" t="s">
        <v>538</v>
      </c>
    </row>
    <row r="218" spans="1:3" ht="13.5" thickBot="1" x14ac:dyDescent="0.25">
      <c r="A218" s="77">
        <v>43466</v>
      </c>
      <c r="B218" s="78" t="s">
        <v>526</v>
      </c>
      <c r="C218" s="79" t="s">
        <v>524</v>
      </c>
    </row>
    <row r="219" spans="1:3" ht="13.5" thickBot="1" x14ac:dyDescent="0.25">
      <c r="A219" s="68">
        <v>43528</v>
      </c>
      <c r="B219" s="69" t="s">
        <v>523</v>
      </c>
      <c r="C219" s="70" t="s">
        <v>525</v>
      </c>
    </row>
    <row r="220" spans="1:3" ht="13.5" thickBot="1" x14ac:dyDescent="0.25">
      <c r="A220" s="68">
        <v>43529</v>
      </c>
      <c r="B220" s="69" t="s">
        <v>526</v>
      </c>
      <c r="C220" s="70" t="s">
        <v>525</v>
      </c>
    </row>
    <row r="221" spans="1:3" ht="13.5" thickBot="1" x14ac:dyDescent="0.25">
      <c r="A221" s="68">
        <v>43574</v>
      </c>
      <c r="B221" s="69" t="s">
        <v>527</v>
      </c>
      <c r="C221" s="70" t="s">
        <v>528</v>
      </c>
    </row>
    <row r="222" spans="1:3" ht="13.5" thickBot="1" x14ac:dyDescent="0.25">
      <c r="A222" s="68">
        <v>43576</v>
      </c>
      <c r="B222" s="69" t="s">
        <v>539</v>
      </c>
      <c r="C222" s="70" t="s">
        <v>530</v>
      </c>
    </row>
    <row r="223" spans="1:3" ht="13.5" thickBot="1" x14ac:dyDescent="0.25">
      <c r="A223" s="68">
        <v>43586</v>
      </c>
      <c r="B223" s="69" t="s">
        <v>540</v>
      </c>
      <c r="C223" s="70" t="s">
        <v>531</v>
      </c>
    </row>
    <row r="224" spans="1:3" ht="13.5" thickBot="1" x14ac:dyDescent="0.25">
      <c r="A224" s="68">
        <v>43636</v>
      </c>
      <c r="B224" s="69" t="s">
        <v>532</v>
      </c>
      <c r="C224" s="70" t="s">
        <v>533</v>
      </c>
    </row>
    <row r="225" spans="1:3" ht="13.5" thickBot="1" x14ac:dyDescent="0.25">
      <c r="A225" s="68">
        <v>43715</v>
      </c>
      <c r="B225" s="69" t="s">
        <v>529</v>
      </c>
      <c r="C225" s="70" t="s">
        <v>534</v>
      </c>
    </row>
    <row r="226" spans="1:3" ht="14.25" thickBot="1" x14ac:dyDescent="0.25">
      <c r="A226" s="68">
        <v>43750</v>
      </c>
      <c r="B226" s="69" t="s">
        <v>529</v>
      </c>
      <c r="C226" s="70" t="s">
        <v>535</v>
      </c>
    </row>
    <row r="227" spans="1:3" ht="13.5" thickBot="1" x14ac:dyDescent="0.25">
      <c r="A227" s="68">
        <v>43771</v>
      </c>
      <c r="B227" s="69" t="s">
        <v>529</v>
      </c>
      <c r="C227" s="70" t="s">
        <v>536</v>
      </c>
    </row>
    <row r="228" spans="1:3" ht="13.5" thickBot="1" x14ac:dyDescent="0.25">
      <c r="A228" s="68">
        <v>43784</v>
      </c>
      <c r="B228" s="69" t="s">
        <v>527</v>
      </c>
      <c r="C228" s="70" t="s">
        <v>537</v>
      </c>
    </row>
    <row r="229" spans="1:3" ht="13.5" thickBot="1" x14ac:dyDescent="0.25">
      <c r="A229" s="68">
        <v>43824</v>
      </c>
      <c r="B229" s="69" t="s">
        <v>540</v>
      </c>
      <c r="C229" s="70" t="s">
        <v>538</v>
      </c>
    </row>
    <row r="230" spans="1:3" ht="13.5" thickBot="1" x14ac:dyDescent="0.25">
      <c r="A230" s="71">
        <v>43831</v>
      </c>
      <c r="B230" s="72" t="s">
        <v>540</v>
      </c>
      <c r="C230" s="73" t="s">
        <v>524</v>
      </c>
    </row>
    <row r="231" spans="1:3" ht="13.5" thickBot="1" x14ac:dyDescent="0.25">
      <c r="A231" s="74">
        <v>43885</v>
      </c>
      <c r="B231" s="75" t="s">
        <v>523</v>
      </c>
      <c r="C231" s="76" t="s">
        <v>525</v>
      </c>
    </row>
    <row r="232" spans="1:3" ht="13.5" thickBot="1" x14ac:dyDescent="0.25">
      <c r="A232" s="74">
        <v>43886</v>
      </c>
      <c r="B232" s="75" t="s">
        <v>526</v>
      </c>
      <c r="C232" s="76" t="s">
        <v>525</v>
      </c>
    </row>
    <row r="233" spans="1:3" ht="13.5" thickBot="1" x14ac:dyDescent="0.25">
      <c r="A233" s="74">
        <v>43931</v>
      </c>
      <c r="B233" s="75" t="s">
        <v>527</v>
      </c>
      <c r="C233" s="76" t="s">
        <v>528</v>
      </c>
    </row>
    <row r="234" spans="1:3" ht="13.5" thickBot="1" x14ac:dyDescent="0.25">
      <c r="A234" s="74">
        <v>43942</v>
      </c>
      <c r="B234" s="75" t="s">
        <v>526</v>
      </c>
      <c r="C234" s="76" t="s">
        <v>530</v>
      </c>
    </row>
    <row r="235" spans="1:3" ht="13.5" thickBot="1" x14ac:dyDescent="0.25">
      <c r="A235" s="74">
        <v>43952</v>
      </c>
      <c r="B235" s="75" t="s">
        <v>527</v>
      </c>
      <c r="C235" s="76" t="s">
        <v>531</v>
      </c>
    </row>
    <row r="236" spans="1:3" ht="13.5" thickBot="1" x14ac:dyDescent="0.25">
      <c r="A236" s="74">
        <v>43993</v>
      </c>
      <c r="B236" s="75" t="s">
        <v>532</v>
      </c>
      <c r="C236" s="76" t="s">
        <v>533</v>
      </c>
    </row>
    <row r="237" spans="1:3" ht="13.5" thickBot="1" x14ac:dyDescent="0.25">
      <c r="A237" s="74">
        <v>44081</v>
      </c>
      <c r="B237" s="75" t="s">
        <v>523</v>
      </c>
      <c r="C237" s="76" t="s">
        <v>534</v>
      </c>
    </row>
    <row r="238" spans="1:3" ht="14.25" thickBot="1" x14ac:dyDescent="0.25">
      <c r="A238" s="74">
        <v>44116</v>
      </c>
      <c r="B238" s="75" t="s">
        <v>523</v>
      </c>
      <c r="C238" s="76" t="s">
        <v>535</v>
      </c>
    </row>
    <row r="239" spans="1:3" ht="13.5" thickBot="1" x14ac:dyDescent="0.25">
      <c r="A239" s="74">
        <v>44137</v>
      </c>
      <c r="B239" s="75" t="s">
        <v>523</v>
      </c>
      <c r="C239" s="76" t="s">
        <v>536</v>
      </c>
    </row>
    <row r="240" spans="1:3" ht="13.5" thickBot="1" x14ac:dyDescent="0.25">
      <c r="A240" s="74">
        <v>44150</v>
      </c>
      <c r="B240" s="75" t="s">
        <v>539</v>
      </c>
      <c r="C240" s="76" t="s">
        <v>537</v>
      </c>
    </row>
    <row r="241" spans="1:3" ht="13.5" thickBot="1" x14ac:dyDescent="0.25">
      <c r="A241" s="74">
        <v>44190</v>
      </c>
      <c r="B241" s="75" t="s">
        <v>527</v>
      </c>
      <c r="C241" s="76" t="s">
        <v>538</v>
      </c>
    </row>
    <row r="242" spans="1:3" ht="13.5" thickBot="1" x14ac:dyDescent="0.25">
      <c r="A242" s="77">
        <v>44197</v>
      </c>
      <c r="B242" s="78" t="s">
        <v>527</v>
      </c>
      <c r="C242" s="79" t="s">
        <v>524</v>
      </c>
    </row>
    <row r="243" spans="1:3" ht="13.5" thickBot="1" x14ac:dyDescent="0.25">
      <c r="A243" s="68">
        <v>44242</v>
      </c>
      <c r="B243" s="69" t="s">
        <v>523</v>
      </c>
      <c r="C243" s="70" t="s">
        <v>525</v>
      </c>
    </row>
    <row r="244" spans="1:3" ht="13.5" thickBot="1" x14ac:dyDescent="0.25">
      <c r="A244" s="68">
        <v>44243</v>
      </c>
      <c r="B244" s="69" t="s">
        <v>526</v>
      </c>
      <c r="C244" s="70" t="s">
        <v>525</v>
      </c>
    </row>
    <row r="245" spans="1:3" ht="13.5" thickBot="1" x14ac:dyDescent="0.25">
      <c r="A245" s="68">
        <v>44288</v>
      </c>
      <c r="B245" s="69" t="s">
        <v>527</v>
      </c>
      <c r="C245" s="70" t="s">
        <v>528</v>
      </c>
    </row>
    <row r="246" spans="1:3" ht="13.5" thickBot="1" x14ac:dyDescent="0.25">
      <c r="A246" s="68">
        <v>44307</v>
      </c>
      <c r="B246" s="69" t="s">
        <v>540</v>
      </c>
      <c r="C246" s="70" t="s">
        <v>530</v>
      </c>
    </row>
    <row r="247" spans="1:3" ht="13.5" thickBot="1" x14ac:dyDescent="0.25">
      <c r="A247" s="68">
        <v>44317</v>
      </c>
      <c r="B247" s="69" t="s">
        <v>529</v>
      </c>
      <c r="C247" s="70" t="s">
        <v>531</v>
      </c>
    </row>
    <row r="248" spans="1:3" ht="13.5" thickBot="1" x14ac:dyDescent="0.25">
      <c r="A248" s="68">
        <v>44350</v>
      </c>
      <c r="B248" s="69" t="s">
        <v>532</v>
      </c>
      <c r="C248" s="70" t="s">
        <v>533</v>
      </c>
    </row>
    <row r="249" spans="1:3" ht="13.5" thickBot="1" x14ac:dyDescent="0.25">
      <c r="A249" s="68">
        <v>44446</v>
      </c>
      <c r="B249" s="69" t="s">
        <v>526</v>
      </c>
      <c r="C249" s="70" t="s">
        <v>534</v>
      </c>
    </row>
    <row r="250" spans="1:3" ht="14.25" thickBot="1" x14ac:dyDescent="0.25">
      <c r="A250" s="68">
        <v>44481</v>
      </c>
      <c r="B250" s="69" t="s">
        <v>526</v>
      </c>
      <c r="C250" s="70" t="s">
        <v>535</v>
      </c>
    </row>
    <row r="251" spans="1:3" ht="13.5" thickBot="1" x14ac:dyDescent="0.25">
      <c r="A251" s="68">
        <v>44502</v>
      </c>
      <c r="B251" s="69" t="s">
        <v>526</v>
      </c>
      <c r="C251" s="70" t="s">
        <v>536</v>
      </c>
    </row>
    <row r="252" spans="1:3" ht="13.5" thickBot="1" x14ac:dyDescent="0.25">
      <c r="A252" s="68">
        <v>44515</v>
      </c>
      <c r="B252" s="69" t="s">
        <v>523</v>
      </c>
      <c r="C252" s="70" t="s">
        <v>537</v>
      </c>
    </row>
    <row r="253" spans="1:3" ht="13.5" thickBot="1" x14ac:dyDescent="0.25">
      <c r="A253" s="68">
        <v>44555</v>
      </c>
      <c r="B253" s="69" t="s">
        <v>529</v>
      </c>
      <c r="C253" s="70" t="s">
        <v>538</v>
      </c>
    </row>
    <row r="254" spans="1:3" ht="13.5" thickBot="1" x14ac:dyDescent="0.25">
      <c r="A254" s="71">
        <v>44562</v>
      </c>
      <c r="B254" s="72" t="s">
        <v>529</v>
      </c>
      <c r="C254" s="73" t="s">
        <v>524</v>
      </c>
    </row>
    <row r="255" spans="1:3" ht="13.5" thickBot="1" x14ac:dyDescent="0.25">
      <c r="A255" s="74">
        <v>44620</v>
      </c>
      <c r="B255" s="75" t="s">
        <v>523</v>
      </c>
      <c r="C255" s="76" t="s">
        <v>525</v>
      </c>
    </row>
    <row r="256" spans="1:3" ht="13.5" thickBot="1" x14ac:dyDescent="0.25">
      <c r="A256" s="74">
        <v>44621</v>
      </c>
      <c r="B256" s="75" t="s">
        <v>526</v>
      </c>
      <c r="C256" s="76" t="s">
        <v>525</v>
      </c>
    </row>
    <row r="257" spans="1:3" ht="13.5" thickBot="1" x14ac:dyDescent="0.25">
      <c r="A257" s="74">
        <v>44666</v>
      </c>
      <c r="B257" s="75" t="s">
        <v>527</v>
      </c>
      <c r="C257" s="76" t="s">
        <v>528</v>
      </c>
    </row>
    <row r="258" spans="1:3" ht="13.5" thickBot="1" x14ac:dyDescent="0.25">
      <c r="A258" s="74">
        <v>44672</v>
      </c>
      <c r="B258" s="75" t="s">
        <v>532</v>
      </c>
      <c r="C258" s="76" t="s">
        <v>530</v>
      </c>
    </row>
    <row r="259" spans="1:3" ht="13.5" thickBot="1" x14ac:dyDescent="0.25">
      <c r="A259" s="74">
        <v>44682</v>
      </c>
      <c r="B259" s="75" t="s">
        <v>539</v>
      </c>
      <c r="C259" s="76" t="s">
        <v>531</v>
      </c>
    </row>
    <row r="260" spans="1:3" ht="13.5" thickBot="1" x14ac:dyDescent="0.25">
      <c r="A260" s="74">
        <v>44728</v>
      </c>
      <c r="B260" s="75" t="s">
        <v>532</v>
      </c>
      <c r="C260" s="76" t="s">
        <v>533</v>
      </c>
    </row>
    <row r="261" spans="1:3" ht="13.5" thickBot="1" x14ac:dyDescent="0.25">
      <c r="A261" s="74">
        <v>44811</v>
      </c>
      <c r="B261" s="75" t="s">
        <v>540</v>
      </c>
      <c r="C261" s="76" t="s">
        <v>534</v>
      </c>
    </row>
    <row r="262" spans="1:3" ht="14.25" thickBot="1" x14ac:dyDescent="0.25">
      <c r="A262" s="74">
        <v>44846</v>
      </c>
      <c r="B262" s="75" t="s">
        <v>540</v>
      </c>
      <c r="C262" s="76" t="s">
        <v>535</v>
      </c>
    </row>
    <row r="263" spans="1:3" ht="13.5" thickBot="1" x14ac:dyDescent="0.25">
      <c r="A263" s="74">
        <v>44867</v>
      </c>
      <c r="B263" s="75" t="s">
        <v>540</v>
      </c>
      <c r="C263" s="76" t="s">
        <v>536</v>
      </c>
    </row>
    <row r="264" spans="1:3" ht="13.5" thickBot="1" x14ac:dyDescent="0.25">
      <c r="A264" s="74">
        <v>44880</v>
      </c>
      <c r="B264" s="75" t="s">
        <v>526</v>
      </c>
      <c r="C264" s="76" t="s">
        <v>537</v>
      </c>
    </row>
    <row r="265" spans="1:3" ht="13.5" thickBot="1" x14ac:dyDescent="0.25">
      <c r="A265" s="74">
        <v>44920</v>
      </c>
      <c r="B265" s="75" t="s">
        <v>539</v>
      </c>
      <c r="C265" s="76" t="s">
        <v>538</v>
      </c>
    </row>
    <row r="266" spans="1:3" ht="13.5" thickBot="1" x14ac:dyDescent="0.25">
      <c r="A266" s="77">
        <v>44927</v>
      </c>
      <c r="B266" s="78" t="s">
        <v>539</v>
      </c>
      <c r="C266" s="79" t="s">
        <v>524</v>
      </c>
    </row>
    <row r="267" spans="1:3" ht="13.5" thickBot="1" x14ac:dyDescent="0.25">
      <c r="A267" s="68">
        <v>44977</v>
      </c>
      <c r="B267" s="69" t="s">
        <v>523</v>
      </c>
      <c r="C267" s="70" t="s">
        <v>525</v>
      </c>
    </row>
    <row r="268" spans="1:3" ht="13.5" thickBot="1" x14ac:dyDescent="0.25">
      <c r="A268" s="68">
        <v>44978</v>
      </c>
      <c r="B268" s="69" t="s">
        <v>526</v>
      </c>
      <c r="C268" s="70" t="s">
        <v>525</v>
      </c>
    </row>
    <row r="269" spans="1:3" ht="13.5" thickBot="1" x14ac:dyDescent="0.25">
      <c r="A269" s="68">
        <v>45023</v>
      </c>
      <c r="B269" s="69" t="s">
        <v>527</v>
      </c>
      <c r="C269" s="70" t="s">
        <v>528</v>
      </c>
    </row>
    <row r="270" spans="1:3" ht="13.5" thickBot="1" x14ac:dyDescent="0.25">
      <c r="A270" s="68">
        <v>45037</v>
      </c>
      <c r="B270" s="69" t="s">
        <v>527</v>
      </c>
      <c r="C270" s="70" t="s">
        <v>530</v>
      </c>
    </row>
    <row r="271" spans="1:3" ht="13.5" thickBot="1" x14ac:dyDescent="0.25">
      <c r="A271" s="68">
        <v>45047</v>
      </c>
      <c r="B271" s="69" t="s">
        <v>523</v>
      </c>
      <c r="C271" s="70" t="s">
        <v>531</v>
      </c>
    </row>
    <row r="272" spans="1:3" ht="13.5" thickBot="1" x14ac:dyDescent="0.25">
      <c r="A272" s="68">
        <v>45085</v>
      </c>
      <c r="B272" s="69" t="s">
        <v>532</v>
      </c>
      <c r="C272" s="70" t="s">
        <v>533</v>
      </c>
    </row>
    <row r="273" spans="1:3" ht="13.5" thickBot="1" x14ac:dyDescent="0.25">
      <c r="A273" s="68">
        <v>45176</v>
      </c>
      <c r="B273" s="69" t="s">
        <v>532</v>
      </c>
      <c r="C273" s="70" t="s">
        <v>534</v>
      </c>
    </row>
    <row r="274" spans="1:3" ht="14.25" thickBot="1" x14ac:dyDescent="0.25">
      <c r="A274" s="68">
        <v>45211</v>
      </c>
      <c r="B274" s="69" t="s">
        <v>532</v>
      </c>
      <c r="C274" s="70" t="s">
        <v>535</v>
      </c>
    </row>
    <row r="275" spans="1:3" ht="13.5" thickBot="1" x14ac:dyDescent="0.25">
      <c r="A275" s="68">
        <v>45232</v>
      </c>
      <c r="B275" s="69" t="s">
        <v>532</v>
      </c>
      <c r="C275" s="70" t="s">
        <v>536</v>
      </c>
    </row>
    <row r="276" spans="1:3" ht="13.5" thickBot="1" x14ac:dyDescent="0.25">
      <c r="A276" s="68">
        <v>45245</v>
      </c>
      <c r="B276" s="69" t="s">
        <v>540</v>
      </c>
      <c r="C276" s="70" t="s">
        <v>537</v>
      </c>
    </row>
    <row r="277" spans="1:3" ht="13.5" thickBot="1" x14ac:dyDescent="0.25">
      <c r="A277" s="68">
        <v>45285</v>
      </c>
      <c r="B277" s="69" t="s">
        <v>523</v>
      </c>
      <c r="C277" s="70" t="s">
        <v>538</v>
      </c>
    </row>
    <row r="278" spans="1:3" ht="13.5" thickBot="1" x14ac:dyDescent="0.25">
      <c r="A278" s="71">
        <v>45292</v>
      </c>
      <c r="B278" s="72" t="s">
        <v>523</v>
      </c>
      <c r="C278" s="73" t="s">
        <v>524</v>
      </c>
    </row>
    <row r="279" spans="1:3" ht="13.5" thickBot="1" x14ac:dyDescent="0.25">
      <c r="A279" s="74">
        <v>45334</v>
      </c>
      <c r="B279" s="75" t="s">
        <v>523</v>
      </c>
      <c r="C279" s="76" t="s">
        <v>525</v>
      </c>
    </row>
    <row r="280" spans="1:3" ht="13.5" thickBot="1" x14ac:dyDescent="0.25">
      <c r="A280" s="74">
        <v>45335</v>
      </c>
      <c r="B280" s="75" t="s">
        <v>526</v>
      </c>
      <c r="C280" s="76" t="s">
        <v>525</v>
      </c>
    </row>
    <row r="281" spans="1:3" ht="13.5" thickBot="1" x14ac:dyDescent="0.25">
      <c r="A281" s="74">
        <v>45380</v>
      </c>
      <c r="B281" s="75" t="s">
        <v>527</v>
      </c>
      <c r="C281" s="76" t="s">
        <v>528</v>
      </c>
    </row>
    <row r="282" spans="1:3" ht="13.5" thickBot="1" x14ac:dyDescent="0.25">
      <c r="A282" s="74">
        <v>45403</v>
      </c>
      <c r="B282" s="75" t="s">
        <v>539</v>
      </c>
      <c r="C282" s="76" t="s">
        <v>530</v>
      </c>
    </row>
    <row r="283" spans="1:3" ht="13.5" thickBot="1" x14ac:dyDescent="0.25">
      <c r="A283" s="74">
        <v>45413</v>
      </c>
      <c r="B283" s="75" t="s">
        <v>540</v>
      </c>
      <c r="C283" s="76" t="s">
        <v>531</v>
      </c>
    </row>
    <row r="284" spans="1:3" ht="13.5" thickBot="1" x14ac:dyDescent="0.25">
      <c r="A284" s="74">
        <v>45442</v>
      </c>
      <c r="B284" s="75" t="s">
        <v>532</v>
      </c>
      <c r="C284" s="76" t="s">
        <v>533</v>
      </c>
    </row>
    <row r="285" spans="1:3" ht="13.5" thickBot="1" x14ac:dyDescent="0.25">
      <c r="A285" s="74">
        <v>45542</v>
      </c>
      <c r="B285" s="75" t="s">
        <v>529</v>
      </c>
      <c r="C285" s="76" t="s">
        <v>534</v>
      </c>
    </row>
    <row r="286" spans="1:3" ht="14.25" thickBot="1" x14ac:dyDescent="0.25">
      <c r="A286" s="74">
        <v>45577</v>
      </c>
      <c r="B286" s="75" t="s">
        <v>529</v>
      </c>
      <c r="C286" s="76" t="s">
        <v>535</v>
      </c>
    </row>
    <row r="287" spans="1:3" ht="13.5" thickBot="1" x14ac:dyDescent="0.25">
      <c r="A287" s="74">
        <v>45598</v>
      </c>
      <c r="B287" s="75" t="s">
        <v>529</v>
      </c>
      <c r="C287" s="76" t="s">
        <v>536</v>
      </c>
    </row>
    <row r="288" spans="1:3" ht="13.5" thickBot="1" x14ac:dyDescent="0.25">
      <c r="A288" s="74">
        <v>45611</v>
      </c>
      <c r="B288" s="75" t="s">
        <v>527</v>
      </c>
      <c r="C288" s="76" t="s">
        <v>537</v>
      </c>
    </row>
    <row r="289" spans="1:3" ht="13.5" thickBot="1" x14ac:dyDescent="0.25">
      <c r="A289" s="74">
        <v>45651</v>
      </c>
      <c r="B289" s="75" t="s">
        <v>540</v>
      </c>
      <c r="C289" s="76" t="s">
        <v>538</v>
      </c>
    </row>
    <row r="290" spans="1:3" ht="13.5" thickBot="1" x14ac:dyDescent="0.25">
      <c r="A290" s="77">
        <v>45658</v>
      </c>
      <c r="B290" s="78" t="s">
        <v>540</v>
      </c>
      <c r="C290" s="79" t="s">
        <v>524</v>
      </c>
    </row>
    <row r="291" spans="1:3" ht="13.5" thickBot="1" x14ac:dyDescent="0.25">
      <c r="A291" s="68">
        <v>45719</v>
      </c>
      <c r="B291" s="69" t="s">
        <v>523</v>
      </c>
      <c r="C291" s="70" t="s">
        <v>525</v>
      </c>
    </row>
    <row r="292" spans="1:3" ht="13.5" thickBot="1" x14ac:dyDescent="0.25">
      <c r="A292" s="68">
        <v>45720</v>
      </c>
      <c r="B292" s="69" t="s">
        <v>526</v>
      </c>
      <c r="C292" s="70" t="s">
        <v>525</v>
      </c>
    </row>
    <row r="293" spans="1:3" ht="13.5" thickBot="1" x14ac:dyDescent="0.25">
      <c r="A293" s="68">
        <v>45765</v>
      </c>
      <c r="B293" s="69" t="s">
        <v>527</v>
      </c>
      <c r="C293" s="70" t="s">
        <v>528</v>
      </c>
    </row>
    <row r="294" spans="1:3" ht="13.5" thickBot="1" x14ac:dyDescent="0.25">
      <c r="A294" s="68">
        <v>45768</v>
      </c>
      <c r="B294" s="69" t="s">
        <v>523</v>
      </c>
      <c r="C294" s="70" t="s">
        <v>530</v>
      </c>
    </row>
    <row r="295" spans="1:3" ht="13.5" thickBot="1" x14ac:dyDescent="0.25">
      <c r="A295" s="68">
        <v>45778</v>
      </c>
      <c r="B295" s="69" t="s">
        <v>532</v>
      </c>
      <c r="C295" s="70" t="s">
        <v>531</v>
      </c>
    </row>
    <row r="296" spans="1:3" ht="13.5" thickBot="1" x14ac:dyDescent="0.25">
      <c r="A296" s="68">
        <v>45827</v>
      </c>
      <c r="B296" s="69" t="s">
        <v>532</v>
      </c>
      <c r="C296" s="70" t="s">
        <v>533</v>
      </c>
    </row>
    <row r="297" spans="1:3" ht="13.5" thickBot="1" x14ac:dyDescent="0.25">
      <c r="A297" s="68">
        <v>45907</v>
      </c>
      <c r="B297" s="69" t="s">
        <v>539</v>
      </c>
      <c r="C297" s="70" t="s">
        <v>534</v>
      </c>
    </row>
    <row r="298" spans="1:3" ht="14.25" thickBot="1" x14ac:dyDescent="0.25">
      <c r="A298" s="68">
        <v>45942</v>
      </c>
      <c r="B298" s="69" t="s">
        <v>539</v>
      </c>
      <c r="C298" s="70" t="s">
        <v>535</v>
      </c>
    </row>
    <row r="299" spans="1:3" ht="13.5" thickBot="1" x14ac:dyDescent="0.25">
      <c r="A299" s="68">
        <v>45963</v>
      </c>
      <c r="B299" s="69" t="s">
        <v>539</v>
      </c>
      <c r="C299" s="70" t="s">
        <v>536</v>
      </c>
    </row>
    <row r="300" spans="1:3" ht="13.5" thickBot="1" x14ac:dyDescent="0.25">
      <c r="A300" s="68">
        <v>45976</v>
      </c>
      <c r="B300" s="69" t="s">
        <v>529</v>
      </c>
      <c r="C300" s="70" t="s">
        <v>537</v>
      </c>
    </row>
    <row r="301" spans="1:3" ht="13.5" thickBot="1" x14ac:dyDescent="0.25">
      <c r="A301" s="68">
        <v>46016</v>
      </c>
      <c r="B301" s="69" t="s">
        <v>532</v>
      </c>
      <c r="C301" s="70" t="s">
        <v>538</v>
      </c>
    </row>
    <row r="302" spans="1:3" ht="13.5" thickBot="1" x14ac:dyDescent="0.25">
      <c r="A302" s="71">
        <v>46023</v>
      </c>
      <c r="B302" s="72" t="s">
        <v>532</v>
      </c>
      <c r="C302" s="73" t="s">
        <v>524</v>
      </c>
    </row>
    <row r="303" spans="1:3" ht="13.5" thickBot="1" x14ac:dyDescent="0.25">
      <c r="A303" s="74">
        <v>46069</v>
      </c>
      <c r="B303" s="75" t="s">
        <v>523</v>
      </c>
      <c r="C303" s="76" t="s">
        <v>525</v>
      </c>
    </row>
    <row r="304" spans="1:3" ht="13.5" thickBot="1" x14ac:dyDescent="0.25">
      <c r="A304" s="74">
        <v>46070</v>
      </c>
      <c r="B304" s="75" t="s">
        <v>526</v>
      </c>
      <c r="C304" s="76" t="s">
        <v>525</v>
      </c>
    </row>
    <row r="305" spans="1:3" ht="13.5" thickBot="1" x14ac:dyDescent="0.25">
      <c r="A305" s="74">
        <v>46115</v>
      </c>
      <c r="B305" s="75" t="s">
        <v>527</v>
      </c>
      <c r="C305" s="76" t="s">
        <v>528</v>
      </c>
    </row>
    <row r="306" spans="1:3" ht="13.5" thickBot="1" x14ac:dyDescent="0.25">
      <c r="A306" s="74">
        <v>46133</v>
      </c>
      <c r="B306" s="75" t="s">
        <v>526</v>
      </c>
      <c r="C306" s="76" t="s">
        <v>530</v>
      </c>
    </row>
    <row r="307" spans="1:3" ht="13.5" thickBot="1" x14ac:dyDescent="0.25">
      <c r="A307" s="74">
        <v>46143</v>
      </c>
      <c r="B307" s="75" t="s">
        <v>527</v>
      </c>
      <c r="C307" s="76" t="s">
        <v>531</v>
      </c>
    </row>
    <row r="308" spans="1:3" ht="13.5" thickBot="1" x14ac:dyDescent="0.25">
      <c r="A308" s="74">
        <v>46177</v>
      </c>
      <c r="B308" s="75" t="s">
        <v>532</v>
      </c>
      <c r="C308" s="76" t="s">
        <v>533</v>
      </c>
    </row>
    <row r="309" spans="1:3" ht="13.5" thickBot="1" x14ac:dyDescent="0.25">
      <c r="A309" s="74">
        <v>46272</v>
      </c>
      <c r="B309" s="75" t="s">
        <v>523</v>
      </c>
      <c r="C309" s="76" t="s">
        <v>534</v>
      </c>
    </row>
    <row r="310" spans="1:3" ht="14.25" thickBot="1" x14ac:dyDescent="0.25">
      <c r="A310" s="74">
        <v>46307</v>
      </c>
      <c r="B310" s="75" t="s">
        <v>523</v>
      </c>
      <c r="C310" s="76" t="s">
        <v>535</v>
      </c>
    </row>
    <row r="311" spans="1:3" ht="13.5" thickBot="1" x14ac:dyDescent="0.25">
      <c r="A311" s="74">
        <v>46328</v>
      </c>
      <c r="B311" s="75" t="s">
        <v>523</v>
      </c>
      <c r="C311" s="76" t="s">
        <v>536</v>
      </c>
    </row>
    <row r="312" spans="1:3" ht="13.5" thickBot="1" x14ac:dyDescent="0.25">
      <c r="A312" s="74">
        <v>46341</v>
      </c>
      <c r="B312" s="75" t="s">
        <v>539</v>
      </c>
      <c r="C312" s="76" t="s">
        <v>537</v>
      </c>
    </row>
    <row r="313" spans="1:3" ht="13.5" thickBot="1" x14ac:dyDescent="0.25">
      <c r="A313" s="74">
        <v>46381</v>
      </c>
      <c r="B313" s="75" t="s">
        <v>527</v>
      </c>
      <c r="C313" s="76" t="s">
        <v>538</v>
      </c>
    </row>
    <row r="314" spans="1:3" ht="13.5" thickBot="1" x14ac:dyDescent="0.25">
      <c r="A314" s="77">
        <v>46388</v>
      </c>
      <c r="B314" s="78" t="s">
        <v>527</v>
      </c>
      <c r="C314" s="79" t="s">
        <v>524</v>
      </c>
    </row>
    <row r="315" spans="1:3" ht="13.5" thickBot="1" x14ac:dyDescent="0.25">
      <c r="A315" s="68">
        <v>46426</v>
      </c>
      <c r="B315" s="69" t="s">
        <v>523</v>
      </c>
      <c r="C315" s="70" t="s">
        <v>525</v>
      </c>
    </row>
    <row r="316" spans="1:3" ht="13.5" thickBot="1" x14ac:dyDescent="0.25">
      <c r="A316" s="68">
        <v>46427</v>
      </c>
      <c r="B316" s="69" t="s">
        <v>526</v>
      </c>
      <c r="C316" s="70" t="s">
        <v>525</v>
      </c>
    </row>
    <row r="317" spans="1:3" ht="13.5" thickBot="1" x14ac:dyDescent="0.25">
      <c r="A317" s="68">
        <v>46472</v>
      </c>
      <c r="B317" s="69" t="s">
        <v>527</v>
      </c>
      <c r="C317" s="70" t="s">
        <v>528</v>
      </c>
    </row>
    <row r="318" spans="1:3" ht="13.5" thickBot="1" x14ac:dyDescent="0.25">
      <c r="A318" s="68">
        <v>46498</v>
      </c>
      <c r="B318" s="69" t="s">
        <v>540</v>
      </c>
      <c r="C318" s="70" t="s">
        <v>530</v>
      </c>
    </row>
    <row r="319" spans="1:3" ht="13.5" thickBot="1" x14ac:dyDescent="0.25">
      <c r="A319" s="68">
        <v>46508</v>
      </c>
      <c r="B319" s="69" t="s">
        <v>529</v>
      </c>
      <c r="C319" s="70" t="s">
        <v>531</v>
      </c>
    </row>
    <row r="320" spans="1:3" ht="13.5" thickBot="1" x14ac:dyDescent="0.25">
      <c r="A320" s="68">
        <v>46534</v>
      </c>
      <c r="B320" s="69" t="s">
        <v>532</v>
      </c>
      <c r="C320" s="70" t="s">
        <v>533</v>
      </c>
    </row>
    <row r="321" spans="1:3" ht="13.5" thickBot="1" x14ac:dyDescent="0.25">
      <c r="A321" s="68">
        <v>46637</v>
      </c>
      <c r="B321" s="69" t="s">
        <v>526</v>
      </c>
      <c r="C321" s="70" t="s">
        <v>534</v>
      </c>
    </row>
    <row r="322" spans="1:3" ht="14.25" thickBot="1" x14ac:dyDescent="0.25">
      <c r="A322" s="68">
        <v>46672</v>
      </c>
      <c r="B322" s="69" t="s">
        <v>526</v>
      </c>
      <c r="C322" s="70" t="s">
        <v>535</v>
      </c>
    </row>
    <row r="323" spans="1:3" ht="13.5" thickBot="1" x14ac:dyDescent="0.25">
      <c r="A323" s="68">
        <v>46693</v>
      </c>
      <c r="B323" s="69" t="s">
        <v>526</v>
      </c>
      <c r="C323" s="70" t="s">
        <v>536</v>
      </c>
    </row>
    <row r="324" spans="1:3" ht="13.5" thickBot="1" x14ac:dyDescent="0.25">
      <c r="A324" s="68">
        <v>46706</v>
      </c>
      <c r="B324" s="69" t="s">
        <v>523</v>
      </c>
      <c r="C324" s="70" t="s">
        <v>537</v>
      </c>
    </row>
    <row r="325" spans="1:3" ht="13.5" thickBot="1" x14ac:dyDescent="0.25">
      <c r="A325" s="68">
        <v>46746</v>
      </c>
      <c r="B325" s="69" t="s">
        <v>529</v>
      </c>
      <c r="C325" s="70" t="s">
        <v>538</v>
      </c>
    </row>
    <row r="326" spans="1:3" ht="13.5" thickBot="1" x14ac:dyDescent="0.25">
      <c r="A326" s="71">
        <v>46753</v>
      </c>
      <c r="B326" s="72" t="s">
        <v>529</v>
      </c>
      <c r="C326" s="73" t="s">
        <v>524</v>
      </c>
    </row>
    <row r="327" spans="1:3" ht="13.5" thickBot="1" x14ac:dyDescent="0.25">
      <c r="A327" s="74">
        <v>46811</v>
      </c>
      <c r="B327" s="75" t="s">
        <v>523</v>
      </c>
      <c r="C327" s="76" t="s">
        <v>525</v>
      </c>
    </row>
    <row r="328" spans="1:3" ht="13.5" thickBot="1" x14ac:dyDescent="0.25">
      <c r="A328" s="74">
        <v>46812</v>
      </c>
      <c r="B328" s="75" t="s">
        <v>526</v>
      </c>
      <c r="C328" s="76" t="s">
        <v>525</v>
      </c>
    </row>
    <row r="329" spans="1:3" ht="13.5" thickBot="1" x14ac:dyDescent="0.25">
      <c r="A329" s="74">
        <v>46857</v>
      </c>
      <c r="B329" s="75" t="s">
        <v>527</v>
      </c>
      <c r="C329" s="76" t="s">
        <v>528</v>
      </c>
    </row>
    <row r="330" spans="1:3" ht="13.5" thickBot="1" x14ac:dyDescent="0.25">
      <c r="A330" s="74">
        <v>46864</v>
      </c>
      <c r="B330" s="75" t="s">
        <v>527</v>
      </c>
      <c r="C330" s="76" t="s">
        <v>530</v>
      </c>
    </row>
    <row r="331" spans="1:3" ht="13.5" thickBot="1" x14ac:dyDescent="0.25">
      <c r="A331" s="74">
        <v>46874</v>
      </c>
      <c r="B331" s="75" t="s">
        <v>523</v>
      </c>
      <c r="C331" s="76" t="s">
        <v>531</v>
      </c>
    </row>
    <row r="332" spans="1:3" ht="13.5" thickBot="1" x14ac:dyDescent="0.25">
      <c r="A332" s="74">
        <v>46919</v>
      </c>
      <c r="B332" s="75" t="s">
        <v>532</v>
      </c>
      <c r="C332" s="76" t="s">
        <v>533</v>
      </c>
    </row>
    <row r="333" spans="1:3" ht="13.5" thickBot="1" x14ac:dyDescent="0.25">
      <c r="A333" s="74">
        <v>47003</v>
      </c>
      <c r="B333" s="75" t="s">
        <v>532</v>
      </c>
      <c r="C333" s="76" t="s">
        <v>534</v>
      </c>
    </row>
    <row r="334" spans="1:3" ht="14.25" thickBot="1" x14ac:dyDescent="0.25">
      <c r="A334" s="74">
        <v>47038</v>
      </c>
      <c r="B334" s="75" t="s">
        <v>532</v>
      </c>
      <c r="C334" s="76" t="s">
        <v>535</v>
      </c>
    </row>
    <row r="335" spans="1:3" ht="13.5" thickBot="1" x14ac:dyDescent="0.25">
      <c r="A335" s="74">
        <v>47059</v>
      </c>
      <c r="B335" s="75" t="s">
        <v>532</v>
      </c>
      <c r="C335" s="76" t="s">
        <v>536</v>
      </c>
    </row>
    <row r="336" spans="1:3" ht="13.5" thickBot="1" x14ac:dyDescent="0.25">
      <c r="A336" s="74">
        <v>47072</v>
      </c>
      <c r="B336" s="75" t="s">
        <v>540</v>
      </c>
      <c r="C336" s="76" t="s">
        <v>537</v>
      </c>
    </row>
    <row r="337" spans="1:3" ht="13.5" thickBot="1" x14ac:dyDescent="0.25">
      <c r="A337" s="74">
        <v>47112</v>
      </c>
      <c r="B337" s="75" t="s">
        <v>523</v>
      </c>
      <c r="C337" s="76" t="s">
        <v>538</v>
      </c>
    </row>
    <row r="338" spans="1:3" ht="13.5" thickBot="1" x14ac:dyDescent="0.25">
      <c r="A338" s="77">
        <v>47119</v>
      </c>
      <c r="B338" s="78" t="s">
        <v>523</v>
      </c>
      <c r="C338" s="79" t="s">
        <v>524</v>
      </c>
    </row>
    <row r="339" spans="1:3" ht="13.5" thickBot="1" x14ac:dyDescent="0.25">
      <c r="A339" s="68">
        <v>47161</v>
      </c>
      <c r="B339" s="69" t="s">
        <v>523</v>
      </c>
      <c r="C339" s="70" t="s">
        <v>525</v>
      </c>
    </row>
    <row r="340" spans="1:3" ht="13.5" thickBot="1" x14ac:dyDescent="0.25">
      <c r="A340" s="68">
        <v>47162</v>
      </c>
      <c r="B340" s="69" t="s">
        <v>526</v>
      </c>
      <c r="C340" s="70" t="s">
        <v>525</v>
      </c>
    </row>
    <row r="341" spans="1:3" ht="13.5" thickBot="1" x14ac:dyDescent="0.25">
      <c r="A341" s="68">
        <v>47207</v>
      </c>
      <c r="B341" s="69" t="s">
        <v>527</v>
      </c>
      <c r="C341" s="70" t="s">
        <v>528</v>
      </c>
    </row>
    <row r="342" spans="1:3" ht="13.5" thickBot="1" x14ac:dyDescent="0.25">
      <c r="A342" s="68">
        <v>47229</v>
      </c>
      <c r="B342" s="69" t="s">
        <v>529</v>
      </c>
      <c r="C342" s="70" t="s">
        <v>530</v>
      </c>
    </row>
    <row r="343" spans="1:3" ht="13.5" thickBot="1" x14ac:dyDescent="0.25">
      <c r="A343" s="68">
        <v>47239</v>
      </c>
      <c r="B343" s="69" t="s">
        <v>526</v>
      </c>
      <c r="C343" s="70" t="s">
        <v>531</v>
      </c>
    </row>
    <row r="344" spans="1:3" ht="13.5" thickBot="1" x14ac:dyDescent="0.25">
      <c r="A344" s="68">
        <v>47269</v>
      </c>
      <c r="B344" s="69" t="s">
        <v>532</v>
      </c>
      <c r="C344" s="70" t="s">
        <v>533</v>
      </c>
    </row>
    <row r="345" spans="1:3" ht="13.5" thickBot="1" x14ac:dyDescent="0.25">
      <c r="A345" s="68">
        <v>47368</v>
      </c>
      <c r="B345" s="69" t="s">
        <v>527</v>
      </c>
      <c r="C345" s="70" t="s">
        <v>534</v>
      </c>
    </row>
    <row r="346" spans="1:3" ht="14.25" thickBot="1" x14ac:dyDescent="0.25">
      <c r="A346" s="68">
        <v>47403</v>
      </c>
      <c r="B346" s="69" t="s">
        <v>527</v>
      </c>
      <c r="C346" s="70" t="s">
        <v>535</v>
      </c>
    </row>
    <row r="347" spans="1:3" ht="13.5" thickBot="1" x14ac:dyDescent="0.25">
      <c r="A347" s="68">
        <v>47424</v>
      </c>
      <c r="B347" s="69" t="s">
        <v>527</v>
      </c>
      <c r="C347" s="70" t="s">
        <v>536</v>
      </c>
    </row>
    <row r="348" spans="1:3" ht="13.5" thickBot="1" x14ac:dyDescent="0.25">
      <c r="A348" s="68">
        <v>47437</v>
      </c>
      <c r="B348" s="69" t="s">
        <v>532</v>
      </c>
      <c r="C348" s="70" t="s">
        <v>537</v>
      </c>
    </row>
    <row r="349" spans="1:3" ht="13.5" thickBot="1" x14ac:dyDescent="0.25">
      <c r="A349" s="68">
        <v>47477</v>
      </c>
      <c r="B349" s="69" t="s">
        <v>526</v>
      </c>
      <c r="C349" s="70" t="s">
        <v>538</v>
      </c>
    </row>
    <row r="350" spans="1:3" ht="13.5" thickBot="1" x14ac:dyDescent="0.25">
      <c r="A350" s="71">
        <v>47484</v>
      </c>
      <c r="B350" s="72" t="s">
        <v>526</v>
      </c>
      <c r="C350" s="73" t="s">
        <v>524</v>
      </c>
    </row>
    <row r="351" spans="1:3" ht="13.5" thickBot="1" x14ac:dyDescent="0.25">
      <c r="A351" s="74">
        <v>47546</v>
      </c>
      <c r="B351" s="75" t="s">
        <v>523</v>
      </c>
      <c r="C351" s="76" t="s">
        <v>525</v>
      </c>
    </row>
    <row r="352" spans="1:3" ht="13.5" thickBot="1" x14ac:dyDescent="0.25">
      <c r="A352" s="74">
        <v>47547</v>
      </c>
      <c r="B352" s="75" t="s">
        <v>526</v>
      </c>
      <c r="C352" s="76" t="s">
        <v>525</v>
      </c>
    </row>
    <row r="353" spans="1:3" ht="13.5" thickBot="1" x14ac:dyDescent="0.25">
      <c r="A353" s="74">
        <v>47592</v>
      </c>
      <c r="B353" s="75" t="s">
        <v>527</v>
      </c>
      <c r="C353" s="76" t="s">
        <v>528</v>
      </c>
    </row>
    <row r="354" spans="1:3" ht="13.5" thickBot="1" x14ac:dyDescent="0.25">
      <c r="A354" s="74">
        <v>47594</v>
      </c>
      <c r="B354" s="75" t="s">
        <v>539</v>
      </c>
      <c r="C354" s="76" t="s">
        <v>530</v>
      </c>
    </row>
    <row r="355" spans="1:3" ht="13.5" thickBot="1" x14ac:dyDescent="0.25">
      <c r="A355" s="74">
        <v>47604</v>
      </c>
      <c r="B355" s="75" t="s">
        <v>540</v>
      </c>
      <c r="C355" s="76" t="s">
        <v>531</v>
      </c>
    </row>
    <row r="356" spans="1:3" ht="13.5" thickBot="1" x14ac:dyDescent="0.25">
      <c r="A356" s="74">
        <v>47654</v>
      </c>
      <c r="B356" s="75" t="s">
        <v>532</v>
      </c>
      <c r="C356" s="76" t="s">
        <v>533</v>
      </c>
    </row>
    <row r="357" spans="1:3" ht="13.5" thickBot="1" x14ac:dyDescent="0.25">
      <c r="A357" s="74">
        <v>47733</v>
      </c>
      <c r="B357" s="75" t="s">
        <v>529</v>
      </c>
      <c r="C357" s="76" t="s">
        <v>534</v>
      </c>
    </row>
    <row r="358" spans="1:3" ht="14.25" thickBot="1" x14ac:dyDescent="0.25">
      <c r="A358" s="74">
        <v>47768</v>
      </c>
      <c r="B358" s="75" t="s">
        <v>529</v>
      </c>
      <c r="C358" s="76" t="s">
        <v>535</v>
      </c>
    </row>
    <row r="359" spans="1:3" ht="13.5" thickBot="1" x14ac:dyDescent="0.25">
      <c r="A359" s="74">
        <v>47789</v>
      </c>
      <c r="B359" s="75" t="s">
        <v>529</v>
      </c>
      <c r="C359" s="76" t="s">
        <v>536</v>
      </c>
    </row>
    <row r="360" spans="1:3" ht="13.5" thickBot="1" x14ac:dyDescent="0.25">
      <c r="A360" s="74">
        <v>47802</v>
      </c>
      <c r="B360" s="75" t="s">
        <v>527</v>
      </c>
      <c r="C360" s="76" t="s">
        <v>537</v>
      </c>
    </row>
    <row r="361" spans="1:3" ht="13.5" thickBot="1" x14ac:dyDescent="0.25">
      <c r="A361" s="74">
        <v>47842</v>
      </c>
      <c r="B361" s="75" t="s">
        <v>540</v>
      </c>
      <c r="C361" s="76" t="s">
        <v>538</v>
      </c>
    </row>
    <row r="362" spans="1:3" ht="13.5" thickBot="1" x14ac:dyDescent="0.25">
      <c r="A362" s="77">
        <v>47849</v>
      </c>
      <c r="B362" s="78" t="s">
        <v>540</v>
      </c>
      <c r="C362" s="79" t="s">
        <v>524</v>
      </c>
    </row>
    <row r="363" spans="1:3" ht="13.5" thickBot="1" x14ac:dyDescent="0.25">
      <c r="A363" s="68">
        <v>47903</v>
      </c>
      <c r="B363" s="69" t="s">
        <v>523</v>
      </c>
      <c r="C363" s="70" t="s">
        <v>525</v>
      </c>
    </row>
    <row r="364" spans="1:3" ht="13.5" thickBot="1" x14ac:dyDescent="0.25">
      <c r="A364" s="68">
        <v>47904</v>
      </c>
      <c r="B364" s="69" t="s">
        <v>526</v>
      </c>
      <c r="C364" s="70" t="s">
        <v>525</v>
      </c>
    </row>
    <row r="365" spans="1:3" ht="13.5" thickBot="1" x14ac:dyDescent="0.25">
      <c r="A365" s="68">
        <v>47949</v>
      </c>
      <c r="B365" s="69" t="s">
        <v>527</v>
      </c>
      <c r="C365" s="70" t="s">
        <v>528</v>
      </c>
    </row>
    <row r="366" spans="1:3" ht="13.5" thickBot="1" x14ac:dyDescent="0.25">
      <c r="A366" s="68">
        <v>47959</v>
      </c>
      <c r="B366" s="69" t="s">
        <v>523</v>
      </c>
      <c r="C366" s="70" t="s">
        <v>530</v>
      </c>
    </row>
    <row r="367" spans="1:3" ht="13.5" thickBot="1" x14ac:dyDescent="0.25">
      <c r="A367" s="68">
        <v>47969</v>
      </c>
      <c r="B367" s="69" t="s">
        <v>532</v>
      </c>
      <c r="C367" s="70" t="s">
        <v>531</v>
      </c>
    </row>
    <row r="368" spans="1:3" ht="13.5" thickBot="1" x14ac:dyDescent="0.25">
      <c r="A368" s="68">
        <v>48011</v>
      </c>
      <c r="B368" s="69" t="s">
        <v>532</v>
      </c>
      <c r="C368" s="70" t="s">
        <v>533</v>
      </c>
    </row>
    <row r="369" spans="1:3" ht="13.5" thickBot="1" x14ac:dyDescent="0.25">
      <c r="A369" s="68">
        <v>48098</v>
      </c>
      <c r="B369" s="69" t="s">
        <v>539</v>
      </c>
      <c r="C369" s="70" t="s">
        <v>534</v>
      </c>
    </row>
    <row r="370" spans="1:3" ht="14.25" thickBot="1" x14ac:dyDescent="0.25">
      <c r="A370" s="68">
        <v>48133</v>
      </c>
      <c r="B370" s="69" t="s">
        <v>539</v>
      </c>
      <c r="C370" s="70" t="s">
        <v>535</v>
      </c>
    </row>
    <row r="371" spans="1:3" ht="13.5" thickBot="1" x14ac:dyDescent="0.25">
      <c r="A371" s="68">
        <v>48154</v>
      </c>
      <c r="B371" s="69" t="s">
        <v>539</v>
      </c>
      <c r="C371" s="70" t="s">
        <v>536</v>
      </c>
    </row>
    <row r="372" spans="1:3" ht="13.5" thickBot="1" x14ac:dyDescent="0.25">
      <c r="A372" s="68">
        <v>48167</v>
      </c>
      <c r="B372" s="69" t="s">
        <v>529</v>
      </c>
      <c r="C372" s="70" t="s">
        <v>537</v>
      </c>
    </row>
    <row r="373" spans="1:3" ht="13.5" thickBot="1" x14ac:dyDescent="0.25">
      <c r="A373" s="68">
        <v>48207</v>
      </c>
      <c r="B373" s="69" t="s">
        <v>532</v>
      </c>
      <c r="C373" s="70" t="s">
        <v>538</v>
      </c>
    </row>
    <row r="374" spans="1:3" ht="13.5" thickBot="1" x14ac:dyDescent="0.25">
      <c r="A374" s="71">
        <v>48214</v>
      </c>
      <c r="B374" s="72" t="s">
        <v>532</v>
      </c>
      <c r="C374" s="73" t="s">
        <v>524</v>
      </c>
    </row>
    <row r="375" spans="1:3" ht="13.5" thickBot="1" x14ac:dyDescent="0.25">
      <c r="A375" s="74">
        <v>48253</v>
      </c>
      <c r="B375" s="75" t="s">
        <v>523</v>
      </c>
      <c r="C375" s="76" t="s">
        <v>525</v>
      </c>
    </row>
    <row r="376" spans="1:3" ht="13.5" thickBot="1" x14ac:dyDescent="0.25">
      <c r="A376" s="74">
        <v>48254</v>
      </c>
      <c r="B376" s="75" t="s">
        <v>526</v>
      </c>
      <c r="C376" s="76" t="s">
        <v>525</v>
      </c>
    </row>
    <row r="377" spans="1:3" ht="13.5" thickBot="1" x14ac:dyDescent="0.25">
      <c r="A377" s="74">
        <v>48299</v>
      </c>
      <c r="B377" s="75" t="s">
        <v>527</v>
      </c>
      <c r="C377" s="76" t="s">
        <v>528</v>
      </c>
    </row>
    <row r="378" spans="1:3" ht="13.5" thickBot="1" x14ac:dyDescent="0.25">
      <c r="A378" s="74">
        <v>48325</v>
      </c>
      <c r="B378" s="75" t="s">
        <v>540</v>
      </c>
      <c r="C378" s="76" t="s">
        <v>530</v>
      </c>
    </row>
    <row r="379" spans="1:3" ht="13.5" thickBot="1" x14ac:dyDescent="0.25">
      <c r="A379" s="74">
        <v>48335</v>
      </c>
      <c r="B379" s="75" t="s">
        <v>529</v>
      </c>
      <c r="C379" s="76" t="s">
        <v>531</v>
      </c>
    </row>
    <row r="380" spans="1:3" ht="13.5" thickBot="1" x14ac:dyDescent="0.25">
      <c r="A380" s="74">
        <v>48361</v>
      </c>
      <c r="B380" s="75" t="s">
        <v>532</v>
      </c>
      <c r="C380" s="76" t="s">
        <v>533</v>
      </c>
    </row>
    <row r="381" spans="1:3" ht="13.5" thickBot="1" x14ac:dyDescent="0.25">
      <c r="A381" s="74">
        <v>48464</v>
      </c>
      <c r="B381" s="75" t="s">
        <v>526</v>
      </c>
      <c r="C381" s="76" t="s">
        <v>534</v>
      </c>
    </row>
    <row r="382" spans="1:3" ht="14.25" thickBot="1" x14ac:dyDescent="0.25">
      <c r="A382" s="74">
        <v>48499</v>
      </c>
      <c r="B382" s="75" t="s">
        <v>526</v>
      </c>
      <c r="C382" s="76" t="s">
        <v>535</v>
      </c>
    </row>
    <row r="383" spans="1:3" ht="13.5" thickBot="1" x14ac:dyDescent="0.25">
      <c r="A383" s="74">
        <v>48520</v>
      </c>
      <c r="B383" s="75" t="s">
        <v>526</v>
      </c>
      <c r="C383" s="76" t="s">
        <v>536</v>
      </c>
    </row>
    <row r="384" spans="1:3" ht="13.5" thickBot="1" x14ac:dyDescent="0.25">
      <c r="A384" s="74">
        <v>48533</v>
      </c>
      <c r="B384" s="75" t="s">
        <v>523</v>
      </c>
      <c r="C384" s="76" t="s">
        <v>537</v>
      </c>
    </row>
    <row r="385" spans="1:3" ht="13.5" thickBot="1" x14ac:dyDescent="0.25">
      <c r="A385" s="74">
        <v>48573</v>
      </c>
      <c r="B385" s="75" t="s">
        <v>529</v>
      </c>
      <c r="C385" s="76" t="s">
        <v>538</v>
      </c>
    </row>
    <row r="386" spans="1:3" ht="13.5" thickBot="1" x14ac:dyDescent="0.25">
      <c r="A386" s="71">
        <v>48580</v>
      </c>
      <c r="B386" s="72" t="s">
        <v>529</v>
      </c>
      <c r="C386" s="73" t="s">
        <v>524</v>
      </c>
    </row>
    <row r="387" spans="1:3" ht="13.5" thickBot="1" x14ac:dyDescent="0.25">
      <c r="A387" s="68">
        <v>48638</v>
      </c>
      <c r="B387" s="69" t="s">
        <v>523</v>
      </c>
      <c r="C387" s="70" t="s">
        <v>525</v>
      </c>
    </row>
    <row r="388" spans="1:3" ht="13.5" thickBot="1" x14ac:dyDescent="0.25">
      <c r="A388" s="68">
        <v>48639</v>
      </c>
      <c r="B388" s="69" t="s">
        <v>526</v>
      </c>
      <c r="C388" s="70" t="s">
        <v>525</v>
      </c>
    </row>
    <row r="389" spans="1:3" ht="13.5" thickBot="1" x14ac:dyDescent="0.25">
      <c r="A389" s="68">
        <v>48684</v>
      </c>
      <c r="B389" s="69" t="s">
        <v>527</v>
      </c>
      <c r="C389" s="70" t="s">
        <v>528</v>
      </c>
    </row>
    <row r="390" spans="1:3" ht="13.5" thickBot="1" x14ac:dyDescent="0.25">
      <c r="A390" s="68">
        <v>48690</v>
      </c>
      <c r="B390" s="69" t="s">
        <v>532</v>
      </c>
      <c r="C390" s="70" t="s">
        <v>530</v>
      </c>
    </row>
    <row r="391" spans="1:3" ht="13.5" thickBot="1" x14ac:dyDescent="0.25">
      <c r="A391" s="68">
        <v>48700</v>
      </c>
      <c r="B391" s="69" t="s">
        <v>539</v>
      </c>
      <c r="C391" s="70" t="s">
        <v>531</v>
      </c>
    </row>
    <row r="392" spans="1:3" ht="13.5" thickBot="1" x14ac:dyDescent="0.25">
      <c r="A392" s="68">
        <v>48746</v>
      </c>
      <c r="B392" s="69" t="s">
        <v>532</v>
      </c>
      <c r="C392" s="70" t="s">
        <v>533</v>
      </c>
    </row>
    <row r="393" spans="1:3" ht="13.5" thickBot="1" x14ac:dyDescent="0.25">
      <c r="A393" s="68">
        <v>48829</v>
      </c>
      <c r="B393" s="69" t="s">
        <v>540</v>
      </c>
      <c r="C393" s="70" t="s">
        <v>534</v>
      </c>
    </row>
    <row r="394" spans="1:3" ht="14.25" thickBot="1" x14ac:dyDescent="0.25">
      <c r="A394" s="68">
        <v>48864</v>
      </c>
      <c r="B394" s="69" t="s">
        <v>540</v>
      </c>
      <c r="C394" s="70" t="s">
        <v>535</v>
      </c>
    </row>
    <row r="395" spans="1:3" ht="13.5" thickBot="1" x14ac:dyDescent="0.25">
      <c r="A395" s="68">
        <v>48885</v>
      </c>
      <c r="B395" s="69" t="s">
        <v>540</v>
      </c>
      <c r="C395" s="70" t="s">
        <v>536</v>
      </c>
    </row>
    <row r="396" spans="1:3" ht="13.5" thickBot="1" x14ac:dyDescent="0.25">
      <c r="A396" s="68">
        <v>48898</v>
      </c>
      <c r="B396" s="69" t="s">
        <v>526</v>
      </c>
      <c r="C396" s="70" t="s">
        <v>537</v>
      </c>
    </row>
    <row r="397" spans="1:3" ht="13.5" thickBot="1" x14ac:dyDescent="0.25">
      <c r="A397" s="68">
        <v>48938</v>
      </c>
      <c r="B397" s="69" t="s">
        <v>539</v>
      </c>
      <c r="C397" s="70" t="s">
        <v>538</v>
      </c>
    </row>
    <row r="398" spans="1:3" ht="13.5" thickBot="1" x14ac:dyDescent="0.25">
      <c r="A398" s="71">
        <v>48945</v>
      </c>
      <c r="B398" s="72" t="s">
        <v>539</v>
      </c>
      <c r="C398" s="73" t="s">
        <v>524</v>
      </c>
    </row>
    <row r="399" spans="1:3" ht="13.5" thickBot="1" x14ac:dyDescent="0.25">
      <c r="A399" s="74">
        <v>48995</v>
      </c>
      <c r="B399" s="75" t="s">
        <v>523</v>
      </c>
      <c r="C399" s="76" t="s">
        <v>525</v>
      </c>
    </row>
    <row r="400" spans="1:3" ht="13.5" thickBot="1" x14ac:dyDescent="0.25">
      <c r="A400" s="74">
        <v>48996</v>
      </c>
      <c r="B400" s="75" t="s">
        <v>526</v>
      </c>
      <c r="C400" s="76" t="s">
        <v>525</v>
      </c>
    </row>
    <row r="401" spans="1:3" ht="13.5" thickBot="1" x14ac:dyDescent="0.25">
      <c r="A401" s="74">
        <v>49041</v>
      </c>
      <c r="B401" s="75" t="s">
        <v>527</v>
      </c>
      <c r="C401" s="76" t="s">
        <v>528</v>
      </c>
    </row>
    <row r="402" spans="1:3" ht="13.5" thickBot="1" x14ac:dyDescent="0.25">
      <c r="A402" s="74">
        <v>49055</v>
      </c>
      <c r="B402" s="75" t="s">
        <v>527</v>
      </c>
      <c r="C402" s="76" t="s">
        <v>530</v>
      </c>
    </row>
    <row r="403" spans="1:3" ht="13.5" thickBot="1" x14ac:dyDescent="0.25">
      <c r="A403" s="74">
        <v>49065</v>
      </c>
      <c r="B403" s="75" t="s">
        <v>523</v>
      </c>
      <c r="C403" s="76" t="s">
        <v>531</v>
      </c>
    </row>
    <row r="404" spans="1:3" ht="13.5" thickBot="1" x14ac:dyDescent="0.25">
      <c r="A404" s="74">
        <v>49103</v>
      </c>
      <c r="B404" s="75" t="s">
        <v>532</v>
      </c>
      <c r="C404" s="76" t="s">
        <v>533</v>
      </c>
    </row>
    <row r="405" spans="1:3" ht="13.5" thickBot="1" x14ac:dyDescent="0.25">
      <c r="A405" s="74">
        <v>49194</v>
      </c>
      <c r="B405" s="75" t="s">
        <v>532</v>
      </c>
      <c r="C405" s="76" t="s">
        <v>534</v>
      </c>
    </row>
    <row r="406" spans="1:3" ht="14.25" thickBot="1" x14ac:dyDescent="0.25">
      <c r="A406" s="74">
        <v>49229</v>
      </c>
      <c r="B406" s="75" t="s">
        <v>532</v>
      </c>
      <c r="C406" s="76" t="s">
        <v>535</v>
      </c>
    </row>
    <row r="407" spans="1:3" ht="13.5" thickBot="1" x14ac:dyDescent="0.25">
      <c r="A407" s="74">
        <v>49250</v>
      </c>
      <c r="B407" s="75" t="s">
        <v>532</v>
      </c>
      <c r="C407" s="76" t="s">
        <v>536</v>
      </c>
    </row>
    <row r="408" spans="1:3" ht="13.5" thickBot="1" x14ac:dyDescent="0.25">
      <c r="A408" s="74">
        <v>49263</v>
      </c>
      <c r="B408" s="75" t="s">
        <v>540</v>
      </c>
      <c r="C408" s="76" t="s">
        <v>537</v>
      </c>
    </row>
    <row r="409" spans="1:3" ht="13.5" thickBot="1" x14ac:dyDescent="0.25">
      <c r="A409" s="74">
        <v>49303</v>
      </c>
      <c r="B409" s="75" t="s">
        <v>523</v>
      </c>
      <c r="C409" s="76" t="s">
        <v>538</v>
      </c>
    </row>
    <row r="410" spans="1:3" ht="13.5" thickBot="1" x14ac:dyDescent="0.25">
      <c r="A410" s="77">
        <v>49310</v>
      </c>
      <c r="B410" s="78" t="s">
        <v>523</v>
      </c>
      <c r="C410" s="79" t="s">
        <v>524</v>
      </c>
    </row>
    <row r="411" spans="1:3" ht="13.5" thickBot="1" x14ac:dyDescent="0.25">
      <c r="A411" s="68">
        <v>49345</v>
      </c>
      <c r="B411" s="69" t="s">
        <v>523</v>
      </c>
      <c r="C411" s="70" t="s">
        <v>525</v>
      </c>
    </row>
    <row r="412" spans="1:3" ht="13.5" thickBot="1" x14ac:dyDescent="0.25">
      <c r="A412" s="68">
        <v>49346</v>
      </c>
      <c r="B412" s="69" t="s">
        <v>526</v>
      </c>
      <c r="C412" s="70" t="s">
        <v>525</v>
      </c>
    </row>
    <row r="413" spans="1:3" ht="13.5" thickBot="1" x14ac:dyDescent="0.25">
      <c r="A413" s="68">
        <v>49391</v>
      </c>
      <c r="B413" s="69" t="s">
        <v>527</v>
      </c>
      <c r="C413" s="70" t="s">
        <v>528</v>
      </c>
    </row>
    <row r="414" spans="1:3" ht="13.5" thickBot="1" x14ac:dyDescent="0.25">
      <c r="A414" s="68">
        <v>49420</v>
      </c>
      <c r="B414" s="69" t="s">
        <v>529</v>
      </c>
      <c r="C414" s="70" t="s">
        <v>530</v>
      </c>
    </row>
    <row r="415" spans="1:3" ht="13.5" thickBot="1" x14ac:dyDescent="0.25">
      <c r="A415" s="68">
        <v>49430</v>
      </c>
      <c r="B415" s="69" t="s">
        <v>526</v>
      </c>
      <c r="C415" s="70" t="s">
        <v>531</v>
      </c>
    </row>
    <row r="416" spans="1:3" ht="13.5" thickBot="1" x14ac:dyDescent="0.25">
      <c r="A416" s="68">
        <v>49453</v>
      </c>
      <c r="B416" s="69" t="s">
        <v>532</v>
      </c>
      <c r="C416" s="70" t="s">
        <v>533</v>
      </c>
    </row>
    <row r="417" spans="1:3" ht="13.5" thickBot="1" x14ac:dyDescent="0.25">
      <c r="A417" s="68">
        <v>49559</v>
      </c>
      <c r="B417" s="69" t="s">
        <v>527</v>
      </c>
      <c r="C417" s="70" t="s">
        <v>534</v>
      </c>
    </row>
    <row r="418" spans="1:3" ht="14.25" thickBot="1" x14ac:dyDescent="0.25">
      <c r="A418" s="68">
        <v>49594</v>
      </c>
      <c r="B418" s="69" t="s">
        <v>527</v>
      </c>
      <c r="C418" s="70" t="s">
        <v>535</v>
      </c>
    </row>
    <row r="419" spans="1:3" ht="13.5" thickBot="1" x14ac:dyDescent="0.25">
      <c r="A419" s="68">
        <v>49615</v>
      </c>
      <c r="B419" s="69" t="s">
        <v>527</v>
      </c>
      <c r="C419" s="70" t="s">
        <v>536</v>
      </c>
    </row>
    <row r="420" spans="1:3" ht="13.5" thickBot="1" x14ac:dyDescent="0.25">
      <c r="A420" s="68">
        <v>49628</v>
      </c>
      <c r="B420" s="69" t="s">
        <v>532</v>
      </c>
      <c r="C420" s="70" t="s">
        <v>537</v>
      </c>
    </row>
    <row r="421" spans="1:3" ht="13.5" thickBot="1" x14ac:dyDescent="0.25">
      <c r="A421" s="68">
        <v>49668</v>
      </c>
      <c r="B421" s="69" t="s">
        <v>526</v>
      </c>
      <c r="C421" s="70" t="s">
        <v>538</v>
      </c>
    </row>
    <row r="422" spans="1:3" ht="13.5" thickBot="1" x14ac:dyDescent="0.25">
      <c r="A422" s="71">
        <v>49675</v>
      </c>
      <c r="B422" s="72" t="s">
        <v>526</v>
      </c>
      <c r="C422" s="73" t="s">
        <v>524</v>
      </c>
    </row>
    <row r="423" spans="1:3" ht="13.5" thickBot="1" x14ac:dyDescent="0.25">
      <c r="A423" s="74">
        <v>49730</v>
      </c>
      <c r="B423" s="75" t="s">
        <v>523</v>
      </c>
      <c r="C423" s="76" t="s">
        <v>525</v>
      </c>
    </row>
    <row r="424" spans="1:3" ht="13.5" thickBot="1" x14ac:dyDescent="0.25">
      <c r="A424" s="74">
        <v>49731</v>
      </c>
      <c r="B424" s="75" t="s">
        <v>526</v>
      </c>
      <c r="C424" s="76" t="s">
        <v>525</v>
      </c>
    </row>
    <row r="425" spans="1:3" ht="13.5" thickBot="1" x14ac:dyDescent="0.25">
      <c r="A425" s="74">
        <v>49776</v>
      </c>
      <c r="B425" s="75" t="s">
        <v>527</v>
      </c>
      <c r="C425" s="76" t="s">
        <v>528</v>
      </c>
    </row>
    <row r="426" spans="1:3" ht="13.5" thickBot="1" x14ac:dyDescent="0.25">
      <c r="A426" s="74">
        <v>49786</v>
      </c>
      <c r="B426" s="75" t="s">
        <v>523</v>
      </c>
      <c r="C426" s="76" t="s">
        <v>530</v>
      </c>
    </row>
    <row r="427" spans="1:3" ht="13.5" thickBot="1" x14ac:dyDescent="0.25">
      <c r="A427" s="74">
        <v>49796</v>
      </c>
      <c r="B427" s="75" t="s">
        <v>532</v>
      </c>
      <c r="C427" s="76" t="s">
        <v>531</v>
      </c>
    </row>
    <row r="428" spans="1:3" ht="13.5" thickBot="1" x14ac:dyDescent="0.25">
      <c r="A428" s="74">
        <v>49838</v>
      </c>
      <c r="B428" s="75" t="s">
        <v>532</v>
      </c>
      <c r="C428" s="76" t="s">
        <v>533</v>
      </c>
    </row>
    <row r="429" spans="1:3" ht="13.5" thickBot="1" x14ac:dyDescent="0.25">
      <c r="A429" s="74">
        <v>49925</v>
      </c>
      <c r="B429" s="75" t="s">
        <v>539</v>
      </c>
      <c r="C429" s="76" t="s">
        <v>534</v>
      </c>
    </row>
    <row r="430" spans="1:3" ht="14.25" thickBot="1" x14ac:dyDescent="0.25">
      <c r="A430" s="74">
        <v>49960</v>
      </c>
      <c r="B430" s="75" t="s">
        <v>539</v>
      </c>
      <c r="C430" s="76" t="s">
        <v>535</v>
      </c>
    </row>
    <row r="431" spans="1:3" ht="13.5" thickBot="1" x14ac:dyDescent="0.25">
      <c r="A431" s="74">
        <v>49981</v>
      </c>
      <c r="B431" s="75" t="s">
        <v>539</v>
      </c>
      <c r="C431" s="76" t="s">
        <v>536</v>
      </c>
    </row>
    <row r="432" spans="1:3" ht="13.5" thickBot="1" x14ac:dyDescent="0.25">
      <c r="A432" s="74">
        <v>49994</v>
      </c>
      <c r="B432" s="75" t="s">
        <v>529</v>
      </c>
      <c r="C432" s="76" t="s">
        <v>537</v>
      </c>
    </row>
    <row r="433" spans="1:3" ht="13.5" thickBot="1" x14ac:dyDescent="0.25">
      <c r="A433" s="74">
        <v>50034</v>
      </c>
      <c r="B433" s="75" t="s">
        <v>532</v>
      </c>
      <c r="C433" s="76" t="s">
        <v>538</v>
      </c>
    </row>
    <row r="434" spans="1:3" ht="13.5" thickBot="1" x14ac:dyDescent="0.25">
      <c r="A434" s="77">
        <v>50041</v>
      </c>
      <c r="B434" s="78" t="s">
        <v>532</v>
      </c>
      <c r="C434" s="79" t="s">
        <v>524</v>
      </c>
    </row>
    <row r="435" spans="1:3" ht="13.5" thickBot="1" x14ac:dyDescent="0.25">
      <c r="A435" s="68">
        <v>50087</v>
      </c>
      <c r="B435" s="69" t="s">
        <v>523</v>
      </c>
      <c r="C435" s="70" t="s">
        <v>525</v>
      </c>
    </row>
    <row r="436" spans="1:3" ht="13.5" thickBot="1" x14ac:dyDescent="0.25">
      <c r="A436" s="68">
        <v>50088</v>
      </c>
      <c r="B436" s="69" t="s">
        <v>526</v>
      </c>
      <c r="C436" s="70" t="s">
        <v>525</v>
      </c>
    </row>
    <row r="437" spans="1:3" ht="13.5" thickBot="1" x14ac:dyDescent="0.25">
      <c r="A437" s="68">
        <v>50133</v>
      </c>
      <c r="B437" s="69" t="s">
        <v>527</v>
      </c>
      <c r="C437" s="70" t="s">
        <v>528</v>
      </c>
    </row>
    <row r="438" spans="1:3" ht="13.5" thickBot="1" x14ac:dyDescent="0.25">
      <c r="A438" s="68">
        <v>50151</v>
      </c>
      <c r="B438" s="69" t="s">
        <v>526</v>
      </c>
      <c r="C438" s="70" t="s">
        <v>530</v>
      </c>
    </row>
    <row r="439" spans="1:3" ht="13.5" thickBot="1" x14ac:dyDescent="0.25">
      <c r="A439" s="68">
        <v>50161</v>
      </c>
      <c r="B439" s="69" t="s">
        <v>527</v>
      </c>
      <c r="C439" s="70" t="s">
        <v>531</v>
      </c>
    </row>
    <row r="440" spans="1:3" ht="13.5" thickBot="1" x14ac:dyDescent="0.25">
      <c r="A440" s="68">
        <v>50195</v>
      </c>
      <c r="B440" s="69" t="s">
        <v>532</v>
      </c>
      <c r="C440" s="70" t="s">
        <v>533</v>
      </c>
    </row>
    <row r="441" spans="1:3" ht="13.5" thickBot="1" x14ac:dyDescent="0.25">
      <c r="A441" s="68">
        <v>50290</v>
      </c>
      <c r="B441" s="69" t="s">
        <v>523</v>
      </c>
      <c r="C441" s="70" t="s">
        <v>534</v>
      </c>
    </row>
    <row r="442" spans="1:3" ht="14.25" thickBot="1" x14ac:dyDescent="0.25">
      <c r="A442" s="68">
        <v>50325</v>
      </c>
      <c r="B442" s="69" t="s">
        <v>523</v>
      </c>
      <c r="C442" s="70" t="s">
        <v>535</v>
      </c>
    </row>
    <row r="443" spans="1:3" ht="13.5" thickBot="1" x14ac:dyDescent="0.25">
      <c r="A443" s="68">
        <v>50346</v>
      </c>
      <c r="B443" s="69" t="s">
        <v>523</v>
      </c>
      <c r="C443" s="70" t="s">
        <v>536</v>
      </c>
    </row>
    <row r="444" spans="1:3" ht="13.5" thickBot="1" x14ac:dyDescent="0.25">
      <c r="A444" s="68">
        <v>50359</v>
      </c>
      <c r="B444" s="69" t="s">
        <v>539</v>
      </c>
      <c r="C444" s="70" t="s">
        <v>537</v>
      </c>
    </row>
    <row r="445" spans="1:3" ht="13.5" thickBot="1" x14ac:dyDescent="0.25">
      <c r="A445" s="68">
        <v>50399</v>
      </c>
      <c r="B445" s="69" t="s">
        <v>527</v>
      </c>
      <c r="C445" s="70" t="s">
        <v>538</v>
      </c>
    </row>
    <row r="446" spans="1:3" ht="13.5" thickBot="1" x14ac:dyDescent="0.25">
      <c r="A446" s="71">
        <v>50406</v>
      </c>
      <c r="B446" s="72" t="s">
        <v>527</v>
      </c>
      <c r="C446" s="73" t="s">
        <v>524</v>
      </c>
    </row>
    <row r="447" spans="1:3" ht="13.5" thickBot="1" x14ac:dyDescent="0.25">
      <c r="A447" s="74">
        <v>50472</v>
      </c>
      <c r="B447" s="75" t="s">
        <v>523</v>
      </c>
      <c r="C447" s="76" t="s">
        <v>525</v>
      </c>
    </row>
    <row r="448" spans="1:3" ht="13.5" thickBot="1" x14ac:dyDescent="0.25">
      <c r="A448" s="74">
        <v>50473</v>
      </c>
      <c r="B448" s="75" t="s">
        <v>526</v>
      </c>
      <c r="C448" s="76" t="s">
        <v>525</v>
      </c>
    </row>
    <row r="449" spans="1:3" ht="13.5" thickBot="1" x14ac:dyDescent="0.25">
      <c r="A449" s="74">
        <v>50516</v>
      </c>
      <c r="B449" s="75" t="s">
        <v>540</v>
      </c>
      <c r="C449" s="76" t="s">
        <v>530</v>
      </c>
    </row>
    <row r="450" spans="1:3" ht="13.5" thickBot="1" x14ac:dyDescent="0.25">
      <c r="A450" s="74">
        <v>50518</v>
      </c>
      <c r="B450" s="75" t="s">
        <v>527</v>
      </c>
      <c r="C450" s="76" t="s">
        <v>528</v>
      </c>
    </row>
    <row r="451" spans="1:3" ht="13.5" thickBot="1" x14ac:dyDescent="0.25">
      <c r="A451" s="74">
        <v>50526</v>
      </c>
      <c r="B451" s="75" t="s">
        <v>529</v>
      </c>
      <c r="C451" s="76" t="s">
        <v>531</v>
      </c>
    </row>
    <row r="452" spans="1:3" ht="13.5" thickBot="1" x14ac:dyDescent="0.25">
      <c r="A452" s="74">
        <v>50580</v>
      </c>
      <c r="B452" s="75" t="s">
        <v>532</v>
      </c>
      <c r="C452" s="76" t="s">
        <v>533</v>
      </c>
    </row>
    <row r="453" spans="1:3" ht="13.5" thickBot="1" x14ac:dyDescent="0.25">
      <c r="A453" s="74">
        <v>50655</v>
      </c>
      <c r="B453" s="75" t="s">
        <v>526</v>
      </c>
      <c r="C453" s="76" t="s">
        <v>534</v>
      </c>
    </row>
    <row r="454" spans="1:3" ht="14.25" thickBot="1" x14ac:dyDescent="0.25">
      <c r="A454" s="74">
        <v>50690</v>
      </c>
      <c r="B454" s="75" t="s">
        <v>526</v>
      </c>
      <c r="C454" s="76" t="s">
        <v>535</v>
      </c>
    </row>
    <row r="455" spans="1:3" ht="13.5" thickBot="1" x14ac:dyDescent="0.25">
      <c r="A455" s="74">
        <v>50711</v>
      </c>
      <c r="B455" s="75" t="s">
        <v>526</v>
      </c>
      <c r="C455" s="76" t="s">
        <v>536</v>
      </c>
    </row>
    <row r="456" spans="1:3" ht="13.5" thickBot="1" x14ac:dyDescent="0.25">
      <c r="A456" s="74">
        <v>50724</v>
      </c>
      <c r="B456" s="75" t="s">
        <v>523</v>
      </c>
      <c r="C456" s="76" t="s">
        <v>537</v>
      </c>
    </row>
    <row r="457" spans="1:3" ht="13.5" thickBot="1" x14ac:dyDescent="0.25">
      <c r="A457" s="74">
        <v>50764</v>
      </c>
      <c r="B457" s="75" t="s">
        <v>529</v>
      </c>
      <c r="C457" s="76" t="s">
        <v>538</v>
      </c>
    </row>
    <row r="458" spans="1:3" ht="13.5" thickBot="1" x14ac:dyDescent="0.25">
      <c r="A458" s="77">
        <v>50771</v>
      </c>
      <c r="B458" s="78" t="s">
        <v>529</v>
      </c>
      <c r="C458" s="79" t="s">
        <v>524</v>
      </c>
    </row>
    <row r="459" spans="1:3" ht="13.5" thickBot="1" x14ac:dyDescent="0.25">
      <c r="A459" s="68">
        <v>50822</v>
      </c>
      <c r="B459" s="69" t="s">
        <v>523</v>
      </c>
      <c r="C459" s="70" t="s">
        <v>525</v>
      </c>
    </row>
    <row r="460" spans="1:3" ht="13.5" thickBot="1" x14ac:dyDescent="0.25">
      <c r="A460" s="68">
        <v>50823</v>
      </c>
      <c r="B460" s="69" t="s">
        <v>526</v>
      </c>
      <c r="C460" s="70" t="s">
        <v>525</v>
      </c>
    </row>
    <row r="461" spans="1:3" ht="13.5" thickBot="1" x14ac:dyDescent="0.25">
      <c r="A461" s="68">
        <v>50868</v>
      </c>
      <c r="B461" s="69" t="s">
        <v>527</v>
      </c>
      <c r="C461" s="70" t="s">
        <v>528</v>
      </c>
    </row>
    <row r="462" spans="1:3" ht="13.5" thickBot="1" x14ac:dyDescent="0.25">
      <c r="A462" s="68">
        <v>50881</v>
      </c>
      <c r="B462" s="69" t="s">
        <v>532</v>
      </c>
      <c r="C462" s="70" t="s">
        <v>530</v>
      </c>
    </row>
    <row r="463" spans="1:3" ht="13.5" thickBot="1" x14ac:dyDescent="0.25">
      <c r="A463" s="68">
        <v>50891</v>
      </c>
      <c r="B463" s="69" t="s">
        <v>539</v>
      </c>
      <c r="C463" s="70" t="s">
        <v>531</v>
      </c>
    </row>
    <row r="464" spans="1:3" ht="13.5" thickBot="1" x14ac:dyDescent="0.25">
      <c r="A464" s="68">
        <v>50930</v>
      </c>
      <c r="B464" s="69" t="s">
        <v>532</v>
      </c>
      <c r="C464" s="70" t="s">
        <v>533</v>
      </c>
    </row>
    <row r="465" spans="1:3" ht="13.5" thickBot="1" x14ac:dyDescent="0.25">
      <c r="A465" s="68">
        <v>51020</v>
      </c>
      <c r="B465" s="69" t="s">
        <v>540</v>
      </c>
      <c r="C465" s="70" t="s">
        <v>534</v>
      </c>
    </row>
    <row r="466" spans="1:3" ht="14.25" thickBot="1" x14ac:dyDescent="0.25">
      <c r="A466" s="68">
        <v>51055</v>
      </c>
      <c r="B466" s="69" t="s">
        <v>540</v>
      </c>
      <c r="C466" s="70" t="s">
        <v>535</v>
      </c>
    </row>
    <row r="467" spans="1:3" ht="13.5" thickBot="1" x14ac:dyDescent="0.25">
      <c r="A467" s="68">
        <v>51076</v>
      </c>
      <c r="B467" s="69" t="s">
        <v>540</v>
      </c>
      <c r="C467" s="70" t="s">
        <v>536</v>
      </c>
    </row>
    <row r="468" spans="1:3" ht="13.5" thickBot="1" x14ac:dyDescent="0.25">
      <c r="A468" s="68">
        <v>51089</v>
      </c>
      <c r="B468" s="69" t="s">
        <v>526</v>
      </c>
      <c r="C468" s="70" t="s">
        <v>537</v>
      </c>
    </row>
    <row r="469" spans="1:3" ht="13.5" thickBot="1" x14ac:dyDescent="0.25">
      <c r="A469" s="68">
        <v>51129</v>
      </c>
      <c r="B469" s="69" t="s">
        <v>539</v>
      </c>
      <c r="C469" s="70" t="s">
        <v>538</v>
      </c>
    </row>
    <row r="470" spans="1:3" ht="13.5" thickBot="1" x14ac:dyDescent="0.25">
      <c r="A470" s="71">
        <v>51136</v>
      </c>
      <c r="B470" s="72" t="s">
        <v>539</v>
      </c>
      <c r="C470" s="73" t="s">
        <v>524</v>
      </c>
    </row>
    <row r="471" spans="1:3" ht="13.5" thickBot="1" x14ac:dyDescent="0.25">
      <c r="A471" s="74">
        <v>51179</v>
      </c>
      <c r="B471" s="75" t="s">
        <v>523</v>
      </c>
      <c r="C471" s="76" t="s">
        <v>525</v>
      </c>
    </row>
    <row r="472" spans="1:3" ht="13.5" thickBot="1" x14ac:dyDescent="0.25">
      <c r="A472" s="74">
        <v>51180</v>
      </c>
      <c r="B472" s="75" t="s">
        <v>526</v>
      </c>
      <c r="C472" s="76" t="s">
        <v>525</v>
      </c>
    </row>
    <row r="473" spans="1:3" ht="13.5" thickBot="1" x14ac:dyDescent="0.25">
      <c r="A473" s="74">
        <v>51225</v>
      </c>
      <c r="B473" s="75" t="s">
        <v>527</v>
      </c>
      <c r="C473" s="76" t="s">
        <v>528</v>
      </c>
    </row>
    <row r="474" spans="1:3" ht="13.5" thickBot="1" x14ac:dyDescent="0.25">
      <c r="A474" s="74">
        <v>51247</v>
      </c>
      <c r="B474" s="75" t="s">
        <v>529</v>
      </c>
      <c r="C474" s="76" t="s">
        <v>530</v>
      </c>
    </row>
    <row r="475" spans="1:3" ht="13.5" thickBot="1" x14ac:dyDescent="0.25">
      <c r="A475" s="74">
        <v>51257</v>
      </c>
      <c r="B475" s="75" t="s">
        <v>526</v>
      </c>
      <c r="C475" s="76" t="s">
        <v>531</v>
      </c>
    </row>
    <row r="476" spans="1:3" ht="13.5" thickBot="1" x14ac:dyDescent="0.25">
      <c r="A476" s="74">
        <v>51287</v>
      </c>
      <c r="B476" s="75" t="s">
        <v>532</v>
      </c>
      <c r="C476" s="76" t="s">
        <v>533</v>
      </c>
    </row>
    <row r="477" spans="1:3" ht="13.5" thickBot="1" x14ac:dyDescent="0.25">
      <c r="A477" s="74">
        <v>51386</v>
      </c>
      <c r="B477" s="75" t="s">
        <v>527</v>
      </c>
      <c r="C477" s="76" t="s">
        <v>534</v>
      </c>
    </row>
    <row r="478" spans="1:3" ht="14.25" thickBot="1" x14ac:dyDescent="0.25">
      <c r="A478" s="74">
        <v>51421</v>
      </c>
      <c r="B478" s="75" t="s">
        <v>527</v>
      </c>
      <c r="C478" s="76" t="s">
        <v>535</v>
      </c>
    </row>
    <row r="479" spans="1:3" ht="13.5" thickBot="1" x14ac:dyDescent="0.25">
      <c r="A479" s="74">
        <v>51442</v>
      </c>
      <c r="B479" s="75" t="s">
        <v>527</v>
      </c>
      <c r="C479" s="76" t="s">
        <v>536</v>
      </c>
    </row>
    <row r="480" spans="1:3" ht="13.5" thickBot="1" x14ac:dyDescent="0.25">
      <c r="A480" s="74">
        <v>51455</v>
      </c>
      <c r="B480" s="75" t="s">
        <v>532</v>
      </c>
      <c r="C480" s="76" t="s">
        <v>537</v>
      </c>
    </row>
    <row r="481" spans="1:3" ht="13.5" thickBot="1" x14ac:dyDescent="0.25">
      <c r="A481" s="74">
        <v>51495</v>
      </c>
      <c r="B481" s="75" t="s">
        <v>526</v>
      </c>
      <c r="C481" s="76" t="s">
        <v>538</v>
      </c>
    </row>
    <row r="482" spans="1:3" ht="13.5" thickBot="1" x14ac:dyDescent="0.25">
      <c r="A482" s="77">
        <v>51502</v>
      </c>
      <c r="B482" s="78" t="s">
        <v>526</v>
      </c>
      <c r="C482" s="79" t="s">
        <v>524</v>
      </c>
    </row>
    <row r="483" spans="1:3" ht="13.5" thickBot="1" x14ac:dyDescent="0.25">
      <c r="A483" s="68">
        <v>51564</v>
      </c>
      <c r="B483" s="69" t="s">
        <v>523</v>
      </c>
      <c r="C483" s="70" t="s">
        <v>525</v>
      </c>
    </row>
    <row r="484" spans="1:3" ht="13.5" thickBot="1" x14ac:dyDescent="0.25">
      <c r="A484" s="68">
        <v>51565</v>
      </c>
      <c r="B484" s="69" t="s">
        <v>526</v>
      </c>
      <c r="C484" s="70" t="s">
        <v>525</v>
      </c>
    </row>
    <row r="485" spans="1:3" ht="13.5" thickBot="1" x14ac:dyDescent="0.25">
      <c r="A485" s="68">
        <v>51610</v>
      </c>
      <c r="B485" s="69" t="s">
        <v>527</v>
      </c>
      <c r="C485" s="70" t="s">
        <v>528</v>
      </c>
    </row>
    <row r="486" spans="1:3" ht="13.5" thickBot="1" x14ac:dyDescent="0.25">
      <c r="A486" s="68">
        <v>51612</v>
      </c>
      <c r="B486" s="69" t="s">
        <v>539</v>
      </c>
      <c r="C486" s="70" t="s">
        <v>530</v>
      </c>
    </row>
    <row r="487" spans="1:3" ht="13.5" thickBot="1" x14ac:dyDescent="0.25">
      <c r="A487" s="68">
        <v>51622</v>
      </c>
      <c r="B487" s="69" t="s">
        <v>540</v>
      </c>
      <c r="C487" s="70" t="s">
        <v>531</v>
      </c>
    </row>
    <row r="488" spans="1:3" ht="13.5" thickBot="1" x14ac:dyDescent="0.25">
      <c r="A488" s="68">
        <v>51672</v>
      </c>
      <c r="B488" s="69" t="s">
        <v>532</v>
      </c>
      <c r="C488" s="70" t="s">
        <v>533</v>
      </c>
    </row>
    <row r="489" spans="1:3" ht="13.5" thickBot="1" x14ac:dyDescent="0.25">
      <c r="A489" s="68">
        <v>51751</v>
      </c>
      <c r="B489" s="69" t="s">
        <v>529</v>
      </c>
      <c r="C489" s="70" t="s">
        <v>534</v>
      </c>
    </row>
    <row r="490" spans="1:3" ht="14.25" thickBot="1" x14ac:dyDescent="0.25">
      <c r="A490" s="68">
        <v>51786</v>
      </c>
      <c r="B490" s="69" t="s">
        <v>529</v>
      </c>
      <c r="C490" s="70" t="s">
        <v>535</v>
      </c>
    </row>
    <row r="491" spans="1:3" ht="13.5" thickBot="1" x14ac:dyDescent="0.25">
      <c r="A491" s="68">
        <v>51807</v>
      </c>
      <c r="B491" s="69" t="s">
        <v>529</v>
      </c>
      <c r="C491" s="70" t="s">
        <v>536</v>
      </c>
    </row>
    <row r="492" spans="1:3" ht="13.5" thickBot="1" x14ac:dyDescent="0.25">
      <c r="A492" s="68">
        <v>51820</v>
      </c>
      <c r="B492" s="69" t="s">
        <v>527</v>
      </c>
      <c r="C492" s="70" t="s">
        <v>537</v>
      </c>
    </row>
    <row r="493" spans="1:3" ht="13.5" thickBot="1" x14ac:dyDescent="0.25">
      <c r="A493" s="68">
        <v>51860</v>
      </c>
      <c r="B493" s="69" t="s">
        <v>540</v>
      </c>
      <c r="C493" s="70" t="s">
        <v>538</v>
      </c>
    </row>
    <row r="494" spans="1:3" ht="13.5" thickBot="1" x14ac:dyDescent="0.25">
      <c r="A494" s="71">
        <v>51867</v>
      </c>
      <c r="B494" s="72" t="s">
        <v>540</v>
      </c>
      <c r="C494" s="73" t="s">
        <v>524</v>
      </c>
    </row>
    <row r="495" spans="1:3" ht="13.5" thickBot="1" x14ac:dyDescent="0.25">
      <c r="A495" s="74">
        <v>51914</v>
      </c>
      <c r="B495" s="75" t="s">
        <v>523</v>
      </c>
      <c r="C495" s="76" t="s">
        <v>525</v>
      </c>
    </row>
    <row r="496" spans="1:3" ht="13.5" thickBot="1" x14ac:dyDescent="0.25">
      <c r="A496" s="74">
        <v>51915</v>
      </c>
      <c r="B496" s="75" t="s">
        <v>526</v>
      </c>
      <c r="C496" s="76" t="s">
        <v>525</v>
      </c>
    </row>
    <row r="497" spans="1:3" ht="13.5" thickBot="1" x14ac:dyDescent="0.25">
      <c r="A497" s="74">
        <v>51960</v>
      </c>
      <c r="B497" s="75" t="s">
        <v>527</v>
      </c>
      <c r="C497" s="76" t="s">
        <v>528</v>
      </c>
    </row>
    <row r="498" spans="1:3" ht="13.5" thickBot="1" x14ac:dyDescent="0.25">
      <c r="A498" s="74">
        <v>51977</v>
      </c>
      <c r="B498" s="75" t="s">
        <v>523</v>
      </c>
      <c r="C498" s="76" t="s">
        <v>530</v>
      </c>
    </row>
    <row r="499" spans="1:3" ht="13.5" thickBot="1" x14ac:dyDescent="0.25">
      <c r="A499" s="74">
        <v>51987</v>
      </c>
      <c r="B499" s="75" t="s">
        <v>532</v>
      </c>
      <c r="C499" s="76" t="s">
        <v>531</v>
      </c>
    </row>
    <row r="500" spans="1:3" ht="13.5" thickBot="1" x14ac:dyDescent="0.25">
      <c r="A500" s="74">
        <v>52022</v>
      </c>
      <c r="B500" s="75" t="s">
        <v>532</v>
      </c>
      <c r="C500" s="76" t="s">
        <v>533</v>
      </c>
    </row>
    <row r="501" spans="1:3" ht="13.5" thickBot="1" x14ac:dyDescent="0.25">
      <c r="A501" s="74">
        <v>52116</v>
      </c>
      <c r="B501" s="75" t="s">
        <v>539</v>
      </c>
      <c r="C501" s="76" t="s">
        <v>534</v>
      </c>
    </row>
    <row r="502" spans="1:3" ht="14.25" thickBot="1" x14ac:dyDescent="0.25">
      <c r="A502" s="74">
        <v>52151</v>
      </c>
      <c r="B502" s="75" t="s">
        <v>539</v>
      </c>
      <c r="C502" s="76" t="s">
        <v>535</v>
      </c>
    </row>
    <row r="503" spans="1:3" ht="13.5" thickBot="1" x14ac:dyDescent="0.25">
      <c r="A503" s="74">
        <v>52172</v>
      </c>
      <c r="B503" s="75" t="s">
        <v>539</v>
      </c>
      <c r="C503" s="76" t="s">
        <v>536</v>
      </c>
    </row>
    <row r="504" spans="1:3" ht="13.5" thickBot="1" x14ac:dyDescent="0.25">
      <c r="A504" s="74">
        <v>52185</v>
      </c>
      <c r="B504" s="75" t="s">
        <v>529</v>
      </c>
      <c r="C504" s="76" t="s">
        <v>537</v>
      </c>
    </row>
    <row r="505" spans="1:3" ht="13.5" thickBot="1" x14ac:dyDescent="0.25">
      <c r="A505" s="74">
        <v>52225</v>
      </c>
      <c r="B505" s="75" t="s">
        <v>532</v>
      </c>
      <c r="C505" s="76" t="s">
        <v>538</v>
      </c>
    </row>
    <row r="506" spans="1:3" ht="13.5" thickBot="1" x14ac:dyDescent="0.25">
      <c r="A506" s="77">
        <v>52232</v>
      </c>
      <c r="B506" s="78" t="s">
        <v>532</v>
      </c>
      <c r="C506" s="79" t="s">
        <v>524</v>
      </c>
    </row>
    <row r="507" spans="1:3" ht="13.5" thickBot="1" x14ac:dyDescent="0.25">
      <c r="A507" s="68">
        <v>52271</v>
      </c>
      <c r="B507" s="69" t="s">
        <v>523</v>
      </c>
      <c r="C507" s="70" t="s">
        <v>525</v>
      </c>
    </row>
    <row r="508" spans="1:3" ht="13.5" thickBot="1" x14ac:dyDescent="0.25">
      <c r="A508" s="68">
        <v>52272</v>
      </c>
      <c r="B508" s="69" t="s">
        <v>526</v>
      </c>
      <c r="C508" s="70" t="s">
        <v>525</v>
      </c>
    </row>
    <row r="509" spans="1:3" ht="13.5" thickBot="1" x14ac:dyDescent="0.25">
      <c r="A509" s="68">
        <v>52317</v>
      </c>
      <c r="B509" s="69" t="s">
        <v>527</v>
      </c>
      <c r="C509" s="70" t="s">
        <v>528</v>
      </c>
    </row>
    <row r="510" spans="1:3" ht="13.5" thickBot="1" x14ac:dyDescent="0.25">
      <c r="A510" s="68">
        <v>52342</v>
      </c>
      <c r="B510" s="69" t="s">
        <v>526</v>
      </c>
      <c r="C510" s="70" t="s">
        <v>530</v>
      </c>
    </row>
    <row r="511" spans="1:3" ht="13.5" thickBot="1" x14ac:dyDescent="0.25">
      <c r="A511" s="68">
        <v>52352</v>
      </c>
      <c r="B511" s="69" t="s">
        <v>527</v>
      </c>
      <c r="C511" s="70" t="s">
        <v>531</v>
      </c>
    </row>
    <row r="512" spans="1:3" ht="13.5" thickBot="1" x14ac:dyDescent="0.25">
      <c r="A512" s="68">
        <v>52379</v>
      </c>
      <c r="B512" s="69" t="s">
        <v>532</v>
      </c>
      <c r="C512" s="70" t="s">
        <v>533</v>
      </c>
    </row>
    <row r="513" spans="1:3" ht="13.5" thickBot="1" x14ac:dyDescent="0.25">
      <c r="A513" s="68">
        <v>52481</v>
      </c>
      <c r="B513" s="69" t="s">
        <v>523</v>
      </c>
      <c r="C513" s="70" t="s">
        <v>534</v>
      </c>
    </row>
    <row r="514" spans="1:3" ht="14.25" thickBot="1" x14ac:dyDescent="0.25">
      <c r="A514" s="68">
        <v>52516</v>
      </c>
      <c r="B514" s="69" t="s">
        <v>523</v>
      </c>
      <c r="C514" s="70" t="s">
        <v>535</v>
      </c>
    </row>
    <row r="515" spans="1:3" ht="13.5" thickBot="1" x14ac:dyDescent="0.25">
      <c r="A515" s="68">
        <v>52537</v>
      </c>
      <c r="B515" s="69" t="s">
        <v>523</v>
      </c>
      <c r="C515" s="70" t="s">
        <v>536</v>
      </c>
    </row>
    <row r="516" spans="1:3" ht="13.5" thickBot="1" x14ac:dyDescent="0.25">
      <c r="A516" s="68">
        <v>52550</v>
      </c>
      <c r="B516" s="69" t="s">
        <v>539</v>
      </c>
      <c r="C516" s="70" t="s">
        <v>537</v>
      </c>
    </row>
    <row r="517" spans="1:3" ht="13.5" thickBot="1" x14ac:dyDescent="0.25">
      <c r="A517" s="68">
        <v>52590</v>
      </c>
      <c r="B517" s="69" t="s">
        <v>527</v>
      </c>
      <c r="C517" s="70" t="s">
        <v>538</v>
      </c>
    </row>
    <row r="518" spans="1:3" ht="13.5" thickBot="1" x14ac:dyDescent="0.25">
      <c r="A518" s="71">
        <v>52597</v>
      </c>
      <c r="B518" s="72" t="s">
        <v>527</v>
      </c>
      <c r="C518" s="73" t="s">
        <v>524</v>
      </c>
    </row>
    <row r="519" spans="1:3" ht="13.5" thickBot="1" x14ac:dyDescent="0.25">
      <c r="A519" s="74">
        <v>52656</v>
      </c>
      <c r="B519" s="75" t="s">
        <v>523</v>
      </c>
      <c r="C519" s="76" t="s">
        <v>525</v>
      </c>
    </row>
    <row r="520" spans="1:3" ht="13.5" thickBot="1" x14ac:dyDescent="0.25">
      <c r="A520" s="74">
        <v>52657</v>
      </c>
      <c r="B520" s="75" t="s">
        <v>526</v>
      </c>
      <c r="C520" s="76" t="s">
        <v>525</v>
      </c>
    </row>
    <row r="521" spans="1:3" ht="13.5" thickBot="1" x14ac:dyDescent="0.25">
      <c r="A521" s="74">
        <v>52702</v>
      </c>
      <c r="B521" s="75" t="s">
        <v>527</v>
      </c>
      <c r="C521" s="76" t="s">
        <v>528</v>
      </c>
    </row>
    <row r="522" spans="1:3" ht="13.5" thickBot="1" x14ac:dyDescent="0.25">
      <c r="A522" s="74">
        <v>52708</v>
      </c>
      <c r="B522" s="75" t="s">
        <v>532</v>
      </c>
      <c r="C522" s="76" t="s">
        <v>530</v>
      </c>
    </row>
    <row r="523" spans="1:3" ht="13.5" thickBot="1" x14ac:dyDescent="0.25">
      <c r="A523" s="74">
        <v>52718</v>
      </c>
      <c r="B523" s="75" t="s">
        <v>539</v>
      </c>
      <c r="C523" s="76" t="s">
        <v>531</v>
      </c>
    </row>
    <row r="524" spans="1:3" ht="13.5" thickBot="1" x14ac:dyDescent="0.25">
      <c r="A524" s="74">
        <v>52764</v>
      </c>
      <c r="B524" s="75" t="s">
        <v>532</v>
      </c>
      <c r="C524" s="76" t="s">
        <v>533</v>
      </c>
    </row>
    <row r="525" spans="1:3" ht="13.5" thickBot="1" x14ac:dyDescent="0.25">
      <c r="A525" s="74">
        <v>52847</v>
      </c>
      <c r="B525" s="75" t="s">
        <v>540</v>
      </c>
      <c r="C525" s="76" t="s">
        <v>534</v>
      </c>
    </row>
    <row r="526" spans="1:3" ht="14.25" thickBot="1" x14ac:dyDescent="0.25">
      <c r="A526" s="74">
        <v>52882</v>
      </c>
      <c r="B526" s="75" t="s">
        <v>540</v>
      </c>
      <c r="C526" s="76" t="s">
        <v>535</v>
      </c>
    </row>
    <row r="527" spans="1:3" ht="13.5" thickBot="1" x14ac:dyDescent="0.25">
      <c r="A527" s="74">
        <v>52903</v>
      </c>
      <c r="B527" s="75" t="s">
        <v>540</v>
      </c>
      <c r="C527" s="76" t="s">
        <v>536</v>
      </c>
    </row>
    <row r="528" spans="1:3" ht="13.5" thickBot="1" x14ac:dyDescent="0.25">
      <c r="A528" s="74">
        <v>52916</v>
      </c>
      <c r="B528" s="75" t="s">
        <v>526</v>
      </c>
      <c r="C528" s="76" t="s">
        <v>537</v>
      </c>
    </row>
    <row r="529" spans="1:3" ht="13.5" thickBot="1" x14ac:dyDescent="0.25">
      <c r="A529" s="71">
        <v>52956</v>
      </c>
      <c r="B529" s="72" t="s">
        <v>539</v>
      </c>
      <c r="C529" s="73" t="s">
        <v>538</v>
      </c>
    </row>
    <row r="530" spans="1:3" ht="13.5" thickBot="1" x14ac:dyDescent="0.25">
      <c r="A530" s="77">
        <v>52963</v>
      </c>
      <c r="B530" s="78" t="s">
        <v>539</v>
      </c>
      <c r="C530" s="79" t="s">
        <v>524</v>
      </c>
    </row>
    <row r="531" spans="1:3" ht="13.5" thickBot="1" x14ac:dyDescent="0.25">
      <c r="A531" s="68">
        <v>53013</v>
      </c>
      <c r="B531" s="69" t="s">
        <v>523</v>
      </c>
      <c r="C531" s="70" t="s">
        <v>525</v>
      </c>
    </row>
    <row r="532" spans="1:3" ht="13.5" thickBot="1" x14ac:dyDescent="0.25">
      <c r="A532" s="68">
        <v>53014</v>
      </c>
      <c r="B532" s="69" t="s">
        <v>526</v>
      </c>
      <c r="C532" s="70" t="s">
        <v>525</v>
      </c>
    </row>
    <row r="533" spans="1:3" ht="13.5" thickBot="1" x14ac:dyDescent="0.25">
      <c r="A533" s="68">
        <v>53059</v>
      </c>
      <c r="B533" s="69" t="s">
        <v>527</v>
      </c>
      <c r="C533" s="70" t="s">
        <v>528</v>
      </c>
    </row>
    <row r="534" spans="1:3" ht="13.5" thickBot="1" x14ac:dyDescent="0.25">
      <c r="A534" s="68">
        <v>53073</v>
      </c>
      <c r="B534" s="69" t="s">
        <v>527</v>
      </c>
      <c r="C534" s="70" t="s">
        <v>530</v>
      </c>
    </row>
    <row r="535" spans="1:3" ht="13.5" thickBot="1" x14ac:dyDescent="0.25">
      <c r="A535" s="68">
        <v>53083</v>
      </c>
      <c r="B535" s="69" t="s">
        <v>523</v>
      </c>
      <c r="C535" s="70" t="s">
        <v>531</v>
      </c>
    </row>
    <row r="536" spans="1:3" ht="13.5" thickBot="1" x14ac:dyDescent="0.25">
      <c r="A536" s="68">
        <v>53121</v>
      </c>
      <c r="B536" s="69" t="s">
        <v>532</v>
      </c>
      <c r="C536" s="70" t="s">
        <v>533</v>
      </c>
    </row>
    <row r="537" spans="1:3" ht="13.5" thickBot="1" x14ac:dyDescent="0.25">
      <c r="A537" s="68">
        <v>53212</v>
      </c>
      <c r="B537" s="69" t="s">
        <v>532</v>
      </c>
      <c r="C537" s="70" t="s">
        <v>534</v>
      </c>
    </row>
    <row r="538" spans="1:3" ht="14.25" thickBot="1" x14ac:dyDescent="0.25">
      <c r="A538" s="68">
        <v>53247</v>
      </c>
      <c r="B538" s="69" t="s">
        <v>532</v>
      </c>
      <c r="C538" s="70" t="s">
        <v>535</v>
      </c>
    </row>
    <row r="539" spans="1:3" ht="13.5" thickBot="1" x14ac:dyDescent="0.25">
      <c r="A539" s="68">
        <v>53268</v>
      </c>
      <c r="B539" s="69" t="s">
        <v>532</v>
      </c>
      <c r="C539" s="70" t="s">
        <v>536</v>
      </c>
    </row>
    <row r="540" spans="1:3" ht="13.5" thickBot="1" x14ac:dyDescent="0.25">
      <c r="A540" s="68">
        <v>53281</v>
      </c>
      <c r="B540" s="69" t="s">
        <v>540</v>
      </c>
      <c r="C540" s="70" t="s">
        <v>537</v>
      </c>
    </row>
    <row r="541" spans="1:3" ht="13.5" thickBot="1" x14ac:dyDescent="0.25">
      <c r="A541" s="68">
        <v>53321</v>
      </c>
      <c r="B541" s="69" t="s">
        <v>523</v>
      </c>
      <c r="C541" s="70" t="s">
        <v>538</v>
      </c>
    </row>
    <row r="542" spans="1:3" ht="13.5" thickBot="1" x14ac:dyDescent="0.25">
      <c r="A542" s="71">
        <v>53328</v>
      </c>
      <c r="B542" s="72" t="s">
        <v>523</v>
      </c>
      <c r="C542" s="73" t="s">
        <v>524</v>
      </c>
    </row>
    <row r="543" spans="1:3" ht="13.5" thickBot="1" x14ac:dyDescent="0.25">
      <c r="A543" s="74">
        <v>53363</v>
      </c>
      <c r="B543" s="75" t="s">
        <v>523</v>
      </c>
      <c r="C543" s="76" t="s">
        <v>525</v>
      </c>
    </row>
    <row r="544" spans="1:3" ht="13.5" thickBot="1" x14ac:dyDescent="0.25">
      <c r="A544" s="74">
        <v>53364</v>
      </c>
      <c r="B544" s="75" t="s">
        <v>526</v>
      </c>
      <c r="C544" s="76" t="s">
        <v>525</v>
      </c>
    </row>
    <row r="545" spans="1:3" ht="13.5" thickBot="1" x14ac:dyDescent="0.25">
      <c r="A545" s="74">
        <v>53409</v>
      </c>
      <c r="B545" s="75" t="s">
        <v>527</v>
      </c>
      <c r="C545" s="76" t="s">
        <v>528</v>
      </c>
    </row>
    <row r="546" spans="1:3" ht="13.5" thickBot="1" x14ac:dyDescent="0.25">
      <c r="A546" s="74">
        <v>53438</v>
      </c>
      <c r="B546" s="75" t="s">
        <v>529</v>
      </c>
      <c r="C546" s="76" t="s">
        <v>530</v>
      </c>
    </row>
    <row r="547" spans="1:3" ht="13.5" thickBot="1" x14ac:dyDescent="0.25">
      <c r="A547" s="74">
        <v>53448</v>
      </c>
      <c r="B547" s="75" t="s">
        <v>526</v>
      </c>
      <c r="C547" s="76" t="s">
        <v>531</v>
      </c>
    </row>
    <row r="548" spans="1:3" ht="13.5" thickBot="1" x14ac:dyDescent="0.25">
      <c r="A548" s="74">
        <v>53471</v>
      </c>
      <c r="B548" s="75" t="s">
        <v>532</v>
      </c>
      <c r="C548" s="76" t="s">
        <v>533</v>
      </c>
    </row>
    <row r="549" spans="1:3" ht="13.5" thickBot="1" x14ac:dyDescent="0.25">
      <c r="A549" s="74">
        <v>53577</v>
      </c>
      <c r="B549" s="75" t="s">
        <v>527</v>
      </c>
      <c r="C549" s="76" t="s">
        <v>534</v>
      </c>
    </row>
    <row r="550" spans="1:3" ht="14.25" thickBot="1" x14ac:dyDescent="0.25">
      <c r="A550" s="74">
        <v>53612</v>
      </c>
      <c r="B550" s="75" t="s">
        <v>527</v>
      </c>
      <c r="C550" s="76" t="s">
        <v>535</v>
      </c>
    </row>
    <row r="551" spans="1:3" ht="13.5" thickBot="1" x14ac:dyDescent="0.25">
      <c r="A551" s="74">
        <v>53633</v>
      </c>
      <c r="B551" s="75" t="s">
        <v>527</v>
      </c>
      <c r="C551" s="76" t="s">
        <v>536</v>
      </c>
    </row>
    <row r="552" spans="1:3" ht="13.5" thickBot="1" x14ac:dyDescent="0.25">
      <c r="A552" s="74">
        <v>53646</v>
      </c>
      <c r="B552" s="75" t="s">
        <v>532</v>
      </c>
      <c r="C552" s="76" t="s">
        <v>537</v>
      </c>
    </row>
    <row r="553" spans="1:3" ht="13.5" thickBot="1" x14ac:dyDescent="0.25">
      <c r="A553" s="74">
        <v>53686</v>
      </c>
      <c r="B553" s="75" t="s">
        <v>526</v>
      </c>
      <c r="C553" s="76" t="s">
        <v>538</v>
      </c>
    </row>
    <row r="554" spans="1:3" ht="13.5" thickBot="1" x14ac:dyDescent="0.25">
      <c r="A554" s="77">
        <v>53693</v>
      </c>
      <c r="B554" s="78" t="s">
        <v>526</v>
      </c>
      <c r="C554" s="79" t="s">
        <v>524</v>
      </c>
    </row>
    <row r="555" spans="1:3" ht="13.5" thickBot="1" x14ac:dyDescent="0.25">
      <c r="A555" s="68">
        <v>53748</v>
      </c>
      <c r="B555" s="69" t="s">
        <v>523</v>
      </c>
      <c r="C555" s="70" t="s">
        <v>525</v>
      </c>
    </row>
    <row r="556" spans="1:3" ht="13.5" thickBot="1" x14ac:dyDescent="0.25">
      <c r="A556" s="68">
        <v>53749</v>
      </c>
      <c r="B556" s="69" t="s">
        <v>526</v>
      </c>
      <c r="C556" s="70" t="s">
        <v>525</v>
      </c>
    </row>
    <row r="557" spans="1:3" ht="13.5" thickBot="1" x14ac:dyDescent="0.25">
      <c r="A557" s="68">
        <v>53794</v>
      </c>
      <c r="B557" s="69" t="s">
        <v>527</v>
      </c>
      <c r="C557" s="70" t="s">
        <v>528</v>
      </c>
    </row>
    <row r="558" spans="1:3" ht="13.5" thickBot="1" x14ac:dyDescent="0.25">
      <c r="A558" s="68">
        <v>53803</v>
      </c>
      <c r="B558" s="69" t="s">
        <v>526</v>
      </c>
      <c r="C558" s="70" t="s">
        <v>530</v>
      </c>
    </row>
    <row r="559" spans="1:3" ht="13.5" thickBot="1" x14ac:dyDescent="0.25">
      <c r="A559" s="68">
        <v>53813</v>
      </c>
      <c r="B559" s="69" t="s">
        <v>540</v>
      </c>
      <c r="C559" s="70" t="s">
        <v>531</v>
      </c>
    </row>
    <row r="560" spans="1:3" ht="13.5" thickBot="1" x14ac:dyDescent="0.25">
      <c r="A560" s="68">
        <v>53856</v>
      </c>
      <c r="B560" s="69" t="s">
        <v>532</v>
      </c>
      <c r="C560" s="70" t="s">
        <v>533</v>
      </c>
    </row>
    <row r="561" spans="1:3" ht="13.5" thickBot="1" x14ac:dyDescent="0.25">
      <c r="A561" s="68">
        <v>53942</v>
      </c>
      <c r="B561" s="69" t="s">
        <v>529</v>
      </c>
      <c r="C561" s="70" t="s">
        <v>534</v>
      </c>
    </row>
    <row r="562" spans="1:3" ht="14.25" thickBot="1" x14ac:dyDescent="0.25">
      <c r="A562" s="68">
        <v>53977</v>
      </c>
      <c r="B562" s="69" t="s">
        <v>529</v>
      </c>
      <c r="C562" s="70" t="s">
        <v>535</v>
      </c>
    </row>
    <row r="563" spans="1:3" ht="13.5" thickBot="1" x14ac:dyDescent="0.25">
      <c r="A563" s="68">
        <v>53998</v>
      </c>
      <c r="B563" s="69" t="s">
        <v>529</v>
      </c>
      <c r="C563" s="70" t="s">
        <v>536</v>
      </c>
    </row>
    <row r="564" spans="1:3" ht="13.5" thickBot="1" x14ac:dyDescent="0.25">
      <c r="A564" s="68">
        <v>54011</v>
      </c>
      <c r="B564" s="69" t="s">
        <v>527</v>
      </c>
      <c r="C564" s="70" t="s">
        <v>537</v>
      </c>
    </row>
    <row r="565" spans="1:3" ht="13.5" thickBot="1" x14ac:dyDescent="0.25">
      <c r="A565" s="68">
        <v>54051</v>
      </c>
      <c r="B565" s="69" t="s">
        <v>540</v>
      </c>
      <c r="C565" s="70" t="s">
        <v>538</v>
      </c>
    </row>
    <row r="566" spans="1:3" ht="13.5" thickBot="1" x14ac:dyDescent="0.25">
      <c r="A566" s="71">
        <v>54058</v>
      </c>
      <c r="B566" s="72" t="s">
        <v>540</v>
      </c>
      <c r="C566" s="73" t="s">
        <v>524</v>
      </c>
    </row>
    <row r="567" spans="1:3" ht="13.5" thickBot="1" x14ac:dyDescent="0.25">
      <c r="A567" s="74">
        <v>54105</v>
      </c>
      <c r="B567" s="75" t="s">
        <v>523</v>
      </c>
      <c r="C567" s="76" t="s">
        <v>525</v>
      </c>
    </row>
    <row r="568" spans="1:3" ht="13.5" thickBot="1" x14ac:dyDescent="0.25">
      <c r="A568" s="74">
        <v>54106</v>
      </c>
      <c r="B568" s="75" t="s">
        <v>526</v>
      </c>
      <c r="C568" s="76" t="s">
        <v>525</v>
      </c>
    </row>
    <row r="569" spans="1:3" ht="13.5" thickBot="1" x14ac:dyDescent="0.25">
      <c r="A569" s="74">
        <v>54151</v>
      </c>
      <c r="B569" s="75" t="s">
        <v>527</v>
      </c>
      <c r="C569" s="76" t="s">
        <v>528</v>
      </c>
    </row>
    <row r="570" spans="1:3" ht="13.5" thickBot="1" x14ac:dyDescent="0.25">
      <c r="A570" s="74">
        <v>54169</v>
      </c>
      <c r="B570" s="75" t="s">
        <v>526</v>
      </c>
      <c r="C570" s="76" t="s">
        <v>530</v>
      </c>
    </row>
    <row r="571" spans="1:3" ht="13.5" thickBot="1" x14ac:dyDescent="0.25">
      <c r="A571" s="74">
        <v>54179</v>
      </c>
      <c r="B571" s="75" t="s">
        <v>527</v>
      </c>
      <c r="C571" s="76" t="s">
        <v>531</v>
      </c>
    </row>
    <row r="572" spans="1:3" ht="13.5" thickBot="1" x14ac:dyDescent="0.25">
      <c r="A572" s="74">
        <v>54213</v>
      </c>
      <c r="B572" s="75" t="s">
        <v>532</v>
      </c>
      <c r="C572" s="76" t="s">
        <v>533</v>
      </c>
    </row>
    <row r="573" spans="1:3" ht="13.5" thickBot="1" x14ac:dyDescent="0.25">
      <c r="A573" s="74">
        <v>54308</v>
      </c>
      <c r="B573" s="75" t="s">
        <v>523</v>
      </c>
      <c r="C573" s="76" t="s">
        <v>534</v>
      </c>
    </row>
    <row r="574" spans="1:3" ht="14.25" thickBot="1" x14ac:dyDescent="0.25">
      <c r="A574" s="74">
        <v>54343</v>
      </c>
      <c r="B574" s="75" t="s">
        <v>523</v>
      </c>
      <c r="C574" s="76" t="s">
        <v>535</v>
      </c>
    </row>
    <row r="575" spans="1:3" ht="13.5" thickBot="1" x14ac:dyDescent="0.25">
      <c r="A575" s="74">
        <v>54364</v>
      </c>
      <c r="B575" s="75" t="s">
        <v>523</v>
      </c>
      <c r="C575" s="76" t="s">
        <v>536</v>
      </c>
    </row>
    <row r="576" spans="1:3" ht="13.5" thickBot="1" x14ac:dyDescent="0.25">
      <c r="A576" s="74">
        <v>54377</v>
      </c>
      <c r="B576" s="75" t="s">
        <v>539</v>
      </c>
      <c r="C576" s="76" t="s">
        <v>537</v>
      </c>
    </row>
    <row r="577" spans="1:3" ht="13.5" thickBot="1" x14ac:dyDescent="0.25">
      <c r="A577" s="74">
        <v>54417</v>
      </c>
      <c r="B577" s="75" t="s">
        <v>527</v>
      </c>
      <c r="C577" s="76" t="s">
        <v>538</v>
      </c>
    </row>
    <row r="578" spans="1:3" ht="13.5" thickBot="1" x14ac:dyDescent="0.25">
      <c r="A578" s="77">
        <v>54424</v>
      </c>
      <c r="B578" s="78" t="s">
        <v>527</v>
      </c>
      <c r="C578" s="79" t="s">
        <v>524</v>
      </c>
    </row>
    <row r="579" spans="1:3" ht="13.5" thickBot="1" x14ac:dyDescent="0.25">
      <c r="A579" s="68">
        <v>54483</v>
      </c>
      <c r="B579" s="69" t="s">
        <v>523</v>
      </c>
      <c r="C579" s="70" t="s">
        <v>525</v>
      </c>
    </row>
    <row r="580" spans="1:3" ht="13.5" thickBot="1" x14ac:dyDescent="0.25">
      <c r="A580" s="68">
        <v>54484</v>
      </c>
      <c r="B580" s="69" t="s">
        <v>526</v>
      </c>
      <c r="C580" s="70" t="s">
        <v>525</v>
      </c>
    </row>
    <row r="581" spans="1:3" ht="13.5" thickBot="1" x14ac:dyDescent="0.25">
      <c r="A581" s="68">
        <v>54529</v>
      </c>
      <c r="B581" s="69" t="s">
        <v>527</v>
      </c>
      <c r="C581" s="70" t="s">
        <v>528</v>
      </c>
    </row>
    <row r="582" spans="1:3" ht="13.5" thickBot="1" x14ac:dyDescent="0.25">
      <c r="A582" s="68">
        <v>54534</v>
      </c>
      <c r="B582" s="69" t="s">
        <v>540</v>
      </c>
      <c r="C582" s="70" t="s">
        <v>530</v>
      </c>
    </row>
    <row r="583" spans="1:3" ht="13.5" thickBot="1" x14ac:dyDescent="0.25">
      <c r="A583" s="68">
        <v>54544</v>
      </c>
      <c r="B583" s="69" t="s">
        <v>529</v>
      </c>
      <c r="C583" s="70" t="s">
        <v>531</v>
      </c>
    </row>
    <row r="584" spans="1:3" ht="13.5" thickBot="1" x14ac:dyDescent="0.25">
      <c r="A584" s="68">
        <v>54591</v>
      </c>
      <c r="B584" s="69" t="s">
        <v>532</v>
      </c>
      <c r="C584" s="70" t="s">
        <v>533</v>
      </c>
    </row>
    <row r="585" spans="1:3" ht="13.5" thickBot="1" x14ac:dyDescent="0.25">
      <c r="A585" s="68">
        <v>54673</v>
      </c>
      <c r="B585" s="69" t="s">
        <v>526</v>
      </c>
      <c r="C585" s="70" t="s">
        <v>534</v>
      </c>
    </row>
    <row r="586" spans="1:3" ht="14.25" thickBot="1" x14ac:dyDescent="0.25">
      <c r="A586" s="68">
        <v>54708</v>
      </c>
      <c r="B586" s="69" t="s">
        <v>526</v>
      </c>
      <c r="C586" s="70" t="s">
        <v>535</v>
      </c>
    </row>
    <row r="587" spans="1:3" ht="13.5" thickBot="1" x14ac:dyDescent="0.25">
      <c r="A587" s="68">
        <v>54729</v>
      </c>
      <c r="B587" s="69" t="s">
        <v>526</v>
      </c>
      <c r="C587" s="70" t="s">
        <v>536</v>
      </c>
    </row>
    <row r="588" spans="1:3" ht="13.5" thickBot="1" x14ac:dyDescent="0.25">
      <c r="A588" s="68">
        <v>54742</v>
      </c>
      <c r="B588" s="69" t="s">
        <v>523</v>
      </c>
      <c r="C588" s="70" t="s">
        <v>537</v>
      </c>
    </row>
    <row r="589" spans="1:3" ht="13.5" thickBot="1" x14ac:dyDescent="0.25">
      <c r="A589" s="68">
        <v>54782</v>
      </c>
      <c r="B589" s="69" t="s">
        <v>529</v>
      </c>
      <c r="C589" s="70" t="s">
        <v>538</v>
      </c>
    </row>
    <row r="590" spans="1:3" ht="13.5" thickBot="1" x14ac:dyDescent="0.25">
      <c r="A590" s="71">
        <v>54789</v>
      </c>
      <c r="B590" s="72" t="s">
        <v>529</v>
      </c>
      <c r="C590" s="73" t="s">
        <v>524</v>
      </c>
    </row>
    <row r="591" spans="1:3" ht="13.5" thickBot="1" x14ac:dyDescent="0.25">
      <c r="A591" s="74">
        <v>54840</v>
      </c>
      <c r="B591" s="75" t="s">
        <v>523</v>
      </c>
      <c r="C591" s="76" t="s">
        <v>525</v>
      </c>
    </row>
    <row r="592" spans="1:3" ht="13.5" thickBot="1" x14ac:dyDescent="0.25">
      <c r="A592" s="74">
        <v>54841</v>
      </c>
      <c r="B592" s="75" t="s">
        <v>526</v>
      </c>
      <c r="C592" s="76" t="s">
        <v>525</v>
      </c>
    </row>
    <row r="593" spans="1:3" ht="13.5" thickBot="1" x14ac:dyDescent="0.25">
      <c r="A593" s="74">
        <v>54886</v>
      </c>
      <c r="B593" s="75" t="s">
        <v>527</v>
      </c>
      <c r="C593" s="76" t="s">
        <v>528</v>
      </c>
    </row>
    <row r="594" spans="1:3" ht="13.5" thickBot="1" x14ac:dyDescent="0.25">
      <c r="A594" s="74">
        <v>54899</v>
      </c>
      <c r="B594" s="75" t="s">
        <v>532</v>
      </c>
      <c r="C594" s="76" t="s">
        <v>530</v>
      </c>
    </row>
    <row r="595" spans="1:3" ht="13.5" thickBot="1" x14ac:dyDescent="0.25">
      <c r="A595" s="74">
        <v>54909</v>
      </c>
      <c r="B595" s="75" t="s">
        <v>539</v>
      </c>
      <c r="C595" s="76" t="s">
        <v>531</v>
      </c>
    </row>
    <row r="596" spans="1:3" ht="13.5" thickBot="1" x14ac:dyDescent="0.25">
      <c r="A596" s="74">
        <v>54948</v>
      </c>
      <c r="B596" s="75" t="s">
        <v>532</v>
      </c>
      <c r="C596" s="76" t="s">
        <v>533</v>
      </c>
    </row>
    <row r="597" spans="1:3" ht="13.5" thickBot="1" x14ac:dyDescent="0.25">
      <c r="A597" s="74">
        <v>55038</v>
      </c>
      <c r="B597" s="75" t="s">
        <v>540</v>
      </c>
      <c r="C597" s="76" t="s">
        <v>534</v>
      </c>
    </row>
    <row r="598" spans="1:3" ht="14.25" thickBot="1" x14ac:dyDescent="0.25">
      <c r="A598" s="74">
        <v>55073</v>
      </c>
      <c r="B598" s="75" t="s">
        <v>540</v>
      </c>
      <c r="C598" s="76" t="s">
        <v>535</v>
      </c>
    </row>
    <row r="599" spans="1:3" ht="13.5" thickBot="1" x14ac:dyDescent="0.25">
      <c r="A599" s="74">
        <v>55094</v>
      </c>
      <c r="B599" s="75" t="s">
        <v>540</v>
      </c>
      <c r="C599" s="76" t="s">
        <v>536</v>
      </c>
    </row>
    <row r="600" spans="1:3" ht="13.5" thickBot="1" x14ac:dyDescent="0.25">
      <c r="A600" s="74">
        <v>55107</v>
      </c>
      <c r="B600" s="75" t="s">
        <v>526</v>
      </c>
      <c r="C600" s="76" t="s">
        <v>537</v>
      </c>
    </row>
    <row r="601" spans="1:3" ht="13.5" thickBot="1" x14ac:dyDescent="0.25">
      <c r="A601" s="74">
        <v>55147</v>
      </c>
      <c r="B601" s="75" t="s">
        <v>539</v>
      </c>
      <c r="C601" s="76" t="s">
        <v>538</v>
      </c>
    </row>
    <row r="602" spans="1:3" ht="13.5" thickBot="1" x14ac:dyDescent="0.25">
      <c r="A602" s="77">
        <v>55154</v>
      </c>
      <c r="B602" s="78" t="s">
        <v>539</v>
      </c>
      <c r="C602" s="79" t="s">
        <v>524</v>
      </c>
    </row>
    <row r="603" spans="1:3" ht="13.5" thickBot="1" x14ac:dyDescent="0.25">
      <c r="A603" s="68">
        <v>55197</v>
      </c>
      <c r="B603" s="69" t="s">
        <v>523</v>
      </c>
      <c r="C603" s="70" t="s">
        <v>525</v>
      </c>
    </row>
    <row r="604" spans="1:3" ht="13.5" thickBot="1" x14ac:dyDescent="0.25">
      <c r="A604" s="68">
        <v>55198</v>
      </c>
      <c r="B604" s="69" t="s">
        <v>526</v>
      </c>
      <c r="C604" s="70" t="s">
        <v>525</v>
      </c>
    </row>
    <row r="605" spans="1:3" ht="13.5" thickBot="1" x14ac:dyDescent="0.25">
      <c r="A605" s="68">
        <v>55243</v>
      </c>
      <c r="B605" s="69" t="s">
        <v>527</v>
      </c>
      <c r="C605" s="70" t="s">
        <v>528</v>
      </c>
    </row>
    <row r="606" spans="1:3" ht="13.5" thickBot="1" x14ac:dyDescent="0.25">
      <c r="A606" s="68">
        <v>55264</v>
      </c>
      <c r="B606" s="69" t="s">
        <v>527</v>
      </c>
      <c r="C606" s="70" t="s">
        <v>530</v>
      </c>
    </row>
    <row r="607" spans="1:3" ht="13.5" thickBot="1" x14ac:dyDescent="0.25">
      <c r="A607" s="68">
        <v>55274</v>
      </c>
      <c r="B607" s="69" t="s">
        <v>523</v>
      </c>
      <c r="C607" s="70" t="s">
        <v>531</v>
      </c>
    </row>
    <row r="608" spans="1:3" ht="13.5" thickBot="1" x14ac:dyDescent="0.25">
      <c r="A608" s="68">
        <v>55305</v>
      </c>
      <c r="B608" s="69" t="s">
        <v>532</v>
      </c>
      <c r="C608" s="70" t="s">
        <v>533</v>
      </c>
    </row>
    <row r="609" spans="1:3" ht="13.5" thickBot="1" x14ac:dyDescent="0.25">
      <c r="A609" s="68">
        <v>55403</v>
      </c>
      <c r="B609" s="69" t="s">
        <v>532</v>
      </c>
      <c r="C609" s="70" t="s">
        <v>534</v>
      </c>
    </row>
    <row r="610" spans="1:3" ht="14.25" thickBot="1" x14ac:dyDescent="0.25">
      <c r="A610" s="68">
        <v>55438</v>
      </c>
      <c r="B610" s="69" t="s">
        <v>532</v>
      </c>
      <c r="C610" s="70" t="s">
        <v>535</v>
      </c>
    </row>
    <row r="611" spans="1:3" ht="13.5" thickBot="1" x14ac:dyDescent="0.25">
      <c r="A611" s="68">
        <v>55459</v>
      </c>
      <c r="B611" s="69" t="s">
        <v>532</v>
      </c>
      <c r="C611" s="70" t="s">
        <v>536</v>
      </c>
    </row>
    <row r="612" spans="1:3" ht="13.5" thickBot="1" x14ac:dyDescent="0.25">
      <c r="A612" s="68">
        <v>55472</v>
      </c>
      <c r="B612" s="69" t="s">
        <v>540</v>
      </c>
      <c r="C612" s="70" t="s">
        <v>537</v>
      </c>
    </row>
    <row r="613" spans="1:3" ht="13.5" thickBot="1" x14ac:dyDescent="0.25">
      <c r="A613" s="68">
        <v>55512</v>
      </c>
      <c r="B613" s="69" t="s">
        <v>523</v>
      </c>
      <c r="C613" s="70" t="s">
        <v>538</v>
      </c>
    </row>
    <row r="614" spans="1:3" ht="13.5" thickBot="1" x14ac:dyDescent="0.25">
      <c r="A614" s="71">
        <v>55519</v>
      </c>
      <c r="B614" s="72" t="s">
        <v>523</v>
      </c>
      <c r="C614" s="73" t="s">
        <v>524</v>
      </c>
    </row>
    <row r="615" spans="1:3" ht="13.5" thickBot="1" x14ac:dyDescent="0.25">
      <c r="A615" s="74">
        <v>55582</v>
      </c>
      <c r="B615" s="75" t="s">
        <v>523</v>
      </c>
      <c r="C615" s="76" t="s">
        <v>525</v>
      </c>
    </row>
    <row r="616" spans="1:3" ht="13.5" thickBot="1" x14ac:dyDescent="0.25">
      <c r="A616" s="74">
        <v>55583</v>
      </c>
      <c r="B616" s="75" t="s">
        <v>526</v>
      </c>
      <c r="C616" s="76" t="s">
        <v>525</v>
      </c>
    </row>
    <row r="617" spans="1:3" ht="13.5" thickBot="1" x14ac:dyDescent="0.25">
      <c r="A617" s="74">
        <v>55628</v>
      </c>
      <c r="B617" s="75" t="s">
        <v>527</v>
      </c>
      <c r="C617" s="76" t="s">
        <v>528</v>
      </c>
    </row>
    <row r="618" spans="1:3" ht="13.5" thickBot="1" x14ac:dyDescent="0.25">
      <c r="A618" s="74">
        <v>55630</v>
      </c>
      <c r="B618" s="75" t="s">
        <v>539</v>
      </c>
      <c r="C618" s="76" t="s">
        <v>530</v>
      </c>
    </row>
    <row r="619" spans="1:3" ht="13.5" thickBot="1" x14ac:dyDescent="0.25">
      <c r="A619" s="74">
        <v>55640</v>
      </c>
      <c r="B619" s="75" t="s">
        <v>540</v>
      </c>
      <c r="C619" s="76" t="s">
        <v>531</v>
      </c>
    </row>
    <row r="620" spans="1:3" ht="13.5" thickBot="1" x14ac:dyDescent="0.25">
      <c r="A620" s="74">
        <v>55690</v>
      </c>
      <c r="B620" s="75" t="s">
        <v>532</v>
      </c>
      <c r="C620" s="76" t="s">
        <v>533</v>
      </c>
    </row>
    <row r="621" spans="1:3" ht="13.5" thickBot="1" x14ac:dyDescent="0.25">
      <c r="A621" s="74">
        <v>55769</v>
      </c>
      <c r="B621" s="75" t="s">
        <v>529</v>
      </c>
      <c r="C621" s="76" t="s">
        <v>534</v>
      </c>
    </row>
    <row r="622" spans="1:3" ht="14.25" thickBot="1" x14ac:dyDescent="0.25">
      <c r="A622" s="74">
        <v>55804</v>
      </c>
      <c r="B622" s="75" t="s">
        <v>529</v>
      </c>
      <c r="C622" s="76" t="s">
        <v>535</v>
      </c>
    </row>
    <row r="623" spans="1:3" ht="13.5" thickBot="1" x14ac:dyDescent="0.25">
      <c r="A623" s="74">
        <v>55825</v>
      </c>
      <c r="B623" s="75" t="s">
        <v>529</v>
      </c>
      <c r="C623" s="76" t="s">
        <v>536</v>
      </c>
    </row>
    <row r="624" spans="1:3" ht="13.5" thickBot="1" x14ac:dyDescent="0.25">
      <c r="A624" s="74">
        <v>55838</v>
      </c>
      <c r="B624" s="75" t="s">
        <v>527</v>
      </c>
      <c r="C624" s="76" t="s">
        <v>537</v>
      </c>
    </row>
    <row r="625" spans="1:3" ht="13.5" thickBot="1" x14ac:dyDescent="0.25">
      <c r="A625" s="74">
        <v>55878</v>
      </c>
      <c r="B625" s="75" t="s">
        <v>540</v>
      </c>
      <c r="C625" s="76" t="s">
        <v>538</v>
      </c>
    </row>
    <row r="626" spans="1:3" ht="13.5" thickBot="1" x14ac:dyDescent="0.25">
      <c r="A626" s="77">
        <v>55885</v>
      </c>
      <c r="B626" s="78" t="s">
        <v>540</v>
      </c>
      <c r="C626" s="79" t="s">
        <v>524</v>
      </c>
    </row>
    <row r="627" spans="1:3" ht="13.5" thickBot="1" x14ac:dyDescent="0.25">
      <c r="A627" s="68">
        <v>55932</v>
      </c>
      <c r="B627" s="69" t="s">
        <v>523</v>
      </c>
      <c r="C627" s="70" t="s">
        <v>525</v>
      </c>
    </row>
    <row r="628" spans="1:3" ht="13.5" thickBot="1" x14ac:dyDescent="0.25">
      <c r="A628" s="68">
        <v>55933</v>
      </c>
      <c r="B628" s="69" t="s">
        <v>526</v>
      </c>
      <c r="C628" s="70" t="s">
        <v>525</v>
      </c>
    </row>
    <row r="629" spans="1:3" ht="13.5" thickBot="1" x14ac:dyDescent="0.25">
      <c r="A629" s="68">
        <v>55978</v>
      </c>
      <c r="B629" s="69" t="s">
        <v>527</v>
      </c>
      <c r="C629" s="70" t="s">
        <v>528</v>
      </c>
    </row>
    <row r="630" spans="1:3" ht="13.5" thickBot="1" x14ac:dyDescent="0.25">
      <c r="A630" s="68">
        <v>55995</v>
      </c>
      <c r="B630" s="69" t="s">
        <v>523</v>
      </c>
      <c r="C630" s="70" t="s">
        <v>530</v>
      </c>
    </row>
    <row r="631" spans="1:3" ht="13.5" thickBot="1" x14ac:dyDescent="0.25">
      <c r="A631" s="68">
        <v>56005</v>
      </c>
      <c r="B631" s="69" t="s">
        <v>532</v>
      </c>
      <c r="C631" s="70" t="s">
        <v>531</v>
      </c>
    </row>
    <row r="632" spans="1:3" ht="13.5" thickBot="1" x14ac:dyDescent="0.25">
      <c r="A632" s="68">
        <v>56040</v>
      </c>
      <c r="B632" s="69" t="s">
        <v>532</v>
      </c>
      <c r="C632" s="70" t="s">
        <v>533</v>
      </c>
    </row>
    <row r="633" spans="1:3" ht="13.5" thickBot="1" x14ac:dyDescent="0.25">
      <c r="A633" s="68">
        <v>56134</v>
      </c>
      <c r="B633" s="69" t="s">
        <v>539</v>
      </c>
      <c r="C633" s="70" t="s">
        <v>534</v>
      </c>
    </row>
    <row r="634" spans="1:3" ht="14.25" thickBot="1" x14ac:dyDescent="0.25">
      <c r="A634" s="68">
        <v>56169</v>
      </c>
      <c r="B634" s="69" t="s">
        <v>539</v>
      </c>
      <c r="C634" s="70" t="s">
        <v>535</v>
      </c>
    </row>
    <row r="635" spans="1:3" ht="13.5" thickBot="1" x14ac:dyDescent="0.25">
      <c r="A635" s="68">
        <v>56190</v>
      </c>
      <c r="B635" s="69" t="s">
        <v>539</v>
      </c>
      <c r="C635" s="70" t="s">
        <v>536</v>
      </c>
    </row>
    <row r="636" spans="1:3" ht="13.5" thickBot="1" x14ac:dyDescent="0.25">
      <c r="A636" s="68">
        <v>56203</v>
      </c>
      <c r="B636" s="69" t="s">
        <v>529</v>
      </c>
      <c r="C636" s="70" t="s">
        <v>537</v>
      </c>
    </row>
    <row r="637" spans="1:3" ht="13.5" thickBot="1" x14ac:dyDescent="0.25">
      <c r="A637" s="68">
        <v>56243</v>
      </c>
      <c r="B637" s="69" t="s">
        <v>532</v>
      </c>
      <c r="C637" s="70" t="s">
        <v>538</v>
      </c>
    </row>
    <row r="638" spans="1:3" ht="13.5" thickBot="1" x14ac:dyDescent="0.25">
      <c r="A638" s="71">
        <v>56250</v>
      </c>
      <c r="B638" s="72" t="s">
        <v>532</v>
      </c>
      <c r="C638" s="73" t="s">
        <v>524</v>
      </c>
    </row>
    <row r="639" spans="1:3" ht="13.5" thickBot="1" x14ac:dyDescent="0.25">
      <c r="A639" s="74">
        <v>56289</v>
      </c>
      <c r="B639" s="75" t="s">
        <v>523</v>
      </c>
      <c r="C639" s="76" t="s">
        <v>525</v>
      </c>
    </row>
    <row r="640" spans="1:3" ht="13.5" thickBot="1" x14ac:dyDescent="0.25">
      <c r="A640" s="74">
        <v>56290</v>
      </c>
      <c r="B640" s="75" t="s">
        <v>526</v>
      </c>
      <c r="C640" s="76" t="s">
        <v>525</v>
      </c>
    </row>
    <row r="641" spans="1:3" ht="13.5" thickBot="1" x14ac:dyDescent="0.25">
      <c r="A641" s="74">
        <v>56335</v>
      </c>
      <c r="B641" s="75" t="s">
        <v>527</v>
      </c>
      <c r="C641" s="76" t="s">
        <v>528</v>
      </c>
    </row>
    <row r="642" spans="1:3" ht="13.5" thickBot="1" x14ac:dyDescent="0.25">
      <c r="A642" s="74">
        <v>56360</v>
      </c>
      <c r="B642" s="75" t="s">
        <v>526</v>
      </c>
      <c r="C642" s="76" t="s">
        <v>530</v>
      </c>
    </row>
    <row r="643" spans="1:3" ht="13.5" thickBot="1" x14ac:dyDescent="0.25">
      <c r="A643" s="74">
        <v>56370</v>
      </c>
      <c r="B643" s="75" t="s">
        <v>527</v>
      </c>
      <c r="C643" s="76" t="s">
        <v>531</v>
      </c>
    </row>
    <row r="644" spans="1:3" ht="13.5" thickBot="1" x14ac:dyDescent="0.25">
      <c r="A644" s="74">
        <v>56397</v>
      </c>
      <c r="B644" s="75" t="s">
        <v>532</v>
      </c>
      <c r="C644" s="76" t="s">
        <v>533</v>
      </c>
    </row>
    <row r="645" spans="1:3" ht="13.5" thickBot="1" x14ac:dyDescent="0.25">
      <c r="A645" s="74">
        <v>56499</v>
      </c>
      <c r="B645" s="75" t="s">
        <v>523</v>
      </c>
      <c r="C645" s="76" t="s">
        <v>534</v>
      </c>
    </row>
    <row r="646" spans="1:3" ht="14.25" thickBot="1" x14ac:dyDescent="0.25">
      <c r="A646" s="74">
        <v>56534</v>
      </c>
      <c r="B646" s="75" t="s">
        <v>523</v>
      </c>
      <c r="C646" s="76" t="s">
        <v>535</v>
      </c>
    </row>
    <row r="647" spans="1:3" ht="13.5" thickBot="1" x14ac:dyDescent="0.25">
      <c r="A647" s="74">
        <v>56555</v>
      </c>
      <c r="B647" s="75" t="s">
        <v>523</v>
      </c>
      <c r="C647" s="76" t="s">
        <v>536</v>
      </c>
    </row>
    <row r="648" spans="1:3" ht="13.5" thickBot="1" x14ac:dyDescent="0.25">
      <c r="A648" s="74">
        <v>56568</v>
      </c>
      <c r="B648" s="75" t="s">
        <v>539</v>
      </c>
      <c r="C648" s="76" t="s">
        <v>537</v>
      </c>
    </row>
    <row r="649" spans="1:3" ht="13.5" thickBot="1" x14ac:dyDescent="0.25">
      <c r="A649" s="74">
        <v>56608</v>
      </c>
      <c r="B649" s="75" t="s">
        <v>527</v>
      </c>
      <c r="C649" s="76" t="s">
        <v>538</v>
      </c>
    </row>
    <row r="650" spans="1:3" ht="13.5" thickBot="1" x14ac:dyDescent="0.25">
      <c r="A650" s="77">
        <v>56615</v>
      </c>
      <c r="B650" s="78" t="s">
        <v>527</v>
      </c>
      <c r="C650" s="79" t="s">
        <v>524</v>
      </c>
    </row>
    <row r="651" spans="1:3" ht="13.5" thickBot="1" x14ac:dyDescent="0.25">
      <c r="A651" s="68">
        <v>56674</v>
      </c>
      <c r="B651" s="69" t="s">
        <v>523</v>
      </c>
      <c r="C651" s="70" t="s">
        <v>525</v>
      </c>
    </row>
    <row r="652" spans="1:3" ht="13.5" thickBot="1" x14ac:dyDescent="0.25">
      <c r="A652" s="68">
        <v>56675</v>
      </c>
      <c r="B652" s="69" t="s">
        <v>526</v>
      </c>
      <c r="C652" s="70" t="s">
        <v>525</v>
      </c>
    </row>
    <row r="653" spans="1:3" ht="13.5" thickBot="1" x14ac:dyDescent="0.25">
      <c r="A653" s="68">
        <v>56720</v>
      </c>
      <c r="B653" s="69" t="s">
        <v>527</v>
      </c>
      <c r="C653" s="70" t="s">
        <v>528</v>
      </c>
    </row>
    <row r="654" spans="1:3" ht="13.5" thickBot="1" x14ac:dyDescent="0.25">
      <c r="A654" s="68">
        <v>56725</v>
      </c>
      <c r="B654" s="69" t="s">
        <v>540</v>
      </c>
      <c r="C654" s="70" t="s">
        <v>530</v>
      </c>
    </row>
    <row r="655" spans="1:3" ht="13.5" thickBot="1" x14ac:dyDescent="0.25">
      <c r="A655" s="68">
        <v>56735</v>
      </c>
      <c r="B655" s="69" t="s">
        <v>529</v>
      </c>
      <c r="C655" s="70" t="s">
        <v>531</v>
      </c>
    </row>
    <row r="656" spans="1:3" ht="13.5" thickBot="1" x14ac:dyDescent="0.25">
      <c r="A656" s="68">
        <v>56782</v>
      </c>
      <c r="B656" s="69" t="s">
        <v>532</v>
      </c>
      <c r="C656" s="70" t="s">
        <v>533</v>
      </c>
    </row>
    <row r="657" spans="1:3" ht="13.5" thickBot="1" x14ac:dyDescent="0.25">
      <c r="A657" s="68">
        <v>56864</v>
      </c>
      <c r="B657" s="69" t="s">
        <v>526</v>
      </c>
      <c r="C657" s="70" t="s">
        <v>534</v>
      </c>
    </row>
    <row r="658" spans="1:3" ht="14.25" thickBot="1" x14ac:dyDescent="0.25">
      <c r="A658" s="68">
        <v>56899</v>
      </c>
      <c r="B658" s="69" t="s">
        <v>526</v>
      </c>
      <c r="C658" s="70" t="s">
        <v>535</v>
      </c>
    </row>
    <row r="659" spans="1:3" ht="13.5" thickBot="1" x14ac:dyDescent="0.25">
      <c r="A659" s="68">
        <v>56920</v>
      </c>
      <c r="B659" s="69" t="s">
        <v>526</v>
      </c>
      <c r="C659" s="70" t="s">
        <v>536</v>
      </c>
    </row>
    <row r="660" spans="1:3" ht="13.5" thickBot="1" x14ac:dyDescent="0.25">
      <c r="A660" s="68">
        <v>56933</v>
      </c>
      <c r="B660" s="69" t="s">
        <v>523</v>
      </c>
      <c r="C660" s="70" t="s">
        <v>537</v>
      </c>
    </row>
    <row r="661" spans="1:3" ht="13.5" thickBot="1" x14ac:dyDescent="0.25">
      <c r="A661" s="68">
        <v>56973</v>
      </c>
      <c r="B661" s="69" t="s">
        <v>529</v>
      </c>
      <c r="C661" s="70" t="s">
        <v>538</v>
      </c>
    </row>
    <row r="662" spans="1:3" ht="13.5" thickBot="1" x14ac:dyDescent="0.25">
      <c r="A662" s="71">
        <v>56980</v>
      </c>
      <c r="B662" s="72" t="s">
        <v>529</v>
      </c>
      <c r="C662" s="73" t="s">
        <v>524</v>
      </c>
    </row>
    <row r="663" spans="1:3" ht="13.5" thickBot="1" x14ac:dyDescent="0.25">
      <c r="A663" s="74">
        <v>57024</v>
      </c>
      <c r="B663" s="75" t="s">
        <v>523</v>
      </c>
      <c r="C663" s="76" t="s">
        <v>525</v>
      </c>
    </row>
    <row r="664" spans="1:3" ht="13.5" thickBot="1" x14ac:dyDescent="0.25">
      <c r="A664" s="74">
        <v>57025</v>
      </c>
      <c r="B664" s="75" t="s">
        <v>526</v>
      </c>
      <c r="C664" s="76" t="s">
        <v>525</v>
      </c>
    </row>
    <row r="665" spans="1:3" ht="13.5" thickBot="1" x14ac:dyDescent="0.25">
      <c r="A665" s="74">
        <v>57070</v>
      </c>
      <c r="B665" s="75" t="s">
        <v>527</v>
      </c>
      <c r="C665" s="76" t="s">
        <v>528</v>
      </c>
    </row>
    <row r="666" spans="1:3" ht="13.5" thickBot="1" x14ac:dyDescent="0.25">
      <c r="A666" s="74">
        <v>57091</v>
      </c>
      <c r="B666" s="75" t="s">
        <v>527</v>
      </c>
      <c r="C666" s="76" t="s">
        <v>530</v>
      </c>
    </row>
    <row r="667" spans="1:3" ht="13.5" thickBot="1" x14ac:dyDescent="0.25">
      <c r="A667" s="74">
        <v>57101</v>
      </c>
      <c r="B667" s="75" t="s">
        <v>523</v>
      </c>
      <c r="C667" s="76" t="s">
        <v>531</v>
      </c>
    </row>
    <row r="668" spans="1:3" ht="13.5" thickBot="1" x14ac:dyDescent="0.25">
      <c r="A668" s="74">
        <v>57132</v>
      </c>
      <c r="B668" s="75" t="s">
        <v>532</v>
      </c>
      <c r="C668" s="76" t="s">
        <v>533</v>
      </c>
    </row>
    <row r="669" spans="1:3" ht="13.5" thickBot="1" x14ac:dyDescent="0.25">
      <c r="A669" s="74">
        <v>57230</v>
      </c>
      <c r="B669" s="75" t="s">
        <v>532</v>
      </c>
      <c r="C669" s="76" t="s">
        <v>534</v>
      </c>
    </row>
    <row r="670" spans="1:3" ht="14.25" thickBot="1" x14ac:dyDescent="0.25">
      <c r="A670" s="74">
        <v>57265</v>
      </c>
      <c r="B670" s="75" t="s">
        <v>532</v>
      </c>
      <c r="C670" s="76" t="s">
        <v>535</v>
      </c>
    </row>
    <row r="671" spans="1:3" ht="13.5" thickBot="1" x14ac:dyDescent="0.25">
      <c r="A671" s="74">
        <v>57286</v>
      </c>
      <c r="B671" s="75" t="s">
        <v>532</v>
      </c>
      <c r="C671" s="76" t="s">
        <v>536</v>
      </c>
    </row>
    <row r="672" spans="1:3" ht="13.5" thickBot="1" x14ac:dyDescent="0.25">
      <c r="A672" s="74">
        <v>57299</v>
      </c>
      <c r="B672" s="75" t="s">
        <v>540</v>
      </c>
      <c r="C672" s="76" t="s">
        <v>537</v>
      </c>
    </row>
    <row r="673" spans="1:3" ht="13.5" thickBot="1" x14ac:dyDescent="0.25">
      <c r="A673" s="74">
        <v>57339</v>
      </c>
      <c r="B673" s="75" t="s">
        <v>523</v>
      </c>
      <c r="C673" s="76" t="s">
        <v>538</v>
      </c>
    </row>
    <row r="674" spans="1:3" ht="13.5" thickBot="1" x14ac:dyDescent="0.25">
      <c r="A674" s="77">
        <v>57346</v>
      </c>
      <c r="B674" s="78" t="s">
        <v>523</v>
      </c>
      <c r="C674" s="79" t="s">
        <v>524</v>
      </c>
    </row>
    <row r="675" spans="1:3" ht="13.5" thickBot="1" x14ac:dyDescent="0.25">
      <c r="A675" s="68">
        <v>57409</v>
      </c>
      <c r="B675" s="69" t="s">
        <v>523</v>
      </c>
      <c r="C675" s="70" t="s">
        <v>525</v>
      </c>
    </row>
    <row r="676" spans="1:3" ht="13.5" thickBot="1" x14ac:dyDescent="0.25">
      <c r="A676" s="68">
        <v>57410</v>
      </c>
      <c r="B676" s="69" t="s">
        <v>526</v>
      </c>
      <c r="C676" s="70" t="s">
        <v>525</v>
      </c>
    </row>
    <row r="677" spans="1:3" ht="13.5" thickBot="1" x14ac:dyDescent="0.25">
      <c r="A677" s="68">
        <v>57455</v>
      </c>
      <c r="B677" s="69" t="s">
        <v>527</v>
      </c>
      <c r="C677" s="70" t="s">
        <v>528</v>
      </c>
    </row>
    <row r="678" spans="1:3" ht="13.5" thickBot="1" x14ac:dyDescent="0.25">
      <c r="A678" s="68">
        <v>57456</v>
      </c>
      <c r="B678" s="69" t="s">
        <v>529</v>
      </c>
      <c r="C678" s="70" t="s">
        <v>530</v>
      </c>
    </row>
    <row r="679" spans="1:3" ht="13.5" thickBot="1" x14ac:dyDescent="0.25">
      <c r="A679" s="68">
        <v>57466</v>
      </c>
      <c r="B679" s="69" t="s">
        <v>526</v>
      </c>
      <c r="C679" s="70" t="s">
        <v>531</v>
      </c>
    </row>
    <row r="680" spans="1:3" ht="13.5" thickBot="1" x14ac:dyDescent="0.25">
      <c r="A680" s="68">
        <v>57517</v>
      </c>
      <c r="B680" s="69" t="s">
        <v>532</v>
      </c>
      <c r="C680" s="70" t="s">
        <v>533</v>
      </c>
    </row>
    <row r="681" spans="1:3" ht="13.5" thickBot="1" x14ac:dyDescent="0.25">
      <c r="A681" s="68">
        <v>57595</v>
      </c>
      <c r="B681" s="69" t="s">
        <v>527</v>
      </c>
      <c r="C681" s="70" t="s">
        <v>534</v>
      </c>
    </row>
    <row r="682" spans="1:3" ht="14.25" thickBot="1" x14ac:dyDescent="0.25">
      <c r="A682" s="68">
        <v>57630</v>
      </c>
      <c r="B682" s="69" t="s">
        <v>527</v>
      </c>
      <c r="C682" s="70" t="s">
        <v>535</v>
      </c>
    </row>
    <row r="683" spans="1:3" ht="13.5" thickBot="1" x14ac:dyDescent="0.25">
      <c r="A683" s="68">
        <v>57651</v>
      </c>
      <c r="B683" s="69" t="s">
        <v>527</v>
      </c>
      <c r="C683" s="70" t="s">
        <v>536</v>
      </c>
    </row>
    <row r="684" spans="1:3" ht="13.5" thickBot="1" x14ac:dyDescent="0.25">
      <c r="A684" s="68">
        <v>57664</v>
      </c>
      <c r="B684" s="69" t="s">
        <v>532</v>
      </c>
      <c r="C684" s="70" t="s">
        <v>537</v>
      </c>
    </row>
    <row r="685" spans="1:3" ht="13.5" thickBot="1" x14ac:dyDescent="0.25">
      <c r="A685" s="68">
        <v>57704</v>
      </c>
      <c r="B685" s="69" t="s">
        <v>526</v>
      </c>
      <c r="C685" s="70" t="s">
        <v>538</v>
      </c>
    </row>
    <row r="686" spans="1:3" ht="13.5" thickBot="1" x14ac:dyDescent="0.25">
      <c r="A686" s="71">
        <v>57711</v>
      </c>
      <c r="B686" s="72" t="s">
        <v>526</v>
      </c>
      <c r="C686" s="73" t="s">
        <v>524</v>
      </c>
    </row>
    <row r="687" spans="1:3" ht="13.5" thickBot="1" x14ac:dyDescent="0.25">
      <c r="A687" s="74">
        <v>57766</v>
      </c>
      <c r="B687" s="75" t="s">
        <v>523</v>
      </c>
      <c r="C687" s="76" t="s">
        <v>525</v>
      </c>
    </row>
    <row r="688" spans="1:3" ht="13.5" thickBot="1" x14ac:dyDescent="0.25">
      <c r="A688" s="74">
        <v>57767</v>
      </c>
      <c r="B688" s="75" t="s">
        <v>526</v>
      </c>
      <c r="C688" s="76" t="s">
        <v>525</v>
      </c>
    </row>
    <row r="689" spans="1:3" ht="13.5" thickBot="1" x14ac:dyDescent="0.25">
      <c r="A689" s="74">
        <v>57812</v>
      </c>
      <c r="B689" s="75" t="s">
        <v>527</v>
      </c>
      <c r="C689" s="76" t="s">
        <v>528</v>
      </c>
    </row>
    <row r="690" spans="1:3" ht="13.5" thickBot="1" x14ac:dyDescent="0.25">
      <c r="A690" s="74">
        <v>57821</v>
      </c>
      <c r="B690" s="75" t="s">
        <v>539</v>
      </c>
      <c r="C690" s="76" t="s">
        <v>530</v>
      </c>
    </row>
    <row r="691" spans="1:3" ht="13.5" thickBot="1" x14ac:dyDescent="0.25">
      <c r="A691" s="74">
        <v>57831</v>
      </c>
      <c r="B691" s="75" t="s">
        <v>540</v>
      </c>
      <c r="C691" s="76" t="s">
        <v>531</v>
      </c>
    </row>
    <row r="692" spans="1:3" ht="13.5" thickBot="1" x14ac:dyDescent="0.25">
      <c r="A692" s="74">
        <v>57874</v>
      </c>
      <c r="B692" s="75" t="s">
        <v>532</v>
      </c>
      <c r="C692" s="76" t="s">
        <v>533</v>
      </c>
    </row>
    <row r="693" spans="1:3" ht="13.5" thickBot="1" x14ac:dyDescent="0.25">
      <c r="A693" s="74">
        <v>57960</v>
      </c>
      <c r="B693" s="75" t="s">
        <v>529</v>
      </c>
      <c r="C693" s="76" t="s">
        <v>534</v>
      </c>
    </row>
    <row r="694" spans="1:3" ht="14.25" thickBot="1" x14ac:dyDescent="0.25">
      <c r="A694" s="74">
        <v>57995</v>
      </c>
      <c r="B694" s="75" t="s">
        <v>529</v>
      </c>
      <c r="C694" s="76" t="s">
        <v>535</v>
      </c>
    </row>
    <row r="695" spans="1:3" ht="13.5" thickBot="1" x14ac:dyDescent="0.25">
      <c r="A695" s="74">
        <v>58016</v>
      </c>
      <c r="B695" s="75" t="s">
        <v>529</v>
      </c>
      <c r="C695" s="76" t="s">
        <v>536</v>
      </c>
    </row>
    <row r="696" spans="1:3" ht="13.5" thickBot="1" x14ac:dyDescent="0.25">
      <c r="A696" s="74">
        <v>58029</v>
      </c>
      <c r="B696" s="75" t="s">
        <v>527</v>
      </c>
      <c r="C696" s="76" t="s">
        <v>537</v>
      </c>
    </row>
    <row r="697" spans="1:3" ht="13.5" thickBot="1" x14ac:dyDescent="0.25">
      <c r="A697" s="74">
        <v>58069</v>
      </c>
      <c r="B697" s="75" t="s">
        <v>540</v>
      </c>
      <c r="C697" s="76" t="s">
        <v>538</v>
      </c>
    </row>
    <row r="698" spans="1:3" ht="13.5" thickBot="1" x14ac:dyDescent="0.25">
      <c r="A698" s="77">
        <v>58076</v>
      </c>
      <c r="B698" s="78" t="s">
        <v>540</v>
      </c>
      <c r="C698" s="79" t="s">
        <v>524</v>
      </c>
    </row>
    <row r="699" spans="1:3" ht="13.5" thickBot="1" x14ac:dyDescent="0.25">
      <c r="A699" s="68">
        <v>58116</v>
      </c>
      <c r="B699" s="69" t="s">
        <v>523</v>
      </c>
      <c r="C699" s="70" t="s">
        <v>525</v>
      </c>
    </row>
    <row r="700" spans="1:3" ht="13.5" thickBot="1" x14ac:dyDescent="0.25">
      <c r="A700" s="68">
        <v>58117</v>
      </c>
      <c r="B700" s="69" t="s">
        <v>526</v>
      </c>
      <c r="C700" s="70" t="s">
        <v>525</v>
      </c>
    </row>
    <row r="701" spans="1:3" ht="13.5" thickBot="1" x14ac:dyDescent="0.25">
      <c r="A701" s="68">
        <v>58162</v>
      </c>
      <c r="B701" s="69" t="s">
        <v>527</v>
      </c>
      <c r="C701" s="70" t="s">
        <v>528</v>
      </c>
    </row>
    <row r="702" spans="1:3" ht="13.5" thickBot="1" x14ac:dyDescent="0.25">
      <c r="A702" s="68">
        <v>58186</v>
      </c>
      <c r="B702" s="69" t="s">
        <v>523</v>
      </c>
      <c r="C702" s="70" t="s">
        <v>530</v>
      </c>
    </row>
    <row r="703" spans="1:3" ht="13.5" thickBot="1" x14ac:dyDescent="0.25">
      <c r="A703" s="68">
        <v>58196</v>
      </c>
      <c r="B703" s="69" t="s">
        <v>532</v>
      </c>
      <c r="C703" s="70" t="s">
        <v>531</v>
      </c>
    </row>
    <row r="704" spans="1:3" ht="13.5" thickBot="1" x14ac:dyDescent="0.25">
      <c r="A704" s="68">
        <v>58224</v>
      </c>
      <c r="B704" s="69" t="s">
        <v>532</v>
      </c>
      <c r="C704" s="70" t="s">
        <v>533</v>
      </c>
    </row>
    <row r="705" spans="1:3" ht="13.5" thickBot="1" x14ac:dyDescent="0.25">
      <c r="A705" s="68">
        <v>58325</v>
      </c>
      <c r="B705" s="69" t="s">
        <v>539</v>
      </c>
      <c r="C705" s="70" t="s">
        <v>534</v>
      </c>
    </row>
    <row r="706" spans="1:3" ht="14.25" thickBot="1" x14ac:dyDescent="0.25">
      <c r="A706" s="68">
        <v>58360</v>
      </c>
      <c r="B706" s="69" t="s">
        <v>539</v>
      </c>
      <c r="C706" s="70" t="s">
        <v>535</v>
      </c>
    </row>
    <row r="707" spans="1:3" ht="13.5" thickBot="1" x14ac:dyDescent="0.25">
      <c r="A707" s="68">
        <v>58381</v>
      </c>
      <c r="B707" s="69" t="s">
        <v>539</v>
      </c>
      <c r="C707" s="70" t="s">
        <v>536</v>
      </c>
    </row>
    <row r="708" spans="1:3" ht="13.5" thickBot="1" x14ac:dyDescent="0.25">
      <c r="A708" s="68">
        <v>58394</v>
      </c>
      <c r="B708" s="69" t="s">
        <v>529</v>
      </c>
      <c r="C708" s="70" t="s">
        <v>537</v>
      </c>
    </row>
    <row r="709" spans="1:3" ht="13.5" thickBot="1" x14ac:dyDescent="0.25">
      <c r="A709" s="68">
        <v>58434</v>
      </c>
      <c r="B709" s="69" t="s">
        <v>532</v>
      </c>
      <c r="C709" s="70" t="s">
        <v>538</v>
      </c>
    </row>
    <row r="710" spans="1:3" ht="13.5" thickBot="1" x14ac:dyDescent="0.25">
      <c r="A710" s="71">
        <v>58441</v>
      </c>
      <c r="B710" s="72" t="s">
        <v>532</v>
      </c>
      <c r="C710" s="73" t="s">
        <v>524</v>
      </c>
    </row>
    <row r="711" spans="1:3" ht="13.5" thickBot="1" x14ac:dyDescent="0.25">
      <c r="A711" s="74">
        <v>58501</v>
      </c>
      <c r="B711" s="75" t="s">
        <v>523</v>
      </c>
      <c r="C711" s="76" t="s">
        <v>525</v>
      </c>
    </row>
    <row r="712" spans="1:3" ht="13.5" thickBot="1" x14ac:dyDescent="0.25">
      <c r="A712" s="74">
        <v>58502</v>
      </c>
      <c r="B712" s="75" t="s">
        <v>526</v>
      </c>
      <c r="C712" s="76" t="s">
        <v>525</v>
      </c>
    </row>
    <row r="713" spans="1:3" ht="13.5" thickBot="1" x14ac:dyDescent="0.25">
      <c r="A713" s="74">
        <v>58547</v>
      </c>
      <c r="B713" s="75" t="s">
        <v>527</v>
      </c>
      <c r="C713" s="76" t="s">
        <v>528</v>
      </c>
    </row>
    <row r="714" spans="1:3" ht="13.5" thickBot="1" x14ac:dyDescent="0.25">
      <c r="A714" s="74">
        <v>58552</v>
      </c>
      <c r="B714" s="75" t="s">
        <v>540</v>
      </c>
      <c r="C714" s="76" t="s">
        <v>530</v>
      </c>
    </row>
    <row r="715" spans="1:3" ht="13.5" thickBot="1" x14ac:dyDescent="0.25">
      <c r="A715" s="74">
        <v>58562</v>
      </c>
      <c r="B715" s="75" t="s">
        <v>529</v>
      </c>
      <c r="C715" s="76" t="s">
        <v>531</v>
      </c>
    </row>
    <row r="716" spans="1:3" ht="13.5" thickBot="1" x14ac:dyDescent="0.25">
      <c r="A716" s="74">
        <v>58609</v>
      </c>
      <c r="B716" s="75" t="s">
        <v>532</v>
      </c>
      <c r="C716" s="76" t="s">
        <v>533</v>
      </c>
    </row>
    <row r="717" spans="1:3" ht="13.5" thickBot="1" x14ac:dyDescent="0.25">
      <c r="A717" s="74">
        <v>58691</v>
      </c>
      <c r="B717" s="75" t="s">
        <v>526</v>
      </c>
      <c r="C717" s="76" t="s">
        <v>534</v>
      </c>
    </row>
    <row r="718" spans="1:3" ht="14.25" thickBot="1" x14ac:dyDescent="0.25">
      <c r="A718" s="74">
        <v>58726</v>
      </c>
      <c r="B718" s="75" t="s">
        <v>526</v>
      </c>
      <c r="C718" s="76" t="s">
        <v>535</v>
      </c>
    </row>
    <row r="719" spans="1:3" ht="13.5" thickBot="1" x14ac:dyDescent="0.25">
      <c r="A719" s="74">
        <v>58747</v>
      </c>
      <c r="B719" s="75" t="s">
        <v>526</v>
      </c>
      <c r="C719" s="76" t="s">
        <v>536</v>
      </c>
    </row>
    <row r="720" spans="1:3" ht="13.5" thickBot="1" x14ac:dyDescent="0.25">
      <c r="A720" s="74">
        <v>58760</v>
      </c>
      <c r="B720" s="75" t="s">
        <v>523</v>
      </c>
      <c r="C720" s="76" t="s">
        <v>537</v>
      </c>
    </row>
    <row r="721" spans="1:3" ht="13.5" thickBot="1" x14ac:dyDescent="0.25">
      <c r="A721" s="74">
        <v>58800</v>
      </c>
      <c r="B721" s="75" t="s">
        <v>529</v>
      </c>
      <c r="C721" s="76" t="s">
        <v>538</v>
      </c>
    </row>
    <row r="722" spans="1:3" ht="13.5" thickBot="1" x14ac:dyDescent="0.25">
      <c r="A722" s="77">
        <v>58807</v>
      </c>
      <c r="B722" s="78" t="s">
        <v>529</v>
      </c>
      <c r="C722" s="79" t="s">
        <v>524</v>
      </c>
    </row>
    <row r="723" spans="1:3" ht="13.5" thickBot="1" x14ac:dyDescent="0.25">
      <c r="A723" s="68">
        <v>58858</v>
      </c>
      <c r="B723" s="69" t="s">
        <v>523</v>
      </c>
      <c r="C723" s="70" t="s">
        <v>525</v>
      </c>
    </row>
    <row r="724" spans="1:3" ht="13.5" thickBot="1" x14ac:dyDescent="0.25">
      <c r="A724" s="68">
        <v>58859</v>
      </c>
      <c r="B724" s="69" t="s">
        <v>526</v>
      </c>
      <c r="C724" s="70" t="s">
        <v>525</v>
      </c>
    </row>
    <row r="725" spans="1:3" ht="13.5" thickBot="1" x14ac:dyDescent="0.25">
      <c r="A725" s="68">
        <v>58904</v>
      </c>
      <c r="B725" s="69" t="s">
        <v>527</v>
      </c>
      <c r="C725" s="70" t="s">
        <v>528</v>
      </c>
    </row>
    <row r="726" spans="1:3" ht="13.5" thickBot="1" x14ac:dyDescent="0.25">
      <c r="A726" s="68">
        <v>58917</v>
      </c>
      <c r="B726" s="69" t="s">
        <v>532</v>
      </c>
      <c r="C726" s="70" t="s">
        <v>530</v>
      </c>
    </row>
    <row r="727" spans="1:3" ht="13.5" thickBot="1" x14ac:dyDescent="0.25">
      <c r="A727" s="68">
        <v>58927</v>
      </c>
      <c r="B727" s="69" t="s">
        <v>539</v>
      </c>
      <c r="C727" s="70" t="s">
        <v>531</v>
      </c>
    </row>
    <row r="728" spans="1:3" ht="13.5" thickBot="1" x14ac:dyDescent="0.25">
      <c r="A728" s="68">
        <v>58966</v>
      </c>
      <c r="B728" s="69" t="s">
        <v>532</v>
      </c>
      <c r="C728" s="70" t="s">
        <v>533</v>
      </c>
    </row>
    <row r="729" spans="1:3" ht="13.5" thickBot="1" x14ac:dyDescent="0.25">
      <c r="A729" s="68">
        <v>59056</v>
      </c>
      <c r="B729" s="69" t="s">
        <v>540</v>
      </c>
      <c r="C729" s="70" t="s">
        <v>534</v>
      </c>
    </row>
    <row r="730" spans="1:3" ht="14.25" thickBot="1" x14ac:dyDescent="0.25">
      <c r="A730" s="68">
        <v>59091</v>
      </c>
      <c r="B730" s="69" t="s">
        <v>540</v>
      </c>
      <c r="C730" s="70" t="s">
        <v>535</v>
      </c>
    </row>
    <row r="731" spans="1:3" ht="13.5" thickBot="1" x14ac:dyDescent="0.25">
      <c r="A731" s="68">
        <v>59112</v>
      </c>
      <c r="B731" s="69" t="s">
        <v>540</v>
      </c>
      <c r="C731" s="70" t="s">
        <v>536</v>
      </c>
    </row>
    <row r="732" spans="1:3" ht="13.5" thickBot="1" x14ac:dyDescent="0.25">
      <c r="A732" s="68">
        <v>59125</v>
      </c>
      <c r="B732" s="69" t="s">
        <v>526</v>
      </c>
      <c r="C732" s="70" t="s">
        <v>537</v>
      </c>
    </row>
    <row r="733" spans="1:3" ht="13.5" thickBot="1" x14ac:dyDescent="0.25">
      <c r="A733" s="68">
        <v>59165</v>
      </c>
      <c r="B733" s="69" t="s">
        <v>539</v>
      </c>
      <c r="C733" s="70" t="s">
        <v>538</v>
      </c>
    </row>
    <row r="734" spans="1:3" ht="13.5" thickBot="1" x14ac:dyDescent="0.25">
      <c r="A734" s="71">
        <v>59172</v>
      </c>
      <c r="B734" s="72" t="s">
        <v>539</v>
      </c>
      <c r="C734" s="73" t="s">
        <v>524</v>
      </c>
    </row>
    <row r="735" spans="1:3" ht="13.5" thickBot="1" x14ac:dyDescent="0.25">
      <c r="A735" s="74">
        <v>59208</v>
      </c>
      <c r="B735" s="75" t="s">
        <v>523</v>
      </c>
      <c r="C735" s="76" t="s">
        <v>525</v>
      </c>
    </row>
    <row r="736" spans="1:3" ht="13.5" thickBot="1" x14ac:dyDescent="0.25">
      <c r="A736" s="74">
        <v>59209</v>
      </c>
      <c r="B736" s="75" t="s">
        <v>526</v>
      </c>
      <c r="C736" s="76" t="s">
        <v>525</v>
      </c>
    </row>
    <row r="737" spans="1:3" ht="13.5" thickBot="1" x14ac:dyDescent="0.25">
      <c r="A737" s="74">
        <v>59254</v>
      </c>
      <c r="B737" s="75" t="s">
        <v>527</v>
      </c>
      <c r="C737" s="76" t="s">
        <v>528</v>
      </c>
    </row>
    <row r="738" spans="1:3" ht="13.5" thickBot="1" x14ac:dyDescent="0.25">
      <c r="A738" s="74">
        <v>59282</v>
      </c>
      <c r="B738" s="75" t="s">
        <v>527</v>
      </c>
      <c r="C738" s="76" t="s">
        <v>530</v>
      </c>
    </row>
    <row r="739" spans="1:3" ht="13.5" thickBot="1" x14ac:dyDescent="0.25">
      <c r="A739" s="74">
        <v>59292</v>
      </c>
      <c r="B739" s="75" t="s">
        <v>523</v>
      </c>
      <c r="C739" s="76" t="s">
        <v>531</v>
      </c>
    </row>
    <row r="740" spans="1:3" ht="13.5" thickBot="1" x14ac:dyDescent="0.25">
      <c r="A740" s="74">
        <v>59316</v>
      </c>
      <c r="B740" s="75" t="s">
        <v>532</v>
      </c>
      <c r="C740" s="76" t="s">
        <v>533</v>
      </c>
    </row>
    <row r="741" spans="1:3" ht="13.5" thickBot="1" x14ac:dyDescent="0.25">
      <c r="A741" s="74">
        <v>59421</v>
      </c>
      <c r="B741" s="75" t="s">
        <v>532</v>
      </c>
      <c r="C741" s="76" t="s">
        <v>534</v>
      </c>
    </row>
    <row r="742" spans="1:3" ht="14.25" thickBot="1" x14ac:dyDescent="0.25">
      <c r="A742" s="74">
        <v>59456</v>
      </c>
      <c r="B742" s="75" t="s">
        <v>532</v>
      </c>
      <c r="C742" s="76" t="s">
        <v>535</v>
      </c>
    </row>
    <row r="743" spans="1:3" ht="13.5" thickBot="1" x14ac:dyDescent="0.25">
      <c r="A743" s="74">
        <v>59477</v>
      </c>
      <c r="B743" s="75" t="s">
        <v>532</v>
      </c>
      <c r="C743" s="76" t="s">
        <v>536</v>
      </c>
    </row>
    <row r="744" spans="1:3" ht="13.5" thickBot="1" x14ac:dyDescent="0.25">
      <c r="A744" s="74">
        <v>59490</v>
      </c>
      <c r="B744" s="75" t="s">
        <v>540</v>
      </c>
      <c r="C744" s="76" t="s">
        <v>537</v>
      </c>
    </row>
    <row r="745" spans="1:3" ht="13.5" thickBot="1" x14ac:dyDescent="0.25">
      <c r="A745" s="74">
        <v>59530</v>
      </c>
      <c r="B745" s="75" t="s">
        <v>523</v>
      </c>
      <c r="C745" s="76" t="s">
        <v>538</v>
      </c>
    </row>
    <row r="746" spans="1:3" ht="13.5" thickBot="1" x14ac:dyDescent="0.25">
      <c r="A746" s="77">
        <v>59537</v>
      </c>
      <c r="B746" s="78" t="s">
        <v>523</v>
      </c>
      <c r="C746" s="79" t="s">
        <v>524</v>
      </c>
    </row>
    <row r="747" spans="1:3" ht="13.5" thickBot="1" x14ac:dyDescent="0.25">
      <c r="A747" s="68">
        <v>59593</v>
      </c>
      <c r="B747" s="69" t="s">
        <v>523</v>
      </c>
      <c r="C747" s="70" t="s">
        <v>525</v>
      </c>
    </row>
    <row r="748" spans="1:3" ht="13.5" thickBot="1" x14ac:dyDescent="0.25">
      <c r="A748" s="68">
        <v>59594</v>
      </c>
      <c r="B748" s="69" t="s">
        <v>526</v>
      </c>
      <c r="C748" s="70" t="s">
        <v>525</v>
      </c>
    </row>
    <row r="749" spans="1:3" ht="13.5" thickBot="1" x14ac:dyDescent="0.25">
      <c r="A749" s="68">
        <v>59639</v>
      </c>
      <c r="B749" s="69" t="s">
        <v>527</v>
      </c>
      <c r="C749" s="70" t="s">
        <v>528</v>
      </c>
    </row>
    <row r="750" spans="1:3" ht="13.5" thickBot="1" x14ac:dyDescent="0.25">
      <c r="A750" s="68">
        <v>59647</v>
      </c>
      <c r="B750" s="69" t="s">
        <v>529</v>
      </c>
      <c r="C750" s="70" t="s">
        <v>530</v>
      </c>
    </row>
    <row r="751" spans="1:3" ht="13.5" thickBot="1" x14ac:dyDescent="0.25">
      <c r="A751" s="68">
        <v>59657</v>
      </c>
      <c r="B751" s="69" t="s">
        <v>526</v>
      </c>
      <c r="C751" s="70" t="s">
        <v>531</v>
      </c>
    </row>
    <row r="752" spans="1:3" ht="13.5" thickBot="1" x14ac:dyDescent="0.25">
      <c r="A752" s="68">
        <v>59701</v>
      </c>
      <c r="B752" s="69" t="s">
        <v>532</v>
      </c>
      <c r="C752" s="70" t="s">
        <v>533</v>
      </c>
    </row>
    <row r="753" spans="1:3" ht="13.5" thickBot="1" x14ac:dyDescent="0.25">
      <c r="A753" s="68">
        <v>59786</v>
      </c>
      <c r="B753" s="69" t="s">
        <v>527</v>
      </c>
      <c r="C753" s="70" t="s">
        <v>534</v>
      </c>
    </row>
    <row r="754" spans="1:3" ht="14.25" thickBot="1" x14ac:dyDescent="0.25">
      <c r="A754" s="68">
        <v>59821</v>
      </c>
      <c r="B754" s="69" t="s">
        <v>527</v>
      </c>
      <c r="C754" s="70" t="s">
        <v>535</v>
      </c>
    </row>
    <row r="755" spans="1:3" ht="13.5" thickBot="1" x14ac:dyDescent="0.25">
      <c r="A755" s="68">
        <v>59842</v>
      </c>
      <c r="B755" s="69" t="s">
        <v>527</v>
      </c>
      <c r="C755" s="70" t="s">
        <v>536</v>
      </c>
    </row>
    <row r="756" spans="1:3" ht="13.5" thickBot="1" x14ac:dyDescent="0.25">
      <c r="A756" s="68">
        <v>59855</v>
      </c>
      <c r="B756" s="69" t="s">
        <v>532</v>
      </c>
      <c r="C756" s="70" t="s">
        <v>537</v>
      </c>
    </row>
    <row r="757" spans="1:3" ht="13.5" thickBot="1" x14ac:dyDescent="0.25">
      <c r="A757" s="68">
        <v>59895</v>
      </c>
      <c r="B757" s="69" t="s">
        <v>526</v>
      </c>
      <c r="C757" s="70" t="s">
        <v>538</v>
      </c>
    </row>
    <row r="758" spans="1:3" ht="13.5" thickBot="1" x14ac:dyDescent="0.25">
      <c r="A758" s="71">
        <v>59902</v>
      </c>
      <c r="B758" s="72" t="s">
        <v>526</v>
      </c>
      <c r="C758" s="73" t="s">
        <v>524</v>
      </c>
    </row>
    <row r="759" spans="1:3" ht="13.5" thickBot="1" x14ac:dyDescent="0.25">
      <c r="A759" s="74">
        <v>59950</v>
      </c>
      <c r="B759" s="75" t="s">
        <v>523</v>
      </c>
      <c r="C759" s="76" t="s">
        <v>525</v>
      </c>
    </row>
    <row r="760" spans="1:3" ht="13.5" thickBot="1" x14ac:dyDescent="0.25">
      <c r="A760" s="74">
        <v>59951</v>
      </c>
      <c r="B760" s="75" t="s">
        <v>526</v>
      </c>
      <c r="C760" s="76" t="s">
        <v>525</v>
      </c>
    </row>
    <row r="761" spans="1:3" ht="13.5" thickBot="1" x14ac:dyDescent="0.25">
      <c r="A761" s="74">
        <v>59996</v>
      </c>
      <c r="B761" s="75" t="s">
        <v>527</v>
      </c>
      <c r="C761" s="76" t="s">
        <v>528</v>
      </c>
    </row>
    <row r="762" spans="1:3" ht="13.5" thickBot="1" x14ac:dyDescent="0.25">
      <c r="A762" s="74">
        <v>60013</v>
      </c>
      <c r="B762" s="75" t="s">
        <v>523</v>
      </c>
      <c r="C762" s="76" t="s">
        <v>530</v>
      </c>
    </row>
    <row r="763" spans="1:3" ht="13.5" thickBot="1" x14ac:dyDescent="0.25">
      <c r="A763" s="74">
        <v>60023</v>
      </c>
      <c r="B763" s="75" t="s">
        <v>532</v>
      </c>
      <c r="C763" s="76" t="s">
        <v>531</v>
      </c>
    </row>
    <row r="764" spans="1:3" ht="13.5" thickBot="1" x14ac:dyDescent="0.25">
      <c r="A764" s="74">
        <v>60058</v>
      </c>
      <c r="B764" s="75" t="s">
        <v>532</v>
      </c>
      <c r="C764" s="76" t="s">
        <v>533</v>
      </c>
    </row>
    <row r="765" spans="1:3" ht="13.5" thickBot="1" x14ac:dyDescent="0.25">
      <c r="A765" s="74">
        <v>60152</v>
      </c>
      <c r="B765" s="75" t="s">
        <v>539</v>
      </c>
      <c r="C765" s="76" t="s">
        <v>534</v>
      </c>
    </row>
    <row r="766" spans="1:3" ht="14.25" thickBot="1" x14ac:dyDescent="0.25">
      <c r="A766" s="74">
        <v>60187</v>
      </c>
      <c r="B766" s="75" t="s">
        <v>539</v>
      </c>
      <c r="C766" s="76" t="s">
        <v>535</v>
      </c>
    </row>
    <row r="767" spans="1:3" ht="13.5" thickBot="1" x14ac:dyDescent="0.25">
      <c r="A767" s="74">
        <v>60208</v>
      </c>
      <c r="B767" s="75" t="s">
        <v>539</v>
      </c>
      <c r="C767" s="76" t="s">
        <v>536</v>
      </c>
    </row>
    <row r="768" spans="1:3" ht="13.5" thickBot="1" x14ac:dyDescent="0.25">
      <c r="A768" s="74">
        <v>60221</v>
      </c>
      <c r="B768" s="75" t="s">
        <v>529</v>
      </c>
      <c r="C768" s="76" t="s">
        <v>537</v>
      </c>
    </row>
    <row r="769" spans="1:3" ht="13.5" thickBot="1" x14ac:dyDescent="0.25">
      <c r="A769" s="74">
        <v>60261</v>
      </c>
      <c r="B769" s="75" t="s">
        <v>532</v>
      </c>
      <c r="C769" s="76" t="s">
        <v>538</v>
      </c>
    </row>
    <row r="770" spans="1:3" ht="13.5" thickBot="1" x14ac:dyDescent="0.25">
      <c r="A770" s="77">
        <v>60268</v>
      </c>
      <c r="B770" s="78" t="s">
        <v>532</v>
      </c>
      <c r="C770" s="79" t="s">
        <v>524</v>
      </c>
    </row>
    <row r="771" spans="1:3" ht="13.5" thickBot="1" x14ac:dyDescent="0.25">
      <c r="A771" s="68">
        <v>60307</v>
      </c>
      <c r="B771" s="69" t="s">
        <v>523</v>
      </c>
      <c r="C771" s="70" t="s">
        <v>525</v>
      </c>
    </row>
    <row r="772" spans="1:3" ht="13.5" thickBot="1" x14ac:dyDescent="0.25">
      <c r="A772" s="68">
        <v>60308</v>
      </c>
      <c r="B772" s="69" t="s">
        <v>526</v>
      </c>
      <c r="C772" s="70" t="s">
        <v>525</v>
      </c>
    </row>
    <row r="773" spans="1:3" ht="13.5" thickBot="1" x14ac:dyDescent="0.25">
      <c r="A773" s="68">
        <v>60353</v>
      </c>
      <c r="B773" s="69" t="s">
        <v>527</v>
      </c>
      <c r="C773" s="70" t="s">
        <v>528</v>
      </c>
    </row>
    <row r="774" spans="1:3" ht="13.5" thickBot="1" x14ac:dyDescent="0.25">
      <c r="A774" s="68">
        <v>60378</v>
      </c>
      <c r="B774" s="69" t="s">
        <v>526</v>
      </c>
      <c r="C774" s="70" t="s">
        <v>530</v>
      </c>
    </row>
    <row r="775" spans="1:3" ht="13.5" thickBot="1" x14ac:dyDescent="0.25">
      <c r="A775" s="68">
        <v>60388</v>
      </c>
      <c r="B775" s="69" t="s">
        <v>527</v>
      </c>
      <c r="C775" s="70" t="s">
        <v>531</v>
      </c>
    </row>
    <row r="776" spans="1:3" ht="13.5" thickBot="1" x14ac:dyDescent="0.25">
      <c r="A776" s="68">
        <v>60415</v>
      </c>
      <c r="B776" s="69" t="s">
        <v>532</v>
      </c>
      <c r="C776" s="70" t="s">
        <v>533</v>
      </c>
    </row>
    <row r="777" spans="1:3" ht="13.5" thickBot="1" x14ac:dyDescent="0.25">
      <c r="A777" s="68">
        <v>60517</v>
      </c>
      <c r="B777" s="69" t="s">
        <v>523</v>
      </c>
      <c r="C777" s="70" t="s">
        <v>534</v>
      </c>
    </row>
    <row r="778" spans="1:3" ht="14.25" thickBot="1" x14ac:dyDescent="0.25">
      <c r="A778" s="68">
        <v>60552</v>
      </c>
      <c r="B778" s="69" t="s">
        <v>523</v>
      </c>
      <c r="C778" s="70" t="s">
        <v>535</v>
      </c>
    </row>
    <row r="779" spans="1:3" ht="13.5" thickBot="1" x14ac:dyDescent="0.25">
      <c r="A779" s="68">
        <v>60573</v>
      </c>
      <c r="B779" s="69" t="s">
        <v>523</v>
      </c>
      <c r="C779" s="70" t="s">
        <v>536</v>
      </c>
    </row>
    <row r="780" spans="1:3" ht="13.5" thickBot="1" x14ac:dyDescent="0.25">
      <c r="A780" s="68">
        <v>60586</v>
      </c>
      <c r="B780" s="69" t="s">
        <v>539</v>
      </c>
      <c r="C780" s="70" t="s">
        <v>537</v>
      </c>
    </row>
    <row r="781" spans="1:3" ht="13.5" thickBot="1" x14ac:dyDescent="0.25">
      <c r="A781" s="68">
        <v>60626</v>
      </c>
      <c r="B781" s="69" t="s">
        <v>527</v>
      </c>
      <c r="C781" s="70" t="s">
        <v>538</v>
      </c>
    </row>
    <row r="782" spans="1:3" ht="13.5" thickBot="1" x14ac:dyDescent="0.25">
      <c r="A782" s="71">
        <v>60633</v>
      </c>
      <c r="B782" s="72" t="s">
        <v>527</v>
      </c>
      <c r="C782" s="73" t="s">
        <v>524</v>
      </c>
    </row>
    <row r="783" spans="1:3" ht="13.5" thickBot="1" x14ac:dyDescent="0.25">
      <c r="A783" s="74">
        <v>60685</v>
      </c>
      <c r="B783" s="75" t="s">
        <v>523</v>
      </c>
      <c r="C783" s="76" t="s">
        <v>525</v>
      </c>
    </row>
    <row r="784" spans="1:3" ht="13.5" thickBot="1" x14ac:dyDescent="0.25">
      <c r="A784" s="74">
        <v>60686</v>
      </c>
      <c r="B784" s="75" t="s">
        <v>526</v>
      </c>
      <c r="C784" s="76" t="s">
        <v>525</v>
      </c>
    </row>
    <row r="785" spans="1:3" ht="13.5" thickBot="1" x14ac:dyDescent="0.25">
      <c r="A785" s="74">
        <v>60731</v>
      </c>
      <c r="B785" s="75" t="s">
        <v>527</v>
      </c>
      <c r="C785" s="76" t="s">
        <v>528</v>
      </c>
    </row>
    <row r="786" spans="1:3" ht="13.5" thickBot="1" x14ac:dyDescent="0.25">
      <c r="A786" s="74">
        <v>60743</v>
      </c>
      <c r="B786" s="75" t="s">
        <v>540</v>
      </c>
      <c r="C786" s="76" t="s">
        <v>530</v>
      </c>
    </row>
    <row r="787" spans="1:3" ht="13.5" thickBot="1" x14ac:dyDescent="0.25">
      <c r="A787" s="74">
        <v>60753</v>
      </c>
      <c r="B787" s="75" t="s">
        <v>529</v>
      </c>
      <c r="C787" s="76" t="s">
        <v>531</v>
      </c>
    </row>
    <row r="788" spans="1:3" ht="13.5" thickBot="1" x14ac:dyDescent="0.25">
      <c r="A788" s="74">
        <v>60793</v>
      </c>
      <c r="B788" s="75" t="s">
        <v>532</v>
      </c>
      <c r="C788" s="76" t="s">
        <v>533</v>
      </c>
    </row>
    <row r="789" spans="1:3" ht="13.5" thickBot="1" x14ac:dyDescent="0.25">
      <c r="A789" s="74">
        <v>60882</v>
      </c>
      <c r="B789" s="75" t="s">
        <v>526</v>
      </c>
      <c r="C789" s="76" t="s">
        <v>534</v>
      </c>
    </row>
    <row r="790" spans="1:3" ht="14.25" thickBot="1" x14ac:dyDescent="0.25">
      <c r="A790" s="74">
        <v>60917</v>
      </c>
      <c r="B790" s="75" t="s">
        <v>526</v>
      </c>
      <c r="C790" s="76" t="s">
        <v>535</v>
      </c>
    </row>
    <row r="791" spans="1:3" ht="13.5" thickBot="1" x14ac:dyDescent="0.25">
      <c r="A791" s="74">
        <v>60938</v>
      </c>
      <c r="B791" s="75" t="s">
        <v>526</v>
      </c>
      <c r="C791" s="76" t="s">
        <v>536</v>
      </c>
    </row>
    <row r="792" spans="1:3" ht="13.5" thickBot="1" x14ac:dyDescent="0.25">
      <c r="A792" s="74">
        <v>60951</v>
      </c>
      <c r="B792" s="75" t="s">
        <v>523</v>
      </c>
      <c r="C792" s="76" t="s">
        <v>537</v>
      </c>
    </row>
    <row r="793" spans="1:3" ht="13.5" thickBot="1" x14ac:dyDescent="0.25">
      <c r="A793" s="74">
        <v>60991</v>
      </c>
      <c r="B793" s="75" t="s">
        <v>529</v>
      </c>
      <c r="C793" s="76" t="s">
        <v>538</v>
      </c>
    </row>
    <row r="794" spans="1:3" ht="13.5" thickBot="1" x14ac:dyDescent="0.25">
      <c r="A794" s="77">
        <v>60998</v>
      </c>
      <c r="B794" s="78" t="s">
        <v>529</v>
      </c>
      <c r="C794" s="79" t="s">
        <v>524</v>
      </c>
    </row>
    <row r="795" spans="1:3" ht="13.5" thickBot="1" x14ac:dyDescent="0.25">
      <c r="A795" s="68">
        <v>61042</v>
      </c>
      <c r="B795" s="69" t="s">
        <v>523</v>
      </c>
      <c r="C795" s="70" t="s">
        <v>525</v>
      </c>
    </row>
    <row r="796" spans="1:3" ht="13.5" thickBot="1" x14ac:dyDescent="0.25">
      <c r="A796" s="68">
        <v>61043</v>
      </c>
      <c r="B796" s="69" t="s">
        <v>526</v>
      </c>
      <c r="C796" s="70" t="s">
        <v>525</v>
      </c>
    </row>
    <row r="797" spans="1:3" ht="13.5" thickBot="1" x14ac:dyDescent="0.25">
      <c r="A797" s="68">
        <v>61088</v>
      </c>
      <c r="B797" s="69" t="s">
        <v>527</v>
      </c>
      <c r="C797" s="70" t="s">
        <v>528</v>
      </c>
    </row>
    <row r="798" spans="1:3" ht="13.5" thickBot="1" x14ac:dyDescent="0.25">
      <c r="A798" s="68">
        <v>61108</v>
      </c>
      <c r="B798" s="69" t="s">
        <v>532</v>
      </c>
      <c r="C798" s="70" t="s">
        <v>530</v>
      </c>
    </row>
    <row r="799" spans="1:3" ht="13.5" thickBot="1" x14ac:dyDescent="0.25">
      <c r="A799" s="68">
        <v>61118</v>
      </c>
      <c r="B799" s="69" t="s">
        <v>539</v>
      </c>
      <c r="C799" s="70" t="s">
        <v>531</v>
      </c>
    </row>
    <row r="800" spans="1:3" ht="13.5" thickBot="1" x14ac:dyDescent="0.25">
      <c r="A800" s="68">
        <v>61150</v>
      </c>
      <c r="B800" s="69" t="s">
        <v>532</v>
      </c>
      <c r="C800" s="70" t="s">
        <v>533</v>
      </c>
    </row>
    <row r="801" spans="1:3" ht="13.5" thickBot="1" x14ac:dyDescent="0.25">
      <c r="A801" s="68">
        <v>61247</v>
      </c>
      <c r="B801" s="69" t="s">
        <v>540</v>
      </c>
      <c r="C801" s="70" t="s">
        <v>534</v>
      </c>
    </row>
    <row r="802" spans="1:3" ht="14.25" thickBot="1" x14ac:dyDescent="0.25">
      <c r="A802" s="68">
        <v>61282</v>
      </c>
      <c r="B802" s="69" t="s">
        <v>540</v>
      </c>
      <c r="C802" s="70" t="s">
        <v>535</v>
      </c>
    </row>
    <row r="803" spans="1:3" ht="13.5" thickBot="1" x14ac:dyDescent="0.25">
      <c r="A803" s="68">
        <v>61303</v>
      </c>
      <c r="B803" s="69" t="s">
        <v>540</v>
      </c>
      <c r="C803" s="70" t="s">
        <v>536</v>
      </c>
    </row>
    <row r="804" spans="1:3" ht="13.5" thickBot="1" x14ac:dyDescent="0.25">
      <c r="A804" s="68">
        <v>61316</v>
      </c>
      <c r="B804" s="69" t="s">
        <v>526</v>
      </c>
      <c r="C804" s="70" t="s">
        <v>537</v>
      </c>
    </row>
    <row r="805" spans="1:3" ht="13.5" thickBot="1" x14ac:dyDescent="0.25">
      <c r="A805" s="68">
        <v>61356</v>
      </c>
      <c r="B805" s="69" t="s">
        <v>539</v>
      </c>
      <c r="C805" s="70" t="s">
        <v>538</v>
      </c>
    </row>
    <row r="806" spans="1:3" ht="13.5" thickBot="1" x14ac:dyDescent="0.25">
      <c r="A806" s="71">
        <v>61363</v>
      </c>
      <c r="B806" s="72" t="s">
        <v>539</v>
      </c>
      <c r="C806" s="73" t="s">
        <v>524</v>
      </c>
    </row>
    <row r="807" spans="1:3" ht="13.5" thickBot="1" x14ac:dyDescent="0.25">
      <c r="A807" s="74">
        <v>61427</v>
      </c>
      <c r="B807" s="75" t="s">
        <v>523</v>
      </c>
      <c r="C807" s="76" t="s">
        <v>525</v>
      </c>
    </row>
    <row r="808" spans="1:3" ht="13.5" thickBot="1" x14ac:dyDescent="0.25">
      <c r="A808" s="74">
        <v>61428</v>
      </c>
      <c r="B808" s="75" t="s">
        <v>526</v>
      </c>
      <c r="C808" s="76" t="s">
        <v>525</v>
      </c>
    </row>
    <row r="809" spans="1:3" ht="13.5" thickBot="1" x14ac:dyDescent="0.25">
      <c r="A809" s="74">
        <v>61473</v>
      </c>
      <c r="B809" s="75" t="s">
        <v>527</v>
      </c>
      <c r="C809" s="76" t="s">
        <v>528</v>
      </c>
    </row>
    <row r="810" spans="1:3" ht="13.5" thickBot="1" x14ac:dyDescent="0.25">
      <c r="A810" s="74">
        <v>61474</v>
      </c>
      <c r="B810" s="75" t="s">
        <v>529</v>
      </c>
      <c r="C810" s="76" t="s">
        <v>530</v>
      </c>
    </row>
    <row r="811" spans="1:3" ht="13.5" thickBot="1" x14ac:dyDescent="0.25">
      <c r="A811" s="74">
        <v>61484</v>
      </c>
      <c r="B811" s="75" t="s">
        <v>526</v>
      </c>
      <c r="C811" s="76" t="s">
        <v>531</v>
      </c>
    </row>
    <row r="812" spans="1:3" ht="13.5" thickBot="1" x14ac:dyDescent="0.25">
      <c r="A812" s="74">
        <v>61535</v>
      </c>
      <c r="B812" s="75" t="s">
        <v>532</v>
      </c>
      <c r="C812" s="76" t="s">
        <v>533</v>
      </c>
    </row>
    <row r="813" spans="1:3" ht="13.5" thickBot="1" x14ac:dyDescent="0.25">
      <c r="A813" s="74">
        <v>61613</v>
      </c>
      <c r="B813" s="75" t="s">
        <v>527</v>
      </c>
      <c r="C813" s="76" t="s">
        <v>534</v>
      </c>
    </row>
    <row r="814" spans="1:3" ht="14.25" thickBot="1" x14ac:dyDescent="0.25">
      <c r="A814" s="74">
        <v>61648</v>
      </c>
      <c r="B814" s="75" t="s">
        <v>527</v>
      </c>
      <c r="C814" s="76" t="s">
        <v>535</v>
      </c>
    </row>
    <row r="815" spans="1:3" ht="13.5" thickBot="1" x14ac:dyDescent="0.25">
      <c r="A815" s="74">
        <v>61669</v>
      </c>
      <c r="B815" s="75" t="s">
        <v>527</v>
      </c>
      <c r="C815" s="76" t="s">
        <v>536</v>
      </c>
    </row>
    <row r="816" spans="1:3" ht="13.5" thickBot="1" x14ac:dyDescent="0.25">
      <c r="A816" s="74">
        <v>61682</v>
      </c>
      <c r="B816" s="75" t="s">
        <v>532</v>
      </c>
      <c r="C816" s="76" t="s">
        <v>537</v>
      </c>
    </row>
    <row r="817" spans="1:3" ht="13.5" thickBot="1" x14ac:dyDescent="0.25">
      <c r="A817" s="74">
        <v>61722</v>
      </c>
      <c r="B817" s="75" t="s">
        <v>526</v>
      </c>
      <c r="C817" s="76" t="s">
        <v>538</v>
      </c>
    </row>
    <row r="818" spans="1:3" ht="13.5" thickBot="1" x14ac:dyDescent="0.25">
      <c r="A818" s="77">
        <v>61729</v>
      </c>
      <c r="B818" s="78" t="s">
        <v>526</v>
      </c>
      <c r="C818" s="79" t="s">
        <v>524</v>
      </c>
    </row>
    <row r="819" spans="1:3" ht="13.5" thickBot="1" x14ac:dyDescent="0.25">
      <c r="A819" s="68">
        <v>61784</v>
      </c>
      <c r="B819" s="69" t="s">
        <v>523</v>
      </c>
      <c r="C819" s="70" t="s">
        <v>525</v>
      </c>
    </row>
    <row r="820" spans="1:3" ht="13.5" thickBot="1" x14ac:dyDescent="0.25">
      <c r="A820" s="68">
        <v>61785</v>
      </c>
      <c r="B820" s="69" t="s">
        <v>526</v>
      </c>
      <c r="C820" s="70" t="s">
        <v>525</v>
      </c>
    </row>
    <row r="821" spans="1:3" ht="13.5" thickBot="1" x14ac:dyDescent="0.25">
      <c r="A821" s="68">
        <v>61830</v>
      </c>
      <c r="B821" s="69" t="s">
        <v>527</v>
      </c>
      <c r="C821" s="70" t="s">
        <v>528</v>
      </c>
    </row>
    <row r="822" spans="1:3" ht="13.5" thickBot="1" x14ac:dyDescent="0.25">
      <c r="A822" s="68">
        <v>61839</v>
      </c>
      <c r="B822" s="69" t="s">
        <v>539</v>
      </c>
      <c r="C822" s="70" t="s">
        <v>530</v>
      </c>
    </row>
    <row r="823" spans="1:3" ht="13.5" thickBot="1" x14ac:dyDescent="0.25">
      <c r="A823" s="68">
        <v>61849</v>
      </c>
      <c r="B823" s="69" t="s">
        <v>540</v>
      </c>
      <c r="C823" s="70" t="s">
        <v>531</v>
      </c>
    </row>
    <row r="824" spans="1:3" ht="13.5" thickBot="1" x14ac:dyDescent="0.25">
      <c r="A824" s="68">
        <v>61892</v>
      </c>
      <c r="B824" s="69" t="s">
        <v>532</v>
      </c>
      <c r="C824" s="70" t="s">
        <v>533</v>
      </c>
    </row>
    <row r="825" spans="1:3" ht="13.5" thickBot="1" x14ac:dyDescent="0.25">
      <c r="A825" s="68">
        <v>61978</v>
      </c>
      <c r="B825" s="69" t="s">
        <v>529</v>
      </c>
      <c r="C825" s="70" t="s">
        <v>534</v>
      </c>
    </row>
    <row r="826" spans="1:3" ht="14.25" thickBot="1" x14ac:dyDescent="0.25">
      <c r="A826" s="68">
        <v>62013</v>
      </c>
      <c r="B826" s="69" t="s">
        <v>529</v>
      </c>
      <c r="C826" s="70" t="s">
        <v>535</v>
      </c>
    </row>
    <row r="827" spans="1:3" ht="13.5" thickBot="1" x14ac:dyDescent="0.25">
      <c r="A827" s="68">
        <v>62034</v>
      </c>
      <c r="B827" s="69" t="s">
        <v>529</v>
      </c>
      <c r="C827" s="70" t="s">
        <v>536</v>
      </c>
    </row>
    <row r="828" spans="1:3" ht="13.5" thickBot="1" x14ac:dyDescent="0.25">
      <c r="A828" s="68">
        <v>62047</v>
      </c>
      <c r="B828" s="69" t="s">
        <v>527</v>
      </c>
      <c r="C828" s="70" t="s">
        <v>537</v>
      </c>
    </row>
    <row r="829" spans="1:3" ht="13.5" thickBot="1" x14ac:dyDescent="0.25">
      <c r="A829" s="68">
        <v>62087</v>
      </c>
      <c r="B829" s="69" t="s">
        <v>540</v>
      </c>
      <c r="C829" s="70" t="s">
        <v>538</v>
      </c>
    </row>
    <row r="830" spans="1:3" ht="13.5" thickBot="1" x14ac:dyDescent="0.25">
      <c r="A830" s="71">
        <v>62094</v>
      </c>
      <c r="B830" s="72" t="s">
        <v>540</v>
      </c>
      <c r="C830" s="73" t="s">
        <v>524</v>
      </c>
    </row>
    <row r="831" spans="1:3" ht="13.5" thickBot="1" x14ac:dyDescent="0.25">
      <c r="A831" s="74">
        <v>62134</v>
      </c>
      <c r="B831" s="75" t="s">
        <v>523</v>
      </c>
      <c r="C831" s="76" t="s">
        <v>525</v>
      </c>
    </row>
    <row r="832" spans="1:3" ht="13.5" thickBot="1" x14ac:dyDescent="0.25">
      <c r="A832" s="74">
        <v>62135</v>
      </c>
      <c r="B832" s="75" t="s">
        <v>526</v>
      </c>
      <c r="C832" s="76" t="s">
        <v>525</v>
      </c>
    </row>
    <row r="833" spans="1:3" ht="13.5" thickBot="1" x14ac:dyDescent="0.25">
      <c r="A833" s="74">
        <v>62180</v>
      </c>
      <c r="B833" s="75" t="s">
        <v>527</v>
      </c>
      <c r="C833" s="76" t="s">
        <v>528</v>
      </c>
    </row>
    <row r="834" spans="1:3" ht="13.5" thickBot="1" x14ac:dyDescent="0.25">
      <c r="A834" s="74">
        <v>62204</v>
      </c>
      <c r="B834" s="75" t="s">
        <v>523</v>
      </c>
      <c r="C834" s="76" t="s">
        <v>530</v>
      </c>
    </row>
    <row r="835" spans="1:3" ht="13.5" thickBot="1" x14ac:dyDescent="0.25">
      <c r="A835" s="74">
        <v>62214</v>
      </c>
      <c r="B835" s="75" t="s">
        <v>532</v>
      </c>
      <c r="C835" s="76" t="s">
        <v>531</v>
      </c>
    </row>
    <row r="836" spans="1:3" ht="13.5" thickBot="1" x14ac:dyDescent="0.25">
      <c r="A836" s="74">
        <v>62242</v>
      </c>
      <c r="B836" s="75" t="s">
        <v>532</v>
      </c>
      <c r="C836" s="76" t="s">
        <v>533</v>
      </c>
    </row>
    <row r="837" spans="1:3" ht="13.5" thickBot="1" x14ac:dyDescent="0.25">
      <c r="A837" s="74">
        <v>62343</v>
      </c>
      <c r="B837" s="75" t="s">
        <v>539</v>
      </c>
      <c r="C837" s="76" t="s">
        <v>534</v>
      </c>
    </row>
    <row r="838" spans="1:3" ht="14.25" thickBot="1" x14ac:dyDescent="0.25">
      <c r="A838" s="74">
        <v>62378</v>
      </c>
      <c r="B838" s="75" t="s">
        <v>539</v>
      </c>
      <c r="C838" s="76" t="s">
        <v>535</v>
      </c>
    </row>
    <row r="839" spans="1:3" ht="13.5" thickBot="1" x14ac:dyDescent="0.25">
      <c r="A839" s="74">
        <v>62399</v>
      </c>
      <c r="B839" s="75" t="s">
        <v>539</v>
      </c>
      <c r="C839" s="76" t="s">
        <v>536</v>
      </c>
    </row>
    <row r="840" spans="1:3" ht="13.5" thickBot="1" x14ac:dyDescent="0.25">
      <c r="A840" s="74">
        <v>62412</v>
      </c>
      <c r="B840" s="75" t="s">
        <v>529</v>
      </c>
      <c r="C840" s="76" t="s">
        <v>537</v>
      </c>
    </row>
    <row r="841" spans="1:3" ht="13.5" thickBot="1" x14ac:dyDescent="0.25">
      <c r="A841" s="74">
        <v>62452</v>
      </c>
      <c r="B841" s="75" t="s">
        <v>532</v>
      </c>
      <c r="C841" s="76" t="s">
        <v>538</v>
      </c>
    </row>
    <row r="842" spans="1:3" ht="13.5" thickBot="1" x14ac:dyDescent="0.25">
      <c r="A842" s="77">
        <v>62459</v>
      </c>
      <c r="B842" s="78" t="s">
        <v>532</v>
      </c>
      <c r="C842" s="79" t="s">
        <v>524</v>
      </c>
    </row>
    <row r="843" spans="1:3" ht="13.5" thickBot="1" x14ac:dyDescent="0.25">
      <c r="A843" s="68">
        <v>62519</v>
      </c>
      <c r="B843" s="69" t="s">
        <v>523</v>
      </c>
      <c r="C843" s="70" t="s">
        <v>525</v>
      </c>
    </row>
    <row r="844" spans="1:3" ht="13.5" thickBot="1" x14ac:dyDescent="0.25">
      <c r="A844" s="68">
        <v>62520</v>
      </c>
      <c r="B844" s="69" t="s">
        <v>526</v>
      </c>
      <c r="C844" s="70" t="s">
        <v>525</v>
      </c>
    </row>
    <row r="845" spans="1:3" ht="13.5" thickBot="1" x14ac:dyDescent="0.25">
      <c r="A845" s="68">
        <v>62565</v>
      </c>
      <c r="B845" s="69" t="s">
        <v>527</v>
      </c>
      <c r="C845" s="70" t="s">
        <v>528</v>
      </c>
    </row>
    <row r="846" spans="1:3" ht="13.5" thickBot="1" x14ac:dyDescent="0.25">
      <c r="A846" s="68">
        <v>62569</v>
      </c>
      <c r="B846" s="69" t="s">
        <v>526</v>
      </c>
      <c r="C846" s="70" t="s">
        <v>530</v>
      </c>
    </row>
    <row r="847" spans="1:3" ht="13.5" thickBot="1" x14ac:dyDescent="0.25">
      <c r="A847" s="68">
        <v>62579</v>
      </c>
      <c r="B847" s="69" t="s">
        <v>527</v>
      </c>
      <c r="C847" s="70" t="s">
        <v>531</v>
      </c>
    </row>
    <row r="848" spans="1:3" ht="13.5" thickBot="1" x14ac:dyDescent="0.25">
      <c r="A848" s="68">
        <v>62627</v>
      </c>
      <c r="B848" s="69" t="s">
        <v>532</v>
      </c>
      <c r="C848" s="70" t="s">
        <v>533</v>
      </c>
    </row>
    <row r="849" spans="1:3" ht="13.5" thickBot="1" x14ac:dyDescent="0.25">
      <c r="A849" s="68">
        <v>62708</v>
      </c>
      <c r="B849" s="69" t="s">
        <v>523</v>
      </c>
      <c r="C849" s="70" t="s">
        <v>534</v>
      </c>
    </row>
    <row r="850" spans="1:3" ht="14.25" thickBot="1" x14ac:dyDescent="0.25">
      <c r="A850" s="68">
        <v>62743</v>
      </c>
      <c r="B850" s="69" t="s">
        <v>523</v>
      </c>
      <c r="C850" s="70" t="s">
        <v>535</v>
      </c>
    </row>
    <row r="851" spans="1:3" ht="13.5" thickBot="1" x14ac:dyDescent="0.25">
      <c r="A851" s="68">
        <v>62764</v>
      </c>
      <c r="B851" s="69" t="s">
        <v>523</v>
      </c>
      <c r="C851" s="70" t="s">
        <v>536</v>
      </c>
    </row>
    <row r="852" spans="1:3" ht="13.5" thickBot="1" x14ac:dyDescent="0.25">
      <c r="A852" s="68">
        <v>62777</v>
      </c>
      <c r="B852" s="69" t="s">
        <v>539</v>
      </c>
      <c r="C852" s="70" t="s">
        <v>537</v>
      </c>
    </row>
    <row r="853" spans="1:3" ht="13.5" thickBot="1" x14ac:dyDescent="0.25">
      <c r="A853" s="68">
        <v>62817</v>
      </c>
      <c r="B853" s="69" t="s">
        <v>527</v>
      </c>
      <c r="C853" s="70" t="s">
        <v>538</v>
      </c>
    </row>
    <row r="854" spans="1:3" ht="13.5" thickBot="1" x14ac:dyDescent="0.25">
      <c r="A854" s="71">
        <v>62824</v>
      </c>
      <c r="B854" s="72" t="s">
        <v>527</v>
      </c>
      <c r="C854" s="73" t="s">
        <v>524</v>
      </c>
    </row>
    <row r="855" spans="1:3" ht="13.5" thickBot="1" x14ac:dyDescent="0.25">
      <c r="A855" s="74">
        <v>62876</v>
      </c>
      <c r="B855" s="75" t="s">
        <v>523</v>
      </c>
      <c r="C855" s="76" t="s">
        <v>525</v>
      </c>
    </row>
    <row r="856" spans="1:3" ht="13.5" thickBot="1" x14ac:dyDescent="0.25">
      <c r="A856" s="74">
        <v>62877</v>
      </c>
      <c r="B856" s="75" t="s">
        <v>526</v>
      </c>
      <c r="C856" s="76" t="s">
        <v>525</v>
      </c>
    </row>
    <row r="857" spans="1:3" ht="13.5" thickBot="1" x14ac:dyDescent="0.25">
      <c r="A857" s="74">
        <v>62922</v>
      </c>
      <c r="B857" s="75" t="s">
        <v>527</v>
      </c>
      <c r="C857" s="76" t="s">
        <v>528</v>
      </c>
    </row>
    <row r="858" spans="1:3" ht="13.5" thickBot="1" x14ac:dyDescent="0.25">
      <c r="A858" s="74">
        <v>62935</v>
      </c>
      <c r="B858" s="75" t="s">
        <v>532</v>
      </c>
      <c r="C858" s="76" t="s">
        <v>530</v>
      </c>
    </row>
    <row r="859" spans="1:3" ht="13.5" thickBot="1" x14ac:dyDescent="0.25">
      <c r="A859" s="74">
        <v>62945</v>
      </c>
      <c r="B859" s="75" t="s">
        <v>539</v>
      </c>
      <c r="C859" s="76" t="s">
        <v>531</v>
      </c>
    </row>
    <row r="860" spans="1:3" ht="13.5" thickBot="1" x14ac:dyDescent="0.25">
      <c r="A860" s="74">
        <v>62984</v>
      </c>
      <c r="B860" s="75" t="s">
        <v>532</v>
      </c>
      <c r="C860" s="76" t="s">
        <v>533</v>
      </c>
    </row>
    <row r="861" spans="1:3" ht="13.5" thickBot="1" x14ac:dyDescent="0.25">
      <c r="A861" s="74">
        <v>63074</v>
      </c>
      <c r="B861" s="75" t="s">
        <v>540</v>
      </c>
      <c r="C861" s="76" t="s">
        <v>534</v>
      </c>
    </row>
    <row r="862" spans="1:3" ht="14.25" thickBot="1" x14ac:dyDescent="0.25">
      <c r="A862" s="74">
        <v>63109</v>
      </c>
      <c r="B862" s="75" t="s">
        <v>540</v>
      </c>
      <c r="C862" s="76" t="s">
        <v>535</v>
      </c>
    </row>
    <row r="863" spans="1:3" ht="13.5" thickBot="1" x14ac:dyDescent="0.25">
      <c r="A863" s="74">
        <v>63130</v>
      </c>
      <c r="B863" s="75" t="s">
        <v>540</v>
      </c>
      <c r="C863" s="76" t="s">
        <v>536</v>
      </c>
    </row>
    <row r="864" spans="1:3" ht="13.5" thickBot="1" x14ac:dyDescent="0.25">
      <c r="A864" s="74">
        <v>63143</v>
      </c>
      <c r="B864" s="75" t="s">
        <v>526</v>
      </c>
      <c r="C864" s="76" t="s">
        <v>537</v>
      </c>
    </row>
    <row r="865" spans="1:3" ht="13.5" thickBot="1" x14ac:dyDescent="0.25">
      <c r="A865" s="74">
        <v>63183</v>
      </c>
      <c r="B865" s="75" t="s">
        <v>539</v>
      </c>
      <c r="C865" s="76" t="s">
        <v>538</v>
      </c>
    </row>
    <row r="866" spans="1:3" ht="13.5" thickBot="1" x14ac:dyDescent="0.25">
      <c r="A866" s="77">
        <v>63190</v>
      </c>
      <c r="B866" s="78" t="s">
        <v>539</v>
      </c>
      <c r="C866" s="79" t="s">
        <v>524</v>
      </c>
    </row>
    <row r="867" spans="1:3" ht="13.5" thickBot="1" x14ac:dyDescent="0.25">
      <c r="A867" s="68">
        <v>63226</v>
      </c>
      <c r="B867" s="69" t="s">
        <v>523</v>
      </c>
      <c r="C867" s="70" t="s">
        <v>525</v>
      </c>
    </row>
    <row r="868" spans="1:3" ht="13.5" thickBot="1" x14ac:dyDescent="0.25">
      <c r="A868" s="68">
        <v>63227</v>
      </c>
      <c r="B868" s="69" t="s">
        <v>526</v>
      </c>
      <c r="C868" s="70" t="s">
        <v>525</v>
      </c>
    </row>
    <row r="869" spans="1:3" ht="13.5" thickBot="1" x14ac:dyDescent="0.25">
      <c r="A869" s="68">
        <v>63272</v>
      </c>
      <c r="B869" s="69" t="s">
        <v>527</v>
      </c>
      <c r="C869" s="70" t="s">
        <v>528</v>
      </c>
    </row>
    <row r="870" spans="1:3" ht="13.5" thickBot="1" x14ac:dyDescent="0.25">
      <c r="A870" s="68">
        <v>63300</v>
      </c>
      <c r="B870" s="69" t="s">
        <v>527</v>
      </c>
      <c r="C870" s="70" t="s">
        <v>530</v>
      </c>
    </row>
    <row r="871" spans="1:3" ht="13.5" thickBot="1" x14ac:dyDescent="0.25">
      <c r="A871" s="68">
        <v>63310</v>
      </c>
      <c r="B871" s="69" t="s">
        <v>523</v>
      </c>
      <c r="C871" s="70" t="s">
        <v>531</v>
      </c>
    </row>
    <row r="872" spans="1:3" ht="13.5" thickBot="1" x14ac:dyDescent="0.25">
      <c r="A872" s="68">
        <v>63334</v>
      </c>
      <c r="B872" s="69" t="s">
        <v>532</v>
      </c>
      <c r="C872" s="70" t="s">
        <v>533</v>
      </c>
    </row>
    <row r="873" spans="1:3" ht="13.5" thickBot="1" x14ac:dyDescent="0.25">
      <c r="A873" s="68">
        <v>63439</v>
      </c>
      <c r="B873" s="69" t="s">
        <v>532</v>
      </c>
      <c r="C873" s="70" t="s">
        <v>534</v>
      </c>
    </row>
    <row r="874" spans="1:3" ht="14.25" thickBot="1" x14ac:dyDescent="0.25">
      <c r="A874" s="68">
        <v>63474</v>
      </c>
      <c r="B874" s="69" t="s">
        <v>532</v>
      </c>
      <c r="C874" s="70" t="s">
        <v>535</v>
      </c>
    </row>
    <row r="875" spans="1:3" ht="13.5" thickBot="1" x14ac:dyDescent="0.25">
      <c r="A875" s="68">
        <v>63495</v>
      </c>
      <c r="B875" s="69" t="s">
        <v>532</v>
      </c>
      <c r="C875" s="70" t="s">
        <v>536</v>
      </c>
    </row>
    <row r="876" spans="1:3" ht="13.5" thickBot="1" x14ac:dyDescent="0.25">
      <c r="A876" s="68">
        <v>63508</v>
      </c>
      <c r="B876" s="69" t="s">
        <v>540</v>
      </c>
      <c r="C876" s="70" t="s">
        <v>537</v>
      </c>
    </row>
    <row r="877" spans="1:3" ht="13.5" thickBot="1" x14ac:dyDescent="0.25">
      <c r="A877" s="68">
        <v>63548</v>
      </c>
      <c r="B877" s="69" t="s">
        <v>523</v>
      </c>
      <c r="C877" s="70" t="s">
        <v>538</v>
      </c>
    </row>
    <row r="878" spans="1:3" ht="13.5" thickBot="1" x14ac:dyDescent="0.25">
      <c r="A878" s="71">
        <v>63555</v>
      </c>
      <c r="B878" s="72" t="s">
        <v>523</v>
      </c>
      <c r="C878" s="73" t="s">
        <v>524</v>
      </c>
    </row>
    <row r="879" spans="1:3" ht="13.5" thickBot="1" x14ac:dyDescent="0.25">
      <c r="A879" s="74">
        <v>63611</v>
      </c>
      <c r="B879" s="75" t="s">
        <v>523</v>
      </c>
      <c r="C879" s="76" t="s">
        <v>525</v>
      </c>
    </row>
    <row r="880" spans="1:3" ht="13.5" thickBot="1" x14ac:dyDescent="0.25">
      <c r="A880" s="74">
        <v>63612</v>
      </c>
      <c r="B880" s="75" t="s">
        <v>526</v>
      </c>
      <c r="C880" s="76" t="s">
        <v>525</v>
      </c>
    </row>
    <row r="881" spans="1:3" ht="13.5" thickBot="1" x14ac:dyDescent="0.25">
      <c r="A881" s="74">
        <v>63657</v>
      </c>
      <c r="B881" s="75" t="s">
        <v>527</v>
      </c>
      <c r="C881" s="76" t="s">
        <v>528</v>
      </c>
    </row>
    <row r="882" spans="1:3" ht="13.5" thickBot="1" x14ac:dyDescent="0.25">
      <c r="A882" s="74">
        <v>63665</v>
      </c>
      <c r="B882" s="75" t="s">
        <v>529</v>
      </c>
      <c r="C882" s="76" t="s">
        <v>530</v>
      </c>
    </row>
    <row r="883" spans="1:3" ht="13.5" thickBot="1" x14ac:dyDescent="0.25">
      <c r="A883" s="74">
        <v>63675</v>
      </c>
      <c r="B883" s="75" t="s">
        <v>526</v>
      </c>
      <c r="C883" s="76" t="s">
        <v>531</v>
      </c>
    </row>
    <row r="884" spans="1:3" ht="13.5" thickBot="1" x14ac:dyDescent="0.25">
      <c r="A884" s="74">
        <v>63719</v>
      </c>
      <c r="B884" s="75" t="s">
        <v>532</v>
      </c>
      <c r="C884" s="76" t="s">
        <v>533</v>
      </c>
    </row>
    <row r="885" spans="1:3" ht="13.5" thickBot="1" x14ac:dyDescent="0.25">
      <c r="A885" s="74">
        <v>63804</v>
      </c>
      <c r="B885" s="75" t="s">
        <v>527</v>
      </c>
      <c r="C885" s="76" t="s">
        <v>534</v>
      </c>
    </row>
    <row r="886" spans="1:3" ht="14.25" thickBot="1" x14ac:dyDescent="0.25">
      <c r="A886" s="74">
        <v>63839</v>
      </c>
      <c r="B886" s="75" t="s">
        <v>527</v>
      </c>
      <c r="C886" s="76" t="s">
        <v>535</v>
      </c>
    </row>
    <row r="887" spans="1:3" ht="13.5" thickBot="1" x14ac:dyDescent="0.25">
      <c r="A887" s="74">
        <v>63860</v>
      </c>
      <c r="B887" s="75" t="s">
        <v>527</v>
      </c>
      <c r="C887" s="76" t="s">
        <v>536</v>
      </c>
    </row>
    <row r="888" spans="1:3" ht="13.5" thickBot="1" x14ac:dyDescent="0.25">
      <c r="A888" s="74">
        <v>63873</v>
      </c>
      <c r="B888" s="75" t="s">
        <v>532</v>
      </c>
      <c r="C888" s="76" t="s">
        <v>537</v>
      </c>
    </row>
    <row r="889" spans="1:3" ht="13.5" thickBot="1" x14ac:dyDescent="0.25">
      <c r="A889" s="74">
        <v>63913</v>
      </c>
      <c r="B889" s="75" t="s">
        <v>526</v>
      </c>
      <c r="C889" s="76" t="s">
        <v>538</v>
      </c>
    </row>
    <row r="890" spans="1:3" ht="13.5" thickBot="1" x14ac:dyDescent="0.25">
      <c r="A890" s="77">
        <v>63920</v>
      </c>
      <c r="B890" s="78" t="s">
        <v>526</v>
      </c>
      <c r="C890" s="79" t="s">
        <v>524</v>
      </c>
    </row>
    <row r="891" spans="1:3" ht="13.5" thickBot="1" x14ac:dyDescent="0.25">
      <c r="A891" s="68">
        <v>63968</v>
      </c>
      <c r="B891" s="69" t="s">
        <v>523</v>
      </c>
      <c r="C891" s="70" t="s">
        <v>525</v>
      </c>
    </row>
    <row r="892" spans="1:3" ht="13.5" thickBot="1" x14ac:dyDescent="0.25">
      <c r="A892" s="68">
        <v>63969</v>
      </c>
      <c r="B892" s="69" t="s">
        <v>526</v>
      </c>
      <c r="C892" s="70" t="s">
        <v>525</v>
      </c>
    </row>
    <row r="893" spans="1:3" ht="13.5" thickBot="1" x14ac:dyDescent="0.25">
      <c r="A893" s="68">
        <v>64014</v>
      </c>
      <c r="B893" s="69" t="s">
        <v>527</v>
      </c>
      <c r="C893" s="70" t="s">
        <v>528</v>
      </c>
    </row>
    <row r="894" spans="1:3" ht="13.5" thickBot="1" x14ac:dyDescent="0.25">
      <c r="A894" s="68">
        <v>64030</v>
      </c>
      <c r="B894" s="69" t="s">
        <v>539</v>
      </c>
      <c r="C894" s="70" t="s">
        <v>530</v>
      </c>
    </row>
    <row r="895" spans="1:3" ht="13.5" thickBot="1" x14ac:dyDescent="0.25">
      <c r="A895" s="68">
        <v>64040</v>
      </c>
      <c r="B895" s="69" t="s">
        <v>540</v>
      </c>
      <c r="C895" s="70" t="s">
        <v>531</v>
      </c>
    </row>
    <row r="896" spans="1:3" ht="13.5" thickBot="1" x14ac:dyDescent="0.25">
      <c r="A896" s="68">
        <v>64076</v>
      </c>
      <c r="B896" s="69" t="s">
        <v>532</v>
      </c>
      <c r="C896" s="70" t="s">
        <v>533</v>
      </c>
    </row>
    <row r="897" spans="1:3" ht="13.5" thickBot="1" x14ac:dyDescent="0.25">
      <c r="A897" s="68">
        <v>64169</v>
      </c>
      <c r="B897" s="69" t="s">
        <v>529</v>
      </c>
      <c r="C897" s="70" t="s">
        <v>534</v>
      </c>
    </row>
    <row r="898" spans="1:3" ht="14.25" thickBot="1" x14ac:dyDescent="0.25">
      <c r="A898" s="68">
        <v>64204</v>
      </c>
      <c r="B898" s="69" t="s">
        <v>529</v>
      </c>
      <c r="C898" s="70" t="s">
        <v>535</v>
      </c>
    </row>
    <row r="899" spans="1:3" ht="13.5" thickBot="1" x14ac:dyDescent="0.25">
      <c r="A899" s="68">
        <v>64225</v>
      </c>
      <c r="B899" s="69" t="s">
        <v>529</v>
      </c>
      <c r="C899" s="70" t="s">
        <v>536</v>
      </c>
    </row>
    <row r="900" spans="1:3" ht="13.5" thickBot="1" x14ac:dyDescent="0.25">
      <c r="A900" s="68">
        <v>64238</v>
      </c>
      <c r="B900" s="69" t="s">
        <v>527</v>
      </c>
      <c r="C900" s="70" t="s">
        <v>537</v>
      </c>
    </row>
    <row r="901" spans="1:3" ht="13.5" thickBot="1" x14ac:dyDescent="0.25">
      <c r="A901" s="68">
        <v>64278</v>
      </c>
      <c r="B901" s="69" t="s">
        <v>540</v>
      </c>
      <c r="C901" s="70" t="s">
        <v>538</v>
      </c>
    </row>
    <row r="902" spans="1:3" ht="13.5" thickBot="1" x14ac:dyDescent="0.25">
      <c r="A902" s="71">
        <v>64285</v>
      </c>
      <c r="B902" s="72" t="s">
        <v>540</v>
      </c>
      <c r="C902" s="73" t="s">
        <v>524</v>
      </c>
    </row>
    <row r="903" spans="1:3" ht="13.5" thickBot="1" x14ac:dyDescent="0.25">
      <c r="A903" s="74">
        <v>64346</v>
      </c>
      <c r="B903" s="75" t="s">
        <v>523</v>
      </c>
      <c r="C903" s="76" t="s">
        <v>525</v>
      </c>
    </row>
    <row r="904" spans="1:3" ht="13.5" thickBot="1" x14ac:dyDescent="0.25">
      <c r="A904" s="74">
        <v>64347</v>
      </c>
      <c r="B904" s="75" t="s">
        <v>526</v>
      </c>
      <c r="C904" s="76" t="s">
        <v>525</v>
      </c>
    </row>
    <row r="905" spans="1:3" ht="13.5" thickBot="1" x14ac:dyDescent="0.25">
      <c r="A905" s="74">
        <v>64392</v>
      </c>
      <c r="B905" s="75" t="s">
        <v>527</v>
      </c>
      <c r="C905" s="76" t="s">
        <v>528</v>
      </c>
    </row>
    <row r="906" spans="1:3" ht="13.5" thickBot="1" x14ac:dyDescent="0.25">
      <c r="A906" s="74">
        <v>64396</v>
      </c>
      <c r="B906" s="75" t="s">
        <v>526</v>
      </c>
      <c r="C906" s="76" t="s">
        <v>530</v>
      </c>
    </row>
    <row r="907" spans="1:3" ht="13.5" thickBot="1" x14ac:dyDescent="0.25">
      <c r="A907" s="74">
        <v>64406</v>
      </c>
      <c r="B907" s="75" t="s">
        <v>527</v>
      </c>
      <c r="C907" s="76" t="s">
        <v>531</v>
      </c>
    </row>
    <row r="908" spans="1:3" ht="13.5" thickBot="1" x14ac:dyDescent="0.25">
      <c r="A908" s="74">
        <v>64454</v>
      </c>
      <c r="B908" s="75" t="s">
        <v>532</v>
      </c>
      <c r="C908" s="76" t="s">
        <v>533</v>
      </c>
    </row>
    <row r="909" spans="1:3" ht="13.5" thickBot="1" x14ac:dyDescent="0.25">
      <c r="A909" s="74">
        <v>64535</v>
      </c>
      <c r="B909" s="75" t="s">
        <v>523</v>
      </c>
      <c r="C909" s="76" t="s">
        <v>534</v>
      </c>
    </row>
    <row r="910" spans="1:3" ht="14.25" thickBot="1" x14ac:dyDescent="0.25">
      <c r="A910" s="74">
        <v>64570</v>
      </c>
      <c r="B910" s="75" t="s">
        <v>523</v>
      </c>
      <c r="C910" s="76" t="s">
        <v>535</v>
      </c>
    </row>
    <row r="911" spans="1:3" ht="13.5" thickBot="1" x14ac:dyDescent="0.25">
      <c r="A911" s="74">
        <v>64591</v>
      </c>
      <c r="B911" s="75" t="s">
        <v>523</v>
      </c>
      <c r="C911" s="76" t="s">
        <v>536</v>
      </c>
    </row>
    <row r="912" spans="1:3" ht="13.5" thickBot="1" x14ac:dyDescent="0.25">
      <c r="A912" s="74">
        <v>64604</v>
      </c>
      <c r="B912" s="75" t="s">
        <v>539</v>
      </c>
      <c r="C912" s="76" t="s">
        <v>537</v>
      </c>
    </row>
    <row r="913" spans="1:3" ht="13.5" thickBot="1" x14ac:dyDescent="0.25">
      <c r="A913" s="74">
        <v>64644</v>
      </c>
      <c r="B913" s="75" t="s">
        <v>527</v>
      </c>
      <c r="C913" s="76" t="s">
        <v>538</v>
      </c>
    </row>
    <row r="914" spans="1:3" ht="13.5" thickBot="1" x14ac:dyDescent="0.25">
      <c r="A914" s="77">
        <v>64651</v>
      </c>
      <c r="B914" s="78" t="s">
        <v>527</v>
      </c>
      <c r="C914" s="79" t="s">
        <v>524</v>
      </c>
    </row>
    <row r="915" spans="1:3" ht="13.5" thickBot="1" x14ac:dyDescent="0.25">
      <c r="A915" s="68">
        <v>64703</v>
      </c>
      <c r="B915" s="69" t="s">
        <v>523</v>
      </c>
      <c r="C915" s="70" t="s">
        <v>525</v>
      </c>
    </row>
    <row r="916" spans="1:3" ht="13.5" thickBot="1" x14ac:dyDescent="0.25">
      <c r="A916" s="68">
        <v>64704</v>
      </c>
      <c r="B916" s="69" t="s">
        <v>526</v>
      </c>
      <c r="C916" s="70" t="s">
        <v>525</v>
      </c>
    </row>
    <row r="917" spans="1:3" ht="13.5" thickBot="1" x14ac:dyDescent="0.25">
      <c r="A917" s="68">
        <v>64749</v>
      </c>
      <c r="B917" s="69" t="s">
        <v>527</v>
      </c>
      <c r="C917" s="70" t="s">
        <v>528</v>
      </c>
    </row>
    <row r="918" spans="1:3" ht="13.5" thickBot="1" x14ac:dyDescent="0.25">
      <c r="A918" s="68">
        <v>64761</v>
      </c>
      <c r="B918" s="69" t="s">
        <v>540</v>
      </c>
      <c r="C918" s="70" t="s">
        <v>530</v>
      </c>
    </row>
    <row r="919" spans="1:3" ht="13.5" thickBot="1" x14ac:dyDescent="0.25">
      <c r="A919" s="68">
        <v>64771</v>
      </c>
      <c r="B919" s="69" t="s">
        <v>529</v>
      </c>
      <c r="C919" s="70" t="s">
        <v>531</v>
      </c>
    </row>
    <row r="920" spans="1:3" ht="13.5" thickBot="1" x14ac:dyDescent="0.25">
      <c r="A920" s="68">
        <v>64811</v>
      </c>
      <c r="B920" s="69" t="s">
        <v>532</v>
      </c>
      <c r="C920" s="70" t="s">
        <v>533</v>
      </c>
    </row>
    <row r="921" spans="1:3" ht="13.5" thickBot="1" x14ac:dyDescent="0.25">
      <c r="A921" s="68">
        <v>64900</v>
      </c>
      <c r="B921" s="69" t="s">
        <v>526</v>
      </c>
      <c r="C921" s="70" t="s">
        <v>534</v>
      </c>
    </row>
    <row r="922" spans="1:3" ht="14.25" thickBot="1" x14ac:dyDescent="0.25">
      <c r="A922" s="68">
        <v>64935</v>
      </c>
      <c r="B922" s="69" t="s">
        <v>526</v>
      </c>
      <c r="C922" s="70" t="s">
        <v>535</v>
      </c>
    </row>
    <row r="923" spans="1:3" ht="13.5" thickBot="1" x14ac:dyDescent="0.25">
      <c r="A923" s="68">
        <v>64956</v>
      </c>
      <c r="B923" s="69" t="s">
        <v>526</v>
      </c>
      <c r="C923" s="70" t="s">
        <v>536</v>
      </c>
    </row>
    <row r="924" spans="1:3" ht="13.5" thickBot="1" x14ac:dyDescent="0.25">
      <c r="A924" s="68">
        <v>64969</v>
      </c>
      <c r="B924" s="69" t="s">
        <v>523</v>
      </c>
      <c r="C924" s="70" t="s">
        <v>537</v>
      </c>
    </row>
    <row r="925" spans="1:3" ht="13.5" thickBot="1" x14ac:dyDescent="0.25">
      <c r="A925" s="68">
        <v>65009</v>
      </c>
      <c r="B925" s="69" t="s">
        <v>529</v>
      </c>
      <c r="C925" s="70" t="s">
        <v>538</v>
      </c>
    </row>
    <row r="926" spans="1:3" ht="13.5" thickBot="1" x14ac:dyDescent="0.25">
      <c r="A926" s="71">
        <v>65016</v>
      </c>
      <c r="B926" s="72" t="s">
        <v>526</v>
      </c>
      <c r="C926" s="73" t="s">
        <v>524</v>
      </c>
    </row>
    <row r="927" spans="1:3" ht="13.5" thickBot="1" x14ac:dyDescent="0.25">
      <c r="A927" s="74">
        <v>65060</v>
      </c>
      <c r="B927" s="75" t="s">
        <v>523</v>
      </c>
      <c r="C927" s="76" t="s">
        <v>525</v>
      </c>
    </row>
    <row r="928" spans="1:3" ht="13.5" thickBot="1" x14ac:dyDescent="0.25">
      <c r="A928" s="74">
        <v>65061</v>
      </c>
      <c r="B928" s="75" t="s">
        <v>526</v>
      </c>
      <c r="C928" s="76" t="s">
        <v>525</v>
      </c>
    </row>
    <row r="929" spans="1:3" ht="13.5" thickBot="1" x14ac:dyDescent="0.25">
      <c r="A929" s="74">
        <v>65106</v>
      </c>
      <c r="B929" s="75" t="s">
        <v>527</v>
      </c>
      <c r="C929" s="76" t="s">
        <v>528</v>
      </c>
    </row>
    <row r="930" spans="1:3" ht="13.5" thickBot="1" x14ac:dyDescent="0.25">
      <c r="A930" s="74">
        <v>65126</v>
      </c>
      <c r="B930" s="75" t="s">
        <v>532</v>
      </c>
      <c r="C930" s="76" t="s">
        <v>530</v>
      </c>
    </row>
    <row r="931" spans="1:3" ht="13.5" thickBot="1" x14ac:dyDescent="0.25">
      <c r="A931" s="74">
        <v>65136</v>
      </c>
      <c r="B931" s="75" t="s">
        <v>540</v>
      </c>
      <c r="C931" s="76" t="s">
        <v>531</v>
      </c>
    </row>
    <row r="932" spans="1:3" ht="13.5" thickBot="1" x14ac:dyDescent="0.25">
      <c r="A932" s="74">
        <v>65168</v>
      </c>
      <c r="B932" s="75" t="s">
        <v>532</v>
      </c>
      <c r="C932" s="76" t="s">
        <v>533</v>
      </c>
    </row>
    <row r="933" spans="1:3" ht="13.5" thickBot="1" x14ac:dyDescent="0.25">
      <c r="A933" s="74">
        <v>65265</v>
      </c>
      <c r="B933" s="75" t="s">
        <v>540</v>
      </c>
      <c r="C933" s="76" t="s">
        <v>534</v>
      </c>
    </row>
    <row r="934" spans="1:3" ht="14.25" thickBot="1" x14ac:dyDescent="0.25">
      <c r="A934" s="74">
        <v>65300</v>
      </c>
      <c r="B934" s="75" t="s">
        <v>540</v>
      </c>
      <c r="C934" s="76" t="s">
        <v>535</v>
      </c>
    </row>
    <row r="935" spans="1:3" ht="13.5" thickBot="1" x14ac:dyDescent="0.25">
      <c r="A935" s="74">
        <v>65321</v>
      </c>
      <c r="B935" s="75" t="s">
        <v>540</v>
      </c>
      <c r="C935" s="76" t="s">
        <v>536</v>
      </c>
    </row>
    <row r="936" spans="1:3" ht="13.5" thickBot="1" x14ac:dyDescent="0.25">
      <c r="A936" s="74">
        <v>65334</v>
      </c>
      <c r="B936" s="75" t="s">
        <v>526</v>
      </c>
      <c r="C936" s="76" t="s">
        <v>537</v>
      </c>
    </row>
    <row r="937" spans="1:3" ht="13.5" thickBot="1" x14ac:dyDescent="0.25">
      <c r="A937" s="74">
        <v>65374</v>
      </c>
      <c r="B937" s="75" t="s">
        <v>540</v>
      </c>
      <c r="C937" s="76" t="s">
        <v>538</v>
      </c>
    </row>
    <row r="938" spans="1:3" x14ac:dyDescent="0.2">
      <c r="A938" s="80" t="s">
        <v>541</v>
      </c>
    </row>
    <row r="940" spans="1:3" x14ac:dyDescent="0.2">
      <c r="A940" s="81" t="s">
        <v>542</v>
      </c>
    </row>
    <row r="942" spans="1:3" x14ac:dyDescent="0.2">
      <c r="A942" s="81" t="s">
        <v>543</v>
      </c>
    </row>
    <row r="944" spans="1:3" x14ac:dyDescent="0.2">
      <c r="A944" s="81" t="s">
        <v>544</v>
      </c>
    </row>
    <row r="946" spans="1:1" x14ac:dyDescent="0.2">
      <c r="A946" s="81" t="s">
        <v>545</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General</vt:lpstr>
      <vt:lpstr>Summary</vt:lpstr>
      <vt:lpstr>Exp Monthly</vt:lpstr>
      <vt:lpstr>Exp Quarterly</vt:lpstr>
      <vt:lpstr>Exp Annual</vt:lpstr>
      <vt:lpstr>Exp 12 Months</vt:lpstr>
      <vt:lpstr>Top5 Monthly</vt:lpstr>
      <vt:lpstr>Top5 Annual</vt:lpstr>
      <vt:lpstr>Exp Institutions</vt:lpstr>
      <vt:lpstr>URL to Table</vt:lpstr>
      <vt:lpstr>File to Table</vt:lpstr>
      <vt:lpstr>SGS</vt:lpstr>
      <vt:lpstr>SCR</vt:lpstr>
      <vt:lpstr>SCR 2</vt:lpstr>
      <vt:lpstr>SCR Daily</vt:lpstr>
      <vt:lpstr>SCR Monthly</vt:lpstr>
      <vt:lpstr>Real Estate</vt:lpstr>
      <vt:lpstr>SGS vs FOCUS</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2021-12-17T00:04:12Z</dcterms:created>
  <dcterms:modified xsi:type="dcterms:W3CDTF">2022-01-02T00:53:42Z</dcterms:modified>
</cp:coreProperties>
</file>