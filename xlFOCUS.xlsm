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"/>
    </mc:Choice>
  </mc:AlternateContent>
  <xr:revisionPtr revIDLastSave="0" documentId="13_ncr:1_{E8C44974-49BB-4E9B-BA73-D2831C3812E2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General" sheetId="2" r:id="rId1"/>
    <sheet name="Raw Data" sheetId="3" r:id="rId2"/>
    <sheet name="Summary" sheetId="4" r:id="rId3"/>
    <sheet name="Exp Monthly" sheetId="5" r:id="rId4"/>
    <sheet name="Exp Quarterly" sheetId="6" r:id="rId5"/>
    <sheet name="Exp Annual" sheetId="7" r:id="rId6"/>
    <sheet name="Exp 12 Months" sheetId="8" r:id="rId7"/>
    <sheet name="Top5 Monthly" sheetId="9" r:id="rId8"/>
    <sheet name="Top5 Annual" sheetId="10" r:id="rId9"/>
    <sheet name="Exp Institutions" sheetId="11" r:id="rId10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6" l="1"/>
  <c r="J1" i="11"/>
  <c r="J1" i="10"/>
  <c r="J1" i="9"/>
  <c r="J1" i="8"/>
  <c r="J1" i="7"/>
  <c r="J1" i="5"/>
  <c r="P2" i="4"/>
  <c r="I2" i="4"/>
  <c r="A5" i="3"/>
  <c r="D4" i="6" a="1"/>
  <c r="D4" i="11" a="1"/>
  <c r="D4" i="5" a="1"/>
  <c r="L6" i="4" a="1"/>
  <c r="K5" i="4" a="1"/>
  <c r="K4" i="4" a="1"/>
  <c r="J4" i="4" a="1"/>
  <c r="D4" i="7" a="1"/>
  <c r="U11" i="4" a="1"/>
  <c r="L7" i="4" a="1"/>
  <c r="K9" i="4" a="1"/>
  <c r="S5" i="4" a="1"/>
  <c r="M9" i="4" a="1"/>
  <c r="U15" i="4" a="1"/>
  <c r="L15" i="4" a="1"/>
  <c r="Q14" i="4" a="1"/>
  <c r="U13" i="4" a="1"/>
  <c r="L13" i="4" a="1"/>
  <c r="Q12" i="4" a="1"/>
  <c r="L11" i="4" a="1"/>
  <c r="Q10" i="4" a="1"/>
  <c r="U9" i="4" a="1"/>
  <c r="L9" i="4" a="1"/>
  <c r="Q8" i="4" a="1"/>
  <c r="U7" i="4" a="1"/>
  <c r="P6" i="4" a="1"/>
  <c r="T5" i="4" a="1"/>
  <c r="P4" i="4" a="1"/>
  <c r="T7" i="4" a="1"/>
  <c r="J7" i="4" a="1"/>
  <c r="J5" i="4" a="1"/>
  <c r="M11" i="4" a="1"/>
  <c r="K15" i="4" a="1"/>
  <c r="P14" i="4" a="1"/>
  <c r="T13" i="4" a="1"/>
  <c r="K13" i="4" a="1"/>
  <c r="P12" i="4" a="1"/>
  <c r="T11" i="4" a="1"/>
  <c r="K11" i="4" a="1"/>
  <c r="P10" i="4" a="1"/>
  <c r="T9" i="4" a="1"/>
  <c r="P8" i="4" a="1"/>
  <c r="N6" i="4" a="1"/>
  <c r="N4" i="4" a="1"/>
  <c r="R14" i="4" a="1"/>
  <c r="T15" i="4" a="1"/>
  <c r="S11" i="4" a="1"/>
  <c r="N8" i="4" a="1"/>
  <c r="I7" i="4" a="1"/>
  <c r="I5" i="4" a="1"/>
  <c r="L8" i="4" a="1"/>
  <c r="R6" i="4" a="1"/>
  <c r="R12" i="4" a="1"/>
  <c r="S15" i="4" a="1"/>
  <c r="J15" i="4" a="1"/>
  <c r="N14" i="4" a="1"/>
  <c r="S13" i="4" a="1"/>
  <c r="J13" i="4" a="1"/>
  <c r="N12" i="4" a="1"/>
  <c r="J11" i="4" a="1"/>
  <c r="N10" i="4" a="1"/>
  <c r="S9" i="4" a="1"/>
  <c r="J9" i="4" a="1"/>
  <c r="S7" i="4" a="1"/>
  <c r="M6" i="4" a="1"/>
  <c r="R5" i="4" a="1"/>
  <c r="M4" i="4" a="1"/>
  <c r="U4" i="4" a="1"/>
  <c r="P5" i="4" a="1"/>
  <c r="M5" i="4" a="1"/>
  <c r="M7" i="4" a="1"/>
  <c r="I15" i="4" a="1"/>
  <c r="I13" i="4" a="1"/>
  <c r="R11" i="4" a="1"/>
  <c r="I11" i="4" a="1"/>
  <c r="R9" i="4" a="1"/>
  <c r="M8" i="4" a="1"/>
  <c r="U6" i="4" a="1"/>
  <c r="Q5" i="4" a="1"/>
  <c r="K6" i="4" a="1"/>
  <c r="N7" i="4" a="1"/>
  <c r="R10" i="4" a="1"/>
  <c r="Q4" i="4" a="1"/>
  <c r="R15" i="4" a="1"/>
  <c r="M14" i="4" a="1"/>
  <c r="R13" i="4" a="1"/>
  <c r="M12" i="4" a="1"/>
  <c r="M10" i="4" a="1"/>
  <c r="I9" i="4" a="1"/>
  <c r="R7" i="4" a="1"/>
  <c r="L4" i="4" a="1"/>
  <c r="T4" i="4" a="1"/>
  <c r="I12" i="4" a="1"/>
  <c r="L5" i="4" a="1"/>
  <c r="U14" i="4" a="1"/>
  <c r="Q13" i="4" a="1"/>
  <c r="L12" i="4" a="1"/>
  <c r="Q11" i="4" a="1"/>
  <c r="L10" i="4" a="1"/>
  <c r="U8" i="4" a="1"/>
  <c r="Q7" i="4" a="1"/>
  <c r="I4" i="4" a="1"/>
  <c r="I14" i="4" a="1"/>
  <c r="Q15" i="4" a="1"/>
  <c r="L14" i="4" a="1"/>
  <c r="U12" i="4" a="1"/>
  <c r="U10" i="4" a="1"/>
  <c r="Q9" i="4" a="1"/>
  <c r="T6" i="4" a="1"/>
  <c r="R8" i="4" a="1"/>
  <c r="K14" i="4" a="1"/>
  <c r="T10" i="4" a="1"/>
  <c r="P9" i="4" a="1"/>
  <c r="P7" i="4" a="1"/>
  <c r="J6" i="4" a="1"/>
  <c r="S4" i="4" a="1"/>
  <c r="I10" i="4" a="1"/>
  <c r="P15" i="4" a="1"/>
  <c r="T14" i="4" a="1"/>
  <c r="P13" i="4" a="1"/>
  <c r="T12" i="4" a="1"/>
  <c r="K12" i="4" a="1"/>
  <c r="P11" i="4" a="1"/>
  <c r="K10" i="4" a="1"/>
  <c r="T8" i="4" a="1"/>
  <c r="K8" i="4" a="1"/>
  <c r="S6" i="4" a="1"/>
  <c r="N5" i="4" a="1"/>
  <c r="I8" i="4" a="1"/>
  <c r="S14" i="4" a="1"/>
  <c r="J14" i="4" a="1"/>
  <c r="S12" i="4" a="1"/>
  <c r="N11" i="4" a="1"/>
  <c r="J10" i="4" a="1"/>
  <c r="S8" i="4" a="1"/>
  <c r="I6" i="4" a="1"/>
  <c r="M13" i="4" a="1"/>
  <c r="U5" i="4" a="1"/>
  <c r="N15" i="4" a="1"/>
  <c r="N13" i="4" a="1"/>
  <c r="J12" i="4" a="1"/>
  <c r="S10" i="4" a="1"/>
  <c r="N9" i="4" a="1"/>
  <c r="J8" i="4" a="1"/>
  <c r="R4" i="4" a="1"/>
  <c r="M15" i="4" a="1"/>
  <c r="Q6" i="4" a="1"/>
  <c r="K7" i="4" a="1"/>
  <c r="A8" i="3" a="1"/>
  <c r="D4" i="9" a="1"/>
  <c r="D4" i="8" a="1"/>
  <c r="D4" i="10" a="1"/>
  <c r="D4" i="6" l="1"/>
  <c r="D4" i="11"/>
  <c r="D4" i="5"/>
  <c r="L6" i="4"/>
  <c r="K5" i="4"/>
  <c r="K4" i="4"/>
  <c r="J4" i="4"/>
  <c r="D4" i="7"/>
  <c r="Q6" i="4"/>
  <c r="M15" i="4"/>
  <c r="R4" i="4"/>
  <c r="J8" i="4"/>
  <c r="N9" i="4"/>
  <c r="S10" i="4"/>
  <c r="J12" i="4"/>
  <c r="N13" i="4"/>
  <c r="N15" i="4"/>
  <c r="U5" i="4"/>
  <c r="M13" i="4"/>
  <c r="I6" i="4"/>
  <c r="S8" i="4"/>
  <c r="J10" i="4"/>
  <c r="N11" i="4"/>
  <c r="S12" i="4"/>
  <c r="J14" i="4"/>
  <c r="S14" i="4"/>
  <c r="I8" i="4"/>
  <c r="N5" i="4"/>
  <c r="S6" i="4"/>
  <c r="K8" i="4"/>
  <c r="T8" i="4"/>
  <c r="K10" i="4"/>
  <c r="P11" i="4"/>
  <c r="K12" i="4"/>
  <c r="T12" i="4"/>
  <c r="P13" i="4"/>
  <c r="T14" i="4"/>
  <c r="P15" i="4"/>
  <c r="I10" i="4"/>
  <c r="S4" i="4"/>
  <c r="J6" i="4"/>
  <c r="P7" i="4"/>
  <c r="P9" i="4"/>
  <c r="T10" i="4"/>
  <c r="K14" i="4"/>
  <c r="R8" i="4"/>
  <c r="T6" i="4"/>
  <c r="Q9" i="4"/>
  <c r="U10" i="4"/>
  <c r="U12" i="4"/>
  <c r="L14" i="4"/>
  <c r="Q15" i="4"/>
  <c r="I14" i="4"/>
  <c r="I4" i="4"/>
  <c r="Q7" i="4"/>
  <c r="U8" i="4"/>
  <c r="L10" i="4"/>
  <c r="Q11" i="4"/>
  <c r="L12" i="4"/>
  <c r="Q13" i="4"/>
  <c r="U14" i="4"/>
  <c r="L5" i="4"/>
  <c r="I12" i="4"/>
  <c r="T4" i="4"/>
  <c r="L4" i="4"/>
  <c r="R7" i="4"/>
  <c r="I9" i="4"/>
  <c r="M10" i="4"/>
  <c r="M12" i="4"/>
  <c r="R13" i="4"/>
  <c r="M14" i="4"/>
  <c r="R15" i="4"/>
  <c r="Q4" i="4"/>
  <c r="R10" i="4"/>
  <c r="N7" i="4"/>
  <c r="K6" i="4"/>
  <c r="Q5" i="4"/>
  <c r="U6" i="4"/>
  <c r="M8" i="4"/>
  <c r="R9" i="4"/>
  <c r="I11" i="4"/>
  <c r="R11" i="4"/>
  <c r="I13" i="4"/>
  <c r="I15" i="4"/>
  <c r="M7" i="4"/>
  <c r="M5" i="4"/>
  <c r="P5" i="4"/>
  <c r="U4" i="4"/>
  <c r="M4" i="4"/>
  <c r="R5" i="4"/>
  <c r="M6" i="4"/>
  <c r="S7" i="4"/>
  <c r="J9" i="4"/>
  <c r="S9" i="4"/>
  <c r="N10" i="4"/>
  <c r="J11" i="4"/>
  <c r="N12" i="4"/>
  <c r="J13" i="4"/>
  <c r="S13" i="4"/>
  <c r="N14" i="4"/>
  <c r="J15" i="4"/>
  <c r="S15" i="4"/>
  <c r="R12" i="4"/>
  <c r="R6" i="4"/>
  <c r="L8" i="4"/>
  <c r="I5" i="4"/>
  <c r="I7" i="4"/>
  <c r="N8" i="4"/>
  <c r="S11" i="4"/>
  <c r="T15" i="4"/>
  <c r="R14" i="4"/>
  <c r="N4" i="4"/>
  <c r="N6" i="4"/>
  <c r="P8" i="4"/>
  <c r="T9" i="4"/>
  <c r="P10" i="4"/>
  <c r="K11" i="4"/>
  <c r="T11" i="4"/>
  <c r="P12" i="4"/>
  <c r="K13" i="4"/>
  <c r="T13" i="4"/>
  <c r="P14" i="4"/>
  <c r="K15" i="4"/>
  <c r="M11" i="4"/>
  <c r="J5" i="4"/>
  <c r="J7" i="4"/>
  <c r="T7" i="4"/>
  <c r="P4" i="4"/>
  <c r="T5" i="4"/>
  <c r="P6" i="4"/>
  <c r="U7" i="4"/>
  <c r="Q8" i="4"/>
  <c r="L9" i="4"/>
  <c r="U9" i="4"/>
  <c r="Q10" i="4"/>
  <c r="L11" i="4"/>
  <c r="Q12" i="4"/>
  <c r="L13" i="4"/>
  <c r="U13" i="4"/>
  <c r="Q14" i="4"/>
  <c r="L15" i="4"/>
  <c r="U15" i="4"/>
  <c r="M9" i="4"/>
  <c r="S5" i="4"/>
  <c r="K9" i="4"/>
  <c r="L7" i="4"/>
  <c r="U11" i="4"/>
  <c r="K7" i="4"/>
  <c r="A8" i="3"/>
  <c r="D4" i="8"/>
  <c r="D4" i="9"/>
  <c r="D4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<sst xmlns="http://schemas.openxmlformats.org/spreadsheetml/2006/main" count="313" uniqueCount="147">
  <si>
    <t>This spreadsheet exposes examples of how to fetch data from the BCB's "Expectativas de Mercado" survey, also known as FOCUS.</t>
  </si>
  <si>
    <t>https://olinda.bcb.gov.br/olinda/servico/Expectativas/versao/v1/aplicacao#!/recursos</t>
  </si>
  <si>
    <t>Function name</t>
  </si>
  <si>
    <t>Description</t>
  </si>
  <si>
    <t>Expectations for monthly indicators</t>
  </si>
  <si>
    <t>Expectations for quarterly indicators</t>
  </si>
  <si>
    <t>Expectations for annual indicators</t>
  </si>
  <si>
    <t>Expectations of each institution</t>
  </si>
  <si>
    <t>Expectations for 12 months ahead</t>
  </si>
  <si>
    <t>Expectations for monthly indicators from TOP 5 institutions</t>
  </si>
  <si>
    <t>Expectations for annual indicators from TOP 5 institutions</t>
  </si>
  <si>
    <t>Indicador</t>
  </si>
  <si>
    <t>Indicator name</t>
  </si>
  <si>
    <t>Data</t>
  </si>
  <si>
    <t>Date of the forecast</t>
  </si>
  <si>
    <t>Minimo</t>
  </si>
  <si>
    <t>Lowest forecast</t>
  </si>
  <si>
    <t>Mediana</t>
  </si>
  <si>
    <t>Median of forecasts</t>
  </si>
  <si>
    <t>Media</t>
  </si>
  <si>
    <t>Mean of forecasts</t>
  </si>
  <si>
    <t>Maximo</t>
  </si>
  <si>
    <t>DesvioPadrao</t>
  </si>
  <si>
    <t>Standard deviation of forecasts</t>
  </si>
  <si>
    <t>JSON</t>
  </si>
  <si>
    <t>From JSON to Table</t>
  </si>
  <si>
    <t>Indicator</t>
  </si>
  <si>
    <t>Detalhe do Indicador (Indicator Detail)</t>
  </si>
  <si>
    <t>Measure</t>
  </si>
  <si>
    <t>Forecast date</t>
  </si>
  <si>
    <t>4-wk ago</t>
  </si>
  <si>
    <t>1-wk ago</t>
  </si>
  <si>
    <t>Today</t>
  </si>
  <si>
    <t># Resp</t>
  </si>
  <si>
    <t>5 wd</t>
  </si>
  <si>
    <t>IPCA (% YoY)</t>
  </si>
  <si>
    <t>IPCA</t>
  </si>
  <si>
    <t>GDP (% YoY)</t>
  </si>
  <si>
    <t>PIB Total</t>
  </si>
  <si>
    <t>FX (R$/US$)</t>
  </si>
  <si>
    <t>Câmbio</t>
  </si>
  <si>
    <t>Selic (% annum)</t>
  </si>
  <si>
    <t>Selic</t>
  </si>
  <si>
    <t>IGP-M (% YoY)</t>
  </si>
  <si>
    <t>IGP-M</t>
  </si>
  <si>
    <t>IPCA Supervised (% YoY)</t>
  </si>
  <si>
    <t>IPCA Administrados</t>
  </si>
  <si>
    <t>Current account (US$ billions)</t>
  </si>
  <si>
    <t>Conta corrente</t>
  </si>
  <si>
    <t>Commercial balance (US$ billions)</t>
  </si>
  <si>
    <t>Balança comercial</t>
  </si>
  <si>
    <t>Saldo</t>
  </si>
  <si>
    <t>FDI (US$ billions)</t>
  </si>
  <si>
    <t>Investimento direto no país</t>
  </si>
  <si>
    <t>Net debt (% of GDP)</t>
  </si>
  <si>
    <t>Dívida líquida do setor público</t>
  </si>
  <si>
    <t>Primary balance (% of GDP)</t>
  </si>
  <si>
    <t>Resultado primário</t>
  </si>
  <si>
    <t>Nominal balance (% of GDP)</t>
  </si>
  <si>
    <t>Resultado nominal</t>
  </si>
  <si>
    <t>Graph title</t>
  </si>
  <si>
    <t>Indicador (Indicator)</t>
  </si>
  <si>
    <t>Indicador Detalhe (Indicator Detail)</t>
  </si>
  <si>
    <t>Data de Referência (Date of Reference)</t>
  </si>
  <si>
    <t>Data Inicial (Start Date)</t>
  </si>
  <si>
    <t>Data Final (Final Date)</t>
  </si>
  <si>
    <t>Base de Cálculo (Calculus Basis)</t>
  </si>
  <si>
    <t>Suavizada (Smoothened)</t>
  </si>
  <si>
    <t>N</t>
  </si>
  <si>
    <t>Date</t>
  </si>
  <si>
    <t>Minimum</t>
  </si>
  <si>
    <t>Median</t>
  </si>
  <si>
    <t>Maximum</t>
  </si>
  <si>
    <t>Std</t>
  </si>
  <si>
    <t>Tipo de Cálculo (Calculus Type)</t>
  </si>
  <si>
    <t>C</t>
  </si>
  <si>
    <t>Instituicao</t>
  </si>
  <si>
    <t>Valor</t>
  </si>
  <si>
    <t>URL</t>
  </si>
  <si>
    <t>https://olinda.bcb.gov.br/olinda/servico/Expectativas/versao/v1/odata/ExpectativaMercadoMensais?$top=10000&amp;$filter=Indicador%20eq%20'IPCA'%20and%20DataReferencia%20eq%20'04%2F2000'&amp;$format=json</t>
  </si>
  <si>
    <t>Summary of Annual Expectations (Resumo das Expectativas Anuais)</t>
  </si>
  <si>
    <t>Forecast of Monthly Indicators (Expectativas Mensais)</t>
  </si>
  <si>
    <t>Forecast of Quarterly Indicators (Expectativas Trimestrais)</t>
  </si>
  <si>
    <t>Field name (Campos)</t>
  </si>
  <si>
    <t>baseCalculo</t>
  </si>
  <si>
    <t>tipoCalculo</t>
  </si>
  <si>
    <t>Calculus basis</t>
  </si>
  <si>
    <t>Calculus type</t>
  </si>
  <si>
    <t>Forecast of Annual Indicators (Expectativas Anuais)</t>
  </si>
  <si>
    <t>Forecast of Inflation 12 months ahead (Expectativas 12 meses à frente)</t>
  </si>
  <si>
    <t>Forecast of Monthly Indicators by TOP5 Institutions (Expectativas TOP5 Mensais)</t>
  </si>
  <si>
    <t>Forecast of Annual Indicators by TOP5 Institutions (Expectativas TOP5 Anuais)</t>
  </si>
  <si>
    <t>Forecast of Specific Institutions (Expectativas Instituições)</t>
  </si>
  <si>
    <t>Highest forecast</t>
  </si>
  <si>
    <t>DataReferencia</t>
  </si>
  <si>
    <t>Date of the indicator forecasted</t>
  </si>
  <si>
    <t>numeroRespondentes</t>
  </si>
  <si>
    <t>Number of respondents</t>
  </si>
  <si>
    <t>Monthly</t>
  </si>
  <si>
    <t>x</t>
  </si>
  <si>
    <t>Quarterly</t>
  </si>
  <si>
    <t>Annual</t>
  </si>
  <si>
    <t>IndicadorDetalhe</t>
  </si>
  <si>
    <t>Indicator detail</t>
  </si>
  <si>
    <t>12 mths ahead</t>
  </si>
  <si>
    <t>Suavizada</t>
  </si>
  <si>
    <t>Smoothed</t>
  </si>
  <si>
    <t>TOP5 Monthly</t>
  </si>
  <si>
    <t>TOP5 Annual</t>
  </si>
  <si>
    <t>Institutions</t>
  </si>
  <si>
    <t>Institution</t>
  </si>
  <si>
    <t>Periodicidade</t>
  </si>
  <si>
    <t>Frequency</t>
  </si>
  <si>
    <t>Value</t>
  </si>
  <si>
    <t>IGP-DI</t>
  </si>
  <si>
    <t>TIPS</t>
  </si>
  <si>
    <t>* There is a function for each resource provided by the FOCUS's webservice. One can find the metadata on its webpage:</t>
  </si>
  <si>
    <r>
      <t xml:space="preserve">It is intended to be used by researchers and the general public. It is NOT a product of the BCB, nor it is maintained by that institution. </t>
    </r>
    <r>
      <rPr>
        <b/>
        <sz val="11"/>
        <color theme="1"/>
        <rFont val="Arial"/>
        <family val="2"/>
      </rPr>
      <t>Use at your own risk!</t>
    </r>
  </si>
  <si>
    <t>It is totally free and its code is open!</t>
  </si>
  <si>
    <t/>
  </si>
  <si>
    <t>* 9,999 is the maximum number of observations returned by each function call</t>
  </si>
  <si>
    <t>* 32,767 is the maximum number of characters of the JSON script returned by each function call</t>
  </si>
  <si>
    <t>* 2,048 is the maximum number of characters of the URL path accessed by each function call</t>
  </si>
  <si>
    <t>https://github.com/VBA-tools/VBA-JSON</t>
  </si>
  <si>
    <t>* To use these functions in your own spreadsheet, copy to the latter the VBA modules named xlFOCUS and JsonConverter, both embedded in this spreadsheet.</t>
  </si>
  <si>
    <t>The JsonConverter module is part of the "VBA-JSON" project developed by Tim Hall and available at the website below. Tested on v2.3.1.</t>
  </si>
  <si>
    <t>xlFOCUS (v. 0.1)</t>
  </si>
  <si>
    <t>* There are some known limitations. Basically, avoid returning much data in a single function call and avoid many function calls:</t>
  </si>
  <si>
    <t>* These functions rely on Excel's WEBSERVICE function (available from Excel 2013 onward), which can be quite unstable. So, when designing your spreadsheet, remember to save it constantly.</t>
  </si>
  <si>
    <t>https://github.com/edugca/xlFOCUS</t>
  </si>
  <si>
    <t>* Most recent version should be found in the webpage below:</t>
  </si>
  <si>
    <t>Make a query to the FOCUS webservice and transform its JSON result into a table</t>
  </si>
  <si>
    <t>xlFOCUS_ReadJSON</t>
  </si>
  <si>
    <t>xlFOCUS_ExpectativasMensais</t>
  </si>
  <si>
    <t>xlFOCUS_ExpectativasTrimestrais</t>
  </si>
  <si>
    <t>xlFOCUS_ExpectativasAnuais</t>
  </si>
  <si>
    <t>xlFOCUS_ExpectativasInstituicoes</t>
  </si>
  <si>
    <t>xlFOCUS_Expectativas12Meses</t>
  </si>
  <si>
    <t>xlFOCUS_ExpectativasTop5Mensais</t>
  </si>
  <si>
    <t>xlFOCUS_ExpectativasTop5Anuais</t>
  </si>
  <si>
    <t>xlFOCUS_IfError</t>
  </si>
  <si>
    <t>The same as Excel's IFERROR function but able to identify xlFOCUS error messages</t>
  </si>
  <si>
    <t>* If your query is not working, try to build it on the webpage above. If the server is down, then all functions will fail to fetch data!</t>
  </si>
  <si>
    <t>* Beware that the FOCUS webservice is case sensitive, that is, "IPCA" works but "ipca" does not.</t>
  </si>
  <si>
    <t>* Below, one finds a quick summary of the functions and its available fields. NOT all fields are obligatory, i.e if DataFInal is left empty, query returns all available values up to the present date</t>
  </si>
  <si>
    <t>Anual</t>
  </si>
  <si>
    <t>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</si>
</sst>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16]mmm\-yy;@"/>
    <numFmt numFmtId="165" formatCode="yyyy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5" fillId="0" borderId="0" applyNumberFormat="0" applyFill="0" applyBorder="0" applyAlignment="0" applyProtection="0"/>
    <xf numFmtId="0" fontId="8" fillId="2" borderId="1" applyNumberFormat="0" applyAlignment="0" applyProtection="0"/>
  </cellStyleXfs>
  <cellXfs count="62">
    <xf numFmtId="0" fontId="0" fillId="0" borderId="0" xfId="0"/>
    <xf numFmtId="0" fontId="2" fillId="0" borderId="0" xfId="2"/>
    <xf numFmtId="0" fontId="4" fillId="0" borderId="0" xfId="2" applyFont="1"/>
    <xf numFmtId="0" fontId="6" fillId="0" borderId="0" xfId="2" applyFont="1"/>
    <xf numFmtId="0" fontId="2" fillId="0" borderId="2" xfId="2" applyBorder="1"/>
    <xf numFmtId="0" fontId="2" fillId="0" borderId="3" xfId="2" applyBorder="1"/>
    <xf numFmtId="0" fontId="2" fillId="0" borderId="4" xfId="2" applyBorder="1"/>
    <xf numFmtId="0" fontId="6" fillId="3" borderId="0" xfId="2" applyFont="1" applyFill="1"/>
    <xf numFmtId="0" fontId="2" fillId="3" borderId="0" xfId="2" applyFill="1"/>
    <xf numFmtId="0" fontId="7" fillId="0" borderId="0" xfId="2" applyFont="1"/>
    <xf numFmtId="164" fontId="2" fillId="0" borderId="0" xfId="2" applyNumberFormat="1"/>
    <xf numFmtId="2" fontId="2" fillId="0" borderId="0" xfId="2" applyNumberFormat="1"/>
    <xf numFmtId="164" fontId="6" fillId="0" borderId="0" xfId="2" applyNumberFormat="1" applyFont="1"/>
    <xf numFmtId="165" fontId="6" fillId="0" borderId="0" xfId="2" applyNumberFormat="1" applyFont="1"/>
    <xf numFmtId="14" fontId="8" fillId="2" borderId="1" xfId="4" applyNumberFormat="1"/>
    <xf numFmtId="0" fontId="2" fillId="0" borderId="5" xfId="2" applyBorder="1"/>
    <xf numFmtId="2" fontId="2" fillId="0" borderId="5" xfId="2" applyNumberFormat="1" applyBorder="1"/>
    <xf numFmtId="14" fontId="2" fillId="0" borderId="0" xfId="2" applyNumberFormat="1"/>
    <xf numFmtId="0" fontId="8" fillId="2" borderId="1" xfId="4"/>
    <xf numFmtId="0" fontId="5" fillId="0" borderId="0" xfId="3"/>
    <xf numFmtId="0" fontId="1" fillId="0" borderId="0" xfId="1"/>
    <xf numFmtId="165" fontId="6" fillId="0" borderId="4" xfId="2" applyNumberFormat="1" applyFont="1" applyBorder="1"/>
    <xf numFmtId="2" fontId="2" fillId="0" borderId="7" xfId="2" applyNumberFormat="1" applyBorder="1"/>
    <xf numFmtId="0" fontId="2" fillId="0" borderId="0" xfId="2" applyBorder="1"/>
    <xf numFmtId="0" fontId="6" fillId="0" borderId="5" xfId="2" applyFont="1" applyBorder="1"/>
    <xf numFmtId="2" fontId="6" fillId="0" borderId="0" xfId="2" applyNumberFormat="1" applyFont="1"/>
    <xf numFmtId="164" fontId="2" fillId="4" borderId="0" xfId="2" applyNumberFormat="1" applyFill="1"/>
    <xf numFmtId="2" fontId="2" fillId="4" borderId="0" xfId="2" applyNumberFormat="1" applyFill="1"/>
    <xf numFmtId="2" fontId="2" fillId="4" borderId="0" xfId="2" applyNumberFormat="1" applyFill="1" applyAlignment="1">
      <alignment horizontal="right"/>
    </xf>
    <xf numFmtId="1" fontId="2" fillId="4" borderId="0" xfId="2" applyNumberFormat="1" applyFill="1" applyAlignment="1">
      <alignment horizontal="right"/>
    </xf>
    <xf numFmtId="2" fontId="2" fillId="4" borderId="4" xfId="2" applyNumberFormat="1" applyFill="1" applyBorder="1" applyAlignment="1">
      <alignment horizontal="right"/>
    </xf>
    <xf numFmtId="164" fontId="2" fillId="5" borderId="0" xfId="2" applyNumberFormat="1" applyFill="1"/>
    <xf numFmtId="2" fontId="2" fillId="5" borderId="0" xfId="2" applyNumberFormat="1" applyFill="1"/>
    <xf numFmtId="2" fontId="2" fillId="5" borderId="0" xfId="2" applyNumberFormat="1" applyFill="1" applyAlignment="1">
      <alignment horizontal="right"/>
    </xf>
    <xf numFmtId="1" fontId="2" fillId="5" borderId="0" xfId="2" applyNumberFormat="1" applyFill="1" applyAlignment="1">
      <alignment horizontal="right"/>
    </xf>
    <xf numFmtId="2" fontId="2" fillId="5" borderId="4" xfId="2" applyNumberFormat="1" applyFill="1" applyBorder="1" applyAlignment="1">
      <alignment horizontal="right"/>
    </xf>
    <xf numFmtId="164" fontId="2" fillId="5" borderId="3" xfId="2" applyNumberFormat="1" applyFill="1" applyBorder="1"/>
    <xf numFmtId="2" fontId="2" fillId="5" borderId="3" xfId="2" applyNumberFormat="1" applyFill="1" applyBorder="1"/>
    <xf numFmtId="2" fontId="2" fillId="5" borderId="3" xfId="2" applyNumberFormat="1" applyFill="1" applyBorder="1" applyAlignment="1">
      <alignment horizontal="right"/>
    </xf>
    <xf numFmtId="0" fontId="2" fillId="5" borderId="3" xfId="2" applyFill="1" applyBorder="1" applyAlignment="1">
      <alignment horizontal="right"/>
    </xf>
    <xf numFmtId="2" fontId="2" fillId="5" borderId="2" xfId="2" applyNumberFormat="1" applyFill="1" applyBorder="1" applyAlignment="1">
      <alignment horizontal="right"/>
    </xf>
    <xf numFmtId="164" fontId="2" fillId="5" borderId="5" xfId="2" applyNumberFormat="1" applyFill="1" applyBorder="1"/>
    <xf numFmtId="2" fontId="2" fillId="5" borderId="5" xfId="2" applyNumberFormat="1" applyFill="1" applyBorder="1" applyAlignment="1">
      <alignment horizontal="right"/>
    </xf>
    <xf numFmtId="1" fontId="2" fillId="5" borderId="5" xfId="2" applyNumberFormat="1" applyFill="1" applyBorder="1" applyAlignment="1">
      <alignment horizontal="right"/>
    </xf>
    <xf numFmtId="2" fontId="2" fillId="5" borderId="7" xfId="2" applyNumberFormat="1" applyFill="1" applyBorder="1" applyAlignment="1">
      <alignment horizontal="right"/>
    </xf>
    <xf numFmtId="0" fontId="2" fillId="4" borderId="0" xfId="2" applyFill="1"/>
    <xf numFmtId="0" fontId="2" fillId="5" borderId="0" xfId="2" applyFill="1"/>
    <xf numFmtId="0" fontId="6" fillId="0" borderId="0" xfId="2" applyFont="1" applyAlignment="1">
      <alignment horizontal="right"/>
    </xf>
    <xf numFmtId="0" fontId="6" fillId="0" borderId="4" xfId="2" applyFont="1" applyBorder="1" applyAlignment="1">
      <alignment horizontal="right"/>
    </xf>
    <xf numFmtId="0" fontId="2" fillId="0" borderId="5" xfId="2" applyBorder="1" applyAlignment="1">
      <alignment horizontal="center"/>
    </xf>
    <xf numFmtId="0" fontId="2" fillId="0" borderId="0" xfId="2" applyAlignment="1">
      <alignment horizontal="center"/>
    </xf>
    <xf numFmtId="0" fontId="2" fillId="0" borderId="7" xfId="2" applyBorder="1"/>
    <xf numFmtId="0" fontId="9" fillId="0" borderId="0" xfId="2" applyFont="1"/>
    <xf numFmtId="0" fontId="6" fillId="0" borderId="0" xfId="2" applyFont="1" applyAlignment="1">
      <alignment horizontal="center"/>
    </xf>
    <xf numFmtId="0" fontId="6" fillId="0" borderId="5" xfId="2" applyFont="1" applyBorder="1" applyAlignment="1">
      <alignment horizontal="center"/>
    </xf>
    <xf numFmtId="0" fontId="10" fillId="0" borderId="0" xfId="2" applyFont="1" applyAlignment="1">
      <alignment horizontal="center"/>
    </xf>
    <xf numFmtId="0" fontId="3" fillId="6" borderId="0" xfId="2" applyFont="1" applyFill="1"/>
    <xf numFmtId="0" fontId="2" fillId="6" borderId="0" xfId="2" applyFill="1"/>
    <xf numFmtId="0" fontId="2" fillId="0" borderId="0" xfId="2" quotePrefix="1"/>
    <xf numFmtId="0" fontId="8" fillId="2" borderId="6" xfId="4" applyBorder="1" applyAlignment="1">
      <alignment horizontal="left"/>
    </xf>
    <xf numFmtId="0" fontId="8" fillId="2" borderId="0" xfId="4" applyBorder="1" applyAlignment="1">
      <alignment horizontal="left"/>
    </xf>
    <xf numFmtId="49" fontId="8" fillId="2" borderId="1" xfId="4" applyNumberFormat="1" applyAlignment="1">
      <alignment horizontal="left"/>
    </xf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Monthly'!$J$1:$P$1</c:f>
          <c:strCache>
            <c:ptCount val="7"/>
            <c:pt idx="0">
              <c:v>FOCUS forecast for IPCA of Jan/22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Monthly'!$E$3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Monthly'!$E$4:$E$239</c:f>
              <c:numCache>
                <c:formatCode>General</c:formatCode>
                <c:ptCount val="23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0.24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0.25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0.22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0.26</c:v>
                </c:pt>
                <c:pt idx="38">
                  <c:v>0.26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0.26</c:v>
                </c:pt>
                <c:pt idx="58">
                  <c:v>0.26</c:v>
                </c:pt>
                <c:pt idx="59">
                  <c:v>0.28000000000000003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0.28000000000000003</c:v>
                </c:pt>
                <c:pt idx="72">
                  <c:v>0.26300000000000001</c:v>
                </c:pt>
                <c:pt idx="73">
                  <c:v>0.26300000000000001</c:v>
                </c:pt>
                <c:pt idx="74">
                  <c:v>0.26300000000000001</c:v>
                </c:pt>
                <c:pt idx="75">
                  <c:v>0.04</c:v>
                </c:pt>
                <c:pt idx="76">
                  <c:v>0.04</c:v>
                </c:pt>
                <c:pt idx="77">
                  <c:v>0.04</c:v>
                </c:pt>
                <c:pt idx="78">
                  <c:v>0.04</c:v>
                </c:pt>
                <c:pt idx="79">
                  <c:v>0.04</c:v>
                </c:pt>
                <c:pt idx="80">
                  <c:v>0.04</c:v>
                </c:pt>
                <c:pt idx="81">
                  <c:v>0.04</c:v>
                </c:pt>
                <c:pt idx="82">
                  <c:v>0.04</c:v>
                </c:pt>
                <c:pt idx="83">
                  <c:v>0.04</c:v>
                </c:pt>
                <c:pt idx="84">
                  <c:v>0.04</c:v>
                </c:pt>
                <c:pt idx="85">
                  <c:v>0.25</c:v>
                </c:pt>
                <c:pt idx="86">
                  <c:v>0.25</c:v>
                </c:pt>
                <c:pt idx="87">
                  <c:v>0.2</c:v>
                </c:pt>
                <c:pt idx="88">
                  <c:v>0.17</c:v>
                </c:pt>
                <c:pt idx="89">
                  <c:v>0.17</c:v>
                </c:pt>
                <c:pt idx="90">
                  <c:v>0.08</c:v>
                </c:pt>
                <c:pt idx="91">
                  <c:v>0.08</c:v>
                </c:pt>
                <c:pt idx="92">
                  <c:v>0.08</c:v>
                </c:pt>
                <c:pt idx="93">
                  <c:v>0.08</c:v>
                </c:pt>
                <c:pt idx="94">
                  <c:v>0.08</c:v>
                </c:pt>
                <c:pt idx="95">
                  <c:v>0.08</c:v>
                </c:pt>
                <c:pt idx="96">
                  <c:v>0.08</c:v>
                </c:pt>
                <c:pt idx="97">
                  <c:v>0.08</c:v>
                </c:pt>
                <c:pt idx="98">
                  <c:v>0.08</c:v>
                </c:pt>
                <c:pt idx="99">
                  <c:v>0.08</c:v>
                </c:pt>
                <c:pt idx="100">
                  <c:v>0.11</c:v>
                </c:pt>
                <c:pt idx="101">
                  <c:v>0.11</c:v>
                </c:pt>
                <c:pt idx="102">
                  <c:v>0.11</c:v>
                </c:pt>
                <c:pt idx="103">
                  <c:v>0.11</c:v>
                </c:pt>
                <c:pt idx="104">
                  <c:v>0.11</c:v>
                </c:pt>
                <c:pt idx="105">
                  <c:v>0.15</c:v>
                </c:pt>
                <c:pt idx="106">
                  <c:v>0.15</c:v>
                </c:pt>
                <c:pt idx="107">
                  <c:v>0.15</c:v>
                </c:pt>
                <c:pt idx="108">
                  <c:v>0.15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0.12</c:v>
                </c:pt>
                <c:pt idx="115">
                  <c:v>0.12</c:v>
                </c:pt>
                <c:pt idx="116">
                  <c:v>0.12</c:v>
                </c:pt>
                <c:pt idx="117">
                  <c:v>0.12</c:v>
                </c:pt>
                <c:pt idx="118">
                  <c:v>0.12</c:v>
                </c:pt>
                <c:pt idx="119">
                  <c:v>7.0000000000000007E-2</c:v>
                </c:pt>
                <c:pt idx="120">
                  <c:v>0.03</c:v>
                </c:pt>
                <c:pt idx="121">
                  <c:v>0.03</c:v>
                </c:pt>
                <c:pt idx="122">
                  <c:v>7.0000000000000007E-2</c:v>
                </c:pt>
                <c:pt idx="123">
                  <c:v>7.0000000000000007E-2</c:v>
                </c:pt>
                <c:pt idx="124">
                  <c:v>-0.19</c:v>
                </c:pt>
                <c:pt idx="125">
                  <c:v>-0.19</c:v>
                </c:pt>
                <c:pt idx="126">
                  <c:v>-0.19</c:v>
                </c:pt>
                <c:pt idx="127">
                  <c:v>-0.19</c:v>
                </c:pt>
                <c:pt idx="128">
                  <c:v>-0.24</c:v>
                </c:pt>
                <c:pt idx="129">
                  <c:v>-0.24</c:v>
                </c:pt>
                <c:pt idx="130">
                  <c:v>-0.24</c:v>
                </c:pt>
                <c:pt idx="131">
                  <c:v>-0.24</c:v>
                </c:pt>
                <c:pt idx="132">
                  <c:v>-0.24</c:v>
                </c:pt>
                <c:pt idx="133">
                  <c:v>0.1</c:v>
                </c:pt>
                <c:pt idx="134">
                  <c:v>-0.24</c:v>
                </c:pt>
                <c:pt idx="135">
                  <c:v>-0.24</c:v>
                </c:pt>
                <c:pt idx="136">
                  <c:v>-0.24</c:v>
                </c:pt>
                <c:pt idx="137">
                  <c:v>-0.24</c:v>
                </c:pt>
                <c:pt idx="138">
                  <c:v>-0.24</c:v>
                </c:pt>
                <c:pt idx="139">
                  <c:v>-0.14000000000000001</c:v>
                </c:pt>
                <c:pt idx="140">
                  <c:v>-0.14000000000000001</c:v>
                </c:pt>
                <c:pt idx="141">
                  <c:v>-0.14000000000000001</c:v>
                </c:pt>
                <c:pt idx="142">
                  <c:v>-0.26</c:v>
                </c:pt>
                <c:pt idx="143">
                  <c:v>-0.26</c:v>
                </c:pt>
                <c:pt idx="144">
                  <c:v>-0.26</c:v>
                </c:pt>
                <c:pt idx="145">
                  <c:v>-0.26</c:v>
                </c:pt>
                <c:pt idx="146">
                  <c:v>-0.26</c:v>
                </c:pt>
                <c:pt idx="147">
                  <c:v>-0.1</c:v>
                </c:pt>
                <c:pt idx="148">
                  <c:v>-0.1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-7.0000000000000007E-2</c:v>
                </c:pt>
                <c:pt idx="155">
                  <c:v>-7.0000000000000007E-2</c:v>
                </c:pt>
                <c:pt idx="156">
                  <c:v>-7.0000000000000007E-2</c:v>
                </c:pt>
                <c:pt idx="157">
                  <c:v>-7.0000000000000007E-2</c:v>
                </c:pt>
                <c:pt idx="158">
                  <c:v>-7.0000000000000007E-2</c:v>
                </c:pt>
                <c:pt idx="159">
                  <c:v>-7.0000000000000007E-2</c:v>
                </c:pt>
                <c:pt idx="160">
                  <c:v>-7.0000000000000007E-2</c:v>
                </c:pt>
                <c:pt idx="161">
                  <c:v>-7.0000000000000007E-2</c:v>
                </c:pt>
                <c:pt idx="162">
                  <c:v>-7.0000000000000007E-2</c:v>
                </c:pt>
                <c:pt idx="163">
                  <c:v>-7.0000000000000007E-2</c:v>
                </c:pt>
                <c:pt idx="164">
                  <c:v>-0.33700000000000002</c:v>
                </c:pt>
                <c:pt idx="165">
                  <c:v>0.16</c:v>
                </c:pt>
                <c:pt idx="166">
                  <c:v>-0.18</c:v>
                </c:pt>
                <c:pt idx="167">
                  <c:v>-0.18</c:v>
                </c:pt>
                <c:pt idx="168">
                  <c:v>-0.18</c:v>
                </c:pt>
                <c:pt idx="169">
                  <c:v>-0.01</c:v>
                </c:pt>
                <c:pt idx="170">
                  <c:v>-0.01</c:v>
                </c:pt>
                <c:pt idx="171">
                  <c:v>-0.01</c:v>
                </c:pt>
                <c:pt idx="172">
                  <c:v>-0.01</c:v>
                </c:pt>
                <c:pt idx="173">
                  <c:v>-0.05</c:v>
                </c:pt>
                <c:pt idx="174">
                  <c:v>-0.05</c:v>
                </c:pt>
                <c:pt idx="175">
                  <c:v>-0.05</c:v>
                </c:pt>
                <c:pt idx="176">
                  <c:v>-0.05</c:v>
                </c:pt>
                <c:pt idx="177">
                  <c:v>-0.05</c:v>
                </c:pt>
                <c:pt idx="178">
                  <c:v>-0.04</c:v>
                </c:pt>
                <c:pt idx="179">
                  <c:v>-0.04</c:v>
                </c:pt>
                <c:pt idx="180">
                  <c:v>-0.04</c:v>
                </c:pt>
                <c:pt idx="181">
                  <c:v>-0.04</c:v>
                </c:pt>
                <c:pt idx="182">
                  <c:v>-0.04</c:v>
                </c:pt>
                <c:pt idx="183">
                  <c:v>0.24</c:v>
                </c:pt>
                <c:pt idx="184">
                  <c:v>0.24</c:v>
                </c:pt>
                <c:pt idx="185">
                  <c:v>0.24</c:v>
                </c:pt>
                <c:pt idx="186">
                  <c:v>0.24</c:v>
                </c:pt>
                <c:pt idx="187">
                  <c:v>0.24</c:v>
                </c:pt>
                <c:pt idx="188">
                  <c:v>0.25</c:v>
                </c:pt>
                <c:pt idx="189">
                  <c:v>-0.04</c:v>
                </c:pt>
                <c:pt idx="190">
                  <c:v>-0.04</c:v>
                </c:pt>
                <c:pt idx="191">
                  <c:v>-0.04</c:v>
                </c:pt>
                <c:pt idx="192">
                  <c:v>-0.04</c:v>
                </c:pt>
                <c:pt idx="193">
                  <c:v>-0.04</c:v>
                </c:pt>
                <c:pt idx="194">
                  <c:v>-0.05</c:v>
                </c:pt>
                <c:pt idx="195">
                  <c:v>-0.05</c:v>
                </c:pt>
                <c:pt idx="196">
                  <c:v>-0.05</c:v>
                </c:pt>
                <c:pt idx="197">
                  <c:v>-0.05</c:v>
                </c:pt>
                <c:pt idx="198">
                  <c:v>-0.05</c:v>
                </c:pt>
                <c:pt idx="199">
                  <c:v>0.26250000000000001</c:v>
                </c:pt>
                <c:pt idx="200">
                  <c:v>0.26250000000000001</c:v>
                </c:pt>
                <c:pt idx="201">
                  <c:v>0.26250000000000001</c:v>
                </c:pt>
                <c:pt idx="202">
                  <c:v>0.04</c:v>
                </c:pt>
                <c:pt idx="203">
                  <c:v>0.04</c:v>
                </c:pt>
                <c:pt idx="204">
                  <c:v>0.04</c:v>
                </c:pt>
                <c:pt idx="205">
                  <c:v>0.04</c:v>
                </c:pt>
                <c:pt idx="206">
                  <c:v>0.04</c:v>
                </c:pt>
                <c:pt idx="207">
                  <c:v>0.26250000000000001</c:v>
                </c:pt>
                <c:pt idx="208">
                  <c:v>0.26250000000000001</c:v>
                </c:pt>
                <c:pt idx="209">
                  <c:v>0.26250000000000001</c:v>
                </c:pt>
                <c:pt idx="210">
                  <c:v>0.26250000000000001</c:v>
                </c:pt>
                <c:pt idx="211">
                  <c:v>0.13</c:v>
                </c:pt>
                <c:pt idx="212">
                  <c:v>0.13</c:v>
                </c:pt>
                <c:pt idx="213">
                  <c:v>0.13</c:v>
                </c:pt>
                <c:pt idx="214">
                  <c:v>0.13</c:v>
                </c:pt>
                <c:pt idx="215">
                  <c:v>0.13</c:v>
                </c:pt>
                <c:pt idx="216">
                  <c:v>0.26250000000000001</c:v>
                </c:pt>
                <c:pt idx="217">
                  <c:v>0.26250000000000001</c:v>
                </c:pt>
                <c:pt idx="218">
                  <c:v>0.26250000000000001</c:v>
                </c:pt>
                <c:pt idx="219">
                  <c:v>0.26250000000000001</c:v>
                </c:pt>
                <c:pt idx="220">
                  <c:v>-0.01</c:v>
                </c:pt>
                <c:pt idx="221">
                  <c:v>-0.01</c:v>
                </c:pt>
                <c:pt idx="222">
                  <c:v>-0.01</c:v>
                </c:pt>
                <c:pt idx="223">
                  <c:v>-0.01</c:v>
                </c:pt>
                <c:pt idx="224">
                  <c:v>-0.01</c:v>
                </c:pt>
                <c:pt idx="225">
                  <c:v>0.25</c:v>
                </c:pt>
                <c:pt idx="226">
                  <c:v>0.25</c:v>
                </c:pt>
                <c:pt idx="227">
                  <c:v>0.25</c:v>
                </c:pt>
                <c:pt idx="228">
                  <c:v>0.25</c:v>
                </c:pt>
                <c:pt idx="229">
                  <c:v>0.25</c:v>
                </c:pt>
                <c:pt idx="230">
                  <c:v>0.26</c:v>
                </c:pt>
                <c:pt idx="231">
                  <c:v>0.26</c:v>
                </c:pt>
                <c:pt idx="232">
                  <c:v>0.26</c:v>
                </c:pt>
                <c:pt idx="233">
                  <c:v>0.26</c:v>
                </c:pt>
                <c:pt idx="234">
                  <c:v>0.26</c:v>
                </c:pt>
                <c:pt idx="235">
                  <c:v>0.26250000000000001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6-4F8A-9664-282BF69C6434}"/>
            </c:ext>
          </c:extLst>
        </c:ser>
        <c:ser>
          <c:idx val="2"/>
          <c:order val="1"/>
          <c:tx>
            <c:strRef>
              <c:f>'Exp Monthly'!$F$3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Monthly'!$F$4:$F$239</c:f>
              <c:numCache>
                <c:formatCode>General</c:formatCode>
                <c:ptCount val="236"/>
                <c:pt idx="0">
                  <c:v>0.4</c:v>
                </c:pt>
                <c:pt idx="1">
                  <c:v>0.41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0.39</c:v>
                </c:pt>
                <c:pt idx="6">
                  <c:v>0.4</c:v>
                </c:pt>
                <c:pt idx="7">
                  <c:v>0.39</c:v>
                </c:pt>
                <c:pt idx="8">
                  <c:v>0.39</c:v>
                </c:pt>
                <c:pt idx="9">
                  <c:v>0.39</c:v>
                </c:pt>
                <c:pt idx="10">
                  <c:v>0.39</c:v>
                </c:pt>
                <c:pt idx="11">
                  <c:v>0.39</c:v>
                </c:pt>
                <c:pt idx="12">
                  <c:v>0.39</c:v>
                </c:pt>
                <c:pt idx="13">
                  <c:v>0.39</c:v>
                </c:pt>
                <c:pt idx="14">
                  <c:v>0.39</c:v>
                </c:pt>
                <c:pt idx="15">
                  <c:v>0.4</c:v>
                </c:pt>
                <c:pt idx="16">
                  <c:v>0.38</c:v>
                </c:pt>
                <c:pt idx="17">
                  <c:v>0.38</c:v>
                </c:pt>
                <c:pt idx="18">
                  <c:v>0.38</c:v>
                </c:pt>
                <c:pt idx="19">
                  <c:v>0.38</c:v>
                </c:pt>
                <c:pt idx="20">
                  <c:v>0.37</c:v>
                </c:pt>
                <c:pt idx="21">
                  <c:v>0.39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0.38</c:v>
                </c:pt>
                <c:pt idx="33">
                  <c:v>0.39</c:v>
                </c:pt>
                <c:pt idx="34">
                  <c:v>0.39</c:v>
                </c:pt>
                <c:pt idx="35">
                  <c:v>0.39</c:v>
                </c:pt>
                <c:pt idx="36">
                  <c:v>0.39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0.39</c:v>
                </c:pt>
                <c:pt idx="41">
                  <c:v>0.39</c:v>
                </c:pt>
                <c:pt idx="42">
                  <c:v>0.4</c:v>
                </c:pt>
                <c:pt idx="43">
                  <c:v>0.41</c:v>
                </c:pt>
                <c:pt idx="44">
                  <c:v>0.4</c:v>
                </c:pt>
                <c:pt idx="45">
                  <c:v>0.41</c:v>
                </c:pt>
                <c:pt idx="46">
                  <c:v>0.41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0.39</c:v>
                </c:pt>
                <c:pt idx="52">
                  <c:v>0.4</c:v>
                </c:pt>
                <c:pt idx="53">
                  <c:v>0.4</c:v>
                </c:pt>
                <c:pt idx="54">
                  <c:v>0.39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0.39</c:v>
                </c:pt>
                <c:pt idx="63">
                  <c:v>0.39500000000000002</c:v>
                </c:pt>
                <c:pt idx="64">
                  <c:v>0.38019999999999998</c:v>
                </c:pt>
                <c:pt idx="65">
                  <c:v>0.39</c:v>
                </c:pt>
                <c:pt idx="66">
                  <c:v>0.4</c:v>
                </c:pt>
                <c:pt idx="67">
                  <c:v>0.4</c:v>
                </c:pt>
                <c:pt idx="68">
                  <c:v>0.38150000000000001</c:v>
                </c:pt>
                <c:pt idx="69">
                  <c:v>0.38100000000000001</c:v>
                </c:pt>
                <c:pt idx="70">
                  <c:v>0.36</c:v>
                </c:pt>
                <c:pt idx="71">
                  <c:v>0.39</c:v>
                </c:pt>
                <c:pt idx="72">
                  <c:v>0.4</c:v>
                </c:pt>
                <c:pt idx="73">
                  <c:v>0.41</c:v>
                </c:pt>
                <c:pt idx="74">
                  <c:v>0.42</c:v>
                </c:pt>
                <c:pt idx="75">
                  <c:v>0.4</c:v>
                </c:pt>
                <c:pt idx="76">
                  <c:v>0.4</c:v>
                </c:pt>
                <c:pt idx="77">
                  <c:v>0.4</c:v>
                </c:pt>
                <c:pt idx="78">
                  <c:v>0.4</c:v>
                </c:pt>
                <c:pt idx="79">
                  <c:v>0.39</c:v>
                </c:pt>
                <c:pt idx="80">
                  <c:v>0.39</c:v>
                </c:pt>
                <c:pt idx="81">
                  <c:v>0.39500000000000002</c:v>
                </c:pt>
                <c:pt idx="82">
                  <c:v>0.39</c:v>
                </c:pt>
                <c:pt idx="83">
                  <c:v>0.39</c:v>
                </c:pt>
                <c:pt idx="84">
                  <c:v>0.4</c:v>
                </c:pt>
                <c:pt idx="85">
                  <c:v>0.36699999999999999</c:v>
                </c:pt>
                <c:pt idx="86">
                  <c:v>0.36</c:v>
                </c:pt>
                <c:pt idx="87">
                  <c:v>0.3639</c:v>
                </c:pt>
                <c:pt idx="88">
                  <c:v>0.37</c:v>
                </c:pt>
                <c:pt idx="89">
                  <c:v>0.37</c:v>
                </c:pt>
                <c:pt idx="90">
                  <c:v>0.36499999999999999</c:v>
                </c:pt>
                <c:pt idx="91">
                  <c:v>0.38</c:v>
                </c:pt>
                <c:pt idx="92">
                  <c:v>0.38</c:v>
                </c:pt>
                <c:pt idx="93">
                  <c:v>0.35</c:v>
                </c:pt>
                <c:pt idx="94">
                  <c:v>0.3543</c:v>
                </c:pt>
                <c:pt idx="95">
                  <c:v>0.37</c:v>
                </c:pt>
                <c:pt idx="96">
                  <c:v>0.36499999999999999</c:v>
                </c:pt>
                <c:pt idx="97">
                  <c:v>0.36</c:v>
                </c:pt>
                <c:pt idx="98">
                  <c:v>0.37</c:v>
                </c:pt>
                <c:pt idx="99">
                  <c:v>0.36499999999999999</c:v>
                </c:pt>
                <c:pt idx="100">
                  <c:v>0.36</c:v>
                </c:pt>
                <c:pt idx="101">
                  <c:v>0.35549999999999998</c:v>
                </c:pt>
                <c:pt idx="102">
                  <c:v>0.35549999999999998</c:v>
                </c:pt>
                <c:pt idx="103">
                  <c:v>0.39</c:v>
                </c:pt>
                <c:pt idx="104">
                  <c:v>0.37</c:v>
                </c:pt>
                <c:pt idx="105">
                  <c:v>0.37</c:v>
                </c:pt>
                <c:pt idx="106">
                  <c:v>0.37</c:v>
                </c:pt>
                <c:pt idx="107">
                  <c:v>0.37</c:v>
                </c:pt>
                <c:pt idx="108">
                  <c:v>0.36099999999999999</c:v>
                </c:pt>
                <c:pt idx="109">
                  <c:v>0.36</c:v>
                </c:pt>
                <c:pt idx="110">
                  <c:v>0.36</c:v>
                </c:pt>
                <c:pt idx="111">
                  <c:v>0.36</c:v>
                </c:pt>
                <c:pt idx="112">
                  <c:v>0.36049999999999999</c:v>
                </c:pt>
                <c:pt idx="113">
                  <c:v>0.36549999999999999</c:v>
                </c:pt>
                <c:pt idx="114">
                  <c:v>0.35</c:v>
                </c:pt>
                <c:pt idx="115">
                  <c:v>0.35</c:v>
                </c:pt>
                <c:pt idx="116">
                  <c:v>0.35</c:v>
                </c:pt>
                <c:pt idx="117">
                  <c:v>0.34</c:v>
                </c:pt>
                <c:pt idx="118">
                  <c:v>0.34499999999999997</c:v>
                </c:pt>
                <c:pt idx="119">
                  <c:v>0.35809999999999997</c:v>
                </c:pt>
                <c:pt idx="120">
                  <c:v>0.35249999999999998</c:v>
                </c:pt>
                <c:pt idx="121">
                  <c:v>0.35</c:v>
                </c:pt>
                <c:pt idx="122">
                  <c:v>0.35809999999999997</c:v>
                </c:pt>
                <c:pt idx="123">
                  <c:v>0.36499999999999999</c:v>
                </c:pt>
                <c:pt idx="124">
                  <c:v>0.34</c:v>
                </c:pt>
                <c:pt idx="125">
                  <c:v>0.35</c:v>
                </c:pt>
                <c:pt idx="126">
                  <c:v>0.35</c:v>
                </c:pt>
                <c:pt idx="127">
                  <c:v>0.35</c:v>
                </c:pt>
                <c:pt idx="128">
                  <c:v>0.35499999999999998</c:v>
                </c:pt>
                <c:pt idx="129">
                  <c:v>0.34499999999999997</c:v>
                </c:pt>
                <c:pt idx="130">
                  <c:v>0.34</c:v>
                </c:pt>
                <c:pt idx="131">
                  <c:v>0.34</c:v>
                </c:pt>
                <c:pt idx="132">
                  <c:v>0.34</c:v>
                </c:pt>
                <c:pt idx="133">
                  <c:v>0.33379999999999999</c:v>
                </c:pt>
                <c:pt idx="134">
                  <c:v>0.35</c:v>
                </c:pt>
                <c:pt idx="135">
                  <c:v>0.35499999999999998</c:v>
                </c:pt>
                <c:pt idx="136">
                  <c:v>0.35</c:v>
                </c:pt>
                <c:pt idx="137">
                  <c:v>0.35649999999999998</c:v>
                </c:pt>
                <c:pt idx="138">
                  <c:v>0.35830000000000001</c:v>
                </c:pt>
                <c:pt idx="139">
                  <c:v>0.35</c:v>
                </c:pt>
                <c:pt idx="140">
                  <c:v>0.36</c:v>
                </c:pt>
                <c:pt idx="141">
                  <c:v>0.36</c:v>
                </c:pt>
                <c:pt idx="142">
                  <c:v>0.36</c:v>
                </c:pt>
                <c:pt idx="143">
                  <c:v>0.36</c:v>
                </c:pt>
                <c:pt idx="144">
                  <c:v>0.37</c:v>
                </c:pt>
                <c:pt idx="145">
                  <c:v>0.37</c:v>
                </c:pt>
                <c:pt idx="146">
                  <c:v>0.37019999999999997</c:v>
                </c:pt>
                <c:pt idx="147">
                  <c:v>0.37</c:v>
                </c:pt>
                <c:pt idx="148">
                  <c:v>0.37009999999999998</c:v>
                </c:pt>
                <c:pt idx="149">
                  <c:v>0.37019999999999997</c:v>
                </c:pt>
                <c:pt idx="150">
                  <c:v>0.37009999999999998</c:v>
                </c:pt>
                <c:pt idx="151">
                  <c:v>0.37009999999999998</c:v>
                </c:pt>
                <c:pt idx="152">
                  <c:v>0.37509999999999999</c:v>
                </c:pt>
                <c:pt idx="153">
                  <c:v>0.37</c:v>
                </c:pt>
                <c:pt idx="154">
                  <c:v>0.36670000000000003</c:v>
                </c:pt>
                <c:pt idx="155">
                  <c:v>0.36670000000000003</c:v>
                </c:pt>
                <c:pt idx="156">
                  <c:v>0.36170000000000002</c:v>
                </c:pt>
                <c:pt idx="157">
                  <c:v>0.37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0.42</c:v>
                </c:pt>
                <c:pt idx="166">
                  <c:v>0.41</c:v>
                </c:pt>
                <c:pt idx="167">
                  <c:v>0.41</c:v>
                </c:pt>
                <c:pt idx="168">
                  <c:v>0.42499999999999999</c:v>
                </c:pt>
                <c:pt idx="169">
                  <c:v>0.42</c:v>
                </c:pt>
                <c:pt idx="170">
                  <c:v>0.41</c:v>
                </c:pt>
                <c:pt idx="171">
                  <c:v>0.42</c:v>
                </c:pt>
                <c:pt idx="172">
                  <c:v>0.42499999999999999</c:v>
                </c:pt>
                <c:pt idx="173">
                  <c:v>0.43</c:v>
                </c:pt>
                <c:pt idx="174">
                  <c:v>0.42</c:v>
                </c:pt>
                <c:pt idx="175">
                  <c:v>0.42</c:v>
                </c:pt>
                <c:pt idx="176">
                  <c:v>0.42</c:v>
                </c:pt>
                <c:pt idx="177">
                  <c:v>0.42</c:v>
                </c:pt>
                <c:pt idx="178">
                  <c:v>0.41499999999999998</c:v>
                </c:pt>
                <c:pt idx="179">
                  <c:v>0.42</c:v>
                </c:pt>
                <c:pt idx="180">
                  <c:v>0.42</c:v>
                </c:pt>
                <c:pt idx="181">
                  <c:v>0.42499999999999999</c:v>
                </c:pt>
                <c:pt idx="182">
                  <c:v>0.42</c:v>
                </c:pt>
                <c:pt idx="183">
                  <c:v>0.44619999999999999</c:v>
                </c:pt>
                <c:pt idx="184">
                  <c:v>0.46</c:v>
                </c:pt>
                <c:pt idx="185">
                  <c:v>0.45</c:v>
                </c:pt>
                <c:pt idx="186">
                  <c:v>0.45</c:v>
                </c:pt>
                <c:pt idx="187">
                  <c:v>0.45</c:v>
                </c:pt>
                <c:pt idx="188">
                  <c:v>0.45</c:v>
                </c:pt>
                <c:pt idx="189">
                  <c:v>0.43619999999999998</c:v>
                </c:pt>
                <c:pt idx="190">
                  <c:v>0.43</c:v>
                </c:pt>
                <c:pt idx="191">
                  <c:v>0.43</c:v>
                </c:pt>
                <c:pt idx="192">
                  <c:v>0.42</c:v>
                </c:pt>
                <c:pt idx="193">
                  <c:v>0.44119999999999998</c:v>
                </c:pt>
                <c:pt idx="194">
                  <c:v>0.44619999999999999</c:v>
                </c:pt>
                <c:pt idx="195">
                  <c:v>0.46500000000000002</c:v>
                </c:pt>
                <c:pt idx="196">
                  <c:v>0.47</c:v>
                </c:pt>
                <c:pt idx="197">
                  <c:v>0.47</c:v>
                </c:pt>
                <c:pt idx="198">
                  <c:v>0.47</c:v>
                </c:pt>
                <c:pt idx="199">
                  <c:v>0.47</c:v>
                </c:pt>
                <c:pt idx="200">
                  <c:v>0.47</c:v>
                </c:pt>
                <c:pt idx="201">
                  <c:v>0.47499999999999998</c:v>
                </c:pt>
                <c:pt idx="202">
                  <c:v>0.49</c:v>
                </c:pt>
                <c:pt idx="203">
                  <c:v>0.5</c:v>
                </c:pt>
                <c:pt idx="204">
                  <c:v>0.495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0.4975</c:v>
                </c:pt>
                <c:pt idx="212">
                  <c:v>0.49249999999999999</c:v>
                </c:pt>
                <c:pt idx="213">
                  <c:v>0.49</c:v>
                </c:pt>
                <c:pt idx="214">
                  <c:v>0.5</c:v>
                </c:pt>
                <c:pt idx="215">
                  <c:v>0.51</c:v>
                </c:pt>
                <c:pt idx="216">
                  <c:v>0.56000000000000005</c:v>
                </c:pt>
                <c:pt idx="217">
                  <c:v>0.56340000000000001</c:v>
                </c:pt>
                <c:pt idx="218">
                  <c:v>0.56669999999999998</c:v>
                </c:pt>
                <c:pt idx="219">
                  <c:v>0.56000000000000005</c:v>
                </c:pt>
                <c:pt idx="220">
                  <c:v>0.56999999999999995</c:v>
                </c:pt>
                <c:pt idx="221">
                  <c:v>0.56169999999999998</c:v>
                </c:pt>
                <c:pt idx="222">
                  <c:v>0.56999999999999995</c:v>
                </c:pt>
                <c:pt idx="223">
                  <c:v>0.56999999999999995</c:v>
                </c:pt>
                <c:pt idx="224">
                  <c:v>0.56999999999999995</c:v>
                </c:pt>
                <c:pt idx="225">
                  <c:v>0.51639999999999997</c:v>
                </c:pt>
                <c:pt idx="226">
                  <c:v>0.55500000000000005</c:v>
                </c:pt>
                <c:pt idx="227">
                  <c:v>0.56000000000000005</c:v>
                </c:pt>
                <c:pt idx="228">
                  <c:v>0.55000000000000004</c:v>
                </c:pt>
                <c:pt idx="229">
                  <c:v>0.55000000000000004</c:v>
                </c:pt>
                <c:pt idx="230">
                  <c:v>0.54</c:v>
                </c:pt>
                <c:pt idx="231">
                  <c:v>0.53</c:v>
                </c:pt>
                <c:pt idx="232">
                  <c:v>0.53</c:v>
                </c:pt>
                <c:pt idx="233">
                  <c:v>0.55000000000000004</c:v>
                </c:pt>
                <c:pt idx="234">
                  <c:v>0.55000000000000004</c:v>
                </c:pt>
                <c:pt idx="235">
                  <c:v>0.52439999999999998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D6-4F8A-9664-282BF69C6434}"/>
            </c:ext>
          </c:extLst>
        </c:ser>
        <c:ser>
          <c:idx val="3"/>
          <c:order val="2"/>
          <c:tx>
            <c:strRef>
              <c:f>'Exp Monthly'!$G$3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Monthly'!$G$4:$G$239</c:f>
              <c:numCache>
                <c:formatCode>General</c:formatCode>
                <c:ptCount val="236"/>
                <c:pt idx="0">
                  <c:v>0.71</c:v>
                </c:pt>
                <c:pt idx="1">
                  <c:v>0.71</c:v>
                </c:pt>
                <c:pt idx="2">
                  <c:v>0.71</c:v>
                </c:pt>
                <c:pt idx="3">
                  <c:v>0.71</c:v>
                </c:pt>
                <c:pt idx="4">
                  <c:v>0.71</c:v>
                </c:pt>
                <c:pt idx="5">
                  <c:v>0.71</c:v>
                </c:pt>
                <c:pt idx="6">
                  <c:v>0.71</c:v>
                </c:pt>
                <c:pt idx="7">
                  <c:v>0.71</c:v>
                </c:pt>
                <c:pt idx="8">
                  <c:v>0.71</c:v>
                </c:pt>
                <c:pt idx="9">
                  <c:v>0.71</c:v>
                </c:pt>
                <c:pt idx="10">
                  <c:v>0.71</c:v>
                </c:pt>
                <c:pt idx="11">
                  <c:v>0.71</c:v>
                </c:pt>
                <c:pt idx="12">
                  <c:v>0.71</c:v>
                </c:pt>
                <c:pt idx="13">
                  <c:v>0.71</c:v>
                </c:pt>
                <c:pt idx="14">
                  <c:v>0.71</c:v>
                </c:pt>
                <c:pt idx="15">
                  <c:v>0.71</c:v>
                </c:pt>
                <c:pt idx="16">
                  <c:v>0.71</c:v>
                </c:pt>
                <c:pt idx="17">
                  <c:v>0.71</c:v>
                </c:pt>
                <c:pt idx="18">
                  <c:v>0.71</c:v>
                </c:pt>
                <c:pt idx="19">
                  <c:v>0.71</c:v>
                </c:pt>
                <c:pt idx="20">
                  <c:v>0.71</c:v>
                </c:pt>
                <c:pt idx="21">
                  <c:v>0.71</c:v>
                </c:pt>
                <c:pt idx="22">
                  <c:v>0.71</c:v>
                </c:pt>
                <c:pt idx="23">
                  <c:v>0.71</c:v>
                </c:pt>
                <c:pt idx="24">
                  <c:v>0.71</c:v>
                </c:pt>
                <c:pt idx="25">
                  <c:v>0.71</c:v>
                </c:pt>
                <c:pt idx="26">
                  <c:v>0.71</c:v>
                </c:pt>
                <c:pt idx="27">
                  <c:v>0.71</c:v>
                </c:pt>
                <c:pt idx="28">
                  <c:v>0.71</c:v>
                </c:pt>
                <c:pt idx="29">
                  <c:v>0.71</c:v>
                </c:pt>
                <c:pt idx="30">
                  <c:v>0.71</c:v>
                </c:pt>
                <c:pt idx="31">
                  <c:v>0.71</c:v>
                </c:pt>
                <c:pt idx="32">
                  <c:v>0.71</c:v>
                </c:pt>
                <c:pt idx="33">
                  <c:v>0.71</c:v>
                </c:pt>
                <c:pt idx="34">
                  <c:v>0.71</c:v>
                </c:pt>
                <c:pt idx="35">
                  <c:v>0.71</c:v>
                </c:pt>
                <c:pt idx="36">
                  <c:v>0.71</c:v>
                </c:pt>
                <c:pt idx="37">
                  <c:v>0.71</c:v>
                </c:pt>
                <c:pt idx="38">
                  <c:v>0.59</c:v>
                </c:pt>
                <c:pt idx="39">
                  <c:v>0.59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0.71</c:v>
                </c:pt>
                <c:pt idx="44">
                  <c:v>0.71</c:v>
                </c:pt>
                <c:pt idx="45">
                  <c:v>0.71</c:v>
                </c:pt>
                <c:pt idx="46">
                  <c:v>0.71</c:v>
                </c:pt>
                <c:pt idx="47">
                  <c:v>0.71</c:v>
                </c:pt>
                <c:pt idx="48">
                  <c:v>0.71</c:v>
                </c:pt>
                <c:pt idx="49">
                  <c:v>0.71</c:v>
                </c:pt>
                <c:pt idx="50">
                  <c:v>0.71</c:v>
                </c:pt>
                <c:pt idx="51">
                  <c:v>0.71</c:v>
                </c:pt>
                <c:pt idx="52">
                  <c:v>0.81</c:v>
                </c:pt>
                <c:pt idx="53">
                  <c:v>0.81</c:v>
                </c:pt>
                <c:pt idx="54">
                  <c:v>0.81</c:v>
                </c:pt>
                <c:pt idx="55">
                  <c:v>0.81</c:v>
                </c:pt>
                <c:pt idx="56">
                  <c:v>0.81</c:v>
                </c:pt>
                <c:pt idx="57">
                  <c:v>0.59</c:v>
                </c:pt>
                <c:pt idx="58">
                  <c:v>0.59</c:v>
                </c:pt>
                <c:pt idx="59">
                  <c:v>0.81</c:v>
                </c:pt>
                <c:pt idx="60">
                  <c:v>0.80569999999999997</c:v>
                </c:pt>
                <c:pt idx="61">
                  <c:v>0.80569999999999997</c:v>
                </c:pt>
                <c:pt idx="62">
                  <c:v>0.80569999999999997</c:v>
                </c:pt>
                <c:pt idx="63">
                  <c:v>0.80569999999999997</c:v>
                </c:pt>
                <c:pt idx="64">
                  <c:v>0.6</c:v>
                </c:pt>
                <c:pt idx="65">
                  <c:v>0.6</c:v>
                </c:pt>
                <c:pt idx="66">
                  <c:v>0.80569999999999997</c:v>
                </c:pt>
                <c:pt idx="67">
                  <c:v>0.80569999999999997</c:v>
                </c:pt>
                <c:pt idx="68">
                  <c:v>0.80569999999999997</c:v>
                </c:pt>
                <c:pt idx="69">
                  <c:v>0.80569999999999997</c:v>
                </c:pt>
                <c:pt idx="70">
                  <c:v>0.80569999999999997</c:v>
                </c:pt>
                <c:pt idx="71">
                  <c:v>0.63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0.80569999999999997</c:v>
                </c:pt>
                <c:pt idx="76">
                  <c:v>0.80569999999999997</c:v>
                </c:pt>
                <c:pt idx="77">
                  <c:v>0.80569999999999997</c:v>
                </c:pt>
                <c:pt idx="78">
                  <c:v>0.80569999999999997</c:v>
                </c:pt>
                <c:pt idx="79">
                  <c:v>0.80569999999999997</c:v>
                </c:pt>
                <c:pt idx="80">
                  <c:v>0.80569999999999997</c:v>
                </c:pt>
                <c:pt idx="81">
                  <c:v>0.80569999999999997</c:v>
                </c:pt>
                <c:pt idx="82">
                  <c:v>0.80569999999999997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</c:v>
                </c:pt>
                <c:pt idx="107">
                  <c:v>0.7</c:v>
                </c:pt>
                <c:pt idx="108">
                  <c:v>0.7</c:v>
                </c:pt>
                <c:pt idx="109">
                  <c:v>0.7</c:v>
                </c:pt>
                <c:pt idx="110">
                  <c:v>0.7</c:v>
                </c:pt>
                <c:pt idx="111">
                  <c:v>0.7</c:v>
                </c:pt>
                <c:pt idx="112">
                  <c:v>0.7</c:v>
                </c:pt>
                <c:pt idx="113">
                  <c:v>0.7</c:v>
                </c:pt>
                <c:pt idx="114">
                  <c:v>0.7</c:v>
                </c:pt>
                <c:pt idx="115">
                  <c:v>0.7</c:v>
                </c:pt>
                <c:pt idx="116">
                  <c:v>0.7</c:v>
                </c:pt>
                <c:pt idx="117">
                  <c:v>0.7</c:v>
                </c:pt>
                <c:pt idx="118">
                  <c:v>0.7</c:v>
                </c:pt>
                <c:pt idx="119">
                  <c:v>0.7</c:v>
                </c:pt>
                <c:pt idx="120">
                  <c:v>0.7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0.7</c:v>
                </c:pt>
                <c:pt idx="125">
                  <c:v>0.7</c:v>
                </c:pt>
                <c:pt idx="126">
                  <c:v>0.7</c:v>
                </c:pt>
                <c:pt idx="127">
                  <c:v>0.7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0.65</c:v>
                </c:pt>
                <c:pt idx="132">
                  <c:v>0.65</c:v>
                </c:pt>
                <c:pt idx="133">
                  <c:v>0.65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0.65</c:v>
                </c:pt>
                <c:pt idx="141">
                  <c:v>0.65</c:v>
                </c:pt>
                <c:pt idx="142">
                  <c:v>0.65</c:v>
                </c:pt>
                <c:pt idx="143">
                  <c:v>0.65</c:v>
                </c:pt>
                <c:pt idx="144">
                  <c:v>0.65</c:v>
                </c:pt>
                <c:pt idx="145">
                  <c:v>0.65</c:v>
                </c:pt>
                <c:pt idx="146">
                  <c:v>0.65</c:v>
                </c:pt>
                <c:pt idx="147">
                  <c:v>0.65</c:v>
                </c:pt>
                <c:pt idx="148">
                  <c:v>0.65</c:v>
                </c:pt>
                <c:pt idx="149">
                  <c:v>0.6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0.65139999999999998</c:v>
                </c:pt>
                <c:pt idx="171">
                  <c:v>0.65139999999999998</c:v>
                </c:pt>
                <c:pt idx="172">
                  <c:v>0.65139999999999998</c:v>
                </c:pt>
                <c:pt idx="173">
                  <c:v>0.8</c:v>
                </c:pt>
                <c:pt idx="174">
                  <c:v>0.8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0.7</c:v>
                </c:pt>
                <c:pt idx="179">
                  <c:v>0.7</c:v>
                </c:pt>
                <c:pt idx="180">
                  <c:v>0.7</c:v>
                </c:pt>
                <c:pt idx="181">
                  <c:v>0.68</c:v>
                </c:pt>
                <c:pt idx="182">
                  <c:v>0.8</c:v>
                </c:pt>
                <c:pt idx="183">
                  <c:v>0.7</c:v>
                </c:pt>
                <c:pt idx="184">
                  <c:v>0.7</c:v>
                </c:pt>
                <c:pt idx="185">
                  <c:v>0.7</c:v>
                </c:pt>
                <c:pt idx="186">
                  <c:v>0.67</c:v>
                </c:pt>
                <c:pt idx="187">
                  <c:v>0.67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0.75039999999999996</c:v>
                </c:pt>
                <c:pt idx="194">
                  <c:v>0.75039999999999996</c:v>
                </c:pt>
                <c:pt idx="195">
                  <c:v>0.78</c:v>
                </c:pt>
                <c:pt idx="196">
                  <c:v>0.78</c:v>
                </c:pt>
                <c:pt idx="197">
                  <c:v>0.78</c:v>
                </c:pt>
                <c:pt idx="198">
                  <c:v>0.78</c:v>
                </c:pt>
                <c:pt idx="199">
                  <c:v>0.78</c:v>
                </c:pt>
                <c:pt idx="200">
                  <c:v>0.78</c:v>
                </c:pt>
                <c:pt idx="201">
                  <c:v>0.78</c:v>
                </c:pt>
                <c:pt idx="202">
                  <c:v>0.81</c:v>
                </c:pt>
                <c:pt idx="203">
                  <c:v>0.81</c:v>
                </c:pt>
                <c:pt idx="204">
                  <c:v>0.81</c:v>
                </c:pt>
                <c:pt idx="205">
                  <c:v>0.81</c:v>
                </c:pt>
                <c:pt idx="206">
                  <c:v>0.81</c:v>
                </c:pt>
                <c:pt idx="207">
                  <c:v>0.78</c:v>
                </c:pt>
                <c:pt idx="208">
                  <c:v>0.78</c:v>
                </c:pt>
                <c:pt idx="209">
                  <c:v>0.78</c:v>
                </c:pt>
                <c:pt idx="210">
                  <c:v>0.78</c:v>
                </c:pt>
                <c:pt idx="211">
                  <c:v>0.78</c:v>
                </c:pt>
                <c:pt idx="212">
                  <c:v>0.81</c:v>
                </c:pt>
                <c:pt idx="213">
                  <c:v>0.81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0.87609999999999999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0.8</c:v>
                </c:pt>
                <c:pt idx="226">
                  <c:v>0.9</c:v>
                </c:pt>
                <c:pt idx="227">
                  <c:v>0.9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0.87609999999999999</c:v>
                </c:pt>
                <c:pt idx="232">
                  <c:v>0.87609999999999999</c:v>
                </c:pt>
                <c:pt idx="233">
                  <c:v>0.87609999999999999</c:v>
                </c:pt>
                <c:pt idx="234">
                  <c:v>0.87609999999999999</c:v>
                </c:pt>
                <c:pt idx="235">
                  <c:v>0.87609999999999999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D6-4F8A-9664-282BF69C6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cat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Algn val="ctr"/>
        <c:lblOffset val="100"/>
        <c:noMultiLvlLbl val="1"/>
      </c:cat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Quarterly'!$J$1:$P$1</c:f>
          <c:strCache>
            <c:ptCount val="7"/>
            <c:pt idx="0">
              <c:v>FOCUS forecast for PIB Total of Q4/2021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Quarterly'!$E$3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Quarterly'!$E$4:$E$189</c:f>
              <c:numCache>
                <c:formatCode>General</c:formatCode>
                <c:ptCount val="186"/>
                <c:pt idx="0">
                  <c:v>1.7</c:v>
                </c:pt>
                <c:pt idx="1">
                  <c:v>1.7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-3.5</c:v>
                </c:pt>
                <c:pt idx="13">
                  <c:v>-3.5</c:v>
                </c:pt>
                <c:pt idx="14">
                  <c:v>-3.5</c:v>
                </c:pt>
                <c:pt idx="15">
                  <c:v>-3.5</c:v>
                </c:pt>
                <c:pt idx="16">
                  <c:v>-3.5</c:v>
                </c:pt>
                <c:pt idx="17">
                  <c:v>-3.5</c:v>
                </c:pt>
                <c:pt idx="18">
                  <c:v>-3.5</c:v>
                </c:pt>
                <c:pt idx="19">
                  <c:v>-3.5</c:v>
                </c:pt>
                <c:pt idx="20">
                  <c:v>-3.5</c:v>
                </c:pt>
                <c:pt idx="21">
                  <c:v>-3.5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-4</c:v>
                </c:pt>
                <c:pt idx="32">
                  <c:v>-4</c:v>
                </c:pt>
                <c:pt idx="33">
                  <c:v>-4</c:v>
                </c:pt>
                <c:pt idx="34">
                  <c:v>-4</c:v>
                </c:pt>
                <c:pt idx="35">
                  <c:v>-4</c:v>
                </c:pt>
                <c:pt idx="36">
                  <c:v>-4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0.5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-4</c:v>
                </c:pt>
                <c:pt idx="45">
                  <c:v>-4</c:v>
                </c:pt>
                <c:pt idx="46">
                  <c:v>-4</c:v>
                </c:pt>
                <c:pt idx="47">
                  <c:v>-4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-4</c:v>
                </c:pt>
                <c:pt idx="52">
                  <c:v>-4</c:v>
                </c:pt>
                <c:pt idx="53">
                  <c:v>-4</c:v>
                </c:pt>
                <c:pt idx="54">
                  <c:v>-3.1</c:v>
                </c:pt>
                <c:pt idx="55">
                  <c:v>-3.1</c:v>
                </c:pt>
                <c:pt idx="56">
                  <c:v>-3.1</c:v>
                </c:pt>
                <c:pt idx="57">
                  <c:v>-3.1</c:v>
                </c:pt>
                <c:pt idx="58">
                  <c:v>-3.1</c:v>
                </c:pt>
                <c:pt idx="59">
                  <c:v>-3.1</c:v>
                </c:pt>
                <c:pt idx="60">
                  <c:v>-3.1</c:v>
                </c:pt>
                <c:pt idx="61">
                  <c:v>-3.1</c:v>
                </c:pt>
                <c:pt idx="62">
                  <c:v>-3.1</c:v>
                </c:pt>
                <c:pt idx="63">
                  <c:v>-3.1</c:v>
                </c:pt>
                <c:pt idx="64">
                  <c:v>-3.1</c:v>
                </c:pt>
                <c:pt idx="65">
                  <c:v>-2.7</c:v>
                </c:pt>
                <c:pt idx="66">
                  <c:v>-2.7</c:v>
                </c:pt>
                <c:pt idx="67">
                  <c:v>-2.7</c:v>
                </c:pt>
                <c:pt idx="68">
                  <c:v>-2.7</c:v>
                </c:pt>
                <c:pt idx="69">
                  <c:v>-2.7</c:v>
                </c:pt>
                <c:pt idx="70">
                  <c:v>-2.7</c:v>
                </c:pt>
                <c:pt idx="71">
                  <c:v>-2.7</c:v>
                </c:pt>
                <c:pt idx="72">
                  <c:v>-2.7</c:v>
                </c:pt>
                <c:pt idx="73">
                  <c:v>-2.7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-2.7</c:v>
                </c:pt>
                <c:pt idx="89">
                  <c:v>-2.7</c:v>
                </c:pt>
                <c:pt idx="90">
                  <c:v>-2.7</c:v>
                </c:pt>
                <c:pt idx="91">
                  <c:v>-2.7</c:v>
                </c:pt>
                <c:pt idx="92">
                  <c:v>-2.7</c:v>
                </c:pt>
                <c:pt idx="93">
                  <c:v>-2.7</c:v>
                </c:pt>
                <c:pt idx="94">
                  <c:v>-2.7</c:v>
                </c:pt>
                <c:pt idx="95">
                  <c:v>-2.7</c:v>
                </c:pt>
                <c:pt idx="96">
                  <c:v>-2.7</c:v>
                </c:pt>
                <c:pt idx="97">
                  <c:v>-2.7</c:v>
                </c:pt>
                <c:pt idx="98">
                  <c:v>-2.7</c:v>
                </c:pt>
                <c:pt idx="99">
                  <c:v>-2.7</c:v>
                </c:pt>
                <c:pt idx="100">
                  <c:v>-2.7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-2.7</c:v>
                </c:pt>
                <c:pt idx="107">
                  <c:v>-2.7</c:v>
                </c:pt>
                <c:pt idx="108">
                  <c:v>-2.7</c:v>
                </c:pt>
                <c:pt idx="109">
                  <c:v>-1</c:v>
                </c:pt>
                <c:pt idx="110">
                  <c:v>-2.7</c:v>
                </c:pt>
                <c:pt idx="111">
                  <c:v>-2.7</c:v>
                </c:pt>
                <c:pt idx="112">
                  <c:v>-2.7</c:v>
                </c:pt>
                <c:pt idx="113">
                  <c:v>-2.7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-2.7</c:v>
                </c:pt>
                <c:pt idx="121">
                  <c:v>-2.7</c:v>
                </c:pt>
                <c:pt idx="122">
                  <c:v>-2.7</c:v>
                </c:pt>
                <c:pt idx="123">
                  <c:v>-2.7</c:v>
                </c:pt>
                <c:pt idx="124">
                  <c:v>-2.7</c:v>
                </c:pt>
                <c:pt idx="125">
                  <c:v>-2.7</c:v>
                </c:pt>
                <c:pt idx="126">
                  <c:v>-2.7</c:v>
                </c:pt>
                <c:pt idx="127">
                  <c:v>-2.7</c:v>
                </c:pt>
                <c:pt idx="128">
                  <c:v>-2.7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3.5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B-44D3-BA86-81320F0B368B}"/>
            </c:ext>
          </c:extLst>
        </c:ser>
        <c:ser>
          <c:idx val="2"/>
          <c:order val="1"/>
          <c:tx>
            <c:strRef>
              <c:f>'Exp Quarterly'!$F$3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Quarterly'!$F$4:$F$189</c:f>
              <c:numCache>
                <c:formatCode>General</c:formatCode>
                <c:ptCount val="186"/>
                <c:pt idx="0">
                  <c:v>2.5099999999999998</c:v>
                </c:pt>
                <c:pt idx="1">
                  <c:v>2.5</c:v>
                </c:pt>
                <c:pt idx="2">
                  <c:v>2.37</c:v>
                </c:pt>
                <c:pt idx="3">
                  <c:v>2.37</c:v>
                </c:pt>
                <c:pt idx="4">
                  <c:v>2.29</c:v>
                </c:pt>
                <c:pt idx="5">
                  <c:v>2.21</c:v>
                </c:pt>
                <c:pt idx="6">
                  <c:v>2.21</c:v>
                </c:pt>
                <c:pt idx="7">
                  <c:v>2.25</c:v>
                </c:pt>
                <c:pt idx="8">
                  <c:v>2.27</c:v>
                </c:pt>
                <c:pt idx="9">
                  <c:v>2.23</c:v>
                </c:pt>
                <c:pt idx="10">
                  <c:v>2.23</c:v>
                </c:pt>
                <c:pt idx="11">
                  <c:v>2.25</c:v>
                </c:pt>
                <c:pt idx="12">
                  <c:v>2.37</c:v>
                </c:pt>
                <c:pt idx="13">
                  <c:v>2.37</c:v>
                </c:pt>
                <c:pt idx="14">
                  <c:v>2.37</c:v>
                </c:pt>
                <c:pt idx="15">
                  <c:v>2.38</c:v>
                </c:pt>
                <c:pt idx="16">
                  <c:v>2.38</c:v>
                </c:pt>
                <c:pt idx="17">
                  <c:v>2.5</c:v>
                </c:pt>
                <c:pt idx="18">
                  <c:v>2.7</c:v>
                </c:pt>
                <c:pt idx="19">
                  <c:v>2.8</c:v>
                </c:pt>
                <c:pt idx="20">
                  <c:v>2.8</c:v>
                </c:pt>
                <c:pt idx="21">
                  <c:v>3</c:v>
                </c:pt>
                <c:pt idx="22">
                  <c:v>2.9</c:v>
                </c:pt>
                <c:pt idx="23">
                  <c:v>3.91</c:v>
                </c:pt>
                <c:pt idx="24">
                  <c:v>4.0999999999999996</c:v>
                </c:pt>
                <c:pt idx="25">
                  <c:v>4.2300000000000004</c:v>
                </c:pt>
                <c:pt idx="26">
                  <c:v>4.0999999999999996</c:v>
                </c:pt>
                <c:pt idx="27">
                  <c:v>4.8600000000000003</c:v>
                </c:pt>
                <c:pt idx="28">
                  <c:v>4.8</c:v>
                </c:pt>
                <c:pt idx="29">
                  <c:v>4.91</c:v>
                </c:pt>
                <c:pt idx="30">
                  <c:v>4.91</c:v>
                </c:pt>
                <c:pt idx="31">
                  <c:v>5</c:v>
                </c:pt>
                <c:pt idx="32">
                  <c:v>5</c:v>
                </c:pt>
                <c:pt idx="33">
                  <c:v>5.0999999999999996</c:v>
                </c:pt>
                <c:pt idx="34">
                  <c:v>6</c:v>
                </c:pt>
                <c:pt idx="35">
                  <c:v>6</c:v>
                </c:pt>
                <c:pt idx="36">
                  <c:v>6.5</c:v>
                </c:pt>
                <c:pt idx="37">
                  <c:v>6.58</c:v>
                </c:pt>
                <c:pt idx="38">
                  <c:v>6.5</c:v>
                </c:pt>
                <c:pt idx="39">
                  <c:v>6.58</c:v>
                </c:pt>
                <c:pt idx="40">
                  <c:v>6.83</c:v>
                </c:pt>
                <c:pt idx="41">
                  <c:v>6.65</c:v>
                </c:pt>
                <c:pt idx="42">
                  <c:v>6.65</c:v>
                </c:pt>
                <c:pt idx="43">
                  <c:v>7</c:v>
                </c:pt>
                <c:pt idx="44">
                  <c:v>6.65</c:v>
                </c:pt>
                <c:pt idx="45">
                  <c:v>6.65</c:v>
                </c:pt>
                <c:pt idx="46">
                  <c:v>6.65</c:v>
                </c:pt>
                <c:pt idx="47">
                  <c:v>6.65</c:v>
                </c:pt>
                <c:pt idx="48">
                  <c:v>6.58</c:v>
                </c:pt>
                <c:pt idx="49">
                  <c:v>6.78</c:v>
                </c:pt>
                <c:pt idx="50">
                  <c:v>6.78</c:v>
                </c:pt>
                <c:pt idx="51">
                  <c:v>6.9</c:v>
                </c:pt>
                <c:pt idx="52">
                  <c:v>6.95</c:v>
                </c:pt>
                <c:pt idx="53">
                  <c:v>6.95</c:v>
                </c:pt>
                <c:pt idx="54">
                  <c:v>7.16</c:v>
                </c:pt>
                <c:pt idx="55">
                  <c:v>7.28</c:v>
                </c:pt>
                <c:pt idx="56">
                  <c:v>7.4</c:v>
                </c:pt>
                <c:pt idx="57">
                  <c:v>7.4</c:v>
                </c:pt>
                <c:pt idx="58">
                  <c:v>7.4</c:v>
                </c:pt>
                <c:pt idx="59">
                  <c:v>7.28</c:v>
                </c:pt>
                <c:pt idx="60">
                  <c:v>7.5</c:v>
                </c:pt>
                <c:pt idx="61">
                  <c:v>7.5</c:v>
                </c:pt>
                <c:pt idx="62">
                  <c:v>7.6</c:v>
                </c:pt>
                <c:pt idx="63">
                  <c:v>7.8</c:v>
                </c:pt>
                <c:pt idx="64">
                  <c:v>8</c:v>
                </c:pt>
                <c:pt idx="65">
                  <c:v>8.5500000000000007</c:v>
                </c:pt>
                <c:pt idx="66">
                  <c:v>8.5500000000000007</c:v>
                </c:pt>
                <c:pt idx="67">
                  <c:v>8.5500000000000007</c:v>
                </c:pt>
                <c:pt idx="68">
                  <c:v>8.4</c:v>
                </c:pt>
                <c:pt idx="69">
                  <c:v>8.4</c:v>
                </c:pt>
                <c:pt idx="70">
                  <c:v>8.4</c:v>
                </c:pt>
                <c:pt idx="71">
                  <c:v>8.1999999999999993</c:v>
                </c:pt>
                <c:pt idx="72">
                  <c:v>8.1999999999999993</c:v>
                </c:pt>
                <c:pt idx="73">
                  <c:v>8.1999999999999993</c:v>
                </c:pt>
                <c:pt idx="74">
                  <c:v>8.59</c:v>
                </c:pt>
                <c:pt idx="75">
                  <c:v>8.59</c:v>
                </c:pt>
                <c:pt idx="76">
                  <c:v>8.59</c:v>
                </c:pt>
                <c:pt idx="77">
                  <c:v>8.7799999999999994</c:v>
                </c:pt>
                <c:pt idx="78">
                  <c:v>8.7899999999999991</c:v>
                </c:pt>
                <c:pt idx="79">
                  <c:v>8.8000000000000007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9.1999999999999993</c:v>
                </c:pt>
                <c:pt idx="85">
                  <c:v>9.1999999999999993</c:v>
                </c:pt>
                <c:pt idx="86">
                  <c:v>9.1999999999999993</c:v>
                </c:pt>
                <c:pt idx="87">
                  <c:v>8.7899999999999991</c:v>
                </c:pt>
                <c:pt idx="88">
                  <c:v>8.7799999999999994</c:v>
                </c:pt>
                <c:pt idx="89">
                  <c:v>8.7799999999999994</c:v>
                </c:pt>
                <c:pt idx="90">
                  <c:v>8.7799999999999994</c:v>
                </c:pt>
                <c:pt idx="91">
                  <c:v>8.74</c:v>
                </c:pt>
                <c:pt idx="92">
                  <c:v>8.74</c:v>
                </c:pt>
                <c:pt idx="93">
                  <c:v>8.61</c:v>
                </c:pt>
                <c:pt idx="94">
                  <c:v>8.51</c:v>
                </c:pt>
                <c:pt idx="95">
                  <c:v>8.5</c:v>
                </c:pt>
                <c:pt idx="96">
                  <c:v>8.5</c:v>
                </c:pt>
                <c:pt idx="97">
                  <c:v>8.51</c:v>
                </c:pt>
                <c:pt idx="98">
                  <c:v>8.5</c:v>
                </c:pt>
                <c:pt idx="99">
                  <c:v>8.4</c:v>
                </c:pt>
                <c:pt idx="100">
                  <c:v>8.4</c:v>
                </c:pt>
                <c:pt idx="101">
                  <c:v>8.1999999999999993</c:v>
                </c:pt>
                <c:pt idx="102">
                  <c:v>8.1999999999999993</c:v>
                </c:pt>
                <c:pt idx="103">
                  <c:v>8.1999999999999993</c:v>
                </c:pt>
                <c:pt idx="104">
                  <c:v>8.15</c:v>
                </c:pt>
                <c:pt idx="105">
                  <c:v>8.15</c:v>
                </c:pt>
                <c:pt idx="106">
                  <c:v>8.15</c:v>
                </c:pt>
                <c:pt idx="107">
                  <c:v>8.0500000000000007</c:v>
                </c:pt>
                <c:pt idx="108">
                  <c:v>8</c:v>
                </c:pt>
                <c:pt idx="109">
                  <c:v>8.1</c:v>
                </c:pt>
                <c:pt idx="110">
                  <c:v>8.1</c:v>
                </c:pt>
                <c:pt idx="111">
                  <c:v>8.1</c:v>
                </c:pt>
                <c:pt idx="112">
                  <c:v>8.15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8.02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8.6</c:v>
                </c:pt>
                <c:pt idx="131">
                  <c:v>8.6999999999999993</c:v>
                </c:pt>
                <c:pt idx="132">
                  <c:v>8.74</c:v>
                </c:pt>
                <c:pt idx="133">
                  <c:v>8.6999999999999993</c:v>
                </c:pt>
                <c:pt idx="134">
                  <c:v>8.6999999999999993</c:v>
                </c:pt>
                <c:pt idx="135">
                  <c:v>8.6999999999999993</c:v>
                </c:pt>
                <c:pt idx="136">
                  <c:v>8.74</c:v>
                </c:pt>
                <c:pt idx="137">
                  <c:v>8.7799999999999994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8.9499999999999993</c:v>
                </c:pt>
                <c:pt idx="141">
                  <c:v>8.9499999999999993</c:v>
                </c:pt>
                <c:pt idx="142">
                  <c:v>9.1</c:v>
                </c:pt>
                <c:pt idx="143">
                  <c:v>9.39</c:v>
                </c:pt>
                <c:pt idx="144">
                  <c:v>9.39</c:v>
                </c:pt>
                <c:pt idx="145">
                  <c:v>9.39</c:v>
                </c:pt>
                <c:pt idx="146">
                  <c:v>9.39</c:v>
                </c:pt>
                <c:pt idx="147">
                  <c:v>9.1999999999999993</c:v>
                </c:pt>
                <c:pt idx="148">
                  <c:v>9.34</c:v>
                </c:pt>
                <c:pt idx="149">
                  <c:v>9.34</c:v>
                </c:pt>
                <c:pt idx="150">
                  <c:v>9.34</c:v>
                </c:pt>
                <c:pt idx="151">
                  <c:v>9.34</c:v>
                </c:pt>
                <c:pt idx="152">
                  <c:v>9.43</c:v>
                </c:pt>
                <c:pt idx="153">
                  <c:v>9.49</c:v>
                </c:pt>
                <c:pt idx="154">
                  <c:v>9.39</c:v>
                </c:pt>
                <c:pt idx="155">
                  <c:v>9.39</c:v>
                </c:pt>
                <c:pt idx="156">
                  <c:v>9.34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9.4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9.35</c:v>
                </c:pt>
                <c:pt idx="172">
                  <c:v>9.4</c:v>
                </c:pt>
                <c:pt idx="173">
                  <c:v>9.4</c:v>
                </c:pt>
                <c:pt idx="174">
                  <c:v>9.35</c:v>
                </c:pt>
                <c:pt idx="175">
                  <c:v>9.5</c:v>
                </c:pt>
                <c:pt idx="176">
                  <c:v>9.75</c:v>
                </c:pt>
                <c:pt idx="177">
                  <c:v>9.75</c:v>
                </c:pt>
                <c:pt idx="178">
                  <c:v>10</c:v>
                </c:pt>
                <c:pt idx="179">
                  <c:v>10</c:v>
                </c:pt>
                <c:pt idx="180">
                  <c:v>10.1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10.11</c:v>
                </c:pt>
                <c:pt idx="184">
                  <c:v>10.11</c:v>
                </c:pt>
                <c:pt idx="185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B-44D3-BA86-81320F0B368B}"/>
            </c:ext>
          </c:extLst>
        </c:ser>
        <c:ser>
          <c:idx val="3"/>
          <c:order val="2"/>
          <c:tx>
            <c:strRef>
              <c:f>'Exp Quarterly'!$G$3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Quarterly'!$G$4:$G$189</c:f>
              <c:numCache>
                <c:formatCode>General</c:formatCode>
                <c:ptCount val="186"/>
                <c:pt idx="0">
                  <c:v>2.6</c:v>
                </c:pt>
                <c:pt idx="1">
                  <c:v>2.6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2.8</c:v>
                </c:pt>
                <c:pt idx="7">
                  <c:v>3.4</c:v>
                </c:pt>
                <c:pt idx="8">
                  <c:v>3.4</c:v>
                </c:pt>
                <c:pt idx="9">
                  <c:v>3.4</c:v>
                </c:pt>
                <c:pt idx="10">
                  <c:v>3.4</c:v>
                </c:pt>
                <c:pt idx="11">
                  <c:v>3.4</c:v>
                </c:pt>
                <c:pt idx="12">
                  <c:v>5</c:v>
                </c:pt>
                <c:pt idx="13">
                  <c:v>9.93</c:v>
                </c:pt>
                <c:pt idx="14">
                  <c:v>9.93</c:v>
                </c:pt>
                <c:pt idx="15">
                  <c:v>9.93</c:v>
                </c:pt>
                <c:pt idx="16">
                  <c:v>9.93</c:v>
                </c:pt>
                <c:pt idx="17">
                  <c:v>9</c:v>
                </c:pt>
                <c:pt idx="18">
                  <c:v>16.7</c:v>
                </c:pt>
                <c:pt idx="19">
                  <c:v>16.7</c:v>
                </c:pt>
                <c:pt idx="20">
                  <c:v>16.7</c:v>
                </c:pt>
                <c:pt idx="21">
                  <c:v>16.7</c:v>
                </c:pt>
                <c:pt idx="22">
                  <c:v>16.7</c:v>
                </c:pt>
                <c:pt idx="23">
                  <c:v>16.7</c:v>
                </c:pt>
                <c:pt idx="24">
                  <c:v>16.7</c:v>
                </c:pt>
                <c:pt idx="25">
                  <c:v>20.100000000000001</c:v>
                </c:pt>
                <c:pt idx="26">
                  <c:v>20.100000000000001</c:v>
                </c:pt>
                <c:pt idx="27">
                  <c:v>20.100000000000001</c:v>
                </c:pt>
                <c:pt idx="28">
                  <c:v>20.100000000000001</c:v>
                </c:pt>
                <c:pt idx="29">
                  <c:v>20.100000000000001</c:v>
                </c:pt>
                <c:pt idx="30">
                  <c:v>20.100000000000001</c:v>
                </c:pt>
                <c:pt idx="31">
                  <c:v>20.100000000000001</c:v>
                </c:pt>
                <c:pt idx="32">
                  <c:v>20.100000000000001</c:v>
                </c:pt>
                <c:pt idx="33">
                  <c:v>20.100000000000001</c:v>
                </c:pt>
                <c:pt idx="34">
                  <c:v>20.100000000000001</c:v>
                </c:pt>
                <c:pt idx="35">
                  <c:v>20.100000000000001</c:v>
                </c:pt>
                <c:pt idx="36">
                  <c:v>20.100000000000001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20.2</c:v>
                </c:pt>
                <c:pt idx="55">
                  <c:v>20.2</c:v>
                </c:pt>
                <c:pt idx="56">
                  <c:v>20.2</c:v>
                </c:pt>
                <c:pt idx="57">
                  <c:v>20.2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16.100000000000001</c:v>
                </c:pt>
                <c:pt idx="62">
                  <c:v>16.100000000000001</c:v>
                </c:pt>
                <c:pt idx="63">
                  <c:v>16.100000000000001</c:v>
                </c:pt>
                <c:pt idx="64">
                  <c:v>16.100000000000001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16.100000000000001</c:v>
                </c:pt>
                <c:pt idx="69">
                  <c:v>16.100000000000001</c:v>
                </c:pt>
                <c:pt idx="70">
                  <c:v>16.100000000000001</c:v>
                </c:pt>
                <c:pt idx="71">
                  <c:v>16.100000000000001</c:v>
                </c:pt>
                <c:pt idx="72">
                  <c:v>16.100000000000001</c:v>
                </c:pt>
                <c:pt idx="73">
                  <c:v>16.100000000000001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16.100000000000001</c:v>
                </c:pt>
                <c:pt idx="80">
                  <c:v>16.100000000000001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14.11</c:v>
                </c:pt>
                <c:pt idx="90">
                  <c:v>13.9</c:v>
                </c:pt>
                <c:pt idx="91">
                  <c:v>13.9</c:v>
                </c:pt>
                <c:pt idx="92">
                  <c:v>13.9</c:v>
                </c:pt>
                <c:pt idx="93">
                  <c:v>13.9</c:v>
                </c:pt>
                <c:pt idx="94">
                  <c:v>13.9</c:v>
                </c:pt>
                <c:pt idx="95">
                  <c:v>13.9</c:v>
                </c:pt>
                <c:pt idx="96">
                  <c:v>13.9</c:v>
                </c:pt>
                <c:pt idx="97">
                  <c:v>13.9</c:v>
                </c:pt>
                <c:pt idx="98">
                  <c:v>13.2</c:v>
                </c:pt>
                <c:pt idx="99">
                  <c:v>13.2</c:v>
                </c:pt>
                <c:pt idx="100">
                  <c:v>13.2</c:v>
                </c:pt>
                <c:pt idx="101">
                  <c:v>13.2</c:v>
                </c:pt>
                <c:pt idx="102">
                  <c:v>13.2</c:v>
                </c:pt>
                <c:pt idx="103">
                  <c:v>13.2</c:v>
                </c:pt>
                <c:pt idx="104">
                  <c:v>13.2</c:v>
                </c:pt>
                <c:pt idx="105">
                  <c:v>13.2</c:v>
                </c:pt>
                <c:pt idx="106">
                  <c:v>13.2</c:v>
                </c:pt>
                <c:pt idx="107">
                  <c:v>13.2</c:v>
                </c:pt>
                <c:pt idx="108">
                  <c:v>13.2</c:v>
                </c:pt>
                <c:pt idx="109">
                  <c:v>13.2</c:v>
                </c:pt>
                <c:pt idx="110">
                  <c:v>13.2</c:v>
                </c:pt>
                <c:pt idx="111">
                  <c:v>13.2</c:v>
                </c:pt>
                <c:pt idx="112">
                  <c:v>13.2</c:v>
                </c:pt>
                <c:pt idx="113">
                  <c:v>13.2</c:v>
                </c:pt>
                <c:pt idx="114">
                  <c:v>12.3</c:v>
                </c:pt>
                <c:pt idx="115">
                  <c:v>12.3</c:v>
                </c:pt>
                <c:pt idx="116">
                  <c:v>12.3</c:v>
                </c:pt>
                <c:pt idx="117">
                  <c:v>12.3</c:v>
                </c:pt>
                <c:pt idx="118">
                  <c:v>12.3</c:v>
                </c:pt>
                <c:pt idx="119">
                  <c:v>12.3</c:v>
                </c:pt>
                <c:pt idx="120">
                  <c:v>12.3</c:v>
                </c:pt>
                <c:pt idx="121">
                  <c:v>12.3</c:v>
                </c:pt>
                <c:pt idx="122">
                  <c:v>12.3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12.6</c:v>
                </c:pt>
                <c:pt idx="131">
                  <c:v>12.6</c:v>
                </c:pt>
                <c:pt idx="132">
                  <c:v>12.6</c:v>
                </c:pt>
                <c:pt idx="133">
                  <c:v>12.6</c:v>
                </c:pt>
                <c:pt idx="134">
                  <c:v>12.6</c:v>
                </c:pt>
                <c:pt idx="135">
                  <c:v>12.6</c:v>
                </c:pt>
                <c:pt idx="136">
                  <c:v>12.6</c:v>
                </c:pt>
                <c:pt idx="137">
                  <c:v>12.6</c:v>
                </c:pt>
                <c:pt idx="138">
                  <c:v>12.6</c:v>
                </c:pt>
                <c:pt idx="139">
                  <c:v>12.6</c:v>
                </c:pt>
                <c:pt idx="140">
                  <c:v>12.6</c:v>
                </c:pt>
                <c:pt idx="141">
                  <c:v>12.6</c:v>
                </c:pt>
                <c:pt idx="142">
                  <c:v>12.6</c:v>
                </c:pt>
                <c:pt idx="143">
                  <c:v>12.6</c:v>
                </c:pt>
                <c:pt idx="144">
                  <c:v>12.6</c:v>
                </c:pt>
                <c:pt idx="145">
                  <c:v>12.6</c:v>
                </c:pt>
                <c:pt idx="146">
                  <c:v>12.6</c:v>
                </c:pt>
                <c:pt idx="147">
                  <c:v>12.6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12.09</c:v>
                </c:pt>
                <c:pt idx="167">
                  <c:v>12.09</c:v>
                </c:pt>
                <c:pt idx="168">
                  <c:v>12.09</c:v>
                </c:pt>
                <c:pt idx="169">
                  <c:v>12.09</c:v>
                </c:pt>
                <c:pt idx="170">
                  <c:v>12.09</c:v>
                </c:pt>
                <c:pt idx="171">
                  <c:v>12.09</c:v>
                </c:pt>
                <c:pt idx="172">
                  <c:v>12.09</c:v>
                </c:pt>
                <c:pt idx="173">
                  <c:v>12.09</c:v>
                </c:pt>
                <c:pt idx="174">
                  <c:v>12.09</c:v>
                </c:pt>
                <c:pt idx="175">
                  <c:v>12.09</c:v>
                </c:pt>
                <c:pt idx="176">
                  <c:v>12.45</c:v>
                </c:pt>
                <c:pt idx="177">
                  <c:v>12.45</c:v>
                </c:pt>
                <c:pt idx="178">
                  <c:v>12.45</c:v>
                </c:pt>
                <c:pt idx="179">
                  <c:v>12.45</c:v>
                </c:pt>
                <c:pt idx="180">
                  <c:v>12.45</c:v>
                </c:pt>
                <c:pt idx="181">
                  <c:v>12.45</c:v>
                </c:pt>
                <c:pt idx="182">
                  <c:v>12.45</c:v>
                </c:pt>
                <c:pt idx="183">
                  <c:v>12.45</c:v>
                </c:pt>
                <c:pt idx="184">
                  <c:v>12.45</c:v>
                </c:pt>
                <c:pt idx="185">
                  <c:v>12.45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CB-44D3-BA86-81320F0B3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Annual'!$J$1:$P$1</c:f>
          <c:strCache>
            <c:ptCount val="7"/>
            <c:pt idx="0">
              <c:v>FOCUS forecast for IPCA of 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Annual'!$E$3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Annual'!$E$4:$E$461</c:f>
              <c:numCache>
                <c:formatCode>General</c:formatCode>
                <c:ptCount val="458"/>
                <c:pt idx="0">
                  <c:v>2.4700000000000002</c:v>
                </c:pt>
                <c:pt idx="1">
                  <c:v>2.4700000000000002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2.09</c:v>
                </c:pt>
                <c:pt idx="6">
                  <c:v>2.09</c:v>
                </c:pt>
                <c:pt idx="7">
                  <c:v>2.09</c:v>
                </c:pt>
                <c:pt idx="8">
                  <c:v>2.09</c:v>
                </c:pt>
                <c:pt idx="9">
                  <c:v>2.09</c:v>
                </c:pt>
                <c:pt idx="10">
                  <c:v>2.09</c:v>
                </c:pt>
                <c:pt idx="11">
                  <c:v>2.09</c:v>
                </c:pt>
                <c:pt idx="12">
                  <c:v>2.44</c:v>
                </c:pt>
                <c:pt idx="13">
                  <c:v>2.09</c:v>
                </c:pt>
                <c:pt idx="14">
                  <c:v>2.09</c:v>
                </c:pt>
                <c:pt idx="15">
                  <c:v>2.09</c:v>
                </c:pt>
                <c:pt idx="16">
                  <c:v>2.09</c:v>
                </c:pt>
                <c:pt idx="17">
                  <c:v>2.2799999999999998</c:v>
                </c:pt>
                <c:pt idx="18">
                  <c:v>2.2799999999999998</c:v>
                </c:pt>
                <c:pt idx="19">
                  <c:v>2.2799999999999998</c:v>
                </c:pt>
                <c:pt idx="20">
                  <c:v>2.2799999999999998</c:v>
                </c:pt>
                <c:pt idx="21">
                  <c:v>2.2799999999999998</c:v>
                </c:pt>
                <c:pt idx="22">
                  <c:v>2.44</c:v>
                </c:pt>
                <c:pt idx="23">
                  <c:v>2.44</c:v>
                </c:pt>
                <c:pt idx="24">
                  <c:v>2.44</c:v>
                </c:pt>
                <c:pt idx="25">
                  <c:v>2.44</c:v>
                </c:pt>
                <c:pt idx="26">
                  <c:v>2.5</c:v>
                </c:pt>
                <c:pt idx="27">
                  <c:v>2.11</c:v>
                </c:pt>
                <c:pt idx="28">
                  <c:v>2.11</c:v>
                </c:pt>
                <c:pt idx="29">
                  <c:v>2.11</c:v>
                </c:pt>
                <c:pt idx="30">
                  <c:v>2.11</c:v>
                </c:pt>
                <c:pt idx="31">
                  <c:v>2.11</c:v>
                </c:pt>
                <c:pt idx="32">
                  <c:v>2.08</c:v>
                </c:pt>
                <c:pt idx="33">
                  <c:v>2.08</c:v>
                </c:pt>
                <c:pt idx="34">
                  <c:v>2.08</c:v>
                </c:pt>
                <c:pt idx="35">
                  <c:v>2.08</c:v>
                </c:pt>
                <c:pt idx="36">
                  <c:v>2.08</c:v>
                </c:pt>
                <c:pt idx="37">
                  <c:v>2.4300000000000002</c:v>
                </c:pt>
                <c:pt idx="38">
                  <c:v>2.4300000000000002</c:v>
                </c:pt>
                <c:pt idx="39">
                  <c:v>2.4300000000000002</c:v>
                </c:pt>
                <c:pt idx="40">
                  <c:v>2.4300000000000002</c:v>
                </c:pt>
                <c:pt idx="41">
                  <c:v>2.4300000000000002</c:v>
                </c:pt>
                <c:pt idx="42">
                  <c:v>2.2599999999999998</c:v>
                </c:pt>
                <c:pt idx="43">
                  <c:v>2.2599999999999998</c:v>
                </c:pt>
                <c:pt idx="44">
                  <c:v>2.02</c:v>
                </c:pt>
                <c:pt idx="45">
                  <c:v>2.02</c:v>
                </c:pt>
                <c:pt idx="46">
                  <c:v>2.02</c:v>
                </c:pt>
                <c:pt idx="47">
                  <c:v>2.02</c:v>
                </c:pt>
                <c:pt idx="48">
                  <c:v>2.02</c:v>
                </c:pt>
                <c:pt idx="49">
                  <c:v>2.2599999999999998</c:v>
                </c:pt>
                <c:pt idx="50">
                  <c:v>2.2599999999999998</c:v>
                </c:pt>
                <c:pt idx="51">
                  <c:v>2.2599999999999998</c:v>
                </c:pt>
                <c:pt idx="52">
                  <c:v>2.2999999999999998</c:v>
                </c:pt>
                <c:pt idx="53">
                  <c:v>2.2999999999999998</c:v>
                </c:pt>
                <c:pt idx="54">
                  <c:v>2.2999999999999998</c:v>
                </c:pt>
                <c:pt idx="55">
                  <c:v>2.2999999999999998</c:v>
                </c:pt>
                <c:pt idx="56">
                  <c:v>2.2599999999999998</c:v>
                </c:pt>
                <c:pt idx="57">
                  <c:v>2.2599999999999998</c:v>
                </c:pt>
                <c:pt idx="58">
                  <c:v>2.2599999999999998</c:v>
                </c:pt>
                <c:pt idx="59">
                  <c:v>2.2400000000000002</c:v>
                </c:pt>
                <c:pt idx="60">
                  <c:v>2.2400000000000002</c:v>
                </c:pt>
                <c:pt idx="61">
                  <c:v>2.2400000000000002</c:v>
                </c:pt>
                <c:pt idx="62">
                  <c:v>2.2400000000000002</c:v>
                </c:pt>
                <c:pt idx="63">
                  <c:v>2.2400000000000002</c:v>
                </c:pt>
                <c:pt idx="64">
                  <c:v>2.2400000000000002</c:v>
                </c:pt>
                <c:pt idx="65">
                  <c:v>2.2400000000000002</c:v>
                </c:pt>
                <c:pt idx="66">
                  <c:v>2.2799999999999998</c:v>
                </c:pt>
                <c:pt idx="67">
                  <c:v>2.2799999999999998</c:v>
                </c:pt>
                <c:pt idx="68">
                  <c:v>2.2799999999999998</c:v>
                </c:pt>
                <c:pt idx="69">
                  <c:v>2.2799999999999998</c:v>
                </c:pt>
                <c:pt idx="70">
                  <c:v>2.2799999999999998</c:v>
                </c:pt>
                <c:pt idx="71">
                  <c:v>2.2200000000000002</c:v>
                </c:pt>
                <c:pt idx="72">
                  <c:v>2.2200000000000002</c:v>
                </c:pt>
                <c:pt idx="73">
                  <c:v>2.2200000000000002</c:v>
                </c:pt>
                <c:pt idx="74">
                  <c:v>2.2200000000000002</c:v>
                </c:pt>
                <c:pt idx="75">
                  <c:v>2.36</c:v>
                </c:pt>
                <c:pt idx="76">
                  <c:v>2.36</c:v>
                </c:pt>
                <c:pt idx="77">
                  <c:v>2.36</c:v>
                </c:pt>
                <c:pt idx="78">
                  <c:v>2.36</c:v>
                </c:pt>
                <c:pt idx="79">
                  <c:v>2.36</c:v>
                </c:pt>
                <c:pt idx="80">
                  <c:v>2.2999999999999998</c:v>
                </c:pt>
                <c:pt idx="81">
                  <c:v>2.2999999999999998</c:v>
                </c:pt>
                <c:pt idx="82">
                  <c:v>2.2999999999999998</c:v>
                </c:pt>
                <c:pt idx="83">
                  <c:v>2.2999999999999998</c:v>
                </c:pt>
                <c:pt idx="84">
                  <c:v>2.2999999999999998</c:v>
                </c:pt>
                <c:pt idx="85">
                  <c:v>2.67</c:v>
                </c:pt>
                <c:pt idx="86">
                  <c:v>2.2999999999999998</c:v>
                </c:pt>
                <c:pt idx="87">
                  <c:v>2.2999999999999998</c:v>
                </c:pt>
                <c:pt idx="88">
                  <c:v>2.2999999999999998</c:v>
                </c:pt>
                <c:pt idx="89">
                  <c:v>2.29</c:v>
                </c:pt>
                <c:pt idx="90">
                  <c:v>2.29</c:v>
                </c:pt>
                <c:pt idx="91">
                  <c:v>2.29</c:v>
                </c:pt>
                <c:pt idx="92">
                  <c:v>2.29</c:v>
                </c:pt>
                <c:pt idx="93">
                  <c:v>2.29</c:v>
                </c:pt>
                <c:pt idx="94">
                  <c:v>2.68</c:v>
                </c:pt>
                <c:pt idx="95">
                  <c:v>2.68</c:v>
                </c:pt>
                <c:pt idx="96">
                  <c:v>2.68</c:v>
                </c:pt>
                <c:pt idx="97">
                  <c:v>2.54</c:v>
                </c:pt>
                <c:pt idx="98">
                  <c:v>2.4900000000000002</c:v>
                </c:pt>
                <c:pt idx="99">
                  <c:v>2.4900000000000002</c:v>
                </c:pt>
                <c:pt idx="100">
                  <c:v>2.4900000000000002</c:v>
                </c:pt>
                <c:pt idx="101">
                  <c:v>2.4900000000000002</c:v>
                </c:pt>
                <c:pt idx="102">
                  <c:v>2.4900000000000002</c:v>
                </c:pt>
                <c:pt idx="103">
                  <c:v>2.8</c:v>
                </c:pt>
                <c:pt idx="104">
                  <c:v>2.8</c:v>
                </c:pt>
                <c:pt idx="105">
                  <c:v>2.97</c:v>
                </c:pt>
                <c:pt idx="106">
                  <c:v>2.85</c:v>
                </c:pt>
                <c:pt idx="107">
                  <c:v>2.6</c:v>
                </c:pt>
                <c:pt idx="108">
                  <c:v>2.6</c:v>
                </c:pt>
                <c:pt idx="109">
                  <c:v>2.4900000000000002</c:v>
                </c:pt>
                <c:pt idx="110">
                  <c:v>2.36</c:v>
                </c:pt>
                <c:pt idx="111">
                  <c:v>2.36</c:v>
                </c:pt>
                <c:pt idx="112">
                  <c:v>2.36</c:v>
                </c:pt>
                <c:pt idx="113">
                  <c:v>2.36</c:v>
                </c:pt>
                <c:pt idx="114">
                  <c:v>2.36</c:v>
                </c:pt>
                <c:pt idx="115">
                  <c:v>2.4900000000000002</c:v>
                </c:pt>
                <c:pt idx="116">
                  <c:v>2.4900000000000002</c:v>
                </c:pt>
                <c:pt idx="117">
                  <c:v>2.89</c:v>
                </c:pt>
                <c:pt idx="118">
                  <c:v>2.89</c:v>
                </c:pt>
                <c:pt idx="119">
                  <c:v>2.4300000000000002</c:v>
                </c:pt>
                <c:pt idx="120">
                  <c:v>2.4300000000000002</c:v>
                </c:pt>
                <c:pt idx="121">
                  <c:v>2.4300000000000002</c:v>
                </c:pt>
                <c:pt idx="122">
                  <c:v>2.4300000000000002</c:v>
                </c:pt>
                <c:pt idx="123">
                  <c:v>2.4300000000000002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2.5299999999999998</c:v>
                </c:pt>
                <c:pt idx="130">
                  <c:v>2.5299999999999998</c:v>
                </c:pt>
                <c:pt idx="131">
                  <c:v>2.5299999999999998</c:v>
                </c:pt>
                <c:pt idx="132">
                  <c:v>2.48</c:v>
                </c:pt>
                <c:pt idx="133">
                  <c:v>2.48</c:v>
                </c:pt>
                <c:pt idx="134">
                  <c:v>2.48</c:v>
                </c:pt>
                <c:pt idx="135">
                  <c:v>2.48</c:v>
                </c:pt>
                <c:pt idx="136">
                  <c:v>2.48</c:v>
                </c:pt>
                <c:pt idx="137">
                  <c:v>2.89</c:v>
                </c:pt>
                <c:pt idx="138">
                  <c:v>2.4900000000000002</c:v>
                </c:pt>
                <c:pt idx="139">
                  <c:v>2.4900000000000002</c:v>
                </c:pt>
                <c:pt idx="140">
                  <c:v>2.4900000000000002</c:v>
                </c:pt>
                <c:pt idx="141">
                  <c:v>2.5</c:v>
                </c:pt>
                <c:pt idx="142">
                  <c:v>2.5</c:v>
                </c:pt>
                <c:pt idx="143">
                  <c:v>2.5</c:v>
                </c:pt>
                <c:pt idx="144">
                  <c:v>2.5</c:v>
                </c:pt>
                <c:pt idx="145">
                  <c:v>2.5</c:v>
                </c:pt>
                <c:pt idx="146">
                  <c:v>3.04</c:v>
                </c:pt>
                <c:pt idx="147">
                  <c:v>3.04</c:v>
                </c:pt>
                <c:pt idx="148">
                  <c:v>3.04</c:v>
                </c:pt>
                <c:pt idx="149">
                  <c:v>3.04</c:v>
                </c:pt>
                <c:pt idx="150">
                  <c:v>2.93</c:v>
                </c:pt>
                <c:pt idx="151">
                  <c:v>2.93</c:v>
                </c:pt>
                <c:pt idx="152">
                  <c:v>2.93</c:v>
                </c:pt>
                <c:pt idx="153">
                  <c:v>2.93</c:v>
                </c:pt>
                <c:pt idx="154">
                  <c:v>2.85</c:v>
                </c:pt>
                <c:pt idx="155">
                  <c:v>2.96</c:v>
                </c:pt>
                <c:pt idx="156">
                  <c:v>2.96</c:v>
                </c:pt>
                <c:pt idx="157">
                  <c:v>2.46</c:v>
                </c:pt>
                <c:pt idx="158">
                  <c:v>2.46</c:v>
                </c:pt>
                <c:pt idx="159">
                  <c:v>2.46</c:v>
                </c:pt>
                <c:pt idx="160">
                  <c:v>2.46</c:v>
                </c:pt>
                <c:pt idx="161">
                  <c:v>2.46</c:v>
                </c:pt>
                <c:pt idx="162">
                  <c:v>2.86</c:v>
                </c:pt>
                <c:pt idx="163">
                  <c:v>2.86</c:v>
                </c:pt>
                <c:pt idx="164">
                  <c:v>2.86</c:v>
                </c:pt>
                <c:pt idx="165">
                  <c:v>3.33</c:v>
                </c:pt>
                <c:pt idx="166">
                  <c:v>3.33</c:v>
                </c:pt>
                <c:pt idx="167">
                  <c:v>3.33</c:v>
                </c:pt>
                <c:pt idx="168">
                  <c:v>3.33</c:v>
                </c:pt>
                <c:pt idx="169">
                  <c:v>3.33</c:v>
                </c:pt>
                <c:pt idx="170">
                  <c:v>3.39</c:v>
                </c:pt>
                <c:pt idx="171">
                  <c:v>3.39</c:v>
                </c:pt>
                <c:pt idx="172">
                  <c:v>3.39</c:v>
                </c:pt>
                <c:pt idx="173">
                  <c:v>3.39</c:v>
                </c:pt>
                <c:pt idx="174">
                  <c:v>3.8</c:v>
                </c:pt>
                <c:pt idx="175">
                  <c:v>3.43</c:v>
                </c:pt>
                <c:pt idx="176">
                  <c:v>3.43</c:v>
                </c:pt>
                <c:pt idx="177">
                  <c:v>3.43</c:v>
                </c:pt>
                <c:pt idx="178">
                  <c:v>3.43</c:v>
                </c:pt>
                <c:pt idx="179">
                  <c:v>3.43</c:v>
                </c:pt>
                <c:pt idx="180">
                  <c:v>3.76</c:v>
                </c:pt>
                <c:pt idx="181">
                  <c:v>3.76</c:v>
                </c:pt>
                <c:pt idx="182">
                  <c:v>3.76</c:v>
                </c:pt>
                <c:pt idx="183">
                  <c:v>3.76</c:v>
                </c:pt>
                <c:pt idx="184">
                  <c:v>3.76</c:v>
                </c:pt>
                <c:pt idx="185">
                  <c:v>4.0199999999999996</c:v>
                </c:pt>
                <c:pt idx="186">
                  <c:v>4.05</c:v>
                </c:pt>
                <c:pt idx="187">
                  <c:v>4.05</c:v>
                </c:pt>
                <c:pt idx="188">
                  <c:v>4.0488</c:v>
                </c:pt>
                <c:pt idx="189">
                  <c:v>3.9340000000000002</c:v>
                </c:pt>
                <c:pt idx="190">
                  <c:v>3.9340000000000002</c:v>
                </c:pt>
                <c:pt idx="191">
                  <c:v>3.9340000000000002</c:v>
                </c:pt>
                <c:pt idx="192">
                  <c:v>3.9340000000000002</c:v>
                </c:pt>
                <c:pt idx="193">
                  <c:v>3.9340000000000002</c:v>
                </c:pt>
                <c:pt idx="194">
                  <c:v>4.0590999999999999</c:v>
                </c:pt>
                <c:pt idx="195">
                  <c:v>4.0590999999999999</c:v>
                </c:pt>
                <c:pt idx="196">
                  <c:v>4.1002999999999998</c:v>
                </c:pt>
                <c:pt idx="197">
                  <c:v>4.1002999999999998</c:v>
                </c:pt>
                <c:pt idx="198">
                  <c:v>4.2049000000000003</c:v>
                </c:pt>
                <c:pt idx="199">
                  <c:v>4.05</c:v>
                </c:pt>
                <c:pt idx="200">
                  <c:v>4.05</c:v>
                </c:pt>
                <c:pt idx="201">
                  <c:v>4.05</c:v>
                </c:pt>
                <c:pt idx="202">
                  <c:v>4.05</c:v>
                </c:pt>
                <c:pt idx="203">
                  <c:v>4.2152000000000003</c:v>
                </c:pt>
                <c:pt idx="204">
                  <c:v>4.2152000000000003</c:v>
                </c:pt>
                <c:pt idx="205">
                  <c:v>4.2152000000000003</c:v>
                </c:pt>
                <c:pt idx="206">
                  <c:v>4.2152000000000003</c:v>
                </c:pt>
                <c:pt idx="207">
                  <c:v>4.2152000000000003</c:v>
                </c:pt>
                <c:pt idx="208">
                  <c:v>4.2255000000000003</c:v>
                </c:pt>
                <c:pt idx="209">
                  <c:v>4.2255000000000003</c:v>
                </c:pt>
                <c:pt idx="210">
                  <c:v>4.2255000000000003</c:v>
                </c:pt>
                <c:pt idx="211">
                  <c:v>4.2255000000000003</c:v>
                </c:pt>
                <c:pt idx="212">
                  <c:v>4.2255000000000003</c:v>
                </c:pt>
                <c:pt idx="213">
                  <c:v>4.0274999999999999</c:v>
                </c:pt>
                <c:pt idx="214">
                  <c:v>4.0274999999999999</c:v>
                </c:pt>
                <c:pt idx="215">
                  <c:v>4.0898000000000003</c:v>
                </c:pt>
                <c:pt idx="216">
                  <c:v>4.0898000000000003</c:v>
                </c:pt>
                <c:pt idx="217">
                  <c:v>4.0898000000000003</c:v>
                </c:pt>
                <c:pt idx="218">
                  <c:v>4.1821999999999999</c:v>
                </c:pt>
                <c:pt idx="219">
                  <c:v>4.1821999999999999</c:v>
                </c:pt>
                <c:pt idx="220">
                  <c:v>4.1821999999999999</c:v>
                </c:pt>
                <c:pt idx="221">
                  <c:v>4.1821999999999999</c:v>
                </c:pt>
                <c:pt idx="222">
                  <c:v>4.1821999999999999</c:v>
                </c:pt>
                <c:pt idx="223">
                  <c:v>4.2866999999999997</c:v>
                </c:pt>
                <c:pt idx="224">
                  <c:v>4.2866999999999997</c:v>
                </c:pt>
                <c:pt idx="225">
                  <c:v>4.2866999999999997</c:v>
                </c:pt>
                <c:pt idx="226">
                  <c:v>4.2866999999999997</c:v>
                </c:pt>
                <c:pt idx="227">
                  <c:v>4.2866999999999997</c:v>
                </c:pt>
                <c:pt idx="228">
                  <c:v>4.6094999999999997</c:v>
                </c:pt>
                <c:pt idx="229">
                  <c:v>4.6094999999999997</c:v>
                </c:pt>
                <c:pt idx="230">
                  <c:v>4.8503999999999996</c:v>
                </c:pt>
                <c:pt idx="231">
                  <c:v>4.8503999999999996</c:v>
                </c:pt>
                <c:pt idx="232">
                  <c:v>4.8503999999999996</c:v>
                </c:pt>
                <c:pt idx="233">
                  <c:v>5.0484999999999998</c:v>
                </c:pt>
                <c:pt idx="234">
                  <c:v>5.0484999999999998</c:v>
                </c:pt>
                <c:pt idx="235">
                  <c:v>5.1632999999999996</c:v>
                </c:pt>
                <c:pt idx="236">
                  <c:v>5.0168999999999997</c:v>
                </c:pt>
                <c:pt idx="237">
                  <c:v>5.0168999999999997</c:v>
                </c:pt>
                <c:pt idx="238">
                  <c:v>5.0168999999999997</c:v>
                </c:pt>
                <c:pt idx="239">
                  <c:v>5.0168999999999997</c:v>
                </c:pt>
                <c:pt idx="240">
                  <c:v>5.0168999999999997</c:v>
                </c:pt>
                <c:pt idx="241">
                  <c:v>5.1234000000000002</c:v>
                </c:pt>
                <c:pt idx="242">
                  <c:v>5.0168999999999997</c:v>
                </c:pt>
                <c:pt idx="243">
                  <c:v>5.0168999999999997</c:v>
                </c:pt>
                <c:pt idx="244">
                  <c:v>5.0168999999999997</c:v>
                </c:pt>
                <c:pt idx="245">
                  <c:v>5.0168999999999997</c:v>
                </c:pt>
                <c:pt idx="246">
                  <c:v>5.0168999999999997</c:v>
                </c:pt>
                <c:pt idx="247">
                  <c:v>5.3842999999999996</c:v>
                </c:pt>
                <c:pt idx="248">
                  <c:v>5.0168999999999997</c:v>
                </c:pt>
                <c:pt idx="249">
                  <c:v>5.0168999999999997</c:v>
                </c:pt>
                <c:pt idx="250">
                  <c:v>5.0168999999999997</c:v>
                </c:pt>
                <c:pt idx="251">
                  <c:v>5.3</c:v>
                </c:pt>
                <c:pt idx="252">
                  <c:v>5.3</c:v>
                </c:pt>
                <c:pt idx="253">
                  <c:v>5.5946999999999996</c:v>
                </c:pt>
                <c:pt idx="254">
                  <c:v>5.5946999999999996</c:v>
                </c:pt>
                <c:pt idx="255">
                  <c:v>5.5946999999999996</c:v>
                </c:pt>
                <c:pt idx="256">
                  <c:v>5.7949000000000002</c:v>
                </c:pt>
                <c:pt idx="257">
                  <c:v>5.7949000000000002</c:v>
                </c:pt>
                <c:pt idx="258">
                  <c:v>5.7949000000000002</c:v>
                </c:pt>
                <c:pt idx="259">
                  <c:v>5.9653</c:v>
                </c:pt>
                <c:pt idx="260">
                  <c:v>5.8578000000000001</c:v>
                </c:pt>
                <c:pt idx="261">
                  <c:v>5.8578000000000001</c:v>
                </c:pt>
                <c:pt idx="262">
                  <c:v>5.8578000000000001</c:v>
                </c:pt>
                <c:pt idx="263">
                  <c:v>5.7104999999999997</c:v>
                </c:pt>
                <c:pt idx="264">
                  <c:v>5.7096</c:v>
                </c:pt>
                <c:pt idx="265">
                  <c:v>5.7096</c:v>
                </c:pt>
                <c:pt idx="266">
                  <c:v>5.7096</c:v>
                </c:pt>
                <c:pt idx="267">
                  <c:v>5.7104999999999997</c:v>
                </c:pt>
                <c:pt idx="268">
                  <c:v>5.9934000000000003</c:v>
                </c:pt>
                <c:pt idx="269">
                  <c:v>5.9934000000000003</c:v>
                </c:pt>
                <c:pt idx="270">
                  <c:v>6.0056000000000003</c:v>
                </c:pt>
                <c:pt idx="271">
                  <c:v>6.0056000000000003</c:v>
                </c:pt>
                <c:pt idx="272">
                  <c:v>6.17</c:v>
                </c:pt>
                <c:pt idx="273">
                  <c:v>6.17</c:v>
                </c:pt>
                <c:pt idx="274">
                  <c:v>6.17</c:v>
                </c:pt>
                <c:pt idx="275">
                  <c:v>6.17</c:v>
                </c:pt>
                <c:pt idx="276">
                  <c:v>6.17</c:v>
                </c:pt>
                <c:pt idx="277">
                  <c:v>6.2676999999999996</c:v>
                </c:pt>
                <c:pt idx="278">
                  <c:v>6.2676999999999996</c:v>
                </c:pt>
                <c:pt idx="279">
                  <c:v>6.1940999999999997</c:v>
                </c:pt>
                <c:pt idx="280">
                  <c:v>6.1940999999999997</c:v>
                </c:pt>
                <c:pt idx="281">
                  <c:v>6.1940999999999997</c:v>
                </c:pt>
                <c:pt idx="282">
                  <c:v>6.4805000000000001</c:v>
                </c:pt>
                <c:pt idx="283">
                  <c:v>6.4805000000000001</c:v>
                </c:pt>
                <c:pt idx="284">
                  <c:v>6.4805000000000001</c:v>
                </c:pt>
                <c:pt idx="285">
                  <c:v>6.4805000000000001</c:v>
                </c:pt>
                <c:pt idx="286">
                  <c:v>6.5439999999999996</c:v>
                </c:pt>
                <c:pt idx="287">
                  <c:v>6.5541999999999998</c:v>
                </c:pt>
                <c:pt idx="288">
                  <c:v>6.5541999999999998</c:v>
                </c:pt>
                <c:pt idx="289">
                  <c:v>6.5541999999999998</c:v>
                </c:pt>
                <c:pt idx="290">
                  <c:v>6.5541999999999998</c:v>
                </c:pt>
                <c:pt idx="291">
                  <c:v>6.5541999999999998</c:v>
                </c:pt>
                <c:pt idx="292">
                  <c:v>6.6681999999999997</c:v>
                </c:pt>
                <c:pt idx="293">
                  <c:v>6.7350000000000003</c:v>
                </c:pt>
                <c:pt idx="294">
                  <c:v>6.7350000000000003</c:v>
                </c:pt>
                <c:pt idx="295">
                  <c:v>6.7350000000000003</c:v>
                </c:pt>
                <c:pt idx="296">
                  <c:v>6.7350000000000003</c:v>
                </c:pt>
                <c:pt idx="297">
                  <c:v>7.0221</c:v>
                </c:pt>
                <c:pt idx="298">
                  <c:v>7.0221</c:v>
                </c:pt>
                <c:pt idx="299">
                  <c:v>7.0221</c:v>
                </c:pt>
                <c:pt idx="300">
                  <c:v>7.3093000000000004</c:v>
                </c:pt>
                <c:pt idx="301">
                  <c:v>7.4916999999999998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7.7270000000000003</c:v>
                </c:pt>
                <c:pt idx="308">
                  <c:v>7.7270000000000003</c:v>
                </c:pt>
                <c:pt idx="309">
                  <c:v>7.6417000000000002</c:v>
                </c:pt>
                <c:pt idx="310">
                  <c:v>7.6417000000000002</c:v>
                </c:pt>
                <c:pt idx="311">
                  <c:v>7.7270000000000003</c:v>
                </c:pt>
                <c:pt idx="312">
                  <c:v>7.4916999999999998</c:v>
                </c:pt>
                <c:pt idx="313">
                  <c:v>7.4916999999999998</c:v>
                </c:pt>
                <c:pt idx="314">
                  <c:v>7.4916999999999998</c:v>
                </c:pt>
                <c:pt idx="315">
                  <c:v>7.4916999999999998</c:v>
                </c:pt>
                <c:pt idx="316">
                  <c:v>7.9954000000000001</c:v>
                </c:pt>
                <c:pt idx="317">
                  <c:v>7.9954000000000001</c:v>
                </c:pt>
                <c:pt idx="318">
                  <c:v>7.9954000000000001</c:v>
                </c:pt>
                <c:pt idx="319">
                  <c:v>7.9954000000000001</c:v>
                </c:pt>
                <c:pt idx="320">
                  <c:v>7.9954000000000001</c:v>
                </c:pt>
                <c:pt idx="321">
                  <c:v>8.1434999999999995</c:v>
                </c:pt>
                <c:pt idx="322">
                  <c:v>8.1434999999999995</c:v>
                </c:pt>
                <c:pt idx="323">
                  <c:v>8.1434999999999995</c:v>
                </c:pt>
                <c:pt idx="324">
                  <c:v>8.1434999999999995</c:v>
                </c:pt>
                <c:pt idx="325">
                  <c:v>8.2081999999999997</c:v>
                </c:pt>
                <c:pt idx="326">
                  <c:v>8.2081999999999997</c:v>
                </c:pt>
                <c:pt idx="327">
                  <c:v>8.2081999999999997</c:v>
                </c:pt>
                <c:pt idx="328">
                  <c:v>8.2081999999999997</c:v>
                </c:pt>
                <c:pt idx="329">
                  <c:v>8.2081999999999997</c:v>
                </c:pt>
                <c:pt idx="330">
                  <c:v>8.2327999999999992</c:v>
                </c:pt>
                <c:pt idx="331">
                  <c:v>8.2327999999999992</c:v>
                </c:pt>
                <c:pt idx="332">
                  <c:v>8.2327999999999992</c:v>
                </c:pt>
                <c:pt idx="333">
                  <c:v>8.2327999999999992</c:v>
                </c:pt>
                <c:pt idx="334">
                  <c:v>8.2327999999999992</c:v>
                </c:pt>
                <c:pt idx="335">
                  <c:v>8.7263000000000002</c:v>
                </c:pt>
                <c:pt idx="336">
                  <c:v>8.9640000000000004</c:v>
                </c:pt>
                <c:pt idx="337">
                  <c:v>8.9425000000000008</c:v>
                </c:pt>
                <c:pt idx="338">
                  <c:v>8.6609999999999996</c:v>
                </c:pt>
                <c:pt idx="339">
                  <c:v>8.6609999999999996</c:v>
                </c:pt>
                <c:pt idx="340">
                  <c:v>8.7370999999999999</c:v>
                </c:pt>
                <c:pt idx="341">
                  <c:v>8.7370999999999999</c:v>
                </c:pt>
                <c:pt idx="342">
                  <c:v>8.9</c:v>
                </c:pt>
                <c:pt idx="343">
                  <c:v>8.9</c:v>
                </c:pt>
                <c:pt idx="344">
                  <c:v>8.9</c:v>
                </c:pt>
                <c:pt idx="345">
                  <c:v>8.9</c:v>
                </c:pt>
                <c:pt idx="346">
                  <c:v>9.5376999999999992</c:v>
                </c:pt>
                <c:pt idx="347">
                  <c:v>9.5378000000000007</c:v>
                </c:pt>
                <c:pt idx="348">
                  <c:v>9.5378000000000007</c:v>
                </c:pt>
                <c:pt idx="349">
                  <c:v>9.5698000000000008</c:v>
                </c:pt>
                <c:pt idx="350">
                  <c:v>9.7555999999999994</c:v>
                </c:pt>
                <c:pt idx="351">
                  <c:v>9.7555999999999994</c:v>
                </c:pt>
                <c:pt idx="352">
                  <c:v>9.7555999999999994</c:v>
                </c:pt>
                <c:pt idx="353">
                  <c:v>9.7555999999999994</c:v>
                </c:pt>
                <c:pt idx="354">
                  <c:v>9.8643000000000001</c:v>
                </c:pt>
                <c:pt idx="355">
                  <c:v>9.8643000000000001</c:v>
                </c:pt>
                <c:pt idx="356">
                  <c:v>9.8643000000000001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DD-4CDB-B67A-07656B5110EF}"/>
            </c:ext>
          </c:extLst>
        </c:ser>
        <c:ser>
          <c:idx val="2"/>
          <c:order val="1"/>
          <c:tx>
            <c:strRef>
              <c:f>'Exp Annual'!$F$3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Annual'!$F$4:$F$461</c:f>
              <c:numCache>
                <c:formatCode>General</c:formatCode>
                <c:ptCount val="458"/>
                <c:pt idx="0">
                  <c:v>3.07</c:v>
                </c:pt>
                <c:pt idx="1">
                  <c:v>3</c:v>
                </c:pt>
                <c:pt idx="2">
                  <c:v>3.05</c:v>
                </c:pt>
                <c:pt idx="3">
                  <c:v>3.07</c:v>
                </c:pt>
                <c:pt idx="4">
                  <c:v>3.07</c:v>
                </c:pt>
                <c:pt idx="5">
                  <c:v>3.09</c:v>
                </c:pt>
                <c:pt idx="6">
                  <c:v>3.12</c:v>
                </c:pt>
                <c:pt idx="7">
                  <c:v>3.01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3.01</c:v>
                </c:pt>
                <c:pt idx="13">
                  <c:v>3.07</c:v>
                </c:pt>
                <c:pt idx="14">
                  <c:v>3.08</c:v>
                </c:pt>
                <c:pt idx="15">
                  <c:v>3.08</c:v>
                </c:pt>
                <c:pt idx="16">
                  <c:v>3</c:v>
                </c:pt>
                <c:pt idx="17">
                  <c:v>2.99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2.99</c:v>
                </c:pt>
                <c:pt idx="23">
                  <c:v>2.98</c:v>
                </c:pt>
                <c:pt idx="24">
                  <c:v>2.98</c:v>
                </c:pt>
                <c:pt idx="25">
                  <c:v>2.98</c:v>
                </c:pt>
                <c:pt idx="26">
                  <c:v>2.99</c:v>
                </c:pt>
                <c:pt idx="27">
                  <c:v>2.99</c:v>
                </c:pt>
                <c:pt idx="28">
                  <c:v>2.99</c:v>
                </c:pt>
                <c:pt idx="29">
                  <c:v>2.96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3.02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3.01</c:v>
                </c:pt>
                <c:pt idx="45">
                  <c:v>3.02</c:v>
                </c:pt>
                <c:pt idx="46">
                  <c:v>3.01</c:v>
                </c:pt>
                <c:pt idx="47">
                  <c:v>2.99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3.01</c:v>
                </c:pt>
                <c:pt idx="53">
                  <c:v>3.01</c:v>
                </c:pt>
                <c:pt idx="54">
                  <c:v>3.01</c:v>
                </c:pt>
                <c:pt idx="55">
                  <c:v>3.01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3.01</c:v>
                </c:pt>
                <c:pt idx="60">
                  <c:v>3.01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3.01</c:v>
                </c:pt>
                <c:pt idx="66">
                  <c:v>3.02</c:v>
                </c:pt>
                <c:pt idx="67">
                  <c:v>3.03</c:v>
                </c:pt>
                <c:pt idx="68">
                  <c:v>3.02</c:v>
                </c:pt>
                <c:pt idx="69">
                  <c:v>3.01</c:v>
                </c:pt>
                <c:pt idx="70">
                  <c:v>3.01</c:v>
                </c:pt>
                <c:pt idx="71">
                  <c:v>3.08</c:v>
                </c:pt>
                <c:pt idx="72">
                  <c:v>3.1</c:v>
                </c:pt>
                <c:pt idx="73">
                  <c:v>3.11</c:v>
                </c:pt>
                <c:pt idx="74">
                  <c:v>3.11</c:v>
                </c:pt>
                <c:pt idx="75">
                  <c:v>3.1</c:v>
                </c:pt>
                <c:pt idx="76">
                  <c:v>3.1</c:v>
                </c:pt>
                <c:pt idx="77">
                  <c:v>3.09</c:v>
                </c:pt>
                <c:pt idx="78">
                  <c:v>3.09</c:v>
                </c:pt>
                <c:pt idx="79">
                  <c:v>3.04</c:v>
                </c:pt>
                <c:pt idx="80">
                  <c:v>3.08</c:v>
                </c:pt>
                <c:pt idx="81">
                  <c:v>3.09</c:v>
                </c:pt>
                <c:pt idx="82">
                  <c:v>3.09</c:v>
                </c:pt>
                <c:pt idx="83">
                  <c:v>3.1</c:v>
                </c:pt>
                <c:pt idx="84">
                  <c:v>3.13</c:v>
                </c:pt>
                <c:pt idx="85">
                  <c:v>3.3</c:v>
                </c:pt>
                <c:pt idx="86">
                  <c:v>3.3</c:v>
                </c:pt>
                <c:pt idx="87">
                  <c:v>3.32</c:v>
                </c:pt>
                <c:pt idx="88">
                  <c:v>3.3</c:v>
                </c:pt>
                <c:pt idx="89">
                  <c:v>3.27</c:v>
                </c:pt>
                <c:pt idx="90">
                  <c:v>3.27</c:v>
                </c:pt>
                <c:pt idx="91">
                  <c:v>3.3</c:v>
                </c:pt>
                <c:pt idx="92">
                  <c:v>3.27</c:v>
                </c:pt>
                <c:pt idx="93">
                  <c:v>3.31</c:v>
                </c:pt>
                <c:pt idx="94">
                  <c:v>3.38</c:v>
                </c:pt>
                <c:pt idx="95">
                  <c:v>3.32</c:v>
                </c:pt>
                <c:pt idx="96">
                  <c:v>3.31</c:v>
                </c:pt>
                <c:pt idx="97">
                  <c:v>3.31</c:v>
                </c:pt>
                <c:pt idx="98">
                  <c:v>3.31</c:v>
                </c:pt>
                <c:pt idx="99">
                  <c:v>3.47</c:v>
                </c:pt>
                <c:pt idx="100">
                  <c:v>3.48</c:v>
                </c:pt>
                <c:pt idx="101">
                  <c:v>3.48</c:v>
                </c:pt>
                <c:pt idx="102">
                  <c:v>3.5</c:v>
                </c:pt>
                <c:pt idx="103">
                  <c:v>3.5</c:v>
                </c:pt>
                <c:pt idx="104">
                  <c:v>3.56</c:v>
                </c:pt>
                <c:pt idx="105">
                  <c:v>3.58</c:v>
                </c:pt>
                <c:pt idx="106">
                  <c:v>3.45</c:v>
                </c:pt>
                <c:pt idx="107">
                  <c:v>3.43</c:v>
                </c:pt>
                <c:pt idx="108">
                  <c:v>3.42</c:v>
                </c:pt>
                <c:pt idx="109">
                  <c:v>3.33</c:v>
                </c:pt>
                <c:pt idx="110">
                  <c:v>3.31</c:v>
                </c:pt>
                <c:pt idx="111">
                  <c:v>3.31</c:v>
                </c:pt>
                <c:pt idx="112">
                  <c:v>3.3</c:v>
                </c:pt>
                <c:pt idx="113">
                  <c:v>3.3</c:v>
                </c:pt>
                <c:pt idx="114">
                  <c:v>3.34</c:v>
                </c:pt>
                <c:pt idx="115">
                  <c:v>3.34</c:v>
                </c:pt>
                <c:pt idx="116">
                  <c:v>3.34</c:v>
                </c:pt>
                <c:pt idx="117">
                  <c:v>3.35</c:v>
                </c:pt>
                <c:pt idx="118">
                  <c:v>3.33</c:v>
                </c:pt>
                <c:pt idx="119">
                  <c:v>3.35</c:v>
                </c:pt>
                <c:pt idx="120">
                  <c:v>3.34</c:v>
                </c:pt>
                <c:pt idx="121">
                  <c:v>3.3</c:v>
                </c:pt>
                <c:pt idx="122">
                  <c:v>3.3</c:v>
                </c:pt>
                <c:pt idx="123">
                  <c:v>3.34</c:v>
                </c:pt>
                <c:pt idx="124">
                  <c:v>3.28</c:v>
                </c:pt>
                <c:pt idx="125">
                  <c:v>3.3</c:v>
                </c:pt>
                <c:pt idx="126">
                  <c:v>3.34</c:v>
                </c:pt>
                <c:pt idx="127">
                  <c:v>3.34</c:v>
                </c:pt>
                <c:pt idx="128">
                  <c:v>3.32</c:v>
                </c:pt>
                <c:pt idx="129">
                  <c:v>3.3</c:v>
                </c:pt>
                <c:pt idx="130">
                  <c:v>3.29</c:v>
                </c:pt>
                <c:pt idx="131">
                  <c:v>3.28</c:v>
                </c:pt>
                <c:pt idx="132">
                  <c:v>3.35</c:v>
                </c:pt>
                <c:pt idx="133">
                  <c:v>3.4</c:v>
                </c:pt>
                <c:pt idx="134">
                  <c:v>3.4</c:v>
                </c:pt>
                <c:pt idx="135">
                  <c:v>3.44</c:v>
                </c:pt>
                <c:pt idx="136">
                  <c:v>3.49</c:v>
                </c:pt>
                <c:pt idx="137">
                  <c:v>3.47</c:v>
                </c:pt>
                <c:pt idx="138">
                  <c:v>3.49</c:v>
                </c:pt>
                <c:pt idx="139">
                  <c:v>3.46</c:v>
                </c:pt>
                <c:pt idx="140">
                  <c:v>3.45</c:v>
                </c:pt>
                <c:pt idx="141">
                  <c:v>3.43</c:v>
                </c:pt>
                <c:pt idx="142">
                  <c:v>3.6</c:v>
                </c:pt>
                <c:pt idx="143">
                  <c:v>3.61</c:v>
                </c:pt>
                <c:pt idx="144">
                  <c:v>3.66</c:v>
                </c:pt>
                <c:pt idx="145">
                  <c:v>3.64</c:v>
                </c:pt>
                <c:pt idx="146">
                  <c:v>3.64</c:v>
                </c:pt>
                <c:pt idx="147">
                  <c:v>3.6</c:v>
                </c:pt>
                <c:pt idx="148">
                  <c:v>3.62</c:v>
                </c:pt>
                <c:pt idx="149">
                  <c:v>3.64</c:v>
                </c:pt>
                <c:pt idx="150">
                  <c:v>3.64</c:v>
                </c:pt>
                <c:pt idx="151">
                  <c:v>3.64</c:v>
                </c:pt>
                <c:pt idx="152">
                  <c:v>3.66</c:v>
                </c:pt>
                <c:pt idx="153">
                  <c:v>3.63</c:v>
                </c:pt>
                <c:pt idx="154">
                  <c:v>3.61</c:v>
                </c:pt>
                <c:pt idx="155">
                  <c:v>3.65</c:v>
                </c:pt>
                <c:pt idx="156">
                  <c:v>3.65</c:v>
                </c:pt>
                <c:pt idx="157">
                  <c:v>3.72</c:v>
                </c:pt>
                <c:pt idx="158">
                  <c:v>3.8</c:v>
                </c:pt>
                <c:pt idx="159">
                  <c:v>3.79</c:v>
                </c:pt>
                <c:pt idx="160">
                  <c:v>3.85</c:v>
                </c:pt>
                <c:pt idx="161">
                  <c:v>3.89</c:v>
                </c:pt>
                <c:pt idx="162">
                  <c:v>3.89</c:v>
                </c:pt>
                <c:pt idx="163">
                  <c:v>3.89</c:v>
                </c:pt>
                <c:pt idx="164">
                  <c:v>3.9</c:v>
                </c:pt>
                <c:pt idx="165">
                  <c:v>3.99</c:v>
                </c:pt>
                <c:pt idx="166">
                  <c:v>3.97</c:v>
                </c:pt>
                <c:pt idx="167">
                  <c:v>4.01</c:v>
                </c:pt>
                <c:pt idx="168">
                  <c:v>4.0199999999999996</c:v>
                </c:pt>
                <c:pt idx="169">
                  <c:v>4.0199999999999996</c:v>
                </c:pt>
                <c:pt idx="170">
                  <c:v>4.0999999999999996</c:v>
                </c:pt>
                <c:pt idx="171">
                  <c:v>4.29</c:v>
                </c:pt>
                <c:pt idx="172">
                  <c:v>4.3</c:v>
                </c:pt>
                <c:pt idx="173">
                  <c:v>4.3499999999999996</c:v>
                </c:pt>
                <c:pt idx="174">
                  <c:v>4.6500000000000004</c:v>
                </c:pt>
                <c:pt idx="175">
                  <c:v>4.72</c:v>
                </c:pt>
                <c:pt idx="176">
                  <c:v>4.72</c:v>
                </c:pt>
                <c:pt idx="177">
                  <c:v>4.72</c:v>
                </c:pt>
                <c:pt idx="178">
                  <c:v>4.72</c:v>
                </c:pt>
                <c:pt idx="179">
                  <c:v>4.72</c:v>
                </c:pt>
                <c:pt idx="180">
                  <c:v>4.75</c:v>
                </c:pt>
                <c:pt idx="181">
                  <c:v>4.8099999999999996</c:v>
                </c:pt>
                <c:pt idx="182">
                  <c:v>4.8499999999999996</c:v>
                </c:pt>
                <c:pt idx="183">
                  <c:v>4.91</c:v>
                </c:pt>
                <c:pt idx="184">
                  <c:v>4.91</c:v>
                </c:pt>
                <c:pt idx="185">
                  <c:v>4.9000000000000004</c:v>
                </c:pt>
                <c:pt idx="186">
                  <c:v>4.92</c:v>
                </c:pt>
                <c:pt idx="187">
                  <c:v>4.91</c:v>
                </c:pt>
                <c:pt idx="188">
                  <c:v>4.8710000000000004</c:v>
                </c:pt>
                <c:pt idx="189">
                  <c:v>4.8612000000000002</c:v>
                </c:pt>
                <c:pt idx="190">
                  <c:v>4.8604000000000003</c:v>
                </c:pt>
                <c:pt idx="191">
                  <c:v>4.8304999999999998</c:v>
                </c:pt>
                <c:pt idx="192">
                  <c:v>4.8097000000000003</c:v>
                </c:pt>
                <c:pt idx="193">
                  <c:v>4.8513000000000002</c:v>
                </c:pt>
                <c:pt idx="194">
                  <c:v>4.9244000000000003</c:v>
                </c:pt>
                <c:pt idx="195">
                  <c:v>4.9713000000000003</c:v>
                </c:pt>
                <c:pt idx="196">
                  <c:v>4.9713000000000003</c:v>
                </c:pt>
                <c:pt idx="197">
                  <c:v>4.9607999999999999</c:v>
                </c:pt>
                <c:pt idx="198">
                  <c:v>4.9610000000000003</c:v>
                </c:pt>
                <c:pt idx="199">
                  <c:v>4.9817999999999998</c:v>
                </c:pt>
                <c:pt idx="200">
                  <c:v>5</c:v>
                </c:pt>
                <c:pt idx="201">
                  <c:v>4.9987000000000004</c:v>
                </c:pt>
                <c:pt idx="202">
                  <c:v>5.0175000000000001</c:v>
                </c:pt>
                <c:pt idx="203">
                  <c:v>5.0392000000000001</c:v>
                </c:pt>
                <c:pt idx="204">
                  <c:v>5.0392000000000001</c:v>
                </c:pt>
                <c:pt idx="205">
                  <c:v>5.0495000000000001</c:v>
                </c:pt>
                <c:pt idx="206">
                  <c:v>5.0495999999999999</c:v>
                </c:pt>
                <c:pt idx="207">
                  <c:v>5.0545999999999998</c:v>
                </c:pt>
                <c:pt idx="208">
                  <c:v>5.1021000000000001</c:v>
                </c:pt>
                <c:pt idx="209">
                  <c:v>5.1071</c:v>
                </c:pt>
                <c:pt idx="210">
                  <c:v>5.1071</c:v>
                </c:pt>
                <c:pt idx="211">
                  <c:v>5.1185999999999998</c:v>
                </c:pt>
                <c:pt idx="212">
                  <c:v>5.1334</c:v>
                </c:pt>
                <c:pt idx="213">
                  <c:v>5.1543999999999999</c:v>
                </c:pt>
                <c:pt idx="214">
                  <c:v>5.1654</c:v>
                </c:pt>
                <c:pt idx="215">
                  <c:v>5.1859999999999999</c:v>
                </c:pt>
                <c:pt idx="216">
                  <c:v>5.2172000000000001</c:v>
                </c:pt>
                <c:pt idx="217">
                  <c:v>5.2380000000000004</c:v>
                </c:pt>
                <c:pt idx="218">
                  <c:v>5.2485999999999997</c:v>
                </c:pt>
                <c:pt idx="219">
                  <c:v>5.3110999999999997</c:v>
                </c:pt>
                <c:pt idx="220">
                  <c:v>5.2586000000000004</c:v>
                </c:pt>
                <c:pt idx="221">
                  <c:v>5.2176</c:v>
                </c:pt>
                <c:pt idx="222">
                  <c:v>5.3380000000000001</c:v>
                </c:pt>
                <c:pt idx="223">
                  <c:v>5.3570000000000002</c:v>
                </c:pt>
                <c:pt idx="224">
                  <c:v>5.3947000000000003</c:v>
                </c:pt>
                <c:pt idx="225">
                  <c:v>5.3941999999999997</c:v>
                </c:pt>
                <c:pt idx="226">
                  <c:v>5.3948</c:v>
                </c:pt>
                <c:pt idx="227">
                  <c:v>5.3944000000000001</c:v>
                </c:pt>
                <c:pt idx="228">
                  <c:v>5.4904000000000002</c:v>
                </c:pt>
                <c:pt idx="229">
                  <c:v>5.5</c:v>
                </c:pt>
                <c:pt idx="230">
                  <c:v>5.5015999999999998</c:v>
                </c:pt>
                <c:pt idx="231">
                  <c:v>5.5015999999999998</c:v>
                </c:pt>
                <c:pt idx="232">
                  <c:v>5.5111999999999997</c:v>
                </c:pt>
                <c:pt idx="233">
                  <c:v>5.5151000000000003</c:v>
                </c:pt>
                <c:pt idx="234">
                  <c:v>5.5266000000000002</c:v>
                </c:pt>
                <c:pt idx="235">
                  <c:v>5.718</c:v>
                </c:pt>
                <c:pt idx="236">
                  <c:v>5.8160999999999996</c:v>
                </c:pt>
                <c:pt idx="237">
                  <c:v>5.8505000000000003</c:v>
                </c:pt>
                <c:pt idx="238">
                  <c:v>5.8894000000000002</c:v>
                </c:pt>
                <c:pt idx="239">
                  <c:v>5.9105999999999996</c:v>
                </c:pt>
                <c:pt idx="240">
                  <c:v>5.9108000000000001</c:v>
                </c:pt>
                <c:pt idx="241">
                  <c:v>5.9372999999999996</c:v>
                </c:pt>
                <c:pt idx="242">
                  <c:v>5.9318999999999997</c:v>
                </c:pt>
                <c:pt idx="243">
                  <c:v>5.9527000000000001</c:v>
                </c:pt>
                <c:pt idx="244">
                  <c:v>5.9634999999999998</c:v>
                </c:pt>
                <c:pt idx="245">
                  <c:v>5.9743000000000004</c:v>
                </c:pt>
                <c:pt idx="246">
                  <c:v>5.9839000000000002</c:v>
                </c:pt>
                <c:pt idx="247">
                  <c:v>6</c:v>
                </c:pt>
                <c:pt idx="248">
                  <c:v>6.0153999999999996</c:v>
                </c:pt>
                <c:pt idx="249">
                  <c:v>6.0472999999999999</c:v>
                </c:pt>
                <c:pt idx="250">
                  <c:v>6</c:v>
                </c:pt>
                <c:pt idx="251">
                  <c:v>6</c:v>
                </c:pt>
                <c:pt idx="252">
                  <c:v>6.1003999999999996</c:v>
                </c:pt>
                <c:pt idx="253">
                  <c:v>6.2042000000000002</c:v>
                </c:pt>
                <c:pt idx="254">
                  <c:v>6.2911999999999999</c:v>
                </c:pt>
                <c:pt idx="255">
                  <c:v>6.3048000000000002</c:v>
                </c:pt>
                <c:pt idx="256">
                  <c:v>6.3228999999999997</c:v>
                </c:pt>
                <c:pt idx="257">
                  <c:v>6.3228</c:v>
                </c:pt>
                <c:pt idx="258">
                  <c:v>6.3224</c:v>
                </c:pt>
                <c:pt idx="259">
                  <c:v>6.3914999999999997</c:v>
                </c:pt>
                <c:pt idx="260">
                  <c:v>6.4286000000000003</c:v>
                </c:pt>
                <c:pt idx="261">
                  <c:v>6.4260000000000002</c:v>
                </c:pt>
                <c:pt idx="262">
                  <c:v>6.4347000000000003</c:v>
                </c:pt>
                <c:pt idx="263">
                  <c:v>6.4001000000000001</c:v>
                </c:pt>
                <c:pt idx="264">
                  <c:v>6.3804999999999996</c:v>
                </c:pt>
                <c:pt idx="265">
                  <c:v>6.4001000000000001</c:v>
                </c:pt>
                <c:pt idx="266">
                  <c:v>6.4477000000000002</c:v>
                </c:pt>
                <c:pt idx="267">
                  <c:v>6.6718999999999999</c:v>
                </c:pt>
                <c:pt idx="268">
                  <c:v>6.7305999999999999</c:v>
                </c:pt>
                <c:pt idx="269">
                  <c:v>6.7539999999999996</c:v>
                </c:pt>
                <c:pt idx="270">
                  <c:v>6.7674000000000003</c:v>
                </c:pt>
                <c:pt idx="271">
                  <c:v>6.7784000000000004</c:v>
                </c:pt>
                <c:pt idx="272">
                  <c:v>6.8845000000000001</c:v>
                </c:pt>
                <c:pt idx="273">
                  <c:v>6.8845999999999998</c:v>
                </c:pt>
                <c:pt idx="274">
                  <c:v>6.8845999999999998</c:v>
                </c:pt>
                <c:pt idx="275">
                  <c:v>6.9028999999999998</c:v>
                </c:pt>
                <c:pt idx="276">
                  <c:v>6.9279000000000002</c:v>
                </c:pt>
                <c:pt idx="277">
                  <c:v>6.9431000000000003</c:v>
                </c:pt>
                <c:pt idx="278">
                  <c:v>6.9903000000000004</c:v>
                </c:pt>
                <c:pt idx="279">
                  <c:v>7.0172999999999996</c:v>
                </c:pt>
                <c:pt idx="280">
                  <c:v>7.0404</c:v>
                </c:pt>
                <c:pt idx="281">
                  <c:v>7.0472999999999999</c:v>
                </c:pt>
                <c:pt idx="282">
                  <c:v>7.1185</c:v>
                </c:pt>
                <c:pt idx="283">
                  <c:v>7.1185</c:v>
                </c:pt>
                <c:pt idx="284">
                  <c:v>7.14</c:v>
                </c:pt>
                <c:pt idx="285">
                  <c:v>7.1401000000000003</c:v>
                </c:pt>
                <c:pt idx="286">
                  <c:v>7.1589999999999998</c:v>
                </c:pt>
                <c:pt idx="287">
                  <c:v>7.1761999999999997</c:v>
                </c:pt>
                <c:pt idx="288">
                  <c:v>7.2394999999999996</c:v>
                </c:pt>
                <c:pt idx="289">
                  <c:v>7.2732999999999999</c:v>
                </c:pt>
                <c:pt idx="290">
                  <c:v>7.3320999999999996</c:v>
                </c:pt>
                <c:pt idx="291">
                  <c:v>7.3536000000000001</c:v>
                </c:pt>
                <c:pt idx="292">
                  <c:v>7.4603000000000002</c:v>
                </c:pt>
                <c:pt idx="293">
                  <c:v>7.5136000000000003</c:v>
                </c:pt>
                <c:pt idx="294">
                  <c:v>7.5777999999999999</c:v>
                </c:pt>
                <c:pt idx="295">
                  <c:v>7.6794000000000002</c:v>
                </c:pt>
                <c:pt idx="296">
                  <c:v>7.7169999999999996</c:v>
                </c:pt>
                <c:pt idx="297">
                  <c:v>7.7596999999999996</c:v>
                </c:pt>
                <c:pt idx="298">
                  <c:v>7.7594000000000003</c:v>
                </c:pt>
                <c:pt idx="299">
                  <c:v>7.7590000000000003</c:v>
                </c:pt>
                <c:pt idx="300">
                  <c:v>8.0596999999999994</c:v>
                </c:pt>
                <c:pt idx="301">
                  <c:v>8.1983999999999995</c:v>
                </c:pt>
                <c:pt idx="302">
                  <c:v>8.2635000000000005</c:v>
                </c:pt>
                <c:pt idx="303">
                  <c:v>8.2743000000000002</c:v>
                </c:pt>
                <c:pt idx="304">
                  <c:v>8.2843999999999998</c:v>
                </c:pt>
                <c:pt idx="305">
                  <c:v>8.2847000000000008</c:v>
                </c:pt>
                <c:pt idx="306">
                  <c:v>8.4030000000000005</c:v>
                </c:pt>
                <c:pt idx="307">
                  <c:v>8.4243000000000006</c:v>
                </c:pt>
                <c:pt idx="308">
                  <c:v>8.4351000000000003</c:v>
                </c:pt>
                <c:pt idx="309">
                  <c:v>8.4404000000000003</c:v>
                </c:pt>
                <c:pt idx="310">
                  <c:v>8.4431999999999992</c:v>
                </c:pt>
                <c:pt idx="311">
                  <c:v>8.5170999999999992</c:v>
                </c:pt>
                <c:pt idx="312">
                  <c:v>8.5968</c:v>
                </c:pt>
                <c:pt idx="313">
                  <c:v>8.609</c:v>
                </c:pt>
                <c:pt idx="314">
                  <c:v>8.6448</c:v>
                </c:pt>
                <c:pt idx="315">
                  <c:v>8.6611999999999991</c:v>
                </c:pt>
                <c:pt idx="316">
                  <c:v>8.6999999999999993</c:v>
                </c:pt>
                <c:pt idx="317">
                  <c:v>8.7136999999999993</c:v>
                </c:pt>
                <c:pt idx="318">
                  <c:v>8.7040000000000006</c:v>
                </c:pt>
                <c:pt idx="319">
                  <c:v>8.6929999999999996</c:v>
                </c:pt>
                <c:pt idx="320">
                  <c:v>8.7143999999999995</c:v>
                </c:pt>
                <c:pt idx="321">
                  <c:v>8.7123000000000008</c:v>
                </c:pt>
                <c:pt idx="322">
                  <c:v>8.7759</c:v>
                </c:pt>
                <c:pt idx="323">
                  <c:v>8.7713999999999999</c:v>
                </c:pt>
                <c:pt idx="324">
                  <c:v>8.7803000000000004</c:v>
                </c:pt>
                <c:pt idx="325">
                  <c:v>8.7911999999999999</c:v>
                </c:pt>
                <c:pt idx="326">
                  <c:v>8.8018999999999998</c:v>
                </c:pt>
                <c:pt idx="327">
                  <c:v>8.8019999999999996</c:v>
                </c:pt>
                <c:pt idx="328">
                  <c:v>8.8344000000000005</c:v>
                </c:pt>
                <c:pt idx="329">
                  <c:v>8.8453999999999997</c:v>
                </c:pt>
                <c:pt idx="330">
                  <c:v>9.0510000000000002</c:v>
                </c:pt>
                <c:pt idx="331">
                  <c:v>9.0996000000000006</c:v>
                </c:pt>
                <c:pt idx="332">
                  <c:v>9.1158999999999999</c:v>
                </c:pt>
                <c:pt idx="333">
                  <c:v>9.1539000000000001</c:v>
                </c:pt>
                <c:pt idx="334">
                  <c:v>9.1701999999999995</c:v>
                </c:pt>
                <c:pt idx="335">
                  <c:v>9.4032</c:v>
                </c:pt>
                <c:pt idx="336">
                  <c:v>9.4461999999999993</c:v>
                </c:pt>
                <c:pt idx="337">
                  <c:v>9.4406999999999996</c:v>
                </c:pt>
                <c:pt idx="338">
                  <c:v>9.4300999999999995</c:v>
                </c:pt>
                <c:pt idx="339">
                  <c:v>9.4626000000000001</c:v>
                </c:pt>
                <c:pt idx="340">
                  <c:v>9.4736999999999991</c:v>
                </c:pt>
                <c:pt idx="341">
                  <c:v>9.4841999999999995</c:v>
                </c:pt>
                <c:pt idx="342">
                  <c:v>9.7807999999999993</c:v>
                </c:pt>
                <c:pt idx="343">
                  <c:v>9.8375000000000004</c:v>
                </c:pt>
                <c:pt idx="344">
                  <c:v>10.1043</c:v>
                </c:pt>
                <c:pt idx="345">
                  <c:v>10.115600000000001</c:v>
                </c:pt>
                <c:pt idx="346">
                  <c:v>10.115600000000001</c:v>
                </c:pt>
                <c:pt idx="347">
                  <c:v>10.1264</c:v>
                </c:pt>
                <c:pt idx="348">
                  <c:v>10.159000000000001</c:v>
                </c:pt>
                <c:pt idx="349">
                  <c:v>10.1701</c:v>
                </c:pt>
                <c:pt idx="350">
                  <c:v>10.1919</c:v>
                </c:pt>
                <c:pt idx="351">
                  <c:v>10.192</c:v>
                </c:pt>
                <c:pt idx="352">
                  <c:v>10.1919</c:v>
                </c:pt>
                <c:pt idx="353">
                  <c:v>10.1914</c:v>
                </c:pt>
                <c:pt idx="354">
                  <c:v>10.1911</c:v>
                </c:pt>
                <c:pt idx="355">
                  <c:v>10.1911</c:v>
                </c:pt>
                <c:pt idx="356">
                  <c:v>10.1701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DD-4CDB-B67A-07656B5110EF}"/>
            </c:ext>
          </c:extLst>
        </c:ser>
        <c:ser>
          <c:idx val="3"/>
          <c:order val="2"/>
          <c:tx>
            <c:strRef>
              <c:f>'Exp Annual'!$G$3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Annual'!$G$4:$G$461</c:f>
              <c:numCache>
                <c:formatCode>General</c:formatCode>
                <c:ptCount val="458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4.0599999999999996</c:v>
                </c:pt>
                <c:pt idx="5">
                  <c:v>4.0599999999999996</c:v>
                </c:pt>
                <c:pt idx="6">
                  <c:v>4.0599999999999996</c:v>
                </c:pt>
                <c:pt idx="7">
                  <c:v>4.4400000000000004</c:v>
                </c:pt>
                <c:pt idx="8">
                  <c:v>4.4400000000000004</c:v>
                </c:pt>
                <c:pt idx="9">
                  <c:v>4.4400000000000004</c:v>
                </c:pt>
                <c:pt idx="10">
                  <c:v>4.4400000000000004</c:v>
                </c:pt>
                <c:pt idx="11">
                  <c:v>4.4400000000000004</c:v>
                </c:pt>
                <c:pt idx="12">
                  <c:v>4.0599999999999996</c:v>
                </c:pt>
                <c:pt idx="13">
                  <c:v>4.0599999999999996</c:v>
                </c:pt>
                <c:pt idx="14">
                  <c:v>4.0599999999999996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3.75</c:v>
                </c:pt>
                <c:pt idx="27">
                  <c:v>3.96</c:v>
                </c:pt>
                <c:pt idx="28">
                  <c:v>4.4400000000000004</c:v>
                </c:pt>
                <c:pt idx="29">
                  <c:v>4.4400000000000004</c:v>
                </c:pt>
                <c:pt idx="30">
                  <c:v>4.4400000000000004</c:v>
                </c:pt>
                <c:pt idx="31">
                  <c:v>4.4400000000000004</c:v>
                </c:pt>
                <c:pt idx="32">
                  <c:v>4.4400000000000004</c:v>
                </c:pt>
                <c:pt idx="33">
                  <c:v>4.4400000000000004</c:v>
                </c:pt>
                <c:pt idx="34">
                  <c:v>4.4400000000000004</c:v>
                </c:pt>
                <c:pt idx="35">
                  <c:v>4.4400000000000004</c:v>
                </c:pt>
                <c:pt idx="36">
                  <c:v>4.4400000000000004</c:v>
                </c:pt>
                <c:pt idx="37">
                  <c:v>4.4400000000000004</c:v>
                </c:pt>
                <c:pt idx="38">
                  <c:v>4.4400000000000004</c:v>
                </c:pt>
                <c:pt idx="39">
                  <c:v>4.4400000000000004</c:v>
                </c:pt>
                <c:pt idx="40">
                  <c:v>4.4400000000000004</c:v>
                </c:pt>
                <c:pt idx="41">
                  <c:v>4.4400000000000004</c:v>
                </c:pt>
                <c:pt idx="42">
                  <c:v>4.4400000000000004</c:v>
                </c:pt>
                <c:pt idx="43">
                  <c:v>4.58</c:v>
                </c:pt>
                <c:pt idx="44">
                  <c:v>4.58</c:v>
                </c:pt>
                <c:pt idx="45">
                  <c:v>4.58</c:v>
                </c:pt>
                <c:pt idx="46">
                  <c:v>4.58</c:v>
                </c:pt>
                <c:pt idx="47">
                  <c:v>4.58</c:v>
                </c:pt>
                <c:pt idx="48">
                  <c:v>3.96</c:v>
                </c:pt>
                <c:pt idx="49">
                  <c:v>4.4400000000000004</c:v>
                </c:pt>
                <c:pt idx="50">
                  <c:v>4.4400000000000004</c:v>
                </c:pt>
                <c:pt idx="51">
                  <c:v>4.4400000000000004</c:v>
                </c:pt>
                <c:pt idx="52">
                  <c:v>4.4400000000000004</c:v>
                </c:pt>
                <c:pt idx="53">
                  <c:v>4.4400000000000004</c:v>
                </c:pt>
                <c:pt idx="54">
                  <c:v>4.4400000000000004</c:v>
                </c:pt>
                <c:pt idx="55">
                  <c:v>4.4400000000000004</c:v>
                </c:pt>
                <c:pt idx="56">
                  <c:v>4.58</c:v>
                </c:pt>
                <c:pt idx="57">
                  <c:v>4.58</c:v>
                </c:pt>
                <c:pt idx="58">
                  <c:v>4.58</c:v>
                </c:pt>
                <c:pt idx="59">
                  <c:v>4.58</c:v>
                </c:pt>
                <c:pt idx="60">
                  <c:v>4.58</c:v>
                </c:pt>
                <c:pt idx="61">
                  <c:v>4.4400000000000004</c:v>
                </c:pt>
                <c:pt idx="62">
                  <c:v>4.4400000000000004</c:v>
                </c:pt>
                <c:pt idx="63">
                  <c:v>4.4400000000000004</c:v>
                </c:pt>
                <c:pt idx="64">
                  <c:v>3.97</c:v>
                </c:pt>
                <c:pt idx="65">
                  <c:v>3.97</c:v>
                </c:pt>
                <c:pt idx="66">
                  <c:v>3.75</c:v>
                </c:pt>
                <c:pt idx="67">
                  <c:v>3.75</c:v>
                </c:pt>
                <c:pt idx="68">
                  <c:v>3.75</c:v>
                </c:pt>
                <c:pt idx="69">
                  <c:v>3.75</c:v>
                </c:pt>
                <c:pt idx="70">
                  <c:v>3.75</c:v>
                </c:pt>
                <c:pt idx="71">
                  <c:v>4.1500000000000004</c:v>
                </c:pt>
                <c:pt idx="72">
                  <c:v>4.1500000000000004</c:v>
                </c:pt>
                <c:pt idx="73">
                  <c:v>4.1500000000000004</c:v>
                </c:pt>
                <c:pt idx="74">
                  <c:v>4.1500000000000004</c:v>
                </c:pt>
                <c:pt idx="75">
                  <c:v>4.58</c:v>
                </c:pt>
                <c:pt idx="76">
                  <c:v>4.58</c:v>
                </c:pt>
                <c:pt idx="77">
                  <c:v>4.58</c:v>
                </c:pt>
                <c:pt idx="78">
                  <c:v>4.58</c:v>
                </c:pt>
                <c:pt idx="79">
                  <c:v>4.58</c:v>
                </c:pt>
                <c:pt idx="80">
                  <c:v>4.1399999999999997</c:v>
                </c:pt>
                <c:pt idx="81">
                  <c:v>4.1399999999999997</c:v>
                </c:pt>
                <c:pt idx="82">
                  <c:v>4.1399999999999997</c:v>
                </c:pt>
                <c:pt idx="83">
                  <c:v>4.1399999999999997</c:v>
                </c:pt>
                <c:pt idx="84">
                  <c:v>4.1399999999999997</c:v>
                </c:pt>
                <c:pt idx="85">
                  <c:v>4.8099999999999996</c:v>
                </c:pt>
                <c:pt idx="86">
                  <c:v>4.8099999999999996</c:v>
                </c:pt>
                <c:pt idx="87">
                  <c:v>4.8099999999999996</c:v>
                </c:pt>
                <c:pt idx="88">
                  <c:v>4.8099999999999996</c:v>
                </c:pt>
                <c:pt idx="89">
                  <c:v>4.8099999999999996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4.26</c:v>
                </c:pt>
                <c:pt idx="95">
                  <c:v>4.26</c:v>
                </c:pt>
                <c:pt idx="96">
                  <c:v>4.26</c:v>
                </c:pt>
                <c:pt idx="97">
                  <c:v>4.26</c:v>
                </c:pt>
                <c:pt idx="98">
                  <c:v>4.26</c:v>
                </c:pt>
                <c:pt idx="99">
                  <c:v>4.12</c:v>
                </c:pt>
                <c:pt idx="100">
                  <c:v>4.12</c:v>
                </c:pt>
                <c:pt idx="101">
                  <c:v>4.12</c:v>
                </c:pt>
                <c:pt idx="102">
                  <c:v>4.12</c:v>
                </c:pt>
                <c:pt idx="103">
                  <c:v>4.12</c:v>
                </c:pt>
                <c:pt idx="104">
                  <c:v>4.1100000000000003</c:v>
                </c:pt>
                <c:pt idx="105">
                  <c:v>4.1100000000000003</c:v>
                </c:pt>
                <c:pt idx="106">
                  <c:v>4.1100000000000003</c:v>
                </c:pt>
                <c:pt idx="107">
                  <c:v>4.1100000000000003</c:v>
                </c:pt>
                <c:pt idx="108">
                  <c:v>4.1100000000000003</c:v>
                </c:pt>
                <c:pt idx="109">
                  <c:v>4.1100000000000003</c:v>
                </c:pt>
                <c:pt idx="110">
                  <c:v>4.1100000000000003</c:v>
                </c:pt>
                <c:pt idx="111">
                  <c:v>4.18</c:v>
                </c:pt>
                <c:pt idx="112">
                  <c:v>4.18</c:v>
                </c:pt>
                <c:pt idx="113">
                  <c:v>4.18</c:v>
                </c:pt>
                <c:pt idx="114">
                  <c:v>4.18</c:v>
                </c:pt>
                <c:pt idx="115">
                  <c:v>4.18</c:v>
                </c:pt>
                <c:pt idx="116">
                  <c:v>4.01</c:v>
                </c:pt>
                <c:pt idx="117">
                  <c:v>4.01</c:v>
                </c:pt>
                <c:pt idx="118">
                  <c:v>4.01</c:v>
                </c:pt>
                <c:pt idx="119">
                  <c:v>4.05</c:v>
                </c:pt>
                <c:pt idx="120">
                  <c:v>4.05</c:v>
                </c:pt>
                <c:pt idx="121">
                  <c:v>4.05</c:v>
                </c:pt>
                <c:pt idx="122">
                  <c:v>4.18</c:v>
                </c:pt>
                <c:pt idx="123">
                  <c:v>4.18</c:v>
                </c:pt>
                <c:pt idx="124">
                  <c:v>4.18</c:v>
                </c:pt>
                <c:pt idx="125">
                  <c:v>4.18</c:v>
                </c:pt>
                <c:pt idx="126">
                  <c:v>4.18</c:v>
                </c:pt>
                <c:pt idx="127">
                  <c:v>4.18</c:v>
                </c:pt>
                <c:pt idx="128">
                  <c:v>4.18</c:v>
                </c:pt>
                <c:pt idx="129">
                  <c:v>4.18</c:v>
                </c:pt>
                <c:pt idx="130">
                  <c:v>4.18</c:v>
                </c:pt>
                <c:pt idx="131">
                  <c:v>4.18</c:v>
                </c:pt>
                <c:pt idx="132">
                  <c:v>4.18</c:v>
                </c:pt>
                <c:pt idx="133">
                  <c:v>4.18</c:v>
                </c:pt>
                <c:pt idx="134">
                  <c:v>4.13</c:v>
                </c:pt>
                <c:pt idx="135">
                  <c:v>4.24</c:v>
                </c:pt>
                <c:pt idx="136">
                  <c:v>4.24</c:v>
                </c:pt>
                <c:pt idx="137">
                  <c:v>4.26</c:v>
                </c:pt>
                <c:pt idx="138">
                  <c:v>4.26</c:v>
                </c:pt>
                <c:pt idx="139">
                  <c:v>4.26</c:v>
                </c:pt>
                <c:pt idx="140">
                  <c:v>4.26</c:v>
                </c:pt>
                <c:pt idx="141">
                  <c:v>4.26</c:v>
                </c:pt>
                <c:pt idx="142">
                  <c:v>4.24</c:v>
                </c:pt>
                <c:pt idx="143">
                  <c:v>4.24</c:v>
                </c:pt>
                <c:pt idx="144">
                  <c:v>4.24</c:v>
                </c:pt>
                <c:pt idx="145">
                  <c:v>4.24</c:v>
                </c:pt>
                <c:pt idx="146">
                  <c:v>4.24</c:v>
                </c:pt>
                <c:pt idx="147">
                  <c:v>4.1900000000000004</c:v>
                </c:pt>
                <c:pt idx="148">
                  <c:v>4.22</c:v>
                </c:pt>
                <c:pt idx="149">
                  <c:v>4.22</c:v>
                </c:pt>
                <c:pt idx="150">
                  <c:v>4.22</c:v>
                </c:pt>
                <c:pt idx="151">
                  <c:v>4.22</c:v>
                </c:pt>
                <c:pt idx="152">
                  <c:v>4.25</c:v>
                </c:pt>
                <c:pt idx="153">
                  <c:v>4.25</c:v>
                </c:pt>
                <c:pt idx="154">
                  <c:v>4.18</c:v>
                </c:pt>
                <c:pt idx="155">
                  <c:v>4.2699999999999996</c:v>
                </c:pt>
                <c:pt idx="156">
                  <c:v>4.2699999999999996</c:v>
                </c:pt>
                <c:pt idx="157">
                  <c:v>4.3</c:v>
                </c:pt>
                <c:pt idx="158">
                  <c:v>4.37</c:v>
                </c:pt>
                <c:pt idx="159">
                  <c:v>4.47</c:v>
                </c:pt>
                <c:pt idx="160">
                  <c:v>4.6100000000000003</c:v>
                </c:pt>
                <c:pt idx="161">
                  <c:v>4.6100000000000003</c:v>
                </c:pt>
                <c:pt idx="162">
                  <c:v>4.6100000000000003</c:v>
                </c:pt>
                <c:pt idx="163">
                  <c:v>4.6100000000000003</c:v>
                </c:pt>
                <c:pt idx="164">
                  <c:v>4.6100000000000003</c:v>
                </c:pt>
                <c:pt idx="165">
                  <c:v>4.6100000000000003</c:v>
                </c:pt>
                <c:pt idx="166">
                  <c:v>4.6100000000000003</c:v>
                </c:pt>
                <c:pt idx="167">
                  <c:v>4.6100000000000003</c:v>
                </c:pt>
                <c:pt idx="168">
                  <c:v>4.6900000000000004</c:v>
                </c:pt>
                <c:pt idx="169">
                  <c:v>4.6900000000000004</c:v>
                </c:pt>
                <c:pt idx="170">
                  <c:v>4.74</c:v>
                </c:pt>
                <c:pt idx="171">
                  <c:v>5.0999999999999996</c:v>
                </c:pt>
                <c:pt idx="172">
                  <c:v>5.0999999999999996</c:v>
                </c:pt>
                <c:pt idx="173">
                  <c:v>5.0999999999999996</c:v>
                </c:pt>
                <c:pt idx="174">
                  <c:v>5.45</c:v>
                </c:pt>
                <c:pt idx="175">
                  <c:v>5.54</c:v>
                </c:pt>
                <c:pt idx="176">
                  <c:v>5.54</c:v>
                </c:pt>
                <c:pt idx="177">
                  <c:v>5.54</c:v>
                </c:pt>
                <c:pt idx="178">
                  <c:v>5.54</c:v>
                </c:pt>
                <c:pt idx="179">
                  <c:v>5.74</c:v>
                </c:pt>
                <c:pt idx="180">
                  <c:v>5.74</c:v>
                </c:pt>
                <c:pt idx="181">
                  <c:v>5.74</c:v>
                </c:pt>
                <c:pt idx="182">
                  <c:v>5.74</c:v>
                </c:pt>
                <c:pt idx="183">
                  <c:v>5.74</c:v>
                </c:pt>
                <c:pt idx="184">
                  <c:v>5.71</c:v>
                </c:pt>
                <c:pt idx="185">
                  <c:v>5.71</c:v>
                </c:pt>
                <c:pt idx="186">
                  <c:v>6.26</c:v>
                </c:pt>
                <c:pt idx="187">
                  <c:v>6.26</c:v>
                </c:pt>
                <c:pt idx="188">
                  <c:v>6.2591999999999999</c:v>
                </c:pt>
                <c:pt idx="189">
                  <c:v>6.2591999999999999</c:v>
                </c:pt>
                <c:pt idx="190">
                  <c:v>6.2591999999999999</c:v>
                </c:pt>
                <c:pt idx="191">
                  <c:v>5.383</c:v>
                </c:pt>
                <c:pt idx="192">
                  <c:v>5.383</c:v>
                </c:pt>
                <c:pt idx="193">
                  <c:v>5.5204000000000004</c:v>
                </c:pt>
                <c:pt idx="194">
                  <c:v>5.8482000000000003</c:v>
                </c:pt>
                <c:pt idx="195">
                  <c:v>5.8482000000000003</c:v>
                </c:pt>
                <c:pt idx="196">
                  <c:v>5.8482000000000003</c:v>
                </c:pt>
                <c:pt idx="197">
                  <c:v>5.8482000000000003</c:v>
                </c:pt>
                <c:pt idx="198">
                  <c:v>5.8482000000000003</c:v>
                </c:pt>
                <c:pt idx="199">
                  <c:v>5.6479999999999997</c:v>
                </c:pt>
                <c:pt idx="200">
                  <c:v>6.5140000000000002</c:v>
                </c:pt>
                <c:pt idx="201">
                  <c:v>6.5140000000000002</c:v>
                </c:pt>
                <c:pt idx="202">
                  <c:v>6.4391999999999996</c:v>
                </c:pt>
                <c:pt idx="203">
                  <c:v>6.9390999999999998</c:v>
                </c:pt>
                <c:pt idx="204">
                  <c:v>6.9390999999999998</c:v>
                </c:pt>
                <c:pt idx="205">
                  <c:v>6.9390999999999998</c:v>
                </c:pt>
                <c:pt idx="206">
                  <c:v>6.9390999999999998</c:v>
                </c:pt>
                <c:pt idx="207">
                  <c:v>6.9390999999999998</c:v>
                </c:pt>
                <c:pt idx="208">
                  <c:v>6.4286000000000003</c:v>
                </c:pt>
                <c:pt idx="209">
                  <c:v>6.4286000000000003</c:v>
                </c:pt>
                <c:pt idx="210">
                  <c:v>6.4286000000000003</c:v>
                </c:pt>
                <c:pt idx="211">
                  <c:v>6.4286000000000003</c:v>
                </c:pt>
                <c:pt idx="212">
                  <c:v>6.4286000000000003</c:v>
                </c:pt>
                <c:pt idx="213">
                  <c:v>5.6894</c:v>
                </c:pt>
                <c:pt idx="214">
                  <c:v>5.6894</c:v>
                </c:pt>
                <c:pt idx="215">
                  <c:v>5.8792</c:v>
                </c:pt>
                <c:pt idx="216">
                  <c:v>6.5448000000000004</c:v>
                </c:pt>
                <c:pt idx="217">
                  <c:v>6.5448000000000004</c:v>
                </c:pt>
                <c:pt idx="218">
                  <c:v>6.5448000000000004</c:v>
                </c:pt>
                <c:pt idx="219">
                  <c:v>6.5448000000000004</c:v>
                </c:pt>
                <c:pt idx="220">
                  <c:v>6.5448000000000004</c:v>
                </c:pt>
                <c:pt idx="221">
                  <c:v>6.0587999999999997</c:v>
                </c:pt>
                <c:pt idx="222">
                  <c:v>6.0587999999999997</c:v>
                </c:pt>
                <c:pt idx="223">
                  <c:v>6.1115000000000004</c:v>
                </c:pt>
                <c:pt idx="224">
                  <c:v>6.1115000000000004</c:v>
                </c:pt>
                <c:pt idx="225">
                  <c:v>6.2066999999999997</c:v>
                </c:pt>
                <c:pt idx="226">
                  <c:v>6.2066999999999997</c:v>
                </c:pt>
                <c:pt idx="227">
                  <c:v>6.2066999999999997</c:v>
                </c:pt>
                <c:pt idx="228">
                  <c:v>6.2380000000000004</c:v>
                </c:pt>
                <c:pt idx="229">
                  <c:v>6.2380000000000004</c:v>
                </c:pt>
                <c:pt idx="230">
                  <c:v>6.2380000000000004</c:v>
                </c:pt>
                <c:pt idx="231">
                  <c:v>6.2380000000000004</c:v>
                </c:pt>
                <c:pt idx="232">
                  <c:v>6.2066999999999997</c:v>
                </c:pt>
                <c:pt idx="233">
                  <c:v>6.2066999999999997</c:v>
                </c:pt>
                <c:pt idx="234">
                  <c:v>6.3337000000000003</c:v>
                </c:pt>
                <c:pt idx="235">
                  <c:v>6.6938000000000004</c:v>
                </c:pt>
                <c:pt idx="236">
                  <c:v>6.9922000000000004</c:v>
                </c:pt>
                <c:pt idx="237">
                  <c:v>7.0022000000000002</c:v>
                </c:pt>
                <c:pt idx="238">
                  <c:v>7.0022000000000002</c:v>
                </c:pt>
                <c:pt idx="239">
                  <c:v>7.0022000000000002</c:v>
                </c:pt>
                <c:pt idx="240">
                  <c:v>7.0022000000000002</c:v>
                </c:pt>
                <c:pt idx="241">
                  <c:v>7.0022000000000002</c:v>
                </c:pt>
                <c:pt idx="242">
                  <c:v>6.9922000000000004</c:v>
                </c:pt>
                <c:pt idx="243">
                  <c:v>6.9922000000000004</c:v>
                </c:pt>
                <c:pt idx="244">
                  <c:v>6.9390000000000001</c:v>
                </c:pt>
                <c:pt idx="245">
                  <c:v>6.9490999999999996</c:v>
                </c:pt>
                <c:pt idx="246">
                  <c:v>6.9490999999999996</c:v>
                </c:pt>
                <c:pt idx="247">
                  <c:v>6.9490999999999996</c:v>
                </c:pt>
                <c:pt idx="248">
                  <c:v>6.9490999999999996</c:v>
                </c:pt>
                <c:pt idx="249">
                  <c:v>7.0986000000000002</c:v>
                </c:pt>
                <c:pt idx="250">
                  <c:v>7.0986000000000002</c:v>
                </c:pt>
                <c:pt idx="251">
                  <c:v>7.2584999999999997</c:v>
                </c:pt>
                <c:pt idx="252">
                  <c:v>7.2584999999999997</c:v>
                </c:pt>
                <c:pt idx="253">
                  <c:v>7.2584999999999997</c:v>
                </c:pt>
                <c:pt idx="254">
                  <c:v>7.2584999999999997</c:v>
                </c:pt>
                <c:pt idx="255">
                  <c:v>7.3541999999999996</c:v>
                </c:pt>
                <c:pt idx="256">
                  <c:v>7.2794999999999996</c:v>
                </c:pt>
                <c:pt idx="257">
                  <c:v>7.2794999999999996</c:v>
                </c:pt>
                <c:pt idx="258">
                  <c:v>7.6315999999999997</c:v>
                </c:pt>
                <c:pt idx="259">
                  <c:v>7.6315999999999997</c:v>
                </c:pt>
                <c:pt idx="260">
                  <c:v>7.6315999999999997</c:v>
                </c:pt>
                <c:pt idx="261">
                  <c:v>7.6315999999999997</c:v>
                </c:pt>
                <c:pt idx="262">
                  <c:v>7.7382999999999997</c:v>
                </c:pt>
                <c:pt idx="263">
                  <c:v>7.7382999999999997</c:v>
                </c:pt>
                <c:pt idx="264">
                  <c:v>7.7382999999999997</c:v>
                </c:pt>
                <c:pt idx="265">
                  <c:v>7.7382999999999997</c:v>
                </c:pt>
                <c:pt idx="266">
                  <c:v>7.7382999999999997</c:v>
                </c:pt>
                <c:pt idx="267">
                  <c:v>7.8879000000000001</c:v>
                </c:pt>
                <c:pt idx="268">
                  <c:v>7.8879000000000001</c:v>
                </c:pt>
                <c:pt idx="269">
                  <c:v>7.8879000000000001</c:v>
                </c:pt>
                <c:pt idx="270">
                  <c:v>7.8879000000000001</c:v>
                </c:pt>
                <c:pt idx="271">
                  <c:v>7.8879000000000001</c:v>
                </c:pt>
                <c:pt idx="272">
                  <c:v>8.1891999999999996</c:v>
                </c:pt>
                <c:pt idx="273">
                  <c:v>8.1891999999999996</c:v>
                </c:pt>
                <c:pt idx="274">
                  <c:v>8.1891999999999996</c:v>
                </c:pt>
                <c:pt idx="275">
                  <c:v>8.1891999999999996</c:v>
                </c:pt>
                <c:pt idx="276">
                  <c:v>8.1891999999999996</c:v>
                </c:pt>
                <c:pt idx="277">
                  <c:v>7.6307</c:v>
                </c:pt>
                <c:pt idx="278">
                  <c:v>7.6307</c:v>
                </c:pt>
                <c:pt idx="279">
                  <c:v>7.6257000000000001</c:v>
                </c:pt>
                <c:pt idx="280">
                  <c:v>7.6257000000000001</c:v>
                </c:pt>
                <c:pt idx="281">
                  <c:v>7.6257000000000001</c:v>
                </c:pt>
                <c:pt idx="282">
                  <c:v>7.8994999999999997</c:v>
                </c:pt>
                <c:pt idx="283">
                  <c:v>7.8994999999999997</c:v>
                </c:pt>
                <c:pt idx="284">
                  <c:v>7.8994999999999997</c:v>
                </c:pt>
                <c:pt idx="285">
                  <c:v>7.8994999999999997</c:v>
                </c:pt>
                <c:pt idx="286">
                  <c:v>8.4906000000000006</c:v>
                </c:pt>
                <c:pt idx="287">
                  <c:v>8.4906000000000006</c:v>
                </c:pt>
                <c:pt idx="288">
                  <c:v>8.4906000000000006</c:v>
                </c:pt>
                <c:pt idx="289">
                  <c:v>8.4906000000000006</c:v>
                </c:pt>
                <c:pt idx="290">
                  <c:v>8.4906000000000006</c:v>
                </c:pt>
                <c:pt idx="291">
                  <c:v>8.0966000000000005</c:v>
                </c:pt>
                <c:pt idx="292">
                  <c:v>8.35</c:v>
                </c:pt>
                <c:pt idx="293">
                  <c:v>8.4896999999999991</c:v>
                </c:pt>
                <c:pt idx="294">
                  <c:v>8.4896999999999991</c:v>
                </c:pt>
                <c:pt idx="295">
                  <c:v>8.4896999999999991</c:v>
                </c:pt>
                <c:pt idx="296">
                  <c:v>8.4896999999999991</c:v>
                </c:pt>
                <c:pt idx="297">
                  <c:v>8.6405999999999992</c:v>
                </c:pt>
                <c:pt idx="298">
                  <c:v>8.6405999999999992</c:v>
                </c:pt>
                <c:pt idx="299">
                  <c:v>8.6405999999999992</c:v>
                </c:pt>
                <c:pt idx="300">
                  <c:v>8.7698999999999998</c:v>
                </c:pt>
                <c:pt idx="301">
                  <c:v>8.7698999999999998</c:v>
                </c:pt>
                <c:pt idx="302">
                  <c:v>8.7698999999999998</c:v>
                </c:pt>
                <c:pt idx="303">
                  <c:v>8.7170000000000005</c:v>
                </c:pt>
                <c:pt idx="304">
                  <c:v>8.7675999999999998</c:v>
                </c:pt>
                <c:pt idx="305">
                  <c:v>9.2025000000000006</c:v>
                </c:pt>
                <c:pt idx="306">
                  <c:v>9.1918000000000006</c:v>
                </c:pt>
                <c:pt idx="307">
                  <c:v>9.1918000000000006</c:v>
                </c:pt>
                <c:pt idx="308">
                  <c:v>9.1918000000000006</c:v>
                </c:pt>
                <c:pt idx="309">
                  <c:v>9.1918000000000006</c:v>
                </c:pt>
                <c:pt idx="310">
                  <c:v>9.1918000000000006</c:v>
                </c:pt>
                <c:pt idx="311">
                  <c:v>9.2022999999999993</c:v>
                </c:pt>
                <c:pt idx="312">
                  <c:v>9.2022999999999993</c:v>
                </c:pt>
                <c:pt idx="313">
                  <c:v>9.2022999999999993</c:v>
                </c:pt>
                <c:pt idx="314">
                  <c:v>9.2022999999999993</c:v>
                </c:pt>
                <c:pt idx="315">
                  <c:v>9.2022999999999993</c:v>
                </c:pt>
                <c:pt idx="316">
                  <c:v>9.3756000000000004</c:v>
                </c:pt>
                <c:pt idx="317">
                  <c:v>9.3756000000000004</c:v>
                </c:pt>
                <c:pt idx="318">
                  <c:v>9.3756000000000004</c:v>
                </c:pt>
                <c:pt idx="319">
                  <c:v>9.3756000000000004</c:v>
                </c:pt>
                <c:pt idx="320">
                  <c:v>9.3756000000000004</c:v>
                </c:pt>
                <c:pt idx="321">
                  <c:v>9.1160999999999994</c:v>
                </c:pt>
                <c:pt idx="322">
                  <c:v>9.5393000000000008</c:v>
                </c:pt>
                <c:pt idx="323">
                  <c:v>9.5393000000000008</c:v>
                </c:pt>
                <c:pt idx="324">
                  <c:v>9.4740000000000002</c:v>
                </c:pt>
                <c:pt idx="325">
                  <c:v>9.4981000000000009</c:v>
                </c:pt>
                <c:pt idx="326">
                  <c:v>9.4981000000000009</c:v>
                </c:pt>
                <c:pt idx="327">
                  <c:v>9.4740000000000002</c:v>
                </c:pt>
                <c:pt idx="328">
                  <c:v>9.4740000000000002</c:v>
                </c:pt>
                <c:pt idx="329">
                  <c:v>9.4740000000000002</c:v>
                </c:pt>
                <c:pt idx="330">
                  <c:v>9.6588999999999992</c:v>
                </c:pt>
                <c:pt idx="331">
                  <c:v>9.6588999999999992</c:v>
                </c:pt>
                <c:pt idx="332">
                  <c:v>9.8323</c:v>
                </c:pt>
                <c:pt idx="333">
                  <c:v>10.014799999999999</c:v>
                </c:pt>
                <c:pt idx="334">
                  <c:v>10.014799999999999</c:v>
                </c:pt>
                <c:pt idx="335">
                  <c:v>9.8652999999999995</c:v>
                </c:pt>
                <c:pt idx="336">
                  <c:v>9.8652999999999995</c:v>
                </c:pt>
                <c:pt idx="337">
                  <c:v>9.9743999999999993</c:v>
                </c:pt>
                <c:pt idx="338">
                  <c:v>9.9743999999999993</c:v>
                </c:pt>
                <c:pt idx="339">
                  <c:v>9.9743999999999993</c:v>
                </c:pt>
                <c:pt idx="340">
                  <c:v>10.1271</c:v>
                </c:pt>
                <c:pt idx="341">
                  <c:v>10.1271</c:v>
                </c:pt>
                <c:pt idx="342">
                  <c:v>10.52</c:v>
                </c:pt>
                <c:pt idx="343">
                  <c:v>10.52</c:v>
                </c:pt>
                <c:pt idx="344">
                  <c:v>10.5307</c:v>
                </c:pt>
                <c:pt idx="345">
                  <c:v>10.5307</c:v>
                </c:pt>
                <c:pt idx="346">
                  <c:v>10.5307</c:v>
                </c:pt>
                <c:pt idx="347">
                  <c:v>10.5746</c:v>
                </c:pt>
                <c:pt idx="348">
                  <c:v>10.5747</c:v>
                </c:pt>
                <c:pt idx="349">
                  <c:v>10.5747</c:v>
                </c:pt>
                <c:pt idx="350">
                  <c:v>10.5747</c:v>
                </c:pt>
                <c:pt idx="351">
                  <c:v>10.5747</c:v>
                </c:pt>
                <c:pt idx="352">
                  <c:v>10.5747</c:v>
                </c:pt>
                <c:pt idx="353">
                  <c:v>10.563499999999999</c:v>
                </c:pt>
                <c:pt idx="354">
                  <c:v>10.563499999999999</c:v>
                </c:pt>
                <c:pt idx="355">
                  <c:v>10.563499999999999</c:v>
                </c:pt>
                <c:pt idx="356">
                  <c:v>10.563499999999999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DD-4CDB-B67A-07656B511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12 Months'!$J$1:$P$1</c:f>
          <c:strCache>
            <c:ptCount val="7"/>
            <c:pt idx="0">
              <c:v>FOCUS forecast for IGP-DI 12 months ahead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12 Months'!$E$3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Months'!$E$4:$E$189</c:f>
              <c:numCache>
                <c:formatCode>General</c:formatCode>
                <c:ptCount val="186"/>
                <c:pt idx="0">
                  <c:v>1.41</c:v>
                </c:pt>
                <c:pt idx="1">
                  <c:v>1.41</c:v>
                </c:pt>
                <c:pt idx="2">
                  <c:v>1.41</c:v>
                </c:pt>
                <c:pt idx="3">
                  <c:v>1.41</c:v>
                </c:pt>
                <c:pt idx="4">
                  <c:v>1.41</c:v>
                </c:pt>
                <c:pt idx="5">
                  <c:v>1.41</c:v>
                </c:pt>
                <c:pt idx="6">
                  <c:v>1.41</c:v>
                </c:pt>
                <c:pt idx="7">
                  <c:v>1.41</c:v>
                </c:pt>
                <c:pt idx="8">
                  <c:v>1.41</c:v>
                </c:pt>
                <c:pt idx="9">
                  <c:v>1.41</c:v>
                </c:pt>
                <c:pt idx="10">
                  <c:v>1.41</c:v>
                </c:pt>
                <c:pt idx="11">
                  <c:v>1.41</c:v>
                </c:pt>
                <c:pt idx="12">
                  <c:v>1.41</c:v>
                </c:pt>
                <c:pt idx="13">
                  <c:v>1.41</c:v>
                </c:pt>
                <c:pt idx="14">
                  <c:v>1.41</c:v>
                </c:pt>
                <c:pt idx="15">
                  <c:v>1.41</c:v>
                </c:pt>
                <c:pt idx="16">
                  <c:v>2.8</c:v>
                </c:pt>
                <c:pt idx="17">
                  <c:v>2.8</c:v>
                </c:pt>
                <c:pt idx="18">
                  <c:v>1.41</c:v>
                </c:pt>
                <c:pt idx="19">
                  <c:v>1.41</c:v>
                </c:pt>
                <c:pt idx="20">
                  <c:v>1.41</c:v>
                </c:pt>
                <c:pt idx="21">
                  <c:v>1.41</c:v>
                </c:pt>
                <c:pt idx="22">
                  <c:v>1.41</c:v>
                </c:pt>
                <c:pt idx="23">
                  <c:v>1.41</c:v>
                </c:pt>
                <c:pt idx="24">
                  <c:v>1.41</c:v>
                </c:pt>
                <c:pt idx="25">
                  <c:v>1.41</c:v>
                </c:pt>
                <c:pt idx="26">
                  <c:v>1.41</c:v>
                </c:pt>
                <c:pt idx="27">
                  <c:v>1.41</c:v>
                </c:pt>
                <c:pt idx="28">
                  <c:v>1.41</c:v>
                </c:pt>
                <c:pt idx="29">
                  <c:v>1.41</c:v>
                </c:pt>
                <c:pt idx="30">
                  <c:v>1.41</c:v>
                </c:pt>
                <c:pt idx="31">
                  <c:v>1.41</c:v>
                </c:pt>
                <c:pt idx="32">
                  <c:v>1.41</c:v>
                </c:pt>
                <c:pt idx="33">
                  <c:v>1.41</c:v>
                </c:pt>
                <c:pt idx="34">
                  <c:v>1.41</c:v>
                </c:pt>
                <c:pt idx="35">
                  <c:v>1.41</c:v>
                </c:pt>
                <c:pt idx="36">
                  <c:v>1.41</c:v>
                </c:pt>
                <c:pt idx="37">
                  <c:v>1.41</c:v>
                </c:pt>
                <c:pt idx="38">
                  <c:v>1.41</c:v>
                </c:pt>
                <c:pt idx="39">
                  <c:v>3.06</c:v>
                </c:pt>
                <c:pt idx="40">
                  <c:v>3.06</c:v>
                </c:pt>
                <c:pt idx="41">
                  <c:v>3.06</c:v>
                </c:pt>
                <c:pt idx="42">
                  <c:v>3.06</c:v>
                </c:pt>
                <c:pt idx="43">
                  <c:v>3.06</c:v>
                </c:pt>
                <c:pt idx="44">
                  <c:v>3.28</c:v>
                </c:pt>
                <c:pt idx="45">
                  <c:v>3.34</c:v>
                </c:pt>
                <c:pt idx="46">
                  <c:v>3.34</c:v>
                </c:pt>
                <c:pt idx="47">
                  <c:v>3.28</c:v>
                </c:pt>
                <c:pt idx="48">
                  <c:v>2.77</c:v>
                </c:pt>
                <c:pt idx="49">
                  <c:v>2.77</c:v>
                </c:pt>
                <c:pt idx="50">
                  <c:v>2.77</c:v>
                </c:pt>
                <c:pt idx="51">
                  <c:v>2.77</c:v>
                </c:pt>
                <c:pt idx="52">
                  <c:v>2.77</c:v>
                </c:pt>
                <c:pt idx="53">
                  <c:v>2.82</c:v>
                </c:pt>
                <c:pt idx="54">
                  <c:v>2.82</c:v>
                </c:pt>
                <c:pt idx="55">
                  <c:v>2.82</c:v>
                </c:pt>
                <c:pt idx="56">
                  <c:v>2.82</c:v>
                </c:pt>
                <c:pt idx="57">
                  <c:v>2.82</c:v>
                </c:pt>
                <c:pt idx="58">
                  <c:v>2.82</c:v>
                </c:pt>
                <c:pt idx="59">
                  <c:v>2.17</c:v>
                </c:pt>
                <c:pt idx="60">
                  <c:v>2.17</c:v>
                </c:pt>
                <c:pt idx="61">
                  <c:v>2.17</c:v>
                </c:pt>
                <c:pt idx="62">
                  <c:v>2.17</c:v>
                </c:pt>
                <c:pt idx="63">
                  <c:v>2.17</c:v>
                </c:pt>
                <c:pt idx="64">
                  <c:v>2.17</c:v>
                </c:pt>
                <c:pt idx="65">
                  <c:v>2.12</c:v>
                </c:pt>
                <c:pt idx="66">
                  <c:v>2.12</c:v>
                </c:pt>
                <c:pt idx="67">
                  <c:v>2.12</c:v>
                </c:pt>
                <c:pt idx="68">
                  <c:v>1.61</c:v>
                </c:pt>
                <c:pt idx="69">
                  <c:v>1.61</c:v>
                </c:pt>
                <c:pt idx="70">
                  <c:v>1.61</c:v>
                </c:pt>
                <c:pt idx="71">
                  <c:v>1.61</c:v>
                </c:pt>
                <c:pt idx="72">
                  <c:v>1.61</c:v>
                </c:pt>
                <c:pt idx="73">
                  <c:v>1.61</c:v>
                </c:pt>
                <c:pt idx="74">
                  <c:v>1.61</c:v>
                </c:pt>
                <c:pt idx="75">
                  <c:v>1.61</c:v>
                </c:pt>
                <c:pt idx="76">
                  <c:v>1.61</c:v>
                </c:pt>
                <c:pt idx="77">
                  <c:v>1.61</c:v>
                </c:pt>
                <c:pt idx="78">
                  <c:v>1.61</c:v>
                </c:pt>
                <c:pt idx="79">
                  <c:v>1.61</c:v>
                </c:pt>
                <c:pt idx="80">
                  <c:v>1.61</c:v>
                </c:pt>
                <c:pt idx="81">
                  <c:v>1.61</c:v>
                </c:pt>
                <c:pt idx="82">
                  <c:v>1.61</c:v>
                </c:pt>
                <c:pt idx="83">
                  <c:v>1.61</c:v>
                </c:pt>
                <c:pt idx="84">
                  <c:v>1.61</c:v>
                </c:pt>
                <c:pt idx="85">
                  <c:v>1.61</c:v>
                </c:pt>
                <c:pt idx="86">
                  <c:v>1.61</c:v>
                </c:pt>
                <c:pt idx="87">
                  <c:v>1.61</c:v>
                </c:pt>
                <c:pt idx="88">
                  <c:v>1.61</c:v>
                </c:pt>
                <c:pt idx="89">
                  <c:v>1.61</c:v>
                </c:pt>
                <c:pt idx="90">
                  <c:v>2.4700000000000002</c:v>
                </c:pt>
                <c:pt idx="91">
                  <c:v>2.4700000000000002</c:v>
                </c:pt>
                <c:pt idx="92">
                  <c:v>2.44</c:v>
                </c:pt>
                <c:pt idx="93">
                  <c:v>2.44</c:v>
                </c:pt>
                <c:pt idx="94">
                  <c:v>2.44</c:v>
                </c:pt>
                <c:pt idx="95">
                  <c:v>2.44</c:v>
                </c:pt>
                <c:pt idx="96">
                  <c:v>2.44</c:v>
                </c:pt>
                <c:pt idx="97">
                  <c:v>2.44</c:v>
                </c:pt>
                <c:pt idx="98">
                  <c:v>2.44</c:v>
                </c:pt>
                <c:pt idx="99">
                  <c:v>2.44</c:v>
                </c:pt>
                <c:pt idx="100">
                  <c:v>2.4700000000000002</c:v>
                </c:pt>
                <c:pt idx="101">
                  <c:v>2.4700000000000002</c:v>
                </c:pt>
                <c:pt idx="102">
                  <c:v>2.4700000000000002</c:v>
                </c:pt>
                <c:pt idx="103">
                  <c:v>2.4700000000000002</c:v>
                </c:pt>
                <c:pt idx="104">
                  <c:v>2.4700000000000002</c:v>
                </c:pt>
                <c:pt idx="105">
                  <c:v>2.4700000000000002</c:v>
                </c:pt>
                <c:pt idx="106">
                  <c:v>2.4700000000000002</c:v>
                </c:pt>
                <c:pt idx="107">
                  <c:v>2.02</c:v>
                </c:pt>
                <c:pt idx="108">
                  <c:v>2.02</c:v>
                </c:pt>
                <c:pt idx="109">
                  <c:v>2.02</c:v>
                </c:pt>
                <c:pt idx="110">
                  <c:v>3.03</c:v>
                </c:pt>
                <c:pt idx="111">
                  <c:v>3.03</c:v>
                </c:pt>
                <c:pt idx="112">
                  <c:v>3.03</c:v>
                </c:pt>
                <c:pt idx="113">
                  <c:v>3.03</c:v>
                </c:pt>
                <c:pt idx="114">
                  <c:v>3.03</c:v>
                </c:pt>
                <c:pt idx="115">
                  <c:v>3.03</c:v>
                </c:pt>
                <c:pt idx="116">
                  <c:v>3.03</c:v>
                </c:pt>
                <c:pt idx="117">
                  <c:v>3.04</c:v>
                </c:pt>
                <c:pt idx="118">
                  <c:v>3.04</c:v>
                </c:pt>
                <c:pt idx="119">
                  <c:v>3.04</c:v>
                </c:pt>
                <c:pt idx="120">
                  <c:v>3.04</c:v>
                </c:pt>
                <c:pt idx="121">
                  <c:v>3.04</c:v>
                </c:pt>
                <c:pt idx="122">
                  <c:v>3.04</c:v>
                </c:pt>
                <c:pt idx="123">
                  <c:v>3.04</c:v>
                </c:pt>
                <c:pt idx="124">
                  <c:v>3.38</c:v>
                </c:pt>
                <c:pt idx="125">
                  <c:v>3.38</c:v>
                </c:pt>
                <c:pt idx="126">
                  <c:v>3.38</c:v>
                </c:pt>
                <c:pt idx="127">
                  <c:v>3.38</c:v>
                </c:pt>
                <c:pt idx="128">
                  <c:v>1.34</c:v>
                </c:pt>
                <c:pt idx="129">
                  <c:v>1.34</c:v>
                </c:pt>
                <c:pt idx="130">
                  <c:v>1.34</c:v>
                </c:pt>
                <c:pt idx="131">
                  <c:v>1.34</c:v>
                </c:pt>
                <c:pt idx="132">
                  <c:v>1.34</c:v>
                </c:pt>
                <c:pt idx="133">
                  <c:v>1.34</c:v>
                </c:pt>
                <c:pt idx="134">
                  <c:v>2.4500000000000002</c:v>
                </c:pt>
                <c:pt idx="135">
                  <c:v>2.4500000000000002</c:v>
                </c:pt>
                <c:pt idx="136">
                  <c:v>2.4500000000000002</c:v>
                </c:pt>
                <c:pt idx="137">
                  <c:v>2.4500000000000002</c:v>
                </c:pt>
                <c:pt idx="138">
                  <c:v>2.4500000000000002</c:v>
                </c:pt>
                <c:pt idx="139">
                  <c:v>2.4500000000000002</c:v>
                </c:pt>
                <c:pt idx="140">
                  <c:v>2.5299999999999998</c:v>
                </c:pt>
                <c:pt idx="141">
                  <c:v>2.5299999999999998</c:v>
                </c:pt>
                <c:pt idx="142">
                  <c:v>2.5299999999999998</c:v>
                </c:pt>
                <c:pt idx="143">
                  <c:v>2.5299999999999998</c:v>
                </c:pt>
                <c:pt idx="144">
                  <c:v>3.43</c:v>
                </c:pt>
                <c:pt idx="145">
                  <c:v>3.43</c:v>
                </c:pt>
                <c:pt idx="146">
                  <c:v>2.4300000000000002</c:v>
                </c:pt>
                <c:pt idx="147">
                  <c:v>2.4300000000000002</c:v>
                </c:pt>
                <c:pt idx="148">
                  <c:v>2.4300000000000002</c:v>
                </c:pt>
                <c:pt idx="149">
                  <c:v>2.4300000000000002</c:v>
                </c:pt>
                <c:pt idx="150">
                  <c:v>2.5299999999999998</c:v>
                </c:pt>
                <c:pt idx="151">
                  <c:v>2.5299999999999998</c:v>
                </c:pt>
                <c:pt idx="152">
                  <c:v>2.5299999999999998</c:v>
                </c:pt>
                <c:pt idx="153">
                  <c:v>2.5299999999999998</c:v>
                </c:pt>
                <c:pt idx="154">
                  <c:v>2.5299999999999998</c:v>
                </c:pt>
                <c:pt idx="155">
                  <c:v>2.5299999999999998</c:v>
                </c:pt>
                <c:pt idx="156">
                  <c:v>2.5299999999999998</c:v>
                </c:pt>
                <c:pt idx="157">
                  <c:v>2.5299999999999998</c:v>
                </c:pt>
                <c:pt idx="158">
                  <c:v>2.5299999999999998</c:v>
                </c:pt>
                <c:pt idx="159">
                  <c:v>2.5299999999999998</c:v>
                </c:pt>
                <c:pt idx="160">
                  <c:v>2.5299999999999998</c:v>
                </c:pt>
                <c:pt idx="161">
                  <c:v>2.5299999999999998</c:v>
                </c:pt>
                <c:pt idx="162">
                  <c:v>2.5299999999999998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0.99</c:v>
                </c:pt>
                <c:pt idx="172">
                  <c:v>0.99</c:v>
                </c:pt>
                <c:pt idx="173">
                  <c:v>0.99</c:v>
                </c:pt>
                <c:pt idx="174">
                  <c:v>0.99</c:v>
                </c:pt>
                <c:pt idx="175">
                  <c:v>0.99</c:v>
                </c:pt>
                <c:pt idx="176">
                  <c:v>0.99</c:v>
                </c:pt>
                <c:pt idx="177">
                  <c:v>0.99</c:v>
                </c:pt>
                <c:pt idx="178">
                  <c:v>0.99</c:v>
                </c:pt>
                <c:pt idx="179">
                  <c:v>0.99</c:v>
                </c:pt>
                <c:pt idx="180">
                  <c:v>0.99</c:v>
                </c:pt>
                <c:pt idx="181">
                  <c:v>0.99</c:v>
                </c:pt>
                <c:pt idx="182">
                  <c:v>0.99</c:v>
                </c:pt>
                <c:pt idx="183">
                  <c:v>0.99</c:v>
                </c:pt>
                <c:pt idx="184">
                  <c:v>0.99</c:v>
                </c:pt>
                <c:pt idx="185">
                  <c:v>0.99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97-4A74-A1EC-7FDE743632F3}"/>
            </c:ext>
          </c:extLst>
        </c:ser>
        <c:ser>
          <c:idx val="2"/>
          <c:order val="1"/>
          <c:tx>
            <c:strRef>
              <c:f>'Exp 12 Months'!$F$3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Months'!$F$4:$F$189</c:f>
              <c:numCache>
                <c:formatCode>General</c:formatCode>
                <c:ptCount val="18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3.99</c:v>
                </c:pt>
                <c:pt idx="7">
                  <c:v>3.99</c:v>
                </c:pt>
                <c:pt idx="8">
                  <c:v>3.99</c:v>
                </c:pt>
                <c:pt idx="9">
                  <c:v>3.99</c:v>
                </c:pt>
                <c:pt idx="10">
                  <c:v>3.99</c:v>
                </c:pt>
                <c:pt idx="11">
                  <c:v>3.92</c:v>
                </c:pt>
                <c:pt idx="12">
                  <c:v>3.97</c:v>
                </c:pt>
                <c:pt idx="13">
                  <c:v>3.97</c:v>
                </c:pt>
                <c:pt idx="14">
                  <c:v>3.92</c:v>
                </c:pt>
                <c:pt idx="15">
                  <c:v>3.92</c:v>
                </c:pt>
                <c:pt idx="16">
                  <c:v>4.0199999999999996</c:v>
                </c:pt>
                <c:pt idx="17">
                  <c:v>3.99</c:v>
                </c:pt>
                <c:pt idx="18">
                  <c:v>3.97</c:v>
                </c:pt>
                <c:pt idx="19">
                  <c:v>3.96</c:v>
                </c:pt>
                <c:pt idx="20">
                  <c:v>3.95</c:v>
                </c:pt>
                <c:pt idx="21">
                  <c:v>3.94</c:v>
                </c:pt>
                <c:pt idx="22">
                  <c:v>3.94</c:v>
                </c:pt>
                <c:pt idx="23">
                  <c:v>3.79</c:v>
                </c:pt>
                <c:pt idx="24">
                  <c:v>4.25</c:v>
                </c:pt>
                <c:pt idx="25">
                  <c:v>4.25</c:v>
                </c:pt>
                <c:pt idx="26">
                  <c:v>4.25</c:v>
                </c:pt>
                <c:pt idx="27">
                  <c:v>4.24</c:v>
                </c:pt>
                <c:pt idx="28">
                  <c:v>4.2300000000000004</c:v>
                </c:pt>
                <c:pt idx="29">
                  <c:v>4.24</c:v>
                </c:pt>
                <c:pt idx="30">
                  <c:v>4.24</c:v>
                </c:pt>
                <c:pt idx="31">
                  <c:v>4.24</c:v>
                </c:pt>
                <c:pt idx="32">
                  <c:v>4.24</c:v>
                </c:pt>
                <c:pt idx="33">
                  <c:v>4.3099999999999996</c:v>
                </c:pt>
                <c:pt idx="34">
                  <c:v>4.4400000000000004</c:v>
                </c:pt>
                <c:pt idx="35">
                  <c:v>4.4400000000000004</c:v>
                </c:pt>
                <c:pt idx="36">
                  <c:v>4.45</c:v>
                </c:pt>
                <c:pt idx="37">
                  <c:v>4.45</c:v>
                </c:pt>
                <c:pt idx="38">
                  <c:v>4.4400000000000004</c:v>
                </c:pt>
                <c:pt idx="39">
                  <c:v>4.45</c:v>
                </c:pt>
                <c:pt idx="40">
                  <c:v>4.45</c:v>
                </c:pt>
                <c:pt idx="41">
                  <c:v>4.45</c:v>
                </c:pt>
                <c:pt idx="42">
                  <c:v>4.45</c:v>
                </c:pt>
                <c:pt idx="43">
                  <c:v>4.74</c:v>
                </c:pt>
                <c:pt idx="44">
                  <c:v>4.24</c:v>
                </c:pt>
                <c:pt idx="45">
                  <c:v>4.2300000000000004</c:v>
                </c:pt>
                <c:pt idx="46">
                  <c:v>4.2300000000000004</c:v>
                </c:pt>
                <c:pt idx="47">
                  <c:v>4.24</c:v>
                </c:pt>
                <c:pt idx="48">
                  <c:v>4.2300000000000004</c:v>
                </c:pt>
                <c:pt idx="49">
                  <c:v>4.2300000000000004</c:v>
                </c:pt>
                <c:pt idx="50">
                  <c:v>4.2300000000000004</c:v>
                </c:pt>
                <c:pt idx="51">
                  <c:v>4.2300000000000004</c:v>
                </c:pt>
                <c:pt idx="52">
                  <c:v>4.1399999999999997</c:v>
                </c:pt>
                <c:pt idx="53">
                  <c:v>4.12</c:v>
                </c:pt>
                <c:pt idx="54">
                  <c:v>4.12</c:v>
                </c:pt>
                <c:pt idx="55">
                  <c:v>4.12</c:v>
                </c:pt>
                <c:pt idx="56">
                  <c:v>4.12</c:v>
                </c:pt>
                <c:pt idx="57">
                  <c:v>4.12</c:v>
                </c:pt>
                <c:pt idx="58">
                  <c:v>4.12</c:v>
                </c:pt>
                <c:pt idx="59">
                  <c:v>4.12</c:v>
                </c:pt>
                <c:pt idx="60">
                  <c:v>4.12</c:v>
                </c:pt>
                <c:pt idx="61">
                  <c:v>4.12</c:v>
                </c:pt>
                <c:pt idx="62">
                  <c:v>4.12</c:v>
                </c:pt>
                <c:pt idx="63">
                  <c:v>4.12</c:v>
                </c:pt>
                <c:pt idx="64">
                  <c:v>4.12</c:v>
                </c:pt>
                <c:pt idx="65">
                  <c:v>3.96</c:v>
                </c:pt>
                <c:pt idx="66">
                  <c:v>3.75</c:v>
                </c:pt>
                <c:pt idx="67">
                  <c:v>3.81</c:v>
                </c:pt>
                <c:pt idx="68">
                  <c:v>3.78</c:v>
                </c:pt>
                <c:pt idx="69">
                  <c:v>3.78</c:v>
                </c:pt>
                <c:pt idx="70">
                  <c:v>3.76</c:v>
                </c:pt>
                <c:pt idx="71">
                  <c:v>3.78</c:v>
                </c:pt>
                <c:pt idx="72">
                  <c:v>3.78</c:v>
                </c:pt>
                <c:pt idx="73">
                  <c:v>3.78</c:v>
                </c:pt>
                <c:pt idx="74">
                  <c:v>3.78</c:v>
                </c:pt>
                <c:pt idx="75">
                  <c:v>3.76</c:v>
                </c:pt>
                <c:pt idx="76">
                  <c:v>3.83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3.98</c:v>
                </c:pt>
                <c:pt idx="81">
                  <c:v>4.12</c:v>
                </c:pt>
                <c:pt idx="82">
                  <c:v>4.1100000000000003</c:v>
                </c:pt>
                <c:pt idx="83">
                  <c:v>4.1100000000000003</c:v>
                </c:pt>
                <c:pt idx="84">
                  <c:v>4.1100000000000003</c:v>
                </c:pt>
                <c:pt idx="85">
                  <c:v>4.07</c:v>
                </c:pt>
                <c:pt idx="86">
                  <c:v>4.1500000000000004</c:v>
                </c:pt>
                <c:pt idx="87">
                  <c:v>4.1500000000000004</c:v>
                </c:pt>
                <c:pt idx="88">
                  <c:v>4.1500000000000004</c:v>
                </c:pt>
                <c:pt idx="89">
                  <c:v>4.0599999999999996</c:v>
                </c:pt>
                <c:pt idx="90">
                  <c:v>4.21</c:v>
                </c:pt>
                <c:pt idx="91">
                  <c:v>4.13</c:v>
                </c:pt>
                <c:pt idx="92">
                  <c:v>4.13</c:v>
                </c:pt>
                <c:pt idx="93">
                  <c:v>4.21</c:v>
                </c:pt>
                <c:pt idx="94">
                  <c:v>4.13</c:v>
                </c:pt>
                <c:pt idx="95">
                  <c:v>4.13</c:v>
                </c:pt>
                <c:pt idx="96">
                  <c:v>4.13</c:v>
                </c:pt>
                <c:pt idx="97">
                  <c:v>4.13</c:v>
                </c:pt>
                <c:pt idx="98">
                  <c:v>4.13</c:v>
                </c:pt>
                <c:pt idx="99">
                  <c:v>4.13</c:v>
                </c:pt>
                <c:pt idx="100">
                  <c:v>4.21</c:v>
                </c:pt>
                <c:pt idx="101">
                  <c:v>4.37</c:v>
                </c:pt>
                <c:pt idx="102">
                  <c:v>4.37</c:v>
                </c:pt>
                <c:pt idx="103">
                  <c:v>4.37</c:v>
                </c:pt>
                <c:pt idx="104">
                  <c:v>4.29</c:v>
                </c:pt>
                <c:pt idx="105">
                  <c:v>4.7</c:v>
                </c:pt>
                <c:pt idx="106">
                  <c:v>4.7</c:v>
                </c:pt>
                <c:pt idx="107">
                  <c:v>3.99</c:v>
                </c:pt>
                <c:pt idx="108">
                  <c:v>3.99</c:v>
                </c:pt>
                <c:pt idx="109">
                  <c:v>3.99</c:v>
                </c:pt>
                <c:pt idx="110">
                  <c:v>3.95</c:v>
                </c:pt>
                <c:pt idx="111">
                  <c:v>3.95</c:v>
                </c:pt>
                <c:pt idx="112">
                  <c:v>4.03</c:v>
                </c:pt>
                <c:pt idx="113">
                  <c:v>3.97</c:v>
                </c:pt>
                <c:pt idx="114">
                  <c:v>4.24</c:v>
                </c:pt>
                <c:pt idx="115">
                  <c:v>4.38</c:v>
                </c:pt>
                <c:pt idx="116">
                  <c:v>4.38</c:v>
                </c:pt>
                <c:pt idx="117">
                  <c:v>4.4400000000000004</c:v>
                </c:pt>
                <c:pt idx="118">
                  <c:v>4.38</c:v>
                </c:pt>
                <c:pt idx="119">
                  <c:v>4.38</c:v>
                </c:pt>
                <c:pt idx="120">
                  <c:v>4.38</c:v>
                </c:pt>
                <c:pt idx="121">
                  <c:v>4.38</c:v>
                </c:pt>
                <c:pt idx="122">
                  <c:v>4.38</c:v>
                </c:pt>
                <c:pt idx="123">
                  <c:v>4.38</c:v>
                </c:pt>
                <c:pt idx="124">
                  <c:v>4.9000000000000004</c:v>
                </c:pt>
                <c:pt idx="125">
                  <c:v>4.9000000000000004</c:v>
                </c:pt>
                <c:pt idx="126">
                  <c:v>4.9000000000000004</c:v>
                </c:pt>
                <c:pt idx="127">
                  <c:v>5.04</c:v>
                </c:pt>
                <c:pt idx="128">
                  <c:v>3.94</c:v>
                </c:pt>
                <c:pt idx="129">
                  <c:v>4.13</c:v>
                </c:pt>
                <c:pt idx="130">
                  <c:v>4.13</c:v>
                </c:pt>
                <c:pt idx="131">
                  <c:v>4.13</c:v>
                </c:pt>
                <c:pt idx="132">
                  <c:v>4.13</c:v>
                </c:pt>
                <c:pt idx="133">
                  <c:v>4.13</c:v>
                </c:pt>
                <c:pt idx="134">
                  <c:v>4.13</c:v>
                </c:pt>
                <c:pt idx="135">
                  <c:v>4.13</c:v>
                </c:pt>
                <c:pt idx="136">
                  <c:v>4.13</c:v>
                </c:pt>
                <c:pt idx="137">
                  <c:v>4.3</c:v>
                </c:pt>
                <c:pt idx="138">
                  <c:v>4.3</c:v>
                </c:pt>
                <c:pt idx="139">
                  <c:v>4.51</c:v>
                </c:pt>
                <c:pt idx="140">
                  <c:v>5.34</c:v>
                </c:pt>
                <c:pt idx="141">
                  <c:v>5.0599999999999996</c:v>
                </c:pt>
                <c:pt idx="142">
                  <c:v>5.0599999999999996</c:v>
                </c:pt>
                <c:pt idx="143">
                  <c:v>5.61</c:v>
                </c:pt>
                <c:pt idx="144">
                  <c:v>5.64</c:v>
                </c:pt>
                <c:pt idx="145">
                  <c:v>5.76</c:v>
                </c:pt>
                <c:pt idx="146">
                  <c:v>5.68</c:v>
                </c:pt>
                <c:pt idx="147">
                  <c:v>5.68</c:v>
                </c:pt>
                <c:pt idx="148">
                  <c:v>5.94</c:v>
                </c:pt>
                <c:pt idx="149">
                  <c:v>6.14</c:v>
                </c:pt>
                <c:pt idx="150">
                  <c:v>4.76</c:v>
                </c:pt>
                <c:pt idx="151">
                  <c:v>4.76</c:v>
                </c:pt>
                <c:pt idx="152">
                  <c:v>5.07</c:v>
                </c:pt>
                <c:pt idx="153">
                  <c:v>5.9</c:v>
                </c:pt>
                <c:pt idx="154">
                  <c:v>5.9</c:v>
                </c:pt>
                <c:pt idx="155">
                  <c:v>5.9</c:v>
                </c:pt>
                <c:pt idx="156">
                  <c:v>6.1</c:v>
                </c:pt>
                <c:pt idx="157">
                  <c:v>6.1</c:v>
                </c:pt>
                <c:pt idx="158">
                  <c:v>6.51</c:v>
                </c:pt>
                <c:pt idx="159">
                  <c:v>6.51</c:v>
                </c:pt>
                <c:pt idx="160">
                  <c:v>6.51</c:v>
                </c:pt>
                <c:pt idx="161">
                  <c:v>6.51</c:v>
                </c:pt>
                <c:pt idx="162">
                  <c:v>6.51</c:v>
                </c:pt>
                <c:pt idx="163">
                  <c:v>6.57</c:v>
                </c:pt>
                <c:pt idx="164">
                  <c:v>6.52</c:v>
                </c:pt>
                <c:pt idx="165">
                  <c:v>6.62</c:v>
                </c:pt>
                <c:pt idx="166">
                  <c:v>6.62</c:v>
                </c:pt>
                <c:pt idx="167">
                  <c:v>6.75</c:v>
                </c:pt>
                <c:pt idx="168">
                  <c:v>7.33</c:v>
                </c:pt>
                <c:pt idx="169">
                  <c:v>7.89</c:v>
                </c:pt>
                <c:pt idx="170">
                  <c:v>8.3000000000000007</c:v>
                </c:pt>
                <c:pt idx="171">
                  <c:v>4.8499999999999996</c:v>
                </c:pt>
                <c:pt idx="172">
                  <c:v>4.8499999999999996</c:v>
                </c:pt>
                <c:pt idx="173">
                  <c:v>5.6</c:v>
                </c:pt>
                <c:pt idx="174">
                  <c:v>5.65</c:v>
                </c:pt>
                <c:pt idx="175">
                  <c:v>5.65</c:v>
                </c:pt>
                <c:pt idx="176">
                  <c:v>5.6</c:v>
                </c:pt>
                <c:pt idx="177">
                  <c:v>5.6</c:v>
                </c:pt>
                <c:pt idx="178">
                  <c:v>5.6</c:v>
                </c:pt>
                <c:pt idx="179">
                  <c:v>6.94</c:v>
                </c:pt>
                <c:pt idx="180">
                  <c:v>6.94</c:v>
                </c:pt>
                <c:pt idx="181">
                  <c:v>6.94</c:v>
                </c:pt>
                <c:pt idx="182">
                  <c:v>7.34</c:v>
                </c:pt>
                <c:pt idx="183">
                  <c:v>7.34</c:v>
                </c:pt>
                <c:pt idx="184">
                  <c:v>7.34</c:v>
                </c:pt>
                <c:pt idx="185">
                  <c:v>7.34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97-4A74-A1EC-7FDE743632F3}"/>
            </c:ext>
          </c:extLst>
        </c:ser>
        <c:ser>
          <c:idx val="3"/>
          <c:order val="2"/>
          <c:tx>
            <c:strRef>
              <c:f>'Exp 12 Months'!$G$3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Months'!$G$4:$G$189</c:f>
              <c:numCache>
                <c:formatCode>General</c:formatCode>
                <c:ptCount val="186"/>
                <c:pt idx="0">
                  <c:v>6.17</c:v>
                </c:pt>
                <c:pt idx="1">
                  <c:v>6.17</c:v>
                </c:pt>
                <c:pt idx="2">
                  <c:v>6.17</c:v>
                </c:pt>
                <c:pt idx="3">
                  <c:v>6.17</c:v>
                </c:pt>
                <c:pt idx="4">
                  <c:v>6.17</c:v>
                </c:pt>
                <c:pt idx="5">
                  <c:v>6.27</c:v>
                </c:pt>
                <c:pt idx="6">
                  <c:v>6.27</c:v>
                </c:pt>
                <c:pt idx="7">
                  <c:v>6.27</c:v>
                </c:pt>
                <c:pt idx="8">
                  <c:v>6.27</c:v>
                </c:pt>
                <c:pt idx="9">
                  <c:v>6.27</c:v>
                </c:pt>
                <c:pt idx="10">
                  <c:v>6.27</c:v>
                </c:pt>
                <c:pt idx="11">
                  <c:v>6.27</c:v>
                </c:pt>
                <c:pt idx="12">
                  <c:v>6.27</c:v>
                </c:pt>
                <c:pt idx="13">
                  <c:v>6.27</c:v>
                </c:pt>
                <c:pt idx="14">
                  <c:v>6.27</c:v>
                </c:pt>
                <c:pt idx="15">
                  <c:v>6.27</c:v>
                </c:pt>
                <c:pt idx="16">
                  <c:v>6.27</c:v>
                </c:pt>
                <c:pt idx="17">
                  <c:v>6.27</c:v>
                </c:pt>
                <c:pt idx="18">
                  <c:v>6.27</c:v>
                </c:pt>
                <c:pt idx="19">
                  <c:v>6.27</c:v>
                </c:pt>
                <c:pt idx="20">
                  <c:v>6.27</c:v>
                </c:pt>
                <c:pt idx="21">
                  <c:v>6.27</c:v>
                </c:pt>
                <c:pt idx="22">
                  <c:v>6.27</c:v>
                </c:pt>
                <c:pt idx="23">
                  <c:v>6.27</c:v>
                </c:pt>
                <c:pt idx="24">
                  <c:v>6.17</c:v>
                </c:pt>
                <c:pt idx="25">
                  <c:v>6.17</c:v>
                </c:pt>
                <c:pt idx="26">
                  <c:v>6.17</c:v>
                </c:pt>
                <c:pt idx="27">
                  <c:v>6.17</c:v>
                </c:pt>
                <c:pt idx="28">
                  <c:v>6.17</c:v>
                </c:pt>
                <c:pt idx="29">
                  <c:v>6.17</c:v>
                </c:pt>
                <c:pt idx="30">
                  <c:v>6.17</c:v>
                </c:pt>
                <c:pt idx="31">
                  <c:v>6.17</c:v>
                </c:pt>
                <c:pt idx="32">
                  <c:v>6.18</c:v>
                </c:pt>
                <c:pt idx="33">
                  <c:v>6.18</c:v>
                </c:pt>
                <c:pt idx="34">
                  <c:v>6.18</c:v>
                </c:pt>
                <c:pt idx="35">
                  <c:v>6.18</c:v>
                </c:pt>
                <c:pt idx="36">
                  <c:v>6.18</c:v>
                </c:pt>
                <c:pt idx="37">
                  <c:v>6.18</c:v>
                </c:pt>
                <c:pt idx="38">
                  <c:v>6.01</c:v>
                </c:pt>
                <c:pt idx="39">
                  <c:v>6.01</c:v>
                </c:pt>
                <c:pt idx="40">
                  <c:v>6.01</c:v>
                </c:pt>
                <c:pt idx="41">
                  <c:v>6.01</c:v>
                </c:pt>
                <c:pt idx="42">
                  <c:v>6.01</c:v>
                </c:pt>
                <c:pt idx="43">
                  <c:v>6.01</c:v>
                </c:pt>
                <c:pt idx="44">
                  <c:v>7.15</c:v>
                </c:pt>
                <c:pt idx="45">
                  <c:v>5.2</c:v>
                </c:pt>
                <c:pt idx="46">
                  <c:v>5.2</c:v>
                </c:pt>
                <c:pt idx="47">
                  <c:v>7.15</c:v>
                </c:pt>
                <c:pt idx="48">
                  <c:v>7.15</c:v>
                </c:pt>
                <c:pt idx="49">
                  <c:v>7.15</c:v>
                </c:pt>
                <c:pt idx="50">
                  <c:v>7.15</c:v>
                </c:pt>
                <c:pt idx="51">
                  <c:v>7.15</c:v>
                </c:pt>
                <c:pt idx="52">
                  <c:v>7.15</c:v>
                </c:pt>
                <c:pt idx="53">
                  <c:v>7.15</c:v>
                </c:pt>
                <c:pt idx="54">
                  <c:v>7.15</c:v>
                </c:pt>
                <c:pt idx="55">
                  <c:v>7.15</c:v>
                </c:pt>
                <c:pt idx="56">
                  <c:v>7.15</c:v>
                </c:pt>
                <c:pt idx="57">
                  <c:v>7.15</c:v>
                </c:pt>
                <c:pt idx="58">
                  <c:v>7.15</c:v>
                </c:pt>
                <c:pt idx="59">
                  <c:v>7.15</c:v>
                </c:pt>
                <c:pt idx="60">
                  <c:v>7.15</c:v>
                </c:pt>
                <c:pt idx="61">
                  <c:v>7.15</c:v>
                </c:pt>
                <c:pt idx="62">
                  <c:v>7.15</c:v>
                </c:pt>
                <c:pt idx="63">
                  <c:v>7.15</c:v>
                </c:pt>
                <c:pt idx="64">
                  <c:v>7.15</c:v>
                </c:pt>
                <c:pt idx="65">
                  <c:v>5.95</c:v>
                </c:pt>
                <c:pt idx="66">
                  <c:v>5.95</c:v>
                </c:pt>
                <c:pt idx="67">
                  <c:v>5.95</c:v>
                </c:pt>
                <c:pt idx="68">
                  <c:v>5.95</c:v>
                </c:pt>
                <c:pt idx="69">
                  <c:v>5.95</c:v>
                </c:pt>
                <c:pt idx="70">
                  <c:v>5.95</c:v>
                </c:pt>
                <c:pt idx="71">
                  <c:v>5.95</c:v>
                </c:pt>
                <c:pt idx="72">
                  <c:v>5.95</c:v>
                </c:pt>
                <c:pt idx="73">
                  <c:v>5.95</c:v>
                </c:pt>
                <c:pt idx="74">
                  <c:v>5.95</c:v>
                </c:pt>
                <c:pt idx="75">
                  <c:v>5.95</c:v>
                </c:pt>
                <c:pt idx="76">
                  <c:v>5.36</c:v>
                </c:pt>
                <c:pt idx="77">
                  <c:v>5.36</c:v>
                </c:pt>
                <c:pt idx="78">
                  <c:v>5.36</c:v>
                </c:pt>
                <c:pt idx="79">
                  <c:v>5.36</c:v>
                </c:pt>
                <c:pt idx="80">
                  <c:v>5.36</c:v>
                </c:pt>
                <c:pt idx="81">
                  <c:v>5.36</c:v>
                </c:pt>
                <c:pt idx="82">
                  <c:v>5.36</c:v>
                </c:pt>
                <c:pt idx="83">
                  <c:v>5.36</c:v>
                </c:pt>
                <c:pt idx="84">
                  <c:v>5.36</c:v>
                </c:pt>
                <c:pt idx="85">
                  <c:v>5.38</c:v>
                </c:pt>
                <c:pt idx="86">
                  <c:v>5.38</c:v>
                </c:pt>
                <c:pt idx="87">
                  <c:v>5.38</c:v>
                </c:pt>
                <c:pt idx="88">
                  <c:v>5.38</c:v>
                </c:pt>
                <c:pt idx="89">
                  <c:v>5.81</c:v>
                </c:pt>
                <c:pt idx="90">
                  <c:v>5.81</c:v>
                </c:pt>
                <c:pt idx="91">
                  <c:v>5.81</c:v>
                </c:pt>
                <c:pt idx="92">
                  <c:v>5.81</c:v>
                </c:pt>
                <c:pt idx="93">
                  <c:v>5.81</c:v>
                </c:pt>
                <c:pt idx="94">
                  <c:v>5.81</c:v>
                </c:pt>
                <c:pt idx="95">
                  <c:v>5.81</c:v>
                </c:pt>
                <c:pt idx="96">
                  <c:v>5.81</c:v>
                </c:pt>
                <c:pt idx="97">
                  <c:v>5.81</c:v>
                </c:pt>
                <c:pt idx="98">
                  <c:v>5.81</c:v>
                </c:pt>
                <c:pt idx="99">
                  <c:v>5.81</c:v>
                </c:pt>
                <c:pt idx="100">
                  <c:v>5.81</c:v>
                </c:pt>
                <c:pt idx="101">
                  <c:v>5.81</c:v>
                </c:pt>
                <c:pt idx="102">
                  <c:v>5.81</c:v>
                </c:pt>
                <c:pt idx="103">
                  <c:v>5.81</c:v>
                </c:pt>
                <c:pt idx="104">
                  <c:v>5.81</c:v>
                </c:pt>
                <c:pt idx="105">
                  <c:v>5.81</c:v>
                </c:pt>
                <c:pt idx="106">
                  <c:v>5.81</c:v>
                </c:pt>
                <c:pt idx="107">
                  <c:v>4.75</c:v>
                </c:pt>
                <c:pt idx="108">
                  <c:v>4.75</c:v>
                </c:pt>
                <c:pt idx="109">
                  <c:v>4.75</c:v>
                </c:pt>
                <c:pt idx="110">
                  <c:v>4.75</c:v>
                </c:pt>
                <c:pt idx="111">
                  <c:v>4.75</c:v>
                </c:pt>
                <c:pt idx="112">
                  <c:v>6.52</c:v>
                </c:pt>
                <c:pt idx="113">
                  <c:v>6.52</c:v>
                </c:pt>
                <c:pt idx="114">
                  <c:v>6.52</c:v>
                </c:pt>
                <c:pt idx="115">
                  <c:v>6.52</c:v>
                </c:pt>
                <c:pt idx="116">
                  <c:v>6.52</c:v>
                </c:pt>
                <c:pt idx="117">
                  <c:v>6.52</c:v>
                </c:pt>
                <c:pt idx="118">
                  <c:v>6.52</c:v>
                </c:pt>
                <c:pt idx="119">
                  <c:v>6.52</c:v>
                </c:pt>
                <c:pt idx="120">
                  <c:v>6.52</c:v>
                </c:pt>
                <c:pt idx="121">
                  <c:v>6.52</c:v>
                </c:pt>
                <c:pt idx="122">
                  <c:v>6.52</c:v>
                </c:pt>
                <c:pt idx="123">
                  <c:v>6.52</c:v>
                </c:pt>
                <c:pt idx="124">
                  <c:v>6.89</c:v>
                </c:pt>
                <c:pt idx="125">
                  <c:v>6.89</c:v>
                </c:pt>
                <c:pt idx="126">
                  <c:v>6.89</c:v>
                </c:pt>
                <c:pt idx="127">
                  <c:v>6.89</c:v>
                </c:pt>
                <c:pt idx="128">
                  <c:v>6.13</c:v>
                </c:pt>
                <c:pt idx="129">
                  <c:v>6.13</c:v>
                </c:pt>
                <c:pt idx="130">
                  <c:v>6.13</c:v>
                </c:pt>
                <c:pt idx="131">
                  <c:v>6.13</c:v>
                </c:pt>
                <c:pt idx="132">
                  <c:v>6.13</c:v>
                </c:pt>
                <c:pt idx="133">
                  <c:v>6.13</c:v>
                </c:pt>
                <c:pt idx="134">
                  <c:v>6.56</c:v>
                </c:pt>
                <c:pt idx="135">
                  <c:v>6.56</c:v>
                </c:pt>
                <c:pt idx="136">
                  <c:v>7.25</c:v>
                </c:pt>
                <c:pt idx="137">
                  <c:v>7.25</c:v>
                </c:pt>
                <c:pt idx="138">
                  <c:v>7.25</c:v>
                </c:pt>
                <c:pt idx="139">
                  <c:v>7.25</c:v>
                </c:pt>
                <c:pt idx="140">
                  <c:v>8.16</c:v>
                </c:pt>
                <c:pt idx="141">
                  <c:v>8.16</c:v>
                </c:pt>
                <c:pt idx="142">
                  <c:v>8.16</c:v>
                </c:pt>
                <c:pt idx="143">
                  <c:v>8.16</c:v>
                </c:pt>
                <c:pt idx="144">
                  <c:v>11.59</c:v>
                </c:pt>
                <c:pt idx="145">
                  <c:v>11.59</c:v>
                </c:pt>
                <c:pt idx="146">
                  <c:v>11.59</c:v>
                </c:pt>
                <c:pt idx="147">
                  <c:v>11.59</c:v>
                </c:pt>
                <c:pt idx="148">
                  <c:v>11.59</c:v>
                </c:pt>
                <c:pt idx="149">
                  <c:v>11.59</c:v>
                </c:pt>
                <c:pt idx="150">
                  <c:v>8.93</c:v>
                </c:pt>
                <c:pt idx="151">
                  <c:v>8.93</c:v>
                </c:pt>
                <c:pt idx="152">
                  <c:v>8.93</c:v>
                </c:pt>
                <c:pt idx="153">
                  <c:v>8.93</c:v>
                </c:pt>
                <c:pt idx="154">
                  <c:v>8.93</c:v>
                </c:pt>
                <c:pt idx="155">
                  <c:v>8.93</c:v>
                </c:pt>
                <c:pt idx="156">
                  <c:v>8.93</c:v>
                </c:pt>
                <c:pt idx="157">
                  <c:v>8.93</c:v>
                </c:pt>
                <c:pt idx="158">
                  <c:v>9.61</c:v>
                </c:pt>
                <c:pt idx="159">
                  <c:v>9.61</c:v>
                </c:pt>
                <c:pt idx="160">
                  <c:v>9.61</c:v>
                </c:pt>
                <c:pt idx="161">
                  <c:v>9.61</c:v>
                </c:pt>
                <c:pt idx="162">
                  <c:v>9.61</c:v>
                </c:pt>
                <c:pt idx="163">
                  <c:v>10.87</c:v>
                </c:pt>
                <c:pt idx="164">
                  <c:v>10.87</c:v>
                </c:pt>
                <c:pt idx="165">
                  <c:v>10.99</c:v>
                </c:pt>
                <c:pt idx="166">
                  <c:v>10.99</c:v>
                </c:pt>
                <c:pt idx="167">
                  <c:v>10.99</c:v>
                </c:pt>
                <c:pt idx="168">
                  <c:v>12.73</c:v>
                </c:pt>
                <c:pt idx="169">
                  <c:v>12.73</c:v>
                </c:pt>
                <c:pt idx="170">
                  <c:v>12.73</c:v>
                </c:pt>
                <c:pt idx="171">
                  <c:v>8.7200000000000006</c:v>
                </c:pt>
                <c:pt idx="172">
                  <c:v>8.7200000000000006</c:v>
                </c:pt>
                <c:pt idx="173">
                  <c:v>8.7200000000000006</c:v>
                </c:pt>
                <c:pt idx="174">
                  <c:v>8.7200000000000006</c:v>
                </c:pt>
                <c:pt idx="175">
                  <c:v>8.7200000000000006</c:v>
                </c:pt>
                <c:pt idx="176">
                  <c:v>8.7200000000000006</c:v>
                </c:pt>
                <c:pt idx="177">
                  <c:v>9.25</c:v>
                </c:pt>
                <c:pt idx="178">
                  <c:v>9.25</c:v>
                </c:pt>
                <c:pt idx="179">
                  <c:v>9.25</c:v>
                </c:pt>
                <c:pt idx="180">
                  <c:v>9.25</c:v>
                </c:pt>
                <c:pt idx="181">
                  <c:v>9.25</c:v>
                </c:pt>
                <c:pt idx="182">
                  <c:v>9.25</c:v>
                </c:pt>
                <c:pt idx="183">
                  <c:v>9.25</c:v>
                </c:pt>
                <c:pt idx="184">
                  <c:v>9.25</c:v>
                </c:pt>
                <c:pt idx="185">
                  <c:v>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97-4A74-A1EC-7FDE74363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'Top5 Monthly'!$J$1:$P$1</c:f>
          <c:strCache>
            <c:ptCount val="7"/>
            <c:pt idx="0">
              <c:v>FOCUS TOP 5 forecast for IPCA of Oct/21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'Top5 Monthly'!$E$3</c:f>
              <c:strCache>
                <c:ptCount val="1"/>
                <c:pt idx="0">
                  <c:v>Minimum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Monthly'!$E$4:$E$189</c:f>
              <c:numCache>
                <c:formatCode>General</c:formatCode>
                <c:ptCount val="18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0.34</c:v>
                </c:pt>
                <c:pt idx="6">
                  <c:v>0.34</c:v>
                </c:pt>
                <c:pt idx="7">
                  <c:v>0.34</c:v>
                </c:pt>
                <c:pt idx="8">
                  <c:v>0.34</c:v>
                </c:pt>
                <c:pt idx="9">
                  <c:v>0.34</c:v>
                </c:pt>
                <c:pt idx="10">
                  <c:v>0.34</c:v>
                </c:pt>
                <c:pt idx="11">
                  <c:v>0.34</c:v>
                </c:pt>
                <c:pt idx="12">
                  <c:v>0.34</c:v>
                </c:pt>
                <c:pt idx="13">
                  <c:v>0.34</c:v>
                </c:pt>
                <c:pt idx="14">
                  <c:v>0.32</c:v>
                </c:pt>
                <c:pt idx="15">
                  <c:v>0.32</c:v>
                </c:pt>
                <c:pt idx="16">
                  <c:v>0.34</c:v>
                </c:pt>
                <c:pt idx="17">
                  <c:v>0.34</c:v>
                </c:pt>
                <c:pt idx="18">
                  <c:v>0.34</c:v>
                </c:pt>
                <c:pt idx="19">
                  <c:v>0.34</c:v>
                </c:pt>
                <c:pt idx="20">
                  <c:v>0.34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0.4</c:v>
                </c:pt>
                <c:pt idx="43">
                  <c:v>0.41</c:v>
                </c:pt>
                <c:pt idx="44">
                  <c:v>0.4</c:v>
                </c:pt>
                <c:pt idx="45">
                  <c:v>0.4</c:v>
                </c:pt>
                <c:pt idx="46">
                  <c:v>0.41</c:v>
                </c:pt>
                <c:pt idx="47">
                  <c:v>0.41</c:v>
                </c:pt>
                <c:pt idx="48">
                  <c:v>0.41</c:v>
                </c:pt>
                <c:pt idx="49">
                  <c:v>0.41</c:v>
                </c:pt>
                <c:pt idx="50">
                  <c:v>0.41</c:v>
                </c:pt>
                <c:pt idx="51">
                  <c:v>0.41</c:v>
                </c:pt>
                <c:pt idx="52">
                  <c:v>0.41</c:v>
                </c:pt>
                <c:pt idx="53">
                  <c:v>0.41</c:v>
                </c:pt>
                <c:pt idx="54">
                  <c:v>0.41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0.4</c:v>
                </c:pt>
                <c:pt idx="71">
                  <c:v>0.4</c:v>
                </c:pt>
                <c:pt idx="72">
                  <c:v>0.61</c:v>
                </c:pt>
                <c:pt idx="73">
                  <c:v>0.61</c:v>
                </c:pt>
                <c:pt idx="74">
                  <c:v>0.61</c:v>
                </c:pt>
                <c:pt idx="75">
                  <c:v>0.61</c:v>
                </c:pt>
                <c:pt idx="76">
                  <c:v>0.61</c:v>
                </c:pt>
                <c:pt idx="77">
                  <c:v>0.61</c:v>
                </c:pt>
                <c:pt idx="78">
                  <c:v>0.61</c:v>
                </c:pt>
                <c:pt idx="79">
                  <c:v>0.84</c:v>
                </c:pt>
                <c:pt idx="80">
                  <c:v>0.84</c:v>
                </c:pt>
                <c:pt idx="81">
                  <c:v>0.84</c:v>
                </c:pt>
                <c:pt idx="82">
                  <c:v>0.84</c:v>
                </c:pt>
                <c:pt idx="83">
                  <c:v>0.84</c:v>
                </c:pt>
                <c:pt idx="84">
                  <c:v>0.84</c:v>
                </c:pt>
                <c:pt idx="85">
                  <c:v>0.84</c:v>
                </c:pt>
                <c:pt idx="86">
                  <c:v>0.84</c:v>
                </c:pt>
                <c:pt idx="87">
                  <c:v>0.84</c:v>
                </c:pt>
                <c:pt idx="88">
                  <c:v>0.84</c:v>
                </c:pt>
                <c:pt idx="89">
                  <c:v>0.95</c:v>
                </c:pt>
                <c:pt idx="90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4-4161-B0CB-F2AA374369F8}"/>
            </c:ext>
          </c:extLst>
        </c:ser>
        <c:ser>
          <c:idx val="2"/>
          <c:order val="1"/>
          <c:tx>
            <c:strRef>
              <c:f>'Top5 Monthly'!$F$3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Monthly'!$F$4:$F$189</c:f>
              <c:numCache>
                <c:formatCode>General</c:formatCode>
                <c:ptCount val="186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0.375</c:v>
                </c:pt>
                <c:pt idx="6">
                  <c:v>0.36499999999999999</c:v>
                </c:pt>
                <c:pt idx="7">
                  <c:v>0.36</c:v>
                </c:pt>
                <c:pt idx="8">
                  <c:v>0.36</c:v>
                </c:pt>
                <c:pt idx="9">
                  <c:v>0.36</c:v>
                </c:pt>
                <c:pt idx="10">
                  <c:v>0.36</c:v>
                </c:pt>
                <c:pt idx="11">
                  <c:v>0.36</c:v>
                </c:pt>
                <c:pt idx="12">
                  <c:v>0.36</c:v>
                </c:pt>
                <c:pt idx="13">
                  <c:v>0.36</c:v>
                </c:pt>
                <c:pt idx="14">
                  <c:v>0.35</c:v>
                </c:pt>
                <c:pt idx="15">
                  <c:v>0.35</c:v>
                </c:pt>
                <c:pt idx="16">
                  <c:v>0.36</c:v>
                </c:pt>
                <c:pt idx="17">
                  <c:v>0.36</c:v>
                </c:pt>
                <c:pt idx="18">
                  <c:v>0.36</c:v>
                </c:pt>
                <c:pt idx="19">
                  <c:v>0.36</c:v>
                </c:pt>
                <c:pt idx="20">
                  <c:v>0.36</c:v>
                </c:pt>
                <c:pt idx="21">
                  <c:v>0.35</c:v>
                </c:pt>
                <c:pt idx="22">
                  <c:v>0.35</c:v>
                </c:pt>
                <c:pt idx="23">
                  <c:v>0.37</c:v>
                </c:pt>
                <c:pt idx="24">
                  <c:v>0.37</c:v>
                </c:pt>
                <c:pt idx="25">
                  <c:v>0.37</c:v>
                </c:pt>
                <c:pt idx="26">
                  <c:v>0.38500000000000001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0.37</c:v>
                </c:pt>
                <c:pt idx="30">
                  <c:v>0.37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0.47</c:v>
                </c:pt>
                <c:pt idx="43">
                  <c:v>0.55000000000000004</c:v>
                </c:pt>
                <c:pt idx="44">
                  <c:v>0.47</c:v>
                </c:pt>
                <c:pt idx="45">
                  <c:v>0.47</c:v>
                </c:pt>
                <c:pt idx="46">
                  <c:v>0.53</c:v>
                </c:pt>
                <c:pt idx="47">
                  <c:v>0.55000000000000004</c:v>
                </c:pt>
                <c:pt idx="48">
                  <c:v>0.55000000000000004</c:v>
                </c:pt>
                <c:pt idx="49">
                  <c:v>0.53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0.59</c:v>
                </c:pt>
                <c:pt idx="56">
                  <c:v>0.59</c:v>
                </c:pt>
                <c:pt idx="57">
                  <c:v>0.59</c:v>
                </c:pt>
                <c:pt idx="58">
                  <c:v>0.59</c:v>
                </c:pt>
                <c:pt idx="59">
                  <c:v>0.59</c:v>
                </c:pt>
                <c:pt idx="60">
                  <c:v>0.61</c:v>
                </c:pt>
                <c:pt idx="61">
                  <c:v>0.61</c:v>
                </c:pt>
                <c:pt idx="62">
                  <c:v>0.61</c:v>
                </c:pt>
                <c:pt idx="63">
                  <c:v>0.61</c:v>
                </c:pt>
                <c:pt idx="64">
                  <c:v>0.61</c:v>
                </c:pt>
                <c:pt idx="65">
                  <c:v>0.61</c:v>
                </c:pt>
                <c:pt idx="66">
                  <c:v>0.61</c:v>
                </c:pt>
                <c:pt idx="67">
                  <c:v>0.61</c:v>
                </c:pt>
                <c:pt idx="68">
                  <c:v>0.61</c:v>
                </c:pt>
                <c:pt idx="69">
                  <c:v>0.61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0.68</c:v>
                </c:pt>
                <c:pt idx="75">
                  <c:v>0.71499999999999997</c:v>
                </c:pt>
                <c:pt idx="76">
                  <c:v>0.71499999999999997</c:v>
                </c:pt>
                <c:pt idx="77">
                  <c:v>0.71499999999999997</c:v>
                </c:pt>
                <c:pt idx="78">
                  <c:v>0.71499999999999997</c:v>
                </c:pt>
                <c:pt idx="79">
                  <c:v>0.88</c:v>
                </c:pt>
                <c:pt idx="80">
                  <c:v>0.88</c:v>
                </c:pt>
                <c:pt idx="81">
                  <c:v>0.9</c:v>
                </c:pt>
                <c:pt idx="82">
                  <c:v>0.9</c:v>
                </c:pt>
                <c:pt idx="83">
                  <c:v>0.9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1.08</c:v>
                </c:pt>
                <c:pt idx="90">
                  <c:v>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64-4161-B0CB-F2AA374369F8}"/>
            </c:ext>
          </c:extLst>
        </c:ser>
        <c:ser>
          <c:idx val="3"/>
          <c:order val="2"/>
          <c:tx>
            <c:strRef>
              <c:f>'Top5 Monthly'!$G$3</c:f>
              <c:strCache>
                <c:ptCount val="1"/>
                <c:pt idx="0">
                  <c:v>Maximum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Monthly'!$G$4:$G$189</c:f>
              <c:numCache>
                <c:formatCode>General</c:formatCode>
                <c:ptCount val="186"/>
                <c:pt idx="0">
                  <c:v>0.39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0.64</c:v>
                </c:pt>
                <c:pt idx="17">
                  <c:v>0.64</c:v>
                </c:pt>
                <c:pt idx="18">
                  <c:v>0.64</c:v>
                </c:pt>
                <c:pt idx="19">
                  <c:v>0.64</c:v>
                </c:pt>
                <c:pt idx="20">
                  <c:v>0.64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0.42</c:v>
                </c:pt>
                <c:pt idx="29">
                  <c:v>0.42</c:v>
                </c:pt>
                <c:pt idx="30">
                  <c:v>0.42</c:v>
                </c:pt>
                <c:pt idx="31">
                  <c:v>0.52</c:v>
                </c:pt>
                <c:pt idx="32">
                  <c:v>0.52</c:v>
                </c:pt>
                <c:pt idx="33">
                  <c:v>0.52</c:v>
                </c:pt>
                <c:pt idx="34">
                  <c:v>0.52</c:v>
                </c:pt>
                <c:pt idx="35">
                  <c:v>0.52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0.61</c:v>
                </c:pt>
                <c:pt idx="50">
                  <c:v>0.61</c:v>
                </c:pt>
                <c:pt idx="51">
                  <c:v>0.64</c:v>
                </c:pt>
                <c:pt idx="52">
                  <c:v>0.64</c:v>
                </c:pt>
                <c:pt idx="53">
                  <c:v>0.65</c:v>
                </c:pt>
                <c:pt idx="54">
                  <c:v>0.73</c:v>
                </c:pt>
                <c:pt idx="55">
                  <c:v>0.73</c:v>
                </c:pt>
                <c:pt idx="56">
                  <c:v>0.73</c:v>
                </c:pt>
                <c:pt idx="57">
                  <c:v>0.73</c:v>
                </c:pt>
                <c:pt idx="58">
                  <c:v>0.73</c:v>
                </c:pt>
                <c:pt idx="59">
                  <c:v>0.73</c:v>
                </c:pt>
                <c:pt idx="60">
                  <c:v>0.73</c:v>
                </c:pt>
                <c:pt idx="61">
                  <c:v>0.73</c:v>
                </c:pt>
                <c:pt idx="62">
                  <c:v>0.73</c:v>
                </c:pt>
                <c:pt idx="63">
                  <c:v>0.73</c:v>
                </c:pt>
                <c:pt idx="64">
                  <c:v>0.73</c:v>
                </c:pt>
                <c:pt idx="65">
                  <c:v>0.77</c:v>
                </c:pt>
                <c:pt idx="66">
                  <c:v>0.77</c:v>
                </c:pt>
                <c:pt idx="67">
                  <c:v>0.77</c:v>
                </c:pt>
                <c:pt idx="68">
                  <c:v>0.77</c:v>
                </c:pt>
                <c:pt idx="69">
                  <c:v>0.77</c:v>
                </c:pt>
                <c:pt idx="70">
                  <c:v>0.68</c:v>
                </c:pt>
                <c:pt idx="71">
                  <c:v>0.68</c:v>
                </c:pt>
                <c:pt idx="72">
                  <c:v>0.78</c:v>
                </c:pt>
                <c:pt idx="73">
                  <c:v>0.78</c:v>
                </c:pt>
                <c:pt idx="74">
                  <c:v>0.82</c:v>
                </c:pt>
                <c:pt idx="75">
                  <c:v>0.82</c:v>
                </c:pt>
                <c:pt idx="76">
                  <c:v>0.82</c:v>
                </c:pt>
                <c:pt idx="77">
                  <c:v>0.86</c:v>
                </c:pt>
                <c:pt idx="78">
                  <c:v>0.86</c:v>
                </c:pt>
                <c:pt idx="79">
                  <c:v>0.95</c:v>
                </c:pt>
                <c:pt idx="80">
                  <c:v>0.95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1.08</c:v>
                </c:pt>
                <c:pt idx="85">
                  <c:v>1.08</c:v>
                </c:pt>
                <c:pt idx="86">
                  <c:v>1.08</c:v>
                </c:pt>
                <c:pt idx="87">
                  <c:v>1.08</c:v>
                </c:pt>
                <c:pt idx="88">
                  <c:v>1.08</c:v>
                </c:pt>
                <c:pt idx="89">
                  <c:v>1.0900000000000001</c:v>
                </c:pt>
                <c:pt idx="90">
                  <c:v>1.0900000000000001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64-4161-B0CB-F2AA37436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'Top5 Annual'!$J$1:$P$1</c:f>
          <c:strCache>
            <c:ptCount val="7"/>
            <c:pt idx="0">
              <c:v>FOCUS TOP 5 forecast for IPCA of 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'Top5 Annual'!$E$3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Annual'!$E$4:$E$461</c:f>
              <c:numCache>
                <c:formatCode>General</c:formatCode>
                <c:ptCount val="458"/>
                <c:pt idx="0">
                  <c:v>2.99</c:v>
                </c:pt>
                <c:pt idx="1">
                  <c:v>2.99</c:v>
                </c:pt>
                <c:pt idx="2">
                  <c:v>2.99</c:v>
                </c:pt>
                <c:pt idx="3">
                  <c:v>2.99</c:v>
                </c:pt>
                <c:pt idx="4">
                  <c:v>2.99</c:v>
                </c:pt>
                <c:pt idx="5">
                  <c:v>2.99</c:v>
                </c:pt>
                <c:pt idx="6">
                  <c:v>2.99</c:v>
                </c:pt>
                <c:pt idx="7">
                  <c:v>3.36</c:v>
                </c:pt>
                <c:pt idx="8">
                  <c:v>2.99</c:v>
                </c:pt>
                <c:pt idx="9">
                  <c:v>2.99</c:v>
                </c:pt>
                <c:pt idx="10">
                  <c:v>3.36</c:v>
                </c:pt>
                <c:pt idx="11">
                  <c:v>3.36</c:v>
                </c:pt>
                <c:pt idx="12">
                  <c:v>3.36</c:v>
                </c:pt>
                <c:pt idx="13">
                  <c:v>3.36</c:v>
                </c:pt>
                <c:pt idx="14">
                  <c:v>3.5</c:v>
                </c:pt>
                <c:pt idx="15">
                  <c:v>3.5</c:v>
                </c:pt>
                <c:pt idx="16">
                  <c:v>3.55</c:v>
                </c:pt>
                <c:pt idx="17">
                  <c:v>3.55</c:v>
                </c:pt>
                <c:pt idx="18">
                  <c:v>3.55</c:v>
                </c:pt>
                <c:pt idx="19">
                  <c:v>3.55</c:v>
                </c:pt>
                <c:pt idx="20">
                  <c:v>3.55</c:v>
                </c:pt>
                <c:pt idx="21">
                  <c:v>3.55</c:v>
                </c:pt>
                <c:pt idx="22">
                  <c:v>3.55</c:v>
                </c:pt>
                <c:pt idx="23">
                  <c:v>3.55</c:v>
                </c:pt>
                <c:pt idx="24">
                  <c:v>3.55</c:v>
                </c:pt>
                <c:pt idx="25">
                  <c:v>3.55</c:v>
                </c:pt>
                <c:pt idx="26">
                  <c:v>3.45</c:v>
                </c:pt>
                <c:pt idx="27">
                  <c:v>3.45</c:v>
                </c:pt>
                <c:pt idx="28">
                  <c:v>3.45</c:v>
                </c:pt>
                <c:pt idx="29">
                  <c:v>3.67</c:v>
                </c:pt>
                <c:pt idx="30">
                  <c:v>3.77</c:v>
                </c:pt>
                <c:pt idx="31">
                  <c:v>3.77</c:v>
                </c:pt>
                <c:pt idx="32">
                  <c:v>3.87</c:v>
                </c:pt>
                <c:pt idx="33">
                  <c:v>3.87</c:v>
                </c:pt>
                <c:pt idx="34">
                  <c:v>3.87</c:v>
                </c:pt>
                <c:pt idx="35">
                  <c:v>3.87</c:v>
                </c:pt>
                <c:pt idx="36">
                  <c:v>3.87</c:v>
                </c:pt>
                <c:pt idx="37">
                  <c:v>3.87</c:v>
                </c:pt>
                <c:pt idx="38">
                  <c:v>3.87</c:v>
                </c:pt>
                <c:pt idx="39">
                  <c:v>3.87</c:v>
                </c:pt>
                <c:pt idx="40">
                  <c:v>3.87</c:v>
                </c:pt>
                <c:pt idx="41">
                  <c:v>3.87</c:v>
                </c:pt>
                <c:pt idx="42">
                  <c:v>3.87</c:v>
                </c:pt>
                <c:pt idx="43">
                  <c:v>3.87</c:v>
                </c:pt>
                <c:pt idx="44">
                  <c:v>3.87</c:v>
                </c:pt>
                <c:pt idx="45">
                  <c:v>3.87</c:v>
                </c:pt>
                <c:pt idx="46">
                  <c:v>4.33</c:v>
                </c:pt>
                <c:pt idx="47">
                  <c:v>4.92</c:v>
                </c:pt>
                <c:pt idx="48">
                  <c:v>4.92</c:v>
                </c:pt>
                <c:pt idx="49">
                  <c:v>4.92</c:v>
                </c:pt>
                <c:pt idx="50">
                  <c:v>4.92</c:v>
                </c:pt>
                <c:pt idx="51">
                  <c:v>4.92</c:v>
                </c:pt>
                <c:pt idx="52">
                  <c:v>4.92</c:v>
                </c:pt>
                <c:pt idx="53">
                  <c:v>4.92</c:v>
                </c:pt>
                <c:pt idx="54">
                  <c:v>4.92</c:v>
                </c:pt>
                <c:pt idx="55">
                  <c:v>4.92</c:v>
                </c:pt>
                <c:pt idx="56">
                  <c:v>4.92</c:v>
                </c:pt>
                <c:pt idx="57">
                  <c:v>4.92</c:v>
                </c:pt>
                <c:pt idx="58">
                  <c:v>4.92</c:v>
                </c:pt>
                <c:pt idx="59">
                  <c:v>4.9241999999999999</c:v>
                </c:pt>
                <c:pt idx="60">
                  <c:v>4.9241999999999999</c:v>
                </c:pt>
                <c:pt idx="61">
                  <c:v>4.9241999999999999</c:v>
                </c:pt>
                <c:pt idx="62">
                  <c:v>4.9241999999999999</c:v>
                </c:pt>
                <c:pt idx="63">
                  <c:v>4.9241999999999999</c:v>
                </c:pt>
                <c:pt idx="64">
                  <c:v>4.9241999999999999</c:v>
                </c:pt>
                <c:pt idx="65">
                  <c:v>4.6939000000000002</c:v>
                </c:pt>
                <c:pt idx="66">
                  <c:v>4.6939000000000002</c:v>
                </c:pt>
                <c:pt idx="67">
                  <c:v>4.6939000000000002</c:v>
                </c:pt>
                <c:pt idx="68">
                  <c:v>4.6939000000000002</c:v>
                </c:pt>
                <c:pt idx="69">
                  <c:v>4.8196000000000003</c:v>
                </c:pt>
                <c:pt idx="70">
                  <c:v>5.1018999999999997</c:v>
                </c:pt>
                <c:pt idx="71">
                  <c:v>5.1018999999999997</c:v>
                </c:pt>
                <c:pt idx="72">
                  <c:v>5.1018999999999997</c:v>
                </c:pt>
                <c:pt idx="73">
                  <c:v>5.1018999999999997</c:v>
                </c:pt>
                <c:pt idx="74">
                  <c:v>4.9341999999999997</c:v>
                </c:pt>
                <c:pt idx="75">
                  <c:v>4.9341999999999997</c:v>
                </c:pt>
                <c:pt idx="76">
                  <c:v>4.9341999999999997</c:v>
                </c:pt>
                <c:pt idx="77">
                  <c:v>4.9341999999999997</c:v>
                </c:pt>
                <c:pt idx="78">
                  <c:v>4.9341999999999997</c:v>
                </c:pt>
                <c:pt idx="79">
                  <c:v>4.9341999999999997</c:v>
                </c:pt>
                <c:pt idx="80">
                  <c:v>4.9341999999999997</c:v>
                </c:pt>
                <c:pt idx="81">
                  <c:v>4.9341999999999997</c:v>
                </c:pt>
                <c:pt idx="82">
                  <c:v>4.9341999999999997</c:v>
                </c:pt>
                <c:pt idx="83">
                  <c:v>4.9341999999999997</c:v>
                </c:pt>
                <c:pt idx="84">
                  <c:v>4.9341999999999997</c:v>
                </c:pt>
                <c:pt idx="85">
                  <c:v>4.9341999999999997</c:v>
                </c:pt>
                <c:pt idx="86">
                  <c:v>5.1230000000000002</c:v>
                </c:pt>
                <c:pt idx="87">
                  <c:v>5.1230000000000002</c:v>
                </c:pt>
                <c:pt idx="88">
                  <c:v>5.1230000000000002</c:v>
                </c:pt>
                <c:pt idx="89">
                  <c:v>5.2804000000000002</c:v>
                </c:pt>
                <c:pt idx="90">
                  <c:v>5.2804000000000002</c:v>
                </c:pt>
                <c:pt idx="91">
                  <c:v>5.2804000000000002</c:v>
                </c:pt>
                <c:pt idx="92">
                  <c:v>5.2804000000000002</c:v>
                </c:pt>
                <c:pt idx="93">
                  <c:v>5.2804000000000002</c:v>
                </c:pt>
                <c:pt idx="94">
                  <c:v>5.2804000000000002</c:v>
                </c:pt>
                <c:pt idx="95">
                  <c:v>5.2804000000000002</c:v>
                </c:pt>
                <c:pt idx="96">
                  <c:v>5.2804000000000002</c:v>
                </c:pt>
                <c:pt idx="97">
                  <c:v>5.2804000000000002</c:v>
                </c:pt>
                <c:pt idx="98">
                  <c:v>5.2804000000000002</c:v>
                </c:pt>
                <c:pt idx="99">
                  <c:v>5.2804000000000002</c:v>
                </c:pt>
                <c:pt idx="100">
                  <c:v>5.4367000000000001</c:v>
                </c:pt>
                <c:pt idx="101">
                  <c:v>4.92</c:v>
                </c:pt>
                <c:pt idx="102">
                  <c:v>5.4367000000000001</c:v>
                </c:pt>
                <c:pt idx="103">
                  <c:v>5.9318</c:v>
                </c:pt>
                <c:pt idx="104">
                  <c:v>5.6692</c:v>
                </c:pt>
                <c:pt idx="105">
                  <c:v>5.6692</c:v>
                </c:pt>
                <c:pt idx="106">
                  <c:v>5.6692</c:v>
                </c:pt>
                <c:pt idx="107">
                  <c:v>5.1632999999999996</c:v>
                </c:pt>
                <c:pt idx="108">
                  <c:v>5.1632999999999996</c:v>
                </c:pt>
                <c:pt idx="109">
                  <c:v>5.1632999999999996</c:v>
                </c:pt>
                <c:pt idx="110">
                  <c:v>5.3204000000000002</c:v>
                </c:pt>
                <c:pt idx="111">
                  <c:v>5.3204000000000002</c:v>
                </c:pt>
                <c:pt idx="112">
                  <c:v>5.3204000000000002</c:v>
                </c:pt>
                <c:pt idx="113">
                  <c:v>5.2889999999999997</c:v>
                </c:pt>
                <c:pt idx="114">
                  <c:v>5.2889999999999997</c:v>
                </c:pt>
                <c:pt idx="115">
                  <c:v>5.2889999999999997</c:v>
                </c:pt>
                <c:pt idx="116">
                  <c:v>5.6470000000000002</c:v>
                </c:pt>
                <c:pt idx="117">
                  <c:v>5.6470000000000002</c:v>
                </c:pt>
                <c:pt idx="118">
                  <c:v>5.6470000000000002</c:v>
                </c:pt>
                <c:pt idx="119">
                  <c:v>5.6470000000000002</c:v>
                </c:pt>
                <c:pt idx="120">
                  <c:v>5.6470000000000002</c:v>
                </c:pt>
                <c:pt idx="121">
                  <c:v>5.6470000000000002</c:v>
                </c:pt>
                <c:pt idx="122">
                  <c:v>5.6470000000000002</c:v>
                </c:pt>
                <c:pt idx="123">
                  <c:v>5.6470000000000002</c:v>
                </c:pt>
                <c:pt idx="124">
                  <c:v>5.6470000000000002</c:v>
                </c:pt>
                <c:pt idx="125">
                  <c:v>5.6470000000000002</c:v>
                </c:pt>
                <c:pt idx="126">
                  <c:v>5.6470000000000002</c:v>
                </c:pt>
                <c:pt idx="127">
                  <c:v>5.6470000000000002</c:v>
                </c:pt>
                <c:pt idx="128">
                  <c:v>6.3883999999999999</c:v>
                </c:pt>
                <c:pt idx="129">
                  <c:v>6.3883999999999999</c:v>
                </c:pt>
                <c:pt idx="130">
                  <c:v>6.3883999999999999</c:v>
                </c:pt>
                <c:pt idx="131">
                  <c:v>6.3883999999999999</c:v>
                </c:pt>
                <c:pt idx="132">
                  <c:v>6.3883999999999999</c:v>
                </c:pt>
                <c:pt idx="133">
                  <c:v>6.3883999999999999</c:v>
                </c:pt>
                <c:pt idx="134">
                  <c:v>6.3883999999999999</c:v>
                </c:pt>
                <c:pt idx="135">
                  <c:v>6.3883999999999999</c:v>
                </c:pt>
                <c:pt idx="136">
                  <c:v>6.3883999999999999</c:v>
                </c:pt>
                <c:pt idx="137">
                  <c:v>6.3883999999999999</c:v>
                </c:pt>
                <c:pt idx="138">
                  <c:v>6.3883999999999999</c:v>
                </c:pt>
                <c:pt idx="139">
                  <c:v>6.9638999999999998</c:v>
                </c:pt>
                <c:pt idx="140">
                  <c:v>6.9638999999999998</c:v>
                </c:pt>
                <c:pt idx="141">
                  <c:v>6.9638999999999998</c:v>
                </c:pt>
                <c:pt idx="142">
                  <c:v>6.9638999999999998</c:v>
                </c:pt>
                <c:pt idx="143">
                  <c:v>6.9638999999999998</c:v>
                </c:pt>
                <c:pt idx="144">
                  <c:v>7.0327000000000002</c:v>
                </c:pt>
                <c:pt idx="145">
                  <c:v>7.0327000000000002</c:v>
                </c:pt>
                <c:pt idx="146">
                  <c:v>7.0327000000000002</c:v>
                </c:pt>
                <c:pt idx="147">
                  <c:v>7.0327000000000002</c:v>
                </c:pt>
                <c:pt idx="148">
                  <c:v>7.0327000000000002</c:v>
                </c:pt>
                <c:pt idx="149">
                  <c:v>7.0327000000000002</c:v>
                </c:pt>
                <c:pt idx="150">
                  <c:v>7.0327000000000002</c:v>
                </c:pt>
                <c:pt idx="151">
                  <c:v>7.0221</c:v>
                </c:pt>
                <c:pt idx="152">
                  <c:v>7.0221</c:v>
                </c:pt>
                <c:pt idx="153">
                  <c:v>7.0221</c:v>
                </c:pt>
                <c:pt idx="154">
                  <c:v>7.0221</c:v>
                </c:pt>
                <c:pt idx="155">
                  <c:v>7.0221</c:v>
                </c:pt>
                <c:pt idx="156">
                  <c:v>7.0221</c:v>
                </c:pt>
                <c:pt idx="157">
                  <c:v>7.0221</c:v>
                </c:pt>
                <c:pt idx="158">
                  <c:v>7.0221</c:v>
                </c:pt>
                <c:pt idx="159">
                  <c:v>7.0221</c:v>
                </c:pt>
                <c:pt idx="160">
                  <c:v>7.0221</c:v>
                </c:pt>
                <c:pt idx="161">
                  <c:v>7.0221</c:v>
                </c:pt>
                <c:pt idx="162">
                  <c:v>7.0221</c:v>
                </c:pt>
                <c:pt idx="163">
                  <c:v>7.0221</c:v>
                </c:pt>
                <c:pt idx="164">
                  <c:v>7.0221</c:v>
                </c:pt>
                <c:pt idx="165">
                  <c:v>7.1721000000000004</c:v>
                </c:pt>
                <c:pt idx="166">
                  <c:v>8.0595999999999997</c:v>
                </c:pt>
                <c:pt idx="167">
                  <c:v>7.1721000000000004</c:v>
                </c:pt>
                <c:pt idx="168">
                  <c:v>7.1721000000000004</c:v>
                </c:pt>
                <c:pt idx="169">
                  <c:v>7.7384000000000004</c:v>
                </c:pt>
                <c:pt idx="170">
                  <c:v>8.0595999999999997</c:v>
                </c:pt>
                <c:pt idx="171">
                  <c:v>8.0595999999999997</c:v>
                </c:pt>
                <c:pt idx="172">
                  <c:v>8.1245999999999992</c:v>
                </c:pt>
                <c:pt idx="173">
                  <c:v>8.1245999999999992</c:v>
                </c:pt>
                <c:pt idx="174">
                  <c:v>8.3385999999999996</c:v>
                </c:pt>
                <c:pt idx="175">
                  <c:v>8.3385999999999996</c:v>
                </c:pt>
                <c:pt idx="176">
                  <c:v>8.3385999999999996</c:v>
                </c:pt>
                <c:pt idx="177">
                  <c:v>8.3385999999999996</c:v>
                </c:pt>
                <c:pt idx="178">
                  <c:v>8.5211000000000006</c:v>
                </c:pt>
                <c:pt idx="179">
                  <c:v>8.5211000000000006</c:v>
                </c:pt>
                <c:pt idx="180">
                  <c:v>8.5211000000000006</c:v>
                </c:pt>
                <c:pt idx="181">
                  <c:v>8.5211000000000006</c:v>
                </c:pt>
                <c:pt idx="182">
                  <c:v>8.5211000000000006</c:v>
                </c:pt>
                <c:pt idx="183">
                  <c:v>8.5211000000000006</c:v>
                </c:pt>
                <c:pt idx="184">
                  <c:v>8.5211000000000006</c:v>
                </c:pt>
                <c:pt idx="185">
                  <c:v>8.5211000000000006</c:v>
                </c:pt>
                <c:pt idx="186">
                  <c:v>8.5211000000000006</c:v>
                </c:pt>
                <c:pt idx="187">
                  <c:v>8.5211000000000006</c:v>
                </c:pt>
                <c:pt idx="188">
                  <c:v>8.5211000000000006</c:v>
                </c:pt>
                <c:pt idx="189">
                  <c:v>8.5211000000000006</c:v>
                </c:pt>
                <c:pt idx="190">
                  <c:v>8.5211000000000006</c:v>
                </c:pt>
                <c:pt idx="191">
                  <c:v>8.5211000000000006</c:v>
                </c:pt>
                <c:pt idx="192">
                  <c:v>8.5211000000000006</c:v>
                </c:pt>
                <c:pt idx="193">
                  <c:v>8.7805</c:v>
                </c:pt>
                <c:pt idx="194">
                  <c:v>8.7805</c:v>
                </c:pt>
                <c:pt idx="195">
                  <c:v>8.7805</c:v>
                </c:pt>
                <c:pt idx="196">
                  <c:v>8.7805</c:v>
                </c:pt>
                <c:pt idx="197">
                  <c:v>8.7802000000000007</c:v>
                </c:pt>
                <c:pt idx="198">
                  <c:v>8.7802000000000007</c:v>
                </c:pt>
                <c:pt idx="199">
                  <c:v>8.7802000000000007</c:v>
                </c:pt>
                <c:pt idx="200">
                  <c:v>8.7802000000000007</c:v>
                </c:pt>
                <c:pt idx="201">
                  <c:v>8.7802000000000007</c:v>
                </c:pt>
                <c:pt idx="202">
                  <c:v>9.0075000000000003</c:v>
                </c:pt>
                <c:pt idx="203">
                  <c:v>9.0075000000000003</c:v>
                </c:pt>
                <c:pt idx="204">
                  <c:v>9.3221000000000007</c:v>
                </c:pt>
                <c:pt idx="205">
                  <c:v>9.3221000000000007</c:v>
                </c:pt>
                <c:pt idx="206">
                  <c:v>9.3221000000000007</c:v>
                </c:pt>
                <c:pt idx="207">
                  <c:v>9.4519000000000002</c:v>
                </c:pt>
                <c:pt idx="208">
                  <c:v>9.4519000000000002</c:v>
                </c:pt>
                <c:pt idx="209">
                  <c:v>9.4519000000000002</c:v>
                </c:pt>
                <c:pt idx="210">
                  <c:v>9.4519000000000002</c:v>
                </c:pt>
                <c:pt idx="211">
                  <c:v>9.4519000000000002</c:v>
                </c:pt>
                <c:pt idx="212">
                  <c:v>9.6476000000000006</c:v>
                </c:pt>
                <c:pt idx="213">
                  <c:v>9.6476000000000006</c:v>
                </c:pt>
                <c:pt idx="214">
                  <c:v>9.9192</c:v>
                </c:pt>
                <c:pt idx="215">
                  <c:v>9.9192</c:v>
                </c:pt>
                <c:pt idx="216">
                  <c:v>9.9192</c:v>
                </c:pt>
                <c:pt idx="217">
                  <c:v>9.9192</c:v>
                </c:pt>
                <c:pt idx="218">
                  <c:v>9.9192</c:v>
                </c:pt>
                <c:pt idx="219">
                  <c:v>9.9192</c:v>
                </c:pt>
                <c:pt idx="220">
                  <c:v>10.060499999999999</c:v>
                </c:pt>
                <c:pt idx="221">
                  <c:v>10.060499999999999</c:v>
                </c:pt>
                <c:pt idx="222">
                  <c:v>10.060499999999999</c:v>
                </c:pt>
                <c:pt idx="223">
                  <c:v>10.060499999999999</c:v>
                </c:pt>
                <c:pt idx="224">
                  <c:v>10.060499999999999</c:v>
                </c:pt>
                <c:pt idx="225">
                  <c:v>10.0822</c:v>
                </c:pt>
                <c:pt idx="226">
                  <c:v>10.0822</c:v>
                </c:pt>
                <c:pt idx="227">
                  <c:v>10.0822</c:v>
                </c:pt>
                <c:pt idx="228">
                  <c:v>10.0822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A7-4BCD-BF38-417EDA9D17ED}"/>
            </c:ext>
          </c:extLst>
        </c:ser>
        <c:ser>
          <c:idx val="2"/>
          <c:order val="1"/>
          <c:tx>
            <c:strRef>
              <c:f>'Top5 Annual'!$F$3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Annual'!$F$4:$F$461</c:f>
              <c:numCache>
                <c:formatCode>General</c:formatCode>
                <c:ptCount val="458"/>
                <c:pt idx="0">
                  <c:v>3.33</c:v>
                </c:pt>
                <c:pt idx="1">
                  <c:v>3.25</c:v>
                </c:pt>
                <c:pt idx="2">
                  <c:v>3.25</c:v>
                </c:pt>
                <c:pt idx="3">
                  <c:v>3.25</c:v>
                </c:pt>
                <c:pt idx="4">
                  <c:v>3.33</c:v>
                </c:pt>
                <c:pt idx="5">
                  <c:v>3.33</c:v>
                </c:pt>
                <c:pt idx="6">
                  <c:v>3.32</c:v>
                </c:pt>
                <c:pt idx="7">
                  <c:v>3.75</c:v>
                </c:pt>
                <c:pt idx="8">
                  <c:v>3.43</c:v>
                </c:pt>
                <c:pt idx="9">
                  <c:v>3.33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  <c:pt idx="13">
                  <c:v>3.75</c:v>
                </c:pt>
                <c:pt idx="14">
                  <c:v>3.75</c:v>
                </c:pt>
                <c:pt idx="15">
                  <c:v>3.75</c:v>
                </c:pt>
                <c:pt idx="16">
                  <c:v>3.75</c:v>
                </c:pt>
                <c:pt idx="17">
                  <c:v>3.75</c:v>
                </c:pt>
                <c:pt idx="18">
                  <c:v>3.75</c:v>
                </c:pt>
                <c:pt idx="19">
                  <c:v>3.75</c:v>
                </c:pt>
                <c:pt idx="20">
                  <c:v>3.75</c:v>
                </c:pt>
                <c:pt idx="21">
                  <c:v>3.75</c:v>
                </c:pt>
                <c:pt idx="22">
                  <c:v>3.75</c:v>
                </c:pt>
                <c:pt idx="23">
                  <c:v>3.75</c:v>
                </c:pt>
                <c:pt idx="24">
                  <c:v>3.75</c:v>
                </c:pt>
                <c:pt idx="25">
                  <c:v>3.75</c:v>
                </c:pt>
                <c:pt idx="26">
                  <c:v>3.76</c:v>
                </c:pt>
                <c:pt idx="27">
                  <c:v>3.76</c:v>
                </c:pt>
                <c:pt idx="28">
                  <c:v>3.76</c:v>
                </c:pt>
                <c:pt idx="29">
                  <c:v>3.78</c:v>
                </c:pt>
                <c:pt idx="30">
                  <c:v>3.83</c:v>
                </c:pt>
                <c:pt idx="31">
                  <c:v>3.83</c:v>
                </c:pt>
                <c:pt idx="32">
                  <c:v>4.18</c:v>
                </c:pt>
                <c:pt idx="33">
                  <c:v>4.18</c:v>
                </c:pt>
                <c:pt idx="34">
                  <c:v>4.18</c:v>
                </c:pt>
                <c:pt idx="35">
                  <c:v>4.18</c:v>
                </c:pt>
                <c:pt idx="36">
                  <c:v>4.18</c:v>
                </c:pt>
                <c:pt idx="37">
                  <c:v>4.18</c:v>
                </c:pt>
                <c:pt idx="38">
                  <c:v>4.18</c:v>
                </c:pt>
                <c:pt idx="39">
                  <c:v>4.18</c:v>
                </c:pt>
                <c:pt idx="40">
                  <c:v>4.18</c:v>
                </c:pt>
                <c:pt idx="41">
                  <c:v>4.18</c:v>
                </c:pt>
                <c:pt idx="42">
                  <c:v>4.18</c:v>
                </c:pt>
                <c:pt idx="43">
                  <c:v>4.3099999999999996</c:v>
                </c:pt>
                <c:pt idx="44">
                  <c:v>4.3099999999999996</c:v>
                </c:pt>
                <c:pt idx="45">
                  <c:v>4.3099999999999996</c:v>
                </c:pt>
                <c:pt idx="46">
                  <c:v>4.8499999999999996</c:v>
                </c:pt>
                <c:pt idx="47">
                  <c:v>5.12</c:v>
                </c:pt>
                <c:pt idx="48">
                  <c:v>5.12</c:v>
                </c:pt>
                <c:pt idx="49">
                  <c:v>5.12</c:v>
                </c:pt>
                <c:pt idx="50">
                  <c:v>5.12</c:v>
                </c:pt>
                <c:pt idx="51">
                  <c:v>5.12</c:v>
                </c:pt>
                <c:pt idx="52">
                  <c:v>5.15</c:v>
                </c:pt>
                <c:pt idx="53">
                  <c:v>5.15</c:v>
                </c:pt>
                <c:pt idx="54">
                  <c:v>5.15</c:v>
                </c:pt>
                <c:pt idx="55">
                  <c:v>5.15</c:v>
                </c:pt>
                <c:pt idx="56">
                  <c:v>5.15</c:v>
                </c:pt>
                <c:pt idx="57">
                  <c:v>5.15</c:v>
                </c:pt>
                <c:pt idx="58">
                  <c:v>5.15</c:v>
                </c:pt>
                <c:pt idx="59">
                  <c:v>5.1481000000000003</c:v>
                </c:pt>
                <c:pt idx="60">
                  <c:v>5.1378000000000004</c:v>
                </c:pt>
                <c:pt idx="61">
                  <c:v>5.1378000000000004</c:v>
                </c:pt>
                <c:pt idx="62">
                  <c:v>5.1378000000000004</c:v>
                </c:pt>
                <c:pt idx="63">
                  <c:v>5.1378000000000004</c:v>
                </c:pt>
                <c:pt idx="64">
                  <c:v>5.1378000000000004</c:v>
                </c:pt>
                <c:pt idx="65">
                  <c:v>4.9866999999999999</c:v>
                </c:pt>
                <c:pt idx="66">
                  <c:v>5.1028000000000002</c:v>
                </c:pt>
                <c:pt idx="67">
                  <c:v>5.1028000000000002</c:v>
                </c:pt>
                <c:pt idx="68">
                  <c:v>5.1028000000000002</c:v>
                </c:pt>
                <c:pt idx="69">
                  <c:v>5.1657000000000002</c:v>
                </c:pt>
                <c:pt idx="70">
                  <c:v>5.2595000000000001</c:v>
                </c:pt>
                <c:pt idx="71">
                  <c:v>5.2595000000000001</c:v>
                </c:pt>
                <c:pt idx="72">
                  <c:v>5.2595000000000001</c:v>
                </c:pt>
                <c:pt idx="73">
                  <c:v>5.2595000000000001</c:v>
                </c:pt>
                <c:pt idx="74">
                  <c:v>5.2492000000000001</c:v>
                </c:pt>
                <c:pt idx="75">
                  <c:v>5.2492000000000001</c:v>
                </c:pt>
                <c:pt idx="76">
                  <c:v>5.2492000000000001</c:v>
                </c:pt>
                <c:pt idx="77">
                  <c:v>5.2492000000000001</c:v>
                </c:pt>
                <c:pt idx="78">
                  <c:v>5.2492000000000001</c:v>
                </c:pt>
                <c:pt idx="79">
                  <c:v>5.2766999999999999</c:v>
                </c:pt>
                <c:pt idx="80">
                  <c:v>5.2766999999999999</c:v>
                </c:pt>
                <c:pt idx="81">
                  <c:v>5.2766999999999999</c:v>
                </c:pt>
                <c:pt idx="82">
                  <c:v>5.2766999999999999</c:v>
                </c:pt>
                <c:pt idx="83">
                  <c:v>5.2766999999999999</c:v>
                </c:pt>
                <c:pt idx="84">
                  <c:v>5.2766999999999999</c:v>
                </c:pt>
                <c:pt idx="85">
                  <c:v>5.2766999999999999</c:v>
                </c:pt>
                <c:pt idx="86">
                  <c:v>5.3236999999999997</c:v>
                </c:pt>
                <c:pt idx="87">
                  <c:v>5.3236999999999997</c:v>
                </c:pt>
                <c:pt idx="88">
                  <c:v>5.3236999999999997</c:v>
                </c:pt>
                <c:pt idx="89">
                  <c:v>5.4268999999999998</c:v>
                </c:pt>
                <c:pt idx="90">
                  <c:v>5.4268999999999998</c:v>
                </c:pt>
                <c:pt idx="91">
                  <c:v>5.4268999999999998</c:v>
                </c:pt>
                <c:pt idx="92">
                  <c:v>5.4268999999999998</c:v>
                </c:pt>
                <c:pt idx="93">
                  <c:v>5.4268999999999998</c:v>
                </c:pt>
                <c:pt idx="94">
                  <c:v>5.4268999999999998</c:v>
                </c:pt>
                <c:pt idx="95">
                  <c:v>5.4268999999999998</c:v>
                </c:pt>
                <c:pt idx="96">
                  <c:v>5.4268999999999998</c:v>
                </c:pt>
                <c:pt idx="97">
                  <c:v>5.4268999999999998</c:v>
                </c:pt>
                <c:pt idx="98">
                  <c:v>5.4268999999999998</c:v>
                </c:pt>
                <c:pt idx="99">
                  <c:v>5.4268999999999998</c:v>
                </c:pt>
                <c:pt idx="100">
                  <c:v>5.9847000000000001</c:v>
                </c:pt>
                <c:pt idx="101">
                  <c:v>5.15</c:v>
                </c:pt>
                <c:pt idx="102">
                  <c:v>5.9847000000000001</c:v>
                </c:pt>
                <c:pt idx="103">
                  <c:v>5.9847000000000001</c:v>
                </c:pt>
                <c:pt idx="104">
                  <c:v>5.9844999999999997</c:v>
                </c:pt>
                <c:pt idx="105">
                  <c:v>5.9844999999999997</c:v>
                </c:pt>
                <c:pt idx="106">
                  <c:v>5.9844999999999997</c:v>
                </c:pt>
                <c:pt idx="107">
                  <c:v>5.9631999999999996</c:v>
                </c:pt>
                <c:pt idx="108">
                  <c:v>6.0316999999999998</c:v>
                </c:pt>
                <c:pt idx="109">
                  <c:v>6.3018000000000001</c:v>
                </c:pt>
                <c:pt idx="110">
                  <c:v>6.3018000000000001</c:v>
                </c:pt>
                <c:pt idx="111">
                  <c:v>6.3018000000000001</c:v>
                </c:pt>
                <c:pt idx="112">
                  <c:v>6.3018000000000001</c:v>
                </c:pt>
                <c:pt idx="113">
                  <c:v>6.3018000000000001</c:v>
                </c:pt>
                <c:pt idx="114">
                  <c:v>6.2329999999999997</c:v>
                </c:pt>
                <c:pt idx="115">
                  <c:v>6.2329999999999997</c:v>
                </c:pt>
                <c:pt idx="116">
                  <c:v>6.2329999999999997</c:v>
                </c:pt>
                <c:pt idx="117">
                  <c:v>6.2329999999999997</c:v>
                </c:pt>
                <c:pt idx="118">
                  <c:v>6.2329999999999997</c:v>
                </c:pt>
                <c:pt idx="119">
                  <c:v>6.3440000000000003</c:v>
                </c:pt>
                <c:pt idx="120">
                  <c:v>6.3440000000000003</c:v>
                </c:pt>
                <c:pt idx="121">
                  <c:v>6.3440000000000003</c:v>
                </c:pt>
                <c:pt idx="122">
                  <c:v>6.3440000000000003</c:v>
                </c:pt>
                <c:pt idx="123">
                  <c:v>6.3440000000000003</c:v>
                </c:pt>
                <c:pt idx="124">
                  <c:v>6.4981999999999998</c:v>
                </c:pt>
                <c:pt idx="125">
                  <c:v>6.4981999999999998</c:v>
                </c:pt>
                <c:pt idx="126">
                  <c:v>6.4981999999999998</c:v>
                </c:pt>
                <c:pt idx="127">
                  <c:v>6.4981999999999998</c:v>
                </c:pt>
                <c:pt idx="128">
                  <c:v>6.7203999999999997</c:v>
                </c:pt>
                <c:pt idx="129">
                  <c:v>6.7415000000000003</c:v>
                </c:pt>
                <c:pt idx="130">
                  <c:v>6.7678000000000003</c:v>
                </c:pt>
                <c:pt idx="131">
                  <c:v>6.7678000000000003</c:v>
                </c:pt>
                <c:pt idx="132">
                  <c:v>6.7678000000000003</c:v>
                </c:pt>
                <c:pt idx="133">
                  <c:v>6.7678000000000003</c:v>
                </c:pt>
                <c:pt idx="134">
                  <c:v>6.7678000000000003</c:v>
                </c:pt>
                <c:pt idx="135">
                  <c:v>6.7678000000000003</c:v>
                </c:pt>
                <c:pt idx="136">
                  <c:v>6.7678000000000003</c:v>
                </c:pt>
                <c:pt idx="137">
                  <c:v>6.7462</c:v>
                </c:pt>
                <c:pt idx="138">
                  <c:v>6.8048000000000002</c:v>
                </c:pt>
                <c:pt idx="139">
                  <c:v>7.1401000000000003</c:v>
                </c:pt>
                <c:pt idx="140">
                  <c:v>7.1401000000000003</c:v>
                </c:pt>
                <c:pt idx="141">
                  <c:v>7.1401000000000003</c:v>
                </c:pt>
                <c:pt idx="142">
                  <c:v>7.1401000000000003</c:v>
                </c:pt>
                <c:pt idx="143">
                  <c:v>7.1401000000000003</c:v>
                </c:pt>
                <c:pt idx="144">
                  <c:v>7.22</c:v>
                </c:pt>
                <c:pt idx="145">
                  <c:v>7.22</c:v>
                </c:pt>
                <c:pt idx="146">
                  <c:v>7.2201000000000004</c:v>
                </c:pt>
                <c:pt idx="147">
                  <c:v>7.2201000000000004</c:v>
                </c:pt>
                <c:pt idx="148">
                  <c:v>7.2201000000000004</c:v>
                </c:pt>
                <c:pt idx="149">
                  <c:v>7.2952000000000004</c:v>
                </c:pt>
                <c:pt idx="150">
                  <c:v>7.2952000000000004</c:v>
                </c:pt>
                <c:pt idx="151">
                  <c:v>7.3</c:v>
                </c:pt>
                <c:pt idx="152">
                  <c:v>7.3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7.7384000000000004</c:v>
                </c:pt>
                <c:pt idx="166">
                  <c:v>8.1887000000000008</c:v>
                </c:pt>
                <c:pt idx="167">
                  <c:v>7.7384000000000004</c:v>
                </c:pt>
                <c:pt idx="168">
                  <c:v>7.7384000000000004</c:v>
                </c:pt>
                <c:pt idx="169">
                  <c:v>8.1564999999999994</c:v>
                </c:pt>
                <c:pt idx="170">
                  <c:v>8.1887000000000008</c:v>
                </c:pt>
                <c:pt idx="171">
                  <c:v>8.1887000000000008</c:v>
                </c:pt>
                <c:pt idx="172">
                  <c:v>8.3712</c:v>
                </c:pt>
                <c:pt idx="173">
                  <c:v>8.3712</c:v>
                </c:pt>
                <c:pt idx="174">
                  <c:v>8.4463000000000008</c:v>
                </c:pt>
                <c:pt idx="175">
                  <c:v>8.4463000000000008</c:v>
                </c:pt>
                <c:pt idx="176">
                  <c:v>8.6402000000000001</c:v>
                </c:pt>
                <c:pt idx="177">
                  <c:v>8.6402000000000001</c:v>
                </c:pt>
                <c:pt idx="178">
                  <c:v>8.5968</c:v>
                </c:pt>
                <c:pt idx="179">
                  <c:v>8.6077999999999992</c:v>
                </c:pt>
                <c:pt idx="180">
                  <c:v>8.6077999999999992</c:v>
                </c:pt>
                <c:pt idx="181">
                  <c:v>8.6077999999999992</c:v>
                </c:pt>
                <c:pt idx="182">
                  <c:v>8.6077999999999992</c:v>
                </c:pt>
                <c:pt idx="183">
                  <c:v>8.8338999999999999</c:v>
                </c:pt>
                <c:pt idx="184">
                  <c:v>8.8338999999999999</c:v>
                </c:pt>
                <c:pt idx="185">
                  <c:v>8.8338999999999999</c:v>
                </c:pt>
                <c:pt idx="186">
                  <c:v>8.8338999999999999</c:v>
                </c:pt>
                <c:pt idx="187">
                  <c:v>8.8338999999999999</c:v>
                </c:pt>
                <c:pt idx="188">
                  <c:v>8.9095999999999993</c:v>
                </c:pt>
                <c:pt idx="189">
                  <c:v>8.9095999999999993</c:v>
                </c:pt>
                <c:pt idx="190">
                  <c:v>8.9095999999999993</c:v>
                </c:pt>
                <c:pt idx="191">
                  <c:v>8.9095999999999993</c:v>
                </c:pt>
                <c:pt idx="192">
                  <c:v>8.9095999999999993</c:v>
                </c:pt>
                <c:pt idx="193">
                  <c:v>8.8343000000000007</c:v>
                </c:pt>
                <c:pt idx="194">
                  <c:v>8.8343000000000007</c:v>
                </c:pt>
                <c:pt idx="195">
                  <c:v>8.8451000000000004</c:v>
                </c:pt>
                <c:pt idx="196">
                  <c:v>8.8451000000000004</c:v>
                </c:pt>
                <c:pt idx="197">
                  <c:v>8.8451000000000004</c:v>
                </c:pt>
                <c:pt idx="198">
                  <c:v>8.8397000000000006</c:v>
                </c:pt>
                <c:pt idx="199">
                  <c:v>8.8397000000000006</c:v>
                </c:pt>
                <c:pt idx="200">
                  <c:v>8.8397000000000006</c:v>
                </c:pt>
                <c:pt idx="201">
                  <c:v>8.8397000000000006</c:v>
                </c:pt>
                <c:pt idx="202">
                  <c:v>9.4519000000000002</c:v>
                </c:pt>
                <c:pt idx="203">
                  <c:v>9.4519000000000002</c:v>
                </c:pt>
                <c:pt idx="204">
                  <c:v>9.5066000000000006</c:v>
                </c:pt>
                <c:pt idx="205">
                  <c:v>9.5066000000000006</c:v>
                </c:pt>
                <c:pt idx="206">
                  <c:v>9.5066000000000006</c:v>
                </c:pt>
                <c:pt idx="207">
                  <c:v>9.6478000000000002</c:v>
                </c:pt>
                <c:pt idx="208">
                  <c:v>9.6478000000000002</c:v>
                </c:pt>
                <c:pt idx="209">
                  <c:v>9.6478000000000002</c:v>
                </c:pt>
                <c:pt idx="210">
                  <c:v>9.6478000000000002</c:v>
                </c:pt>
                <c:pt idx="211">
                  <c:v>9.6478000000000002</c:v>
                </c:pt>
                <c:pt idx="212">
                  <c:v>9.6588999999999992</c:v>
                </c:pt>
                <c:pt idx="213">
                  <c:v>9.6588999999999992</c:v>
                </c:pt>
                <c:pt idx="214">
                  <c:v>10.148099999999999</c:v>
                </c:pt>
                <c:pt idx="215">
                  <c:v>10.148099999999999</c:v>
                </c:pt>
                <c:pt idx="216">
                  <c:v>10.148099999999999</c:v>
                </c:pt>
                <c:pt idx="217">
                  <c:v>10.2681</c:v>
                </c:pt>
                <c:pt idx="218">
                  <c:v>10.2681</c:v>
                </c:pt>
                <c:pt idx="219">
                  <c:v>10.2681</c:v>
                </c:pt>
                <c:pt idx="220">
                  <c:v>10.388400000000001</c:v>
                </c:pt>
                <c:pt idx="221">
                  <c:v>10.388400000000001</c:v>
                </c:pt>
                <c:pt idx="222">
                  <c:v>10.388400000000001</c:v>
                </c:pt>
                <c:pt idx="223">
                  <c:v>10.388400000000001</c:v>
                </c:pt>
                <c:pt idx="224">
                  <c:v>10.388400000000001</c:v>
                </c:pt>
                <c:pt idx="225">
                  <c:v>10.388400000000001</c:v>
                </c:pt>
                <c:pt idx="226">
                  <c:v>10.388400000000001</c:v>
                </c:pt>
                <c:pt idx="227">
                  <c:v>10.388400000000001</c:v>
                </c:pt>
                <c:pt idx="228">
                  <c:v>10.388400000000001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7-4BCD-BF38-417EDA9D17ED}"/>
            </c:ext>
          </c:extLst>
        </c:ser>
        <c:ser>
          <c:idx val="3"/>
          <c:order val="2"/>
          <c:tx>
            <c:strRef>
              <c:f>'Top5 Annual'!$G$3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Annual'!$G$4:$G$461</c:f>
              <c:numCache>
                <c:formatCode>General</c:formatCode>
                <c:ptCount val="458"/>
                <c:pt idx="0">
                  <c:v>3.38</c:v>
                </c:pt>
                <c:pt idx="1">
                  <c:v>3.38</c:v>
                </c:pt>
                <c:pt idx="2">
                  <c:v>3.38</c:v>
                </c:pt>
                <c:pt idx="3">
                  <c:v>3.38</c:v>
                </c:pt>
                <c:pt idx="4">
                  <c:v>3.7</c:v>
                </c:pt>
                <c:pt idx="5">
                  <c:v>3.7</c:v>
                </c:pt>
                <c:pt idx="6">
                  <c:v>3.7</c:v>
                </c:pt>
                <c:pt idx="7">
                  <c:v>3.89</c:v>
                </c:pt>
                <c:pt idx="8">
                  <c:v>3.7</c:v>
                </c:pt>
                <c:pt idx="9">
                  <c:v>3.7</c:v>
                </c:pt>
                <c:pt idx="10">
                  <c:v>3.89</c:v>
                </c:pt>
                <c:pt idx="11">
                  <c:v>3.89</c:v>
                </c:pt>
                <c:pt idx="12">
                  <c:v>3.89</c:v>
                </c:pt>
                <c:pt idx="13">
                  <c:v>3.89</c:v>
                </c:pt>
                <c:pt idx="14">
                  <c:v>3.97</c:v>
                </c:pt>
                <c:pt idx="15">
                  <c:v>3.97</c:v>
                </c:pt>
                <c:pt idx="16">
                  <c:v>3.97</c:v>
                </c:pt>
                <c:pt idx="17">
                  <c:v>3.97</c:v>
                </c:pt>
                <c:pt idx="18">
                  <c:v>3.97</c:v>
                </c:pt>
                <c:pt idx="19">
                  <c:v>3.96</c:v>
                </c:pt>
                <c:pt idx="20">
                  <c:v>3.96</c:v>
                </c:pt>
                <c:pt idx="21">
                  <c:v>3.96</c:v>
                </c:pt>
                <c:pt idx="22">
                  <c:v>3.96</c:v>
                </c:pt>
                <c:pt idx="23">
                  <c:v>3.96</c:v>
                </c:pt>
                <c:pt idx="24">
                  <c:v>4.21</c:v>
                </c:pt>
                <c:pt idx="25">
                  <c:v>4.21</c:v>
                </c:pt>
                <c:pt idx="26">
                  <c:v>4.1399999999999997</c:v>
                </c:pt>
                <c:pt idx="27">
                  <c:v>4.1399999999999997</c:v>
                </c:pt>
                <c:pt idx="28">
                  <c:v>4.1399999999999997</c:v>
                </c:pt>
                <c:pt idx="29">
                  <c:v>4.03</c:v>
                </c:pt>
                <c:pt idx="30">
                  <c:v>4.03</c:v>
                </c:pt>
                <c:pt idx="31">
                  <c:v>4.03</c:v>
                </c:pt>
                <c:pt idx="32">
                  <c:v>4.3099999999999996</c:v>
                </c:pt>
                <c:pt idx="33">
                  <c:v>4.3099999999999996</c:v>
                </c:pt>
                <c:pt idx="34">
                  <c:v>4.3099999999999996</c:v>
                </c:pt>
                <c:pt idx="35">
                  <c:v>4.3099999999999996</c:v>
                </c:pt>
                <c:pt idx="36">
                  <c:v>4.3099999999999996</c:v>
                </c:pt>
                <c:pt idx="37">
                  <c:v>4.3099999999999996</c:v>
                </c:pt>
                <c:pt idx="38">
                  <c:v>4.3099999999999996</c:v>
                </c:pt>
                <c:pt idx="39">
                  <c:v>4.3099999999999996</c:v>
                </c:pt>
                <c:pt idx="40">
                  <c:v>4.3099999999999996</c:v>
                </c:pt>
                <c:pt idx="41">
                  <c:v>4.3099999999999996</c:v>
                </c:pt>
                <c:pt idx="42">
                  <c:v>4.5199999999999996</c:v>
                </c:pt>
                <c:pt idx="43">
                  <c:v>4.63</c:v>
                </c:pt>
                <c:pt idx="44">
                  <c:v>4.63</c:v>
                </c:pt>
                <c:pt idx="45">
                  <c:v>4.63</c:v>
                </c:pt>
                <c:pt idx="46">
                  <c:v>5.42</c:v>
                </c:pt>
                <c:pt idx="47">
                  <c:v>5.54</c:v>
                </c:pt>
                <c:pt idx="48">
                  <c:v>5.54</c:v>
                </c:pt>
                <c:pt idx="49">
                  <c:v>5.54</c:v>
                </c:pt>
                <c:pt idx="50">
                  <c:v>5.54</c:v>
                </c:pt>
                <c:pt idx="51">
                  <c:v>5.54</c:v>
                </c:pt>
                <c:pt idx="52">
                  <c:v>5.54</c:v>
                </c:pt>
                <c:pt idx="53">
                  <c:v>5.54</c:v>
                </c:pt>
                <c:pt idx="54">
                  <c:v>5.54</c:v>
                </c:pt>
                <c:pt idx="55">
                  <c:v>5.54</c:v>
                </c:pt>
                <c:pt idx="56">
                  <c:v>5.54</c:v>
                </c:pt>
                <c:pt idx="57">
                  <c:v>5.54</c:v>
                </c:pt>
                <c:pt idx="58">
                  <c:v>5.54</c:v>
                </c:pt>
                <c:pt idx="59">
                  <c:v>5.5382999999999996</c:v>
                </c:pt>
                <c:pt idx="60">
                  <c:v>5.5382999999999996</c:v>
                </c:pt>
                <c:pt idx="61">
                  <c:v>5.5382999999999996</c:v>
                </c:pt>
                <c:pt idx="62">
                  <c:v>5.5382999999999996</c:v>
                </c:pt>
                <c:pt idx="63">
                  <c:v>5.5382999999999996</c:v>
                </c:pt>
                <c:pt idx="64">
                  <c:v>5.5382999999999996</c:v>
                </c:pt>
                <c:pt idx="65">
                  <c:v>5.5317999999999996</c:v>
                </c:pt>
                <c:pt idx="66">
                  <c:v>5.5117000000000003</c:v>
                </c:pt>
                <c:pt idx="67">
                  <c:v>5.5117000000000003</c:v>
                </c:pt>
                <c:pt idx="68">
                  <c:v>5.5117000000000003</c:v>
                </c:pt>
                <c:pt idx="69">
                  <c:v>5.5117000000000003</c:v>
                </c:pt>
                <c:pt idx="70">
                  <c:v>5.4169999999999998</c:v>
                </c:pt>
                <c:pt idx="71">
                  <c:v>5.4169999999999998</c:v>
                </c:pt>
                <c:pt idx="72">
                  <c:v>5.4169999999999998</c:v>
                </c:pt>
                <c:pt idx="73">
                  <c:v>5.4169999999999998</c:v>
                </c:pt>
                <c:pt idx="74">
                  <c:v>5.4897</c:v>
                </c:pt>
                <c:pt idx="75">
                  <c:v>5.4897</c:v>
                </c:pt>
                <c:pt idx="76">
                  <c:v>5.4897</c:v>
                </c:pt>
                <c:pt idx="77">
                  <c:v>5.4897</c:v>
                </c:pt>
                <c:pt idx="78">
                  <c:v>5.4897</c:v>
                </c:pt>
                <c:pt idx="79">
                  <c:v>5.3745000000000003</c:v>
                </c:pt>
                <c:pt idx="80">
                  <c:v>5.3745000000000003</c:v>
                </c:pt>
                <c:pt idx="81">
                  <c:v>5.3745000000000003</c:v>
                </c:pt>
                <c:pt idx="82">
                  <c:v>5.3745000000000003</c:v>
                </c:pt>
                <c:pt idx="83">
                  <c:v>5.3745000000000003</c:v>
                </c:pt>
                <c:pt idx="84">
                  <c:v>5.4374000000000002</c:v>
                </c:pt>
                <c:pt idx="85">
                  <c:v>5.4374000000000002</c:v>
                </c:pt>
                <c:pt idx="86">
                  <c:v>5.6680999999999999</c:v>
                </c:pt>
                <c:pt idx="87">
                  <c:v>5.6680999999999999</c:v>
                </c:pt>
                <c:pt idx="88">
                  <c:v>5.6680999999999999</c:v>
                </c:pt>
                <c:pt idx="89">
                  <c:v>5.6680999999999999</c:v>
                </c:pt>
                <c:pt idx="90">
                  <c:v>5.6680999999999999</c:v>
                </c:pt>
                <c:pt idx="91">
                  <c:v>5.6680999999999999</c:v>
                </c:pt>
                <c:pt idx="92">
                  <c:v>5.6680999999999999</c:v>
                </c:pt>
                <c:pt idx="93">
                  <c:v>5.6680999999999999</c:v>
                </c:pt>
                <c:pt idx="94">
                  <c:v>5.9424000000000001</c:v>
                </c:pt>
                <c:pt idx="95">
                  <c:v>5.9424000000000001</c:v>
                </c:pt>
                <c:pt idx="96">
                  <c:v>5.9424000000000001</c:v>
                </c:pt>
                <c:pt idx="97">
                  <c:v>5.9424000000000001</c:v>
                </c:pt>
                <c:pt idx="98">
                  <c:v>5.9424000000000001</c:v>
                </c:pt>
                <c:pt idx="99">
                  <c:v>6.0907</c:v>
                </c:pt>
                <c:pt idx="100">
                  <c:v>6.0907</c:v>
                </c:pt>
                <c:pt idx="101">
                  <c:v>5.54</c:v>
                </c:pt>
                <c:pt idx="102">
                  <c:v>6.0907</c:v>
                </c:pt>
                <c:pt idx="103">
                  <c:v>6.0907</c:v>
                </c:pt>
                <c:pt idx="104">
                  <c:v>6.1645000000000003</c:v>
                </c:pt>
                <c:pt idx="105">
                  <c:v>6.1645000000000003</c:v>
                </c:pt>
                <c:pt idx="106">
                  <c:v>6.1645000000000003</c:v>
                </c:pt>
                <c:pt idx="107">
                  <c:v>6.2381000000000002</c:v>
                </c:pt>
                <c:pt idx="108">
                  <c:v>6.5029000000000003</c:v>
                </c:pt>
                <c:pt idx="109">
                  <c:v>6.5015999999999998</c:v>
                </c:pt>
                <c:pt idx="110">
                  <c:v>6.5349000000000004</c:v>
                </c:pt>
                <c:pt idx="111">
                  <c:v>6.5349000000000004</c:v>
                </c:pt>
                <c:pt idx="112">
                  <c:v>6.5349000000000004</c:v>
                </c:pt>
                <c:pt idx="113">
                  <c:v>6.5349000000000004</c:v>
                </c:pt>
                <c:pt idx="114">
                  <c:v>6.5015999999999998</c:v>
                </c:pt>
                <c:pt idx="115">
                  <c:v>6.5015999999999998</c:v>
                </c:pt>
                <c:pt idx="116">
                  <c:v>6.5015999999999998</c:v>
                </c:pt>
                <c:pt idx="117">
                  <c:v>6.5015999999999998</c:v>
                </c:pt>
                <c:pt idx="118">
                  <c:v>6.5015999999999998</c:v>
                </c:pt>
                <c:pt idx="119">
                  <c:v>6.6618000000000004</c:v>
                </c:pt>
                <c:pt idx="120">
                  <c:v>6.6618000000000004</c:v>
                </c:pt>
                <c:pt idx="121">
                  <c:v>6.6618000000000004</c:v>
                </c:pt>
                <c:pt idx="122">
                  <c:v>6.6618000000000004</c:v>
                </c:pt>
                <c:pt idx="123">
                  <c:v>6.6618000000000004</c:v>
                </c:pt>
                <c:pt idx="124">
                  <c:v>6.8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6.8102999999999998</c:v>
                </c:pt>
                <c:pt idx="129">
                  <c:v>6.8531000000000004</c:v>
                </c:pt>
                <c:pt idx="130">
                  <c:v>6.8531000000000004</c:v>
                </c:pt>
                <c:pt idx="131">
                  <c:v>6.8531000000000004</c:v>
                </c:pt>
                <c:pt idx="132">
                  <c:v>6.8531000000000004</c:v>
                </c:pt>
                <c:pt idx="133">
                  <c:v>6.8531000000000004</c:v>
                </c:pt>
                <c:pt idx="134">
                  <c:v>6.9593999999999996</c:v>
                </c:pt>
                <c:pt idx="135">
                  <c:v>6.9593999999999996</c:v>
                </c:pt>
                <c:pt idx="136">
                  <c:v>6.9593999999999996</c:v>
                </c:pt>
                <c:pt idx="137">
                  <c:v>6.9593999999999996</c:v>
                </c:pt>
                <c:pt idx="138">
                  <c:v>6.9593999999999996</c:v>
                </c:pt>
                <c:pt idx="139">
                  <c:v>7.7961999999999998</c:v>
                </c:pt>
                <c:pt idx="140">
                  <c:v>7.7961999999999998</c:v>
                </c:pt>
                <c:pt idx="141">
                  <c:v>7.7961999999999998</c:v>
                </c:pt>
                <c:pt idx="142">
                  <c:v>7.7961999999999998</c:v>
                </c:pt>
                <c:pt idx="143">
                  <c:v>7.7961999999999998</c:v>
                </c:pt>
                <c:pt idx="144">
                  <c:v>7.8051000000000004</c:v>
                </c:pt>
                <c:pt idx="145">
                  <c:v>7.8051000000000004</c:v>
                </c:pt>
                <c:pt idx="146">
                  <c:v>7.8051000000000004</c:v>
                </c:pt>
                <c:pt idx="147">
                  <c:v>7.8051000000000004</c:v>
                </c:pt>
                <c:pt idx="148">
                  <c:v>7.8051000000000004</c:v>
                </c:pt>
                <c:pt idx="149">
                  <c:v>7.8051000000000004</c:v>
                </c:pt>
                <c:pt idx="150">
                  <c:v>7.8051000000000004</c:v>
                </c:pt>
                <c:pt idx="151">
                  <c:v>7.5246000000000004</c:v>
                </c:pt>
                <c:pt idx="152">
                  <c:v>7.5246000000000004</c:v>
                </c:pt>
                <c:pt idx="153">
                  <c:v>7.5246000000000004</c:v>
                </c:pt>
                <c:pt idx="154">
                  <c:v>7.8994999999999997</c:v>
                </c:pt>
                <c:pt idx="155">
                  <c:v>7.8994999999999997</c:v>
                </c:pt>
                <c:pt idx="156">
                  <c:v>7.8994999999999997</c:v>
                </c:pt>
                <c:pt idx="157">
                  <c:v>7.8994999999999997</c:v>
                </c:pt>
                <c:pt idx="158">
                  <c:v>7.8994999999999997</c:v>
                </c:pt>
                <c:pt idx="159">
                  <c:v>7.8350999999999997</c:v>
                </c:pt>
                <c:pt idx="160">
                  <c:v>7.8350999999999997</c:v>
                </c:pt>
                <c:pt idx="161">
                  <c:v>7.8350999999999997</c:v>
                </c:pt>
                <c:pt idx="162">
                  <c:v>7.8350999999999997</c:v>
                </c:pt>
                <c:pt idx="163">
                  <c:v>7.8350999999999997</c:v>
                </c:pt>
                <c:pt idx="164">
                  <c:v>8.1463000000000001</c:v>
                </c:pt>
                <c:pt idx="165">
                  <c:v>8.1463000000000001</c:v>
                </c:pt>
                <c:pt idx="166">
                  <c:v>8.3190000000000008</c:v>
                </c:pt>
                <c:pt idx="167">
                  <c:v>8.1463000000000001</c:v>
                </c:pt>
                <c:pt idx="168">
                  <c:v>8.1463000000000001</c:v>
                </c:pt>
                <c:pt idx="169">
                  <c:v>8.3190000000000008</c:v>
                </c:pt>
                <c:pt idx="170">
                  <c:v>8.3190000000000008</c:v>
                </c:pt>
                <c:pt idx="171">
                  <c:v>8.3190000000000008</c:v>
                </c:pt>
                <c:pt idx="172">
                  <c:v>8.577</c:v>
                </c:pt>
                <c:pt idx="173">
                  <c:v>8.577</c:v>
                </c:pt>
                <c:pt idx="174">
                  <c:v>8.6834000000000007</c:v>
                </c:pt>
                <c:pt idx="175">
                  <c:v>8.6834000000000007</c:v>
                </c:pt>
                <c:pt idx="176">
                  <c:v>8.6834000000000007</c:v>
                </c:pt>
                <c:pt idx="177">
                  <c:v>9.2025000000000006</c:v>
                </c:pt>
                <c:pt idx="178">
                  <c:v>9.1918000000000006</c:v>
                </c:pt>
                <c:pt idx="179">
                  <c:v>9.1918000000000006</c:v>
                </c:pt>
                <c:pt idx="180">
                  <c:v>9.1918000000000006</c:v>
                </c:pt>
                <c:pt idx="181">
                  <c:v>9.1918000000000006</c:v>
                </c:pt>
                <c:pt idx="182">
                  <c:v>9.1918000000000006</c:v>
                </c:pt>
                <c:pt idx="183">
                  <c:v>9.1918000000000006</c:v>
                </c:pt>
                <c:pt idx="184">
                  <c:v>9.1918000000000006</c:v>
                </c:pt>
                <c:pt idx="185">
                  <c:v>9.1918000000000006</c:v>
                </c:pt>
                <c:pt idx="186">
                  <c:v>9.1918000000000006</c:v>
                </c:pt>
                <c:pt idx="187">
                  <c:v>9.1918000000000006</c:v>
                </c:pt>
                <c:pt idx="188">
                  <c:v>9.3756000000000004</c:v>
                </c:pt>
                <c:pt idx="189">
                  <c:v>9.3756000000000004</c:v>
                </c:pt>
                <c:pt idx="190">
                  <c:v>9.3756000000000004</c:v>
                </c:pt>
                <c:pt idx="191">
                  <c:v>9.3756000000000004</c:v>
                </c:pt>
                <c:pt idx="192">
                  <c:v>9.3756000000000004</c:v>
                </c:pt>
                <c:pt idx="193">
                  <c:v>8.9212000000000007</c:v>
                </c:pt>
                <c:pt idx="194">
                  <c:v>8.9212000000000007</c:v>
                </c:pt>
                <c:pt idx="195">
                  <c:v>9.3976000000000006</c:v>
                </c:pt>
                <c:pt idx="196">
                  <c:v>9.3976000000000006</c:v>
                </c:pt>
                <c:pt idx="197">
                  <c:v>9.4519000000000002</c:v>
                </c:pt>
                <c:pt idx="198">
                  <c:v>9.4519000000000002</c:v>
                </c:pt>
                <c:pt idx="199">
                  <c:v>9.4519000000000002</c:v>
                </c:pt>
                <c:pt idx="200">
                  <c:v>9.4626999999999999</c:v>
                </c:pt>
                <c:pt idx="201">
                  <c:v>9.4626999999999999</c:v>
                </c:pt>
                <c:pt idx="202">
                  <c:v>9.6588999999999992</c:v>
                </c:pt>
                <c:pt idx="203">
                  <c:v>9.6588999999999992</c:v>
                </c:pt>
                <c:pt idx="204">
                  <c:v>9.6588999999999992</c:v>
                </c:pt>
                <c:pt idx="205">
                  <c:v>9.6588999999999992</c:v>
                </c:pt>
                <c:pt idx="206">
                  <c:v>9.6588999999999992</c:v>
                </c:pt>
                <c:pt idx="207">
                  <c:v>9.8652999999999995</c:v>
                </c:pt>
                <c:pt idx="208">
                  <c:v>9.8652999999999995</c:v>
                </c:pt>
                <c:pt idx="209">
                  <c:v>9.8652999999999995</c:v>
                </c:pt>
                <c:pt idx="210">
                  <c:v>9.8652999999999995</c:v>
                </c:pt>
                <c:pt idx="211">
                  <c:v>9.8652999999999995</c:v>
                </c:pt>
                <c:pt idx="212">
                  <c:v>10.1271</c:v>
                </c:pt>
                <c:pt idx="213">
                  <c:v>10.1271</c:v>
                </c:pt>
                <c:pt idx="214">
                  <c:v>10.410600000000001</c:v>
                </c:pt>
                <c:pt idx="215">
                  <c:v>10.410600000000001</c:v>
                </c:pt>
                <c:pt idx="216">
                  <c:v>10.410600000000001</c:v>
                </c:pt>
                <c:pt idx="217">
                  <c:v>10.465199999999999</c:v>
                </c:pt>
                <c:pt idx="218">
                  <c:v>10.465199999999999</c:v>
                </c:pt>
                <c:pt idx="219">
                  <c:v>10.465199999999999</c:v>
                </c:pt>
                <c:pt idx="220">
                  <c:v>10.5527</c:v>
                </c:pt>
                <c:pt idx="221">
                  <c:v>10.5527</c:v>
                </c:pt>
                <c:pt idx="222">
                  <c:v>10.5527</c:v>
                </c:pt>
                <c:pt idx="223">
                  <c:v>10.5527</c:v>
                </c:pt>
                <c:pt idx="224">
                  <c:v>10.5527</c:v>
                </c:pt>
                <c:pt idx="225">
                  <c:v>10.5527</c:v>
                </c:pt>
                <c:pt idx="226">
                  <c:v>10.5527</c:v>
                </c:pt>
                <c:pt idx="227">
                  <c:v>10.5527</c:v>
                </c:pt>
                <c:pt idx="228">
                  <c:v>10.5527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A7-4BCD-BF38-417EDA9D1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Institutions'!$J$1:$P$1</c:f>
          <c:strCache>
            <c:ptCount val="7"/>
            <c:pt idx="0">
              <c:v>FOCUS forecast by Institution 16 for IPCA of 2020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'Exp Institutions'!$F$3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Institutions'!$D$4:$D$461</c:f>
              <c:numCache>
                <c:formatCode>m/d/yyyy</c:formatCode>
                <c:ptCount val="458"/>
                <c:pt idx="0">
                  <c:v>43804</c:v>
                </c:pt>
                <c:pt idx="1">
                  <c:v>43812</c:v>
                </c:pt>
                <c:pt idx="2">
                  <c:v>43819</c:v>
                </c:pt>
                <c:pt idx="3">
                  <c:v>43826</c:v>
                </c:pt>
                <c:pt idx="4">
                  <c:v>43833</c:v>
                </c:pt>
                <c:pt idx="5">
                  <c:v>43840</c:v>
                </c:pt>
                <c:pt idx="6">
                  <c:v>43847</c:v>
                </c:pt>
                <c:pt idx="7">
                  <c:v>43854</c:v>
                </c:pt>
                <c:pt idx="8">
                  <c:v>43861</c:v>
                </c:pt>
                <c:pt idx="9">
                  <c:v>43868</c:v>
                </c:pt>
                <c:pt idx="10">
                  <c:v>43875</c:v>
                </c:pt>
                <c:pt idx="11">
                  <c:v>43882</c:v>
                </c:pt>
                <c:pt idx="12">
                  <c:v>43889</c:v>
                </c:pt>
                <c:pt idx="13">
                  <c:v>43903</c:v>
                </c:pt>
                <c:pt idx="14">
                  <c:v>43917</c:v>
                </c:pt>
                <c:pt idx="15">
                  <c:v>43928</c:v>
                </c:pt>
                <c:pt idx="16">
                  <c:v>43938</c:v>
                </c:pt>
                <c:pt idx="17">
                  <c:v>43945</c:v>
                </c:pt>
                <c:pt idx="18">
                  <c:v>43962</c:v>
                </c:pt>
                <c:pt idx="19">
                  <c:v>43966</c:v>
                </c:pt>
                <c:pt idx="20">
                  <c:v>43973</c:v>
                </c:pt>
                <c:pt idx="21">
                  <c:v>43980</c:v>
                </c:pt>
                <c:pt idx="22">
                  <c:v>43987</c:v>
                </c:pt>
                <c:pt idx="23">
                  <c:v>43994</c:v>
                </c:pt>
                <c:pt idx="24">
                  <c:v>44001</c:v>
                </c:pt>
                <c:pt idx="25">
                  <c:v>44008</c:v>
                </c:pt>
                <c:pt idx="26">
                  <c:v>44015</c:v>
                </c:pt>
                <c:pt idx="27">
                  <c:v>44050</c:v>
                </c:pt>
                <c:pt idx="28">
                  <c:v>44057</c:v>
                </c:pt>
                <c:pt idx="29">
                  <c:v>44064</c:v>
                </c:pt>
                <c:pt idx="30">
                  <c:v>44071</c:v>
                </c:pt>
                <c:pt idx="31">
                  <c:v>44078</c:v>
                </c:pt>
                <c:pt idx="32">
                  <c:v>44085</c:v>
                </c:pt>
                <c:pt idx="33">
                  <c:v>44092</c:v>
                </c:pt>
                <c:pt idx="34">
                  <c:v>44106</c:v>
                </c:pt>
                <c:pt idx="35">
                  <c:v>44113</c:v>
                </c:pt>
                <c:pt idx="36">
                  <c:v>44120</c:v>
                </c:pt>
                <c:pt idx="37">
                  <c:v>44127</c:v>
                </c:pt>
                <c:pt idx="38">
                  <c:v>44134</c:v>
                </c:pt>
                <c:pt idx="39">
                  <c:v>44141</c:v>
                </c:pt>
                <c:pt idx="40">
                  <c:v>44147</c:v>
                </c:pt>
                <c:pt idx="41">
                  <c:v>44155</c:v>
                </c:pt>
                <c:pt idx="42">
                  <c:v>44162</c:v>
                </c:pt>
              </c:numCache>
            </c:numRef>
          </c:cat>
          <c:val>
            <c:numRef>
              <c:f>'Exp Institutions'!$F$4:$F$461</c:f>
              <c:numCache>
                <c:formatCode>General</c:formatCode>
                <c:ptCount val="458"/>
                <c:pt idx="0">
                  <c:v>3.39</c:v>
                </c:pt>
                <c:pt idx="1">
                  <c:v>3.39</c:v>
                </c:pt>
                <c:pt idx="2">
                  <c:v>3.39</c:v>
                </c:pt>
                <c:pt idx="3">
                  <c:v>3.39</c:v>
                </c:pt>
                <c:pt idx="4">
                  <c:v>3.39</c:v>
                </c:pt>
                <c:pt idx="5">
                  <c:v>3.39</c:v>
                </c:pt>
                <c:pt idx="6">
                  <c:v>3.39</c:v>
                </c:pt>
                <c:pt idx="7">
                  <c:v>3.39</c:v>
                </c:pt>
                <c:pt idx="8">
                  <c:v>3.39</c:v>
                </c:pt>
                <c:pt idx="9">
                  <c:v>3.2149000000000001</c:v>
                </c:pt>
                <c:pt idx="10">
                  <c:v>3.2149000000000001</c:v>
                </c:pt>
                <c:pt idx="11">
                  <c:v>3.2149000000000001</c:v>
                </c:pt>
                <c:pt idx="12">
                  <c:v>3.2149000000000001</c:v>
                </c:pt>
                <c:pt idx="13">
                  <c:v>3.3393999999999999</c:v>
                </c:pt>
                <c:pt idx="14">
                  <c:v>3.3393999999999999</c:v>
                </c:pt>
                <c:pt idx="15">
                  <c:v>2.8149000000000002</c:v>
                </c:pt>
                <c:pt idx="16">
                  <c:v>2.5893000000000002</c:v>
                </c:pt>
                <c:pt idx="17">
                  <c:v>2.5893000000000002</c:v>
                </c:pt>
                <c:pt idx="18">
                  <c:v>1.3873</c:v>
                </c:pt>
                <c:pt idx="19">
                  <c:v>1.3873</c:v>
                </c:pt>
                <c:pt idx="20">
                  <c:v>1.3873</c:v>
                </c:pt>
                <c:pt idx="21">
                  <c:v>1.3873</c:v>
                </c:pt>
                <c:pt idx="22">
                  <c:v>2.1082999999999998</c:v>
                </c:pt>
                <c:pt idx="23">
                  <c:v>1.5578000000000001</c:v>
                </c:pt>
                <c:pt idx="24">
                  <c:v>1.3858999999999999</c:v>
                </c:pt>
                <c:pt idx="25">
                  <c:v>1.3858999999999999</c:v>
                </c:pt>
                <c:pt idx="26">
                  <c:v>1.3858999999999999</c:v>
                </c:pt>
                <c:pt idx="27">
                  <c:v>1.3853</c:v>
                </c:pt>
                <c:pt idx="28">
                  <c:v>1.4259999999999999</c:v>
                </c:pt>
                <c:pt idx="29">
                  <c:v>1.4259999999999999</c:v>
                </c:pt>
                <c:pt idx="30">
                  <c:v>1.4259999999999999</c:v>
                </c:pt>
                <c:pt idx="31">
                  <c:v>1.4259999999999999</c:v>
                </c:pt>
                <c:pt idx="32">
                  <c:v>1.6288</c:v>
                </c:pt>
                <c:pt idx="33">
                  <c:v>1.6288</c:v>
                </c:pt>
                <c:pt idx="34">
                  <c:v>1.6288</c:v>
                </c:pt>
                <c:pt idx="35">
                  <c:v>1.6288</c:v>
                </c:pt>
                <c:pt idx="36">
                  <c:v>2.8201000000000001</c:v>
                </c:pt>
                <c:pt idx="37">
                  <c:v>2.8201000000000001</c:v>
                </c:pt>
                <c:pt idx="38">
                  <c:v>2.8201000000000001</c:v>
                </c:pt>
                <c:pt idx="39">
                  <c:v>3.4146999999999998</c:v>
                </c:pt>
                <c:pt idx="40">
                  <c:v>3.4146999999999998</c:v>
                </c:pt>
                <c:pt idx="41">
                  <c:v>3.4146999999999998</c:v>
                </c:pt>
                <c:pt idx="42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E-42D4-87AF-0D7B5F71F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C3F89D-4442-4CA7-88F0-7F3FEA00E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A24985-0E13-471E-A0CA-D686D1BE5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A55784-2649-471B-8EC1-914C15D04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86E6266-B258-489C-9658-052FC2347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1DEA8E-7BCE-480D-9C60-D0E22C2DF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F5F4EB6-E043-4FEA-A030-51C6DE39F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251708-DFC4-441A-BAD1-D50B33D30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edugca/xlFOCUS" TargetMode="External"/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olinda.bcb.gov.br/olinda/servico/Expectativas/versao/v1/aplicacao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linda.bcb.gov.br/olinda/servico/Expectativas/versao/v1/odata/ExpectativaMercadoMensais?$top=10000&amp;$filter=Indicador%20eq%20'IPCA'%20and%20DataReferencia%20eq%20'04%2F2000'&amp;$format=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6C8AC-BFA0-4617-AA84-0A03ACEC0EBE}">
  <sheetPr codeName="Planilha9">
    <tabColor theme="9" tint="0.39997558519241921"/>
  </sheetPr>
  <dimension ref="B2:T61"/>
  <sheetViews>
    <sheetView showGridLines="0" tabSelected="1" workbookViewId="0">
      <selection activeCell="B10" sqref="B10:B11"/>
    </sheetView>
  </sheetViews>
  <sheetFormatPr defaultRowHeight="12.75" x14ac:dyDescent="0.2"/>
  <cols>
    <col min="1" max="1" width="2.7109375" style="1" customWidth="1"/>
    <col min="2" max="10" width="9.140625" style="1"/>
    <col min="11" max="17" width="13.7109375" style="1" customWidth="1"/>
    <col min="18" max="16384" width="9.140625" style="1"/>
  </cols>
  <sheetData>
    <row r="2" spans="2:20" ht="18" x14ac:dyDescent="0.25">
      <c r="B2" s="56" t="s">
        <v>126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</row>
    <row r="4" spans="2:20" ht="14.25" x14ac:dyDescent="0.2">
      <c r="B4" s="2" t="s">
        <v>0</v>
      </c>
    </row>
    <row r="5" spans="2:20" ht="15" x14ac:dyDescent="0.25">
      <c r="B5" s="2" t="s">
        <v>117</v>
      </c>
    </row>
    <row r="6" spans="2:20" ht="14.25" x14ac:dyDescent="0.2">
      <c r="B6" s="2" t="s">
        <v>118</v>
      </c>
    </row>
    <row r="8" spans="2:20" x14ac:dyDescent="0.2">
      <c r="B8" s="3" t="s">
        <v>115</v>
      </c>
    </row>
    <row r="9" spans="2:20" x14ac:dyDescent="0.2">
      <c r="B9" s="3"/>
    </row>
    <row r="10" spans="2:20" ht="15" x14ac:dyDescent="0.25">
      <c r="B10" s="52" t="s">
        <v>130</v>
      </c>
    </row>
    <row r="11" spans="2:20" ht="15" x14ac:dyDescent="0.25">
      <c r="B11" s="20" t="s">
        <v>129</v>
      </c>
    </row>
    <row r="12" spans="2:20" x14ac:dyDescent="0.2">
      <c r="B12" s="3"/>
    </row>
    <row r="13" spans="2:20" ht="15" x14ac:dyDescent="0.25">
      <c r="B13" s="52" t="s">
        <v>124</v>
      </c>
    </row>
    <row r="14" spans="2:20" ht="15" x14ac:dyDescent="0.25">
      <c r="B14" s="52" t="s">
        <v>125</v>
      </c>
    </row>
    <row r="15" spans="2:20" ht="15" x14ac:dyDescent="0.25">
      <c r="B15" s="20" t="s">
        <v>123</v>
      </c>
    </row>
    <row r="16" spans="2:20" ht="15" x14ac:dyDescent="0.25">
      <c r="B16" s="20"/>
    </row>
    <row r="17" spans="2:3" ht="15" x14ac:dyDescent="0.25">
      <c r="B17" s="52" t="s">
        <v>128</v>
      </c>
    </row>
    <row r="18" spans="2:3" ht="15" x14ac:dyDescent="0.25">
      <c r="B18" s="52"/>
      <c r="C18" s="58" t="s">
        <v>119</v>
      </c>
    </row>
    <row r="19" spans="2:3" ht="15" x14ac:dyDescent="0.25">
      <c r="B19" s="52" t="s">
        <v>116</v>
      </c>
    </row>
    <row r="20" spans="2:3" ht="15" x14ac:dyDescent="0.25">
      <c r="B20" s="20" t="s">
        <v>1</v>
      </c>
    </row>
    <row r="22" spans="2:3" ht="15" x14ac:dyDescent="0.25">
      <c r="B22" s="52" t="s">
        <v>142</v>
      </c>
    </row>
    <row r="24" spans="2:3" ht="15" x14ac:dyDescent="0.25">
      <c r="B24" s="52" t="s">
        <v>143</v>
      </c>
    </row>
    <row r="26" spans="2:3" ht="15" x14ac:dyDescent="0.25">
      <c r="B26" s="52" t="s">
        <v>127</v>
      </c>
    </row>
    <row r="27" spans="2:3" ht="14.25" x14ac:dyDescent="0.2">
      <c r="C27" s="2" t="s">
        <v>120</v>
      </c>
    </row>
    <row r="28" spans="2:3" ht="14.25" x14ac:dyDescent="0.2">
      <c r="C28" s="2" t="s">
        <v>121</v>
      </c>
    </row>
    <row r="29" spans="2:3" ht="14.25" x14ac:dyDescent="0.2">
      <c r="C29" s="2" t="s">
        <v>122</v>
      </c>
    </row>
    <row r="31" spans="2:3" ht="15" x14ac:dyDescent="0.25">
      <c r="B31" s="52" t="s">
        <v>144</v>
      </c>
    </row>
    <row r="33" spans="2:17" x14ac:dyDescent="0.2">
      <c r="C33" s="3" t="s">
        <v>2</v>
      </c>
      <c r="D33" s="3"/>
      <c r="E33" s="3"/>
      <c r="F33" s="3"/>
      <c r="G33" s="24" t="s">
        <v>3</v>
      </c>
      <c r="H33" s="24"/>
      <c r="I33" s="15"/>
      <c r="J33" s="15"/>
      <c r="K33" s="15"/>
      <c r="L33" s="15"/>
      <c r="M33" s="15"/>
    </row>
    <row r="34" spans="2:17" x14ac:dyDescent="0.2">
      <c r="B34" s="3">
        <v>1</v>
      </c>
      <c r="C34" s="4" t="s">
        <v>132</v>
      </c>
      <c r="D34" s="5"/>
      <c r="E34" s="5"/>
      <c r="F34" s="5"/>
      <c r="G34" s="23" t="s">
        <v>131</v>
      </c>
      <c r="H34" s="23"/>
    </row>
    <row r="35" spans="2:17" x14ac:dyDescent="0.2">
      <c r="B35" s="3">
        <v>2</v>
      </c>
      <c r="C35" s="6" t="s">
        <v>140</v>
      </c>
      <c r="D35" s="23"/>
      <c r="E35" s="23"/>
      <c r="F35" s="23"/>
      <c r="G35" s="23" t="s">
        <v>141</v>
      </c>
      <c r="H35" s="23"/>
    </row>
    <row r="36" spans="2:17" x14ac:dyDescent="0.2">
      <c r="B36" s="3">
        <v>3</v>
      </c>
      <c r="C36" s="6" t="s">
        <v>133</v>
      </c>
      <c r="D36" s="23"/>
      <c r="E36" s="23"/>
      <c r="F36" s="23"/>
      <c r="G36" s="23" t="s">
        <v>4</v>
      </c>
      <c r="H36" s="23"/>
    </row>
    <row r="37" spans="2:17" x14ac:dyDescent="0.2">
      <c r="B37" s="3">
        <v>4</v>
      </c>
      <c r="C37" s="6" t="s">
        <v>134</v>
      </c>
      <c r="G37" s="1" t="s">
        <v>5</v>
      </c>
    </row>
    <row r="38" spans="2:17" x14ac:dyDescent="0.2">
      <c r="B38" s="3">
        <v>5</v>
      </c>
      <c r="C38" s="6" t="s">
        <v>135</v>
      </c>
      <c r="G38" s="1" t="s">
        <v>6</v>
      </c>
    </row>
    <row r="39" spans="2:17" x14ac:dyDescent="0.2">
      <c r="B39" s="3">
        <v>6</v>
      </c>
      <c r="C39" s="6" t="s">
        <v>136</v>
      </c>
      <c r="G39" s="1" t="s">
        <v>7</v>
      </c>
    </row>
    <row r="40" spans="2:17" x14ac:dyDescent="0.2">
      <c r="B40" s="3">
        <v>7</v>
      </c>
      <c r="C40" s="6" t="s">
        <v>137</v>
      </c>
      <c r="G40" s="1" t="s">
        <v>8</v>
      </c>
    </row>
    <row r="41" spans="2:17" x14ac:dyDescent="0.2">
      <c r="B41" s="3">
        <v>8</v>
      </c>
      <c r="C41" s="6" t="s">
        <v>138</v>
      </c>
      <c r="G41" s="1" t="s">
        <v>9</v>
      </c>
    </row>
    <row r="42" spans="2:17" x14ac:dyDescent="0.2">
      <c r="B42" s="3">
        <v>9</v>
      </c>
      <c r="C42" s="51" t="s">
        <v>139</v>
      </c>
      <c r="D42" s="15"/>
      <c r="E42" s="15"/>
      <c r="F42" s="15"/>
      <c r="G42" s="15" t="s">
        <v>10</v>
      </c>
      <c r="H42" s="15"/>
      <c r="I42" s="15"/>
      <c r="J42" s="15"/>
      <c r="K42" s="15"/>
      <c r="L42" s="15"/>
      <c r="M42" s="15"/>
    </row>
    <row r="44" spans="2:17" x14ac:dyDescent="0.2">
      <c r="C44" s="3" t="s">
        <v>83</v>
      </c>
      <c r="D44" s="3"/>
      <c r="E44" s="3"/>
      <c r="F44" s="3"/>
      <c r="G44" s="24" t="s">
        <v>3</v>
      </c>
      <c r="H44" s="24"/>
      <c r="I44" s="15"/>
      <c r="J44" s="15"/>
      <c r="K44" s="49" t="s">
        <v>98</v>
      </c>
      <c r="L44" s="49" t="s">
        <v>100</v>
      </c>
      <c r="M44" s="49" t="s">
        <v>101</v>
      </c>
      <c r="N44" s="49" t="s">
        <v>104</v>
      </c>
      <c r="O44" s="49" t="s">
        <v>107</v>
      </c>
      <c r="P44" s="49" t="s">
        <v>108</v>
      </c>
      <c r="Q44" s="49" t="s">
        <v>109</v>
      </c>
    </row>
    <row r="45" spans="2:17" x14ac:dyDescent="0.2">
      <c r="B45" s="3">
        <v>1</v>
      </c>
      <c r="C45" s="4" t="s">
        <v>11</v>
      </c>
      <c r="D45" s="5"/>
      <c r="E45" s="5"/>
      <c r="F45" s="5"/>
      <c r="G45" s="23" t="s">
        <v>12</v>
      </c>
      <c r="H45" s="23"/>
      <c r="K45" s="53" t="s">
        <v>99</v>
      </c>
      <c r="L45" s="53" t="s">
        <v>99</v>
      </c>
      <c r="M45" s="53" t="s">
        <v>99</v>
      </c>
      <c r="N45" s="53" t="s">
        <v>99</v>
      </c>
      <c r="O45" s="53" t="s">
        <v>99</v>
      </c>
      <c r="P45" s="53" t="s">
        <v>99</v>
      </c>
      <c r="Q45" s="53" t="s">
        <v>99</v>
      </c>
    </row>
    <row r="46" spans="2:17" x14ac:dyDescent="0.2">
      <c r="B46" s="3">
        <v>2</v>
      </c>
      <c r="C46" s="6" t="s">
        <v>102</v>
      </c>
      <c r="D46" s="23"/>
      <c r="E46" s="23"/>
      <c r="F46" s="23"/>
      <c r="G46" s="23" t="s">
        <v>103</v>
      </c>
      <c r="H46" s="23"/>
      <c r="K46" s="55"/>
      <c r="L46" s="55"/>
      <c r="M46" s="55" t="s">
        <v>99</v>
      </c>
      <c r="N46" s="55"/>
      <c r="O46" s="55"/>
      <c r="P46" s="55"/>
      <c r="Q46" s="55" t="s">
        <v>99</v>
      </c>
    </row>
    <row r="47" spans="2:17" x14ac:dyDescent="0.2">
      <c r="B47" s="3">
        <v>3</v>
      </c>
      <c r="C47" s="6" t="s">
        <v>13</v>
      </c>
      <c r="G47" s="1" t="s">
        <v>14</v>
      </c>
      <c r="K47" s="53" t="s">
        <v>99</v>
      </c>
      <c r="L47" s="53" t="s">
        <v>99</v>
      </c>
      <c r="M47" s="53" t="s">
        <v>99</v>
      </c>
      <c r="N47" s="53" t="s">
        <v>99</v>
      </c>
      <c r="O47" s="53" t="s">
        <v>99</v>
      </c>
      <c r="P47" s="53" t="s">
        <v>99</v>
      </c>
      <c r="Q47" s="53" t="s">
        <v>99</v>
      </c>
    </row>
    <row r="48" spans="2:17" x14ac:dyDescent="0.2">
      <c r="B48" s="3">
        <v>4</v>
      </c>
      <c r="C48" s="6" t="s">
        <v>94</v>
      </c>
      <c r="G48" s="1" t="s">
        <v>95</v>
      </c>
      <c r="K48" s="53" t="s">
        <v>99</v>
      </c>
      <c r="L48" s="53" t="s">
        <v>99</v>
      </c>
      <c r="M48" s="53" t="s">
        <v>99</v>
      </c>
      <c r="N48" s="53"/>
      <c r="O48" s="53" t="s">
        <v>99</v>
      </c>
      <c r="P48" s="53" t="s">
        <v>99</v>
      </c>
      <c r="Q48" s="53" t="s">
        <v>99</v>
      </c>
    </row>
    <row r="49" spans="2:17" x14ac:dyDescent="0.2">
      <c r="B49" s="3">
        <v>5</v>
      </c>
      <c r="C49" s="6" t="s">
        <v>19</v>
      </c>
      <c r="G49" s="1" t="s">
        <v>20</v>
      </c>
      <c r="K49" s="53" t="s">
        <v>99</v>
      </c>
      <c r="L49" s="53" t="s">
        <v>99</v>
      </c>
      <c r="M49" s="53" t="s">
        <v>99</v>
      </c>
      <c r="N49" s="53" t="s">
        <v>99</v>
      </c>
      <c r="O49" s="53" t="s">
        <v>99</v>
      </c>
      <c r="P49" s="53" t="s">
        <v>99</v>
      </c>
      <c r="Q49" s="53"/>
    </row>
    <row r="50" spans="2:17" x14ac:dyDescent="0.2">
      <c r="B50" s="3">
        <v>6</v>
      </c>
      <c r="C50" s="6" t="s">
        <v>17</v>
      </c>
      <c r="G50" s="1" t="s">
        <v>18</v>
      </c>
      <c r="K50" s="53" t="s">
        <v>99</v>
      </c>
      <c r="L50" s="53" t="s">
        <v>99</v>
      </c>
      <c r="M50" s="53" t="s">
        <v>99</v>
      </c>
      <c r="N50" s="53" t="s">
        <v>99</v>
      </c>
      <c r="O50" s="53" t="s">
        <v>99</v>
      </c>
      <c r="P50" s="53" t="s">
        <v>99</v>
      </c>
      <c r="Q50" s="53"/>
    </row>
    <row r="51" spans="2:17" x14ac:dyDescent="0.2">
      <c r="B51" s="3">
        <v>7</v>
      </c>
      <c r="C51" s="6" t="s">
        <v>22</v>
      </c>
      <c r="G51" s="1" t="s">
        <v>23</v>
      </c>
      <c r="K51" s="53" t="s">
        <v>99</v>
      </c>
      <c r="L51" s="53" t="s">
        <v>99</v>
      </c>
      <c r="M51" s="53" t="s">
        <v>99</v>
      </c>
      <c r="N51" s="53" t="s">
        <v>99</v>
      </c>
      <c r="O51" s="53" t="s">
        <v>99</v>
      </c>
      <c r="P51" s="53" t="s">
        <v>99</v>
      </c>
      <c r="Q51" s="53"/>
    </row>
    <row r="52" spans="2:17" x14ac:dyDescent="0.2">
      <c r="B52" s="3">
        <v>8</v>
      </c>
      <c r="C52" s="6" t="s">
        <v>15</v>
      </c>
      <c r="G52" s="1" t="s">
        <v>16</v>
      </c>
      <c r="K52" s="53" t="s">
        <v>99</v>
      </c>
      <c r="L52" s="53" t="s">
        <v>99</v>
      </c>
      <c r="M52" s="53" t="s">
        <v>99</v>
      </c>
      <c r="N52" s="53" t="s">
        <v>99</v>
      </c>
      <c r="O52" s="53" t="s">
        <v>99</v>
      </c>
      <c r="P52" s="53" t="s">
        <v>99</v>
      </c>
      <c r="Q52" s="53"/>
    </row>
    <row r="53" spans="2:17" x14ac:dyDescent="0.2">
      <c r="B53" s="3">
        <v>9</v>
      </c>
      <c r="C53" s="6" t="s">
        <v>21</v>
      </c>
      <c r="G53" s="1" t="s">
        <v>93</v>
      </c>
      <c r="K53" s="53" t="s">
        <v>99</v>
      </c>
      <c r="L53" s="53" t="s">
        <v>99</v>
      </c>
      <c r="M53" s="53" t="s">
        <v>99</v>
      </c>
      <c r="N53" s="53" t="s">
        <v>99</v>
      </c>
      <c r="O53" s="53" t="s">
        <v>99</v>
      </c>
      <c r="P53" s="53" t="s">
        <v>99</v>
      </c>
      <c r="Q53" s="53"/>
    </row>
    <row r="54" spans="2:17" x14ac:dyDescent="0.2">
      <c r="B54" s="3">
        <v>10</v>
      </c>
      <c r="C54" s="6" t="s">
        <v>96</v>
      </c>
      <c r="G54" s="1" t="s">
        <v>97</v>
      </c>
      <c r="K54" s="53" t="s">
        <v>99</v>
      </c>
      <c r="L54" s="53" t="s">
        <v>99</v>
      </c>
      <c r="M54" s="53" t="s">
        <v>99</v>
      </c>
      <c r="N54" s="53" t="s">
        <v>99</v>
      </c>
      <c r="O54" s="53" t="s">
        <v>99</v>
      </c>
      <c r="P54" s="53" t="s">
        <v>99</v>
      </c>
      <c r="Q54" s="53"/>
    </row>
    <row r="55" spans="2:17" x14ac:dyDescent="0.2">
      <c r="B55" s="3">
        <v>11</v>
      </c>
      <c r="C55" s="6" t="s">
        <v>84</v>
      </c>
      <c r="G55" s="1" t="s">
        <v>86</v>
      </c>
      <c r="K55" s="53" t="s">
        <v>99</v>
      </c>
      <c r="L55" s="53" t="s">
        <v>99</v>
      </c>
      <c r="M55" s="53" t="s">
        <v>99</v>
      </c>
      <c r="N55" s="53" t="s">
        <v>99</v>
      </c>
      <c r="O55" s="53"/>
      <c r="P55" s="53"/>
      <c r="Q55" s="53"/>
    </row>
    <row r="56" spans="2:17" x14ac:dyDescent="0.2">
      <c r="B56" s="3">
        <v>12</v>
      </c>
      <c r="C56" s="6" t="s">
        <v>85</v>
      </c>
      <c r="G56" s="1" t="s">
        <v>87</v>
      </c>
      <c r="K56" s="53"/>
      <c r="L56" s="53"/>
      <c r="M56" s="53"/>
      <c r="N56" s="53"/>
      <c r="O56" s="53" t="s">
        <v>99</v>
      </c>
      <c r="P56" s="53" t="s">
        <v>99</v>
      </c>
      <c r="Q56" s="53"/>
    </row>
    <row r="57" spans="2:17" x14ac:dyDescent="0.2">
      <c r="B57" s="3">
        <v>13</v>
      </c>
      <c r="C57" s="6" t="s">
        <v>105</v>
      </c>
      <c r="G57" s="1" t="s">
        <v>106</v>
      </c>
      <c r="K57" s="53"/>
      <c r="L57" s="53"/>
      <c r="M57" s="53"/>
      <c r="N57" s="53" t="s">
        <v>99</v>
      </c>
      <c r="O57" s="53"/>
      <c r="P57" s="53"/>
      <c r="Q57" s="53"/>
    </row>
    <row r="58" spans="2:17" x14ac:dyDescent="0.2">
      <c r="B58" s="3">
        <v>14</v>
      </c>
      <c r="C58" s="6" t="s">
        <v>76</v>
      </c>
      <c r="G58" s="1" t="s">
        <v>110</v>
      </c>
      <c r="K58" s="53"/>
      <c r="L58" s="53"/>
      <c r="M58" s="53"/>
      <c r="N58" s="53" t="s">
        <v>99</v>
      </c>
      <c r="O58" s="53"/>
      <c r="P58" s="53"/>
      <c r="Q58" s="53" t="s">
        <v>99</v>
      </c>
    </row>
    <row r="59" spans="2:17" x14ac:dyDescent="0.2">
      <c r="B59" s="3">
        <v>15</v>
      </c>
      <c r="C59" s="6" t="s">
        <v>111</v>
      </c>
      <c r="G59" s="1" t="s">
        <v>112</v>
      </c>
      <c r="K59" s="53"/>
      <c r="L59" s="53"/>
      <c r="M59" s="53"/>
      <c r="N59" s="53" t="s">
        <v>99</v>
      </c>
      <c r="O59" s="53"/>
      <c r="P59" s="53"/>
      <c r="Q59" s="53" t="s">
        <v>99</v>
      </c>
    </row>
    <row r="60" spans="2:17" x14ac:dyDescent="0.2">
      <c r="B60" s="3">
        <v>16</v>
      </c>
      <c r="C60" s="51" t="s">
        <v>77</v>
      </c>
      <c r="D60" s="15"/>
      <c r="E60" s="15"/>
      <c r="F60" s="15"/>
      <c r="G60" s="15" t="s">
        <v>113</v>
      </c>
      <c r="H60" s="15"/>
      <c r="I60" s="15"/>
      <c r="J60" s="15"/>
      <c r="K60" s="54"/>
      <c r="L60" s="54"/>
      <c r="M60" s="54"/>
      <c r="N60" s="54"/>
      <c r="O60" s="54"/>
      <c r="P60" s="54"/>
      <c r="Q60" s="54" t="s">
        <v>99</v>
      </c>
    </row>
    <row r="61" spans="2:17" x14ac:dyDescent="0.2">
      <c r="K61" s="50"/>
      <c r="L61" s="50"/>
      <c r="M61" s="50"/>
      <c r="N61" s="50"/>
      <c r="O61" s="50"/>
      <c r="P61" s="50"/>
      <c r="Q61" s="50"/>
    </row>
  </sheetData>
  <hyperlinks>
    <hyperlink ref="B20" r:id="rId1" location="!/recursos" xr:uid="{DA1103D1-9D1F-4D87-9202-F9DA2AE670CE}"/>
    <hyperlink ref="B15" r:id="rId2" xr:uid="{7839D278-2CAE-4EBD-922D-881BD8BD2FFA}"/>
    <hyperlink ref="B11" r:id="rId3" xr:uid="{0CA12136-B78A-4FD3-8A9B-DB9EB625EAE0}"/>
  </hyperlinks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B961-8857-435E-825D-EB978D1AD561}">
  <sheetPr codeName="Planilha3"/>
  <dimension ref="A1:J97"/>
  <sheetViews>
    <sheetView workbookViewId="0">
      <selection activeCell="M21" sqref="M21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2.28515625" style="1" bestFit="1" customWidth="1"/>
    <col min="7" max="7" width="7" style="1" bestFit="1" customWidth="1"/>
    <col min="8" max="8" width="7.5703125" style="1" bestFit="1" customWidth="1"/>
    <col min="9" max="9" width="19.28515625" style="1" bestFit="1" customWidth="1"/>
    <col min="10" max="10" width="11.140625" style="1" bestFit="1" customWidth="1"/>
    <col min="11" max="16384" width="9.140625" style="1"/>
  </cols>
  <sheetData>
    <row r="1" spans="1:10" s="8" customFormat="1" x14ac:dyDescent="0.2">
      <c r="A1" s="7" t="s">
        <v>78</v>
      </c>
    </row>
    <row r="2" spans="1:10" ht="15" x14ac:dyDescent="0.25">
      <c r="A2" s="20" t="s">
        <v>79</v>
      </c>
    </row>
    <row r="4" spans="1:10" s="8" customFormat="1" x14ac:dyDescent="0.2">
      <c r="A4" s="7" t="s">
        <v>24</v>
      </c>
    </row>
    <row r="5" spans="1:10" x14ac:dyDescent="0.2">
      <c r="A5" s="1" t="str">
        <f>_xlfn.WEBSERVICE(A2)</f>
        <v>{"@odata.context":"https://was-p.bcnet.bcb.gov.br/olinda/servico/Expectativas/versao/v1/odata$metadata#ExpectativaMercadoMensais","value":[{"Indicador":"IPCA","Data":"2000-01-03","DataReferencia":"04/2000","Media":0.6000,"Mediana":0.6000,"DesvioPadrao":0.1900,"Minimo":null,"Maximo":null,"numeroRespondentes":null,"baseCalculo":0},{"Indicador":"IPCA","Data":"2000-01-04","DataReferencia":"04/2000","Media":0.6000,"Mediana":0.6000,"DesvioPadrao":0.1900,"Minimo":null,"Maximo":null,"numeroRespondentes":null,"baseCalculo":0},{"Indicador":"IPCA","Data":"2000-01-05","DataReferencia":"04/2000","Media":0.6100,"Mediana":0.6000,"DesvioPadrao":0.1900,"Minimo":null,"Maximo":null,"numeroRespondentes":null,"baseCalculo":0},{"Indicador":"IPCA","Data":"2000-01-06","DataReferencia":"04/2000","Media":0.6000,"Mediana":0.6000,"DesvioPadrao":0.1900,"Minimo":null,"Maximo":null,"numeroRespondentes":null,"baseCalculo":0},{"Indicador":"IPCA","Data":"2000-01-07","DataReferencia":"04/2000","Media":0.6000,"Mediana":0.6000,"DesvioPadrao":0.1900,"Minimo":null,"Maximo":null,"numeroRespondentes":null,"baseCalculo":0},{"Indicador":"IPCA","Data":"2000-01-10","DataReferencia":"04/2000","Media":0.6000,"Mediana":0.6000,"DesvioPadrao":0.1900,"Minimo":null,"Maximo":null,"numeroRespondentes":null,"baseCalculo":0},{"Indicador":"IPCA","Data":"2000-01-11","DataReferencia":"04/2000","Media":0.6000,"Mediana":0.6000,"DesvioPadrao":0.1900,"Minimo":null,"Maximo":null,"numeroRespondentes":null,"baseCalculo":0},{"Indicador":"IPCA","Data":"2000-01-12","DataReferencia":"04/2000","Media":0.5800,"Mediana":0.6000,"DesvioPadrao":0.1900,"Minimo":null,"Maximo":null,"numeroRespondentes":null,"baseCalculo":0},{"Indicador":"IPCA","Data":"2000-01-13","DataReferencia":"04/2000","Media":0.5500,"Mediana":0.5000,"DesvioPadrao":0.1700,"Minimo":null,"Maximo":null,"numeroRespondentes":null,"baseCalculo":0},{"Indicador":"IPCA","Data":"2000-01-14","DataReferencia":"04/2000","Media":0.5500,"Mediana":0.5000,"DesvioPadrao":0.1700,"Minimo":null,"Maximo":null,"numeroRespondentes":null,"baseCalculo":0},{"Indicador":"IPCA","Data":"2000-01-17","DataReferencia":"04/2000","Media":0.5500,"Mediana":0.5000,"DesvioPadrao":0.1600,"Minimo":null,"Maximo":null,"numeroRespondentes":null,"baseCalculo":0},{"Indicador":"IPCA","Data":"2000-01-18","DataReferencia":"04/2000","Media":0.5400,"Mediana":0.5000,"DesvioPadrao":0.1600,"Minimo":null,"Maximo":null,"numeroRespondentes":null,"baseCalculo":0},{"Indicador":"IPCA","Data":"2000-01-19","DataReferencia":"04/2000","Media":0.5400,"Mediana":0.5000,"DesvioPadrao":0.1700,"Minimo":null,"Maximo":null,"numeroRespondentes":null,"baseCalculo":0},{"Indicador":"IPCA","Data":"2000-01-20","DataReferencia":"04/2000","Media":0.5300,"Mediana":0.5000,"DesvioPadrao":0.1700,"Minimo":null,"Maximo":null,"numeroRespondentes":null,"baseCalculo":0},{"Indicador":"IPCA","Data":"2000-01-21","DataReferencia":"04/2000","Media":0.5300,"Mediana":0.5000,"DesvioPadrao":0.1600,"Minimo":null,"Maximo":null,"numeroRespondentes":null,"baseCalculo":0},{"Indicador":"IPCA","Data":"2000-01-24","DataReferencia":"04/2000","Media":0.5300,"Mediana":0.5000,"DesvioPadrao":0.1600,"Minimo":null,"Maximo":null,"numeroRespondentes":null,"baseCalculo":0},{"Indicador":"IPCA","Data":"2000-01-25","DataReferencia":"04/2000","Media":0.5300,"Mediana":0.5000,"DesvioPadrao":0.1600,"Minimo":null,"Maximo":null,"numeroRespondentes":null,"baseCalculo":0},{"Indicador":"IPCA","Data":"2000-01-26","DataReferencia":"04/2000","Media":0.5300,"Mediana":0.5000,"DesvioPadrao":0.1600,"Minimo":null,"Maximo":null,"numeroRespondentes":null,"baseCalculo":0},{"Indicador":"IPCA","Data":"2000-01-27","DataReferencia":"04/2000","Media":0.5300,"Mediana":0.5000,"DesvioPadrao":0.1600,"Minimo":null,"Maximo":null,"numeroRespondentes":null,"baseCalculo":0},{"Indicador":"IPCA","Data":"2000-01-28","DataReferencia":"04/2000","Media":0.5300,"Mediana":0.5000,"DesvioPadrao":0.1600,"Minimo":null,"Maximo":null,"numeroRespondentes":null,"baseCalculo":0},{"Indicador":"IPCA","Data":"2000-01-31","DataReferencia":"04/2000","Media":0.5300,"Mediana":0.5000,"DesvioPadrao":0.1600,"Minimo":null,"Maximo":null,"numeroRespondentes":null,"baseCalculo":0},{"Indicador":"IPCA","Data":"2000-02-01","DataReferencia":"04/2000","Media":0.5300,"Mediana":0.5000,"DesvioPadrao":0.1600,"Minimo":null,"Maximo":null,"numeroRespondentes":null,"baseCalculo":0},{"Indicador":"IPCA","Data":"2000-02-02","DataReferencia":"04/2000","Media":0.5300,"Mediana":0.5000,"DesvioPadrao":0.1600,"Minimo":null,"Maximo":null,"numeroRespondentes":null,"baseCalculo":0},{"Indicador":"IPCA","Data":"2000-02-03","DataReferencia":"04/2000","Media":0.5300,"Mediana":0.5000,"DesvioPadrao":0.1600,"Minimo":null,"Maximo":null,"numeroRespondentes":null,"baseCalculo":0},{"Indicador":"IPCA","Data":"2000-02-04","DataReferencia":"04/2000","Media":0.5400,"Mediana":0.5000,"DesvioPadrao":0.1500,"Minimo":null,"Maximo":null,"numeroRespondentes":null,"baseCalculo":0},{"Indicador":"IPCA","Data":"2000-02-07","DataReferencia":"04/2000","Media":0.5400,"Mediana":0.5000,"DesvioPadrao":0.1500,"Minimo":null,"Maximo":null,"numeroRespondentes":null,"baseCalculo":0},{"Indicador":"IPCA","Data":"2000-02-08","DataReferencia":"04/2000","Media":0.5400,"Mediana":0.5000,"DesvioPadrao":0.1500,"Minimo":null,"Maximo":null,"numeroRespondentes":null,"baseCalculo":0},{"Indicador":"IPCA","Data":"2000-02-09","DataReferencia":"04/2000","Media":0.5300,"Mediana":0.5000,"DesvioPadrao":0.1500,"Minimo":null,"Maximo":null,"numeroRespondentes":null,"baseCalculo":0},{"Indicador":"IPCA","Data":"2000-02-10","DataReferencia":"04/2000","Media":0.5300,"Mediana":0.5000,"DesvioPadrao":0.1500,"Minimo":null,"Maximo":null,"numeroRespondentes":null,"baseCalculo":0},{"Indicador":"IPCA","Data":"2000-02-11","DataReferencia":"04/2000","Media":0.5300,"Mediana":0.5000,"DesvioPadrao":0.1500,"Minimo":null,"Maximo":null,"numeroRespondentes":null,"baseCalculo":0},{"Indicador":"IPCA","Data":"2000-02-14","DataReferencia":"04/2000","Media":0.5300,"Mediana":0.5000,"DesvioPadrao":0.1400,"Minimo":null,"Maximo":null,"numeroRespondentes":null,"baseCalculo":0},{"Indicador":"IPCA","Data":"2000-02-15","DataReferencia":"04/2000","Media":0.5300,"Mediana":0.5000,"DesvioPadrao":0.1400,"Minimo":null,"Maximo":null,"numeroRespondentes":null,"baseCalculo":0},{"Indicador":"IPCA","Data":"2000-02-16","DataReferencia":"04/2000","Media":0.5300,"Mediana":0.5000,"DesvioPadrao":0.1400,"Minimo":null,"Maximo":null,"numeroRespondentes":null,"baseCalculo":0},{"Indicador":"IPCA","Data":"2000-02-17","DataReferencia":"04/2000","Media":0.5300,"Mediana":0.5000,"DesvioPadrao":0.1500,"Minimo":null,"Maximo":null,"numeroRespondentes":null,"baseCalculo":0},{"Indicador":"IPCA","Data":"2000-02-18","DataReferencia":"04/2000","Media":0.5300,"Mediana":0.5000,"DesvioPadrao":0.1400,"Minimo":null,"Maximo":null,"numeroRespondentes":null,"baseCalculo":0},{"Indicador":"IPCA","Data":"2000-02-21","DataReferencia":"04/2000","Media":0.5400,"Mediana":0.5000,"DesvioPadrao":0.1500,"Minimo":null,"Maximo":null,"numeroRespondentes":null,"baseCalculo":0},{"Indicador":"IPCA","Data":"2000-02-22","DataReferencia":"04/2000","Media":0.5400,"Mediana":0.5000,"DesvioPadrao":0.1500,"Minimo":null,"Maximo":null,"numeroRespondentes":null,"baseCalculo":0},{"Indicador":"IPCA","Data":"2000-02-23","DataReferencia":"04/2000","Media":0.5500,"Mediana":0.5300,"DesvioPadrao":0.1400,"Minimo":null,"Maximo":null,"numeroRespondentes":null,"baseCalculo":0},{"Indicador":"IPCA","Data":"2000-02-24","DataReferencia":"04/2000","Media":0.5500,"Mediana":0.5300,"DesvioPadrao":0.1500,"Minimo":null,"Maximo":null,"numeroRespondentes":null,"baseCalculo":0},{"Indicador":"IPCA","Data":"2000-02-25","DataReferencia":"04/2000","Media":0.5500,"Mediana":0.5300,"DesvioPadrao":0.1500,"Minimo":null,"Maximo":null,"numeroRespondentes":null,"baseCalculo":0},{"Indicador":"IPCA","Data":"2000-02-28","DataReferencia":"04/2000","Media":0.5500,"Mediana":0.5300,"DesvioPadrao":0.1500,"Minimo":null,"Maximo":null,"numeroRespondentes":null,"baseCalculo":0},{"Indicador":"IPCA","Data":"2000-02-29","DataReferencia":"04/2000","Media":0.5500,"Mediana":0.5300,"DesvioPadrao":0.1500,"Minimo":null,"Maximo":null,"numeroRespondentes":null,"baseCalculo":0},{"Indicador":"IPCA","Data":"2000-03-01","DataReferencia":"04/2000","Media":0.5400,"Mediana":0.5000,"DesvioPadrao":0.1500,"Minimo":null,"Maximo":null,"numeroRespondentes":null,"baseCalculo":0},{"Indicador":"IPCA","Data":"2000-03-02","DataReferencia":"04/2000","Media":0.5300,"Mediana":0.5000,"DesvioPadrao":0.1500,"Minimo":null,"Maximo":null,"numeroRespondentes":null,"baseCalculo":0},{"Indicador":"IPCA","Data":"2000-03-03","DataReferencia":"04/2000","Media":0.5200,"Mediana":0.5200,"DesvioPadrao":0.1400,"Minimo":null,"Maximo":null,"numeroRespondentes":null,"baseCalculo":0},{"Indicador":"IPCA","Data":"2000-03-08","DataReferencia":"04/2000","Media":0.5200,"Mediana":0.5200,"DesvioPadrao":0.1400,"Minimo":null,"Maximo":null,"numeroRespondentes":null,"baseCalculo":0},{"Indicador":"IPCA","Data":"2000-03-09","DataReferencia":"04/2000","Media":0.5200,"Mediana":0.5200,"DesvioPadrao":0.1400,"Minimo":null,"Maximo":null,"numeroRespondentes":null,"baseCalculo":0},{"Indicador":"IPCA","Data":"2000-03-10","DataReferencia":"04/2000","Media":0.5200,"Mediana":0.5200,"DesvioPadrao":0.1400,"Minimo":null,"Maximo":null,"numeroRespondentes":null,"baseCalculo":0},{"Indicador":"IPCA","Data":"2000-03-13","DataReferencia":"04/2000","Media":0.5200,"Mediana":0.5400,"DesvioPadrao":0.1400,"Minimo":null,"Maximo":null,"numeroRespondentes":null,"baseCalculo":0},{"Indicador":"IPCA","Data":"2000-03-14","DataReferencia":"04/2000","Media":0.5200,"Mediana":0.5400,"DesvioPadrao":0.1400,"Minimo":null,"Maximo":null,"numeroRespondentes":null,"baseCalculo":0},{"Indicador":"IPCA","Data":"2000-03-15","DataReferencia":"04/2000","Media":0.5200,"Mediana":0.5400,"DesvioPadrao":0.1400,"Minimo":null,"Maximo":null,"numeroRespondentes":null,"baseCalculo":0},{"Indicador":"IPCA","Data":"2000-03-16","DataReferencia":"04/2000","Media":0.5100,"Mediana":0.5200,"DesvioPadrao":0.1400,"Minimo":null,"Maximo":null,"numeroRespondentes":null,"baseCalculo":0},{"Indicador":"IPCA","Data":"2000-03-17","DataReferencia":"04/2000","Media":0.4900,"Mediana":0.5000,"DesvioPadrao":0.1500,"Minimo":null,"Maximo":null,"numeroRespondentes":null,"baseCalculo":0},{"Indicador":"IPCA","Data":"2000-03-20","DataReferencia":"04/2000","Media":0.4800,"Mediana":0.4700,"DesvioPadrao":0.1400,"Minimo":null,"Maximo":null,"numeroRespondentes":null,"baseCalculo":0},{"Indicador":"IPCA","Data":"2000-03-21","DataReferencia":"04/2000","Media":0.4800,"Mediana":0.4500,"DesvioPadrao":0.1400,"Minimo":null,"Maximo":null,"numeroRespondentes":null,"baseCalculo":0},{"Indicador":"IPCA","Data":"2000-03-22","DataReferencia":"04/2000","Media":0.4800,"Mediana":0.4500,"DesvioPadrao":0.1400,"Minimo":null,"Maximo":null,"numeroRespondentes":null,"baseCalculo":0},{"Indicador":"IPCA","Data":"2000-03-23","DataReferencia":"04/2000","Media":0.4900,"Mediana":0.4900,"DesvioPadrao":0.1500,"Minimo":null,"Maximo":null,"numeroRespondentes":null,"baseCalculo":0},{"Indicador":"IPCA","Data":"2000-03-24","DataReferencia":"04/2000","Media":0.5500,"Mediana":0.5900,"DesvioPadrao":0.1500,"Minimo":null,"Maximo":null,"numeroRespondentes":null,"baseCalculo":0},{"Indicador":"IPCA","Data":"2000-03-27","DataReferencia":"04/2000","Media":0.5500,"Mediana":0.5900,"DesvioPadrao":0.1600,"Minimo":null,"Maximo":null,"numeroRespondentes":null,"baseCalculo":0},{"Indicador":"IPCA","Data":"2000-03-28","DataReferencia":"04/2000","Media":0.5500,"Mediana":0.5900,"DesvioPadrao":0.1600,"Minimo":null,"Maximo":null,"numeroRespondentes":null,"baseCalculo":0},{"Indicador":"IPCA","Data":"2000-03-29","DataReferencia":"04/2000","Media":0.5400,"Mediana":0.5500,"DesvioPadrao":0.1500,"Minimo":null,"Maximo":null,"numeroRespondentes":null,"baseCalculo":0},{"Indicador":"IPCA","Data":"2000-03-30","DataReferencia":"04/2000","Media":0.5500,"Mediana":0.5700,"DesvioPadrao":0.1500,"Minimo":null,"Maximo":null,"numeroRespondentes":null,"baseCalculo":0},{"Indicador":"IPCA","Data":"2000-03-31","DataReferencia":"04/2000","Media":0.5500,"Mediana":0.5600,"DesvioPadrao":0.1500,"Minimo":null,"Maximo":null,"numeroRespondentes":null,"baseCalculo":0},{"Indicador":"IPCA","Data":"2000-04-03","DataReferencia":"04/2000","Media":0.5500,"Mediana":0.5900,"DesvioPadrao":0.1600,"Minimo":null,"Maximo":null,"numeroRespondentes":null,"baseCalculo":0},{"Indicador":"IPCA","Data":"2000-04-04","DataReferencia":"04/2000","Media":0.5500,"Mediana":0.5900,"DesvioPadrao":0.1600,"Minimo":null,"Maximo":null,"numeroRespondentes":null,"baseCalculo":0},{"Indicador":"IPCA","Data":"2000-04-05","DataReferencia":"04/2000","Media":0.5700,"Mediana":0.6000,"DesvioPadrao":0.1600,"Minimo":null,"Maximo":null,"numeroRespondentes":null,"baseCalculo":0},{"Indicador":"IPCA","Data":"2000-04-06","DataReferencia":"04/2000","Media":0.5600,"Mediana":0.6000,"DesvioPadrao":0.1600,"Minimo":null,"Maximo":null,"numeroRespondentes":null,"baseCalculo":0},{"Indicador":"IPCA","Data":"2000-04-07","DataReferencia":"04/2000","Media":0.5600,"Mediana":0.6000,"DesvioPadrao":0.1700,"Minimo":null,"Maximo":null,"numeroRespondentes":null,"baseCalculo":0},{"Indicador":"IPCA","Data":"2000-04-10","DataReferencia":"04/2000","Media":0.5600,"Mediana":0.6000,"DesvioPadrao":0.1700,"Minimo":null,"Maximo":null,"numeroRespondentes":null,"baseCalculo":0},{"Indicador":"IPCA","Data":"2000-04-11","DataReferencia":"04/2000","Media":0.5600,"Mediana":0.6000,"DesvioPadrao":0.1700,"Minimo":null,"Maximo":null,"numeroRespondentes":null,"baseCalculo":0},{"Indicador":"IPCA","Data":"2000-04-12","DataReferencia":"04/2000","Media":0.5700,"Mediana":0.6000,"DesvioPadrao":0.1600,"Minimo":null,"Maximo":null,"numeroRespondentes":null,"baseCalculo":0},{"Indicador":"IPCA","Data":"2000-04-13","DataReferencia":"04/2000","Media":0.5700,"Mediana":0.6000,"DesvioPadrao":0.1700,"Minimo":null,"Maximo":null,"numeroRespondentes":null,"baseCalculo":0},{"Indicador":"IPCA","Data":"2000-04-14","DataReferencia":"04/2000","Media":0.5700,"Mediana":0.6000,"DesvioPadrao":0.1700,"Minimo":null,"Maximo":null,"numeroRespondentes":null,"baseCalculo":0},{"Indicador":"IPCA","Data":"2000-04-17","DataReferencia":"04/2000","Media":0.5800,"Mediana":0.6000,"DesvioPadrao":0.1600,"Minimo":null,"Maximo":null,"numeroRespondentes":null,"baseCalculo":0},{"Indicador":"IPCA","Data":"2000-04-18","DataReferencia":"04/2000","Media":0.5800,"Mediana":0.6000,"DesvioPadrao":0.1600,"Minimo":null,"Maximo":null,"numeroRespondentes":null,"baseCalculo":0},{"Indicador":"IPCA","Data":"2000-04-19","DataReferencia":"04/2000","Media":0.5700,"Mediana":0.6000,"DesvioPadrao":0.1600,"Minimo":null,"Maximo":null,"numeroRespondentes":null,"baseCalculo":0},{"Indicador":"IPCA","Data":"2000-04-20","DataReferencia":"04/2000","Media":0.5700,"Mediana":0.6000,"DesvioPadrao":0.1600,"Minimo":null,"Maximo":null,"numeroRespondentes":null,"baseCalculo":0},{"Indicador":"IPCA","Data":"2000-04-24","DataReferencia":"04/2000","Media":0.5700,"Mediana":0.6000,"DesvioPadrao":0.1600,"Minimo":null,"Maximo":null,"numeroRespondentes":null,"baseCalculo":0},{"Indicador":"IPCA","Data":"2000-04-25","DataReferencia":"04/2000","Media":0.5700,"Mediana":0.6000,"DesvioPadrao":0.1600,"Minimo":null,"Maximo":null,"numeroRespondentes":null,"baseCalculo":0},{"Indicador":"IPCA","Data":"2000-04-26","DataReferencia":"04/2000","Media":0.5700,"Mediana":0.6000,"DesvioPadrao":0.1600,"Minimo":null,"Maximo":null,"numeroRespondentes":null,"baseCalculo":0},{"Indicador":"IPCA","Data":"2000-04-27","DataReferencia":"04/2000","Media":0.5700,"Mediana":0.6000,"DesvioPadrao":0.1600,"Minimo":null,"Maximo":null,"numeroRespondentes":null,"baseCalculo":0},{"Indicador":"IPCA","Data":"2000-04-28","DataReferencia":"04/2000","Media":0.5700,"Mediana":0.6000,"DesvioPadrao":0.1600,"Minimo":null,"Maximo":null,"numeroRespondentes":null,"baseCalculo":0},{"Indicador":"IPCA","Data":"2000-05-02","DataReferencia":"04/2000","Media":0.5600,"Mediana":0.5800,"DesvioPadrao":0.1700,"Minimo":null,"Maximo":null,"numeroRespondentes":null,"baseCalculo":0},{"Indicador":"IPCA","Data":"2000-05-03","DataReferencia":"04/2000","Media":0.5600,"Mediana":0.6000,"DesvioPadrao":0.1600,"Minimo":null,"Maximo":null,"numeroRespondentes":null,"baseCalculo":0},{"Indicador":"IPCA","Data":"2000-05-04","DataReferencia":"04/2000","Media":0.5400,"Mediana":0.6000,"DesvioPadrao":0.1700,"Minimo":null,"Maximo":null,"numeroRespondentes":null,"baseCalculo":0},{"Indicador":"IPCA","Data":"2000-05-05","DataReferencia":"04/2000","Media":0.5300,"Mediana":0.5500,"DesvioPadrao":0.1600,"Minimo":null,"Maximo":null,"numeroRespondentes":null,"baseCalculo":0},{"Indicador":"IPCA","Data":"2000-05-08","DataReferencia":"04/2000","Media":0.5200,"Mediana":0.5500,"DesvioPadrao":0.1700,"Minimo":null,"Maximo":null,"numeroRespondentes":null,"baseCalculo":0},{"Indicador":"IPCA","Data":"2000-05-09","DataReferencia":"04/2000","Media":0.5100,"Mediana":0.5500,"DesvioPadrao":0.1700,"Minimo":null,"Maximo":null,"numeroRespondentes":null,"baseCalculo":0},{"Indicador":"IPCA","Data":"2000-05-10","DataReferencia":"04/2000","Media":0.5000,"Mediana":0.5000,"DesvioPadrao":0.1700,"Minimo":null,"Maximo":null,"numeroRespondentes":null,"baseCalculo":0}]}</v>
      </c>
    </row>
    <row r="7" spans="1:10" s="8" customFormat="1" x14ac:dyDescent="0.2">
      <c r="A7" s="7" t="s">
        <v>25</v>
      </c>
    </row>
    <row r="8" spans="1:10" x14ac:dyDescent="0.2">
      <c r="A8" s="1" t="str" cm="1">
        <f t="array" ref="A8:J97">xlFOCUS_ReadJSON(A5,TRUE)</f>
        <v>Indicador</v>
      </c>
      <c r="B8" s="1" t="str">
        <v>Data</v>
      </c>
      <c r="C8" s="1" t="str">
        <v>DataReferencia</v>
      </c>
      <c r="D8" s="1" t="str">
        <v>Media</v>
      </c>
      <c r="E8" s="1" t="str">
        <v>Mediana</v>
      </c>
      <c r="F8" s="1" t="str">
        <v>DesvioPadrao</v>
      </c>
      <c r="G8" s="1" t="str">
        <v>Minimo</v>
      </c>
      <c r="H8" s="1" t="str">
        <v>Maximo</v>
      </c>
      <c r="I8" s="1" t="str">
        <v>numeroRespondentes</v>
      </c>
      <c r="J8" s="1" t="str">
        <v>baseCalculo</v>
      </c>
    </row>
    <row r="9" spans="1:10" x14ac:dyDescent="0.2">
      <c r="A9" s="1" t="str">
        <v>IPCA</v>
      </c>
      <c r="B9" s="1" t="str">
        <v>2000-01-03</v>
      </c>
      <c r="C9" s="1" t="str">
        <v>04/2000</v>
      </c>
      <c r="D9" s="1">
        <v>0.6</v>
      </c>
      <c r="E9" s="1">
        <v>0.6</v>
      </c>
      <c r="F9" s="1">
        <v>0.19</v>
      </c>
      <c r="G9" s="1" t="str">
        <v/>
      </c>
      <c r="H9" s="1" t="str">
        <v/>
      </c>
      <c r="I9" s="1" t="str">
        <v/>
      </c>
      <c r="J9" s="1">
        <v>0</v>
      </c>
    </row>
    <row r="10" spans="1:10" x14ac:dyDescent="0.2">
      <c r="A10" s="1" t="str">
        <v>IPCA</v>
      </c>
      <c r="B10" s="1" t="str">
        <v>2000-01-04</v>
      </c>
      <c r="C10" s="1" t="str">
        <v>04/2000</v>
      </c>
      <c r="D10" s="1">
        <v>0.6</v>
      </c>
      <c r="E10" s="1">
        <v>0.6</v>
      </c>
      <c r="F10" s="1">
        <v>0.19</v>
      </c>
      <c r="G10" s="1" t="str">
        <v/>
      </c>
      <c r="H10" s="1" t="str">
        <v/>
      </c>
      <c r="I10" s="1" t="str">
        <v/>
      </c>
      <c r="J10" s="1">
        <v>0</v>
      </c>
    </row>
    <row r="11" spans="1:10" x14ac:dyDescent="0.2">
      <c r="A11" s="1" t="str">
        <v>IPCA</v>
      </c>
      <c r="B11" s="1" t="str">
        <v>2000-01-05</v>
      </c>
      <c r="C11" s="1" t="str">
        <v>04/2000</v>
      </c>
      <c r="D11" s="1">
        <v>0.61</v>
      </c>
      <c r="E11" s="1">
        <v>0.6</v>
      </c>
      <c r="F11" s="1">
        <v>0.19</v>
      </c>
      <c r="G11" s="1" t="str">
        <v/>
      </c>
      <c r="H11" s="1" t="str">
        <v/>
      </c>
      <c r="I11" s="1" t="str">
        <v/>
      </c>
      <c r="J11" s="1">
        <v>0</v>
      </c>
    </row>
    <row r="12" spans="1:10" x14ac:dyDescent="0.2">
      <c r="A12" s="1" t="str">
        <v>IPCA</v>
      </c>
      <c r="B12" s="1" t="str">
        <v>2000-01-06</v>
      </c>
      <c r="C12" s="1" t="str">
        <v>04/2000</v>
      </c>
      <c r="D12" s="1">
        <v>0.6</v>
      </c>
      <c r="E12" s="1">
        <v>0.6</v>
      </c>
      <c r="F12" s="1">
        <v>0.19</v>
      </c>
      <c r="G12" s="1" t="str">
        <v/>
      </c>
      <c r="H12" s="1" t="str">
        <v/>
      </c>
      <c r="I12" s="1" t="str">
        <v/>
      </c>
      <c r="J12" s="1">
        <v>0</v>
      </c>
    </row>
    <row r="13" spans="1:10" x14ac:dyDescent="0.2">
      <c r="A13" s="1" t="str">
        <v>IPCA</v>
      </c>
      <c r="B13" s="1" t="str">
        <v>2000-01-07</v>
      </c>
      <c r="C13" s="1" t="str">
        <v>04/2000</v>
      </c>
      <c r="D13" s="1">
        <v>0.6</v>
      </c>
      <c r="E13" s="1">
        <v>0.6</v>
      </c>
      <c r="F13" s="1">
        <v>0.19</v>
      </c>
      <c r="G13" s="1" t="str">
        <v/>
      </c>
      <c r="H13" s="1" t="str">
        <v/>
      </c>
      <c r="I13" s="1" t="str">
        <v/>
      </c>
      <c r="J13" s="1">
        <v>0</v>
      </c>
    </row>
    <row r="14" spans="1:10" x14ac:dyDescent="0.2">
      <c r="A14" s="1" t="str">
        <v>IPCA</v>
      </c>
      <c r="B14" s="1" t="str">
        <v>2000-01-10</v>
      </c>
      <c r="C14" s="1" t="str">
        <v>04/2000</v>
      </c>
      <c r="D14" s="1">
        <v>0.6</v>
      </c>
      <c r="E14" s="1">
        <v>0.6</v>
      </c>
      <c r="F14" s="1">
        <v>0.19</v>
      </c>
      <c r="G14" s="1" t="str">
        <v/>
      </c>
      <c r="H14" s="1" t="str">
        <v/>
      </c>
      <c r="I14" s="1" t="str">
        <v/>
      </c>
      <c r="J14" s="1">
        <v>0</v>
      </c>
    </row>
    <row r="15" spans="1:10" x14ac:dyDescent="0.2">
      <c r="A15" s="1" t="str">
        <v>IPCA</v>
      </c>
      <c r="B15" s="1" t="str">
        <v>2000-01-11</v>
      </c>
      <c r="C15" s="1" t="str">
        <v>04/2000</v>
      </c>
      <c r="D15" s="1">
        <v>0.6</v>
      </c>
      <c r="E15" s="1">
        <v>0.6</v>
      </c>
      <c r="F15" s="1">
        <v>0.19</v>
      </c>
      <c r="G15" s="1" t="str">
        <v/>
      </c>
      <c r="H15" s="1" t="str">
        <v/>
      </c>
      <c r="I15" s="1" t="str">
        <v/>
      </c>
      <c r="J15" s="1">
        <v>0</v>
      </c>
    </row>
    <row r="16" spans="1:10" x14ac:dyDescent="0.2">
      <c r="A16" s="1" t="str">
        <v>IPCA</v>
      </c>
      <c r="B16" s="1" t="str">
        <v>2000-01-12</v>
      </c>
      <c r="C16" s="1" t="str">
        <v>04/2000</v>
      </c>
      <c r="D16" s="1">
        <v>0.57999999999999996</v>
      </c>
      <c r="E16" s="1">
        <v>0.6</v>
      </c>
      <c r="F16" s="1">
        <v>0.19</v>
      </c>
      <c r="G16" s="1" t="str">
        <v/>
      </c>
      <c r="H16" s="1" t="str">
        <v/>
      </c>
      <c r="I16" s="1" t="str">
        <v/>
      </c>
      <c r="J16" s="1">
        <v>0</v>
      </c>
    </row>
    <row r="17" spans="1:10" x14ac:dyDescent="0.2">
      <c r="A17" s="1" t="str">
        <v>IPCA</v>
      </c>
      <c r="B17" s="1" t="str">
        <v>2000-01-13</v>
      </c>
      <c r="C17" s="1" t="str">
        <v>04/2000</v>
      </c>
      <c r="D17" s="1">
        <v>0.55000000000000004</v>
      </c>
      <c r="E17" s="1">
        <v>0.5</v>
      </c>
      <c r="F17" s="1">
        <v>0.17</v>
      </c>
      <c r="G17" s="1" t="str">
        <v/>
      </c>
      <c r="H17" s="1" t="str">
        <v/>
      </c>
      <c r="I17" s="1" t="str">
        <v/>
      </c>
      <c r="J17" s="1">
        <v>0</v>
      </c>
    </row>
    <row r="18" spans="1:10" x14ac:dyDescent="0.2">
      <c r="A18" s="1" t="str">
        <v>IPCA</v>
      </c>
      <c r="B18" s="1" t="str">
        <v>2000-01-14</v>
      </c>
      <c r="C18" s="1" t="str">
        <v>04/2000</v>
      </c>
      <c r="D18" s="1">
        <v>0.55000000000000004</v>
      </c>
      <c r="E18" s="1">
        <v>0.5</v>
      </c>
      <c r="F18" s="1">
        <v>0.17</v>
      </c>
      <c r="G18" s="1" t="str">
        <v/>
      </c>
      <c r="H18" s="1" t="str">
        <v/>
      </c>
      <c r="I18" s="1" t="str">
        <v/>
      </c>
      <c r="J18" s="1">
        <v>0</v>
      </c>
    </row>
    <row r="19" spans="1:10" x14ac:dyDescent="0.2">
      <c r="A19" s="1" t="str">
        <v>IPCA</v>
      </c>
      <c r="B19" s="1" t="str">
        <v>2000-01-17</v>
      </c>
      <c r="C19" s="1" t="str">
        <v>04/2000</v>
      </c>
      <c r="D19" s="1">
        <v>0.55000000000000004</v>
      </c>
      <c r="E19" s="1">
        <v>0.5</v>
      </c>
      <c r="F19" s="1">
        <v>0.16</v>
      </c>
      <c r="G19" s="1" t="str">
        <v/>
      </c>
      <c r="H19" s="1" t="str">
        <v/>
      </c>
      <c r="I19" s="1" t="str">
        <v/>
      </c>
      <c r="J19" s="1">
        <v>0</v>
      </c>
    </row>
    <row r="20" spans="1:10" x14ac:dyDescent="0.2">
      <c r="A20" s="1" t="str">
        <v>IPCA</v>
      </c>
      <c r="B20" s="1" t="str">
        <v>2000-01-18</v>
      </c>
      <c r="C20" s="1" t="str">
        <v>04/2000</v>
      </c>
      <c r="D20" s="1">
        <v>0.54</v>
      </c>
      <c r="E20" s="1">
        <v>0.5</v>
      </c>
      <c r="F20" s="1">
        <v>0.16</v>
      </c>
      <c r="G20" s="1" t="str">
        <v/>
      </c>
      <c r="H20" s="1" t="str">
        <v/>
      </c>
      <c r="I20" s="1" t="str">
        <v/>
      </c>
      <c r="J20" s="1">
        <v>0</v>
      </c>
    </row>
    <row r="21" spans="1:10" x14ac:dyDescent="0.2">
      <c r="A21" s="1" t="str">
        <v>IPCA</v>
      </c>
      <c r="B21" s="1" t="str">
        <v>2000-01-19</v>
      </c>
      <c r="C21" s="1" t="str">
        <v>04/2000</v>
      </c>
      <c r="D21" s="1">
        <v>0.54</v>
      </c>
      <c r="E21" s="1">
        <v>0.5</v>
      </c>
      <c r="F21" s="1">
        <v>0.17</v>
      </c>
      <c r="G21" s="1" t="str">
        <v/>
      </c>
      <c r="H21" s="1" t="str">
        <v/>
      </c>
      <c r="I21" s="1" t="str">
        <v/>
      </c>
      <c r="J21" s="1">
        <v>0</v>
      </c>
    </row>
    <row r="22" spans="1:10" x14ac:dyDescent="0.2">
      <c r="A22" s="1" t="str">
        <v>IPCA</v>
      </c>
      <c r="B22" s="1" t="str">
        <v>2000-01-20</v>
      </c>
      <c r="C22" s="1" t="str">
        <v>04/2000</v>
      </c>
      <c r="D22" s="1">
        <v>0.53</v>
      </c>
      <c r="E22" s="1">
        <v>0.5</v>
      </c>
      <c r="F22" s="1">
        <v>0.17</v>
      </c>
      <c r="G22" s="1" t="str">
        <v/>
      </c>
      <c r="H22" s="1" t="str">
        <v/>
      </c>
      <c r="I22" s="1" t="str">
        <v/>
      </c>
      <c r="J22" s="1">
        <v>0</v>
      </c>
    </row>
    <row r="23" spans="1:10" x14ac:dyDescent="0.2">
      <c r="A23" s="1" t="str">
        <v>IPCA</v>
      </c>
      <c r="B23" s="1" t="str">
        <v>2000-01-21</v>
      </c>
      <c r="C23" s="1" t="str">
        <v>04/2000</v>
      </c>
      <c r="D23" s="1">
        <v>0.53</v>
      </c>
      <c r="E23" s="1">
        <v>0.5</v>
      </c>
      <c r="F23" s="1">
        <v>0.16</v>
      </c>
      <c r="G23" s="1" t="str">
        <v/>
      </c>
      <c r="H23" s="1" t="str">
        <v/>
      </c>
      <c r="I23" s="1" t="str">
        <v/>
      </c>
      <c r="J23" s="1">
        <v>0</v>
      </c>
    </row>
    <row r="24" spans="1:10" x14ac:dyDescent="0.2">
      <c r="A24" s="1" t="str">
        <v>IPCA</v>
      </c>
      <c r="B24" s="1" t="str">
        <v>2000-01-24</v>
      </c>
      <c r="C24" s="1" t="str">
        <v>04/2000</v>
      </c>
      <c r="D24" s="1">
        <v>0.53</v>
      </c>
      <c r="E24" s="1">
        <v>0.5</v>
      </c>
      <c r="F24" s="1">
        <v>0.16</v>
      </c>
      <c r="G24" s="1" t="str">
        <v/>
      </c>
      <c r="H24" s="1" t="str">
        <v/>
      </c>
      <c r="I24" s="1" t="str">
        <v/>
      </c>
      <c r="J24" s="1">
        <v>0</v>
      </c>
    </row>
    <row r="25" spans="1:10" x14ac:dyDescent="0.2">
      <c r="A25" s="1" t="str">
        <v>IPCA</v>
      </c>
      <c r="B25" s="1" t="str">
        <v>2000-01-25</v>
      </c>
      <c r="C25" s="1" t="str">
        <v>04/2000</v>
      </c>
      <c r="D25" s="1">
        <v>0.53</v>
      </c>
      <c r="E25" s="1">
        <v>0.5</v>
      </c>
      <c r="F25" s="1">
        <v>0.16</v>
      </c>
      <c r="G25" s="1" t="str">
        <v/>
      </c>
      <c r="H25" s="1" t="str">
        <v/>
      </c>
      <c r="I25" s="1" t="str">
        <v/>
      </c>
      <c r="J25" s="1">
        <v>0</v>
      </c>
    </row>
    <row r="26" spans="1:10" x14ac:dyDescent="0.2">
      <c r="A26" s="1" t="str">
        <v>IPCA</v>
      </c>
      <c r="B26" s="1" t="str">
        <v>2000-01-26</v>
      </c>
      <c r="C26" s="1" t="str">
        <v>04/2000</v>
      </c>
      <c r="D26" s="1">
        <v>0.53</v>
      </c>
      <c r="E26" s="1">
        <v>0.5</v>
      </c>
      <c r="F26" s="1">
        <v>0.16</v>
      </c>
      <c r="G26" s="1" t="str">
        <v/>
      </c>
      <c r="H26" s="1" t="str">
        <v/>
      </c>
      <c r="I26" s="1" t="str">
        <v/>
      </c>
      <c r="J26" s="1">
        <v>0</v>
      </c>
    </row>
    <row r="27" spans="1:10" x14ac:dyDescent="0.2">
      <c r="A27" s="1" t="str">
        <v>IPCA</v>
      </c>
      <c r="B27" s="1" t="str">
        <v>2000-01-27</v>
      </c>
      <c r="C27" s="1" t="str">
        <v>04/2000</v>
      </c>
      <c r="D27" s="1">
        <v>0.53</v>
      </c>
      <c r="E27" s="1">
        <v>0.5</v>
      </c>
      <c r="F27" s="1">
        <v>0.16</v>
      </c>
      <c r="G27" s="1" t="str">
        <v/>
      </c>
      <c r="H27" s="1" t="str">
        <v/>
      </c>
      <c r="I27" s="1" t="str">
        <v/>
      </c>
      <c r="J27" s="1">
        <v>0</v>
      </c>
    </row>
    <row r="28" spans="1:10" x14ac:dyDescent="0.2">
      <c r="A28" s="1" t="str">
        <v>IPCA</v>
      </c>
      <c r="B28" s="1" t="str">
        <v>2000-01-28</v>
      </c>
      <c r="C28" s="1" t="str">
        <v>04/2000</v>
      </c>
      <c r="D28" s="1">
        <v>0.53</v>
      </c>
      <c r="E28" s="1">
        <v>0.5</v>
      </c>
      <c r="F28" s="1">
        <v>0.16</v>
      </c>
      <c r="G28" s="1" t="str">
        <v/>
      </c>
      <c r="H28" s="1" t="str">
        <v/>
      </c>
      <c r="I28" s="1" t="str">
        <v/>
      </c>
      <c r="J28" s="1">
        <v>0</v>
      </c>
    </row>
    <row r="29" spans="1:10" x14ac:dyDescent="0.2">
      <c r="A29" s="1" t="str">
        <v>IPCA</v>
      </c>
      <c r="B29" s="1" t="str">
        <v>2000-01-31</v>
      </c>
      <c r="C29" s="1" t="str">
        <v>04/2000</v>
      </c>
      <c r="D29" s="1">
        <v>0.53</v>
      </c>
      <c r="E29" s="1">
        <v>0.5</v>
      </c>
      <c r="F29" s="1">
        <v>0.16</v>
      </c>
      <c r="G29" s="1" t="str">
        <v/>
      </c>
      <c r="H29" s="1" t="str">
        <v/>
      </c>
      <c r="I29" s="1" t="str">
        <v/>
      </c>
      <c r="J29" s="1">
        <v>0</v>
      </c>
    </row>
    <row r="30" spans="1:10" x14ac:dyDescent="0.2">
      <c r="A30" s="1" t="str">
        <v>IPCA</v>
      </c>
      <c r="B30" s="1" t="str">
        <v>2000-02-01</v>
      </c>
      <c r="C30" s="1" t="str">
        <v>04/2000</v>
      </c>
      <c r="D30" s="1">
        <v>0.53</v>
      </c>
      <c r="E30" s="1">
        <v>0.5</v>
      </c>
      <c r="F30" s="1">
        <v>0.16</v>
      </c>
      <c r="G30" s="1" t="str">
        <v/>
      </c>
      <c r="H30" s="1" t="str">
        <v/>
      </c>
      <c r="I30" s="1" t="str">
        <v/>
      </c>
      <c r="J30" s="1">
        <v>0</v>
      </c>
    </row>
    <row r="31" spans="1:10" x14ac:dyDescent="0.2">
      <c r="A31" s="1" t="str">
        <v>IPCA</v>
      </c>
      <c r="B31" s="1" t="str">
        <v>2000-02-02</v>
      </c>
      <c r="C31" s="1" t="str">
        <v>04/2000</v>
      </c>
      <c r="D31" s="1">
        <v>0.53</v>
      </c>
      <c r="E31" s="1">
        <v>0.5</v>
      </c>
      <c r="F31" s="1">
        <v>0.16</v>
      </c>
      <c r="G31" s="1" t="str">
        <v/>
      </c>
      <c r="H31" s="1" t="str">
        <v/>
      </c>
      <c r="I31" s="1" t="str">
        <v/>
      </c>
      <c r="J31" s="1">
        <v>0</v>
      </c>
    </row>
    <row r="32" spans="1:10" x14ac:dyDescent="0.2">
      <c r="A32" s="1" t="str">
        <v>IPCA</v>
      </c>
      <c r="B32" s="1" t="str">
        <v>2000-02-03</v>
      </c>
      <c r="C32" s="1" t="str">
        <v>04/2000</v>
      </c>
      <c r="D32" s="1">
        <v>0.53</v>
      </c>
      <c r="E32" s="1">
        <v>0.5</v>
      </c>
      <c r="F32" s="1">
        <v>0.16</v>
      </c>
      <c r="G32" s="1" t="str">
        <v/>
      </c>
      <c r="H32" s="1" t="str">
        <v/>
      </c>
      <c r="I32" s="1" t="str">
        <v/>
      </c>
      <c r="J32" s="1">
        <v>0</v>
      </c>
    </row>
    <row r="33" spans="1:10" x14ac:dyDescent="0.2">
      <c r="A33" s="1" t="str">
        <v>IPCA</v>
      </c>
      <c r="B33" s="1" t="str">
        <v>2000-02-04</v>
      </c>
      <c r="C33" s="1" t="str">
        <v>04/2000</v>
      </c>
      <c r="D33" s="1">
        <v>0.54</v>
      </c>
      <c r="E33" s="1">
        <v>0.5</v>
      </c>
      <c r="F33" s="1">
        <v>0.15</v>
      </c>
      <c r="G33" s="1" t="str">
        <v/>
      </c>
      <c r="H33" s="1" t="str">
        <v/>
      </c>
      <c r="I33" s="1" t="str">
        <v/>
      </c>
      <c r="J33" s="1">
        <v>0</v>
      </c>
    </row>
    <row r="34" spans="1:10" x14ac:dyDescent="0.2">
      <c r="A34" s="1" t="str">
        <v>IPCA</v>
      </c>
      <c r="B34" s="1" t="str">
        <v>2000-02-07</v>
      </c>
      <c r="C34" s="1" t="str">
        <v>04/2000</v>
      </c>
      <c r="D34" s="1">
        <v>0.54</v>
      </c>
      <c r="E34" s="1">
        <v>0.5</v>
      </c>
      <c r="F34" s="1">
        <v>0.15</v>
      </c>
      <c r="G34" s="1" t="str">
        <v/>
      </c>
      <c r="H34" s="1" t="str">
        <v/>
      </c>
      <c r="I34" s="1" t="str">
        <v/>
      </c>
      <c r="J34" s="1">
        <v>0</v>
      </c>
    </row>
    <row r="35" spans="1:10" x14ac:dyDescent="0.2">
      <c r="A35" s="1" t="str">
        <v>IPCA</v>
      </c>
      <c r="B35" s="1" t="str">
        <v>2000-02-08</v>
      </c>
      <c r="C35" s="1" t="str">
        <v>04/2000</v>
      </c>
      <c r="D35" s="1">
        <v>0.54</v>
      </c>
      <c r="E35" s="1">
        <v>0.5</v>
      </c>
      <c r="F35" s="1">
        <v>0.15</v>
      </c>
      <c r="G35" s="1" t="str">
        <v/>
      </c>
      <c r="H35" s="1" t="str">
        <v/>
      </c>
      <c r="I35" s="1" t="str">
        <v/>
      </c>
      <c r="J35" s="1">
        <v>0</v>
      </c>
    </row>
    <row r="36" spans="1:10" x14ac:dyDescent="0.2">
      <c r="A36" s="1" t="str">
        <v>IPCA</v>
      </c>
      <c r="B36" s="1" t="str">
        <v>2000-02-09</v>
      </c>
      <c r="C36" s="1" t="str">
        <v>04/2000</v>
      </c>
      <c r="D36" s="1">
        <v>0.53</v>
      </c>
      <c r="E36" s="1">
        <v>0.5</v>
      </c>
      <c r="F36" s="1">
        <v>0.15</v>
      </c>
      <c r="G36" s="1" t="str">
        <v/>
      </c>
      <c r="H36" s="1" t="str">
        <v/>
      </c>
      <c r="I36" s="1" t="str">
        <v/>
      </c>
      <c r="J36" s="1">
        <v>0</v>
      </c>
    </row>
    <row r="37" spans="1:10" x14ac:dyDescent="0.2">
      <c r="A37" s="1" t="str">
        <v>IPCA</v>
      </c>
      <c r="B37" s="1" t="str">
        <v>2000-02-10</v>
      </c>
      <c r="C37" s="1" t="str">
        <v>04/2000</v>
      </c>
      <c r="D37" s="1">
        <v>0.53</v>
      </c>
      <c r="E37" s="1">
        <v>0.5</v>
      </c>
      <c r="F37" s="1">
        <v>0.15</v>
      </c>
      <c r="G37" s="1" t="str">
        <v/>
      </c>
      <c r="H37" s="1" t="str">
        <v/>
      </c>
      <c r="I37" s="1" t="str">
        <v/>
      </c>
      <c r="J37" s="1">
        <v>0</v>
      </c>
    </row>
    <row r="38" spans="1:10" x14ac:dyDescent="0.2">
      <c r="A38" s="1" t="str">
        <v>IPCA</v>
      </c>
      <c r="B38" s="1" t="str">
        <v>2000-02-11</v>
      </c>
      <c r="C38" s="1" t="str">
        <v>04/2000</v>
      </c>
      <c r="D38" s="1">
        <v>0.53</v>
      </c>
      <c r="E38" s="1">
        <v>0.5</v>
      </c>
      <c r="F38" s="1">
        <v>0.15</v>
      </c>
      <c r="G38" s="1" t="str">
        <v/>
      </c>
      <c r="H38" s="1" t="str">
        <v/>
      </c>
      <c r="I38" s="1" t="str">
        <v/>
      </c>
      <c r="J38" s="1">
        <v>0</v>
      </c>
    </row>
    <row r="39" spans="1:10" x14ac:dyDescent="0.2">
      <c r="A39" s="1" t="str">
        <v>IPCA</v>
      </c>
      <c r="B39" s="1" t="str">
        <v>2000-02-14</v>
      </c>
      <c r="C39" s="1" t="str">
        <v>04/2000</v>
      </c>
      <c r="D39" s="1">
        <v>0.53</v>
      </c>
      <c r="E39" s="1">
        <v>0.5</v>
      </c>
      <c r="F39" s="1">
        <v>0.14000000000000001</v>
      </c>
      <c r="G39" s="1" t="str">
        <v/>
      </c>
      <c r="H39" s="1" t="str">
        <v/>
      </c>
      <c r="I39" s="1" t="str">
        <v/>
      </c>
      <c r="J39" s="1">
        <v>0</v>
      </c>
    </row>
    <row r="40" spans="1:10" x14ac:dyDescent="0.2">
      <c r="A40" s="1" t="str">
        <v>IPCA</v>
      </c>
      <c r="B40" s="1" t="str">
        <v>2000-02-15</v>
      </c>
      <c r="C40" s="1" t="str">
        <v>04/2000</v>
      </c>
      <c r="D40" s="1">
        <v>0.53</v>
      </c>
      <c r="E40" s="1">
        <v>0.5</v>
      </c>
      <c r="F40" s="1">
        <v>0.14000000000000001</v>
      </c>
      <c r="G40" s="1" t="str">
        <v/>
      </c>
      <c r="H40" s="1" t="str">
        <v/>
      </c>
      <c r="I40" s="1" t="str">
        <v/>
      </c>
      <c r="J40" s="1">
        <v>0</v>
      </c>
    </row>
    <row r="41" spans="1:10" x14ac:dyDescent="0.2">
      <c r="A41" s="1" t="str">
        <v>IPCA</v>
      </c>
      <c r="B41" s="1" t="str">
        <v>2000-02-16</v>
      </c>
      <c r="C41" s="1" t="str">
        <v>04/2000</v>
      </c>
      <c r="D41" s="1">
        <v>0.53</v>
      </c>
      <c r="E41" s="1">
        <v>0.5</v>
      </c>
      <c r="F41" s="1">
        <v>0.14000000000000001</v>
      </c>
      <c r="G41" s="1" t="str">
        <v/>
      </c>
      <c r="H41" s="1" t="str">
        <v/>
      </c>
      <c r="I41" s="1" t="str">
        <v/>
      </c>
      <c r="J41" s="1">
        <v>0</v>
      </c>
    </row>
    <row r="42" spans="1:10" x14ac:dyDescent="0.2">
      <c r="A42" s="1" t="str">
        <v>IPCA</v>
      </c>
      <c r="B42" s="1" t="str">
        <v>2000-02-17</v>
      </c>
      <c r="C42" s="1" t="str">
        <v>04/2000</v>
      </c>
      <c r="D42" s="1">
        <v>0.53</v>
      </c>
      <c r="E42" s="1">
        <v>0.5</v>
      </c>
      <c r="F42" s="1">
        <v>0.15</v>
      </c>
      <c r="G42" s="1" t="str">
        <v/>
      </c>
      <c r="H42" s="1" t="str">
        <v/>
      </c>
      <c r="I42" s="1" t="str">
        <v/>
      </c>
      <c r="J42" s="1">
        <v>0</v>
      </c>
    </row>
    <row r="43" spans="1:10" x14ac:dyDescent="0.2">
      <c r="A43" s="1" t="str">
        <v>IPCA</v>
      </c>
      <c r="B43" s="1" t="str">
        <v>2000-02-18</v>
      </c>
      <c r="C43" s="1" t="str">
        <v>04/2000</v>
      </c>
      <c r="D43" s="1">
        <v>0.53</v>
      </c>
      <c r="E43" s="1">
        <v>0.5</v>
      </c>
      <c r="F43" s="1">
        <v>0.14000000000000001</v>
      </c>
      <c r="G43" s="1" t="str">
        <v/>
      </c>
      <c r="H43" s="1" t="str">
        <v/>
      </c>
      <c r="I43" s="1" t="str">
        <v/>
      </c>
      <c r="J43" s="1">
        <v>0</v>
      </c>
    </row>
    <row r="44" spans="1:10" x14ac:dyDescent="0.2">
      <c r="A44" s="1" t="str">
        <v>IPCA</v>
      </c>
      <c r="B44" s="1" t="str">
        <v>2000-02-21</v>
      </c>
      <c r="C44" s="1" t="str">
        <v>04/2000</v>
      </c>
      <c r="D44" s="1">
        <v>0.54</v>
      </c>
      <c r="E44" s="1">
        <v>0.5</v>
      </c>
      <c r="F44" s="1">
        <v>0.15</v>
      </c>
      <c r="G44" s="1" t="str">
        <v/>
      </c>
      <c r="H44" s="1" t="str">
        <v/>
      </c>
      <c r="I44" s="1" t="str">
        <v/>
      </c>
      <c r="J44" s="1">
        <v>0</v>
      </c>
    </row>
    <row r="45" spans="1:10" x14ac:dyDescent="0.2">
      <c r="A45" s="1" t="str">
        <v>IPCA</v>
      </c>
      <c r="B45" s="1" t="str">
        <v>2000-02-22</v>
      </c>
      <c r="C45" s="1" t="str">
        <v>04/2000</v>
      </c>
      <c r="D45" s="1">
        <v>0.54</v>
      </c>
      <c r="E45" s="1">
        <v>0.5</v>
      </c>
      <c r="F45" s="1">
        <v>0.15</v>
      </c>
      <c r="G45" s="1" t="str">
        <v/>
      </c>
      <c r="H45" s="1" t="str">
        <v/>
      </c>
      <c r="I45" s="1" t="str">
        <v/>
      </c>
      <c r="J45" s="1">
        <v>0</v>
      </c>
    </row>
    <row r="46" spans="1:10" x14ac:dyDescent="0.2">
      <c r="A46" s="1" t="str">
        <v>IPCA</v>
      </c>
      <c r="B46" s="1" t="str">
        <v>2000-02-23</v>
      </c>
      <c r="C46" s="1" t="str">
        <v>04/2000</v>
      </c>
      <c r="D46" s="1">
        <v>0.55000000000000004</v>
      </c>
      <c r="E46" s="1">
        <v>0.53</v>
      </c>
      <c r="F46" s="1">
        <v>0.14000000000000001</v>
      </c>
      <c r="G46" s="1" t="str">
        <v/>
      </c>
      <c r="H46" s="1" t="str">
        <v/>
      </c>
      <c r="I46" s="1" t="str">
        <v/>
      </c>
      <c r="J46" s="1">
        <v>0</v>
      </c>
    </row>
    <row r="47" spans="1:10" x14ac:dyDescent="0.2">
      <c r="A47" s="1" t="str">
        <v>IPCA</v>
      </c>
      <c r="B47" s="1" t="str">
        <v>2000-02-24</v>
      </c>
      <c r="C47" s="1" t="str">
        <v>04/2000</v>
      </c>
      <c r="D47" s="1">
        <v>0.55000000000000004</v>
      </c>
      <c r="E47" s="1">
        <v>0.53</v>
      </c>
      <c r="F47" s="1">
        <v>0.15</v>
      </c>
      <c r="G47" s="1" t="str">
        <v/>
      </c>
      <c r="H47" s="1" t="str">
        <v/>
      </c>
      <c r="I47" s="1" t="str">
        <v/>
      </c>
      <c r="J47" s="1">
        <v>0</v>
      </c>
    </row>
    <row r="48" spans="1:10" x14ac:dyDescent="0.2">
      <c r="A48" s="1" t="str">
        <v>IPCA</v>
      </c>
      <c r="B48" s="1" t="str">
        <v>2000-02-25</v>
      </c>
      <c r="C48" s="1" t="str">
        <v>04/2000</v>
      </c>
      <c r="D48" s="1">
        <v>0.55000000000000004</v>
      </c>
      <c r="E48" s="1">
        <v>0.53</v>
      </c>
      <c r="F48" s="1">
        <v>0.15</v>
      </c>
      <c r="G48" s="1" t="str">
        <v/>
      </c>
      <c r="H48" s="1" t="str">
        <v/>
      </c>
      <c r="I48" s="1" t="str">
        <v/>
      </c>
      <c r="J48" s="1">
        <v>0</v>
      </c>
    </row>
    <row r="49" spans="1:10" x14ac:dyDescent="0.2">
      <c r="A49" s="1" t="str">
        <v>IPCA</v>
      </c>
      <c r="B49" s="1" t="str">
        <v>2000-02-28</v>
      </c>
      <c r="C49" s="1" t="str">
        <v>04/2000</v>
      </c>
      <c r="D49" s="1">
        <v>0.55000000000000004</v>
      </c>
      <c r="E49" s="1">
        <v>0.53</v>
      </c>
      <c r="F49" s="1">
        <v>0.15</v>
      </c>
      <c r="G49" s="1" t="str">
        <v/>
      </c>
      <c r="H49" s="1" t="str">
        <v/>
      </c>
      <c r="I49" s="1" t="str">
        <v/>
      </c>
      <c r="J49" s="1">
        <v>0</v>
      </c>
    </row>
    <row r="50" spans="1:10" x14ac:dyDescent="0.2">
      <c r="A50" s="1" t="str">
        <v>IPCA</v>
      </c>
      <c r="B50" s="1" t="str">
        <v>2000-02-29</v>
      </c>
      <c r="C50" s="1" t="str">
        <v>04/2000</v>
      </c>
      <c r="D50" s="1">
        <v>0.55000000000000004</v>
      </c>
      <c r="E50" s="1">
        <v>0.53</v>
      </c>
      <c r="F50" s="1">
        <v>0.15</v>
      </c>
      <c r="G50" s="1" t="str">
        <v/>
      </c>
      <c r="H50" s="1" t="str">
        <v/>
      </c>
      <c r="I50" s="1" t="str">
        <v/>
      </c>
      <c r="J50" s="1">
        <v>0</v>
      </c>
    </row>
    <row r="51" spans="1:10" x14ac:dyDescent="0.2">
      <c r="A51" s="1" t="str">
        <v>IPCA</v>
      </c>
      <c r="B51" s="1" t="str">
        <v>2000-03-01</v>
      </c>
      <c r="C51" s="1" t="str">
        <v>04/2000</v>
      </c>
      <c r="D51" s="1">
        <v>0.54</v>
      </c>
      <c r="E51" s="1">
        <v>0.5</v>
      </c>
      <c r="F51" s="1">
        <v>0.15</v>
      </c>
      <c r="G51" s="1" t="str">
        <v/>
      </c>
      <c r="H51" s="1" t="str">
        <v/>
      </c>
      <c r="I51" s="1" t="str">
        <v/>
      </c>
      <c r="J51" s="1">
        <v>0</v>
      </c>
    </row>
    <row r="52" spans="1:10" x14ac:dyDescent="0.2">
      <c r="A52" s="1" t="str">
        <v>IPCA</v>
      </c>
      <c r="B52" s="1" t="str">
        <v>2000-03-02</v>
      </c>
      <c r="C52" s="1" t="str">
        <v>04/2000</v>
      </c>
      <c r="D52" s="1">
        <v>0.53</v>
      </c>
      <c r="E52" s="1">
        <v>0.5</v>
      </c>
      <c r="F52" s="1">
        <v>0.15</v>
      </c>
      <c r="G52" s="1" t="str">
        <v/>
      </c>
      <c r="H52" s="1" t="str">
        <v/>
      </c>
      <c r="I52" s="1" t="str">
        <v/>
      </c>
      <c r="J52" s="1">
        <v>0</v>
      </c>
    </row>
    <row r="53" spans="1:10" x14ac:dyDescent="0.2">
      <c r="A53" s="1" t="str">
        <v>IPCA</v>
      </c>
      <c r="B53" s="1" t="str">
        <v>2000-03-03</v>
      </c>
      <c r="C53" s="1" t="str">
        <v>04/2000</v>
      </c>
      <c r="D53" s="1">
        <v>0.52</v>
      </c>
      <c r="E53" s="1">
        <v>0.52</v>
      </c>
      <c r="F53" s="1">
        <v>0.14000000000000001</v>
      </c>
      <c r="G53" s="1" t="str">
        <v/>
      </c>
      <c r="H53" s="1" t="str">
        <v/>
      </c>
      <c r="I53" s="1" t="str">
        <v/>
      </c>
      <c r="J53" s="1">
        <v>0</v>
      </c>
    </row>
    <row r="54" spans="1:10" x14ac:dyDescent="0.2">
      <c r="A54" s="1" t="str">
        <v>IPCA</v>
      </c>
      <c r="B54" s="1" t="str">
        <v>2000-03-08</v>
      </c>
      <c r="C54" s="1" t="str">
        <v>04/2000</v>
      </c>
      <c r="D54" s="1">
        <v>0.52</v>
      </c>
      <c r="E54" s="1">
        <v>0.52</v>
      </c>
      <c r="F54" s="1">
        <v>0.14000000000000001</v>
      </c>
      <c r="G54" s="1" t="str">
        <v/>
      </c>
      <c r="H54" s="1" t="str">
        <v/>
      </c>
      <c r="I54" s="1" t="str">
        <v/>
      </c>
      <c r="J54" s="1">
        <v>0</v>
      </c>
    </row>
    <row r="55" spans="1:10" x14ac:dyDescent="0.2">
      <c r="A55" s="1" t="str">
        <v>IPCA</v>
      </c>
      <c r="B55" s="1" t="str">
        <v>2000-03-09</v>
      </c>
      <c r="C55" s="1" t="str">
        <v>04/2000</v>
      </c>
      <c r="D55" s="1">
        <v>0.52</v>
      </c>
      <c r="E55" s="1">
        <v>0.52</v>
      </c>
      <c r="F55" s="1">
        <v>0.14000000000000001</v>
      </c>
      <c r="G55" s="1" t="str">
        <v/>
      </c>
      <c r="H55" s="1" t="str">
        <v/>
      </c>
      <c r="I55" s="1" t="str">
        <v/>
      </c>
      <c r="J55" s="1">
        <v>0</v>
      </c>
    </row>
    <row r="56" spans="1:10" x14ac:dyDescent="0.2">
      <c r="A56" s="1" t="str">
        <v>IPCA</v>
      </c>
      <c r="B56" s="1" t="str">
        <v>2000-03-10</v>
      </c>
      <c r="C56" s="1" t="str">
        <v>04/2000</v>
      </c>
      <c r="D56" s="1">
        <v>0.52</v>
      </c>
      <c r="E56" s="1">
        <v>0.52</v>
      </c>
      <c r="F56" s="1">
        <v>0.14000000000000001</v>
      </c>
      <c r="G56" s="1" t="str">
        <v/>
      </c>
      <c r="H56" s="1" t="str">
        <v/>
      </c>
      <c r="I56" s="1" t="str">
        <v/>
      </c>
      <c r="J56" s="1">
        <v>0</v>
      </c>
    </row>
    <row r="57" spans="1:10" x14ac:dyDescent="0.2">
      <c r="A57" s="1" t="str">
        <v>IPCA</v>
      </c>
      <c r="B57" s="1" t="str">
        <v>2000-03-13</v>
      </c>
      <c r="C57" s="1" t="str">
        <v>04/2000</v>
      </c>
      <c r="D57" s="1">
        <v>0.52</v>
      </c>
      <c r="E57" s="1">
        <v>0.54</v>
      </c>
      <c r="F57" s="1">
        <v>0.14000000000000001</v>
      </c>
      <c r="G57" s="1" t="str">
        <v/>
      </c>
      <c r="H57" s="1" t="str">
        <v/>
      </c>
      <c r="I57" s="1" t="str">
        <v/>
      </c>
      <c r="J57" s="1">
        <v>0</v>
      </c>
    </row>
    <row r="58" spans="1:10" x14ac:dyDescent="0.2">
      <c r="A58" s="1" t="str">
        <v>IPCA</v>
      </c>
      <c r="B58" s="1" t="str">
        <v>2000-03-14</v>
      </c>
      <c r="C58" s="1" t="str">
        <v>04/2000</v>
      </c>
      <c r="D58" s="1">
        <v>0.52</v>
      </c>
      <c r="E58" s="1">
        <v>0.54</v>
      </c>
      <c r="F58" s="1">
        <v>0.14000000000000001</v>
      </c>
      <c r="G58" s="1" t="str">
        <v/>
      </c>
      <c r="H58" s="1" t="str">
        <v/>
      </c>
      <c r="I58" s="1" t="str">
        <v/>
      </c>
      <c r="J58" s="1">
        <v>0</v>
      </c>
    </row>
    <row r="59" spans="1:10" x14ac:dyDescent="0.2">
      <c r="A59" s="1" t="str">
        <v>IPCA</v>
      </c>
      <c r="B59" s="1" t="str">
        <v>2000-03-15</v>
      </c>
      <c r="C59" s="1" t="str">
        <v>04/2000</v>
      </c>
      <c r="D59" s="1">
        <v>0.52</v>
      </c>
      <c r="E59" s="1">
        <v>0.54</v>
      </c>
      <c r="F59" s="1">
        <v>0.14000000000000001</v>
      </c>
      <c r="G59" s="1" t="str">
        <v/>
      </c>
      <c r="H59" s="1" t="str">
        <v/>
      </c>
      <c r="I59" s="1" t="str">
        <v/>
      </c>
      <c r="J59" s="1">
        <v>0</v>
      </c>
    </row>
    <row r="60" spans="1:10" x14ac:dyDescent="0.2">
      <c r="A60" s="1" t="str">
        <v>IPCA</v>
      </c>
      <c r="B60" s="1" t="str">
        <v>2000-03-16</v>
      </c>
      <c r="C60" s="1" t="str">
        <v>04/2000</v>
      </c>
      <c r="D60" s="1">
        <v>0.51</v>
      </c>
      <c r="E60" s="1">
        <v>0.52</v>
      </c>
      <c r="F60" s="1">
        <v>0.14000000000000001</v>
      </c>
      <c r="G60" s="1" t="str">
        <v/>
      </c>
      <c r="H60" s="1" t="str">
        <v/>
      </c>
      <c r="I60" s="1" t="str">
        <v/>
      </c>
      <c r="J60" s="1">
        <v>0</v>
      </c>
    </row>
    <row r="61" spans="1:10" x14ac:dyDescent="0.2">
      <c r="A61" s="1" t="str">
        <v>IPCA</v>
      </c>
      <c r="B61" s="1" t="str">
        <v>2000-03-17</v>
      </c>
      <c r="C61" s="1" t="str">
        <v>04/2000</v>
      </c>
      <c r="D61" s="1">
        <v>0.49</v>
      </c>
      <c r="E61" s="1">
        <v>0.5</v>
      </c>
      <c r="F61" s="1">
        <v>0.15</v>
      </c>
      <c r="G61" s="1" t="str">
        <v/>
      </c>
      <c r="H61" s="1" t="str">
        <v/>
      </c>
      <c r="I61" s="1" t="str">
        <v/>
      </c>
      <c r="J61" s="1">
        <v>0</v>
      </c>
    </row>
    <row r="62" spans="1:10" x14ac:dyDescent="0.2">
      <c r="A62" s="1" t="str">
        <v>IPCA</v>
      </c>
      <c r="B62" s="1" t="str">
        <v>2000-03-20</v>
      </c>
      <c r="C62" s="1" t="str">
        <v>04/2000</v>
      </c>
      <c r="D62" s="1">
        <v>0.48</v>
      </c>
      <c r="E62" s="1">
        <v>0.47</v>
      </c>
      <c r="F62" s="1">
        <v>0.14000000000000001</v>
      </c>
      <c r="G62" s="1" t="str">
        <v/>
      </c>
      <c r="H62" s="1" t="str">
        <v/>
      </c>
      <c r="I62" s="1" t="str">
        <v/>
      </c>
      <c r="J62" s="1">
        <v>0</v>
      </c>
    </row>
    <row r="63" spans="1:10" x14ac:dyDescent="0.2">
      <c r="A63" s="1" t="str">
        <v>IPCA</v>
      </c>
      <c r="B63" s="1" t="str">
        <v>2000-03-21</v>
      </c>
      <c r="C63" s="1" t="str">
        <v>04/2000</v>
      </c>
      <c r="D63" s="1">
        <v>0.48</v>
      </c>
      <c r="E63" s="1">
        <v>0.45</v>
      </c>
      <c r="F63" s="1">
        <v>0.14000000000000001</v>
      </c>
      <c r="G63" s="1" t="str">
        <v/>
      </c>
      <c r="H63" s="1" t="str">
        <v/>
      </c>
      <c r="I63" s="1" t="str">
        <v/>
      </c>
      <c r="J63" s="1">
        <v>0</v>
      </c>
    </row>
    <row r="64" spans="1:10" x14ac:dyDescent="0.2">
      <c r="A64" s="1" t="str">
        <v>IPCA</v>
      </c>
      <c r="B64" s="1" t="str">
        <v>2000-03-22</v>
      </c>
      <c r="C64" s="1" t="str">
        <v>04/2000</v>
      </c>
      <c r="D64" s="1">
        <v>0.48</v>
      </c>
      <c r="E64" s="1">
        <v>0.45</v>
      </c>
      <c r="F64" s="1">
        <v>0.14000000000000001</v>
      </c>
      <c r="G64" s="1" t="str">
        <v/>
      </c>
      <c r="H64" s="1" t="str">
        <v/>
      </c>
      <c r="I64" s="1" t="str">
        <v/>
      </c>
      <c r="J64" s="1">
        <v>0</v>
      </c>
    </row>
    <row r="65" spans="1:10" x14ac:dyDescent="0.2">
      <c r="A65" s="1" t="str">
        <v>IPCA</v>
      </c>
      <c r="B65" s="1" t="str">
        <v>2000-03-23</v>
      </c>
      <c r="C65" s="1" t="str">
        <v>04/2000</v>
      </c>
      <c r="D65" s="1">
        <v>0.49</v>
      </c>
      <c r="E65" s="1">
        <v>0.49</v>
      </c>
      <c r="F65" s="1">
        <v>0.15</v>
      </c>
      <c r="G65" s="1" t="str">
        <v/>
      </c>
      <c r="H65" s="1" t="str">
        <v/>
      </c>
      <c r="I65" s="1" t="str">
        <v/>
      </c>
      <c r="J65" s="1">
        <v>0</v>
      </c>
    </row>
    <row r="66" spans="1:10" x14ac:dyDescent="0.2">
      <c r="A66" s="1" t="str">
        <v>IPCA</v>
      </c>
      <c r="B66" s="1" t="str">
        <v>2000-03-24</v>
      </c>
      <c r="C66" s="1" t="str">
        <v>04/2000</v>
      </c>
      <c r="D66" s="1">
        <v>0.55000000000000004</v>
      </c>
      <c r="E66" s="1">
        <v>0.59</v>
      </c>
      <c r="F66" s="1">
        <v>0.15</v>
      </c>
      <c r="G66" s="1" t="str">
        <v/>
      </c>
      <c r="H66" s="1" t="str">
        <v/>
      </c>
      <c r="I66" s="1" t="str">
        <v/>
      </c>
      <c r="J66" s="1">
        <v>0</v>
      </c>
    </row>
    <row r="67" spans="1:10" x14ac:dyDescent="0.2">
      <c r="A67" s="1" t="str">
        <v>IPCA</v>
      </c>
      <c r="B67" s="1" t="str">
        <v>2000-03-27</v>
      </c>
      <c r="C67" s="1" t="str">
        <v>04/2000</v>
      </c>
      <c r="D67" s="1">
        <v>0.55000000000000004</v>
      </c>
      <c r="E67" s="1">
        <v>0.59</v>
      </c>
      <c r="F67" s="1">
        <v>0.16</v>
      </c>
      <c r="G67" s="1" t="str">
        <v/>
      </c>
      <c r="H67" s="1" t="str">
        <v/>
      </c>
      <c r="I67" s="1" t="str">
        <v/>
      </c>
      <c r="J67" s="1">
        <v>0</v>
      </c>
    </row>
    <row r="68" spans="1:10" x14ac:dyDescent="0.2">
      <c r="A68" s="1" t="str">
        <v>IPCA</v>
      </c>
      <c r="B68" s="1" t="str">
        <v>2000-03-28</v>
      </c>
      <c r="C68" s="1" t="str">
        <v>04/2000</v>
      </c>
      <c r="D68" s="1">
        <v>0.55000000000000004</v>
      </c>
      <c r="E68" s="1">
        <v>0.59</v>
      </c>
      <c r="F68" s="1">
        <v>0.16</v>
      </c>
      <c r="G68" s="1" t="str">
        <v/>
      </c>
      <c r="H68" s="1" t="str">
        <v/>
      </c>
      <c r="I68" s="1" t="str">
        <v/>
      </c>
      <c r="J68" s="1">
        <v>0</v>
      </c>
    </row>
    <row r="69" spans="1:10" x14ac:dyDescent="0.2">
      <c r="A69" s="1" t="str">
        <v>IPCA</v>
      </c>
      <c r="B69" s="1" t="str">
        <v>2000-03-29</v>
      </c>
      <c r="C69" s="1" t="str">
        <v>04/2000</v>
      </c>
      <c r="D69" s="1">
        <v>0.54</v>
      </c>
      <c r="E69" s="1">
        <v>0.55000000000000004</v>
      </c>
      <c r="F69" s="1">
        <v>0.15</v>
      </c>
      <c r="G69" s="1" t="str">
        <v/>
      </c>
      <c r="H69" s="1" t="str">
        <v/>
      </c>
      <c r="I69" s="1" t="str">
        <v/>
      </c>
      <c r="J69" s="1">
        <v>0</v>
      </c>
    </row>
    <row r="70" spans="1:10" x14ac:dyDescent="0.2">
      <c r="A70" s="1" t="str">
        <v>IPCA</v>
      </c>
      <c r="B70" s="1" t="str">
        <v>2000-03-30</v>
      </c>
      <c r="C70" s="1" t="str">
        <v>04/2000</v>
      </c>
      <c r="D70" s="1">
        <v>0.55000000000000004</v>
      </c>
      <c r="E70" s="1">
        <v>0.56999999999999995</v>
      </c>
      <c r="F70" s="1">
        <v>0.15</v>
      </c>
      <c r="G70" s="1" t="str">
        <v/>
      </c>
      <c r="H70" s="1" t="str">
        <v/>
      </c>
      <c r="I70" s="1" t="str">
        <v/>
      </c>
      <c r="J70" s="1">
        <v>0</v>
      </c>
    </row>
    <row r="71" spans="1:10" x14ac:dyDescent="0.2">
      <c r="A71" s="1" t="str">
        <v>IPCA</v>
      </c>
      <c r="B71" s="1" t="str">
        <v>2000-03-31</v>
      </c>
      <c r="C71" s="1" t="str">
        <v>04/2000</v>
      </c>
      <c r="D71" s="1">
        <v>0.55000000000000004</v>
      </c>
      <c r="E71" s="1">
        <v>0.56000000000000005</v>
      </c>
      <c r="F71" s="1">
        <v>0.15</v>
      </c>
      <c r="G71" s="1" t="str">
        <v/>
      </c>
      <c r="H71" s="1" t="str">
        <v/>
      </c>
      <c r="I71" s="1" t="str">
        <v/>
      </c>
      <c r="J71" s="1">
        <v>0</v>
      </c>
    </row>
    <row r="72" spans="1:10" x14ac:dyDescent="0.2">
      <c r="A72" s="1" t="str">
        <v>IPCA</v>
      </c>
      <c r="B72" s="1" t="str">
        <v>2000-04-03</v>
      </c>
      <c r="C72" s="1" t="str">
        <v>04/2000</v>
      </c>
      <c r="D72" s="1">
        <v>0.55000000000000004</v>
      </c>
      <c r="E72" s="1">
        <v>0.59</v>
      </c>
      <c r="F72" s="1">
        <v>0.16</v>
      </c>
      <c r="G72" s="1" t="str">
        <v/>
      </c>
      <c r="H72" s="1" t="str">
        <v/>
      </c>
      <c r="I72" s="1" t="str">
        <v/>
      </c>
      <c r="J72" s="1">
        <v>0</v>
      </c>
    </row>
    <row r="73" spans="1:10" x14ac:dyDescent="0.2">
      <c r="A73" s="1" t="str">
        <v>IPCA</v>
      </c>
      <c r="B73" s="1" t="str">
        <v>2000-04-04</v>
      </c>
      <c r="C73" s="1" t="str">
        <v>04/2000</v>
      </c>
      <c r="D73" s="1">
        <v>0.55000000000000004</v>
      </c>
      <c r="E73" s="1">
        <v>0.59</v>
      </c>
      <c r="F73" s="1">
        <v>0.16</v>
      </c>
      <c r="G73" s="1" t="str">
        <v/>
      </c>
      <c r="H73" s="1" t="str">
        <v/>
      </c>
      <c r="I73" s="1" t="str">
        <v/>
      </c>
      <c r="J73" s="1">
        <v>0</v>
      </c>
    </row>
    <row r="74" spans="1:10" x14ac:dyDescent="0.2">
      <c r="A74" s="1" t="str">
        <v>IPCA</v>
      </c>
      <c r="B74" s="1" t="str">
        <v>2000-04-05</v>
      </c>
      <c r="C74" s="1" t="str">
        <v>04/2000</v>
      </c>
      <c r="D74" s="1">
        <v>0.56999999999999995</v>
      </c>
      <c r="E74" s="1">
        <v>0.6</v>
      </c>
      <c r="F74" s="1">
        <v>0.16</v>
      </c>
      <c r="G74" s="1" t="str">
        <v/>
      </c>
      <c r="H74" s="1" t="str">
        <v/>
      </c>
      <c r="I74" s="1" t="str">
        <v/>
      </c>
      <c r="J74" s="1">
        <v>0</v>
      </c>
    </row>
    <row r="75" spans="1:10" x14ac:dyDescent="0.2">
      <c r="A75" s="1" t="str">
        <v>IPCA</v>
      </c>
      <c r="B75" s="1" t="str">
        <v>2000-04-06</v>
      </c>
      <c r="C75" s="1" t="str">
        <v>04/2000</v>
      </c>
      <c r="D75" s="1">
        <v>0.56000000000000005</v>
      </c>
      <c r="E75" s="1">
        <v>0.6</v>
      </c>
      <c r="F75" s="1">
        <v>0.16</v>
      </c>
      <c r="G75" s="1" t="str">
        <v/>
      </c>
      <c r="H75" s="1" t="str">
        <v/>
      </c>
      <c r="I75" s="1" t="str">
        <v/>
      </c>
      <c r="J75" s="1">
        <v>0</v>
      </c>
    </row>
    <row r="76" spans="1:10" x14ac:dyDescent="0.2">
      <c r="A76" s="1" t="str">
        <v>IPCA</v>
      </c>
      <c r="B76" s="1" t="str">
        <v>2000-04-07</v>
      </c>
      <c r="C76" s="1" t="str">
        <v>04/2000</v>
      </c>
      <c r="D76" s="1">
        <v>0.56000000000000005</v>
      </c>
      <c r="E76" s="1">
        <v>0.6</v>
      </c>
      <c r="F76" s="1">
        <v>0.17</v>
      </c>
      <c r="G76" s="1" t="str">
        <v/>
      </c>
      <c r="H76" s="1" t="str">
        <v/>
      </c>
      <c r="I76" s="1" t="str">
        <v/>
      </c>
      <c r="J76" s="1">
        <v>0</v>
      </c>
    </row>
    <row r="77" spans="1:10" x14ac:dyDescent="0.2">
      <c r="A77" s="1" t="str">
        <v>IPCA</v>
      </c>
      <c r="B77" s="1" t="str">
        <v>2000-04-10</v>
      </c>
      <c r="C77" s="1" t="str">
        <v>04/2000</v>
      </c>
      <c r="D77" s="1">
        <v>0.56000000000000005</v>
      </c>
      <c r="E77" s="1">
        <v>0.6</v>
      </c>
      <c r="F77" s="1">
        <v>0.17</v>
      </c>
      <c r="G77" s="1" t="str">
        <v/>
      </c>
      <c r="H77" s="1" t="str">
        <v/>
      </c>
      <c r="I77" s="1" t="str">
        <v/>
      </c>
      <c r="J77" s="1">
        <v>0</v>
      </c>
    </row>
    <row r="78" spans="1:10" x14ac:dyDescent="0.2">
      <c r="A78" s="1" t="str">
        <v>IPCA</v>
      </c>
      <c r="B78" s="1" t="str">
        <v>2000-04-11</v>
      </c>
      <c r="C78" s="1" t="str">
        <v>04/2000</v>
      </c>
      <c r="D78" s="1">
        <v>0.56000000000000005</v>
      </c>
      <c r="E78" s="1">
        <v>0.6</v>
      </c>
      <c r="F78" s="1">
        <v>0.17</v>
      </c>
      <c r="G78" s="1" t="str">
        <v/>
      </c>
      <c r="H78" s="1" t="str">
        <v/>
      </c>
      <c r="I78" s="1" t="str">
        <v/>
      </c>
      <c r="J78" s="1">
        <v>0</v>
      </c>
    </row>
    <row r="79" spans="1:10" x14ac:dyDescent="0.2">
      <c r="A79" s="1" t="str">
        <v>IPCA</v>
      </c>
      <c r="B79" s="1" t="str">
        <v>2000-04-12</v>
      </c>
      <c r="C79" s="1" t="str">
        <v>04/2000</v>
      </c>
      <c r="D79" s="1">
        <v>0.56999999999999995</v>
      </c>
      <c r="E79" s="1">
        <v>0.6</v>
      </c>
      <c r="F79" s="1">
        <v>0.16</v>
      </c>
      <c r="G79" s="1" t="str">
        <v/>
      </c>
      <c r="H79" s="1" t="str">
        <v/>
      </c>
      <c r="I79" s="1" t="str">
        <v/>
      </c>
      <c r="J79" s="1">
        <v>0</v>
      </c>
    </row>
    <row r="80" spans="1:10" x14ac:dyDescent="0.2">
      <c r="A80" s="1" t="str">
        <v>IPCA</v>
      </c>
      <c r="B80" s="1" t="str">
        <v>2000-04-13</v>
      </c>
      <c r="C80" s="1" t="str">
        <v>04/2000</v>
      </c>
      <c r="D80" s="1">
        <v>0.56999999999999995</v>
      </c>
      <c r="E80" s="1">
        <v>0.6</v>
      </c>
      <c r="F80" s="1">
        <v>0.17</v>
      </c>
      <c r="G80" s="1" t="str">
        <v/>
      </c>
      <c r="H80" s="1" t="str">
        <v/>
      </c>
      <c r="I80" s="1" t="str">
        <v/>
      </c>
      <c r="J80" s="1">
        <v>0</v>
      </c>
    </row>
    <row r="81" spans="1:10" x14ac:dyDescent="0.2">
      <c r="A81" s="1" t="str">
        <v>IPCA</v>
      </c>
      <c r="B81" s="1" t="str">
        <v>2000-04-14</v>
      </c>
      <c r="C81" s="1" t="str">
        <v>04/2000</v>
      </c>
      <c r="D81" s="1">
        <v>0.56999999999999995</v>
      </c>
      <c r="E81" s="1">
        <v>0.6</v>
      </c>
      <c r="F81" s="1">
        <v>0.17</v>
      </c>
      <c r="G81" s="1" t="str">
        <v/>
      </c>
      <c r="H81" s="1" t="str">
        <v/>
      </c>
      <c r="I81" s="1" t="str">
        <v/>
      </c>
      <c r="J81" s="1">
        <v>0</v>
      </c>
    </row>
    <row r="82" spans="1:10" x14ac:dyDescent="0.2">
      <c r="A82" s="1" t="str">
        <v>IPCA</v>
      </c>
      <c r="B82" s="1" t="str">
        <v>2000-04-17</v>
      </c>
      <c r="C82" s="1" t="str">
        <v>04/2000</v>
      </c>
      <c r="D82" s="1">
        <v>0.57999999999999996</v>
      </c>
      <c r="E82" s="1">
        <v>0.6</v>
      </c>
      <c r="F82" s="1">
        <v>0.16</v>
      </c>
      <c r="G82" s="1" t="str">
        <v/>
      </c>
      <c r="H82" s="1" t="str">
        <v/>
      </c>
      <c r="I82" s="1" t="str">
        <v/>
      </c>
      <c r="J82" s="1">
        <v>0</v>
      </c>
    </row>
    <row r="83" spans="1:10" x14ac:dyDescent="0.2">
      <c r="A83" s="1" t="str">
        <v>IPCA</v>
      </c>
      <c r="B83" s="1" t="str">
        <v>2000-04-18</v>
      </c>
      <c r="C83" s="1" t="str">
        <v>04/2000</v>
      </c>
      <c r="D83" s="1">
        <v>0.57999999999999996</v>
      </c>
      <c r="E83" s="1">
        <v>0.6</v>
      </c>
      <c r="F83" s="1">
        <v>0.16</v>
      </c>
      <c r="G83" s="1" t="str">
        <v/>
      </c>
      <c r="H83" s="1" t="str">
        <v/>
      </c>
      <c r="I83" s="1" t="str">
        <v/>
      </c>
      <c r="J83" s="1">
        <v>0</v>
      </c>
    </row>
    <row r="84" spans="1:10" x14ac:dyDescent="0.2">
      <c r="A84" s="1" t="str">
        <v>IPCA</v>
      </c>
      <c r="B84" s="1" t="str">
        <v>2000-04-19</v>
      </c>
      <c r="C84" s="1" t="str">
        <v>04/2000</v>
      </c>
      <c r="D84" s="1">
        <v>0.56999999999999995</v>
      </c>
      <c r="E84" s="1">
        <v>0.6</v>
      </c>
      <c r="F84" s="1">
        <v>0.16</v>
      </c>
      <c r="G84" s="1" t="str">
        <v/>
      </c>
      <c r="H84" s="1" t="str">
        <v/>
      </c>
      <c r="I84" s="1" t="str">
        <v/>
      </c>
      <c r="J84" s="1">
        <v>0</v>
      </c>
    </row>
    <row r="85" spans="1:10" x14ac:dyDescent="0.2">
      <c r="A85" s="1" t="str">
        <v>IPCA</v>
      </c>
      <c r="B85" s="1" t="str">
        <v>2000-04-20</v>
      </c>
      <c r="C85" s="1" t="str">
        <v>04/2000</v>
      </c>
      <c r="D85" s="1">
        <v>0.56999999999999995</v>
      </c>
      <c r="E85" s="1">
        <v>0.6</v>
      </c>
      <c r="F85" s="1">
        <v>0.16</v>
      </c>
      <c r="G85" s="1" t="str">
        <v/>
      </c>
      <c r="H85" s="1" t="str">
        <v/>
      </c>
      <c r="I85" s="1" t="str">
        <v/>
      </c>
      <c r="J85" s="1">
        <v>0</v>
      </c>
    </row>
    <row r="86" spans="1:10" x14ac:dyDescent="0.2">
      <c r="A86" s="1" t="str">
        <v>IPCA</v>
      </c>
      <c r="B86" s="1" t="str">
        <v>2000-04-24</v>
      </c>
      <c r="C86" s="1" t="str">
        <v>04/2000</v>
      </c>
      <c r="D86" s="1">
        <v>0.56999999999999995</v>
      </c>
      <c r="E86" s="1">
        <v>0.6</v>
      </c>
      <c r="F86" s="1">
        <v>0.16</v>
      </c>
      <c r="G86" s="1" t="str">
        <v/>
      </c>
      <c r="H86" s="1" t="str">
        <v/>
      </c>
      <c r="I86" s="1" t="str">
        <v/>
      </c>
      <c r="J86" s="1">
        <v>0</v>
      </c>
    </row>
    <row r="87" spans="1:10" x14ac:dyDescent="0.2">
      <c r="A87" s="1" t="str">
        <v>IPCA</v>
      </c>
      <c r="B87" s="1" t="str">
        <v>2000-04-25</v>
      </c>
      <c r="C87" s="1" t="str">
        <v>04/2000</v>
      </c>
      <c r="D87" s="1">
        <v>0.56999999999999995</v>
      </c>
      <c r="E87" s="1">
        <v>0.6</v>
      </c>
      <c r="F87" s="1">
        <v>0.16</v>
      </c>
      <c r="G87" s="1" t="str">
        <v/>
      </c>
      <c r="H87" s="1" t="str">
        <v/>
      </c>
      <c r="I87" s="1" t="str">
        <v/>
      </c>
      <c r="J87" s="1">
        <v>0</v>
      </c>
    </row>
    <row r="88" spans="1:10" x14ac:dyDescent="0.2">
      <c r="A88" s="1" t="str">
        <v>IPCA</v>
      </c>
      <c r="B88" s="1" t="str">
        <v>2000-04-26</v>
      </c>
      <c r="C88" s="1" t="str">
        <v>04/2000</v>
      </c>
      <c r="D88" s="1">
        <v>0.56999999999999995</v>
      </c>
      <c r="E88" s="1">
        <v>0.6</v>
      </c>
      <c r="F88" s="1">
        <v>0.16</v>
      </c>
      <c r="G88" s="1" t="str">
        <v/>
      </c>
      <c r="H88" s="1" t="str">
        <v/>
      </c>
      <c r="I88" s="1" t="str">
        <v/>
      </c>
      <c r="J88" s="1">
        <v>0</v>
      </c>
    </row>
    <row r="89" spans="1:10" x14ac:dyDescent="0.2">
      <c r="A89" s="1" t="str">
        <v>IPCA</v>
      </c>
      <c r="B89" s="1" t="str">
        <v>2000-04-27</v>
      </c>
      <c r="C89" s="1" t="str">
        <v>04/2000</v>
      </c>
      <c r="D89" s="1">
        <v>0.56999999999999995</v>
      </c>
      <c r="E89" s="1">
        <v>0.6</v>
      </c>
      <c r="F89" s="1">
        <v>0.16</v>
      </c>
      <c r="G89" s="1" t="str">
        <v/>
      </c>
      <c r="H89" s="1" t="str">
        <v/>
      </c>
      <c r="I89" s="1" t="str">
        <v/>
      </c>
      <c r="J89" s="1">
        <v>0</v>
      </c>
    </row>
    <row r="90" spans="1:10" x14ac:dyDescent="0.2">
      <c r="A90" s="1" t="str">
        <v>IPCA</v>
      </c>
      <c r="B90" s="1" t="str">
        <v>2000-04-28</v>
      </c>
      <c r="C90" s="1" t="str">
        <v>04/2000</v>
      </c>
      <c r="D90" s="1">
        <v>0.56999999999999995</v>
      </c>
      <c r="E90" s="1">
        <v>0.6</v>
      </c>
      <c r="F90" s="1">
        <v>0.16</v>
      </c>
      <c r="G90" s="1" t="str">
        <v/>
      </c>
      <c r="H90" s="1" t="str">
        <v/>
      </c>
      <c r="I90" s="1" t="str">
        <v/>
      </c>
      <c r="J90" s="1">
        <v>0</v>
      </c>
    </row>
    <row r="91" spans="1:10" x14ac:dyDescent="0.2">
      <c r="A91" s="1" t="str">
        <v>IPCA</v>
      </c>
      <c r="B91" s="1" t="str">
        <v>2000-05-02</v>
      </c>
      <c r="C91" s="1" t="str">
        <v>04/2000</v>
      </c>
      <c r="D91" s="1">
        <v>0.56000000000000005</v>
      </c>
      <c r="E91" s="1">
        <v>0.57999999999999996</v>
      </c>
      <c r="F91" s="1">
        <v>0.17</v>
      </c>
      <c r="G91" s="1" t="str">
        <v/>
      </c>
      <c r="H91" s="1" t="str">
        <v/>
      </c>
      <c r="I91" s="1" t="str">
        <v/>
      </c>
      <c r="J91" s="1">
        <v>0</v>
      </c>
    </row>
    <row r="92" spans="1:10" x14ac:dyDescent="0.2">
      <c r="A92" s="1" t="str">
        <v>IPCA</v>
      </c>
      <c r="B92" s="1" t="str">
        <v>2000-05-03</v>
      </c>
      <c r="C92" s="1" t="str">
        <v>04/2000</v>
      </c>
      <c r="D92" s="1">
        <v>0.56000000000000005</v>
      </c>
      <c r="E92" s="1">
        <v>0.6</v>
      </c>
      <c r="F92" s="1">
        <v>0.16</v>
      </c>
      <c r="G92" s="1" t="str">
        <v/>
      </c>
      <c r="H92" s="1" t="str">
        <v/>
      </c>
      <c r="I92" s="1" t="str">
        <v/>
      </c>
      <c r="J92" s="1">
        <v>0</v>
      </c>
    </row>
    <row r="93" spans="1:10" x14ac:dyDescent="0.2">
      <c r="A93" s="1" t="str">
        <v>IPCA</v>
      </c>
      <c r="B93" s="1" t="str">
        <v>2000-05-04</v>
      </c>
      <c r="C93" s="1" t="str">
        <v>04/2000</v>
      </c>
      <c r="D93" s="1">
        <v>0.54</v>
      </c>
      <c r="E93" s="1">
        <v>0.6</v>
      </c>
      <c r="F93" s="1">
        <v>0.17</v>
      </c>
      <c r="G93" s="1" t="str">
        <v/>
      </c>
      <c r="H93" s="1" t="str">
        <v/>
      </c>
      <c r="I93" s="1" t="str">
        <v/>
      </c>
      <c r="J93" s="1">
        <v>0</v>
      </c>
    </row>
    <row r="94" spans="1:10" x14ac:dyDescent="0.2">
      <c r="A94" s="1" t="str">
        <v>IPCA</v>
      </c>
      <c r="B94" s="1" t="str">
        <v>2000-05-05</v>
      </c>
      <c r="C94" s="1" t="str">
        <v>04/2000</v>
      </c>
      <c r="D94" s="1">
        <v>0.53</v>
      </c>
      <c r="E94" s="1">
        <v>0.55000000000000004</v>
      </c>
      <c r="F94" s="1">
        <v>0.16</v>
      </c>
      <c r="G94" s="1" t="str">
        <v/>
      </c>
      <c r="H94" s="1" t="str">
        <v/>
      </c>
      <c r="I94" s="1" t="str">
        <v/>
      </c>
      <c r="J94" s="1">
        <v>0</v>
      </c>
    </row>
    <row r="95" spans="1:10" x14ac:dyDescent="0.2">
      <c r="A95" s="1" t="str">
        <v>IPCA</v>
      </c>
      <c r="B95" s="1" t="str">
        <v>2000-05-08</v>
      </c>
      <c r="C95" s="1" t="str">
        <v>04/2000</v>
      </c>
      <c r="D95" s="1">
        <v>0.52</v>
      </c>
      <c r="E95" s="1">
        <v>0.55000000000000004</v>
      </c>
      <c r="F95" s="1">
        <v>0.17</v>
      </c>
      <c r="G95" s="1" t="str">
        <v/>
      </c>
      <c r="H95" s="1" t="str">
        <v/>
      </c>
      <c r="I95" s="1" t="str">
        <v/>
      </c>
      <c r="J95" s="1">
        <v>0</v>
      </c>
    </row>
    <row r="96" spans="1:10" x14ac:dyDescent="0.2">
      <c r="A96" s="1" t="str">
        <v>IPCA</v>
      </c>
      <c r="B96" s="1" t="str">
        <v>2000-05-09</v>
      </c>
      <c r="C96" s="1" t="str">
        <v>04/2000</v>
      </c>
      <c r="D96" s="1">
        <v>0.51</v>
      </c>
      <c r="E96" s="1">
        <v>0.55000000000000004</v>
      </c>
      <c r="F96" s="1">
        <v>0.17</v>
      </c>
      <c r="G96" s="1" t="str">
        <v/>
      </c>
      <c r="H96" s="1" t="str">
        <v/>
      </c>
      <c r="I96" s="1" t="str">
        <v/>
      </c>
      <c r="J96" s="1">
        <v>0</v>
      </c>
    </row>
    <row r="97" spans="1:10" x14ac:dyDescent="0.2">
      <c r="A97" s="1" t="str">
        <v>IPCA</v>
      </c>
      <c r="B97" s="1" t="str">
        <v>2000-05-10</v>
      </c>
      <c r="C97" s="1" t="str">
        <v>04/2000</v>
      </c>
      <c r="D97" s="1">
        <v>0.5</v>
      </c>
      <c r="E97" s="1">
        <v>0.5</v>
      </c>
      <c r="F97" s="1">
        <v>0.17</v>
      </c>
      <c r="G97" s="1" t="str">
        <v/>
      </c>
      <c r="H97" s="1" t="str">
        <v/>
      </c>
      <c r="I97" s="1" t="str">
        <v/>
      </c>
      <c r="J97" s="1">
        <v>0</v>
      </c>
    </row>
  </sheetData>
  <hyperlinks>
    <hyperlink ref="A2" r:id="rId1" xr:uid="{AD50FF39-3FB5-48C9-84B7-21E17A53C70B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526E9-3825-4911-B348-967FB4300425}">
  <sheetPr codeName="Planilha10"/>
  <dimension ref="A1:AC461"/>
  <sheetViews>
    <sheetView showGridLines="0" workbookViewId="0"/>
  </sheetViews>
  <sheetFormatPr defaultRowHeight="12.75" x14ac:dyDescent="0.2"/>
  <cols>
    <col min="1" max="1" width="16" style="1" customWidth="1"/>
    <col min="2" max="3" width="10.140625" style="1" bestFit="1" customWidth="1"/>
    <col min="4" max="4" width="29.42578125" style="1" customWidth="1"/>
    <col min="5" max="6" width="10.140625" style="1" hidden="1" customWidth="1"/>
    <col min="7" max="7" width="12" style="1" hidden="1" customWidth="1"/>
    <col min="8" max="8" width="1.7109375" style="1" customWidth="1"/>
    <col min="9" max="14" width="9.85546875" style="1" customWidth="1"/>
    <col min="15" max="15" width="1.7109375" style="1" customWidth="1"/>
    <col min="16" max="21" width="9.85546875" style="1" customWidth="1"/>
    <col min="22" max="16384" width="9.140625" style="1"/>
  </cols>
  <sheetData>
    <row r="1" spans="1:29" ht="15.75" x14ac:dyDescent="0.25">
      <c r="A1" s="9" t="s">
        <v>80</v>
      </c>
      <c r="E1" s="10"/>
      <c r="F1" s="10"/>
      <c r="G1" s="11"/>
      <c r="H1" s="11"/>
    </row>
    <row r="2" spans="1:29" x14ac:dyDescent="0.2">
      <c r="D2" s="12" t="s">
        <v>26</v>
      </c>
      <c r="E2" s="25" t="s">
        <v>11</v>
      </c>
      <c r="F2" s="25" t="s">
        <v>27</v>
      </c>
      <c r="G2" s="25" t="s">
        <v>28</v>
      </c>
      <c r="H2" s="25"/>
      <c r="I2" s="13">
        <f>DATE(YEAR($B$3),1,1)</f>
        <v>44197</v>
      </c>
      <c r="J2" s="13"/>
      <c r="K2" s="3"/>
      <c r="L2" s="3"/>
      <c r="M2" s="3"/>
      <c r="N2" s="3"/>
      <c r="O2" s="3"/>
      <c r="P2" s="21">
        <f>DATE(YEAR(I2)+1,1,1)</f>
        <v>44562</v>
      </c>
      <c r="Q2" s="13"/>
      <c r="R2" s="3"/>
      <c r="S2" s="3"/>
      <c r="T2" s="3"/>
      <c r="U2" s="3"/>
    </row>
    <row r="3" spans="1:29" x14ac:dyDescent="0.2">
      <c r="A3" s="3" t="s">
        <v>29</v>
      </c>
      <c r="B3" s="14">
        <v>44540</v>
      </c>
      <c r="I3" s="47" t="s">
        <v>30</v>
      </c>
      <c r="J3" s="47" t="s">
        <v>31</v>
      </c>
      <c r="K3" s="47" t="s">
        <v>32</v>
      </c>
      <c r="L3" s="47" t="s">
        <v>33</v>
      </c>
      <c r="M3" s="47" t="s">
        <v>34</v>
      </c>
      <c r="N3" s="47" t="s">
        <v>33</v>
      </c>
      <c r="O3" s="47"/>
      <c r="P3" s="48" t="s">
        <v>30</v>
      </c>
      <c r="Q3" s="47" t="s">
        <v>31</v>
      </c>
      <c r="R3" s="47" t="s">
        <v>32</v>
      </c>
      <c r="S3" s="47" t="s">
        <v>33</v>
      </c>
      <c r="T3" s="47" t="s">
        <v>34</v>
      </c>
      <c r="U3" s="47" t="s">
        <v>33</v>
      </c>
    </row>
    <row r="4" spans="1:29" x14ac:dyDescent="0.2">
      <c r="D4" s="31" t="s">
        <v>35</v>
      </c>
      <c r="E4" s="31" t="s">
        <v>36</v>
      </c>
      <c r="F4" s="31"/>
      <c r="G4" s="32" t="s">
        <v>17</v>
      </c>
      <c r="H4" s="32"/>
      <c r="I4" s="33" cm="1">
        <f t="array" ref="I4">xlFOCUS_IfError(xlFOCUS_ExpectativasAnuais($E4,$F4,I$2,$B$3-28,$B$3-28,0,$G4),"-")</f>
        <v>9.7736999999999998</v>
      </c>
      <c r="J4" s="33" cm="1">
        <f t="array" ref="J4">xlFOCUS_IfError(xlFOCUS_ExpectativasAnuais($E4,$F4,I$2,$B$3-7,$B$3-7,0,$G4),"-")</f>
        <v>10.180999999999999</v>
      </c>
      <c r="K4" s="33" cm="1">
        <f t="array" ref="K4">xlFOCUS_IfError(xlFOCUS_ExpectativasAnuais($E4,$F4,I$2,$B$3,$B$3,0,$G4),"-")</f>
        <v>10.0501</v>
      </c>
      <c r="L4" s="34" cm="1">
        <f t="array" ref="L4">xlFOCUS_IfError(xlFOCUS_ExpectativasAnuais($E4,$F4,I$2,$B$3,$B$3,0,"numeroRespondentes"),"-")</f>
        <v>135</v>
      </c>
      <c r="M4" s="33" cm="1">
        <f t="array" ref="M4">xlFOCUS_IfError(xlFOCUS_ExpectativasAnuais($E4,$F4,I$2,$B$3,$B$3,1,$G4),"-")</f>
        <v>10.0299</v>
      </c>
      <c r="N4" s="34" cm="1">
        <f t="array" ref="N4">xlFOCUS_IfError(xlFOCUS_ExpectativasAnuais($E4,$F4,I$2,$B$3,$B$3,1,"numeroRespondentes"),"-")</f>
        <v>56</v>
      </c>
      <c r="O4" s="33"/>
      <c r="P4" s="35" cm="1">
        <f t="array" ref="P4">xlFOCUS_IfError(xlFOCUS_ExpectativasAnuais($E4,$F4,P$2,$B$3-28,$B$3-28,0,$G4),"-")</f>
        <v>4.7910000000000004</v>
      </c>
      <c r="Q4" s="33" cm="1">
        <f t="array" ref="Q4">xlFOCUS_IfError(xlFOCUS_ExpectativasAnuais($E4,$F4,P$2,$B$3-7,$B$3-7,0,$G4),"-")</f>
        <v>5.0228999999999999</v>
      </c>
      <c r="R4" s="33" cm="1">
        <f t="array" ref="R4">xlFOCUS_IfError(xlFOCUS_ExpectativasAnuais($E4,$F4,P$2,$B$3,$B$3,0,$G4),"-")</f>
        <v>5.0210999999999997</v>
      </c>
      <c r="S4" s="34" cm="1">
        <f t="array" ref="S4">xlFOCUS_IfError(xlFOCUS_ExpectativasAnuais($E4,$F4,P$2,$B$3,$B$3,0,"numeroRespondentes"),"-")</f>
        <v>135</v>
      </c>
      <c r="T4" s="33" cm="1">
        <f t="array" ref="T4">xlFOCUS_IfError(xlFOCUS_ExpectativasAnuais($E4,$F4,P$2,$B$3,$B$3,1,$G4),"-")</f>
        <v>5.0053999999999998</v>
      </c>
      <c r="U4" s="34" cm="1">
        <f t="array" ref="U4">xlFOCUS_IfError(xlFOCUS_ExpectativasAnuais($E4,$F4,P$2,$B$3,$B$3,1,"numeroRespondentes"),"-")</f>
        <v>56</v>
      </c>
    </row>
    <row r="5" spans="1:29" x14ac:dyDescent="0.2">
      <c r="D5" s="26" t="s">
        <v>37</v>
      </c>
      <c r="E5" s="26" t="s">
        <v>38</v>
      </c>
      <c r="F5" s="26"/>
      <c r="G5" s="27" t="s">
        <v>17</v>
      </c>
      <c r="H5" s="27"/>
      <c r="I5" s="28" cm="1">
        <f t="array" ref="I5">xlFOCUS_IfError(xlFOCUS_ExpectativasAnuais($E5,$F5,I$2,$B$3-28,$B$3-28,0,$G5),"-")</f>
        <v>4.8833000000000002</v>
      </c>
      <c r="J5" s="28" cm="1">
        <f t="array" ref="J5">xlFOCUS_IfError(xlFOCUS_ExpectativasAnuais($E5,$F5,I$2,$B$3-7,$B$3-7,0,$G5),"-")</f>
        <v>4.7107000000000001</v>
      </c>
      <c r="K5" s="28" cm="1">
        <f t="array" ref="K5">xlFOCUS_IfError(xlFOCUS_ExpectativasAnuais($E5,$F5,I$2,$B$3,$B$3,0,$G5),"-")</f>
        <v>4.6483999999999996</v>
      </c>
      <c r="L5" s="29" cm="1">
        <f t="array" ref="L5">xlFOCUS_IfError(xlFOCUS_ExpectativasAnuais($E5,$F5,I$2,$B$3,$B$3,0,"numeroRespondentes"),"-")</f>
        <v>88</v>
      </c>
      <c r="M5" s="28" cm="1">
        <f t="array" ref="M5">xlFOCUS_IfError(xlFOCUS_ExpectativasAnuais($E5,$F5,I$2,$B$3,$B$3,1,$G5),"-")</f>
        <v>4.5602999999999998</v>
      </c>
      <c r="N5" s="29" cm="1">
        <f t="array" ref="N5">xlFOCUS_IfError(xlFOCUS_ExpectativasAnuais($E5,$F5,I$2,$B$3,$B$3,1,"numeroRespondentes"),"-")</f>
        <v>36</v>
      </c>
      <c r="O5" s="28"/>
      <c r="P5" s="30" cm="1">
        <f t="array" ref="P5">xlFOCUS_IfError(xlFOCUS_ExpectativasAnuais($E5,$F5,P$2,$B$3-28,$B$3-28,0,$G5),"-")</f>
        <v>0.92669999999999997</v>
      </c>
      <c r="Q5" s="28" cm="1">
        <f t="array" ref="Q5">xlFOCUS_IfError(xlFOCUS_ExpectativasAnuais($E5,$F5,P$2,$B$3-7,$B$3-7,0,$G5),"-")</f>
        <v>0.51100000000000001</v>
      </c>
      <c r="R5" s="28" cm="1">
        <f t="array" ref="R5">xlFOCUS_IfError(xlFOCUS_ExpectativasAnuais($E5,$F5,P$2,$B$3,$B$3,0,$G5),"-")</f>
        <v>0.5</v>
      </c>
      <c r="S5" s="29" cm="1">
        <f t="array" ref="S5">xlFOCUS_IfError(xlFOCUS_ExpectativasAnuais($E5,$F5,P$2,$B$3,$B$3,0,"numeroRespondentes"),"-")</f>
        <v>86</v>
      </c>
      <c r="T5" s="28" cm="1">
        <f t="array" ref="T5">xlFOCUS_IfError(xlFOCUS_ExpectativasAnuais($E5,$F5,P$2,$B$3,$B$3,1,$G5),"-")</f>
        <v>0.36070000000000002</v>
      </c>
      <c r="U5" s="29" cm="1">
        <f t="array" ref="U5">xlFOCUS_IfError(xlFOCUS_ExpectativasAnuais($E5,$F5,P$2,$B$3,$B$3,1,"numeroRespondentes"),"-")</f>
        <v>35</v>
      </c>
    </row>
    <row r="6" spans="1:29" x14ac:dyDescent="0.2">
      <c r="D6" s="31" t="s">
        <v>39</v>
      </c>
      <c r="E6" s="31" t="s">
        <v>40</v>
      </c>
      <c r="F6" s="31"/>
      <c r="G6" s="32" t="s">
        <v>17</v>
      </c>
      <c r="H6" s="32"/>
      <c r="I6" s="33" cm="1">
        <f t="array" ref="I6">xlFOCUS_IfError(xlFOCUS_ExpectativasAnuais($E6,$F6,I$2,$B$3-28,$B$3-28,0,$G6),"-")</f>
        <v>5.5</v>
      </c>
      <c r="J6" s="33" cm="1">
        <f t="array" ref="J6">xlFOCUS_IfError(xlFOCUS_ExpectativasAnuais($E6,$F6,I$2,$B$3-7,$B$3-7,0,$G6),"-")</f>
        <v>5.5549999999999997</v>
      </c>
      <c r="K6" s="33" cm="1">
        <f t="array" ref="K6">xlFOCUS_IfError(xlFOCUS_ExpectativasAnuais($E6,$F6,I$2,$B$3,$B$3,0,$G6),"-")</f>
        <v>5.5907</v>
      </c>
      <c r="L6" s="34" cm="1">
        <f t="array" ref="L6">xlFOCUS_IfError(xlFOCUS_ExpectativasAnuais($E6,$F6,I$2,$B$3,$B$3,0,"numeroRespondentes"),"-")</f>
        <v>111</v>
      </c>
      <c r="M6" s="33" cm="1">
        <f t="array" ref="M6">xlFOCUS_IfError(xlFOCUS_ExpectativasAnuais($E6,$F6,I$2,$B$3,$B$3,1,$G6),"-")</f>
        <v>5.59</v>
      </c>
      <c r="N6" s="34" cm="1">
        <f t="array" ref="N6">xlFOCUS_IfError(xlFOCUS_ExpectativasAnuais($E6,$F6,I$2,$B$3,$B$3,1,"numeroRespondentes"),"-")</f>
        <v>42</v>
      </c>
      <c r="O6" s="33"/>
      <c r="P6" s="35" cm="1">
        <f t="array" ref="P6">xlFOCUS_IfError(xlFOCUS_ExpectativasAnuais($E6,$F6,P$2,$B$3-28,$B$3-28,0,$G6),"-")</f>
        <v>5.5</v>
      </c>
      <c r="Q6" s="33" cm="1">
        <f t="array" ref="Q6">xlFOCUS_IfError(xlFOCUS_ExpectativasAnuais($E6,$F6,P$2,$B$3-7,$B$3-7,0,$G6),"-")</f>
        <v>5.55</v>
      </c>
      <c r="R6" s="33" cm="1">
        <f t="array" ref="R6">xlFOCUS_IfError(xlFOCUS_ExpectativasAnuais($E6,$F6,P$2,$B$3,$B$3,0,$G6),"-")</f>
        <v>5.55</v>
      </c>
      <c r="S6" s="34" cm="1">
        <f t="array" ref="S6">xlFOCUS_IfError(xlFOCUS_ExpectativasAnuais($E6,$F6,P$2,$B$3,$B$3,0,"numeroRespondentes"),"-")</f>
        <v>110</v>
      </c>
      <c r="T6" s="33" cm="1">
        <f t="array" ref="T6">xlFOCUS_IfError(xlFOCUS_ExpectativasAnuais($E6,$F6,P$2,$B$3,$B$3,1,$G6),"-")</f>
        <v>5.6</v>
      </c>
      <c r="U6" s="34" cm="1">
        <f t="array" ref="U6">xlFOCUS_IfError(xlFOCUS_ExpectativasAnuais($E6,$F6,P$2,$B$3,$B$3,1,"numeroRespondentes"),"-")</f>
        <v>42</v>
      </c>
    </row>
    <row r="7" spans="1:29" x14ac:dyDescent="0.2">
      <c r="D7" s="26" t="s">
        <v>41</v>
      </c>
      <c r="E7" s="26" t="s">
        <v>42</v>
      </c>
      <c r="F7" s="26"/>
      <c r="G7" s="27" t="s">
        <v>17</v>
      </c>
      <c r="H7" s="27"/>
      <c r="I7" s="28" cm="1">
        <f t="array" ref="I7">xlFOCUS_IfError(xlFOCUS_ExpectativasAnuais($E7,$F7,I$2,$B$3-28,$B$3-28,0,$G7),"-")</f>
        <v>9.25</v>
      </c>
      <c r="J7" s="28" cm="1">
        <f t="array" ref="J7">xlFOCUS_IfError(xlFOCUS_ExpectativasAnuais($E7,$F7,I$2,$B$3-7,$B$3-7,0,$G7),"-")</f>
        <v>9.25</v>
      </c>
      <c r="K7" s="28" t="str" cm="1">
        <f t="array" ref="K7">xlFOCUS_IfError(xlFOCUS_ExpectativasAnuais($E7,$F7,I$2,$B$3,$B$3,0,$G7),"-")</f>
        <v>-</v>
      </c>
      <c r="L7" s="29" t="str" cm="1">
        <f t="array" ref="L7">xlFOCUS_IfError(xlFOCUS_ExpectativasAnuais($E7,$F7,I$2,$B$3,$B$3,0,"numeroRespondentes"),"-")</f>
        <v>-</v>
      </c>
      <c r="M7" s="28" t="str" cm="1">
        <f t="array" ref="M7">xlFOCUS_IfError(xlFOCUS_ExpectativasAnuais($E7,$F7,I$2,$B$3,$B$3,1,$G7),"-")</f>
        <v>-</v>
      </c>
      <c r="N7" s="29" t="str" cm="1">
        <f t="array" ref="N7">xlFOCUS_IfError(xlFOCUS_ExpectativasAnuais($E7,$F7,I$2,$B$3,$B$3,1,"numeroRespondentes"),"-")</f>
        <v>-</v>
      </c>
      <c r="O7" s="28"/>
      <c r="P7" s="30" cm="1">
        <f t="array" ref="P7">xlFOCUS_IfError(xlFOCUS_ExpectativasAnuais($E7,$F7,P$2,$B$3-28,$B$3-28,0,$G7),"-")</f>
        <v>11</v>
      </c>
      <c r="Q7" s="28" cm="1">
        <f t="array" ref="Q7">xlFOCUS_IfError(xlFOCUS_ExpectativasAnuais($E7,$F7,P$2,$B$3-7,$B$3-7,0,$G7),"-")</f>
        <v>11.25</v>
      </c>
      <c r="R7" s="28" cm="1">
        <f t="array" ref="R7">xlFOCUS_IfError(xlFOCUS_ExpectativasAnuais($E7,$F7,P$2,$B$3,$B$3,0,$G7),"-")</f>
        <v>11.5</v>
      </c>
      <c r="S7" s="29" cm="1">
        <f t="array" ref="S7">xlFOCUS_IfError(xlFOCUS_ExpectativasAnuais($E7,$F7,P$2,$B$3,$B$3,0,"numeroRespondentes"),"-")</f>
        <v>123</v>
      </c>
      <c r="T7" s="28" cm="1">
        <f t="array" ref="T7">xlFOCUS_IfError(xlFOCUS_ExpectativasAnuais($E7,$F7,P$2,$B$3,$B$3,1,$G7),"-")</f>
        <v>11.5</v>
      </c>
      <c r="U7" s="29" cm="1">
        <f t="array" ref="U7">xlFOCUS_IfError(xlFOCUS_ExpectativasAnuais($E7,$F7,P$2,$B$3,$B$3,1,"numeroRespondentes"),"-")</f>
        <v>48</v>
      </c>
    </row>
    <row r="8" spans="1:29" x14ac:dyDescent="0.2">
      <c r="D8" s="31" t="s">
        <v>43</v>
      </c>
      <c r="E8" s="31" t="s">
        <v>44</v>
      </c>
      <c r="F8" s="31"/>
      <c r="G8" s="32" t="s">
        <v>17</v>
      </c>
      <c r="H8" s="32"/>
      <c r="I8" s="33" cm="1">
        <f t="array" ref="I8">xlFOCUS_IfError(xlFOCUS_ExpectativasAnuais($E8,$F8,I$2,$B$3-28,$B$3-28,0,$G8),"-")</f>
        <v>18.537199999999999</v>
      </c>
      <c r="J8" s="33" cm="1">
        <f t="array" ref="J8">xlFOCUS_IfError(xlFOCUS_ExpectativasAnuais($E8,$F8,I$2,$B$3-7,$B$3-7,0,$G8),"-")</f>
        <v>17.466999999999999</v>
      </c>
      <c r="K8" s="33" cm="1">
        <f t="array" ref="K8">xlFOCUS_IfError(xlFOCUS_ExpectativasAnuais($E8,$F8,I$2,$B$3,$B$3,0,$G8),"-")</f>
        <v>17.466999999999999</v>
      </c>
      <c r="L8" s="34" cm="1">
        <f t="array" ref="L8">xlFOCUS_IfError(xlFOCUS_ExpectativasAnuais($E8,$F8,I$2,$B$3,$B$3,0,"numeroRespondentes"),"-")</f>
        <v>83</v>
      </c>
      <c r="M8" s="33" cm="1">
        <f t="array" ref="M8">xlFOCUS_IfError(xlFOCUS_ExpectativasAnuais($E8,$F8,I$2,$B$3,$B$3,1,$G8),"-")</f>
        <v>17.350200000000001</v>
      </c>
      <c r="N8" s="34" cm="1">
        <f t="array" ref="N8">xlFOCUS_IfError(xlFOCUS_ExpectativasAnuais($E8,$F8,I$2,$B$3,$B$3,1,"numeroRespondentes"),"-")</f>
        <v>25</v>
      </c>
      <c r="O8" s="33"/>
      <c r="P8" s="35" cm="1">
        <f t="array" ref="P8">xlFOCUS_IfError(xlFOCUS_ExpectativasAnuais($E8,$F8,P$2,$B$3-28,$B$3-28,0,$G8),"-")</f>
        <v>5.3777999999999997</v>
      </c>
      <c r="Q8" s="33" cm="1">
        <f t="array" ref="Q8">xlFOCUS_IfError(xlFOCUS_ExpectativasAnuais($E8,$F8,P$2,$B$3-7,$B$3-7,0,$G8),"-")</f>
        <v>5.4</v>
      </c>
      <c r="R8" s="33" cm="1">
        <f t="array" ref="R8">xlFOCUS_IfError(xlFOCUS_ExpectativasAnuais($E8,$F8,P$2,$B$3,$B$3,0,$G8),"-")</f>
        <v>5.4086999999999996</v>
      </c>
      <c r="S8" s="34" cm="1">
        <f t="array" ref="S8">xlFOCUS_IfError(xlFOCUS_ExpectativasAnuais($E8,$F8,P$2,$B$3,$B$3,0,"numeroRespondentes"),"-")</f>
        <v>81</v>
      </c>
      <c r="T8" s="33" cm="1">
        <f t="array" ref="T8">xlFOCUS_IfError(xlFOCUS_ExpectativasAnuais($E8,$F8,P$2,$B$3,$B$3,1,$G8),"-")</f>
        <v>5.0278999999999998</v>
      </c>
      <c r="U8" s="34" cm="1">
        <f t="array" ref="U8">xlFOCUS_IfError(xlFOCUS_ExpectativasAnuais($E8,$F8,P$2,$B$3,$B$3,1,"numeroRespondentes"),"-")</f>
        <v>25</v>
      </c>
    </row>
    <row r="9" spans="1:29" x14ac:dyDescent="0.2">
      <c r="D9" s="26" t="s">
        <v>45</v>
      </c>
      <c r="E9" s="26" t="s">
        <v>46</v>
      </c>
      <c r="F9" s="26"/>
      <c r="G9" s="27" t="s">
        <v>17</v>
      </c>
      <c r="H9" s="27"/>
      <c r="I9" s="28" cm="1">
        <f t="array" ref="I9">xlFOCUS_IfError(xlFOCUS_ExpectativasAnuais($E9,$F9,I$2,$B$3-28,$B$3-28,0,$G9),"-")</f>
        <v>15.7409</v>
      </c>
      <c r="J9" s="28" cm="1">
        <f t="array" ref="J9">xlFOCUS_IfError(xlFOCUS_ExpectativasAnuais($E9,$F9,I$2,$B$3-7,$B$3-7,0,$G9),"-")</f>
        <v>17.027799999999999</v>
      </c>
      <c r="K9" s="28" cm="1">
        <f t="array" ref="K9">xlFOCUS_IfError(xlFOCUS_ExpectativasAnuais($E9,$F9,I$2,$B$3,$B$3,0,$G9),"-")</f>
        <v>17.278500000000001</v>
      </c>
      <c r="L9" s="29" cm="1">
        <f t="array" ref="L9">xlFOCUS_IfError(xlFOCUS_ExpectativasAnuais($E9,$F9,I$2,$B$3,$B$3,0,"numeroRespondentes"),"-")</f>
        <v>67</v>
      </c>
      <c r="M9" s="28" cm="1">
        <f t="array" ref="M9">xlFOCUS_IfError(xlFOCUS_ExpectativasAnuais($E9,$F9,I$2,$B$3,$B$3,1,$G9),"-")</f>
        <v>17.173300000000001</v>
      </c>
      <c r="N9" s="29" cm="1">
        <f t="array" ref="N9">xlFOCUS_IfError(xlFOCUS_ExpectativasAnuais($E9,$F9,I$2,$B$3,$B$3,1,"numeroRespondentes"),"-")</f>
        <v>21</v>
      </c>
      <c r="O9" s="28"/>
      <c r="P9" s="30" cm="1">
        <f t="array" ref="P9">xlFOCUS_IfError(xlFOCUS_ExpectativasAnuais($E9,$F9,P$2,$B$3-28,$B$3-28,0,$G9),"-")</f>
        <v>4.4008000000000003</v>
      </c>
      <c r="Q9" s="28" cm="1">
        <f t="array" ref="Q9">xlFOCUS_IfError(xlFOCUS_ExpectativasAnuais($E9,$F9,P$2,$B$3-7,$B$3-7,0,$G9),"-")</f>
        <v>4.2896999999999998</v>
      </c>
      <c r="R9" s="28" cm="1">
        <f t="array" ref="R9">xlFOCUS_IfError(xlFOCUS_ExpectativasAnuais($E9,$F9,P$2,$B$3,$B$3,0,$G9),"-")</f>
        <v>4.3562000000000003</v>
      </c>
      <c r="S9" s="29" cm="1">
        <f t="array" ref="S9">xlFOCUS_IfError(xlFOCUS_ExpectativasAnuais($E9,$F9,P$2,$B$3,$B$3,0,"numeroRespondentes"),"-")</f>
        <v>65</v>
      </c>
      <c r="T9" s="28" cm="1">
        <f t="array" ref="T9">xlFOCUS_IfError(xlFOCUS_ExpectativasAnuais($E9,$F9,P$2,$B$3,$B$3,1,$G9),"-")</f>
        <v>4.4080000000000004</v>
      </c>
      <c r="U9" s="29" cm="1">
        <f t="array" ref="U9">xlFOCUS_IfError(xlFOCUS_ExpectativasAnuais($E9,$F9,P$2,$B$3,$B$3,1,"numeroRespondentes"),"-")</f>
        <v>20</v>
      </c>
    </row>
    <row r="10" spans="1:29" x14ac:dyDescent="0.2">
      <c r="D10" s="36" t="s">
        <v>47</v>
      </c>
      <c r="E10" s="36" t="s">
        <v>48</v>
      </c>
      <c r="F10" s="36"/>
      <c r="G10" s="37" t="s">
        <v>17</v>
      </c>
      <c r="H10" s="37"/>
      <c r="I10" s="38" cm="1">
        <f t="array" ref="I10">xlFOCUS_IfError(xlFOCUS_ExpectativasAnuais($E10,$F10,I$2,$B$3-28,$B$3-28,0,$G10),"-")</f>
        <v>-10.7859</v>
      </c>
      <c r="J10" s="38" cm="1">
        <f t="array" ref="J10">xlFOCUS_IfError(xlFOCUS_ExpectativasAnuais($E10,$F10,I$2,$B$3-7,$B$3-7,0,$G10),"-")</f>
        <v>-14.5</v>
      </c>
      <c r="K10" s="38" cm="1">
        <f t="array" ref="K10">xlFOCUS_IfError(xlFOCUS_ExpectativasAnuais($E10,$F10,I$2,$B$3,$B$3,0,$G10),"-")</f>
        <v>-19.5</v>
      </c>
      <c r="L10" s="39" cm="1">
        <f t="array" ref="L10">xlFOCUS_IfError(xlFOCUS_ExpectativasAnuais($E10,$F10,I$2,$B$3,$B$3,0,"numeroRespondentes"),"-")</f>
        <v>23</v>
      </c>
      <c r="M10" s="38" cm="1">
        <f t="array" ref="M10">xlFOCUS_IfError(xlFOCUS_ExpectativasAnuais($E10,$F10,I$2,$B$3,$B$3,1,$G10),"-")</f>
        <v>-20.75</v>
      </c>
      <c r="N10" s="39" cm="1">
        <f t="array" ref="N10">xlFOCUS_IfError(xlFOCUS_ExpectativasAnuais($E10,$F10,I$2,$B$3,$B$3,1,"numeroRespondentes"),"-")</f>
        <v>10</v>
      </c>
      <c r="O10" s="38"/>
      <c r="P10" s="40" cm="1">
        <f t="array" ref="P10">xlFOCUS_IfError(xlFOCUS_ExpectativasAnuais($E10,$F10,P$2,$B$3-28,$B$3-28,0,$G10),"-")</f>
        <v>-19</v>
      </c>
      <c r="Q10" s="38" cm="1">
        <f t="array" ref="Q10">xlFOCUS_IfError(xlFOCUS_ExpectativasAnuais($E10,$F10,P$2,$B$3-7,$B$3-7,0,$G10),"-")</f>
        <v>-19</v>
      </c>
      <c r="R10" s="38" cm="1">
        <f t="array" ref="R10">xlFOCUS_IfError(xlFOCUS_ExpectativasAnuais($E10,$F10,P$2,$B$3,$B$3,0,$G10),"-")</f>
        <v>-21.5</v>
      </c>
      <c r="S10" s="39" cm="1">
        <f t="array" ref="S10">xlFOCUS_IfError(xlFOCUS_ExpectativasAnuais($E10,$F10,P$2,$B$3,$B$3,0,"numeroRespondentes"),"-")</f>
        <v>22</v>
      </c>
      <c r="T10" s="38" cm="1">
        <f t="array" ref="T10">xlFOCUS_IfError(xlFOCUS_ExpectativasAnuais($E10,$F10,P$2,$B$3,$B$3,1,$G10),"-")</f>
        <v>-22</v>
      </c>
      <c r="U10" s="39" cm="1">
        <f t="array" ref="U10">xlFOCUS_IfError(xlFOCUS_ExpectativasAnuais($E10,$F10,P$2,$B$3,$B$3,1,"numeroRespondentes"),"-")</f>
        <v>10</v>
      </c>
    </row>
    <row r="11" spans="1:29" x14ac:dyDescent="0.2">
      <c r="D11" s="26" t="s">
        <v>49</v>
      </c>
      <c r="E11" s="26" t="s">
        <v>50</v>
      </c>
      <c r="F11" s="26" t="s">
        <v>51</v>
      </c>
      <c r="G11" s="26" t="s">
        <v>17</v>
      </c>
      <c r="H11" s="26"/>
      <c r="I11" s="28" cm="1">
        <f t="array" ref="I11">xlFOCUS_IfError(xlFOCUS_ExpectativasAnuais($E11,$F11,I$2,$B$3-28,$B$3-28,0,$G11),"-")</f>
        <v>70.3</v>
      </c>
      <c r="J11" s="28" cm="1">
        <f t="array" ref="J11">xlFOCUS_IfError(xlFOCUS_ExpectativasAnuais($E11,$F11,I$2,$B$3-7,$B$3-7,0,$G11),"-")</f>
        <v>60.3</v>
      </c>
      <c r="K11" s="28" cm="1">
        <f t="array" ref="K11">xlFOCUS_IfError(xlFOCUS_ExpectativasAnuais($E11,$F11,I$2,$B$3,$B$3,0,$G11),"-")</f>
        <v>59.9</v>
      </c>
      <c r="L11" s="29" cm="1">
        <f t="array" ref="L11">xlFOCUS_IfError(xlFOCUS_ExpectativasAnuais($E11,$F11,I$2,$B$3,$B$3,0,"numeroRespondentes"),"-")</f>
        <v>22</v>
      </c>
      <c r="M11" s="28" cm="1">
        <f t="array" ref="M11">xlFOCUS_IfError(xlFOCUS_ExpectativasAnuais($E11,$F11,I$2,$B$3,$B$3,1,$G11),"-")</f>
        <v>57</v>
      </c>
      <c r="N11" s="29" cm="1">
        <f t="array" ref="N11">xlFOCUS_IfError(xlFOCUS_ExpectativasAnuais($E11,$F11,I$2,$B$3,$B$3,1,"numeroRespondentes"),"-")</f>
        <v>9</v>
      </c>
      <c r="O11" s="28"/>
      <c r="P11" s="30" cm="1">
        <f t="array" ref="P11">xlFOCUS_IfError(xlFOCUS_ExpectativasAnuais($E11,$F11,P$2,$B$3-28,$B$3-28,0,$G11),"-")</f>
        <v>63</v>
      </c>
      <c r="Q11" s="28" cm="1">
        <f t="array" ref="Q11">xlFOCUS_IfError(xlFOCUS_ExpectativasAnuais($E11,$F11,P$2,$B$3-7,$B$3-7,0,$G11),"-")</f>
        <v>63</v>
      </c>
      <c r="R11" s="28" cm="1">
        <f t="array" ref="R11">xlFOCUS_IfError(xlFOCUS_ExpectativasAnuais($E11,$F11,P$2,$B$3,$B$3,0,$G11),"-")</f>
        <v>55.8</v>
      </c>
      <c r="S11" s="29" cm="1">
        <f t="array" ref="S11">xlFOCUS_IfError(xlFOCUS_ExpectativasAnuais($E11,$F11,P$2,$B$3,$B$3,0,"numeroRespondentes"),"-")</f>
        <v>21</v>
      </c>
      <c r="T11" s="28" cm="1">
        <f t="array" ref="T11">xlFOCUS_IfError(xlFOCUS_ExpectativasAnuais($E11,$F11,P$2,$B$3,$B$3,1,$G11),"-")</f>
        <v>55</v>
      </c>
      <c r="U11" s="29" cm="1">
        <f t="array" ref="U11">xlFOCUS_IfError(xlFOCUS_ExpectativasAnuais($E11,$F11,P$2,$B$3,$B$3,1,"numeroRespondentes"),"-")</f>
        <v>9</v>
      </c>
      <c r="V11" s="10"/>
      <c r="W11" s="10"/>
      <c r="X11" s="10"/>
      <c r="Y11" s="10"/>
      <c r="Z11" s="10"/>
      <c r="AA11" s="10"/>
      <c r="AB11" s="10"/>
      <c r="AC11" s="10"/>
    </row>
    <row r="12" spans="1:29" x14ac:dyDescent="0.2">
      <c r="D12" s="41" t="s">
        <v>52</v>
      </c>
      <c r="E12" s="41" t="s">
        <v>53</v>
      </c>
      <c r="F12" s="41"/>
      <c r="G12" s="41" t="s">
        <v>17</v>
      </c>
      <c r="H12" s="41"/>
      <c r="I12" s="42" cm="1">
        <f t="array" ref="I12">xlFOCUS_IfError(xlFOCUS_ExpectativasAnuais($E12,$F12,I$2,$B$3-28,$B$3-28,0,$G12),"-")</f>
        <v>50</v>
      </c>
      <c r="J12" s="42" cm="1">
        <f t="array" ref="J12">xlFOCUS_IfError(xlFOCUS_ExpectativasAnuais($E12,$F12,I$2,$B$3-7,$B$3-7,0,$G12),"-")</f>
        <v>50</v>
      </c>
      <c r="K12" s="42" cm="1">
        <f t="array" ref="K12">xlFOCUS_IfError(xlFOCUS_ExpectativasAnuais($E12,$F12,I$2,$B$3,$B$3,0,$G12),"-")</f>
        <v>52</v>
      </c>
      <c r="L12" s="43" cm="1">
        <f t="array" ref="L12">xlFOCUS_IfError(xlFOCUS_ExpectativasAnuais($E12,$F12,I$2,$B$3,$B$3,0,"numeroRespondentes"),"-")</f>
        <v>21</v>
      </c>
      <c r="M12" s="42" cm="1">
        <f t="array" ref="M12">xlFOCUS_IfError(xlFOCUS_ExpectativasAnuais($E12,$F12,I$2,$B$3,$B$3,1,$G12),"-")</f>
        <v>50</v>
      </c>
      <c r="N12" s="43" cm="1">
        <f t="array" ref="N12">xlFOCUS_IfError(xlFOCUS_ExpectativasAnuais($E12,$F12,I$2,$B$3,$B$3,1,"numeroRespondentes"),"-")</f>
        <v>10</v>
      </c>
      <c r="O12" s="42"/>
      <c r="P12" s="44" cm="1">
        <f t="array" ref="P12">xlFOCUS_IfError(xlFOCUS_ExpectativasAnuais($E12,$F12,P$2,$B$3-28,$B$3-28,0,$G12),"-")</f>
        <v>60</v>
      </c>
      <c r="Q12" s="42" cm="1">
        <f t="array" ref="Q12">xlFOCUS_IfError(xlFOCUS_ExpectativasAnuais($E12,$F12,P$2,$B$3-7,$B$3-7,0,$G12),"-")</f>
        <v>56.8</v>
      </c>
      <c r="R12" s="42" cm="1">
        <f t="array" ref="R12">xlFOCUS_IfError(xlFOCUS_ExpectativasAnuais($E12,$F12,P$2,$B$3,$B$3,0,$G12),"-")</f>
        <v>58.1</v>
      </c>
      <c r="S12" s="43" cm="1">
        <f t="array" ref="S12">xlFOCUS_IfError(xlFOCUS_ExpectativasAnuais($E12,$F12,P$2,$B$3,$B$3,0,"numeroRespondentes"),"-")</f>
        <v>21</v>
      </c>
      <c r="T12" s="42" cm="1">
        <f t="array" ref="T12">xlFOCUS_IfError(xlFOCUS_ExpectativasAnuais($E12,$F12,P$2,$B$3,$B$3,1,$G12),"-")</f>
        <v>60</v>
      </c>
      <c r="U12" s="43" cm="1">
        <f t="array" ref="U12">xlFOCUS_IfError(xlFOCUS_ExpectativasAnuais($E12,$F12,P$2,$B$3,$B$3,1,"numeroRespondentes"),"-")</f>
        <v>10</v>
      </c>
      <c r="V12" s="10"/>
      <c r="W12" s="10"/>
      <c r="X12" s="10"/>
      <c r="Y12" s="10"/>
      <c r="Z12" s="10"/>
      <c r="AA12" s="10"/>
      <c r="AB12" s="10"/>
      <c r="AC12" s="10"/>
    </row>
    <row r="13" spans="1:29" x14ac:dyDescent="0.2">
      <c r="D13" s="26" t="s">
        <v>54</v>
      </c>
      <c r="E13" s="26" t="s">
        <v>55</v>
      </c>
      <c r="F13" s="45"/>
      <c r="G13" s="45" t="s">
        <v>17</v>
      </c>
      <c r="H13" s="45"/>
      <c r="I13" s="28" cm="1">
        <f t="array" ref="I13">xlFOCUS_IfError(xlFOCUS_ExpectativasAnuais($E13,$F13,I$2,$B$3-28,$B$3-28,0,$G13),"-")</f>
        <v>60</v>
      </c>
      <c r="J13" s="28" cm="1">
        <f t="array" ref="J13">xlFOCUS_IfError(xlFOCUS_ExpectativasAnuais($E13,$F13,I$2,$B$3-7,$B$3-7,0,$G13),"-")</f>
        <v>59.5</v>
      </c>
      <c r="K13" s="28" cm="1">
        <f t="array" ref="K13">xlFOCUS_IfError(xlFOCUS_ExpectativasAnuais($E13,$F13,I$2,$B$3,$B$3,0,$G13),"-")</f>
        <v>58.95</v>
      </c>
      <c r="L13" s="29" cm="1">
        <f t="array" ref="L13">xlFOCUS_IfError(xlFOCUS_ExpectativasAnuais($E13,$F13,I$2,$B$3,$B$3,0,"numeroRespondentes"),"-")</f>
        <v>22</v>
      </c>
      <c r="M13" s="28" cm="1">
        <f t="array" ref="M13">xlFOCUS_IfError(xlFOCUS_ExpectativasAnuais($E13,$F13,I$2,$B$3,$B$3,1,$G13),"-")</f>
        <v>57.8292</v>
      </c>
      <c r="N13" s="29" cm="1">
        <f t="array" ref="N13">xlFOCUS_IfError(xlFOCUS_ExpectativasAnuais($E13,$F13,I$2,$B$3,$B$3,1,"numeroRespondentes"),"-")</f>
        <v>8</v>
      </c>
      <c r="O13" s="28"/>
      <c r="P13" s="30" cm="1">
        <f t="array" ref="P13">xlFOCUS_IfError(xlFOCUS_ExpectativasAnuais($E13,$F13,P$2,$B$3-28,$B$3-28,0,$G13),"-")</f>
        <v>62.990600000000001</v>
      </c>
      <c r="Q13" s="28" cm="1">
        <f t="array" ref="Q13">xlFOCUS_IfError(xlFOCUS_ExpectativasAnuais($E13,$F13,P$2,$B$3-7,$B$3-7,0,$G13),"-")</f>
        <v>63.2</v>
      </c>
      <c r="R13" s="28" cm="1">
        <f t="array" ref="R13">xlFOCUS_IfError(xlFOCUS_ExpectativasAnuais($E13,$F13,P$2,$B$3,$B$3,0,$G13),"-")</f>
        <v>63</v>
      </c>
      <c r="S13" s="29" cm="1">
        <f t="array" ref="S13">xlFOCUS_IfError(xlFOCUS_ExpectativasAnuais($E13,$F13,P$2,$B$3,$B$3,0,"numeroRespondentes"),"-")</f>
        <v>21</v>
      </c>
      <c r="T13" s="28" cm="1">
        <f t="array" ref="T13">xlFOCUS_IfError(xlFOCUS_ExpectativasAnuais($E13,$F13,P$2,$B$3,$B$3,1,$G13),"-")</f>
        <v>62.522300000000001</v>
      </c>
      <c r="U13" s="29" cm="1">
        <f t="array" ref="U13">xlFOCUS_IfError(xlFOCUS_ExpectativasAnuais($E13,$F13,P$2,$B$3,$B$3,1,"numeroRespondentes"),"-")</f>
        <v>8</v>
      </c>
    </row>
    <row r="14" spans="1:29" x14ac:dyDescent="0.2">
      <c r="D14" s="31" t="s">
        <v>56</v>
      </c>
      <c r="E14" s="31" t="s">
        <v>57</v>
      </c>
      <c r="F14" s="46"/>
      <c r="G14" s="46" t="s">
        <v>17</v>
      </c>
      <c r="H14" s="46"/>
      <c r="I14" s="33" cm="1">
        <f t="array" ref="I14">xlFOCUS_IfError(xlFOCUS_ExpectativasAnuais($E14,$F14,I$2,$B$3-28,$B$3-28,0,$G14),"-")</f>
        <v>-0.95</v>
      </c>
      <c r="J14" s="33" cm="1">
        <f t="array" ref="J14">xlFOCUS_IfError(xlFOCUS_ExpectativasAnuais($E14,$F14,I$2,$B$3-7,$B$3-7,0,$G14),"-")</f>
        <v>-0.6</v>
      </c>
      <c r="K14" s="33" cm="1">
        <f t="array" ref="K14">xlFOCUS_IfError(xlFOCUS_ExpectativasAnuais($E14,$F14,I$2,$B$3,$B$3,0,$G14),"-")</f>
        <v>-0.6</v>
      </c>
      <c r="L14" s="34" cm="1">
        <f t="array" ref="L14">xlFOCUS_IfError(xlFOCUS_ExpectativasAnuais($E14,$F14,I$2,$B$3,$B$3,0,"numeroRespondentes"),"-")</f>
        <v>28</v>
      </c>
      <c r="M14" s="33" cm="1">
        <f t="array" ref="M14">xlFOCUS_IfError(xlFOCUS_ExpectativasAnuais($E14,$F14,I$2,$B$3,$B$3,1,$G14),"-")</f>
        <v>-0.6</v>
      </c>
      <c r="N14" s="34" cm="1">
        <f t="array" ref="N14">xlFOCUS_IfError(xlFOCUS_ExpectativasAnuais($E14,$F14,I$2,$B$3,$B$3,1,"numeroRespondentes"),"-")</f>
        <v>12</v>
      </c>
      <c r="O14" s="33"/>
      <c r="P14" s="35" cm="1">
        <f t="array" ref="P14">xlFOCUS_IfError(xlFOCUS_ExpectativasAnuais($E14,$F14,P$2,$B$3-28,$B$3-28,0,$G14),"-")</f>
        <v>-1.175</v>
      </c>
      <c r="Q14" s="33" cm="1">
        <f t="array" ref="Q14">xlFOCUS_IfError(xlFOCUS_ExpectativasAnuais($E14,$F14,P$2,$B$3-7,$B$3-7,0,$G14),"-")</f>
        <v>-1.2</v>
      </c>
      <c r="R14" s="33" cm="1">
        <f t="array" ref="R14">xlFOCUS_IfError(xlFOCUS_ExpectativasAnuais($E14,$F14,P$2,$B$3,$B$3,0,$G14),"-")</f>
        <v>-1.2</v>
      </c>
      <c r="S14" s="34" cm="1">
        <f t="array" ref="S14">xlFOCUS_IfError(xlFOCUS_ExpectativasAnuais($E14,$F14,P$2,$B$3,$B$3,0,"numeroRespondentes"),"-")</f>
        <v>27</v>
      </c>
      <c r="T14" s="33" cm="1">
        <f t="array" ref="T14">xlFOCUS_IfError(xlFOCUS_ExpectativasAnuais($E14,$F14,P$2,$B$3,$B$3,1,$G14),"-")</f>
        <v>-1.0497000000000001</v>
      </c>
      <c r="U14" s="34" cm="1">
        <f t="array" ref="U14">xlFOCUS_IfError(xlFOCUS_ExpectativasAnuais($E14,$F14,P$2,$B$3,$B$3,1,"numeroRespondentes"),"-")</f>
        <v>12</v>
      </c>
    </row>
    <row r="15" spans="1:29" x14ac:dyDescent="0.2">
      <c r="D15" s="26" t="s">
        <v>58</v>
      </c>
      <c r="E15" s="26" t="s">
        <v>59</v>
      </c>
      <c r="F15" s="45"/>
      <c r="G15" s="45" t="s">
        <v>17</v>
      </c>
      <c r="H15" s="45"/>
      <c r="I15" s="28" cm="1">
        <f t="array" ref="I15">xlFOCUS_IfError(xlFOCUS_ExpectativasAnuais($E15,$F15,I$2,$B$3-28,$B$3-28,0,$G15),"-")</f>
        <v>-5.8</v>
      </c>
      <c r="J15" s="28" cm="1">
        <f t="array" ref="J15">xlFOCUS_IfError(xlFOCUS_ExpectativasAnuais($E15,$F15,I$2,$B$3-7,$B$3-7,0,$G15),"-")</f>
        <v>-5.75</v>
      </c>
      <c r="K15" s="28" cm="1">
        <f t="array" ref="K15">xlFOCUS_IfError(xlFOCUS_ExpectativasAnuais($E15,$F15,I$2,$B$3,$B$3,0,$G15),"-")</f>
        <v>-5.7</v>
      </c>
      <c r="L15" s="29" cm="1">
        <f t="array" ref="L15">xlFOCUS_IfError(xlFOCUS_ExpectativasAnuais($E15,$F15,I$2,$B$3,$B$3,0,"numeroRespondentes"),"-")</f>
        <v>23</v>
      </c>
      <c r="M15" s="28" cm="1">
        <f t="array" ref="M15">xlFOCUS_IfError(xlFOCUS_ExpectativasAnuais($E15,$F15,I$2,$B$3,$B$3,1,$G15),"-")</f>
        <v>-5.375</v>
      </c>
      <c r="N15" s="29" cm="1">
        <f t="array" ref="N15">xlFOCUS_IfError(xlFOCUS_ExpectativasAnuais($E15,$F15,I$2,$B$3,$B$3,1,"numeroRespondentes"),"-")</f>
        <v>8</v>
      </c>
      <c r="O15" s="28"/>
      <c r="P15" s="30" cm="1">
        <f t="array" ref="P15">xlFOCUS_IfError(xlFOCUS_ExpectativasAnuais($E15,$F15,P$2,$B$3-28,$B$3-28,0,$G15),"-")</f>
        <v>-6.55</v>
      </c>
      <c r="Q15" s="28" cm="1">
        <f t="array" ref="Q15">xlFOCUS_IfError(xlFOCUS_ExpectativasAnuais($E15,$F15,P$2,$B$3-7,$B$3-7,0,$G15),"-")</f>
        <v>-6.8</v>
      </c>
      <c r="R15" s="28" cm="1">
        <f t="array" ref="R15">xlFOCUS_IfError(xlFOCUS_ExpectativasAnuais($E15,$F15,P$2,$B$3,$B$3,0,$G15),"-")</f>
        <v>-7.1</v>
      </c>
      <c r="S15" s="29" cm="1">
        <f t="array" ref="S15">xlFOCUS_IfError(xlFOCUS_ExpectativasAnuais($E15,$F15,P$2,$B$3,$B$3,0,"numeroRespondentes"),"-")</f>
        <v>22</v>
      </c>
      <c r="T15" s="28" cm="1">
        <f t="array" ref="T15">xlFOCUS_IfError(xlFOCUS_ExpectativasAnuais($E15,$F15,P$2,$B$3,$B$3,1,$G15),"-")</f>
        <v>-7.45</v>
      </c>
      <c r="U15" s="29" cm="1">
        <f t="array" ref="U15">xlFOCUS_IfError(xlFOCUS_ExpectativasAnuais($E15,$F15,P$2,$B$3,$B$3,1,"numeroRespondentes"),"-")</f>
        <v>8</v>
      </c>
    </row>
    <row r="16" spans="1:29" x14ac:dyDescent="0.2">
      <c r="D16" s="15"/>
      <c r="E16" s="15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22"/>
      <c r="Q16" s="16"/>
      <c r="R16" s="16"/>
      <c r="S16" s="16"/>
      <c r="T16" s="16"/>
      <c r="U16" s="16"/>
    </row>
    <row r="18" spans="5:8" x14ac:dyDescent="0.2">
      <c r="E18" s="10"/>
      <c r="F18" s="10"/>
      <c r="G18" s="11"/>
      <c r="H18" s="11"/>
    </row>
    <row r="19" spans="5:8" x14ac:dyDescent="0.2">
      <c r="E19" s="10"/>
      <c r="F19" s="10"/>
      <c r="G19" s="11"/>
      <c r="H19" s="11"/>
    </row>
    <row r="20" spans="5:8" x14ac:dyDescent="0.2">
      <c r="E20" s="10"/>
      <c r="F20" s="10"/>
      <c r="G20" s="11"/>
      <c r="H20" s="11"/>
    </row>
    <row r="21" spans="5:8" x14ac:dyDescent="0.2">
      <c r="E21" s="10"/>
      <c r="F21" s="10"/>
      <c r="G21" s="11"/>
      <c r="H21" s="11"/>
    </row>
    <row r="22" spans="5:8" x14ac:dyDescent="0.2">
      <c r="E22" s="10"/>
      <c r="F22" s="10"/>
      <c r="G22" s="11"/>
      <c r="H22" s="11"/>
    </row>
    <row r="23" spans="5:8" x14ac:dyDescent="0.2">
      <c r="E23" s="10"/>
      <c r="F23" s="10"/>
      <c r="G23" s="11"/>
      <c r="H23" s="11"/>
    </row>
    <row r="24" spans="5:8" x14ac:dyDescent="0.2">
      <c r="E24" s="10"/>
      <c r="F24" s="10"/>
      <c r="G24" s="11"/>
      <c r="H24" s="11"/>
    </row>
    <row r="25" spans="5:8" x14ac:dyDescent="0.2">
      <c r="E25" s="10"/>
      <c r="F25" s="10"/>
      <c r="G25" s="11"/>
      <c r="H25" s="11"/>
    </row>
    <row r="26" spans="5:8" x14ac:dyDescent="0.2">
      <c r="E26" s="10"/>
      <c r="F26" s="10"/>
      <c r="G26" s="11"/>
      <c r="H26" s="11"/>
    </row>
    <row r="27" spans="5:8" x14ac:dyDescent="0.2">
      <c r="E27" s="10"/>
      <c r="F27" s="10"/>
      <c r="G27" s="11"/>
      <c r="H27" s="11"/>
    </row>
    <row r="28" spans="5:8" x14ac:dyDescent="0.2">
      <c r="E28" s="10"/>
      <c r="F28" s="10"/>
      <c r="G28" s="11"/>
      <c r="H28" s="11"/>
    </row>
    <row r="29" spans="5:8" x14ac:dyDescent="0.2">
      <c r="G29" s="17"/>
      <c r="H29" s="17"/>
    </row>
    <row r="30" spans="5:8" x14ac:dyDescent="0.2">
      <c r="G30" s="17"/>
      <c r="H30" s="17"/>
    </row>
    <row r="31" spans="5:8" x14ac:dyDescent="0.2">
      <c r="G31" s="17"/>
      <c r="H31" s="17"/>
    </row>
    <row r="32" spans="5:8" x14ac:dyDescent="0.2">
      <c r="G32" s="17"/>
      <c r="H32" s="17"/>
    </row>
    <row r="33" spans="7:8" x14ac:dyDescent="0.2">
      <c r="G33" s="17"/>
      <c r="H33" s="17"/>
    </row>
    <row r="34" spans="7:8" x14ac:dyDescent="0.2">
      <c r="G34" s="17"/>
      <c r="H34" s="17"/>
    </row>
    <row r="35" spans="7:8" x14ac:dyDescent="0.2">
      <c r="G35" s="17"/>
      <c r="H35" s="17"/>
    </row>
    <row r="36" spans="7:8" x14ac:dyDescent="0.2">
      <c r="G36" s="17"/>
      <c r="H36" s="17"/>
    </row>
    <row r="37" spans="7:8" x14ac:dyDescent="0.2">
      <c r="G37" s="17"/>
      <c r="H37" s="17"/>
    </row>
    <row r="38" spans="7:8" x14ac:dyDescent="0.2">
      <c r="G38" s="17"/>
      <c r="H38" s="17"/>
    </row>
    <row r="39" spans="7:8" x14ac:dyDescent="0.2">
      <c r="G39" s="17"/>
      <c r="H39" s="17"/>
    </row>
    <row r="40" spans="7:8" x14ac:dyDescent="0.2">
      <c r="G40" s="17"/>
      <c r="H40" s="17"/>
    </row>
    <row r="41" spans="7:8" x14ac:dyDescent="0.2">
      <c r="G41" s="17"/>
      <c r="H41" s="17"/>
    </row>
    <row r="42" spans="7:8" x14ac:dyDescent="0.2">
      <c r="G42" s="17"/>
      <c r="H42" s="17"/>
    </row>
    <row r="43" spans="7:8" x14ac:dyDescent="0.2">
      <c r="G43" s="17"/>
      <c r="H43" s="17"/>
    </row>
    <row r="44" spans="7:8" x14ac:dyDescent="0.2">
      <c r="G44" s="17"/>
      <c r="H44" s="17"/>
    </row>
    <row r="45" spans="7:8" x14ac:dyDescent="0.2">
      <c r="G45" s="17"/>
      <c r="H45" s="17"/>
    </row>
    <row r="46" spans="7:8" x14ac:dyDescent="0.2">
      <c r="G46" s="17"/>
      <c r="H46" s="17"/>
    </row>
    <row r="47" spans="7:8" x14ac:dyDescent="0.2">
      <c r="G47" s="17"/>
      <c r="H47" s="17"/>
    </row>
    <row r="48" spans="7:8" x14ac:dyDescent="0.2">
      <c r="G48" s="17"/>
      <c r="H48" s="17"/>
    </row>
    <row r="49" spans="7:8" x14ac:dyDescent="0.2">
      <c r="G49" s="17"/>
      <c r="H49" s="17"/>
    </row>
    <row r="50" spans="7:8" x14ac:dyDescent="0.2">
      <c r="G50" s="17"/>
      <c r="H50" s="17"/>
    </row>
    <row r="51" spans="7:8" x14ac:dyDescent="0.2">
      <c r="G51" s="17"/>
      <c r="H51" s="17"/>
    </row>
    <row r="52" spans="7:8" x14ac:dyDescent="0.2">
      <c r="G52" s="17"/>
      <c r="H52" s="17"/>
    </row>
    <row r="53" spans="7:8" x14ac:dyDescent="0.2">
      <c r="G53" s="17"/>
      <c r="H53" s="17"/>
    </row>
    <row r="54" spans="7:8" x14ac:dyDescent="0.2">
      <c r="G54" s="17"/>
      <c r="H54" s="17"/>
    </row>
    <row r="55" spans="7:8" x14ac:dyDescent="0.2">
      <c r="G55" s="17"/>
      <c r="H55" s="17"/>
    </row>
    <row r="56" spans="7:8" x14ac:dyDescent="0.2">
      <c r="G56" s="17"/>
      <c r="H56" s="17"/>
    </row>
    <row r="57" spans="7:8" x14ac:dyDescent="0.2">
      <c r="G57" s="17"/>
      <c r="H57" s="17"/>
    </row>
    <row r="58" spans="7:8" x14ac:dyDescent="0.2">
      <c r="G58" s="17"/>
      <c r="H58" s="17"/>
    </row>
    <row r="59" spans="7:8" x14ac:dyDescent="0.2">
      <c r="G59" s="17"/>
      <c r="H59" s="17"/>
    </row>
    <row r="60" spans="7:8" x14ac:dyDescent="0.2">
      <c r="G60" s="17"/>
      <c r="H60" s="17"/>
    </row>
    <row r="61" spans="7:8" x14ac:dyDescent="0.2">
      <c r="G61" s="17"/>
      <c r="H61" s="17"/>
    </row>
    <row r="62" spans="7:8" x14ac:dyDescent="0.2">
      <c r="G62" s="17"/>
      <c r="H62" s="17"/>
    </row>
    <row r="63" spans="7:8" x14ac:dyDescent="0.2">
      <c r="G63" s="17"/>
      <c r="H63" s="17"/>
    </row>
    <row r="64" spans="7:8" x14ac:dyDescent="0.2">
      <c r="G64" s="17"/>
      <c r="H64" s="17"/>
    </row>
    <row r="65" spans="7:8" x14ac:dyDescent="0.2">
      <c r="G65" s="17"/>
      <c r="H65" s="17"/>
    </row>
    <row r="66" spans="7:8" x14ac:dyDescent="0.2">
      <c r="G66" s="17"/>
      <c r="H66" s="17"/>
    </row>
    <row r="67" spans="7:8" x14ac:dyDescent="0.2">
      <c r="G67" s="17"/>
      <c r="H67" s="17"/>
    </row>
    <row r="68" spans="7:8" x14ac:dyDescent="0.2">
      <c r="G68" s="17"/>
      <c r="H68" s="17"/>
    </row>
    <row r="69" spans="7:8" x14ac:dyDescent="0.2">
      <c r="G69" s="17"/>
      <c r="H69" s="17"/>
    </row>
    <row r="70" spans="7:8" x14ac:dyDescent="0.2">
      <c r="G70" s="17"/>
      <c r="H70" s="17"/>
    </row>
    <row r="71" spans="7:8" x14ac:dyDescent="0.2">
      <c r="G71" s="17"/>
      <c r="H71" s="17"/>
    </row>
    <row r="72" spans="7:8" x14ac:dyDescent="0.2">
      <c r="G72" s="17"/>
      <c r="H72" s="17"/>
    </row>
    <row r="73" spans="7:8" x14ac:dyDescent="0.2">
      <c r="G73" s="17"/>
      <c r="H73" s="17"/>
    </row>
    <row r="74" spans="7:8" x14ac:dyDescent="0.2">
      <c r="G74" s="17"/>
      <c r="H74" s="17"/>
    </row>
    <row r="75" spans="7:8" x14ac:dyDescent="0.2">
      <c r="G75" s="17"/>
      <c r="H75" s="17"/>
    </row>
    <row r="76" spans="7:8" x14ac:dyDescent="0.2">
      <c r="G76" s="17"/>
      <c r="H76" s="17"/>
    </row>
    <row r="77" spans="7:8" x14ac:dyDescent="0.2">
      <c r="G77" s="17"/>
      <c r="H77" s="17"/>
    </row>
    <row r="78" spans="7:8" x14ac:dyDescent="0.2">
      <c r="G78" s="17"/>
      <c r="H78" s="17"/>
    </row>
    <row r="79" spans="7:8" x14ac:dyDescent="0.2">
      <c r="G79" s="17"/>
      <c r="H79" s="17"/>
    </row>
    <row r="80" spans="7:8" x14ac:dyDescent="0.2">
      <c r="G80" s="17"/>
      <c r="H80" s="17"/>
    </row>
    <row r="81" spans="7:8" x14ac:dyDescent="0.2">
      <c r="G81" s="17"/>
      <c r="H81" s="17"/>
    </row>
    <row r="82" spans="7:8" x14ac:dyDescent="0.2">
      <c r="G82" s="17"/>
      <c r="H82" s="17"/>
    </row>
    <row r="83" spans="7:8" x14ac:dyDescent="0.2">
      <c r="G83" s="17"/>
      <c r="H83" s="17"/>
    </row>
    <row r="84" spans="7:8" x14ac:dyDescent="0.2">
      <c r="G84" s="17"/>
      <c r="H84" s="17"/>
    </row>
    <row r="85" spans="7:8" x14ac:dyDescent="0.2">
      <c r="G85" s="17"/>
      <c r="H85" s="17"/>
    </row>
    <row r="86" spans="7:8" x14ac:dyDescent="0.2">
      <c r="G86" s="17"/>
      <c r="H86" s="17"/>
    </row>
    <row r="87" spans="7:8" x14ac:dyDescent="0.2">
      <c r="G87" s="17"/>
      <c r="H87" s="17"/>
    </row>
    <row r="88" spans="7:8" x14ac:dyDescent="0.2">
      <c r="G88" s="17"/>
      <c r="H88" s="17"/>
    </row>
    <row r="89" spans="7:8" x14ac:dyDescent="0.2">
      <c r="G89" s="17"/>
      <c r="H89" s="17"/>
    </row>
    <row r="90" spans="7:8" x14ac:dyDescent="0.2">
      <c r="G90" s="17"/>
      <c r="H90" s="17"/>
    </row>
    <row r="91" spans="7:8" x14ac:dyDescent="0.2">
      <c r="G91" s="17"/>
      <c r="H91" s="17"/>
    </row>
    <row r="92" spans="7:8" x14ac:dyDescent="0.2">
      <c r="G92" s="17"/>
      <c r="H92" s="17"/>
    </row>
    <row r="93" spans="7:8" x14ac:dyDescent="0.2">
      <c r="G93" s="17"/>
      <c r="H93" s="17"/>
    </row>
    <row r="94" spans="7:8" x14ac:dyDescent="0.2">
      <c r="G94" s="17"/>
      <c r="H94" s="17"/>
    </row>
    <row r="95" spans="7:8" x14ac:dyDescent="0.2">
      <c r="G95" s="17"/>
      <c r="H95" s="17"/>
    </row>
    <row r="96" spans="7:8" x14ac:dyDescent="0.2">
      <c r="G96" s="17"/>
      <c r="H96" s="17"/>
    </row>
    <row r="97" spans="7:8" x14ac:dyDescent="0.2">
      <c r="G97" s="17"/>
      <c r="H97" s="17"/>
    </row>
    <row r="98" spans="7:8" x14ac:dyDescent="0.2">
      <c r="G98" s="17"/>
      <c r="H98" s="17"/>
    </row>
    <row r="99" spans="7:8" x14ac:dyDescent="0.2">
      <c r="G99" s="17"/>
      <c r="H99" s="17"/>
    </row>
    <row r="100" spans="7:8" x14ac:dyDescent="0.2">
      <c r="G100" s="17"/>
      <c r="H100" s="17"/>
    </row>
    <row r="101" spans="7:8" x14ac:dyDescent="0.2">
      <c r="G101" s="17"/>
      <c r="H101" s="17"/>
    </row>
    <row r="102" spans="7:8" x14ac:dyDescent="0.2">
      <c r="G102" s="17"/>
      <c r="H102" s="17"/>
    </row>
    <row r="103" spans="7:8" x14ac:dyDescent="0.2">
      <c r="G103" s="17"/>
      <c r="H103" s="17"/>
    </row>
    <row r="104" spans="7:8" x14ac:dyDescent="0.2">
      <c r="G104" s="17"/>
      <c r="H104" s="17"/>
    </row>
    <row r="105" spans="7:8" x14ac:dyDescent="0.2">
      <c r="G105" s="17"/>
      <c r="H105" s="17"/>
    </row>
    <row r="106" spans="7:8" x14ac:dyDescent="0.2">
      <c r="G106" s="17"/>
      <c r="H106" s="17"/>
    </row>
    <row r="107" spans="7:8" x14ac:dyDescent="0.2">
      <c r="G107" s="17"/>
      <c r="H107" s="17"/>
    </row>
    <row r="108" spans="7:8" x14ac:dyDescent="0.2">
      <c r="G108" s="17"/>
      <c r="H108" s="17"/>
    </row>
    <row r="109" spans="7:8" x14ac:dyDescent="0.2">
      <c r="G109" s="17"/>
      <c r="H109" s="17"/>
    </row>
    <row r="110" spans="7:8" x14ac:dyDescent="0.2">
      <c r="G110" s="17"/>
      <c r="H110" s="17"/>
    </row>
    <row r="111" spans="7:8" x14ac:dyDescent="0.2">
      <c r="G111" s="17"/>
      <c r="H111" s="17"/>
    </row>
    <row r="112" spans="7:8" x14ac:dyDescent="0.2">
      <c r="G112" s="17"/>
      <c r="H112" s="17"/>
    </row>
    <row r="113" spans="7:8" x14ac:dyDescent="0.2">
      <c r="G113" s="17"/>
      <c r="H113" s="17"/>
    </row>
    <row r="114" spans="7:8" x14ac:dyDescent="0.2">
      <c r="G114" s="17"/>
      <c r="H114" s="17"/>
    </row>
    <row r="115" spans="7:8" x14ac:dyDescent="0.2">
      <c r="G115" s="17"/>
      <c r="H115" s="17"/>
    </row>
    <row r="116" spans="7:8" x14ac:dyDescent="0.2">
      <c r="G116" s="17"/>
      <c r="H116" s="17"/>
    </row>
    <row r="117" spans="7:8" x14ac:dyDescent="0.2">
      <c r="G117" s="17"/>
      <c r="H117" s="17"/>
    </row>
    <row r="118" spans="7:8" x14ac:dyDescent="0.2">
      <c r="G118" s="17"/>
      <c r="H118" s="17"/>
    </row>
    <row r="119" spans="7:8" x14ac:dyDescent="0.2">
      <c r="G119" s="17"/>
      <c r="H119" s="17"/>
    </row>
    <row r="120" spans="7:8" x14ac:dyDescent="0.2">
      <c r="G120" s="17"/>
      <c r="H120" s="17"/>
    </row>
    <row r="121" spans="7:8" x14ac:dyDescent="0.2">
      <c r="G121" s="17"/>
      <c r="H121" s="17"/>
    </row>
    <row r="122" spans="7:8" x14ac:dyDescent="0.2">
      <c r="G122" s="17"/>
      <c r="H122" s="17"/>
    </row>
    <row r="123" spans="7:8" x14ac:dyDescent="0.2">
      <c r="G123" s="17"/>
      <c r="H123" s="17"/>
    </row>
    <row r="124" spans="7:8" x14ac:dyDescent="0.2">
      <c r="G124" s="17"/>
      <c r="H124" s="17"/>
    </row>
    <row r="125" spans="7:8" x14ac:dyDescent="0.2">
      <c r="G125" s="17"/>
      <c r="H125" s="17"/>
    </row>
    <row r="126" spans="7:8" x14ac:dyDescent="0.2">
      <c r="G126" s="17"/>
      <c r="H126" s="17"/>
    </row>
    <row r="127" spans="7:8" x14ac:dyDescent="0.2">
      <c r="G127" s="17"/>
      <c r="H127" s="17"/>
    </row>
    <row r="128" spans="7:8" x14ac:dyDescent="0.2">
      <c r="G128" s="17"/>
      <c r="H128" s="17"/>
    </row>
    <row r="129" spans="7:8" x14ac:dyDescent="0.2">
      <c r="G129" s="17"/>
      <c r="H129" s="17"/>
    </row>
    <row r="130" spans="7:8" x14ac:dyDescent="0.2">
      <c r="G130" s="17"/>
      <c r="H130" s="17"/>
    </row>
    <row r="131" spans="7:8" x14ac:dyDescent="0.2">
      <c r="G131" s="17"/>
      <c r="H131" s="17"/>
    </row>
    <row r="132" spans="7:8" x14ac:dyDescent="0.2">
      <c r="G132" s="17"/>
      <c r="H132" s="17"/>
    </row>
    <row r="133" spans="7:8" x14ac:dyDescent="0.2">
      <c r="G133" s="17"/>
      <c r="H133" s="17"/>
    </row>
    <row r="134" spans="7:8" x14ac:dyDescent="0.2">
      <c r="G134" s="17"/>
      <c r="H134" s="17"/>
    </row>
    <row r="135" spans="7:8" x14ac:dyDescent="0.2">
      <c r="G135" s="17"/>
      <c r="H135" s="17"/>
    </row>
    <row r="136" spans="7:8" x14ac:dyDescent="0.2">
      <c r="G136" s="17"/>
      <c r="H136" s="17"/>
    </row>
    <row r="137" spans="7:8" x14ac:dyDescent="0.2">
      <c r="G137" s="17"/>
      <c r="H137" s="17"/>
    </row>
    <row r="138" spans="7:8" x14ac:dyDescent="0.2">
      <c r="G138" s="17"/>
      <c r="H138" s="17"/>
    </row>
    <row r="139" spans="7:8" x14ac:dyDescent="0.2">
      <c r="G139" s="17"/>
      <c r="H139" s="17"/>
    </row>
    <row r="140" spans="7:8" x14ac:dyDescent="0.2">
      <c r="G140" s="17"/>
      <c r="H140" s="17"/>
    </row>
    <row r="141" spans="7:8" x14ac:dyDescent="0.2">
      <c r="G141" s="17"/>
      <c r="H141" s="17"/>
    </row>
    <row r="142" spans="7:8" x14ac:dyDescent="0.2">
      <c r="G142" s="17"/>
      <c r="H142" s="17"/>
    </row>
    <row r="143" spans="7:8" x14ac:dyDescent="0.2">
      <c r="G143" s="17"/>
      <c r="H143" s="17"/>
    </row>
    <row r="144" spans="7:8" x14ac:dyDescent="0.2">
      <c r="G144" s="17"/>
      <c r="H144" s="17"/>
    </row>
    <row r="145" spans="7:8" x14ac:dyDescent="0.2">
      <c r="G145" s="17"/>
      <c r="H145" s="17"/>
    </row>
    <row r="146" spans="7:8" x14ac:dyDescent="0.2">
      <c r="G146" s="17"/>
      <c r="H146" s="17"/>
    </row>
    <row r="147" spans="7:8" x14ac:dyDescent="0.2">
      <c r="G147" s="17"/>
      <c r="H147" s="17"/>
    </row>
    <row r="148" spans="7:8" x14ac:dyDescent="0.2">
      <c r="G148" s="17"/>
      <c r="H148" s="17"/>
    </row>
    <row r="149" spans="7:8" x14ac:dyDescent="0.2">
      <c r="G149" s="17"/>
      <c r="H149" s="17"/>
    </row>
    <row r="150" spans="7:8" x14ac:dyDescent="0.2">
      <c r="G150" s="17"/>
      <c r="H150" s="17"/>
    </row>
    <row r="151" spans="7:8" x14ac:dyDescent="0.2">
      <c r="G151" s="17"/>
      <c r="H151" s="17"/>
    </row>
    <row r="152" spans="7:8" x14ac:dyDescent="0.2">
      <c r="G152" s="17"/>
      <c r="H152" s="17"/>
    </row>
    <row r="153" spans="7:8" x14ac:dyDescent="0.2">
      <c r="G153" s="17"/>
      <c r="H153" s="17"/>
    </row>
    <row r="154" spans="7:8" x14ac:dyDescent="0.2">
      <c r="G154" s="17"/>
      <c r="H154" s="17"/>
    </row>
    <row r="155" spans="7:8" x14ac:dyDescent="0.2">
      <c r="G155" s="17"/>
      <c r="H155" s="17"/>
    </row>
    <row r="156" spans="7:8" x14ac:dyDescent="0.2">
      <c r="G156" s="17"/>
      <c r="H156" s="17"/>
    </row>
    <row r="157" spans="7:8" x14ac:dyDescent="0.2">
      <c r="G157" s="17"/>
      <c r="H157" s="17"/>
    </row>
    <row r="158" spans="7:8" x14ac:dyDescent="0.2">
      <c r="G158" s="17"/>
      <c r="H158" s="17"/>
    </row>
    <row r="159" spans="7:8" x14ac:dyDescent="0.2">
      <c r="G159" s="17"/>
      <c r="H159" s="17"/>
    </row>
    <row r="160" spans="7:8" x14ac:dyDescent="0.2">
      <c r="G160" s="17"/>
      <c r="H160" s="17"/>
    </row>
    <row r="161" spans="7:8" x14ac:dyDescent="0.2">
      <c r="G161" s="17"/>
      <c r="H161" s="17"/>
    </row>
    <row r="162" spans="7:8" x14ac:dyDescent="0.2">
      <c r="G162" s="17"/>
      <c r="H162" s="17"/>
    </row>
    <row r="163" spans="7:8" x14ac:dyDescent="0.2">
      <c r="G163" s="17"/>
      <c r="H163" s="17"/>
    </row>
    <row r="164" spans="7:8" x14ac:dyDescent="0.2">
      <c r="G164" s="17"/>
      <c r="H164" s="17"/>
    </row>
    <row r="165" spans="7:8" x14ac:dyDescent="0.2">
      <c r="G165" s="17"/>
      <c r="H165" s="17"/>
    </row>
    <row r="166" spans="7:8" x14ac:dyDescent="0.2">
      <c r="G166" s="17"/>
      <c r="H166" s="17"/>
    </row>
    <row r="167" spans="7:8" x14ac:dyDescent="0.2">
      <c r="G167" s="17"/>
      <c r="H167" s="17"/>
    </row>
    <row r="168" spans="7:8" x14ac:dyDescent="0.2">
      <c r="G168" s="17"/>
      <c r="H168" s="17"/>
    </row>
    <row r="169" spans="7:8" x14ac:dyDescent="0.2">
      <c r="G169" s="17"/>
      <c r="H169" s="17"/>
    </row>
    <row r="170" spans="7:8" x14ac:dyDescent="0.2">
      <c r="G170" s="17"/>
      <c r="H170" s="17"/>
    </row>
    <row r="171" spans="7:8" x14ac:dyDescent="0.2">
      <c r="G171" s="17"/>
      <c r="H171" s="17"/>
    </row>
    <row r="172" spans="7:8" x14ac:dyDescent="0.2">
      <c r="G172" s="17"/>
      <c r="H172" s="17"/>
    </row>
    <row r="173" spans="7:8" x14ac:dyDescent="0.2">
      <c r="G173" s="17"/>
      <c r="H173" s="17"/>
    </row>
    <row r="174" spans="7:8" x14ac:dyDescent="0.2">
      <c r="G174" s="17"/>
      <c r="H174" s="17"/>
    </row>
    <row r="175" spans="7:8" x14ac:dyDescent="0.2">
      <c r="G175" s="17"/>
      <c r="H175" s="17"/>
    </row>
    <row r="176" spans="7:8" x14ac:dyDescent="0.2">
      <c r="G176" s="17"/>
      <c r="H176" s="17"/>
    </row>
    <row r="177" spans="7:8" x14ac:dyDescent="0.2">
      <c r="G177" s="17"/>
      <c r="H177" s="17"/>
    </row>
    <row r="178" spans="7:8" x14ac:dyDescent="0.2">
      <c r="G178" s="17"/>
      <c r="H178" s="17"/>
    </row>
    <row r="179" spans="7:8" x14ac:dyDescent="0.2">
      <c r="G179" s="17"/>
      <c r="H179" s="17"/>
    </row>
    <row r="180" spans="7:8" x14ac:dyDescent="0.2">
      <c r="G180" s="17"/>
      <c r="H180" s="17"/>
    </row>
    <row r="181" spans="7:8" x14ac:dyDescent="0.2">
      <c r="G181" s="17"/>
      <c r="H181" s="17"/>
    </row>
    <row r="182" spans="7:8" x14ac:dyDescent="0.2">
      <c r="G182" s="17"/>
      <c r="H182" s="17"/>
    </row>
    <row r="183" spans="7:8" x14ac:dyDescent="0.2">
      <c r="G183" s="17"/>
      <c r="H183" s="17"/>
    </row>
    <row r="184" spans="7:8" x14ac:dyDescent="0.2">
      <c r="G184" s="17"/>
      <c r="H184" s="17"/>
    </row>
    <row r="185" spans="7:8" x14ac:dyDescent="0.2">
      <c r="G185" s="17"/>
      <c r="H185" s="17"/>
    </row>
    <row r="186" spans="7:8" x14ac:dyDescent="0.2">
      <c r="G186" s="17"/>
      <c r="H186" s="17"/>
    </row>
    <row r="187" spans="7:8" x14ac:dyDescent="0.2">
      <c r="G187" s="17"/>
      <c r="H187" s="17"/>
    </row>
    <row r="188" spans="7:8" x14ac:dyDescent="0.2">
      <c r="G188" s="17"/>
      <c r="H188" s="17"/>
    </row>
    <row r="189" spans="7:8" x14ac:dyDescent="0.2">
      <c r="G189" s="17"/>
      <c r="H189" s="17"/>
    </row>
    <row r="190" spans="7:8" x14ac:dyDescent="0.2">
      <c r="G190" s="17"/>
      <c r="H190" s="17"/>
    </row>
    <row r="191" spans="7:8" x14ac:dyDescent="0.2">
      <c r="G191" s="17"/>
      <c r="H191" s="17"/>
    </row>
    <row r="192" spans="7:8" x14ac:dyDescent="0.2">
      <c r="G192" s="17"/>
      <c r="H192" s="17"/>
    </row>
    <row r="193" spans="7:8" x14ac:dyDescent="0.2">
      <c r="G193" s="17"/>
      <c r="H193" s="17"/>
    </row>
    <row r="194" spans="7:8" x14ac:dyDescent="0.2">
      <c r="G194" s="17"/>
      <c r="H194" s="17"/>
    </row>
    <row r="195" spans="7:8" x14ac:dyDescent="0.2">
      <c r="G195" s="17"/>
      <c r="H195" s="17"/>
    </row>
    <row r="196" spans="7:8" x14ac:dyDescent="0.2">
      <c r="G196" s="17"/>
      <c r="H196" s="17"/>
    </row>
    <row r="197" spans="7:8" x14ac:dyDescent="0.2">
      <c r="G197" s="17"/>
      <c r="H197" s="17"/>
    </row>
    <row r="198" spans="7:8" x14ac:dyDescent="0.2">
      <c r="G198" s="17"/>
      <c r="H198" s="17"/>
    </row>
    <row r="199" spans="7:8" x14ac:dyDescent="0.2">
      <c r="G199" s="17"/>
      <c r="H199" s="17"/>
    </row>
    <row r="200" spans="7:8" x14ac:dyDescent="0.2">
      <c r="G200" s="17"/>
      <c r="H200" s="17"/>
    </row>
    <row r="201" spans="7:8" x14ac:dyDescent="0.2">
      <c r="G201" s="17"/>
      <c r="H201" s="17"/>
    </row>
    <row r="202" spans="7:8" x14ac:dyDescent="0.2">
      <c r="G202" s="17"/>
      <c r="H202" s="17"/>
    </row>
    <row r="203" spans="7:8" x14ac:dyDescent="0.2">
      <c r="G203" s="17"/>
      <c r="H203" s="17"/>
    </row>
    <row r="204" spans="7:8" x14ac:dyDescent="0.2">
      <c r="G204" s="17"/>
      <c r="H204" s="17"/>
    </row>
    <row r="205" spans="7:8" x14ac:dyDescent="0.2">
      <c r="G205" s="17"/>
      <c r="H205" s="17"/>
    </row>
    <row r="206" spans="7:8" x14ac:dyDescent="0.2">
      <c r="G206" s="17"/>
      <c r="H206" s="17"/>
    </row>
    <row r="207" spans="7:8" x14ac:dyDescent="0.2">
      <c r="G207" s="17"/>
      <c r="H207" s="17"/>
    </row>
    <row r="208" spans="7:8" x14ac:dyDescent="0.2">
      <c r="G208" s="17"/>
      <c r="H208" s="17"/>
    </row>
    <row r="209" spans="7:8" x14ac:dyDescent="0.2">
      <c r="G209" s="17"/>
      <c r="H209" s="17"/>
    </row>
    <row r="210" spans="7:8" x14ac:dyDescent="0.2">
      <c r="G210" s="17"/>
      <c r="H210" s="17"/>
    </row>
    <row r="211" spans="7:8" x14ac:dyDescent="0.2">
      <c r="G211" s="17"/>
      <c r="H211" s="17"/>
    </row>
    <row r="212" spans="7:8" x14ac:dyDescent="0.2">
      <c r="G212" s="17"/>
      <c r="H212" s="17"/>
    </row>
    <row r="213" spans="7:8" x14ac:dyDescent="0.2">
      <c r="G213" s="17"/>
      <c r="H213" s="17"/>
    </row>
    <row r="214" spans="7:8" x14ac:dyDescent="0.2">
      <c r="G214" s="17"/>
      <c r="H214" s="17"/>
    </row>
    <row r="215" spans="7:8" x14ac:dyDescent="0.2">
      <c r="G215" s="17"/>
      <c r="H215" s="17"/>
    </row>
    <row r="216" spans="7:8" x14ac:dyDescent="0.2">
      <c r="G216" s="17"/>
      <c r="H216" s="17"/>
    </row>
    <row r="217" spans="7:8" x14ac:dyDescent="0.2">
      <c r="G217" s="17"/>
      <c r="H217" s="17"/>
    </row>
    <row r="218" spans="7:8" x14ac:dyDescent="0.2">
      <c r="G218" s="17"/>
      <c r="H218" s="17"/>
    </row>
    <row r="219" spans="7:8" x14ac:dyDescent="0.2">
      <c r="G219" s="17"/>
      <c r="H219" s="17"/>
    </row>
    <row r="220" spans="7:8" x14ac:dyDescent="0.2">
      <c r="G220" s="17"/>
      <c r="H220" s="17"/>
    </row>
    <row r="221" spans="7:8" x14ac:dyDescent="0.2">
      <c r="G221" s="17"/>
      <c r="H221" s="17"/>
    </row>
    <row r="222" spans="7:8" x14ac:dyDescent="0.2">
      <c r="G222" s="17"/>
      <c r="H222" s="17"/>
    </row>
    <row r="223" spans="7:8" x14ac:dyDescent="0.2">
      <c r="G223" s="17"/>
      <c r="H223" s="17"/>
    </row>
    <row r="224" spans="7:8" x14ac:dyDescent="0.2">
      <c r="G224" s="17"/>
      <c r="H224" s="17"/>
    </row>
    <row r="225" spans="7:8" x14ac:dyDescent="0.2">
      <c r="G225" s="17"/>
      <c r="H225" s="17"/>
    </row>
    <row r="226" spans="7:8" x14ac:dyDescent="0.2">
      <c r="G226" s="17"/>
      <c r="H226" s="17"/>
    </row>
    <row r="227" spans="7:8" x14ac:dyDescent="0.2">
      <c r="G227" s="17"/>
      <c r="H227" s="17"/>
    </row>
    <row r="228" spans="7:8" x14ac:dyDescent="0.2">
      <c r="G228" s="17"/>
      <c r="H228" s="17"/>
    </row>
    <row r="229" spans="7:8" x14ac:dyDescent="0.2">
      <c r="G229" s="17"/>
      <c r="H229" s="17"/>
    </row>
    <row r="230" spans="7:8" x14ac:dyDescent="0.2">
      <c r="G230" s="17"/>
      <c r="H230" s="17"/>
    </row>
    <row r="231" spans="7:8" x14ac:dyDescent="0.2">
      <c r="G231" s="17"/>
      <c r="H231" s="17"/>
    </row>
    <row r="232" spans="7:8" x14ac:dyDescent="0.2">
      <c r="G232" s="17"/>
      <c r="H232" s="17"/>
    </row>
    <row r="233" spans="7:8" x14ac:dyDescent="0.2">
      <c r="G233" s="17"/>
      <c r="H233" s="17"/>
    </row>
    <row r="234" spans="7:8" x14ac:dyDescent="0.2">
      <c r="G234" s="17"/>
      <c r="H234" s="17"/>
    </row>
    <row r="235" spans="7:8" x14ac:dyDescent="0.2">
      <c r="G235" s="17"/>
      <c r="H235" s="17"/>
    </row>
    <row r="236" spans="7:8" x14ac:dyDescent="0.2">
      <c r="G236" s="17"/>
      <c r="H236" s="17"/>
    </row>
    <row r="237" spans="7:8" x14ac:dyDescent="0.2">
      <c r="G237" s="17"/>
      <c r="H237" s="17"/>
    </row>
    <row r="238" spans="7:8" x14ac:dyDescent="0.2">
      <c r="G238" s="17"/>
      <c r="H238" s="17"/>
    </row>
    <row r="239" spans="7:8" x14ac:dyDescent="0.2">
      <c r="G239" s="17"/>
      <c r="H239" s="17"/>
    </row>
    <row r="240" spans="7:8" x14ac:dyDescent="0.2">
      <c r="G240" s="17"/>
      <c r="H240" s="17"/>
    </row>
    <row r="241" spans="7:8" x14ac:dyDescent="0.2">
      <c r="G241" s="17"/>
      <c r="H241" s="17"/>
    </row>
    <row r="242" spans="7:8" x14ac:dyDescent="0.2">
      <c r="G242" s="17"/>
      <c r="H242" s="17"/>
    </row>
    <row r="243" spans="7:8" x14ac:dyDescent="0.2">
      <c r="G243" s="17"/>
      <c r="H243" s="17"/>
    </row>
    <row r="244" spans="7:8" x14ac:dyDescent="0.2">
      <c r="G244" s="17"/>
      <c r="H244" s="17"/>
    </row>
    <row r="245" spans="7:8" x14ac:dyDescent="0.2">
      <c r="G245" s="17"/>
      <c r="H245" s="17"/>
    </row>
    <row r="246" spans="7:8" x14ac:dyDescent="0.2">
      <c r="G246" s="17"/>
      <c r="H246" s="17"/>
    </row>
    <row r="247" spans="7:8" x14ac:dyDescent="0.2">
      <c r="G247" s="17"/>
      <c r="H247" s="17"/>
    </row>
    <row r="248" spans="7:8" x14ac:dyDescent="0.2">
      <c r="G248" s="17"/>
      <c r="H248" s="17"/>
    </row>
    <row r="249" spans="7:8" x14ac:dyDescent="0.2">
      <c r="G249" s="17"/>
      <c r="H249" s="17"/>
    </row>
    <row r="250" spans="7:8" x14ac:dyDescent="0.2">
      <c r="G250" s="17"/>
      <c r="H250" s="17"/>
    </row>
    <row r="251" spans="7:8" x14ac:dyDescent="0.2">
      <c r="G251" s="17"/>
      <c r="H251" s="17"/>
    </row>
    <row r="252" spans="7:8" x14ac:dyDescent="0.2">
      <c r="G252" s="17"/>
      <c r="H252" s="17"/>
    </row>
    <row r="253" spans="7:8" x14ac:dyDescent="0.2">
      <c r="G253" s="17"/>
      <c r="H253" s="17"/>
    </row>
    <row r="254" spans="7:8" x14ac:dyDescent="0.2">
      <c r="G254" s="17"/>
      <c r="H254" s="17"/>
    </row>
    <row r="255" spans="7:8" x14ac:dyDescent="0.2">
      <c r="G255" s="17"/>
      <c r="H255" s="17"/>
    </row>
    <row r="256" spans="7:8" x14ac:dyDescent="0.2">
      <c r="G256" s="17"/>
      <c r="H256" s="17"/>
    </row>
    <row r="257" spans="7:8" x14ac:dyDescent="0.2">
      <c r="G257" s="17"/>
      <c r="H257" s="17"/>
    </row>
    <row r="258" spans="7:8" x14ac:dyDescent="0.2">
      <c r="G258" s="17"/>
      <c r="H258" s="17"/>
    </row>
    <row r="259" spans="7:8" x14ac:dyDescent="0.2">
      <c r="G259" s="17"/>
      <c r="H259" s="17"/>
    </row>
    <row r="260" spans="7:8" x14ac:dyDescent="0.2">
      <c r="G260" s="17"/>
      <c r="H260" s="17"/>
    </row>
    <row r="261" spans="7:8" x14ac:dyDescent="0.2">
      <c r="G261" s="17"/>
      <c r="H261" s="17"/>
    </row>
    <row r="262" spans="7:8" x14ac:dyDescent="0.2">
      <c r="G262" s="17"/>
      <c r="H262" s="17"/>
    </row>
    <row r="263" spans="7:8" x14ac:dyDescent="0.2">
      <c r="G263" s="17"/>
      <c r="H263" s="17"/>
    </row>
    <row r="264" spans="7:8" x14ac:dyDescent="0.2">
      <c r="G264" s="17"/>
      <c r="H264" s="17"/>
    </row>
    <row r="265" spans="7:8" x14ac:dyDescent="0.2">
      <c r="G265" s="17"/>
      <c r="H265" s="17"/>
    </row>
    <row r="266" spans="7:8" x14ac:dyDescent="0.2">
      <c r="G266" s="17"/>
      <c r="H266" s="17"/>
    </row>
    <row r="267" spans="7:8" x14ac:dyDescent="0.2">
      <c r="G267" s="17"/>
      <c r="H267" s="17"/>
    </row>
    <row r="268" spans="7:8" x14ac:dyDescent="0.2">
      <c r="G268" s="17"/>
      <c r="H268" s="17"/>
    </row>
    <row r="269" spans="7:8" x14ac:dyDescent="0.2">
      <c r="G269" s="17"/>
      <c r="H269" s="17"/>
    </row>
    <row r="270" spans="7:8" x14ac:dyDescent="0.2">
      <c r="G270" s="17"/>
      <c r="H270" s="17"/>
    </row>
    <row r="271" spans="7:8" x14ac:dyDescent="0.2">
      <c r="G271" s="17"/>
      <c r="H271" s="17"/>
    </row>
    <row r="272" spans="7:8" x14ac:dyDescent="0.2">
      <c r="G272" s="17"/>
      <c r="H272" s="17"/>
    </row>
    <row r="273" spans="7:8" x14ac:dyDescent="0.2">
      <c r="G273" s="17"/>
      <c r="H273" s="17"/>
    </row>
    <row r="274" spans="7:8" x14ac:dyDescent="0.2">
      <c r="G274" s="17"/>
      <c r="H274" s="17"/>
    </row>
    <row r="275" spans="7:8" x14ac:dyDescent="0.2">
      <c r="G275" s="17"/>
      <c r="H275" s="17"/>
    </row>
    <row r="276" spans="7:8" x14ac:dyDescent="0.2">
      <c r="G276" s="17"/>
      <c r="H276" s="17"/>
    </row>
    <row r="277" spans="7:8" x14ac:dyDescent="0.2">
      <c r="G277" s="17"/>
      <c r="H277" s="17"/>
    </row>
    <row r="278" spans="7:8" x14ac:dyDescent="0.2">
      <c r="G278" s="17"/>
      <c r="H278" s="17"/>
    </row>
    <row r="279" spans="7:8" x14ac:dyDescent="0.2">
      <c r="G279" s="17"/>
      <c r="H279" s="17"/>
    </row>
    <row r="280" spans="7:8" x14ac:dyDescent="0.2">
      <c r="G280" s="17"/>
      <c r="H280" s="17"/>
    </row>
    <row r="281" spans="7:8" x14ac:dyDescent="0.2">
      <c r="G281" s="17"/>
      <c r="H281" s="17"/>
    </row>
    <row r="282" spans="7:8" x14ac:dyDescent="0.2">
      <c r="G282" s="17"/>
      <c r="H282" s="17"/>
    </row>
    <row r="283" spans="7:8" x14ac:dyDescent="0.2">
      <c r="G283" s="17"/>
      <c r="H283" s="17"/>
    </row>
    <row r="284" spans="7:8" x14ac:dyDescent="0.2">
      <c r="G284" s="17"/>
      <c r="H284" s="17"/>
    </row>
    <row r="285" spans="7:8" x14ac:dyDescent="0.2">
      <c r="G285" s="17"/>
      <c r="H285" s="17"/>
    </row>
    <row r="286" spans="7:8" x14ac:dyDescent="0.2">
      <c r="G286" s="17"/>
      <c r="H286" s="17"/>
    </row>
    <row r="287" spans="7:8" x14ac:dyDescent="0.2">
      <c r="G287" s="17"/>
      <c r="H287" s="17"/>
    </row>
    <row r="288" spans="7:8" x14ac:dyDescent="0.2">
      <c r="G288" s="17"/>
      <c r="H288" s="17"/>
    </row>
    <row r="289" spans="7:8" x14ac:dyDescent="0.2">
      <c r="G289" s="17"/>
      <c r="H289" s="17"/>
    </row>
    <row r="290" spans="7:8" x14ac:dyDescent="0.2">
      <c r="G290" s="17"/>
      <c r="H290" s="17"/>
    </row>
    <row r="291" spans="7:8" x14ac:dyDescent="0.2">
      <c r="G291" s="17"/>
      <c r="H291" s="17"/>
    </row>
    <row r="292" spans="7:8" x14ac:dyDescent="0.2">
      <c r="G292" s="17"/>
      <c r="H292" s="17"/>
    </row>
    <row r="293" spans="7:8" x14ac:dyDescent="0.2">
      <c r="G293" s="17"/>
      <c r="H293" s="17"/>
    </row>
    <row r="294" spans="7:8" x14ac:dyDescent="0.2">
      <c r="G294" s="17"/>
      <c r="H294" s="17"/>
    </row>
    <row r="295" spans="7:8" x14ac:dyDescent="0.2">
      <c r="G295" s="17"/>
      <c r="H295" s="17"/>
    </row>
    <row r="296" spans="7:8" x14ac:dyDescent="0.2">
      <c r="G296" s="17"/>
      <c r="H296" s="17"/>
    </row>
    <row r="297" spans="7:8" x14ac:dyDescent="0.2">
      <c r="G297" s="17"/>
      <c r="H297" s="17"/>
    </row>
    <row r="298" spans="7:8" x14ac:dyDescent="0.2">
      <c r="G298" s="17"/>
      <c r="H298" s="17"/>
    </row>
    <row r="299" spans="7:8" x14ac:dyDescent="0.2">
      <c r="G299" s="17"/>
      <c r="H299" s="17"/>
    </row>
    <row r="300" spans="7:8" x14ac:dyDescent="0.2">
      <c r="G300" s="17"/>
      <c r="H300" s="17"/>
    </row>
    <row r="301" spans="7:8" x14ac:dyDescent="0.2">
      <c r="G301" s="17"/>
      <c r="H301" s="17"/>
    </row>
    <row r="302" spans="7:8" x14ac:dyDescent="0.2">
      <c r="G302" s="17"/>
      <c r="H302" s="17"/>
    </row>
    <row r="303" spans="7:8" x14ac:dyDescent="0.2">
      <c r="G303" s="17"/>
      <c r="H303" s="17"/>
    </row>
    <row r="304" spans="7:8" x14ac:dyDescent="0.2">
      <c r="G304" s="17"/>
      <c r="H304" s="17"/>
    </row>
    <row r="305" spans="7:8" x14ac:dyDescent="0.2">
      <c r="G305" s="17"/>
      <c r="H305" s="17"/>
    </row>
    <row r="306" spans="7:8" x14ac:dyDescent="0.2">
      <c r="G306" s="17"/>
      <c r="H306" s="17"/>
    </row>
    <row r="307" spans="7:8" x14ac:dyDescent="0.2">
      <c r="G307" s="17"/>
      <c r="H307" s="17"/>
    </row>
    <row r="308" spans="7:8" x14ac:dyDescent="0.2">
      <c r="G308" s="17"/>
      <c r="H308" s="17"/>
    </row>
    <row r="309" spans="7:8" x14ac:dyDescent="0.2">
      <c r="G309" s="17"/>
      <c r="H309" s="17"/>
    </row>
    <row r="310" spans="7:8" x14ac:dyDescent="0.2">
      <c r="G310" s="17"/>
      <c r="H310" s="17"/>
    </row>
    <row r="311" spans="7:8" x14ac:dyDescent="0.2">
      <c r="G311" s="17"/>
      <c r="H311" s="17"/>
    </row>
    <row r="312" spans="7:8" x14ac:dyDescent="0.2">
      <c r="G312" s="17"/>
      <c r="H312" s="17"/>
    </row>
    <row r="313" spans="7:8" x14ac:dyDescent="0.2">
      <c r="G313" s="17"/>
      <c r="H313" s="17"/>
    </row>
    <row r="314" spans="7:8" x14ac:dyDescent="0.2">
      <c r="G314" s="17"/>
      <c r="H314" s="17"/>
    </row>
    <row r="315" spans="7:8" x14ac:dyDescent="0.2">
      <c r="G315" s="17"/>
      <c r="H315" s="17"/>
    </row>
    <row r="316" spans="7:8" x14ac:dyDescent="0.2">
      <c r="G316" s="17"/>
      <c r="H316" s="17"/>
    </row>
    <row r="317" spans="7:8" x14ac:dyDescent="0.2">
      <c r="G317" s="17"/>
      <c r="H317" s="17"/>
    </row>
    <row r="318" spans="7:8" x14ac:dyDescent="0.2">
      <c r="G318" s="17"/>
      <c r="H318" s="17"/>
    </row>
    <row r="319" spans="7:8" x14ac:dyDescent="0.2">
      <c r="G319" s="17"/>
      <c r="H319" s="17"/>
    </row>
    <row r="320" spans="7:8" x14ac:dyDescent="0.2">
      <c r="G320" s="17"/>
      <c r="H320" s="17"/>
    </row>
    <row r="321" spans="7:8" x14ac:dyDescent="0.2">
      <c r="G321" s="17"/>
      <c r="H321" s="17"/>
    </row>
    <row r="322" spans="7:8" x14ac:dyDescent="0.2">
      <c r="G322" s="17"/>
      <c r="H322" s="17"/>
    </row>
    <row r="323" spans="7:8" x14ac:dyDescent="0.2">
      <c r="G323" s="17"/>
      <c r="H323" s="17"/>
    </row>
    <row r="324" spans="7:8" x14ac:dyDescent="0.2">
      <c r="G324" s="17"/>
      <c r="H324" s="17"/>
    </row>
    <row r="325" spans="7:8" x14ac:dyDescent="0.2">
      <c r="G325" s="17"/>
      <c r="H325" s="17"/>
    </row>
    <row r="326" spans="7:8" x14ac:dyDescent="0.2">
      <c r="G326" s="17"/>
      <c r="H326" s="17"/>
    </row>
    <row r="327" spans="7:8" x14ac:dyDescent="0.2">
      <c r="G327" s="17"/>
      <c r="H327" s="17"/>
    </row>
    <row r="328" spans="7:8" x14ac:dyDescent="0.2">
      <c r="G328" s="17"/>
      <c r="H328" s="17"/>
    </row>
    <row r="329" spans="7:8" x14ac:dyDescent="0.2">
      <c r="G329" s="17"/>
      <c r="H329" s="17"/>
    </row>
    <row r="330" spans="7:8" x14ac:dyDescent="0.2">
      <c r="G330" s="17"/>
      <c r="H330" s="17"/>
    </row>
    <row r="331" spans="7:8" x14ac:dyDescent="0.2">
      <c r="G331" s="17"/>
      <c r="H331" s="17"/>
    </row>
    <row r="332" spans="7:8" x14ac:dyDescent="0.2">
      <c r="G332" s="17"/>
      <c r="H332" s="17"/>
    </row>
    <row r="333" spans="7:8" x14ac:dyDescent="0.2">
      <c r="G333" s="17"/>
      <c r="H333" s="17"/>
    </row>
    <row r="334" spans="7:8" x14ac:dyDescent="0.2">
      <c r="G334" s="17"/>
      <c r="H334" s="17"/>
    </row>
    <row r="335" spans="7:8" x14ac:dyDescent="0.2">
      <c r="G335" s="17"/>
      <c r="H335" s="17"/>
    </row>
    <row r="336" spans="7:8" x14ac:dyDescent="0.2">
      <c r="G336" s="17"/>
      <c r="H336" s="17"/>
    </row>
    <row r="337" spans="7:8" x14ac:dyDescent="0.2">
      <c r="G337" s="17"/>
      <c r="H337" s="17"/>
    </row>
    <row r="338" spans="7:8" x14ac:dyDescent="0.2">
      <c r="G338" s="17"/>
      <c r="H338" s="17"/>
    </row>
    <row r="339" spans="7:8" x14ac:dyDescent="0.2">
      <c r="G339" s="17"/>
      <c r="H339" s="17"/>
    </row>
    <row r="340" spans="7:8" x14ac:dyDescent="0.2">
      <c r="G340" s="17"/>
      <c r="H340" s="17"/>
    </row>
    <row r="341" spans="7:8" x14ac:dyDescent="0.2">
      <c r="G341" s="17"/>
      <c r="H341" s="17"/>
    </row>
    <row r="342" spans="7:8" x14ac:dyDescent="0.2">
      <c r="G342" s="17"/>
      <c r="H342" s="17"/>
    </row>
    <row r="343" spans="7:8" x14ac:dyDescent="0.2">
      <c r="G343" s="17"/>
      <c r="H343" s="17"/>
    </row>
    <row r="344" spans="7:8" x14ac:dyDescent="0.2">
      <c r="G344" s="17"/>
      <c r="H344" s="17"/>
    </row>
    <row r="345" spans="7:8" x14ac:dyDescent="0.2">
      <c r="G345" s="17"/>
      <c r="H345" s="17"/>
    </row>
    <row r="346" spans="7:8" x14ac:dyDescent="0.2">
      <c r="G346" s="17"/>
      <c r="H346" s="17"/>
    </row>
    <row r="347" spans="7:8" x14ac:dyDescent="0.2">
      <c r="G347" s="17"/>
      <c r="H347" s="17"/>
    </row>
    <row r="348" spans="7:8" x14ac:dyDescent="0.2">
      <c r="G348" s="17"/>
      <c r="H348" s="17"/>
    </row>
    <row r="349" spans="7:8" x14ac:dyDescent="0.2">
      <c r="G349" s="17"/>
      <c r="H349" s="17"/>
    </row>
    <row r="350" spans="7:8" x14ac:dyDescent="0.2">
      <c r="G350" s="17"/>
      <c r="H350" s="17"/>
    </row>
    <row r="351" spans="7:8" x14ac:dyDescent="0.2">
      <c r="G351" s="17"/>
      <c r="H351" s="17"/>
    </row>
    <row r="352" spans="7:8" x14ac:dyDescent="0.2">
      <c r="G352" s="17"/>
      <c r="H352" s="17"/>
    </row>
    <row r="353" spans="7:8" x14ac:dyDescent="0.2">
      <c r="G353" s="17"/>
      <c r="H353" s="17"/>
    </row>
    <row r="354" spans="7:8" x14ac:dyDescent="0.2">
      <c r="G354" s="17"/>
      <c r="H354" s="17"/>
    </row>
    <row r="355" spans="7:8" x14ac:dyDescent="0.2">
      <c r="G355" s="17"/>
      <c r="H355" s="17"/>
    </row>
    <row r="356" spans="7:8" x14ac:dyDescent="0.2">
      <c r="G356" s="17"/>
      <c r="H356" s="17"/>
    </row>
    <row r="357" spans="7:8" x14ac:dyDescent="0.2">
      <c r="G357" s="17"/>
      <c r="H357" s="17"/>
    </row>
    <row r="358" spans="7:8" x14ac:dyDescent="0.2">
      <c r="G358" s="17"/>
      <c r="H358" s="17"/>
    </row>
    <row r="359" spans="7:8" x14ac:dyDescent="0.2">
      <c r="G359" s="17"/>
      <c r="H359" s="17"/>
    </row>
    <row r="360" spans="7:8" x14ac:dyDescent="0.2">
      <c r="G360" s="17"/>
      <c r="H360" s="17"/>
    </row>
    <row r="361" spans="7:8" x14ac:dyDescent="0.2">
      <c r="G361" s="17"/>
      <c r="H361" s="17"/>
    </row>
    <row r="362" spans="7:8" x14ac:dyDescent="0.2">
      <c r="G362" s="17"/>
      <c r="H362" s="17"/>
    </row>
    <row r="363" spans="7:8" x14ac:dyDescent="0.2">
      <c r="G363" s="17"/>
      <c r="H363" s="17"/>
    </row>
    <row r="364" spans="7:8" x14ac:dyDescent="0.2">
      <c r="G364" s="17"/>
      <c r="H364" s="17"/>
    </row>
    <row r="365" spans="7:8" x14ac:dyDescent="0.2">
      <c r="G365" s="17"/>
      <c r="H365" s="17"/>
    </row>
    <row r="366" spans="7:8" x14ac:dyDescent="0.2">
      <c r="G366" s="17"/>
      <c r="H366" s="17"/>
    </row>
    <row r="367" spans="7:8" x14ac:dyDescent="0.2">
      <c r="G367" s="17"/>
      <c r="H367" s="17"/>
    </row>
    <row r="368" spans="7:8" x14ac:dyDescent="0.2">
      <c r="G368" s="17"/>
      <c r="H368" s="17"/>
    </row>
    <row r="369" spans="7:8" x14ac:dyDescent="0.2">
      <c r="G369" s="17"/>
      <c r="H369" s="17"/>
    </row>
    <row r="370" spans="7:8" x14ac:dyDescent="0.2">
      <c r="G370" s="17"/>
      <c r="H370" s="17"/>
    </row>
    <row r="371" spans="7:8" x14ac:dyDescent="0.2">
      <c r="G371" s="17"/>
      <c r="H371" s="17"/>
    </row>
    <row r="372" spans="7:8" x14ac:dyDescent="0.2">
      <c r="G372" s="17"/>
      <c r="H372" s="17"/>
    </row>
    <row r="373" spans="7:8" x14ac:dyDescent="0.2">
      <c r="G373" s="17"/>
      <c r="H373" s="17"/>
    </row>
    <row r="374" spans="7:8" x14ac:dyDescent="0.2">
      <c r="G374" s="17"/>
      <c r="H374" s="17"/>
    </row>
    <row r="375" spans="7:8" x14ac:dyDescent="0.2">
      <c r="G375" s="17"/>
      <c r="H375" s="17"/>
    </row>
    <row r="376" spans="7:8" x14ac:dyDescent="0.2">
      <c r="G376" s="17"/>
      <c r="H376" s="17"/>
    </row>
    <row r="377" spans="7:8" x14ac:dyDescent="0.2">
      <c r="G377" s="17"/>
      <c r="H377" s="17"/>
    </row>
    <row r="378" spans="7:8" x14ac:dyDescent="0.2">
      <c r="G378" s="17"/>
      <c r="H378" s="17"/>
    </row>
    <row r="379" spans="7:8" x14ac:dyDescent="0.2">
      <c r="G379" s="17"/>
      <c r="H379" s="17"/>
    </row>
    <row r="380" spans="7:8" x14ac:dyDescent="0.2">
      <c r="G380" s="17"/>
      <c r="H380" s="17"/>
    </row>
    <row r="381" spans="7:8" x14ac:dyDescent="0.2">
      <c r="G381" s="17"/>
      <c r="H381" s="17"/>
    </row>
    <row r="382" spans="7:8" x14ac:dyDescent="0.2">
      <c r="G382" s="17"/>
      <c r="H382" s="17"/>
    </row>
    <row r="383" spans="7:8" x14ac:dyDescent="0.2">
      <c r="G383" s="17"/>
      <c r="H383" s="17"/>
    </row>
    <row r="384" spans="7:8" x14ac:dyDescent="0.2">
      <c r="G384" s="17"/>
      <c r="H384" s="17"/>
    </row>
    <row r="385" spans="7:8" x14ac:dyDescent="0.2">
      <c r="G385" s="17"/>
      <c r="H385" s="17"/>
    </row>
    <row r="386" spans="7:8" x14ac:dyDescent="0.2">
      <c r="G386" s="17"/>
      <c r="H386" s="17"/>
    </row>
    <row r="387" spans="7:8" x14ac:dyDescent="0.2">
      <c r="G387" s="17"/>
      <c r="H387" s="17"/>
    </row>
    <row r="388" spans="7:8" x14ac:dyDescent="0.2">
      <c r="G388" s="17"/>
      <c r="H388" s="17"/>
    </row>
    <row r="389" spans="7:8" x14ac:dyDescent="0.2">
      <c r="G389" s="17"/>
      <c r="H389" s="17"/>
    </row>
    <row r="390" spans="7:8" x14ac:dyDescent="0.2">
      <c r="G390" s="17"/>
      <c r="H390" s="17"/>
    </row>
    <row r="391" spans="7:8" x14ac:dyDescent="0.2">
      <c r="G391" s="17"/>
      <c r="H391" s="17"/>
    </row>
    <row r="392" spans="7:8" x14ac:dyDescent="0.2">
      <c r="G392" s="17"/>
      <c r="H392" s="17"/>
    </row>
    <row r="393" spans="7:8" x14ac:dyDescent="0.2">
      <c r="G393" s="17"/>
      <c r="H393" s="17"/>
    </row>
    <row r="394" spans="7:8" x14ac:dyDescent="0.2">
      <c r="G394" s="17"/>
      <c r="H394" s="17"/>
    </row>
    <row r="395" spans="7:8" x14ac:dyDescent="0.2">
      <c r="G395" s="17"/>
      <c r="H395" s="17"/>
    </row>
    <row r="396" spans="7:8" x14ac:dyDescent="0.2">
      <c r="G396" s="17"/>
      <c r="H396" s="17"/>
    </row>
    <row r="397" spans="7:8" x14ac:dyDescent="0.2">
      <c r="G397" s="17"/>
      <c r="H397" s="17"/>
    </row>
    <row r="398" spans="7:8" x14ac:dyDescent="0.2">
      <c r="G398" s="17"/>
      <c r="H398" s="17"/>
    </row>
    <row r="399" spans="7:8" x14ac:dyDescent="0.2">
      <c r="G399" s="17"/>
      <c r="H399" s="17"/>
    </row>
    <row r="400" spans="7:8" x14ac:dyDescent="0.2">
      <c r="G400" s="17"/>
      <c r="H400" s="17"/>
    </row>
    <row r="401" spans="7:8" x14ac:dyDescent="0.2">
      <c r="G401" s="17"/>
      <c r="H401" s="17"/>
    </row>
    <row r="402" spans="7:8" x14ac:dyDescent="0.2">
      <c r="G402" s="17"/>
      <c r="H402" s="17"/>
    </row>
    <row r="403" spans="7:8" x14ac:dyDescent="0.2">
      <c r="G403" s="17"/>
      <c r="H403" s="17"/>
    </row>
    <row r="404" spans="7:8" x14ac:dyDescent="0.2">
      <c r="G404" s="17"/>
      <c r="H404" s="17"/>
    </row>
    <row r="405" spans="7:8" x14ac:dyDescent="0.2">
      <c r="G405" s="17"/>
      <c r="H405" s="17"/>
    </row>
    <row r="406" spans="7:8" x14ac:dyDescent="0.2">
      <c r="G406" s="17"/>
      <c r="H406" s="17"/>
    </row>
    <row r="407" spans="7:8" x14ac:dyDescent="0.2">
      <c r="G407" s="17"/>
      <c r="H407" s="17"/>
    </row>
    <row r="408" spans="7:8" x14ac:dyDescent="0.2">
      <c r="G408" s="17"/>
      <c r="H408" s="17"/>
    </row>
    <row r="409" spans="7:8" x14ac:dyDescent="0.2">
      <c r="G409" s="17"/>
      <c r="H409" s="17"/>
    </row>
    <row r="410" spans="7:8" x14ac:dyDescent="0.2">
      <c r="G410" s="17"/>
      <c r="H410" s="17"/>
    </row>
    <row r="411" spans="7:8" x14ac:dyDescent="0.2">
      <c r="G411" s="17"/>
      <c r="H411" s="17"/>
    </row>
    <row r="412" spans="7:8" x14ac:dyDescent="0.2">
      <c r="G412" s="17"/>
      <c r="H412" s="17"/>
    </row>
    <row r="413" spans="7:8" x14ac:dyDescent="0.2">
      <c r="G413" s="17"/>
      <c r="H413" s="17"/>
    </row>
    <row r="414" spans="7:8" x14ac:dyDescent="0.2">
      <c r="G414" s="17"/>
      <c r="H414" s="17"/>
    </row>
    <row r="415" spans="7:8" x14ac:dyDescent="0.2">
      <c r="G415" s="17"/>
      <c r="H415" s="17"/>
    </row>
    <row r="416" spans="7:8" x14ac:dyDescent="0.2">
      <c r="G416" s="17"/>
      <c r="H416" s="17"/>
    </row>
    <row r="417" spans="7:8" x14ac:dyDescent="0.2">
      <c r="G417" s="17"/>
      <c r="H417" s="17"/>
    </row>
    <row r="418" spans="7:8" x14ac:dyDescent="0.2">
      <c r="G418" s="17"/>
      <c r="H418" s="17"/>
    </row>
    <row r="419" spans="7:8" x14ac:dyDescent="0.2">
      <c r="G419" s="17"/>
      <c r="H419" s="17"/>
    </row>
    <row r="420" spans="7:8" x14ac:dyDescent="0.2">
      <c r="G420" s="17"/>
      <c r="H420" s="17"/>
    </row>
    <row r="421" spans="7:8" x14ac:dyDescent="0.2">
      <c r="G421" s="17"/>
      <c r="H421" s="17"/>
    </row>
    <row r="422" spans="7:8" x14ac:dyDescent="0.2">
      <c r="G422" s="17"/>
      <c r="H422" s="17"/>
    </row>
    <row r="423" spans="7:8" x14ac:dyDescent="0.2">
      <c r="G423" s="17"/>
      <c r="H423" s="17"/>
    </row>
    <row r="424" spans="7:8" x14ac:dyDescent="0.2">
      <c r="G424" s="17"/>
      <c r="H424" s="17"/>
    </row>
    <row r="425" spans="7:8" x14ac:dyDescent="0.2">
      <c r="G425" s="17"/>
      <c r="H425" s="17"/>
    </row>
    <row r="426" spans="7:8" x14ac:dyDescent="0.2">
      <c r="G426" s="17"/>
      <c r="H426" s="17"/>
    </row>
    <row r="427" spans="7:8" x14ac:dyDescent="0.2">
      <c r="G427" s="17"/>
      <c r="H427" s="17"/>
    </row>
    <row r="428" spans="7:8" x14ac:dyDescent="0.2">
      <c r="G428" s="17"/>
      <c r="H428" s="17"/>
    </row>
    <row r="429" spans="7:8" x14ac:dyDescent="0.2">
      <c r="G429" s="17"/>
      <c r="H429" s="17"/>
    </row>
    <row r="430" spans="7:8" x14ac:dyDescent="0.2">
      <c r="G430" s="17"/>
      <c r="H430" s="17"/>
    </row>
    <row r="431" spans="7:8" x14ac:dyDescent="0.2">
      <c r="G431" s="17"/>
      <c r="H431" s="17"/>
    </row>
    <row r="432" spans="7:8" x14ac:dyDescent="0.2">
      <c r="G432" s="17"/>
      <c r="H432" s="17"/>
    </row>
    <row r="433" spans="7:8" x14ac:dyDescent="0.2">
      <c r="G433" s="17"/>
      <c r="H433" s="17"/>
    </row>
    <row r="434" spans="7:8" x14ac:dyDescent="0.2">
      <c r="G434" s="17"/>
      <c r="H434" s="17"/>
    </row>
    <row r="435" spans="7:8" x14ac:dyDescent="0.2">
      <c r="G435" s="17"/>
      <c r="H435" s="17"/>
    </row>
    <row r="436" spans="7:8" x14ac:dyDescent="0.2">
      <c r="G436" s="17"/>
      <c r="H436" s="17"/>
    </row>
    <row r="437" spans="7:8" x14ac:dyDescent="0.2">
      <c r="G437" s="17"/>
      <c r="H437" s="17"/>
    </row>
    <row r="438" spans="7:8" x14ac:dyDescent="0.2">
      <c r="G438" s="17"/>
      <c r="H438" s="17"/>
    </row>
    <row r="439" spans="7:8" x14ac:dyDescent="0.2">
      <c r="G439" s="17"/>
      <c r="H439" s="17"/>
    </row>
    <row r="440" spans="7:8" x14ac:dyDescent="0.2">
      <c r="G440" s="17"/>
      <c r="H440" s="17"/>
    </row>
    <row r="441" spans="7:8" x14ac:dyDescent="0.2">
      <c r="G441" s="17"/>
      <c r="H441" s="17"/>
    </row>
    <row r="442" spans="7:8" x14ac:dyDescent="0.2">
      <c r="G442" s="17"/>
      <c r="H442" s="17"/>
    </row>
    <row r="443" spans="7:8" x14ac:dyDescent="0.2">
      <c r="G443" s="17"/>
      <c r="H443" s="17"/>
    </row>
    <row r="444" spans="7:8" x14ac:dyDescent="0.2">
      <c r="G444" s="17"/>
      <c r="H444" s="17"/>
    </row>
    <row r="445" spans="7:8" x14ac:dyDescent="0.2">
      <c r="G445" s="17"/>
      <c r="H445" s="17"/>
    </row>
    <row r="446" spans="7:8" x14ac:dyDescent="0.2">
      <c r="G446" s="17"/>
      <c r="H446" s="17"/>
    </row>
    <row r="447" spans="7:8" x14ac:dyDescent="0.2">
      <c r="G447" s="17"/>
      <c r="H447" s="17"/>
    </row>
    <row r="448" spans="7:8" x14ac:dyDescent="0.2">
      <c r="G448" s="17"/>
      <c r="H448" s="17"/>
    </row>
    <row r="449" spans="7:8" x14ac:dyDescent="0.2">
      <c r="G449" s="17"/>
      <c r="H449" s="17"/>
    </row>
    <row r="450" spans="7:8" x14ac:dyDescent="0.2">
      <c r="G450" s="17"/>
      <c r="H450" s="17"/>
    </row>
    <row r="451" spans="7:8" x14ac:dyDescent="0.2">
      <c r="G451" s="17"/>
      <c r="H451" s="17"/>
    </row>
    <row r="452" spans="7:8" x14ac:dyDescent="0.2">
      <c r="G452" s="17"/>
      <c r="H452" s="17"/>
    </row>
    <row r="453" spans="7:8" x14ac:dyDescent="0.2">
      <c r="G453" s="17"/>
      <c r="H453" s="17"/>
    </row>
    <row r="454" spans="7:8" x14ac:dyDescent="0.2">
      <c r="G454" s="17"/>
      <c r="H454" s="17"/>
    </row>
    <row r="455" spans="7:8" x14ac:dyDescent="0.2">
      <c r="G455" s="17"/>
      <c r="H455" s="17"/>
    </row>
    <row r="456" spans="7:8" x14ac:dyDescent="0.2">
      <c r="G456" s="17"/>
      <c r="H456" s="17"/>
    </row>
    <row r="457" spans="7:8" x14ac:dyDescent="0.2">
      <c r="G457" s="17"/>
      <c r="H457" s="17"/>
    </row>
    <row r="458" spans="7:8" x14ac:dyDescent="0.2">
      <c r="G458" s="17"/>
      <c r="H458" s="17"/>
    </row>
    <row r="459" spans="7:8" x14ac:dyDescent="0.2">
      <c r="G459" s="17"/>
      <c r="H459" s="17"/>
    </row>
    <row r="460" spans="7:8" x14ac:dyDescent="0.2">
      <c r="G460" s="17"/>
      <c r="H460" s="17"/>
    </row>
    <row r="461" spans="7:8" x14ac:dyDescent="0.2">
      <c r="G461" s="17"/>
      <c r="H461" s="17"/>
    </row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38937-93ED-4A91-B583-09D02A5CA01F}">
  <sheetPr codeName="Planilha2"/>
  <dimension ref="A1:P399"/>
  <sheetViews>
    <sheetView workbookViewId="0">
      <selection activeCell="B12" sqref="B12"/>
    </sheetView>
  </sheetViews>
  <sheetFormatPr defaultRowHeight="12.75" x14ac:dyDescent="0.2"/>
  <cols>
    <col min="1" max="1" width="37.28515625" style="1" customWidth="1"/>
    <col min="2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81</v>
      </c>
      <c r="I1" s="3" t="s">
        <v>60</v>
      </c>
      <c r="J1" s="59" t="str">
        <f>"FOCUS forecast for "&amp;$B$3&amp;" of "&amp;PROPER(TEXT($B$5,"[$-409]mmm/aa"))</f>
        <v>FOCUS forecast for IPCA of Jan/22</v>
      </c>
      <c r="K1" s="60"/>
      <c r="L1" s="60"/>
      <c r="M1" s="60"/>
      <c r="N1" s="60"/>
      <c r="O1" s="60"/>
      <c r="P1" s="60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39">xlFOCUS_ExpectativasMensais($B$3,$B$4,$B$5,$B$6,$B$7,$B$8,$D$3:$G$3)</f>
        <v>44200</v>
      </c>
      <c r="E4" s="1">
        <v>0.2</v>
      </c>
      <c r="F4" s="1">
        <v>0.4</v>
      </c>
      <c r="G4" s="1">
        <v>0.71</v>
      </c>
    </row>
    <row r="5" spans="1:16" x14ac:dyDescent="0.2">
      <c r="A5" s="3" t="s">
        <v>63</v>
      </c>
      <c r="B5" s="14">
        <v>44562</v>
      </c>
      <c r="D5" s="17">
        <v>44201</v>
      </c>
      <c r="E5" s="1">
        <v>0.2</v>
      </c>
      <c r="F5" s="1">
        <v>0.41</v>
      </c>
      <c r="G5" s="1">
        <v>0.71</v>
      </c>
    </row>
    <row r="6" spans="1:16" x14ac:dyDescent="0.2">
      <c r="A6" s="3" t="s">
        <v>64</v>
      </c>
      <c r="B6" s="14">
        <v>44197</v>
      </c>
      <c r="D6" s="17">
        <v>44202</v>
      </c>
      <c r="E6" s="1">
        <v>0.2</v>
      </c>
      <c r="F6" s="1">
        <v>0.4</v>
      </c>
      <c r="G6" s="1">
        <v>0.71</v>
      </c>
    </row>
    <row r="7" spans="1:16" x14ac:dyDescent="0.2">
      <c r="A7" s="3" t="s">
        <v>65</v>
      </c>
      <c r="B7" s="14"/>
      <c r="D7" s="17">
        <v>44203</v>
      </c>
      <c r="E7" s="1">
        <v>0.2</v>
      </c>
      <c r="F7" s="1">
        <v>0.4</v>
      </c>
      <c r="G7" s="1">
        <v>0.71</v>
      </c>
    </row>
    <row r="8" spans="1:16" x14ac:dyDescent="0.2">
      <c r="A8" s="3" t="s">
        <v>66</v>
      </c>
      <c r="B8" s="18">
        <v>1</v>
      </c>
      <c r="D8" s="17">
        <v>44204</v>
      </c>
      <c r="E8" s="1">
        <v>0.1</v>
      </c>
      <c r="F8" s="1">
        <v>0.4</v>
      </c>
      <c r="G8" s="1">
        <v>0.71</v>
      </c>
    </row>
    <row r="9" spans="1:16" x14ac:dyDescent="0.2">
      <c r="D9" s="17">
        <v>44207</v>
      </c>
      <c r="E9" s="1">
        <v>0.1</v>
      </c>
      <c r="F9" s="1">
        <v>0.39</v>
      </c>
      <c r="G9" s="1">
        <v>0.71</v>
      </c>
    </row>
    <row r="10" spans="1:16" x14ac:dyDescent="0.2">
      <c r="D10" s="17">
        <v>44208</v>
      </c>
      <c r="E10" s="1">
        <v>0.1</v>
      </c>
      <c r="F10" s="1">
        <v>0.4</v>
      </c>
      <c r="G10" s="1">
        <v>0.71</v>
      </c>
    </row>
    <row r="11" spans="1:16" x14ac:dyDescent="0.2">
      <c r="D11" s="17">
        <v>44209</v>
      </c>
      <c r="E11" s="1">
        <v>0.1</v>
      </c>
      <c r="F11" s="1">
        <v>0.39</v>
      </c>
      <c r="G11" s="1">
        <v>0.71</v>
      </c>
    </row>
    <row r="12" spans="1:16" x14ac:dyDescent="0.2">
      <c r="D12" s="17">
        <v>44210</v>
      </c>
      <c r="E12" s="1">
        <v>0.1</v>
      </c>
      <c r="F12" s="1">
        <v>0.39</v>
      </c>
      <c r="G12" s="1">
        <v>0.71</v>
      </c>
    </row>
    <row r="13" spans="1:16" x14ac:dyDescent="0.2">
      <c r="D13" s="17">
        <v>44211</v>
      </c>
      <c r="E13" s="1">
        <v>0.18</v>
      </c>
      <c r="F13" s="1">
        <v>0.39</v>
      </c>
      <c r="G13" s="1">
        <v>0.71</v>
      </c>
    </row>
    <row r="14" spans="1:16" x14ac:dyDescent="0.2">
      <c r="D14" s="17">
        <v>44214</v>
      </c>
      <c r="E14" s="1">
        <v>0.18</v>
      </c>
      <c r="F14" s="1">
        <v>0.39</v>
      </c>
      <c r="G14" s="1">
        <v>0.71</v>
      </c>
    </row>
    <row r="15" spans="1:16" x14ac:dyDescent="0.2">
      <c r="D15" s="17">
        <v>44215</v>
      </c>
      <c r="E15" s="1">
        <v>0.18</v>
      </c>
      <c r="F15" s="1">
        <v>0.39</v>
      </c>
      <c r="G15" s="1">
        <v>0.71</v>
      </c>
    </row>
    <row r="16" spans="1:16" x14ac:dyDescent="0.2">
      <c r="D16" s="17">
        <v>44216</v>
      </c>
      <c r="E16" s="1">
        <v>0.18</v>
      </c>
      <c r="F16" s="1">
        <v>0.39</v>
      </c>
      <c r="G16" s="1">
        <v>0.71</v>
      </c>
    </row>
    <row r="17" spans="4:7" x14ac:dyDescent="0.2">
      <c r="D17" s="17">
        <v>44217</v>
      </c>
      <c r="E17" s="1">
        <v>0.18</v>
      </c>
      <c r="F17" s="1">
        <v>0.39</v>
      </c>
      <c r="G17" s="1">
        <v>0.71</v>
      </c>
    </row>
    <row r="18" spans="4:7" x14ac:dyDescent="0.2">
      <c r="D18" s="17">
        <v>44218</v>
      </c>
      <c r="E18" s="1">
        <v>0.2</v>
      </c>
      <c r="F18" s="1">
        <v>0.39</v>
      </c>
      <c r="G18" s="1">
        <v>0.71</v>
      </c>
    </row>
    <row r="19" spans="4:7" x14ac:dyDescent="0.2">
      <c r="D19" s="17">
        <v>44221</v>
      </c>
      <c r="E19" s="1">
        <v>0.2</v>
      </c>
      <c r="F19" s="1">
        <v>0.4</v>
      </c>
      <c r="G19" s="1">
        <v>0.71</v>
      </c>
    </row>
    <row r="20" spans="4:7" x14ac:dyDescent="0.2">
      <c r="D20" s="17">
        <v>44222</v>
      </c>
      <c r="E20" s="1">
        <v>0.2</v>
      </c>
      <c r="F20" s="1">
        <v>0.38</v>
      </c>
      <c r="G20" s="1">
        <v>0.71</v>
      </c>
    </row>
    <row r="21" spans="4:7" x14ac:dyDescent="0.2">
      <c r="D21" s="17">
        <v>44223</v>
      </c>
      <c r="E21" s="1">
        <v>0.2</v>
      </c>
      <c r="F21" s="1">
        <v>0.38</v>
      </c>
      <c r="G21" s="1">
        <v>0.71</v>
      </c>
    </row>
    <row r="22" spans="4:7" x14ac:dyDescent="0.2">
      <c r="D22" s="17">
        <v>44224</v>
      </c>
      <c r="E22" s="1">
        <v>0.2</v>
      </c>
      <c r="F22" s="1">
        <v>0.38</v>
      </c>
      <c r="G22" s="1">
        <v>0.71</v>
      </c>
    </row>
    <row r="23" spans="4:7" x14ac:dyDescent="0.2">
      <c r="D23" s="17">
        <v>44225</v>
      </c>
      <c r="E23" s="1">
        <v>0.24</v>
      </c>
      <c r="F23" s="1">
        <v>0.38</v>
      </c>
      <c r="G23" s="1">
        <v>0.71</v>
      </c>
    </row>
    <row r="24" spans="4:7" x14ac:dyDescent="0.2">
      <c r="D24" s="17">
        <v>44228</v>
      </c>
      <c r="E24" s="1">
        <v>0.2</v>
      </c>
      <c r="F24" s="1">
        <v>0.37</v>
      </c>
      <c r="G24" s="1">
        <v>0.71</v>
      </c>
    </row>
    <row r="25" spans="4:7" x14ac:dyDescent="0.2">
      <c r="D25" s="17">
        <v>44229</v>
      </c>
      <c r="E25" s="1">
        <v>0.2</v>
      </c>
      <c r="F25" s="1">
        <v>0.39</v>
      </c>
      <c r="G25" s="1">
        <v>0.71</v>
      </c>
    </row>
    <row r="26" spans="4:7" x14ac:dyDescent="0.2">
      <c r="D26" s="17">
        <v>44230</v>
      </c>
      <c r="E26" s="1">
        <v>0.2</v>
      </c>
      <c r="F26" s="1">
        <v>0.4</v>
      </c>
      <c r="G26" s="1">
        <v>0.71</v>
      </c>
    </row>
    <row r="27" spans="4:7" x14ac:dyDescent="0.2">
      <c r="D27" s="17">
        <v>44231</v>
      </c>
      <c r="E27" s="1">
        <v>0.2</v>
      </c>
      <c r="F27" s="1">
        <v>0.4</v>
      </c>
      <c r="G27" s="1">
        <v>0.71</v>
      </c>
    </row>
    <row r="28" spans="4:7" x14ac:dyDescent="0.2">
      <c r="D28" s="17">
        <v>44232</v>
      </c>
      <c r="E28" s="1">
        <v>0.2</v>
      </c>
      <c r="F28" s="1">
        <v>0.4</v>
      </c>
      <c r="G28" s="1">
        <v>0.71</v>
      </c>
    </row>
    <row r="29" spans="4:7" x14ac:dyDescent="0.2">
      <c r="D29" s="17">
        <v>44235</v>
      </c>
      <c r="E29" s="1">
        <v>0.25</v>
      </c>
      <c r="F29" s="1">
        <v>0.4</v>
      </c>
      <c r="G29" s="1">
        <v>0.71</v>
      </c>
    </row>
    <row r="30" spans="4:7" x14ac:dyDescent="0.2">
      <c r="D30" s="17">
        <v>44236</v>
      </c>
      <c r="E30" s="1">
        <v>0.2</v>
      </c>
      <c r="F30" s="1">
        <v>0.4</v>
      </c>
      <c r="G30" s="1">
        <v>0.71</v>
      </c>
    </row>
    <row r="31" spans="4:7" x14ac:dyDescent="0.2">
      <c r="D31" s="17">
        <v>44237</v>
      </c>
      <c r="E31" s="1">
        <v>0.2</v>
      </c>
      <c r="F31" s="1">
        <v>0.4</v>
      </c>
      <c r="G31" s="1">
        <v>0.71</v>
      </c>
    </row>
    <row r="32" spans="4:7" x14ac:dyDescent="0.2">
      <c r="D32" s="17">
        <v>44238</v>
      </c>
      <c r="E32" s="1">
        <v>0.2</v>
      </c>
      <c r="F32" s="1">
        <v>0.4</v>
      </c>
      <c r="G32" s="1">
        <v>0.71</v>
      </c>
    </row>
    <row r="33" spans="4:12" x14ac:dyDescent="0.2">
      <c r="D33" s="17">
        <v>44239</v>
      </c>
      <c r="E33" s="1">
        <v>0.2</v>
      </c>
      <c r="F33" s="1">
        <v>0.4</v>
      </c>
      <c r="G33" s="1">
        <v>0.71</v>
      </c>
    </row>
    <row r="34" spans="4:12" x14ac:dyDescent="0.2">
      <c r="D34" s="17">
        <v>44244</v>
      </c>
      <c r="E34" s="1">
        <v>0.2</v>
      </c>
      <c r="F34" s="1">
        <v>0.4</v>
      </c>
      <c r="G34" s="1">
        <v>0.71</v>
      </c>
    </row>
    <row r="35" spans="4:12" x14ac:dyDescent="0.2">
      <c r="D35" s="17">
        <v>44245</v>
      </c>
      <c r="E35" s="1">
        <v>0.22</v>
      </c>
      <c r="F35" s="1">
        <v>0.4</v>
      </c>
      <c r="G35" s="1">
        <v>0.71</v>
      </c>
    </row>
    <row r="36" spans="4:12" x14ac:dyDescent="0.2">
      <c r="D36" s="17">
        <v>44246</v>
      </c>
      <c r="E36" s="1">
        <v>0.1</v>
      </c>
      <c r="F36" s="1">
        <v>0.38</v>
      </c>
      <c r="G36" s="1">
        <v>0.71</v>
      </c>
    </row>
    <row r="37" spans="4:12" x14ac:dyDescent="0.2">
      <c r="D37" s="17">
        <v>44249</v>
      </c>
      <c r="E37" s="1">
        <v>0.1</v>
      </c>
      <c r="F37" s="1">
        <v>0.39</v>
      </c>
      <c r="G37" s="1">
        <v>0.71</v>
      </c>
    </row>
    <row r="38" spans="4:12" x14ac:dyDescent="0.2">
      <c r="D38" s="17">
        <v>44250</v>
      </c>
      <c r="E38" s="1">
        <v>0.1</v>
      </c>
      <c r="F38" s="1">
        <v>0.39</v>
      </c>
      <c r="G38" s="1">
        <v>0.71</v>
      </c>
    </row>
    <row r="39" spans="4:12" x14ac:dyDescent="0.2">
      <c r="D39" s="17">
        <v>44251</v>
      </c>
      <c r="E39" s="1">
        <v>0.1</v>
      </c>
      <c r="F39" s="1">
        <v>0.39</v>
      </c>
      <c r="G39" s="1">
        <v>0.71</v>
      </c>
      <c r="L39" s="17"/>
    </row>
    <row r="40" spans="4:12" x14ac:dyDescent="0.2">
      <c r="D40" s="17">
        <v>44252</v>
      </c>
      <c r="E40" s="1">
        <v>0.1</v>
      </c>
      <c r="F40" s="1">
        <v>0.39</v>
      </c>
      <c r="G40" s="1">
        <v>0.71</v>
      </c>
    </row>
    <row r="41" spans="4:12" x14ac:dyDescent="0.2">
      <c r="D41" s="17">
        <v>44253</v>
      </c>
      <c r="E41" s="1">
        <v>0.26</v>
      </c>
      <c r="F41" s="1">
        <v>0.4</v>
      </c>
      <c r="G41" s="1">
        <v>0.71</v>
      </c>
    </row>
    <row r="42" spans="4:12" x14ac:dyDescent="0.2">
      <c r="D42" s="17">
        <v>44256</v>
      </c>
      <c r="E42" s="1">
        <v>0.26</v>
      </c>
      <c r="F42" s="1">
        <v>0.4</v>
      </c>
      <c r="G42" s="1">
        <v>0.59</v>
      </c>
    </row>
    <row r="43" spans="4:12" x14ac:dyDescent="0.2">
      <c r="D43" s="17">
        <v>44257</v>
      </c>
      <c r="E43" s="1">
        <v>0.2</v>
      </c>
      <c r="F43" s="1">
        <v>0.4</v>
      </c>
      <c r="G43" s="1">
        <v>0.59</v>
      </c>
    </row>
    <row r="44" spans="4:12" x14ac:dyDescent="0.2">
      <c r="D44" s="17">
        <v>44258</v>
      </c>
      <c r="E44" s="1">
        <v>0.2</v>
      </c>
      <c r="F44" s="1">
        <v>0.39</v>
      </c>
      <c r="G44" s="1">
        <v>0.6</v>
      </c>
    </row>
    <row r="45" spans="4:12" x14ac:dyDescent="0.2">
      <c r="D45" s="17">
        <v>44259</v>
      </c>
      <c r="E45" s="1">
        <v>0.2</v>
      </c>
      <c r="F45" s="1">
        <v>0.39</v>
      </c>
      <c r="G45" s="1">
        <v>0.6</v>
      </c>
    </row>
    <row r="46" spans="4:12" x14ac:dyDescent="0.2">
      <c r="D46" s="17">
        <v>44260</v>
      </c>
      <c r="E46" s="1">
        <v>0.2</v>
      </c>
      <c r="F46" s="1">
        <v>0.4</v>
      </c>
      <c r="G46" s="1">
        <v>0.6</v>
      </c>
    </row>
    <row r="47" spans="4:12" x14ac:dyDescent="0.2">
      <c r="D47" s="17">
        <v>44263</v>
      </c>
      <c r="E47" s="1">
        <v>0.2</v>
      </c>
      <c r="F47" s="1">
        <v>0.41</v>
      </c>
      <c r="G47" s="1">
        <v>0.71</v>
      </c>
    </row>
    <row r="48" spans="4:12" x14ac:dyDescent="0.2">
      <c r="D48" s="17">
        <v>44264</v>
      </c>
      <c r="E48" s="1">
        <v>0.2</v>
      </c>
      <c r="F48" s="1">
        <v>0.4</v>
      </c>
      <c r="G48" s="1">
        <v>0.71</v>
      </c>
    </row>
    <row r="49" spans="4:7" x14ac:dyDescent="0.2">
      <c r="D49" s="17">
        <v>44265</v>
      </c>
      <c r="E49" s="1">
        <v>0.2</v>
      </c>
      <c r="F49" s="1">
        <v>0.41</v>
      </c>
      <c r="G49" s="1">
        <v>0.71</v>
      </c>
    </row>
    <row r="50" spans="4:7" x14ac:dyDescent="0.2">
      <c r="D50" s="17">
        <v>44266</v>
      </c>
      <c r="E50" s="1">
        <v>0.2</v>
      </c>
      <c r="F50" s="1">
        <v>0.41</v>
      </c>
      <c r="G50" s="1">
        <v>0.71</v>
      </c>
    </row>
    <row r="51" spans="4:7" x14ac:dyDescent="0.2">
      <c r="D51" s="17">
        <v>44267</v>
      </c>
      <c r="E51" s="1">
        <v>0</v>
      </c>
      <c r="F51" s="1">
        <v>0.4</v>
      </c>
      <c r="G51" s="1">
        <v>0.71</v>
      </c>
    </row>
    <row r="52" spans="4:7" x14ac:dyDescent="0.2">
      <c r="D52" s="17">
        <v>44270</v>
      </c>
      <c r="E52" s="1">
        <v>0</v>
      </c>
      <c r="F52" s="1">
        <v>0.4</v>
      </c>
      <c r="G52" s="1">
        <v>0.71</v>
      </c>
    </row>
    <row r="53" spans="4:7" x14ac:dyDescent="0.2">
      <c r="D53" s="17">
        <v>44271</v>
      </c>
      <c r="E53" s="1">
        <v>0</v>
      </c>
      <c r="F53" s="1">
        <v>0.4</v>
      </c>
      <c r="G53" s="1">
        <v>0.71</v>
      </c>
    </row>
    <row r="54" spans="4:7" x14ac:dyDescent="0.2">
      <c r="D54" s="17">
        <v>44272</v>
      </c>
      <c r="E54" s="1">
        <v>0</v>
      </c>
      <c r="F54" s="1">
        <v>0.4</v>
      </c>
      <c r="G54" s="1">
        <v>0.71</v>
      </c>
    </row>
    <row r="55" spans="4:7" x14ac:dyDescent="0.2">
      <c r="D55" s="17">
        <v>44273</v>
      </c>
      <c r="E55" s="1">
        <v>0</v>
      </c>
      <c r="F55" s="1">
        <v>0.39</v>
      </c>
      <c r="G55" s="1">
        <v>0.71</v>
      </c>
    </row>
    <row r="56" spans="4:7" x14ac:dyDescent="0.2">
      <c r="D56" s="17">
        <v>44274</v>
      </c>
      <c r="E56" s="1">
        <v>0.2</v>
      </c>
      <c r="F56" s="1">
        <v>0.4</v>
      </c>
      <c r="G56" s="1">
        <v>0.81</v>
      </c>
    </row>
    <row r="57" spans="4:7" x14ac:dyDescent="0.2">
      <c r="D57" s="17">
        <v>44277</v>
      </c>
      <c r="E57" s="1">
        <v>0.2</v>
      </c>
      <c r="F57" s="1">
        <v>0.4</v>
      </c>
      <c r="G57" s="1">
        <v>0.81</v>
      </c>
    </row>
    <row r="58" spans="4:7" x14ac:dyDescent="0.2">
      <c r="D58" s="17">
        <v>44278</v>
      </c>
      <c r="E58" s="1">
        <v>0.2</v>
      </c>
      <c r="F58" s="1">
        <v>0.39</v>
      </c>
      <c r="G58" s="1">
        <v>0.81</v>
      </c>
    </row>
    <row r="59" spans="4:7" x14ac:dyDescent="0.2">
      <c r="D59" s="17">
        <v>44279</v>
      </c>
      <c r="E59" s="1">
        <v>0.2</v>
      </c>
      <c r="F59" s="1">
        <v>0.4</v>
      </c>
      <c r="G59" s="1">
        <v>0.81</v>
      </c>
    </row>
    <row r="60" spans="4:7" x14ac:dyDescent="0.2">
      <c r="D60" s="17">
        <v>44280</v>
      </c>
      <c r="E60" s="1">
        <v>0.2</v>
      </c>
      <c r="F60" s="1">
        <v>0.4</v>
      </c>
      <c r="G60" s="1">
        <v>0.81</v>
      </c>
    </row>
    <row r="61" spans="4:7" x14ac:dyDescent="0.2">
      <c r="D61" s="17">
        <v>44281</v>
      </c>
      <c r="E61" s="1">
        <v>0.26</v>
      </c>
      <c r="F61" s="1">
        <v>0.4</v>
      </c>
      <c r="G61" s="1">
        <v>0.59</v>
      </c>
    </row>
    <row r="62" spans="4:7" x14ac:dyDescent="0.2">
      <c r="D62" s="17">
        <v>44284</v>
      </c>
      <c r="E62" s="1">
        <v>0.26</v>
      </c>
      <c r="F62" s="1">
        <v>0.4</v>
      </c>
      <c r="G62" s="1">
        <v>0.59</v>
      </c>
    </row>
    <row r="63" spans="4:7" x14ac:dyDescent="0.2">
      <c r="D63" s="17">
        <v>44285</v>
      </c>
      <c r="E63" s="1">
        <v>0.28000000000000003</v>
      </c>
      <c r="F63" s="1">
        <v>0.4</v>
      </c>
      <c r="G63" s="1">
        <v>0.81</v>
      </c>
    </row>
    <row r="64" spans="4:7" x14ac:dyDescent="0.2">
      <c r="D64" s="17">
        <v>44286</v>
      </c>
      <c r="E64" s="1">
        <v>0.25</v>
      </c>
      <c r="F64" s="1">
        <v>0.4</v>
      </c>
      <c r="G64" s="1">
        <v>0.80569999999999997</v>
      </c>
    </row>
    <row r="65" spans="4:7" x14ac:dyDescent="0.2">
      <c r="D65" s="17">
        <v>44287</v>
      </c>
      <c r="E65" s="1">
        <v>0.25</v>
      </c>
      <c r="F65" s="1">
        <v>0.4</v>
      </c>
      <c r="G65" s="1">
        <v>0.80569999999999997</v>
      </c>
    </row>
    <row r="66" spans="4:7" x14ac:dyDescent="0.2">
      <c r="D66" s="17">
        <v>44291</v>
      </c>
      <c r="E66" s="1">
        <v>0.25</v>
      </c>
      <c r="F66" s="1">
        <v>0.39</v>
      </c>
      <c r="G66" s="1">
        <v>0.80569999999999997</v>
      </c>
    </row>
    <row r="67" spans="4:7" x14ac:dyDescent="0.2">
      <c r="D67" s="17">
        <v>44292</v>
      </c>
      <c r="E67" s="1">
        <v>0.25</v>
      </c>
      <c r="F67" s="1">
        <v>0.39500000000000002</v>
      </c>
      <c r="G67" s="1">
        <v>0.80569999999999997</v>
      </c>
    </row>
    <row r="68" spans="4:7" x14ac:dyDescent="0.2">
      <c r="D68" s="17">
        <v>44293</v>
      </c>
      <c r="E68" s="1">
        <v>0.25</v>
      </c>
      <c r="F68" s="1">
        <v>0.38019999999999998</v>
      </c>
      <c r="G68" s="1">
        <v>0.6</v>
      </c>
    </row>
    <row r="69" spans="4:7" x14ac:dyDescent="0.2">
      <c r="D69" s="17">
        <v>44294</v>
      </c>
      <c r="E69" s="1">
        <v>0.25</v>
      </c>
      <c r="F69" s="1">
        <v>0.39</v>
      </c>
      <c r="G69" s="1">
        <v>0.6</v>
      </c>
    </row>
    <row r="70" spans="4:7" x14ac:dyDescent="0.2">
      <c r="D70" s="17">
        <v>44295</v>
      </c>
      <c r="E70" s="1">
        <v>0.25</v>
      </c>
      <c r="F70" s="1">
        <v>0.4</v>
      </c>
      <c r="G70" s="1">
        <v>0.80569999999999997</v>
      </c>
    </row>
    <row r="71" spans="4:7" x14ac:dyDescent="0.2">
      <c r="D71" s="17">
        <v>44298</v>
      </c>
      <c r="E71" s="1">
        <v>0.25</v>
      </c>
      <c r="F71" s="1">
        <v>0.4</v>
      </c>
      <c r="G71" s="1">
        <v>0.80569999999999997</v>
      </c>
    </row>
    <row r="72" spans="4:7" x14ac:dyDescent="0.2">
      <c r="D72" s="17">
        <v>44299</v>
      </c>
      <c r="E72" s="1">
        <v>0.25</v>
      </c>
      <c r="F72" s="1">
        <v>0.38150000000000001</v>
      </c>
      <c r="G72" s="1">
        <v>0.80569999999999997</v>
      </c>
    </row>
    <row r="73" spans="4:7" x14ac:dyDescent="0.2">
      <c r="D73" s="17">
        <v>44300</v>
      </c>
      <c r="E73" s="1">
        <v>0.25</v>
      </c>
      <c r="F73" s="1">
        <v>0.38100000000000001</v>
      </c>
      <c r="G73" s="1">
        <v>0.80569999999999997</v>
      </c>
    </row>
    <row r="74" spans="4:7" x14ac:dyDescent="0.2">
      <c r="D74" s="17">
        <v>44301</v>
      </c>
      <c r="E74" s="1">
        <v>0.25</v>
      </c>
      <c r="F74" s="1">
        <v>0.36</v>
      </c>
      <c r="G74" s="1">
        <v>0.80569999999999997</v>
      </c>
    </row>
    <row r="75" spans="4:7" x14ac:dyDescent="0.2">
      <c r="D75" s="17">
        <v>44302</v>
      </c>
      <c r="E75" s="1">
        <v>0.28000000000000003</v>
      </c>
      <c r="F75" s="1">
        <v>0.39</v>
      </c>
      <c r="G75" s="1">
        <v>0.63</v>
      </c>
    </row>
    <row r="76" spans="4:7" x14ac:dyDescent="0.2">
      <c r="D76" s="17">
        <v>44305</v>
      </c>
      <c r="E76" s="1">
        <v>0.26300000000000001</v>
      </c>
      <c r="F76" s="1">
        <v>0.4</v>
      </c>
      <c r="G76" s="1">
        <v>0.7</v>
      </c>
    </row>
    <row r="77" spans="4:7" x14ac:dyDescent="0.2">
      <c r="D77" s="17">
        <v>44306</v>
      </c>
      <c r="E77" s="1">
        <v>0.26300000000000001</v>
      </c>
      <c r="F77" s="1">
        <v>0.41</v>
      </c>
      <c r="G77" s="1">
        <v>0.7</v>
      </c>
    </row>
    <row r="78" spans="4:7" x14ac:dyDescent="0.2">
      <c r="D78" s="17">
        <v>44308</v>
      </c>
      <c r="E78" s="1">
        <v>0.26300000000000001</v>
      </c>
      <c r="F78" s="1">
        <v>0.42</v>
      </c>
      <c r="G78" s="1">
        <v>0.7</v>
      </c>
    </row>
    <row r="79" spans="4:7" x14ac:dyDescent="0.2">
      <c r="D79" s="17">
        <v>44309</v>
      </c>
      <c r="E79" s="1">
        <v>0.04</v>
      </c>
      <c r="F79" s="1">
        <v>0.4</v>
      </c>
      <c r="G79" s="1">
        <v>0.80569999999999997</v>
      </c>
    </row>
    <row r="80" spans="4:7" x14ac:dyDescent="0.2">
      <c r="D80" s="17">
        <v>44312</v>
      </c>
      <c r="E80" s="1">
        <v>0.04</v>
      </c>
      <c r="F80" s="1">
        <v>0.4</v>
      </c>
      <c r="G80" s="1">
        <v>0.80569999999999997</v>
      </c>
    </row>
    <row r="81" spans="4:7" x14ac:dyDescent="0.2">
      <c r="D81" s="17">
        <v>44313</v>
      </c>
      <c r="E81" s="1">
        <v>0.04</v>
      </c>
      <c r="F81" s="1">
        <v>0.4</v>
      </c>
      <c r="G81" s="1">
        <v>0.80569999999999997</v>
      </c>
    </row>
    <row r="82" spans="4:7" x14ac:dyDescent="0.2">
      <c r="D82" s="17">
        <v>44314</v>
      </c>
      <c r="E82" s="1">
        <v>0.04</v>
      </c>
      <c r="F82" s="1">
        <v>0.4</v>
      </c>
      <c r="G82" s="1">
        <v>0.80569999999999997</v>
      </c>
    </row>
    <row r="83" spans="4:7" x14ac:dyDescent="0.2">
      <c r="D83" s="17">
        <v>44315</v>
      </c>
      <c r="E83" s="1">
        <v>0.04</v>
      </c>
      <c r="F83" s="1">
        <v>0.39</v>
      </c>
      <c r="G83" s="1">
        <v>0.80569999999999997</v>
      </c>
    </row>
    <row r="84" spans="4:7" x14ac:dyDescent="0.2">
      <c r="D84" s="17">
        <v>44316</v>
      </c>
      <c r="E84" s="1">
        <v>0.04</v>
      </c>
      <c r="F84" s="1">
        <v>0.39</v>
      </c>
      <c r="G84" s="1">
        <v>0.80569999999999997</v>
      </c>
    </row>
    <row r="85" spans="4:7" x14ac:dyDescent="0.2">
      <c r="D85" s="17">
        <v>44319</v>
      </c>
      <c r="E85" s="1">
        <v>0.04</v>
      </c>
      <c r="F85" s="1">
        <v>0.39500000000000002</v>
      </c>
      <c r="G85" s="1">
        <v>0.80569999999999997</v>
      </c>
    </row>
    <row r="86" spans="4:7" x14ac:dyDescent="0.2">
      <c r="D86" s="17">
        <v>44320</v>
      </c>
      <c r="E86" s="1">
        <v>0.04</v>
      </c>
      <c r="F86" s="1">
        <v>0.39</v>
      </c>
      <c r="G86" s="1">
        <v>0.80569999999999997</v>
      </c>
    </row>
    <row r="87" spans="4:7" x14ac:dyDescent="0.2">
      <c r="D87" s="17">
        <v>44321</v>
      </c>
      <c r="E87" s="1">
        <v>0.04</v>
      </c>
      <c r="F87" s="1">
        <v>0.39</v>
      </c>
      <c r="G87" s="1">
        <v>0.7</v>
      </c>
    </row>
    <row r="88" spans="4:7" x14ac:dyDescent="0.2">
      <c r="D88" s="17">
        <v>44322</v>
      </c>
      <c r="E88" s="1">
        <v>0.04</v>
      </c>
      <c r="F88" s="1">
        <v>0.4</v>
      </c>
      <c r="G88" s="1">
        <v>0.7</v>
      </c>
    </row>
    <row r="89" spans="4:7" x14ac:dyDescent="0.2">
      <c r="D89" s="17">
        <v>44323</v>
      </c>
      <c r="E89" s="1">
        <v>0.25</v>
      </c>
      <c r="F89" s="1">
        <v>0.36699999999999999</v>
      </c>
      <c r="G89" s="1">
        <v>0.7</v>
      </c>
    </row>
    <row r="90" spans="4:7" x14ac:dyDescent="0.2">
      <c r="D90" s="17">
        <v>44326</v>
      </c>
      <c r="E90" s="1">
        <v>0.25</v>
      </c>
      <c r="F90" s="1">
        <v>0.36</v>
      </c>
      <c r="G90" s="1">
        <v>0.7</v>
      </c>
    </row>
    <row r="91" spans="4:7" x14ac:dyDescent="0.2">
      <c r="D91" s="17">
        <v>44327</v>
      </c>
      <c r="E91" s="1">
        <v>0.2</v>
      </c>
      <c r="F91" s="1">
        <v>0.3639</v>
      </c>
      <c r="G91" s="1">
        <v>0.7</v>
      </c>
    </row>
    <row r="92" spans="4:7" x14ac:dyDescent="0.2">
      <c r="D92" s="17">
        <v>44328</v>
      </c>
      <c r="E92" s="1">
        <v>0.17</v>
      </c>
      <c r="F92" s="1">
        <v>0.37</v>
      </c>
      <c r="G92" s="1">
        <v>0.7</v>
      </c>
    </row>
    <row r="93" spans="4:7" x14ac:dyDescent="0.2">
      <c r="D93" s="17">
        <v>44329</v>
      </c>
      <c r="E93" s="1">
        <v>0.17</v>
      </c>
      <c r="F93" s="1">
        <v>0.37</v>
      </c>
      <c r="G93" s="1">
        <v>0.7</v>
      </c>
    </row>
    <row r="94" spans="4:7" x14ac:dyDescent="0.2">
      <c r="D94" s="17">
        <v>44330</v>
      </c>
      <c r="E94" s="1">
        <v>0.08</v>
      </c>
      <c r="F94" s="1">
        <v>0.36499999999999999</v>
      </c>
      <c r="G94" s="1">
        <v>0.7</v>
      </c>
    </row>
    <row r="95" spans="4:7" x14ac:dyDescent="0.2">
      <c r="D95" s="17">
        <v>44333</v>
      </c>
      <c r="E95" s="1">
        <v>0.08</v>
      </c>
      <c r="F95" s="1">
        <v>0.38</v>
      </c>
      <c r="G95" s="1">
        <v>0.7</v>
      </c>
    </row>
    <row r="96" spans="4:7" x14ac:dyDescent="0.2">
      <c r="D96" s="17">
        <v>44334</v>
      </c>
      <c r="E96" s="1">
        <v>0.08</v>
      </c>
      <c r="F96" s="1">
        <v>0.38</v>
      </c>
      <c r="G96" s="1">
        <v>0.7</v>
      </c>
    </row>
    <row r="97" spans="4:7" x14ac:dyDescent="0.2">
      <c r="D97" s="17">
        <v>44335</v>
      </c>
      <c r="E97" s="1">
        <v>0.08</v>
      </c>
      <c r="F97" s="1">
        <v>0.35</v>
      </c>
      <c r="G97" s="1">
        <v>0.7</v>
      </c>
    </row>
    <row r="98" spans="4:7" x14ac:dyDescent="0.2">
      <c r="D98" s="17">
        <v>44336</v>
      </c>
      <c r="E98" s="1">
        <v>0.08</v>
      </c>
      <c r="F98" s="1">
        <v>0.3543</v>
      </c>
      <c r="G98" s="1">
        <v>0.7</v>
      </c>
    </row>
    <row r="99" spans="4:7" x14ac:dyDescent="0.2">
      <c r="D99" s="17">
        <v>44337</v>
      </c>
      <c r="E99" s="1">
        <v>0.08</v>
      </c>
      <c r="F99" s="1">
        <v>0.37</v>
      </c>
      <c r="G99" s="1">
        <v>0.7</v>
      </c>
    </row>
    <row r="100" spans="4:7" x14ac:dyDescent="0.2">
      <c r="D100" s="17">
        <v>44340</v>
      </c>
      <c r="E100" s="1">
        <v>0.08</v>
      </c>
      <c r="F100" s="1">
        <v>0.36499999999999999</v>
      </c>
      <c r="G100" s="1">
        <v>0.7</v>
      </c>
    </row>
    <row r="101" spans="4:7" x14ac:dyDescent="0.2">
      <c r="D101" s="17">
        <v>44341</v>
      </c>
      <c r="E101" s="1">
        <v>0.08</v>
      </c>
      <c r="F101" s="1">
        <v>0.36</v>
      </c>
      <c r="G101" s="1">
        <v>0.7</v>
      </c>
    </row>
    <row r="102" spans="4:7" x14ac:dyDescent="0.2">
      <c r="D102" s="17">
        <v>44342</v>
      </c>
      <c r="E102" s="1">
        <v>0.08</v>
      </c>
      <c r="F102" s="1">
        <v>0.37</v>
      </c>
      <c r="G102" s="1">
        <v>0.7</v>
      </c>
    </row>
    <row r="103" spans="4:7" x14ac:dyDescent="0.2">
      <c r="D103" s="17">
        <v>44343</v>
      </c>
      <c r="E103" s="1">
        <v>0.08</v>
      </c>
      <c r="F103" s="1">
        <v>0.36499999999999999</v>
      </c>
      <c r="G103" s="1">
        <v>0.7</v>
      </c>
    </row>
    <row r="104" spans="4:7" x14ac:dyDescent="0.2">
      <c r="D104" s="17">
        <v>44344</v>
      </c>
      <c r="E104" s="1">
        <v>0.11</v>
      </c>
      <c r="F104" s="1">
        <v>0.36</v>
      </c>
      <c r="G104" s="1">
        <v>0.7</v>
      </c>
    </row>
    <row r="105" spans="4:7" x14ac:dyDescent="0.2">
      <c r="D105" s="17">
        <v>44347</v>
      </c>
      <c r="E105" s="1">
        <v>0.11</v>
      </c>
      <c r="F105" s="1">
        <v>0.35549999999999998</v>
      </c>
      <c r="G105" s="1">
        <v>0.7</v>
      </c>
    </row>
    <row r="106" spans="4:7" x14ac:dyDescent="0.2">
      <c r="D106" s="17">
        <v>44348</v>
      </c>
      <c r="E106" s="1">
        <v>0.11</v>
      </c>
      <c r="F106" s="1">
        <v>0.35549999999999998</v>
      </c>
      <c r="G106" s="1">
        <v>0.7</v>
      </c>
    </row>
    <row r="107" spans="4:7" x14ac:dyDescent="0.2">
      <c r="D107" s="17">
        <v>44349</v>
      </c>
      <c r="E107" s="1">
        <v>0.11</v>
      </c>
      <c r="F107" s="1">
        <v>0.39</v>
      </c>
      <c r="G107" s="1">
        <v>0.7</v>
      </c>
    </row>
    <row r="108" spans="4:7" x14ac:dyDescent="0.2">
      <c r="D108" s="17">
        <v>44351</v>
      </c>
      <c r="E108" s="1">
        <v>0.11</v>
      </c>
      <c r="F108" s="1">
        <v>0.37</v>
      </c>
      <c r="G108" s="1">
        <v>0.7</v>
      </c>
    </row>
    <row r="109" spans="4:7" x14ac:dyDescent="0.2">
      <c r="D109" s="17">
        <v>44354</v>
      </c>
      <c r="E109" s="1">
        <v>0.15</v>
      </c>
      <c r="F109" s="1">
        <v>0.37</v>
      </c>
      <c r="G109" s="1">
        <v>0.7</v>
      </c>
    </row>
    <row r="110" spans="4:7" x14ac:dyDescent="0.2">
      <c r="D110" s="17">
        <v>44355</v>
      </c>
      <c r="E110" s="1">
        <v>0.15</v>
      </c>
      <c r="F110" s="1">
        <v>0.37</v>
      </c>
      <c r="G110" s="1">
        <v>0.7</v>
      </c>
    </row>
    <row r="111" spans="4:7" x14ac:dyDescent="0.2">
      <c r="D111" s="17">
        <v>44356</v>
      </c>
      <c r="E111" s="1">
        <v>0.15</v>
      </c>
      <c r="F111" s="1">
        <v>0.37</v>
      </c>
      <c r="G111" s="1">
        <v>0.7</v>
      </c>
    </row>
    <row r="112" spans="4:7" x14ac:dyDescent="0.2">
      <c r="D112" s="17">
        <v>44357</v>
      </c>
      <c r="E112" s="1">
        <v>0.15</v>
      </c>
      <c r="F112" s="1">
        <v>0.36099999999999999</v>
      </c>
      <c r="G112" s="1">
        <v>0.7</v>
      </c>
    </row>
    <row r="113" spans="4:7" x14ac:dyDescent="0.2">
      <c r="D113" s="17">
        <v>44358</v>
      </c>
      <c r="E113" s="1">
        <v>0.16</v>
      </c>
      <c r="F113" s="1">
        <v>0.36</v>
      </c>
      <c r="G113" s="1">
        <v>0.7</v>
      </c>
    </row>
    <row r="114" spans="4:7" x14ac:dyDescent="0.2">
      <c r="D114" s="17">
        <v>44361</v>
      </c>
      <c r="E114" s="1">
        <v>0.16</v>
      </c>
      <c r="F114" s="1">
        <v>0.36</v>
      </c>
      <c r="G114" s="1">
        <v>0.7</v>
      </c>
    </row>
    <row r="115" spans="4:7" x14ac:dyDescent="0.2">
      <c r="D115" s="17">
        <v>44362</v>
      </c>
      <c r="E115" s="1">
        <v>0.16</v>
      </c>
      <c r="F115" s="1">
        <v>0.36</v>
      </c>
      <c r="G115" s="1">
        <v>0.7</v>
      </c>
    </row>
    <row r="116" spans="4:7" x14ac:dyDescent="0.2">
      <c r="D116" s="17">
        <v>44363</v>
      </c>
      <c r="E116" s="1">
        <v>0.16</v>
      </c>
      <c r="F116" s="1">
        <v>0.36049999999999999</v>
      </c>
      <c r="G116" s="1">
        <v>0.7</v>
      </c>
    </row>
    <row r="117" spans="4:7" x14ac:dyDescent="0.2">
      <c r="D117" s="17">
        <v>44364</v>
      </c>
      <c r="E117" s="1">
        <v>0.16</v>
      </c>
      <c r="F117" s="1">
        <v>0.36549999999999999</v>
      </c>
      <c r="G117" s="1">
        <v>0.7</v>
      </c>
    </row>
    <row r="118" spans="4:7" x14ac:dyDescent="0.2">
      <c r="D118" s="17">
        <v>44365</v>
      </c>
      <c r="E118" s="1">
        <v>0.12</v>
      </c>
      <c r="F118" s="1">
        <v>0.35</v>
      </c>
      <c r="G118" s="1">
        <v>0.7</v>
      </c>
    </row>
    <row r="119" spans="4:7" x14ac:dyDescent="0.2">
      <c r="D119" s="17">
        <v>44368</v>
      </c>
      <c r="E119" s="1">
        <v>0.12</v>
      </c>
      <c r="F119" s="1">
        <v>0.35</v>
      </c>
      <c r="G119" s="1">
        <v>0.7</v>
      </c>
    </row>
    <row r="120" spans="4:7" x14ac:dyDescent="0.2">
      <c r="D120" s="17">
        <v>44369</v>
      </c>
      <c r="E120" s="1">
        <v>0.12</v>
      </c>
      <c r="F120" s="1">
        <v>0.35</v>
      </c>
      <c r="G120" s="1">
        <v>0.7</v>
      </c>
    </row>
    <row r="121" spans="4:7" x14ac:dyDescent="0.2">
      <c r="D121" s="17">
        <v>44370</v>
      </c>
      <c r="E121" s="1">
        <v>0.12</v>
      </c>
      <c r="F121" s="1">
        <v>0.34</v>
      </c>
      <c r="G121" s="1">
        <v>0.7</v>
      </c>
    </row>
    <row r="122" spans="4:7" x14ac:dyDescent="0.2">
      <c r="D122" s="17">
        <v>44371</v>
      </c>
      <c r="E122" s="1">
        <v>0.12</v>
      </c>
      <c r="F122" s="1">
        <v>0.34499999999999997</v>
      </c>
      <c r="G122" s="1">
        <v>0.7</v>
      </c>
    </row>
    <row r="123" spans="4:7" x14ac:dyDescent="0.2">
      <c r="D123" s="17">
        <v>44372</v>
      </c>
      <c r="E123" s="1">
        <v>7.0000000000000007E-2</v>
      </c>
      <c r="F123" s="1">
        <v>0.35809999999999997</v>
      </c>
      <c r="G123" s="1">
        <v>0.7</v>
      </c>
    </row>
    <row r="124" spans="4:7" x14ac:dyDescent="0.2">
      <c r="D124" s="17">
        <v>44375</v>
      </c>
      <c r="E124" s="1">
        <v>0.03</v>
      </c>
      <c r="F124" s="1">
        <v>0.35249999999999998</v>
      </c>
      <c r="G124" s="1">
        <v>0.7</v>
      </c>
    </row>
    <row r="125" spans="4:7" x14ac:dyDescent="0.2">
      <c r="D125" s="17">
        <v>44376</v>
      </c>
      <c r="E125" s="1">
        <v>0.03</v>
      </c>
      <c r="F125" s="1">
        <v>0.35</v>
      </c>
      <c r="G125" s="1">
        <v>0.6</v>
      </c>
    </row>
    <row r="126" spans="4:7" x14ac:dyDescent="0.2">
      <c r="D126" s="17">
        <v>44377</v>
      </c>
      <c r="E126" s="1">
        <v>7.0000000000000007E-2</v>
      </c>
      <c r="F126" s="1">
        <v>0.35809999999999997</v>
      </c>
      <c r="G126" s="1">
        <v>0.6</v>
      </c>
    </row>
    <row r="127" spans="4:7" x14ac:dyDescent="0.2">
      <c r="D127" s="17">
        <v>44378</v>
      </c>
      <c r="E127" s="1">
        <v>7.0000000000000007E-2</v>
      </c>
      <c r="F127" s="1">
        <v>0.36499999999999999</v>
      </c>
      <c r="G127" s="1">
        <v>0.6</v>
      </c>
    </row>
    <row r="128" spans="4:7" x14ac:dyDescent="0.2">
      <c r="D128" s="17">
        <v>44379</v>
      </c>
      <c r="E128" s="1">
        <v>-0.19</v>
      </c>
      <c r="F128" s="1">
        <v>0.34</v>
      </c>
      <c r="G128" s="1">
        <v>0.7</v>
      </c>
    </row>
    <row r="129" spans="4:7" x14ac:dyDescent="0.2">
      <c r="D129" s="17">
        <v>44382</v>
      </c>
      <c r="E129" s="1">
        <v>-0.19</v>
      </c>
      <c r="F129" s="1">
        <v>0.35</v>
      </c>
      <c r="G129" s="1">
        <v>0.7</v>
      </c>
    </row>
    <row r="130" spans="4:7" x14ac:dyDescent="0.2">
      <c r="D130" s="17">
        <v>44383</v>
      </c>
      <c r="E130" s="1">
        <v>-0.19</v>
      </c>
      <c r="F130" s="1">
        <v>0.35</v>
      </c>
      <c r="G130" s="1">
        <v>0.7</v>
      </c>
    </row>
    <row r="131" spans="4:7" x14ac:dyDescent="0.2">
      <c r="D131" s="17">
        <v>44384</v>
      </c>
      <c r="E131" s="1">
        <v>-0.19</v>
      </c>
      <c r="F131" s="1">
        <v>0.35</v>
      </c>
      <c r="G131" s="1">
        <v>0.7</v>
      </c>
    </row>
    <row r="132" spans="4:7" x14ac:dyDescent="0.2">
      <c r="D132" s="17">
        <v>44385</v>
      </c>
      <c r="E132" s="1">
        <v>-0.24</v>
      </c>
      <c r="F132" s="1">
        <v>0.35499999999999998</v>
      </c>
      <c r="G132" s="1">
        <v>0.7</v>
      </c>
    </row>
    <row r="133" spans="4:7" x14ac:dyDescent="0.2">
      <c r="D133" s="17">
        <v>44386</v>
      </c>
      <c r="E133" s="1">
        <v>-0.24</v>
      </c>
      <c r="F133" s="1">
        <v>0.34499999999999997</v>
      </c>
      <c r="G133" s="1">
        <v>0.7</v>
      </c>
    </row>
    <row r="134" spans="4:7" x14ac:dyDescent="0.2">
      <c r="D134" s="17">
        <v>44389</v>
      </c>
      <c r="E134" s="1">
        <v>-0.24</v>
      </c>
      <c r="F134" s="1">
        <v>0.34</v>
      </c>
      <c r="G134" s="1">
        <v>0.7</v>
      </c>
    </row>
    <row r="135" spans="4:7" x14ac:dyDescent="0.2">
      <c r="D135" s="17">
        <v>44390</v>
      </c>
      <c r="E135" s="1">
        <v>-0.24</v>
      </c>
      <c r="F135" s="1">
        <v>0.34</v>
      </c>
      <c r="G135" s="1">
        <v>0.65</v>
      </c>
    </row>
    <row r="136" spans="4:7" x14ac:dyDescent="0.2">
      <c r="D136" s="17">
        <v>44391</v>
      </c>
      <c r="E136" s="1">
        <v>-0.24</v>
      </c>
      <c r="F136" s="1">
        <v>0.34</v>
      </c>
      <c r="G136" s="1">
        <v>0.65</v>
      </c>
    </row>
    <row r="137" spans="4:7" x14ac:dyDescent="0.2">
      <c r="D137" s="17">
        <v>44392</v>
      </c>
      <c r="E137" s="1">
        <v>0.1</v>
      </c>
      <c r="F137" s="1">
        <v>0.33379999999999999</v>
      </c>
      <c r="G137" s="1">
        <v>0.65</v>
      </c>
    </row>
    <row r="138" spans="4:7" x14ac:dyDescent="0.2">
      <c r="D138" s="17">
        <v>44393</v>
      </c>
      <c r="E138" s="1">
        <v>-0.24</v>
      </c>
      <c r="F138" s="1">
        <v>0.35</v>
      </c>
      <c r="G138" s="1">
        <v>0.7</v>
      </c>
    </row>
    <row r="139" spans="4:7" x14ac:dyDescent="0.2">
      <c r="D139" s="17">
        <v>44396</v>
      </c>
      <c r="E139" s="1">
        <v>-0.24</v>
      </c>
      <c r="F139" s="1">
        <v>0.35499999999999998</v>
      </c>
      <c r="G139" s="1">
        <v>0.7</v>
      </c>
    </row>
    <row r="140" spans="4:7" x14ac:dyDescent="0.2">
      <c r="D140" s="17">
        <v>44397</v>
      </c>
      <c r="E140" s="1">
        <v>-0.24</v>
      </c>
      <c r="F140" s="1">
        <v>0.35</v>
      </c>
      <c r="G140" s="1">
        <v>0.7</v>
      </c>
    </row>
    <row r="141" spans="4:7" x14ac:dyDescent="0.2">
      <c r="D141" s="17">
        <v>44398</v>
      </c>
      <c r="E141" s="1">
        <v>-0.24</v>
      </c>
      <c r="F141" s="1">
        <v>0.35649999999999998</v>
      </c>
      <c r="G141" s="1">
        <v>0.7</v>
      </c>
    </row>
    <row r="142" spans="4:7" x14ac:dyDescent="0.2">
      <c r="D142" s="17">
        <v>44399</v>
      </c>
      <c r="E142" s="1">
        <v>-0.24</v>
      </c>
      <c r="F142" s="1">
        <v>0.35830000000000001</v>
      </c>
      <c r="G142" s="1">
        <v>0.7</v>
      </c>
    </row>
    <row r="143" spans="4:7" x14ac:dyDescent="0.2">
      <c r="D143" s="17">
        <v>44400</v>
      </c>
      <c r="E143" s="1">
        <v>-0.14000000000000001</v>
      </c>
      <c r="F143" s="1">
        <v>0.35</v>
      </c>
      <c r="G143" s="1">
        <v>0.7</v>
      </c>
    </row>
    <row r="144" spans="4:7" x14ac:dyDescent="0.2">
      <c r="D144" s="17">
        <v>44403</v>
      </c>
      <c r="E144" s="1">
        <v>-0.14000000000000001</v>
      </c>
      <c r="F144" s="1">
        <v>0.36</v>
      </c>
      <c r="G144" s="1">
        <v>0.65</v>
      </c>
    </row>
    <row r="145" spans="4:7" x14ac:dyDescent="0.2">
      <c r="D145" s="17">
        <v>44404</v>
      </c>
      <c r="E145" s="1">
        <v>-0.14000000000000001</v>
      </c>
      <c r="F145" s="1">
        <v>0.36</v>
      </c>
      <c r="G145" s="1">
        <v>0.65</v>
      </c>
    </row>
    <row r="146" spans="4:7" x14ac:dyDescent="0.2">
      <c r="D146" s="17">
        <v>44405</v>
      </c>
      <c r="E146" s="1">
        <v>-0.26</v>
      </c>
      <c r="F146" s="1">
        <v>0.36</v>
      </c>
      <c r="G146" s="1">
        <v>0.65</v>
      </c>
    </row>
    <row r="147" spans="4:7" x14ac:dyDescent="0.2">
      <c r="D147" s="17">
        <v>44406</v>
      </c>
      <c r="E147" s="1">
        <v>-0.26</v>
      </c>
      <c r="F147" s="1">
        <v>0.36</v>
      </c>
      <c r="G147" s="1">
        <v>0.65</v>
      </c>
    </row>
    <row r="148" spans="4:7" x14ac:dyDescent="0.2">
      <c r="D148" s="17">
        <v>44407</v>
      </c>
      <c r="E148" s="1">
        <v>-0.26</v>
      </c>
      <c r="F148" s="1">
        <v>0.37</v>
      </c>
      <c r="G148" s="1">
        <v>0.65</v>
      </c>
    </row>
    <row r="149" spans="4:7" x14ac:dyDescent="0.2">
      <c r="D149" s="17">
        <v>44410</v>
      </c>
      <c r="E149" s="1">
        <v>-0.26</v>
      </c>
      <c r="F149" s="1">
        <v>0.37</v>
      </c>
      <c r="G149" s="1">
        <v>0.65</v>
      </c>
    </row>
    <row r="150" spans="4:7" x14ac:dyDescent="0.2">
      <c r="D150" s="17">
        <v>44411</v>
      </c>
      <c r="E150" s="1">
        <v>-0.26</v>
      </c>
      <c r="F150" s="1">
        <v>0.37019999999999997</v>
      </c>
      <c r="G150" s="1">
        <v>0.65</v>
      </c>
    </row>
    <row r="151" spans="4:7" x14ac:dyDescent="0.2">
      <c r="D151" s="17">
        <v>44412</v>
      </c>
      <c r="E151" s="1">
        <v>-0.1</v>
      </c>
      <c r="F151" s="1">
        <v>0.37</v>
      </c>
      <c r="G151" s="1">
        <v>0.65</v>
      </c>
    </row>
    <row r="152" spans="4:7" x14ac:dyDescent="0.2">
      <c r="D152" s="17">
        <v>44413</v>
      </c>
      <c r="E152" s="1">
        <v>-0.1</v>
      </c>
      <c r="F152" s="1">
        <v>0.37009999999999998</v>
      </c>
      <c r="G152" s="1">
        <v>0.65</v>
      </c>
    </row>
    <row r="153" spans="4:7" x14ac:dyDescent="0.2">
      <c r="D153" s="17">
        <v>44414</v>
      </c>
      <c r="E153" s="1">
        <v>0.05</v>
      </c>
      <c r="F153" s="1">
        <v>0.37019999999999997</v>
      </c>
      <c r="G153" s="1">
        <v>0.6</v>
      </c>
    </row>
    <row r="154" spans="4:7" x14ac:dyDescent="0.2">
      <c r="D154" s="17">
        <v>44417</v>
      </c>
      <c r="E154" s="1">
        <v>0.05</v>
      </c>
      <c r="F154" s="1">
        <v>0.37009999999999998</v>
      </c>
      <c r="G154" s="1">
        <v>0.7</v>
      </c>
    </row>
    <row r="155" spans="4:7" x14ac:dyDescent="0.2">
      <c r="D155" s="17">
        <v>44418</v>
      </c>
      <c r="E155" s="1">
        <v>0.05</v>
      </c>
      <c r="F155" s="1">
        <v>0.37009999999999998</v>
      </c>
      <c r="G155" s="1">
        <v>0.7</v>
      </c>
    </row>
    <row r="156" spans="4:7" x14ac:dyDescent="0.2">
      <c r="D156" s="17">
        <v>44419</v>
      </c>
      <c r="E156" s="1">
        <v>0.05</v>
      </c>
      <c r="F156" s="1">
        <v>0.37509999999999999</v>
      </c>
      <c r="G156" s="1">
        <v>0.7</v>
      </c>
    </row>
    <row r="157" spans="4:7" x14ac:dyDescent="0.2">
      <c r="D157" s="17">
        <v>44420</v>
      </c>
      <c r="E157" s="1">
        <v>0.05</v>
      </c>
      <c r="F157" s="1">
        <v>0.37</v>
      </c>
      <c r="G157" s="1">
        <v>0.7</v>
      </c>
    </row>
    <row r="158" spans="4:7" x14ac:dyDescent="0.2">
      <c r="D158" s="17">
        <v>44421</v>
      </c>
      <c r="E158" s="1">
        <v>-7.0000000000000007E-2</v>
      </c>
      <c r="F158" s="1">
        <v>0.36670000000000003</v>
      </c>
      <c r="G158" s="1">
        <v>0.7</v>
      </c>
    </row>
    <row r="159" spans="4:7" x14ac:dyDescent="0.2">
      <c r="D159" s="17">
        <v>44424</v>
      </c>
      <c r="E159" s="1">
        <v>-7.0000000000000007E-2</v>
      </c>
      <c r="F159" s="1">
        <v>0.36670000000000003</v>
      </c>
      <c r="G159" s="1">
        <v>0.7</v>
      </c>
    </row>
    <row r="160" spans="4:7" x14ac:dyDescent="0.2">
      <c r="D160" s="17">
        <v>44425</v>
      </c>
      <c r="E160" s="1">
        <v>-7.0000000000000007E-2</v>
      </c>
      <c r="F160" s="1">
        <v>0.36170000000000002</v>
      </c>
      <c r="G160" s="1">
        <v>0.7</v>
      </c>
    </row>
    <row r="161" spans="4:7" x14ac:dyDescent="0.2">
      <c r="D161" s="17">
        <v>44426</v>
      </c>
      <c r="E161" s="1">
        <v>-7.0000000000000007E-2</v>
      </c>
      <c r="F161" s="1">
        <v>0.37</v>
      </c>
      <c r="G161" s="1">
        <v>0.7</v>
      </c>
    </row>
    <row r="162" spans="4:7" x14ac:dyDescent="0.2">
      <c r="D162" s="17">
        <v>44427</v>
      </c>
      <c r="E162" s="1">
        <v>-7.0000000000000007E-2</v>
      </c>
      <c r="F162" s="1">
        <v>0.4</v>
      </c>
      <c r="G162" s="1">
        <v>0.7</v>
      </c>
    </row>
    <row r="163" spans="4:7" x14ac:dyDescent="0.2">
      <c r="D163" s="17">
        <v>44428</v>
      </c>
      <c r="E163" s="1">
        <v>-7.0000000000000007E-2</v>
      </c>
      <c r="F163" s="1">
        <v>0.4</v>
      </c>
      <c r="G163" s="1">
        <v>0.7</v>
      </c>
    </row>
    <row r="164" spans="4:7" x14ac:dyDescent="0.2">
      <c r="D164" s="17">
        <v>44431</v>
      </c>
      <c r="E164" s="1">
        <v>-7.0000000000000007E-2</v>
      </c>
      <c r="F164" s="1">
        <v>0.4</v>
      </c>
      <c r="G164" s="1">
        <v>0.7</v>
      </c>
    </row>
    <row r="165" spans="4:7" x14ac:dyDescent="0.2">
      <c r="D165" s="17">
        <v>44432</v>
      </c>
      <c r="E165" s="1">
        <v>-7.0000000000000007E-2</v>
      </c>
      <c r="F165" s="1">
        <v>0.4</v>
      </c>
      <c r="G165" s="1">
        <v>0.7</v>
      </c>
    </row>
    <row r="166" spans="4:7" x14ac:dyDescent="0.2">
      <c r="D166" s="17">
        <v>44433</v>
      </c>
      <c r="E166" s="1">
        <v>-7.0000000000000007E-2</v>
      </c>
      <c r="F166" s="1">
        <v>0.4</v>
      </c>
      <c r="G166" s="1">
        <v>0.7</v>
      </c>
    </row>
    <row r="167" spans="4:7" x14ac:dyDescent="0.2">
      <c r="D167" s="17">
        <v>44434</v>
      </c>
      <c r="E167" s="1">
        <v>-7.0000000000000007E-2</v>
      </c>
      <c r="F167" s="1">
        <v>0.4</v>
      </c>
      <c r="G167" s="1">
        <v>0.7</v>
      </c>
    </row>
    <row r="168" spans="4:7" x14ac:dyDescent="0.2">
      <c r="D168" s="17">
        <v>44435</v>
      </c>
      <c r="E168" s="1">
        <v>-0.33700000000000002</v>
      </c>
      <c r="F168" s="1">
        <v>0.4</v>
      </c>
      <c r="G168" s="1">
        <v>0.7</v>
      </c>
    </row>
    <row r="169" spans="4:7" x14ac:dyDescent="0.2">
      <c r="D169" s="17">
        <v>44438</v>
      </c>
      <c r="E169" s="1">
        <v>0.16</v>
      </c>
      <c r="F169" s="1">
        <v>0.42</v>
      </c>
      <c r="G169" s="1">
        <v>0.7</v>
      </c>
    </row>
    <row r="170" spans="4:7" x14ac:dyDescent="0.2">
      <c r="D170" s="17">
        <v>44439</v>
      </c>
      <c r="E170" s="1">
        <v>-0.18</v>
      </c>
      <c r="F170" s="1">
        <v>0.41</v>
      </c>
      <c r="G170" s="1">
        <v>0.7</v>
      </c>
    </row>
    <row r="171" spans="4:7" x14ac:dyDescent="0.2">
      <c r="D171" s="17">
        <v>44440</v>
      </c>
      <c r="E171" s="1">
        <v>-0.18</v>
      </c>
      <c r="F171" s="1">
        <v>0.41</v>
      </c>
      <c r="G171" s="1">
        <v>0.7</v>
      </c>
    </row>
    <row r="172" spans="4:7" x14ac:dyDescent="0.2">
      <c r="D172" s="17">
        <v>44441</v>
      </c>
      <c r="E172" s="1">
        <v>-0.18</v>
      </c>
      <c r="F172" s="1">
        <v>0.42499999999999999</v>
      </c>
      <c r="G172" s="1">
        <v>0.7</v>
      </c>
    </row>
    <row r="173" spans="4:7" x14ac:dyDescent="0.2">
      <c r="D173" s="17">
        <v>44442</v>
      </c>
      <c r="E173" s="1">
        <v>-0.01</v>
      </c>
      <c r="F173" s="1">
        <v>0.42</v>
      </c>
      <c r="G173" s="1">
        <v>0.7</v>
      </c>
    </row>
    <row r="174" spans="4:7" x14ac:dyDescent="0.2">
      <c r="D174" s="17">
        <v>44445</v>
      </c>
      <c r="E174" s="1">
        <v>-0.01</v>
      </c>
      <c r="F174" s="1">
        <v>0.41</v>
      </c>
      <c r="G174" s="1">
        <v>0.65139999999999998</v>
      </c>
    </row>
    <row r="175" spans="4:7" x14ac:dyDescent="0.2">
      <c r="D175" s="17">
        <v>44447</v>
      </c>
      <c r="E175" s="1">
        <v>-0.01</v>
      </c>
      <c r="F175" s="1">
        <v>0.42</v>
      </c>
      <c r="G175" s="1">
        <v>0.65139999999999998</v>
      </c>
    </row>
    <row r="176" spans="4:7" x14ac:dyDescent="0.2">
      <c r="D176" s="17">
        <v>44448</v>
      </c>
      <c r="E176" s="1">
        <v>-0.01</v>
      </c>
      <c r="F176" s="1">
        <v>0.42499999999999999</v>
      </c>
      <c r="G176" s="1">
        <v>0.65139999999999998</v>
      </c>
    </row>
    <row r="177" spans="4:7" x14ac:dyDescent="0.2">
      <c r="D177" s="17">
        <v>44449</v>
      </c>
      <c r="E177" s="1">
        <v>-0.05</v>
      </c>
      <c r="F177" s="1">
        <v>0.43</v>
      </c>
      <c r="G177" s="1">
        <v>0.8</v>
      </c>
    </row>
    <row r="178" spans="4:7" x14ac:dyDescent="0.2">
      <c r="D178" s="17">
        <v>44452</v>
      </c>
      <c r="E178" s="1">
        <v>-0.05</v>
      </c>
      <c r="F178" s="1">
        <v>0.42</v>
      </c>
      <c r="G178" s="1">
        <v>0.8</v>
      </c>
    </row>
    <row r="179" spans="4:7" x14ac:dyDescent="0.2">
      <c r="D179" s="17">
        <v>44453</v>
      </c>
      <c r="E179" s="1">
        <v>-0.05</v>
      </c>
      <c r="F179" s="1">
        <v>0.42</v>
      </c>
      <c r="G179" s="1">
        <v>0.8</v>
      </c>
    </row>
    <row r="180" spans="4:7" x14ac:dyDescent="0.2">
      <c r="D180" s="17">
        <v>44454</v>
      </c>
      <c r="E180" s="1">
        <v>-0.05</v>
      </c>
      <c r="F180" s="1">
        <v>0.42</v>
      </c>
      <c r="G180" s="1">
        <v>0.8</v>
      </c>
    </row>
    <row r="181" spans="4:7" x14ac:dyDescent="0.2">
      <c r="D181" s="17">
        <v>44455</v>
      </c>
      <c r="E181" s="1">
        <v>-0.05</v>
      </c>
      <c r="F181" s="1">
        <v>0.42</v>
      </c>
      <c r="G181" s="1">
        <v>0.8</v>
      </c>
    </row>
    <row r="182" spans="4:7" x14ac:dyDescent="0.2">
      <c r="D182" s="17">
        <v>44456</v>
      </c>
      <c r="E182" s="1">
        <v>-0.04</v>
      </c>
      <c r="F182" s="1">
        <v>0.41499999999999998</v>
      </c>
      <c r="G182" s="1">
        <v>0.7</v>
      </c>
    </row>
    <row r="183" spans="4:7" x14ac:dyDescent="0.2">
      <c r="D183" s="17">
        <v>44459</v>
      </c>
      <c r="E183" s="1">
        <v>-0.04</v>
      </c>
      <c r="F183" s="1">
        <v>0.42</v>
      </c>
      <c r="G183" s="1">
        <v>0.7</v>
      </c>
    </row>
    <row r="184" spans="4:7" x14ac:dyDescent="0.2">
      <c r="D184" s="17">
        <v>44460</v>
      </c>
      <c r="E184" s="1">
        <v>-0.04</v>
      </c>
      <c r="F184" s="1">
        <v>0.42</v>
      </c>
      <c r="G184" s="1">
        <v>0.7</v>
      </c>
    </row>
    <row r="185" spans="4:7" x14ac:dyDescent="0.2">
      <c r="D185" s="17">
        <v>44461</v>
      </c>
      <c r="E185" s="1">
        <v>-0.04</v>
      </c>
      <c r="F185" s="1">
        <v>0.42499999999999999</v>
      </c>
      <c r="G185" s="1">
        <v>0.68</v>
      </c>
    </row>
    <row r="186" spans="4:7" x14ac:dyDescent="0.2">
      <c r="D186" s="17">
        <v>44462</v>
      </c>
      <c r="E186" s="1">
        <v>-0.04</v>
      </c>
      <c r="F186" s="1">
        <v>0.42</v>
      </c>
      <c r="G186" s="1">
        <v>0.8</v>
      </c>
    </row>
    <row r="187" spans="4:7" x14ac:dyDescent="0.2">
      <c r="D187" s="17">
        <v>44463</v>
      </c>
      <c r="E187" s="1">
        <v>0.24</v>
      </c>
      <c r="F187" s="1">
        <v>0.44619999999999999</v>
      </c>
      <c r="G187" s="1">
        <v>0.7</v>
      </c>
    </row>
    <row r="188" spans="4:7" x14ac:dyDescent="0.2">
      <c r="D188" s="17">
        <v>44466</v>
      </c>
      <c r="E188" s="1">
        <v>0.24</v>
      </c>
      <c r="F188" s="1">
        <v>0.46</v>
      </c>
      <c r="G188" s="1">
        <v>0.7</v>
      </c>
    </row>
    <row r="189" spans="4:7" x14ac:dyDescent="0.2">
      <c r="D189" s="17">
        <v>44467</v>
      </c>
      <c r="E189" s="1">
        <v>0.24</v>
      </c>
      <c r="F189" s="1">
        <v>0.45</v>
      </c>
      <c r="G189" s="1">
        <v>0.7</v>
      </c>
    </row>
    <row r="190" spans="4:7" x14ac:dyDescent="0.2">
      <c r="D190" s="1">
        <v>44468</v>
      </c>
      <c r="E190" s="1">
        <v>0.24</v>
      </c>
      <c r="F190" s="1">
        <v>0.45</v>
      </c>
      <c r="G190" s="1">
        <v>0.67</v>
      </c>
    </row>
    <row r="191" spans="4:7" x14ac:dyDescent="0.2">
      <c r="D191" s="1">
        <v>44469</v>
      </c>
      <c r="E191" s="1">
        <v>0.24</v>
      </c>
      <c r="F191" s="1">
        <v>0.45</v>
      </c>
      <c r="G191" s="1">
        <v>0.67</v>
      </c>
    </row>
    <row r="192" spans="4:7" x14ac:dyDescent="0.2">
      <c r="D192" s="1">
        <v>44470</v>
      </c>
      <c r="E192" s="1">
        <v>0.25</v>
      </c>
      <c r="F192" s="1">
        <v>0.45</v>
      </c>
      <c r="G192" s="1">
        <v>0.6</v>
      </c>
    </row>
    <row r="193" spans="4:7" x14ac:dyDescent="0.2">
      <c r="D193" s="1">
        <v>44473</v>
      </c>
      <c r="E193" s="1">
        <v>-0.04</v>
      </c>
      <c r="F193" s="1">
        <v>0.43619999999999998</v>
      </c>
      <c r="G193" s="1">
        <v>0.6</v>
      </c>
    </row>
    <row r="194" spans="4:7" x14ac:dyDescent="0.2">
      <c r="D194" s="1">
        <v>44474</v>
      </c>
      <c r="E194" s="1">
        <v>-0.04</v>
      </c>
      <c r="F194" s="1">
        <v>0.43</v>
      </c>
      <c r="G194" s="1">
        <v>0.6</v>
      </c>
    </row>
    <row r="195" spans="4:7" x14ac:dyDescent="0.2">
      <c r="D195" s="1">
        <v>44475</v>
      </c>
      <c r="E195" s="1">
        <v>-0.04</v>
      </c>
      <c r="F195" s="1">
        <v>0.43</v>
      </c>
      <c r="G195" s="1">
        <v>0.6</v>
      </c>
    </row>
    <row r="196" spans="4:7" x14ac:dyDescent="0.2">
      <c r="D196" s="17">
        <v>44476</v>
      </c>
      <c r="E196" s="1">
        <v>-0.04</v>
      </c>
      <c r="F196" s="1">
        <v>0.42</v>
      </c>
      <c r="G196" s="1">
        <v>0.6</v>
      </c>
    </row>
    <row r="197" spans="4:7" x14ac:dyDescent="0.2">
      <c r="D197" s="17">
        <v>44477</v>
      </c>
      <c r="E197" s="1">
        <v>-0.04</v>
      </c>
      <c r="F197" s="1">
        <v>0.44119999999999998</v>
      </c>
      <c r="G197" s="1">
        <v>0.75039999999999996</v>
      </c>
    </row>
    <row r="198" spans="4:7" x14ac:dyDescent="0.2">
      <c r="D198" s="17">
        <v>44480</v>
      </c>
      <c r="E198" s="1">
        <v>-0.05</v>
      </c>
      <c r="F198" s="1">
        <v>0.44619999999999999</v>
      </c>
      <c r="G198" s="1">
        <v>0.75039999999999996</v>
      </c>
    </row>
    <row r="199" spans="4:7" x14ac:dyDescent="0.2">
      <c r="D199" s="17">
        <v>44482</v>
      </c>
      <c r="E199" s="1">
        <v>-0.05</v>
      </c>
      <c r="F199" s="1">
        <v>0.46500000000000002</v>
      </c>
      <c r="G199" s="1">
        <v>0.78</v>
      </c>
    </row>
    <row r="200" spans="4:7" x14ac:dyDescent="0.2">
      <c r="D200" s="17">
        <v>44483</v>
      </c>
      <c r="E200" s="1">
        <v>-0.05</v>
      </c>
      <c r="F200" s="1">
        <v>0.47</v>
      </c>
      <c r="G200" s="1">
        <v>0.78</v>
      </c>
    </row>
    <row r="201" spans="4:7" x14ac:dyDescent="0.2">
      <c r="D201" s="17">
        <v>44484</v>
      </c>
      <c r="E201" s="1">
        <v>-0.05</v>
      </c>
      <c r="F201" s="1">
        <v>0.47</v>
      </c>
      <c r="G201" s="1">
        <v>0.78</v>
      </c>
    </row>
    <row r="202" spans="4:7" x14ac:dyDescent="0.2">
      <c r="D202" s="17">
        <v>44487</v>
      </c>
      <c r="E202" s="1">
        <v>-0.05</v>
      </c>
      <c r="F202" s="1">
        <v>0.47</v>
      </c>
      <c r="G202" s="1">
        <v>0.78</v>
      </c>
    </row>
    <row r="203" spans="4:7" x14ac:dyDescent="0.2">
      <c r="D203" s="17">
        <v>44488</v>
      </c>
      <c r="E203" s="1">
        <v>0.26250000000000001</v>
      </c>
      <c r="F203" s="1">
        <v>0.47</v>
      </c>
      <c r="G203" s="1">
        <v>0.78</v>
      </c>
    </row>
    <row r="204" spans="4:7" x14ac:dyDescent="0.2">
      <c r="D204" s="17">
        <v>44489</v>
      </c>
      <c r="E204" s="1">
        <v>0.26250000000000001</v>
      </c>
      <c r="F204" s="1">
        <v>0.47</v>
      </c>
      <c r="G204" s="1">
        <v>0.78</v>
      </c>
    </row>
    <row r="205" spans="4:7" x14ac:dyDescent="0.2">
      <c r="D205" s="17">
        <v>44490</v>
      </c>
      <c r="E205" s="1">
        <v>0.26250000000000001</v>
      </c>
      <c r="F205" s="1">
        <v>0.47499999999999998</v>
      </c>
      <c r="G205" s="1">
        <v>0.78</v>
      </c>
    </row>
    <row r="206" spans="4:7" x14ac:dyDescent="0.2">
      <c r="D206" s="17">
        <v>44491</v>
      </c>
      <c r="E206" s="1">
        <v>0.04</v>
      </c>
      <c r="F206" s="1">
        <v>0.49</v>
      </c>
      <c r="G206" s="1">
        <v>0.81</v>
      </c>
    </row>
    <row r="207" spans="4:7" x14ac:dyDescent="0.2">
      <c r="D207" s="17">
        <v>44494</v>
      </c>
      <c r="E207" s="1">
        <v>0.04</v>
      </c>
      <c r="F207" s="1">
        <v>0.5</v>
      </c>
      <c r="G207" s="1">
        <v>0.81</v>
      </c>
    </row>
    <row r="208" spans="4:7" x14ac:dyDescent="0.2">
      <c r="D208" s="17">
        <v>44495</v>
      </c>
      <c r="E208" s="1">
        <v>0.04</v>
      </c>
      <c r="F208" s="1">
        <v>0.495</v>
      </c>
      <c r="G208" s="1">
        <v>0.81</v>
      </c>
    </row>
    <row r="209" spans="4:7" x14ac:dyDescent="0.2">
      <c r="D209" s="17">
        <v>44496</v>
      </c>
      <c r="E209" s="1">
        <v>0.04</v>
      </c>
      <c r="F209" s="1">
        <v>0.5</v>
      </c>
      <c r="G209" s="1">
        <v>0.81</v>
      </c>
    </row>
    <row r="210" spans="4:7" x14ac:dyDescent="0.2">
      <c r="D210" s="17">
        <v>44497</v>
      </c>
      <c r="E210" s="1">
        <v>0.04</v>
      </c>
      <c r="F210" s="1">
        <v>0.5</v>
      </c>
      <c r="G210" s="1">
        <v>0.81</v>
      </c>
    </row>
    <row r="211" spans="4:7" x14ac:dyDescent="0.2">
      <c r="D211" s="17">
        <v>44498</v>
      </c>
      <c r="E211" s="1">
        <v>0.26250000000000001</v>
      </c>
      <c r="F211" s="1">
        <v>0.5</v>
      </c>
      <c r="G211" s="1">
        <v>0.78</v>
      </c>
    </row>
    <row r="212" spans="4:7" x14ac:dyDescent="0.2">
      <c r="D212" s="17">
        <v>44501</v>
      </c>
      <c r="E212" s="1">
        <v>0.26250000000000001</v>
      </c>
      <c r="F212" s="1">
        <v>0.5</v>
      </c>
      <c r="G212" s="1">
        <v>0.78</v>
      </c>
    </row>
    <row r="213" spans="4:7" x14ac:dyDescent="0.2">
      <c r="D213" s="17">
        <v>44503</v>
      </c>
      <c r="E213" s="1">
        <v>0.26250000000000001</v>
      </c>
      <c r="F213" s="1">
        <v>0.5</v>
      </c>
      <c r="G213" s="1">
        <v>0.78</v>
      </c>
    </row>
    <row r="214" spans="4:7" x14ac:dyDescent="0.2">
      <c r="D214" s="17">
        <v>44504</v>
      </c>
      <c r="E214" s="1">
        <v>0.26250000000000001</v>
      </c>
      <c r="F214" s="1">
        <v>0.5</v>
      </c>
      <c r="G214" s="1">
        <v>0.78</v>
      </c>
    </row>
    <row r="215" spans="4:7" x14ac:dyDescent="0.2">
      <c r="D215" s="17">
        <v>44505</v>
      </c>
      <c r="E215" s="1">
        <v>0.13</v>
      </c>
      <c r="F215" s="1">
        <v>0.4975</v>
      </c>
      <c r="G215" s="1">
        <v>0.78</v>
      </c>
    </row>
    <row r="216" spans="4:7" x14ac:dyDescent="0.2">
      <c r="D216" s="17">
        <v>44508</v>
      </c>
      <c r="E216" s="1">
        <v>0.13</v>
      </c>
      <c r="F216" s="1">
        <v>0.49249999999999999</v>
      </c>
      <c r="G216" s="1">
        <v>0.81</v>
      </c>
    </row>
    <row r="217" spans="4:7" x14ac:dyDescent="0.2">
      <c r="D217" s="17">
        <v>44509</v>
      </c>
      <c r="E217" s="1">
        <v>0.13</v>
      </c>
      <c r="F217" s="1">
        <v>0.49</v>
      </c>
      <c r="G217" s="1">
        <v>0.81</v>
      </c>
    </row>
    <row r="218" spans="4:7" x14ac:dyDescent="0.2">
      <c r="D218" s="17">
        <v>44510</v>
      </c>
      <c r="E218" s="1">
        <v>0.13</v>
      </c>
      <c r="F218" s="1">
        <v>0.5</v>
      </c>
      <c r="G218" s="1">
        <v>1</v>
      </c>
    </row>
    <row r="219" spans="4:7" x14ac:dyDescent="0.2">
      <c r="D219" s="17">
        <v>44511</v>
      </c>
      <c r="E219" s="1">
        <v>0.13</v>
      </c>
      <c r="F219" s="1">
        <v>0.51</v>
      </c>
      <c r="G219" s="1">
        <v>1</v>
      </c>
    </row>
    <row r="220" spans="4:7" x14ac:dyDescent="0.2">
      <c r="D220" s="17">
        <v>44512</v>
      </c>
      <c r="E220" s="1">
        <v>0.26250000000000001</v>
      </c>
      <c r="F220" s="1">
        <v>0.56000000000000005</v>
      </c>
      <c r="G220" s="1">
        <v>1</v>
      </c>
    </row>
    <row r="221" spans="4:7" x14ac:dyDescent="0.2">
      <c r="D221" s="17">
        <v>44516</v>
      </c>
      <c r="E221" s="1">
        <v>0.26250000000000001</v>
      </c>
      <c r="F221" s="1">
        <v>0.56340000000000001</v>
      </c>
      <c r="G221" s="1">
        <v>1</v>
      </c>
    </row>
    <row r="222" spans="4:7" x14ac:dyDescent="0.2">
      <c r="D222" s="17">
        <v>44517</v>
      </c>
      <c r="E222" s="1">
        <v>0.26250000000000001</v>
      </c>
      <c r="F222" s="1">
        <v>0.56669999999999998</v>
      </c>
      <c r="G222" s="1">
        <v>1</v>
      </c>
    </row>
    <row r="223" spans="4:7" x14ac:dyDescent="0.2">
      <c r="D223" s="17">
        <v>44518</v>
      </c>
      <c r="E223" s="1">
        <v>0.26250000000000001</v>
      </c>
      <c r="F223" s="1">
        <v>0.56000000000000005</v>
      </c>
      <c r="G223" s="1">
        <v>0.87609999999999999</v>
      </c>
    </row>
    <row r="224" spans="4:7" x14ac:dyDescent="0.2">
      <c r="D224" s="17">
        <v>44519</v>
      </c>
      <c r="E224" s="1">
        <v>-0.01</v>
      </c>
      <c r="F224" s="1">
        <v>0.56999999999999995</v>
      </c>
      <c r="G224" s="1">
        <v>1</v>
      </c>
    </row>
    <row r="225" spans="4:7" x14ac:dyDescent="0.2">
      <c r="D225" s="17">
        <v>44522</v>
      </c>
      <c r="E225" s="1">
        <v>-0.01</v>
      </c>
      <c r="F225" s="1">
        <v>0.56169999999999998</v>
      </c>
      <c r="G225" s="1">
        <v>1</v>
      </c>
    </row>
    <row r="226" spans="4:7" x14ac:dyDescent="0.2">
      <c r="D226" s="17">
        <v>44523</v>
      </c>
      <c r="E226" s="1">
        <v>-0.01</v>
      </c>
      <c r="F226" s="1">
        <v>0.56999999999999995</v>
      </c>
      <c r="G226" s="1">
        <v>1</v>
      </c>
    </row>
    <row r="227" spans="4:7" x14ac:dyDescent="0.2">
      <c r="D227" s="17">
        <v>44524</v>
      </c>
      <c r="E227" s="1">
        <v>-0.01</v>
      </c>
      <c r="F227" s="1">
        <v>0.56999999999999995</v>
      </c>
      <c r="G227" s="1">
        <v>1</v>
      </c>
    </row>
    <row r="228" spans="4:7" x14ac:dyDescent="0.2">
      <c r="D228" s="17">
        <v>44525</v>
      </c>
      <c r="E228" s="1">
        <v>-0.01</v>
      </c>
      <c r="F228" s="1">
        <v>0.56999999999999995</v>
      </c>
      <c r="G228" s="1">
        <v>1</v>
      </c>
    </row>
    <row r="229" spans="4:7" x14ac:dyDescent="0.2">
      <c r="D229" s="17">
        <v>44526</v>
      </c>
      <c r="E229" s="1">
        <v>0.25</v>
      </c>
      <c r="F229" s="1">
        <v>0.51639999999999997</v>
      </c>
      <c r="G229" s="1">
        <v>0.8</v>
      </c>
    </row>
    <row r="230" spans="4:7" x14ac:dyDescent="0.2">
      <c r="D230" s="17">
        <v>44529</v>
      </c>
      <c r="E230" s="1">
        <v>0.25</v>
      </c>
      <c r="F230" s="1">
        <v>0.55500000000000005</v>
      </c>
      <c r="G230" s="1">
        <v>0.9</v>
      </c>
    </row>
    <row r="231" spans="4:7" x14ac:dyDescent="0.2">
      <c r="D231" s="17">
        <v>44530</v>
      </c>
      <c r="E231" s="1">
        <v>0.25</v>
      </c>
      <c r="F231" s="1">
        <v>0.56000000000000005</v>
      </c>
      <c r="G231" s="1">
        <v>0.9</v>
      </c>
    </row>
    <row r="232" spans="4:7" x14ac:dyDescent="0.2">
      <c r="D232" s="17">
        <v>44531</v>
      </c>
      <c r="E232" s="1">
        <v>0.25</v>
      </c>
      <c r="F232" s="1">
        <v>0.55000000000000004</v>
      </c>
      <c r="G232" s="1">
        <v>0.9</v>
      </c>
    </row>
    <row r="233" spans="4:7" x14ac:dyDescent="0.2">
      <c r="D233" s="17">
        <v>44532</v>
      </c>
      <c r="E233" s="1">
        <v>0.25</v>
      </c>
      <c r="F233" s="1">
        <v>0.55000000000000004</v>
      </c>
      <c r="G233" s="1">
        <v>0.9</v>
      </c>
    </row>
    <row r="234" spans="4:7" x14ac:dyDescent="0.2">
      <c r="D234" s="17">
        <v>44533</v>
      </c>
      <c r="E234" s="1">
        <v>0.26</v>
      </c>
      <c r="F234" s="1">
        <v>0.54</v>
      </c>
      <c r="G234" s="1">
        <v>0.9</v>
      </c>
    </row>
    <row r="235" spans="4:7" x14ac:dyDescent="0.2">
      <c r="D235" s="17">
        <v>44536</v>
      </c>
      <c r="E235" s="1">
        <v>0.26</v>
      </c>
      <c r="F235" s="1">
        <v>0.53</v>
      </c>
      <c r="G235" s="1">
        <v>0.87609999999999999</v>
      </c>
    </row>
    <row r="236" spans="4:7" x14ac:dyDescent="0.2">
      <c r="D236" s="17">
        <v>44537</v>
      </c>
      <c r="E236" s="1">
        <v>0.26</v>
      </c>
      <c r="F236" s="1">
        <v>0.53</v>
      </c>
      <c r="G236" s="1">
        <v>0.87609999999999999</v>
      </c>
    </row>
    <row r="237" spans="4:7" x14ac:dyDescent="0.2">
      <c r="D237" s="17">
        <v>44538</v>
      </c>
      <c r="E237" s="1">
        <v>0.26</v>
      </c>
      <c r="F237" s="1">
        <v>0.55000000000000004</v>
      </c>
      <c r="G237" s="1">
        <v>0.87609999999999999</v>
      </c>
    </row>
    <row r="238" spans="4:7" x14ac:dyDescent="0.2">
      <c r="D238" s="17">
        <v>44539</v>
      </c>
      <c r="E238" s="1">
        <v>0.26</v>
      </c>
      <c r="F238" s="1">
        <v>0.55000000000000004</v>
      </c>
      <c r="G238" s="1">
        <v>0.87609999999999999</v>
      </c>
    </row>
    <row r="239" spans="4:7" x14ac:dyDescent="0.2">
      <c r="D239" s="17">
        <v>44540</v>
      </c>
      <c r="E239" s="1">
        <v>0.26250000000000001</v>
      </c>
      <c r="F239" s="1">
        <v>0.52439999999999998</v>
      </c>
      <c r="G239" s="1">
        <v>0.87609999999999999</v>
      </c>
    </row>
    <row r="240" spans="4:7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06B19-0239-4B04-9E1D-90F1229558C8}">
  <sheetPr codeName="Planilha5"/>
  <dimension ref="A1:P399"/>
  <sheetViews>
    <sheetView workbookViewId="0">
      <selection activeCell="B14" sqref="B14"/>
    </sheetView>
  </sheetViews>
  <sheetFormatPr defaultRowHeight="12.75" x14ac:dyDescent="0.2"/>
  <cols>
    <col min="1" max="1" width="37.140625" style="1" customWidth="1"/>
    <col min="2" max="2" width="15.7109375" style="1" bestFit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82</v>
      </c>
      <c r="I1" s="3" t="s">
        <v>60</v>
      </c>
      <c r="J1" s="59" t="str">
        <f>"FOCUS forecast for "&amp;$B$3&amp;" of Q"&amp;$B$5</f>
        <v>FOCUS forecast for PIB Total of Q4/2021</v>
      </c>
      <c r="K1" s="60"/>
      <c r="L1" s="60"/>
      <c r="M1" s="60"/>
      <c r="N1" s="60"/>
      <c r="O1" s="60"/>
      <c r="P1" s="60"/>
    </row>
    <row r="3" spans="1:16" x14ac:dyDescent="0.2">
      <c r="A3" s="3" t="s">
        <v>61</v>
      </c>
      <c r="B3" s="18" t="s">
        <v>38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379">xlFOCUS_ExpectativasTrimestrais($B$3,B4,B5,B6,B7,B8,D3:G3)</f>
        <v>43894</v>
      </c>
      <c r="E4" s="1">
        <v>1.7</v>
      </c>
      <c r="F4" s="1">
        <v>2.5099999999999998</v>
      </c>
      <c r="G4" s="1">
        <v>2.6</v>
      </c>
    </row>
    <row r="5" spans="1:16" x14ac:dyDescent="0.2">
      <c r="A5" s="3" t="s">
        <v>63</v>
      </c>
      <c r="B5" s="61" t="s">
        <v>146</v>
      </c>
      <c r="D5" s="17">
        <v>43895</v>
      </c>
      <c r="E5" s="1">
        <v>1.7</v>
      </c>
      <c r="F5" s="1">
        <v>2.5</v>
      </c>
      <c r="G5" s="1">
        <v>2.6</v>
      </c>
    </row>
    <row r="6" spans="1:16" x14ac:dyDescent="0.2">
      <c r="A6" s="3" t="s">
        <v>64</v>
      </c>
      <c r="B6" s="14"/>
      <c r="D6" s="17">
        <v>43896</v>
      </c>
      <c r="E6" s="1">
        <v>1.5</v>
      </c>
      <c r="F6" s="1">
        <v>2.37</v>
      </c>
      <c r="G6" s="1">
        <v>2.8</v>
      </c>
    </row>
    <row r="7" spans="1:16" x14ac:dyDescent="0.2">
      <c r="A7" s="3" t="s">
        <v>65</v>
      </c>
      <c r="B7" s="14"/>
      <c r="D7" s="17">
        <v>43899</v>
      </c>
      <c r="E7" s="1">
        <v>1.5</v>
      </c>
      <c r="F7" s="1">
        <v>2.37</v>
      </c>
      <c r="G7" s="1">
        <v>2.8</v>
      </c>
    </row>
    <row r="8" spans="1:16" x14ac:dyDescent="0.2">
      <c r="A8" s="3" t="s">
        <v>66</v>
      </c>
      <c r="B8" s="18">
        <v>0</v>
      </c>
      <c r="D8" s="17">
        <v>43900</v>
      </c>
      <c r="E8" s="1">
        <v>1.5</v>
      </c>
      <c r="F8" s="1">
        <v>2.29</v>
      </c>
      <c r="G8" s="1">
        <v>2.8</v>
      </c>
    </row>
    <row r="9" spans="1:16" x14ac:dyDescent="0.2">
      <c r="D9" s="17">
        <v>43901</v>
      </c>
      <c r="E9" s="1">
        <v>1.5</v>
      </c>
      <c r="F9" s="1">
        <v>2.21</v>
      </c>
      <c r="G9" s="1">
        <v>2.8</v>
      </c>
    </row>
    <row r="10" spans="1:16" x14ac:dyDescent="0.2">
      <c r="D10" s="17">
        <v>43902</v>
      </c>
      <c r="E10" s="1">
        <v>1.5</v>
      </c>
      <c r="F10" s="1">
        <v>2.21</v>
      </c>
      <c r="G10" s="1">
        <v>2.8</v>
      </c>
    </row>
    <row r="11" spans="1:16" x14ac:dyDescent="0.2">
      <c r="D11" s="17">
        <v>43903</v>
      </c>
      <c r="E11" s="1">
        <v>1.5</v>
      </c>
      <c r="F11" s="1">
        <v>2.25</v>
      </c>
      <c r="G11" s="1">
        <v>3.4</v>
      </c>
    </row>
    <row r="12" spans="1:16" x14ac:dyDescent="0.2">
      <c r="D12" s="17">
        <v>43906</v>
      </c>
      <c r="E12" s="1">
        <v>1.5</v>
      </c>
      <c r="F12" s="1">
        <v>2.27</v>
      </c>
      <c r="G12" s="1">
        <v>3.4</v>
      </c>
    </row>
    <row r="13" spans="1:16" x14ac:dyDescent="0.2">
      <c r="D13" s="17">
        <v>43907</v>
      </c>
      <c r="E13" s="1">
        <v>1.5</v>
      </c>
      <c r="F13" s="1">
        <v>2.23</v>
      </c>
      <c r="G13" s="1">
        <v>3.4</v>
      </c>
    </row>
    <row r="14" spans="1:16" x14ac:dyDescent="0.2">
      <c r="D14" s="17">
        <v>43908</v>
      </c>
      <c r="E14" s="1">
        <v>1.5</v>
      </c>
      <c r="F14" s="1">
        <v>2.23</v>
      </c>
      <c r="G14" s="1">
        <v>3.4</v>
      </c>
    </row>
    <row r="15" spans="1:16" x14ac:dyDescent="0.2">
      <c r="D15" s="17">
        <v>43909</v>
      </c>
      <c r="E15" s="1">
        <v>1.5</v>
      </c>
      <c r="F15" s="1">
        <v>2.25</v>
      </c>
      <c r="G15" s="1">
        <v>3.4</v>
      </c>
    </row>
    <row r="16" spans="1:16" x14ac:dyDescent="0.2">
      <c r="D16" s="17">
        <v>43910</v>
      </c>
      <c r="E16" s="1">
        <v>-3.5</v>
      </c>
      <c r="F16" s="1">
        <v>2.37</v>
      </c>
      <c r="G16" s="1">
        <v>5</v>
      </c>
    </row>
    <row r="17" spans="4:7" x14ac:dyDescent="0.2">
      <c r="D17" s="17">
        <v>43913</v>
      </c>
      <c r="E17" s="1">
        <v>-3.5</v>
      </c>
      <c r="F17" s="1">
        <v>2.37</v>
      </c>
      <c r="G17" s="1">
        <v>9.93</v>
      </c>
    </row>
    <row r="18" spans="4:7" x14ac:dyDescent="0.2">
      <c r="D18" s="17">
        <v>43914</v>
      </c>
      <c r="E18" s="1">
        <v>-3.5</v>
      </c>
      <c r="F18" s="1">
        <v>2.37</v>
      </c>
      <c r="G18" s="1">
        <v>9.93</v>
      </c>
    </row>
    <row r="19" spans="4:7" x14ac:dyDescent="0.2">
      <c r="D19" s="17">
        <v>43915</v>
      </c>
      <c r="E19" s="1">
        <v>-3.5</v>
      </c>
      <c r="F19" s="1">
        <v>2.38</v>
      </c>
      <c r="G19" s="1">
        <v>9.93</v>
      </c>
    </row>
    <row r="20" spans="4:7" x14ac:dyDescent="0.2">
      <c r="D20" s="17">
        <v>43916</v>
      </c>
      <c r="E20" s="1">
        <v>-3.5</v>
      </c>
      <c r="F20" s="1">
        <v>2.38</v>
      </c>
      <c r="G20" s="1">
        <v>9.93</v>
      </c>
    </row>
    <row r="21" spans="4:7" x14ac:dyDescent="0.2">
      <c r="D21" s="17">
        <v>43917</v>
      </c>
      <c r="E21" s="1">
        <v>-3.5</v>
      </c>
      <c r="F21" s="1">
        <v>2.5</v>
      </c>
      <c r="G21" s="1">
        <v>9</v>
      </c>
    </row>
    <row r="22" spans="4:7" x14ac:dyDescent="0.2">
      <c r="D22" s="17">
        <v>43920</v>
      </c>
      <c r="E22" s="1">
        <v>-3.5</v>
      </c>
      <c r="F22" s="1">
        <v>2.7</v>
      </c>
      <c r="G22" s="1">
        <v>16.7</v>
      </c>
    </row>
    <row r="23" spans="4:7" x14ac:dyDescent="0.2">
      <c r="D23" s="17">
        <v>43921</v>
      </c>
      <c r="E23" s="1">
        <v>-3.5</v>
      </c>
      <c r="F23" s="1">
        <v>2.8</v>
      </c>
      <c r="G23" s="1">
        <v>16.7</v>
      </c>
    </row>
    <row r="24" spans="4:7" x14ac:dyDescent="0.2">
      <c r="D24" s="17">
        <v>43922</v>
      </c>
      <c r="E24" s="1">
        <v>-3.5</v>
      </c>
      <c r="F24" s="1">
        <v>2.8</v>
      </c>
      <c r="G24" s="1">
        <v>16.7</v>
      </c>
    </row>
    <row r="25" spans="4:7" x14ac:dyDescent="0.2">
      <c r="D25" s="17">
        <v>43923</v>
      </c>
      <c r="E25" s="1">
        <v>-3.5</v>
      </c>
      <c r="F25" s="1">
        <v>3</v>
      </c>
      <c r="G25" s="1">
        <v>16.7</v>
      </c>
    </row>
    <row r="26" spans="4:7" x14ac:dyDescent="0.2">
      <c r="D26" s="17">
        <v>43924</v>
      </c>
      <c r="E26" s="1">
        <v>-4</v>
      </c>
      <c r="F26" s="1">
        <v>2.9</v>
      </c>
      <c r="G26" s="1">
        <v>16.7</v>
      </c>
    </row>
    <row r="27" spans="4:7" x14ac:dyDescent="0.2">
      <c r="D27" s="17">
        <v>43927</v>
      </c>
      <c r="E27" s="1">
        <v>-4</v>
      </c>
      <c r="F27" s="1">
        <v>3.91</v>
      </c>
      <c r="G27" s="1">
        <v>16.7</v>
      </c>
    </row>
    <row r="28" spans="4:7" x14ac:dyDescent="0.2">
      <c r="D28" s="17">
        <v>43928</v>
      </c>
      <c r="E28" s="1">
        <v>-4</v>
      </c>
      <c r="F28" s="1">
        <v>4.0999999999999996</v>
      </c>
      <c r="G28" s="1">
        <v>16.7</v>
      </c>
    </row>
    <row r="29" spans="4:7" x14ac:dyDescent="0.2">
      <c r="D29" s="17">
        <v>43929</v>
      </c>
      <c r="E29" s="1">
        <v>-4</v>
      </c>
      <c r="F29" s="1">
        <v>4.2300000000000004</v>
      </c>
      <c r="G29" s="1">
        <v>20.100000000000001</v>
      </c>
    </row>
    <row r="30" spans="4:7" x14ac:dyDescent="0.2">
      <c r="D30" s="17">
        <v>43930</v>
      </c>
      <c r="E30" s="1">
        <v>-4</v>
      </c>
      <c r="F30" s="1">
        <v>4.0999999999999996</v>
      </c>
      <c r="G30" s="1">
        <v>20.100000000000001</v>
      </c>
    </row>
    <row r="31" spans="4:7" x14ac:dyDescent="0.2">
      <c r="D31" s="17">
        <v>43934</v>
      </c>
      <c r="E31" s="1">
        <v>-4</v>
      </c>
      <c r="F31" s="1">
        <v>4.8600000000000003</v>
      </c>
      <c r="G31" s="1">
        <v>20.100000000000001</v>
      </c>
    </row>
    <row r="32" spans="4:7" x14ac:dyDescent="0.2">
      <c r="D32" s="17">
        <v>43935</v>
      </c>
      <c r="E32" s="1">
        <v>-4</v>
      </c>
      <c r="F32" s="1">
        <v>4.8</v>
      </c>
      <c r="G32" s="1">
        <v>20.100000000000001</v>
      </c>
    </row>
    <row r="33" spans="4:7" x14ac:dyDescent="0.2">
      <c r="D33" s="17">
        <v>43936</v>
      </c>
      <c r="E33" s="1">
        <v>-4</v>
      </c>
      <c r="F33" s="1">
        <v>4.91</v>
      </c>
      <c r="G33" s="1">
        <v>20.100000000000001</v>
      </c>
    </row>
    <row r="34" spans="4:7" x14ac:dyDescent="0.2">
      <c r="D34" s="17">
        <v>43937</v>
      </c>
      <c r="E34" s="1">
        <v>-4</v>
      </c>
      <c r="F34" s="1">
        <v>4.91</v>
      </c>
      <c r="G34" s="1">
        <v>20.100000000000001</v>
      </c>
    </row>
    <row r="35" spans="4:7" x14ac:dyDescent="0.2">
      <c r="D35" s="17">
        <v>43938</v>
      </c>
      <c r="E35" s="1">
        <v>-4</v>
      </c>
      <c r="F35" s="1">
        <v>5</v>
      </c>
      <c r="G35" s="1">
        <v>20.100000000000001</v>
      </c>
    </row>
    <row r="36" spans="4:7" x14ac:dyDescent="0.2">
      <c r="D36" s="17">
        <v>43941</v>
      </c>
      <c r="E36" s="1">
        <v>-4</v>
      </c>
      <c r="F36" s="1">
        <v>5</v>
      </c>
      <c r="G36" s="1">
        <v>20.100000000000001</v>
      </c>
    </row>
    <row r="37" spans="4:7" x14ac:dyDescent="0.2">
      <c r="D37" s="17">
        <v>43943</v>
      </c>
      <c r="E37" s="1">
        <v>-4</v>
      </c>
      <c r="F37" s="1">
        <v>5.0999999999999996</v>
      </c>
      <c r="G37" s="1">
        <v>20.100000000000001</v>
      </c>
    </row>
    <row r="38" spans="4:7" x14ac:dyDescent="0.2">
      <c r="D38" s="17">
        <v>43944</v>
      </c>
      <c r="E38" s="1">
        <v>-4</v>
      </c>
      <c r="F38" s="1">
        <v>6</v>
      </c>
      <c r="G38" s="1">
        <v>20.100000000000001</v>
      </c>
    </row>
    <row r="39" spans="4:7" x14ac:dyDescent="0.2">
      <c r="D39" s="17">
        <v>43945</v>
      </c>
      <c r="E39" s="1">
        <v>-4</v>
      </c>
      <c r="F39" s="1">
        <v>6</v>
      </c>
      <c r="G39" s="1">
        <v>20.100000000000001</v>
      </c>
    </row>
    <row r="40" spans="4:7" x14ac:dyDescent="0.2">
      <c r="D40" s="17">
        <v>43948</v>
      </c>
      <c r="E40" s="1">
        <v>-4</v>
      </c>
      <c r="F40" s="1">
        <v>6.5</v>
      </c>
      <c r="G40" s="1">
        <v>20.100000000000001</v>
      </c>
    </row>
    <row r="41" spans="4:7" x14ac:dyDescent="0.2">
      <c r="D41" s="17">
        <v>43949</v>
      </c>
      <c r="E41" s="1">
        <v>-4</v>
      </c>
      <c r="F41" s="1">
        <v>6.58</v>
      </c>
      <c r="G41" s="1">
        <v>20.2</v>
      </c>
    </row>
    <row r="42" spans="4:7" x14ac:dyDescent="0.2">
      <c r="D42" s="17">
        <v>43950</v>
      </c>
      <c r="E42" s="1">
        <v>-4</v>
      </c>
      <c r="F42" s="1">
        <v>6.5</v>
      </c>
      <c r="G42" s="1">
        <v>20.2</v>
      </c>
    </row>
    <row r="43" spans="4:7" x14ac:dyDescent="0.2">
      <c r="D43" s="17">
        <v>43951</v>
      </c>
      <c r="E43" s="1">
        <v>-4</v>
      </c>
      <c r="F43" s="1">
        <v>6.58</v>
      </c>
      <c r="G43" s="1">
        <v>20.2</v>
      </c>
    </row>
    <row r="44" spans="4:7" x14ac:dyDescent="0.2">
      <c r="D44" s="17">
        <v>43955</v>
      </c>
      <c r="E44" s="1">
        <v>0.5</v>
      </c>
      <c r="F44" s="1">
        <v>6.83</v>
      </c>
      <c r="G44" s="1">
        <v>20.2</v>
      </c>
    </row>
    <row r="45" spans="4:7" x14ac:dyDescent="0.2">
      <c r="D45" s="17">
        <v>43956</v>
      </c>
      <c r="E45" s="1">
        <v>-1</v>
      </c>
      <c r="F45" s="1">
        <v>6.65</v>
      </c>
      <c r="G45" s="1">
        <v>20.2</v>
      </c>
    </row>
    <row r="46" spans="4:7" x14ac:dyDescent="0.2">
      <c r="D46" s="17">
        <v>43957</v>
      </c>
      <c r="E46" s="1">
        <v>-1</v>
      </c>
      <c r="F46" s="1">
        <v>6.65</v>
      </c>
      <c r="G46" s="1">
        <v>20.2</v>
      </c>
    </row>
    <row r="47" spans="4:7" x14ac:dyDescent="0.2">
      <c r="D47" s="17">
        <v>43958</v>
      </c>
      <c r="E47" s="1">
        <v>-1</v>
      </c>
      <c r="F47" s="1">
        <v>7</v>
      </c>
      <c r="G47" s="1">
        <v>20.2</v>
      </c>
    </row>
    <row r="48" spans="4:7" x14ac:dyDescent="0.2">
      <c r="D48" s="17">
        <v>43959</v>
      </c>
      <c r="E48" s="1">
        <v>-4</v>
      </c>
      <c r="F48" s="1">
        <v>6.65</v>
      </c>
      <c r="G48" s="1">
        <v>20.2</v>
      </c>
    </row>
    <row r="49" spans="4:7" x14ac:dyDescent="0.2">
      <c r="D49" s="17">
        <v>43962</v>
      </c>
      <c r="E49" s="1">
        <v>-4</v>
      </c>
      <c r="F49" s="1">
        <v>6.65</v>
      </c>
      <c r="G49" s="1">
        <v>20.2</v>
      </c>
    </row>
    <row r="50" spans="4:7" x14ac:dyDescent="0.2">
      <c r="D50" s="17">
        <v>43963</v>
      </c>
      <c r="E50" s="1">
        <v>-4</v>
      </c>
      <c r="F50" s="1">
        <v>6.65</v>
      </c>
      <c r="G50" s="1">
        <v>20.2</v>
      </c>
    </row>
    <row r="51" spans="4:7" x14ac:dyDescent="0.2">
      <c r="D51" s="17">
        <v>43964</v>
      </c>
      <c r="E51" s="1">
        <v>-4</v>
      </c>
      <c r="F51" s="1">
        <v>6.65</v>
      </c>
      <c r="G51" s="1">
        <v>20.2</v>
      </c>
    </row>
    <row r="52" spans="4:7" x14ac:dyDescent="0.2">
      <c r="D52" s="17">
        <v>43965</v>
      </c>
      <c r="E52" s="1">
        <v>-4</v>
      </c>
      <c r="F52" s="1">
        <v>6.58</v>
      </c>
      <c r="G52" s="1">
        <v>20.2</v>
      </c>
    </row>
    <row r="53" spans="4:7" x14ac:dyDescent="0.2">
      <c r="D53" s="17">
        <v>43966</v>
      </c>
      <c r="E53" s="1">
        <v>-4</v>
      </c>
      <c r="F53" s="1">
        <v>6.78</v>
      </c>
      <c r="G53" s="1">
        <v>20.2</v>
      </c>
    </row>
    <row r="54" spans="4:7" x14ac:dyDescent="0.2">
      <c r="D54" s="17">
        <v>43969</v>
      </c>
      <c r="E54" s="1">
        <v>-4</v>
      </c>
      <c r="F54" s="1">
        <v>6.78</v>
      </c>
      <c r="G54" s="1">
        <v>20.2</v>
      </c>
    </row>
    <row r="55" spans="4:7" x14ac:dyDescent="0.2">
      <c r="D55" s="17">
        <v>43970</v>
      </c>
      <c r="E55" s="1">
        <v>-4</v>
      </c>
      <c r="F55" s="1">
        <v>6.9</v>
      </c>
      <c r="G55" s="1">
        <v>20.2</v>
      </c>
    </row>
    <row r="56" spans="4:7" x14ac:dyDescent="0.2">
      <c r="D56" s="17">
        <v>43971</v>
      </c>
      <c r="E56" s="1">
        <v>-4</v>
      </c>
      <c r="F56" s="1">
        <v>6.95</v>
      </c>
      <c r="G56" s="1">
        <v>20.2</v>
      </c>
    </row>
    <row r="57" spans="4:7" x14ac:dyDescent="0.2">
      <c r="D57" s="17">
        <v>43972</v>
      </c>
      <c r="E57" s="1">
        <v>-4</v>
      </c>
      <c r="F57" s="1">
        <v>6.95</v>
      </c>
      <c r="G57" s="1">
        <v>20.2</v>
      </c>
    </row>
    <row r="58" spans="4:7" x14ac:dyDescent="0.2">
      <c r="D58" s="17">
        <v>43973</v>
      </c>
      <c r="E58" s="1">
        <v>-3.1</v>
      </c>
      <c r="F58" s="1">
        <v>7.16</v>
      </c>
      <c r="G58" s="1">
        <v>20.2</v>
      </c>
    </row>
    <row r="59" spans="4:7" x14ac:dyDescent="0.2">
      <c r="D59" s="17">
        <v>43976</v>
      </c>
      <c r="E59" s="1">
        <v>-3.1</v>
      </c>
      <c r="F59" s="1">
        <v>7.28</v>
      </c>
      <c r="G59" s="1">
        <v>20.2</v>
      </c>
    </row>
    <row r="60" spans="4:7" x14ac:dyDescent="0.2">
      <c r="D60" s="17">
        <v>43977</v>
      </c>
      <c r="E60" s="1">
        <v>-3.1</v>
      </c>
      <c r="F60" s="1">
        <v>7.4</v>
      </c>
      <c r="G60" s="1">
        <v>20.2</v>
      </c>
    </row>
    <row r="61" spans="4:7" x14ac:dyDescent="0.2">
      <c r="D61" s="17">
        <v>43978</v>
      </c>
      <c r="E61" s="1">
        <v>-3.1</v>
      </c>
      <c r="F61" s="1">
        <v>7.4</v>
      </c>
      <c r="G61" s="1">
        <v>20.2</v>
      </c>
    </row>
    <row r="62" spans="4:7" x14ac:dyDescent="0.2">
      <c r="D62" s="17">
        <v>43979</v>
      </c>
      <c r="E62" s="1">
        <v>-3.1</v>
      </c>
      <c r="F62" s="1">
        <v>7.4</v>
      </c>
      <c r="G62" s="1">
        <v>20.2</v>
      </c>
    </row>
    <row r="63" spans="4:7" x14ac:dyDescent="0.2">
      <c r="D63" s="17">
        <v>43980</v>
      </c>
      <c r="E63" s="1">
        <v>-3.1</v>
      </c>
      <c r="F63" s="1">
        <v>7.28</v>
      </c>
      <c r="G63" s="1">
        <v>20.2</v>
      </c>
    </row>
    <row r="64" spans="4:7" x14ac:dyDescent="0.2">
      <c r="D64" s="17">
        <v>43983</v>
      </c>
      <c r="E64" s="1">
        <v>-3.1</v>
      </c>
      <c r="F64" s="1">
        <v>7.5</v>
      </c>
      <c r="G64" s="1">
        <v>20.2</v>
      </c>
    </row>
    <row r="65" spans="4:7" x14ac:dyDescent="0.2">
      <c r="D65" s="17">
        <v>43984</v>
      </c>
      <c r="E65" s="1">
        <v>-3.1</v>
      </c>
      <c r="F65" s="1">
        <v>7.5</v>
      </c>
      <c r="G65" s="1">
        <v>16.100000000000001</v>
      </c>
    </row>
    <row r="66" spans="4:7" x14ac:dyDescent="0.2">
      <c r="D66" s="17">
        <v>43985</v>
      </c>
      <c r="E66" s="1">
        <v>-3.1</v>
      </c>
      <c r="F66" s="1">
        <v>7.6</v>
      </c>
      <c r="G66" s="1">
        <v>16.100000000000001</v>
      </c>
    </row>
    <row r="67" spans="4:7" x14ac:dyDescent="0.2">
      <c r="D67" s="17">
        <v>43986</v>
      </c>
      <c r="E67" s="1">
        <v>-3.1</v>
      </c>
      <c r="F67" s="1">
        <v>7.8</v>
      </c>
      <c r="G67" s="1">
        <v>16.100000000000001</v>
      </c>
    </row>
    <row r="68" spans="4:7" x14ac:dyDescent="0.2">
      <c r="D68" s="17">
        <v>43987</v>
      </c>
      <c r="E68" s="1">
        <v>-3.1</v>
      </c>
      <c r="F68" s="1">
        <v>8</v>
      </c>
      <c r="G68" s="1">
        <v>16.100000000000001</v>
      </c>
    </row>
    <row r="69" spans="4:7" x14ac:dyDescent="0.2">
      <c r="D69" s="17">
        <v>43990</v>
      </c>
      <c r="E69" s="1">
        <v>-2.7</v>
      </c>
      <c r="F69" s="1">
        <v>8.5500000000000007</v>
      </c>
      <c r="G69" s="1">
        <v>16.100000000000001</v>
      </c>
    </row>
    <row r="70" spans="4:7" x14ac:dyDescent="0.2">
      <c r="D70" s="17">
        <v>43991</v>
      </c>
      <c r="E70" s="1">
        <v>-2.7</v>
      </c>
      <c r="F70" s="1">
        <v>8.5500000000000007</v>
      </c>
      <c r="G70" s="1">
        <v>16.100000000000001</v>
      </c>
    </row>
    <row r="71" spans="4:7" x14ac:dyDescent="0.2">
      <c r="D71" s="17">
        <v>43992</v>
      </c>
      <c r="E71" s="1">
        <v>-2.7</v>
      </c>
      <c r="F71" s="1">
        <v>8.5500000000000007</v>
      </c>
      <c r="G71" s="1">
        <v>16.100000000000001</v>
      </c>
    </row>
    <row r="72" spans="4:7" x14ac:dyDescent="0.2">
      <c r="D72" s="17">
        <v>43994</v>
      </c>
      <c r="E72" s="1">
        <v>-2.7</v>
      </c>
      <c r="F72" s="1">
        <v>8.4</v>
      </c>
      <c r="G72" s="1">
        <v>16.100000000000001</v>
      </c>
    </row>
    <row r="73" spans="4:7" x14ac:dyDescent="0.2">
      <c r="D73" s="17">
        <v>43997</v>
      </c>
      <c r="E73" s="1">
        <v>-2.7</v>
      </c>
      <c r="F73" s="1">
        <v>8.4</v>
      </c>
      <c r="G73" s="1">
        <v>16.100000000000001</v>
      </c>
    </row>
    <row r="74" spans="4:7" x14ac:dyDescent="0.2">
      <c r="D74" s="17">
        <v>43998</v>
      </c>
      <c r="E74" s="1">
        <v>-2.7</v>
      </c>
      <c r="F74" s="1">
        <v>8.4</v>
      </c>
      <c r="G74" s="1">
        <v>16.100000000000001</v>
      </c>
    </row>
    <row r="75" spans="4:7" x14ac:dyDescent="0.2">
      <c r="D75" s="17">
        <v>43999</v>
      </c>
      <c r="E75" s="1">
        <v>-2.7</v>
      </c>
      <c r="F75" s="1">
        <v>8.1999999999999993</v>
      </c>
      <c r="G75" s="1">
        <v>16.100000000000001</v>
      </c>
    </row>
    <row r="76" spans="4:7" x14ac:dyDescent="0.2">
      <c r="D76" s="17">
        <v>44000</v>
      </c>
      <c r="E76" s="1">
        <v>-2.7</v>
      </c>
      <c r="F76" s="1">
        <v>8.1999999999999993</v>
      </c>
      <c r="G76" s="1">
        <v>16.100000000000001</v>
      </c>
    </row>
    <row r="77" spans="4:7" x14ac:dyDescent="0.2">
      <c r="D77" s="17">
        <v>44001</v>
      </c>
      <c r="E77" s="1">
        <v>-2.7</v>
      </c>
      <c r="F77" s="1">
        <v>8.1999999999999993</v>
      </c>
      <c r="G77" s="1">
        <v>16.100000000000001</v>
      </c>
    </row>
    <row r="78" spans="4:7" x14ac:dyDescent="0.2">
      <c r="D78" s="17">
        <v>44004</v>
      </c>
      <c r="E78" s="1">
        <v>0.5</v>
      </c>
      <c r="F78" s="1">
        <v>8.59</v>
      </c>
      <c r="G78" s="1">
        <v>16.100000000000001</v>
      </c>
    </row>
    <row r="79" spans="4:7" x14ac:dyDescent="0.2">
      <c r="D79" s="17">
        <v>44005</v>
      </c>
      <c r="E79" s="1">
        <v>0.5</v>
      </c>
      <c r="F79" s="1">
        <v>8.59</v>
      </c>
      <c r="G79" s="1">
        <v>16.100000000000001</v>
      </c>
    </row>
    <row r="80" spans="4:7" x14ac:dyDescent="0.2">
      <c r="D80" s="17">
        <v>44006</v>
      </c>
      <c r="E80" s="1">
        <v>0.5</v>
      </c>
      <c r="F80" s="1">
        <v>8.59</v>
      </c>
      <c r="G80" s="1">
        <v>16.100000000000001</v>
      </c>
    </row>
    <row r="81" spans="4:7" x14ac:dyDescent="0.2">
      <c r="D81" s="17">
        <v>44007</v>
      </c>
      <c r="E81" s="1">
        <v>0.5</v>
      </c>
      <c r="F81" s="1">
        <v>8.7799999999999994</v>
      </c>
      <c r="G81" s="1">
        <v>16.100000000000001</v>
      </c>
    </row>
    <row r="82" spans="4:7" x14ac:dyDescent="0.2">
      <c r="D82" s="17">
        <v>44008</v>
      </c>
      <c r="E82" s="1">
        <v>0.5</v>
      </c>
      <c r="F82" s="1">
        <v>8.7899999999999991</v>
      </c>
      <c r="G82" s="1">
        <v>16.100000000000001</v>
      </c>
    </row>
    <row r="83" spans="4:7" x14ac:dyDescent="0.2">
      <c r="D83" s="17">
        <v>44011</v>
      </c>
      <c r="E83" s="1">
        <v>0.5</v>
      </c>
      <c r="F83" s="1">
        <v>8.8000000000000007</v>
      </c>
      <c r="G83" s="1">
        <v>16.100000000000001</v>
      </c>
    </row>
    <row r="84" spans="4:7" x14ac:dyDescent="0.2">
      <c r="D84" s="17">
        <v>44012</v>
      </c>
      <c r="E84" s="1">
        <v>0.5</v>
      </c>
      <c r="F84" s="1">
        <v>9</v>
      </c>
      <c r="G84" s="1">
        <v>16.100000000000001</v>
      </c>
    </row>
    <row r="85" spans="4:7" x14ac:dyDescent="0.2">
      <c r="D85" s="17">
        <v>44013</v>
      </c>
      <c r="E85" s="1">
        <v>0.5</v>
      </c>
      <c r="F85" s="1">
        <v>9</v>
      </c>
      <c r="G85" s="1">
        <v>16.100000000000001</v>
      </c>
    </row>
    <row r="86" spans="4:7" x14ac:dyDescent="0.2">
      <c r="D86" s="17">
        <v>44014</v>
      </c>
      <c r="E86" s="1">
        <v>0.5</v>
      </c>
      <c r="F86" s="1">
        <v>9</v>
      </c>
      <c r="G86" s="1">
        <v>16.100000000000001</v>
      </c>
    </row>
    <row r="87" spans="4:7" x14ac:dyDescent="0.2">
      <c r="D87" s="17">
        <v>44015</v>
      </c>
      <c r="E87" s="1">
        <v>0.5</v>
      </c>
      <c r="F87" s="1">
        <v>9</v>
      </c>
      <c r="G87" s="1">
        <v>16.100000000000001</v>
      </c>
    </row>
    <row r="88" spans="4:7" x14ac:dyDescent="0.2">
      <c r="D88" s="17">
        <v>44018</v>
      </c>
      <c r="E88" s="1">
        <v>0.5</v>
      </c>
      <c r="F88" s="1">
        <v>9.1999999999999993</v>
      </c>
      <c r="G88" s="1">
        <v>16.100000000000001</v>
      </c>
    </row>
    <row r="89" spans="4:7" x14ac:dyDescent="0.2">
      <c r="D89" s="17">
        <v>44019</v>
      </c>
      <c r="E89" s="1">
        <v>-1</v>
      </c>
      <c r="F89" s="1">
        <v>9.1999999999999993</v>
      </c>
      <c r="G89" s="1">
        <v>16.100000000000001</v>
      </c>
    </row>
    <row r="90" spans="4:7" x14ac:dyDescent="0.2">
      <c r="D90" s="17">
        <v>44020</v>
      </c>
      <c r="E90" s="1">
        <v>-1</v>
      </c>
      <c r="F90" s="1">
        <v>9.1999999999999993</v>
      </c>
      <c r="G90" s="1">
        <v>16.100000000000001</v>
      </c>
    </row>
    <row r="91" spans="4:7" x14ac:dyDescent="0.2">
      <c r="D91" s="17">
        <v>44021</v>
      </c>
      <c r="E91" s="1">
        <v>-1</v>
      </c>
      <c r="F91" s="1">
        <v>8.7899999999999991</v>
      </c>
      <c r="G91" s="1">
        <v>16.100000000000001</v>
      </c>
    </row>
    <row r="92" spans="4:7" x14ac:dyDescent="0.2">
      <c r="D92" s="17">
        <v>44022</v>
      </c>
      <c r="E92" s="1">
        <v>-2.7</v>
      </c>
      <c r="F92" s="1">
        <v>8.7799999999999994</v>
      </c>
      <c r="G92" s="1">
        <v>16.100000000000001</v>
      </c>
    </row>
    <row r="93" spans="4:7" x14ac:dyDescent="0.2">
      <c r="D93" s="17">
        <v>44025</v>
      </c>
      <c r="E93" s="1">
        <v>-2.7</v>
      </c>
      <c r="F93" s="1">
        <v>8.7799999999999994</v>
      </c>
      <c r="G93" s="1">
        <v>14.11</v>
      </c>
    </row>
    <row r="94" spans="4:7" x14ac:dyDescent="0.2">
      <c r="D94" s="17">
        <v>44026</v>
      </c>
      <c r="E94" s="1">
        <v>-2.7</v>
      </c>
      <c r="F94" s="1">
        <v>8.7799999999999994</v>
      </c>
      <c r="G94" s="1">
        <v>13.9</v>
      </c>
    </row>
    <row r="95" spans="4:7" x14ac:dyDescent="0.2">
      <c r="D95" s="17">
        <v>44027</v>
      </c>
      <c r="E95" s="1">
        <v>-2.7</v>
      </c>
      <c r="F95" s="1">
        <v>8.74</v>
      </c>
      <c r="G95" s="1">
        <v>13.9</v>
      </c>
    </row>
    <row r="96" spans="4:7" x14ac:dyDescent="0.2">
      <c r="D96" s="17">
        <v>44028</v>
      </c>
      <c r="E96" s="1">
        <v>-2.7</v>
      </c>
      <c r="F96" s="1">
        <v>8.74</v>
      </c>
      <c r="G96" s="1">
        <v>13.9</v>
      </c>
    </row>
    <row r="97" spans="4:7" x14ac:dyDescent="0.2">
      <c r="D97" s="17">
        <v>44029</v>
      </c>
      <c r="E97" s="1">
        <v>-2.7</v>
      </c>
      <c r="F97" s="1">
        <v>8.61</v>
      </c>
      <c r="G97" s="1">
        <v>13.9</v>
      </c>
    </row>
    <row r="98" spans="4:7" x14ac:dyDescent="0.2">
      <c r="D98" s="17">
        <v>44032</v>
      </c>
      <c r="E98" s="1">
        <v>-2.7</v>
      </c>
      <c r="F98" s="1">
        <v>8.51</v>
      </c>
      <c r="G98" s="1">
        <v>13.9</v>
      </c>
    </row>
    <row r="99" spans="4:7" x14ac:dyDescent="0.2">
      <c r="D99" s="17">
        <v>44033</v>
      </c>
      <c r="E99" s="1">
        <v>-2.7</v>
      </c>
      <c r="F99" s="1">
        <v>8.5</v>
      </c>
      <c r="G99" s="1">
        <v>13.9</v>
      </c>
    </row>
    <row r="100" spans="4:7" x14ac:dyDescent="0.2">
      <c r="D100" s="17">
        <v>44034</v>
      </c>
      <c r="E100" s="1">
        <v>-2.7</v>
      </c>
      <c r="F100" s="1">
        <v>8.5</v>
      </c>
      <c r="G100" s="1">
        <v>13.9</v>
      </c>
    </row>
    <row r="101" spans="4:7" x14ac:dyDescent="0.2">
      <c r="D101" s="17">
        <v>44035</v>
      </c>
      <c r="E101" s="1">
        <v>-2.7</v>
      </c>
      <c r="F101" s="1">
        <v>8.51</v>
      </c>
      <c r="G101" s="1">
        <v>13.9</v>
      </c>
    </row>
    <row r="102" spans="4:7" x14ac:dyDescent="0.2">
      <c r="D102" s="17">
        <v>44036</v>
      </c>
      <c r="E102" s="1">
        <v>-2.7</v>
      </c>
      <c r="F102" s="1">
        <v>8.5</v>
      </c>
      <c r="G102" s="1">
        <v>13.2</v>
      </c>
    </row>
    <row r="103" spans="4:7" x14ac:dyDescent="0.2">
      <c r="D103" s="17">
        <v>44039</v>
      </c>
      <c r="E103" s="1">
        <v>-2.7</v>
      </c>
      <c r="F103" s="1">
        <v>8.4</v>
      </c>
      <c r="G103" s="1">
        <v>13.2</v>
      </c>
    </row>
    <row r="104" spans="4:7" x14ac:dyDescent="0.2">
      <c r="D104" s="17">
        <v>44040</v>
      </c>
      <c r="E104" s="1">
        <v>-2.7</v>
      </c>
      <c r="F104" s="1">
        <v>8.4</v>
      </c>
      <c r="G104" s="1">
        <v>13.2</v>
      </c>
    </row>
    <row r="105" spans="4:7" x14ac:dyDescent="0.2">
      <c r="D105" s="17">
        <v>44041</v>
      </c>
      <c r="E105" s="1">
        <v>-2.7</v>
      </c>
      <c r="F105" s="1">
        <v>8.1999999999999993</v>
      </c>
      <c r="G105" s="1">
        <v>13.2</v>
      </c>
    </row>
    <row r="106" spans="4:7" x14ac:dyDescent="0.2">
      <c r="D106" s="17">
        <v>44042</v>
      </c>
      <c r="E106" s="1">
        <v>-2.7</v>
      </c>
      <c r="F106" s="1">
        <v>8.1999999999999993</v>
      </c>
      <c r="G106" s="1">
        <v>13.2</v>
      </c>
    </row>
    <row r="107" spans="4:7" x14ac:dyDescent="0.2">
      <c r="D107" s="17">
        <v>44043</v>
      </c>
      <c r="E107" s="1">
        <v>-2.7</v>
      </c>
      <c r="F107" s="1">
        <v>8.1999999999999993</v>
      </c>
      <c r="G107" s="1">
        <v>13.2</v>
      </c>
    </row>
    <row r="108" spans="4:7" x14ac:dyDescent="0.2">
      <c r="D108" s="17">
        <v>44046</v>
      </c>
      <c r="E108" s="1">
        <v>-2.7</v>
      </c>
      <c r="F108" s="1">
        <v>8.15</v>
      </c>
      <c r="G108" s="1">
        <v>13.2</v>
      </c>
    </row>
    <row r="109" spans="4:7" x14ac:dyDescent="0.2">
      <c r="D109" s="17">
        <v>44047</v>
      </c>
      <c r="E109" s="1">
        <v>-2.7</v>
      </c>
      <c r="F109" s="1">
        <v>8.15</v>
      </c>
      <c r="G109" s="1">
        <v>13.2</v>
      </c>
    </row>
    <row r="110" spans="4:7" x14ac:dyDescent="0.2">
      <c r="D110" s="17">
        <v>44048</v>
      </c>
      <c r="E110" s="1">
        <v>-2.7</v>
      </c>
      <c r="F110" s="1">
        <v>8.15</v>
      </c>
      <c r="G110" s="1">
        <v>13.2</v>
      </c>
    </row>
    <row r="111" spans="4:7" x14ac:dyDescent="0.2">
      <c r="D111" s="17">
        <v>44049</v>
      </c>
      <c r="E111" s="1">
        <v>-2.7</v>
      </c>
      <c r="F111" s="1">
        <v>8.0500000000000007</v>
      </c>
      <c r="G111" s="1">
        <v>13.2</v>
      </c>
    </row>
    <row r="112" spans="4:7" x14ac:dyDescent="0.2">
      <c r="D112" s="17">
        <v>44050</v>
      </c>
      <c r="E112" s="1">
        <v>-2.7</v>
      </c>
      <c r="F112" s="1">
        <v>8</v>
      </c>
      <c r="G112" s="1">
        <v>13.2</v>
      </c>
    </row>
    <row r="113" spans="4:7" x14ac:dyDescent="0.2">
      <c r="D113" s="17">
        <v>44053</v>
      </c>
      <c r="E113" s="1">
        <v>-1</v>
      </c>
      <c r="F113" s="1">
        <v>8.1</v>
      </c>
      <c r="G113" s="1">
        <v>13.2</v>
      </c>
    </row>
    <row r="114" spans="4:7" x14ac:dyDescent="0.2">
      <c r="D114" s="17">
        <v>44054</v>
      </c>
      <c r="E114" s="1">
        <v>-2.7</v>
      </c>
      <c r="F114" s="1">
        <v>8.1</v>
      </c>
      <c r="G114" s="1">
        <v>13.2</v>
      </c>
    </row>
    <row r="115" spans="4:7" x14ac:dyDescent="0.2">
      <c r="D115" s="17">
        <v>44055</v>
      </c>
      <c r="E115" s="1">
        <v>-2.7</v>
      </c>
      <c r="F115" s="1">
        <v>8.1</v>
      </c>
      <c r="G115" s="1">
        <v>13.2</v>
      </c>
    </row>
    <row r="116" spans="4:7" x14ac:dyDescent="0.2">
      <c r="D116" s="17">
        <v>44056</v>
      </c>
      <c r="E116" s="1">
        <v>-2.7</v>
      </c>
      <c r="F116" s="1">
        <v>8.15</v>
      </c>
      <c r="G116" s="1">
        <v>13.2</v>
      </c>
    </row>
    <row r="117" spans="4:7" x14ac:dyDescent="0.2">
      <c r="D117" s="17">
        <v>44057</v>
      </c>
      <c r="E117" s="1">
        <v>-2.7</v>
      </c>
      <c r="F117" s="1">
        <v>8</v>
      </c>
      <c r="G117" s="1">
        <v>13.2</v>
      </c>
    </row>
    <row r="118" spans="4:7" x14ac:dyDescent="0.2">
      <c r="D118" s="17">
        <v>44060</v>
      </c>
      <c r="E118" s="1">
        <v>-2.7</v>
      </c>
      <c r="F118" s="1">
        <v>8</v>
      </c>
      <c r="G118" s="1">
        <v>12.3</v>
      </c>
    </row>
    <row r="119" spans="4:7" x14ac:dyDescent="0.2">
      <c r="D119" s="17">
        <v>44061</v>
      </c>
      <c r="E119" s="1">
        <v>-2.7</v>
      </c>
      <c r="F119" s="1">
        <v>8</v>
      </c>
      <c r="G119" s="1">
        <v>12.3</v>
      </c>
    </row>
    <row r="120" spans="4:7" x14ac:dyDescent="0.2">
      <c r="D120" s="17">
        <v>44062</v>
      </c>
      <c r="E120" s="1">
        <v>-2.7</v>
      </c>
      <c r="F120" s="1">
        <v>8</v>
      </c>
      <c r="G120" s="1">
        <v>12.3</v>
      </c>
    </row>
    <row r="121" spans="4:7" x14ac:dyDescent="0.2">
      <c r="D121" s="17">
        <v>44063</v>
      </c>
      <c r="E121" s="1">
        <v>-2.7</v>
      </c>
      <c r="F121" s="1">
        <v>8</v>
      </c>
      <c r="G121" s="1">
        <v>12.3</v>
      </c>
    </row>
    <row r="122" spans="4:7" x14ac:dyDescent="0.2">
      <c r="D122" s="17">
        <v>44064</v>
      </c>
      <c r="E122" s="1">
        <v>-2.7</v>
      </c>
      <c r="F122" s="1">
        <v>8</v>
      </c>
      <c r="G122" s="1">
        <v>12.3</v>
      </c>
    </row>
    <row r="123" spans="4:7" x14ac:dyDescent="0.2">
      <c r="D123" s="17">
        <v>44067</v>
      </c>
      <c r="E123" s="1">
        <v>-2.7</v>
      </c>
      <c r="F123" s="1">
        <v>8</v>
      </c>
      <c r="G123" s="1">
        <v>12.3</v>
      </c>
    </row>
    <row r="124" spans="4:7" x14ac:dyDescent="0.2">
      <c r="D124" s="17">
        <v>44068</v>
      </c>
      <c r="E124" s="1">
        <v>-2.7</v>
      </c>
      <c r="F124" s="1">
        <v>8</v>
      </c>
      <c r="G124" s="1">
        <v>12.3</v>
      </c>
    </row>
    <row r="125" spans="4:7" x14ac:dyDescent="0.2">
      <c r="D125" s="17">
        <v>44069</v>
      </c>
      <c r="E125" s="1">
        <v>-2.7</v>
      </c>
      <c r="F125" s="1">
        <v>8</v>
      </c>
      <c r="G125" s="1">
        <v>12.3</v>
      </c>
    </row>
    <row r="126" spans="4:7" x14ac:dyDescent="0.2">
      <c r="D126" s="17">
        <v>44070</v>
      </c>
      <c r="E126" s="1">
        <v>-2.7</v>
      </c>
      <c r="F126" s="1">
        <v>8</v>
      </c>
      <c r="G126" s="1">
        <v>12.3</v>
      </c>
    </row>
    <row r="127" spans="4:7" x14ac:dyDescent="0.2">
      <c r="D127" s="17">
        <v>44071</v>
      </c>
      <c r="E127" s="1">
        <v>-2.7</v>
      </c>
      <c r="F127" s="1">
        <v>8</v>
      </c>
      <c r="G127" s="1">
        <v>12</v>
      </c>
    </row>
    <row r="128" spans="4:7" x14ac:dyDescent="0.2">
      <c r="D128" s="17">
        <v>44074</v>
      </c>
      <c r="E128" s="1">
        <v>-2.7</v>
      </c>
      <c r="F128" s="1">
        <v>8</v>
      </c>
      <c r="G128" s="1">
        <v>12</v>
      </c>
    </row>
    <row r="129" spans="4:7" x14ac:dyDescent="0.2">
      <c r="D129" s="17">
        <v>44075</v>
      </c>
      <c r="E129" s="1">
        <v>-2.7</v>
      </c>
      <c r="F129" s="1">
        <v>8</v>
      </c>
      <c r="G129" s="1">
        <v>12</v>
      </c>
    </row>
    <row r="130" spans="4:7" x14ac:dyDescent="0.2">
      <c r="D130" s="17">
        <v>44076</v>
      </c>
      <c r="E130" s="1">
        <v>-2.7</v>
      </c>
      <c r="F130" s="1">
        <v>8</v>
      </c>
      <c r="G130" s="1">
        <v>12</v>
      </c>
    </row>
    <row r="131" spans="4:7" x14ac:dyDescent="0.2">
      <c r="D131" s="17">
        <v>44077</v>
      </c>
      <c r="E131" s="1">
        <v>-2.7</v>
      </c>
      <c r="F131" s="1">
        <v>8.02</v>
      </c>
      <c r="G131" s="1">
        <v>12</v>
      </c>
    </row>
    <row r="132" spans="4:7" x14ac:dyDescent="0.2">
      <c r="D132" s="17">
        <v>44078</v>
      </c>
      <c r="E132" s="1">
        <v>-2.7</v>
      </c>
      <c r="F132" s="1">
        <v>8.1999999999999993</v>
      </c>
      <c r="G132" s="1">
        <v>12</v>
      </c>
    </row>
    <row r="133" spans="4:7" x14ac:dyDescent="0.2">
      <c r="D133" s="17">
        <v>44082</v>
      </c>
      <c r="E133" s="1">
        <v>-1</v>
      </c>
      <c r="F133" s="1">
        <v>8.3000000000000007</v>
      </c>
      <c r="G133" s="1">
        <v>12</v>
      </c>
    </row>
    <row r="134" spans="4:7" x14ac:dyDescent="0.2">
      <c r="D134" s="17">
        <v>44083</v>
      </c>
      <c r="E134" s="1">
        <v>-1</v>
      </c>
      <c r="F134" s="1">
        <v>8.6</v>
      </c>
      <c r="G134" s="1">
        <v>12.6</v>
      </c>
    </row>
    <row r="135" spans="4:7" x14ac:dyDescent="0.2">
      <c r="D135" s="17">
        <v>44084</v>
      </c>
      <c r="E135" s="1">
        <v>-1</v>
      </c>
      <c r="F135" s="1">
        <v>8.6999999999999993</v>
      </c>
      <c r="G135" s="1">
        <v>12.6</v>
      </c>
    </row>
    <row r="136" spans="4:7" x14ac:dyDescent="0.2">
      <c r="D136" s="17">
        <v>44085</v>
      </c>
      <c r="E136" s="1">
        <v>-1</v>
      </c>
      <c r="F136" s="1">
        <v>8.74</v>
      </c>
      <c r="G136" s="1">
        <v>12.6</v>
      </c>
    </row>
    <row r="137" spans="4:7" x14ac:dyDescent="0.2">
      <c r="D137" s="17">
        <v>44088</v>
      </c>
      <c r="E137" s="1">
        <v>-1</v>
      </c>
      <c r="F137" s="1">
        <v>8.6999999999999993</v>
      </c>
      <c r="G137" s="1">
        <v>12.6</v>
      </c>
    </row>
    <row r="138" spans="4:7" x14ac:dyDescent="0.2">
      <c r="D138" s="17">
        <v>44089</v>
      </c>
      <c r="E138" s="1">
        <v>-1</v>
      </c>
      <c r="F138" s="1">
        <v>8.6999999999999993</v>
      </c>
      <c r="G138" s="1">
        <v>12.6</v>
      </c>
    </row>
    <row r="139" spans="4:7" x14ac:dyDescent="0.2">
      <c r="D139" s="17">
        <v>44090</v>
      </c>
      <c r="E139" s="1">
        <v>-1</v>
      </c>
      <c r="F139" s="1">
        <v>8.6999999999999993</v>
      </c>
      <c r="G139" s="1">
        <v>12.6</v>
      </c>
    </row>
    <row r="140" spans="4:7" x14ac:dyDescent="0.2">
      <c r="D140" s="17">
        <v>44091</v>
      </c>
      <c r="E140" s="1">
        <v>-1</v>
      </c>
      <c r="F140" s="1">
        <v>8.74</v>
      </c>
      <c r="G140" s="1">
        <v>12.6</v>
      </c>
    </row>
    <row r="141" spans="4:7" x14ac:dyDescent="0.2">
      <c r="D141" s="17">
        <v>44092</v>
      </c>
      <c r="E141" s="1">
        <v>-1</v>
      </c>
      <c r="F141" s="1">
        <v>8.7799999999999994</v>
      </c>
      <c r="G141" s="1">
        <v>12.6</v>
      </c>
    </row>
    <row r="142" spans="4:7" x14ac:dyDescent="0.2">
      <c r="D142" s="17">
        <v>44095</v>
      </c>
      <c r="E142" s="1">
        <v>-1</v>
      </c>
      <c r="F142" s="1">
        <v>8.8000000000000007</v>
      </c>
      <c r="G142" s="1">
        <v>12.6</v>
      </c>
    </row>
    <row r="143" spans="4:7" x14ac:dyDescent="0.2">
      <c r="D143" s="17">
        <v>44096</v>
      </c>
      <c r="E143" s="1">
        <v>-1</v>
      </c>
      <c r="F143" s="1">
        <v>8.8000000000000007</v>
      </c>
      <c r="G143" s="1">
        <v>12.6</v>
      </c>
    </row>
    <row r="144" spans="4:7" x14ac:dyDescent="0.2">
      <c r="D144" s="17">
        <v>44097</v>
      </c>
      <c r="E144" s="1">
        <v>-1</v>
      </c>
      <c r="F144" s="1">
        <v>8.9499999999999993</v>
      </c>
      <c r="G144" s="1">
        <v>12.6</v>
      </c>
    </row>
    <row r="145" spans="4:7" x14ac:dyDescent="0.2">
      <c r="D145" s="17">
        <v>44098</v>
      </c>
      <c r="E145" s="1">
        <v>-1</v>
      </c>
      <c r="F145" s="1">
        <v>8.9499999999999993</v>
      </c>
      <c r="G145" s="1">
        <v>12.6</v>
      </c>
    </row>
    <row r="146" spans="4:7" x14ac:dyDescent="0.2">
      <c r="D146" s="17">
        <v>44099</v>
      </c>
      <c r="E146" s="1">
        <v>-1</v>
      </c>
      <c r="F146" s="1">
        <v>9.1</v>
      </c>
      <c r="G146" s="1">
        <v>12.6</v>
      </c>
    </row>
    <row r="147" spans="4:7" x14ac:dyDescent="0.2">
      <c r="D147" s="17">
        <v>44102</v>
      </c>
      <c r="E147" s="1">
        <v>-1</v>
      </c>
      <c r="F147" s="1">
        <v>9.39</v>
      </c>
      <c r="G147" s="1">
        <v>12.6</v>
      </c>
    </row>
    <row r="148" spans="4:7" x14ac:dyDescent="0.2">
      <c r="D148" s="17">
        <v>44103</v>
      </c>
      <c r="E148" s="1">
        <v>-1</v>
      </c>
      <c r="F148" s="1">
        <v>9.39</v>
      </c>
      <c r="G148" s="1">
        <v>12.6</v>
      </c>
    </row>
    <row r="149" spans="4:7" x14ac:dyDescent="0.2">
      <c r="D149" s="17">
        <v>44104</v>
      </c>
      <c r="E149" s="1">
        <v>-1</v>
      </c>
      <c r="F149" s="1">
        <v>9.39</v>
      </c>
      <c r="G149" s="1">
        <v>12.6</v>
      </c>
    </row>
    <row r="150" spans="4:7" x14ac:dyDescent="0.2">
      <c r="D150" s="17">
        <v>44105</v>
      </c>
      <c r="E150" s="1">
        <v>-1</v>
      </c>
      <c r="F150" s="1">
        <v>9.39</v>
      </c>
      <c r="G150" s="1">
        <v>12.6</v>
      </c>
    </row>
    <row r="151" spans="4:7" x14ac:dyDescent="0.2">
      <c r="D151" s="17">
        <v>44106</v>
      </c>
      <c r="E151" s="1">
        <v>-1</v>
      </c>
      <c r="F151" s="1">
        <v>9.1999999999999993</v>
      </c>
      <c r="G151" s="1">
        <v>12.6</v>
      </c>
    </row>
    <row r="152" spans="4:7" x14ac:dyDescent="0.2">
      <c r="D152" s="17">
        <v>44109</v>
      </c>
      <c r="E152" s="1">
        <v>2</v>
      </c>
      <c r="F152" s="1">
        <v>9.34</v>
      </c>
      <c r="G152" s="1">
        <v>12</v>
      </c>
    </row>
    <row r="153" spans="4:7" x14ac:dyDescent="0.2">
      <c r="D153" s="17">
        <v>44110</v>
      </c>
      <c r="E153" s="1">
        <v>2</v>
      </c>
      <c r="F153" s="1">
        <v>9.34</v>
      </c>
      <c r="G153" s="1">
        <v>12</v>
      </c>
    </row>
    <row r="154" spans="4:7" x14ac:dyDescent="0.2">
      <c r="D154" s="17">
        <v>44111</v>
      </c>
      <c r="E154" s="1">
        <v>2</v>
      </c>
      <c r="F154" s="1">
        <v>9.34</v>
      </c>
      <c r="G154" s="1">
        <v>12</v>
      </c>
    </row>
    <row r="155" spans="4:7" x14ac:dyDescent="0.2">
      <c r="D155" s="17">
        <v>44112</v>
      </c>
      <c r="E155" s="1">
        <v>2</v>
      </c>
      <c r="F155" s="1">
        <v>9.34</v>
      </c>
      <c r="G155" s="1">
        <v>12</v>
      </c>
    </row>
    <row r="156" spans="4:7" x14ac:dyDescent="0.2">
      <c r="D156" s="17">
        <v>44113</v>
      </c>
      <c r="E156" s="1">
        <v>2</v>
      </c>
      <c r="F156" s="1">
        <v>9.43</v>
      </c>
      <c r="G156" s="1">
        <v>12</v>
      </c>
    </row>
    <row r="157" spans="4:7" x14ac:dyDescent="0.2">
      <c r="D157" s="17">
        <v>44117</v>
      </c>
      <c r="E157" s="1">
        <v>2</v>
      </c>
      <c r="F157" s="1">
        <v>9.49</v>
      </c>
      <c r="G157" s="1">
        <v>12</v>
      </c>
    </row>
    <row r="158" spans="4:7" x14ac:dyDescent="0.2">
      <c r="D158" s="17">
        <v>44118</v>
      </c>
      <c r="E158" s="1">
        <v>2</v>
      </c>
      <c r="F158" s="1">
        <v>9.39</v>
      </c>
      <c r="G158" s="1">
        <v>12</v>
      </c>
    </row>
    <row r="159" spans="4:7" x14ac:dyDescent="0.2">
      <c r="D159" s="17">
        <v>44119</v>
      </c>
      <c r="E159" s="1">
        <v>2</v>
      </c>
      <c r="F159" s="1">
        <v>9.39</v>
      </c>
      <c r="G159" s="1">
        <v>12</v>
      </c>
    </row>
    <row r="160" spans="4:7" x14ac:dyDescent="0.2">
      <c r="D160" s="17">
        <v>44120</v>
      </c>
      <c r="E160" s="1">
        <v>2</v>
      </c>
      <c r="F160" s="1">
        <v>9.34</v>
      </c>
      <c r="G160" s="1">
        <v>12</v>
      </c>
    </row>
    <row r="161" spans="4:7" x14ac:dyDescent="0.2">
      <c r="D161" s="17">
        <v>44123</v>
      </c>
      <c r="E161" s="1">
        <v>2</v>
      </c>
      <c r="F161" s="1">
        <v>9.3000000000000007</v>
      </c>
      <c r="G161" s="1">
        <v>12</v>
      </c>
    </row>
    <row r="162" spans="4:7" x14ac:dyDescent="0.2">
      <c r="D162" s="17">
        <v>44124</v>
      </c>
      <c r="E162" s="1">
        <v>2</v>
      </c>
      <c r="F162" s="1">
        <v>9.3000000000000007</v>
      </c>
      <c r="G162" s="1">
        <v>12</v>
      </c>
    </row>
    <row r="163" spans="4:7" x14ac:dyDescent="0.2">
      <c r="D163" s="17">
        <v>44125</v>
      </c>
      <c r="E163" s="1">
        <v>2</v>
      </c>
      <c r="F163" s="1">
        <v>9.3000000000000007</v>
      </c>
      <c r="G163" s="1">
        <v>12</v>
      </c>
    </row>
    <row r="164" spans="4:7" x14ac:dyDescent="0.2">
      <c r="D164" s="17">
        <v>44126</v>
      </c>
      <c r="E164" s="1">
        <v>2</v>
      </c>
      <c r="F164" s="1">
        <v>9.3000000000000007</v>
      </c>
      <c r="G164" s="1">
        <v>12</v>
      </c>
    </row>
    <row r="165" spans="4:7" x14ac:dyDescent="0.2">
      <c r="D165" s="17">
        <v>44127</v>
      </c>
      <c r="E165" s="1">
        <v>2</v>
      </c>
      <c r="F165" s="1">
        <v>9.4</v>
      </c>
      <c r="G165" s="1">
        <v>12</v>
      </c>
    </row>
    <row r="166" spans="4:7" x14ac:dyDescent="0.2">
      <c r="D166" s="17">
        <v>44130</v>
      </c>
      <c r="E166" s="1">
        <v>2</v>
      </c>
      <c r="F166" s="1">
        <v>9.3000000000000007</v>
      </c>
      <c r="G166" s="1">
        <v>12</v>
      </c>
    </row>
    <row r="167" spans="4:7" x14ac:dyDescent="0.2">
      <c r="D167" s="17">
        <v>44131</v>
      </c>
      <c r="E167" s="1">
        <v>2</v>
      </c>
      <c r="F167" s="1">
        <v>9.3000000000000007</v>
      </c>
      <c r="G167" s="1">
        <v>12</v>
      </c>
    </row>
    <row r="168" spans="4:7" x14ac:dyDescent="0.2">
      <c r="D168" s="17">
        <v>44132</v>
      </c>
      <c r="E168" s="1">
        <v>2</v>
      </c>
      <c r="F168" s="1">
        <v>9.3000000000000007</v>
      </c>
      <c r="G168" s="1">
        <v>12</v>
      </c>
    </row>
    <row r="169" spans="4:7" x14ac:dyDescent="0.2">
      <c r="D169" s="17">
        <v>44133</v>
      </c>
      <c r="E169" s="1">
        <v>2</v>
      </c>
      <c r="F169" s="1">
        <v>9.3000000000000007</v>
      </c>
      <c r="G169" s="1">
        <v>12</v>
      </c>
    </row>
    <row r="170" spans="4:7" x14ac:dyDescent="0.2">
      <c r="D170" s="17">
        <v>44134</v>
      </c>
      <c r="E170" s="1">
        <v>2</v>
      </c>
      <c r="F170" s="1">
        <v>9.3000000000000007</v>
      </c>
      <c r="G170" s="1">
        <v>12.09</v>
      </c>
    </row>
    <row r="171" spans="4:7" x14ac:dyDescent="0.2">
      <c r="D171" s="17">
        <v>44138</v>
      </c>
      <c r="E171" s="1">
        <v>2</v>
      </c>
      <c r="F171" s="1">
        <v>9.3000000000000007</v>
      </c>
      <c r="G171" s="1">
        <v>12.09</v>
      </c>
    </row>
    <row r="172" spans="4:7" x14ac:dyDescent="0.2">
      <c r="D172" s="17">
        <v>44139</v>
      </c>
      <c r="E172" s="1">
        <v>2</v>
      </c>
      <c r="F172" s="1">
        <v>9.3000000000000007</v>
      </c>
      <c r="G172" s="1">
        <v>12.09</v>
      </c>
    </row>
    <row r="173" spans="4:7" x14ac:dyDescent="0.2">
      <c r="D173" s="17">
        <v>44140</v>
      </c>
      <c r="E173" s="1">
        <v>2</v>
      </c>
      <c r="F173" s="1">
        <v>9.1999999999999993</v>
      </c>
      <c r="G173" s="1">
        <v>12.09</v>
      </c>
    </row>
    <row r="174" spans="4:7" x14ac:dyDescent="0.2">
      <c r="D174" s="17">
        <v>44141</v>
      </c>
      <c r="E174" s="1">
        <v>2</v>
      </c>
      <c r="F174" s="1">
        <v>9.3000000000000007</v>
      </c>
      <c r="G174" s="1">
        <v>12.09</v>
      </c>
    </row>
    <row r="175" spans="4:7" x14ac:dyDescent="0.2">
      <c r="D175" s="17">
        <v>44144</v>
      </c>
      <c r="E175" s="1">
        <v>2</v>
      </c>
      <c r="F175" s="1">
        <v>9.35</v>
      </c>
      <c r="G175" s="1">
        <v>12.09</v>
      </c>
    </row>
    <row r="176" spans="4:7" x14ac:dyDescent="0.2">
      <c r="D176" s="17">
        <v>44145</v>
      </c>
      <c r="E176" s="1">
        <v>2</v>
      </c>
      <c r="F176" s="1">
        <v>9.4</v>
      </c>
      <c r="G176" s="1">
        <v>12.09</v>
      </c>
    </row>
    <row r="177" spans="4:7" x14ac:dyDescent="0.2">
      <c r="D177" s="17">
        <v>44146</v>
      </c>
      <c r="E177" s="1">
        <v>2</v>
      </c>
      <c r="F177" s="1">
        <v>9.4</v>
      </c>
      <c r="G177" s="1">
        <v>12.09</v>
      </c>
    </row>
    <row r="178" spans="4:7" x14ac:dyDescent="0.2">
      <c r="D178" s="17">
        <v>44147</v>
      </c>
      <c r="E178" s="1">
        <v>2</v>
      </c>
      <c r="F178" s="1">
        <v>9.35</v>
      </c>
      <c r="G178" s="1">
        <v>12.09</v>
      </c>
    </row>
    <row r="179" spans="4:7" x14ac:dyDescent="0.2">
      <c r="D179" s="17">
        <v>44148</v>
      </c>
      <c r="E179" s="1">
        <v>2</v>
      </c>
      <c r="F179" s="1">
        <v>9.5</v>
      </c>
      <c r="G179" s="1">
        <v>12.09</v>
      </c>
    </row>
    <row r="180" spans="4:7" x14ac:dyDescent="0.2">
      <c r="D180" s="17">
        <v>44151</v>
      </c>
      <c r="E180" s="1">
        <v>3.5</v>
      </c>
      <c r="F180" s="1">
        <v>9.75</v>
      </c>
      <c r="G180" s="1">
        <v>12.45</v>
      </c>
    </row>
    <row r="181" spans="4:7" x14ac:dyDescent="0.2">
      <c r="D181" s="17">
        <v>44152</v>
      </c>
      <c r="E181" s="1">
        <v>3.5</v>
      </c>
      <c r="F181" s="1">
        <v>9.75</v>
      </c>
      <c r="G181" s="1">
        <v>12.45</v>
      </c>
    </row>
    <row r="182" spans="4:7" x14ac:dyDescent="0.2">
      <c r="D182" s="17">
        <v>44153</v>
      </c>
      <c r="E182" s="1">
        <v>3.5</v>
      </c>
      <c r="F182" s="1">
        <v>10</v>
      </c>
      <c r="G182" s="1">
        <v>12.45</v>
      </c>
    </row>
    <row r="183" spans="4:7" x14ac:dyDescent="0.2">
      <c r="D183" s="17">
        <v>44154</v>
      </c>
      <c r="E183" s="1">
        <v>3.5</v>
      </c>
      <c r="F183" s="1">
        <v>10</v>
      </c>
      <c r="G183" s="1">
        <v>12.45</v>
      </c>
    </row>
    <row r="184" spans="4:7" x14ac:dyDescent="0.2">
      <c r="D184" s="17">
        <v>44155</v>
      </c>
      <c r="E184" s="1">
        <v>3.5</v>
      </c>
      <c r="F184" s="1">
        <v>10.1</v>
      </c>
      <c r="G184" s="1">
        <v>12.45</v>
      </c>
    </row>
    <row r="185" spans="4:7" x14ac:dyDescent="0.2">
      <c r="D185" s="17">
        <v>44158</v>
      </c>
      <c r="E185" s="1">
        <v>3.5</v>
      </c>
      <c r="F185" s="1">
        <v>10.050000000000001</v>
      </c>
      <c r="G185" s="1">
        <v>12.45</v>
      </c>
    </row>
    <row r="186" spans="4:7" x14ac:dyDescent="0.2">
      <c r="D186" s="17">
        <v>44159</v>
      </c>
      <c r="E186" s="1">
        <v>3.5</v>
      </c>
      <c r="F186" s="1">
        <v>10.1</v>
      </c>
      <c r="G186" s="1">
        <v>12.45</v>
      </c>
    </row>
    <row r="187" spans="4:7" x14ac:dyDescent="0.2">
      <c r="D187" s="17">
        <v>44160</v>
      </c>
      <c r="E187" s="1">
        <v>3.5</v>
      </c>
      <c r="F187" s="1">
        <v>10.11</v>
      </c>
      <c r="G187" s="1">
        <v>12.45</v>
      </c>
    </row>
    <row r="188" spans="4:7" x14ac:dyDescent="0.2">
      <c r="D188" s="17">
        <v>44161</v>
      </c>
      <c r="E188" s="1">
        <v>3.5</v>
      </c>
      <c r="F188" s="1">
        <v>10.11</v>
      </c>
      <c r="G188" s="1">
        <v>12.45</v>
      </c>
    </row>
    <row r="189" spans="4:7" x14ac:dyDescent="0.2">
      <c r="D189" s="17">
        <v>44162</v>
      </c>
      <c r="E189" s="1">
        <v>3.5</v>
      </c>
      <c r="F189" s="1">
        <v>10.1</v>
      </c>
      <c r="G189" s="1">
        <v>12.45</v>
      </c>
    </row>
    <row r="190" spans="4:7" x14ac:dyDescent="0.2">
      <c r="D190" s="1">
        <v>44165</v>
      </c>
      <c r="E190" s="1">
        <v>3.5</v>
      </c>
      <c r="F190" s="1">
        <v>10.210000000000001</v>
      </c>
      <c r="G190" s="1">
        <v>12.45</v>
      </c>
    </row>
    <row r="191" spans="4:7" x14ac:dyDescent="0.2">
      <c r="D191" s="1">
        <v>44166</v>
      </c>
      <c r="E191" s="1">
        <v>3.5</v>
      </c>
      <c r="F191" s="1">
        <v>10.210000000000001</v>
      </c>
      <c r="G191" s="1">
        <v>12.6</v>
      </c>
    </row>
    <row r="192" spans="4:7" x14ac:dyDescent="0.2">
      <c r="D192" s="1">
        <v>44167</v>
      </c>
      <c r="E192" s="1">
        <v>3.5</v>
      </c>
      <c r="F192" s="1">
        <v>10.210000000000001</v>
      </c>
      <c r="G192" s="1">
        <v>12.6</v>
      </c>
    </row>
    <row r="193" spans="4:7" x14ac:dyDescent="0.2">
      <c r="D193" s="1">
        <v>44168</v>
      </c>
      <c r="E193" s="1">
        <v>0.5</v>
      </c>
      <c r="F193" s="1">
        <v>10.1</v>
      </c>
      <c r="G193" s="1">
        <v>12.6</v>
      </c>
    </row>
    <row r="194" spans="4:7" x14ac:dyDescent="0.2">
      <c r="D194" s="1">
        <v>44169</v>
      </c>
      <c r="E194" s="1">
        <v>0.5</v>
      </c>
      <c r="F194" s="1">
        <v>10.31</v>
      </c>
      <c r="G194" s="1">
        <v>13.5</v>
      </c>
    </row>
    <row r="195" spans="4:7" x14ac:dyDescent="0.2">
      <c r="D195" s="1">
        <v>44172</v>
      </c>
      <c r="E195" s="1">
        <v>0.5</v>
      </c>
      <c r="F195" s="1">
        <v>10.55</v>
      </c>
      <c r="G195" s="1">
        <v>13.5</v>
      </c>
    </row>
    <row r="196" spans="4:7" x14ac:dyDescent="0.2">
      <c r="D196" s="17">
        <v>44173</v>
      </c>
      <c r="E196" s="1">
        <v>0.5</v>
      </c>
      <c r="F196" s="1">
        <v>10.55</v>
      </c>
      <c r="G196" s="1">
        <v>13.5</v>
      </c>
    </row>
    <row r="197" spans="4:7" x14ac:dyDescent="0.2">
      <c r="D197" s="17">
        <v>44174</v>
      </c>
      <c r="E197" s="1">
        <v>0.5</v>
      </c>
      <c r="F197" s="1">
        <v>10.55</v>
      </c>
      <c r="G197" s="1">
        <v>13.5</v>
      </c>
    </row>
    <row r="198" spans="4:7" x14ac:dyDescent="0.2">
      <c r="D198" s="17">
        <v>44175</v>
      </c>
      <c r="E198" s="1">
        <v>0.5</v>
      </c>
      <c r="F198" s="1">
        <v>10.34</v>
      </c>
      <c r="G198" s="1">
        <v>13.5</v>
      </c>
    </row>
    <row r="199" spans="4:7" x14ac:dyDescent="0.2">
      <c r="D199" s="17">
        <v>44176</v>
      </c>
      <c r="E199" s="1">
        <v>0.5</v>
      </c>
      <c r="F199" s="1">
        <v>10.199999999999999</v>
      </c>
      <c r="G199" s="1">
        <v>13.5</v>
      </c>
    </row>
    <row r="200" spans="4:7" x14ac:dyDescent="0.2">
      <c r="D200" s="17">
        <v>44179</v>
      </c>
      <c r="E200" s="1">
        <v>0.5</v>
      </c>
      <c r="F200" s="1">
        <v>10.35</v>
      </c>
      <c r="G200" s="1">
        <v>13.5</v>
      </c>
    </row>
    <row r="201" spans="4:7" x14ac:dyDescent="0.2">
      <c r="D201" s="17">
        <v>44180</v>
      </c>
      <c r="E201" s="1">
        <v>0.5</v>
      </c>
      <c r="F201" s="1">
        <v>10.35</v>
      </c>
      <c r="G201" s="1">
        <v>13.5</v>
      </c>
    </row>
    <row r="202" spans="4:7" x14ac:dyDescent="0.2">
      <c r="D202" s="17">
        <v>44181</v>
      </c>
      <c r="E202" s="1">
        <v>0.5</v>
      </c>
      <c r="F202" s="1">
        <v>10.35</v>
      </c>
      <c r="G202" s="1">
        <v>13.5</v>
      </c>
    </row>
    <row r="203" spans="4:7" x14ac:dyDescent="0.2">
      <c r="D203" s="17">
        <v>44182</v>
      </c>
      <c r="E203" s="1">
        <v>0.5</v>
      </c>
      <c r="F203" s="1">
        <v>10.35</v>
      </c>
      <c r="G203" s="1">
        <v>13.5</v>
      </c>
    </row>
    <row r="204" spans="4:7" x14ac:dyDescent="0.2">
      <c r="D204" s="17">
        <v>44183</v>
      </c>
      <c r="E204" s="1">
        <v>0.5</v>
      </c>
      <c r="F204" s="1">
        <v>10.15</v>
      </c>
      <c r="G204" s="1">
        <v>13.5</v>
      </c>
    </row>
    <row r="205" spans="4:7" x14ac:dyDescent="0.2">
      <c r="D205" s="17">
        <v>44186</v>
      </c>
      <c r="E205" s="1">
        <v>0.5</v>
      </c>
      <c r="F205" s="1">
        <v>10.35</v>
      </c>
      <c r="G205" s="1">
        <v>13.5</v>
      </c>
    </row>
    <row r="206" spans="4:7" x14ac:dyDescent="0.2">
      <c r="D206" s="17">
        <v>44187</v>
      </c>
      <c r="E206" s="1">
        <v>0.5</v>
      </c>
      <c r="F206" s="1">
        <v>10.35</v>
      </c>
      <c r="G206" s="1">
        <v>13.5</v>
      </c>
    </row>
    <row r="207" spans="4:7" x14ac:dyDescent="0.2">
      <c r="D207" s="17">
        <v>44188</v>
      </c>
      <c r="E207" s="1">
        <v>0.5</v>
      </c>
      <c r="F207" s="1">
        <v>10.35</v>
      </c>
      <c r="G207" s="1">
        <v>13.5</v>
      </c>
    </row>
    <row r="208" spans="4:7" x14ac:dyDescent="0.2">
      <c r="D208" s="17">
        <v>44189</v>
      </c>
      <c r="E208" s="1">
        <v>0.5</v>
      </c>
      <c r="F208" s="1">
        <v>10.5</v>
      </c>
      <c r="G208" s="1">
        <v>13.5</v>
      </c>
    </row>
    <row r="209" spans="4:7" x14ac:dyDescent="0.2">
      <c r="D209" s="17">
        <v>44193</v>
      </c>
      <c r="E209" s="1">
        <v>0.5</v>
      </c>
      <c r="F209" s="1">
        <v>10.199999999999999</v>
      </c>
      <c r="G209" s="1">
        <v>13.5</v>
      </c>
    </row>
    <row r="210" spans="4:7" x14ac:dyDescent="0.2">
      <c r="D210" s="17">
        <v>44194</v>
      </c>
      <c r="E210" s="1">
        <v>0.5</v>
      </c>
      <c r="F210" s="1">
        <v>10.199999999999999</v>
      </c>
      <c r="G210" s="1">
        <v>13.5</v>
      </c>
    </row>
    <row r="211" spans="4:7" x14ac:dyDescent="0.2">
      <c r="D211" s="17">
        <v>44195</v>
      </c>
      <c r="E211" s="1">
        <v>0.5</v>
      </c>
      <c r="F211" s="1">
        <v>10.199999999999999</v>
      </c>
      <c r="G211" s="1">
        <v>13.5</v>
      </c>
    </row>
    <row r="212" spans="4:7" x14ac:dyDescent="0.2">
      <c r="D212" s="17">
        <v>44196</v>
      </c>
      <c r="E212" s="1">
        <v>0.5</v>
      </c>
      <c r="F212" s="1">
        <v>10.199999999999999</v>
      </c>
      <c r="G212" s="1">
        <v>13.5</v>
      </c>
    </row>
    <row r="213" spans="4:7" x14ac:dyDescent="0.2">
      <c r="D213" s="17">
        <v>44200</v>
      </c>
      <c r="E213" s="1">
        <v>3</v>
      </c>
      <c r="F213" s="1">
        <v>10.25</v>
      </c>
      <c r="G213" s="1">
        <v>13.5</v>
      </c>
    </row>
    <row r="214" spans="4:7" x14ac:dyDescent="0.2">
      <c r="D214" s="17">
        <v>44201</v>
      </c>
      <c r="E214" s="1">
        <v>3</v>
      </c>
      <c r="F214" s="1">
        <v>10.3</v>
      </c>
      <c r="G214" s="1">
        <v>13.5</v>
      </c>
    </row>
    <row r="215" spans="4:7" x14ac:dyDescent="0.2">
      <c r="D215" s="17">
        <v>44202</v>
      </c>
      <c r="E215" s="1">
        <v>3</v>
      </c>
      <c r="F215" s="1">
        <v>10.3</v>
      </c>
      <c r="G215" s="1">
        <v>13.5</v>
      </c>
    </row>
    <row r="216" spans="4:7" x14ac:dyDescent="0.2">
      <c r="D216" s="17">
        <v>44203</v>
      </c>
      <c r="E216" s="1">
        <v>3</v>
      </c>
      <c r="F216" s="1">
        <v>10.199999999999999</v>
      </c>
      <c r="G216" s="1">
        <v>13.5</v>
      </c>
    </row>
    <row r="217" spans="4:7" x14ac:dyDescent="0.2">
      <c r="D217" s="17">
        <v>44204</v>
      </c>
      <c r="E217" s="1">
        <v>3</v>
      </c>
      <c r="F217" s="1">
        <v>10.3</v>
      </c>
      <c r="G217" s="1">
        <v>13</v>
      </c>
    </row>
    <row r="218" spans="4:7" x14ac:dyDescent="0.2">
      <c r="D218" s="17">
        <v>44207</v>
      </c>
      <c r="E218" s="1">
        <v>3</v>
      </c>
      <c r="F218" s="1">
        <v>10.3</v>
      </c>
      <c r="G218" s="1">
        <v>13</v>
      </c>
    </row>
    <row r="219" spans="4:7" x14ac:dyDescent="0.2">
      <c r="D219" s="17">
        <v>44208</v>
      </c>
      <c r="E219" s="1">
        <v>3</v>
      </c>
      <c r="F219" s="1">
        <v>10.3</v>
      </c>
      <c r="G219" s="1">
        <v>13</v>
      </c>
    </row>
    <row r="220" spans="4:7" x14ac:dyDescent="0.2">
      <c r="D220" s="17">
        <v>44209</v>
      </c>
      <c r="E220" s="1">
        <v>3</v>
      </c>
      <c r="F220" s="1">
        <v>10.3</v>
      </c>
      <c r="G220" s="1">
        <v>13</v>
      </c>
    </row>
    <row r="221" spans="4:7" x14ac:dyDescent="0.2">
      <c r="D221" s="17">
        <v>44210</v>
      </c>
      <c r="E221" s="1">
        <v>3</v>
      </c>
      <c r="F221" s="1">
        <v>10.199999999999999</v>
      </c>
      <c r="G221" s="1">
        <v>13</v>
      </c>
    </row>
    <row r="222" spans="4:7" x14ac:dyDescent="0.2">
      <c r="D222" s="17">
        <v>44211</v>
      </c>
      <c r="E222" s="1">
        <v>3</v>
      </c>
      <c r="F222" s="1">
        <v>10.199999999999999</v>
      </c>
      <c r="G222" s="1">
        <v>13</v>
      </c>
    </row>
    <row r="223" spans="4:7" x14ac:dyDescent="0.2">
      <c r="D223" s="17">
        <v>44214</v>
      </c>
      <c r="E223" s="1">
        <v>3</v>
      </c>
      <c r="F223" s="1">
        <v>10.199999999999999</v>
      </c>
      <c r="G223" s="1">
        <v>13</v>
      </c>
    </row>
    <row r="224" spans="4:7" x14ac:dyDescent="0.2">
      <c r="D224" s="17">
        <v>44215</v>
      </c>
      <c r="E224" s="1">
        <v>3</v>
      </c>
      <c r="F224" s="1">
        <v>10.199999999999999</v>
      </c>
      <c r="G224" s="1">
        <v>13</v>
      </c>
    </row>
    <row r="225" spans="4:7" x14ac:dyDescent="0.2">
      <c r="D225" s="17">
        <v>44216</v>
      </c>
      <c r="E225" s="1">
        <v>3</v>
      </c>
      <c r="F225" s="1">
        <v>10.199999999999999</v>
      </c>
      <c r="G225" s="1">
        <v>13</v>
      </c>
    </row>
    <row r="226" spans="4:7" x14ac:dyDescent="0.2">
      <c r="D226" s="17">
        <v>44217</v>
      </c>
      <c r="E226" s="1">
        <v>3</v>
      </c>
      <c r="F226" s="1">
        <v>10.199999999999999</v>
      </c>
      <c r="G226" s="1">
        <v>13</v>
      </c>
    </row>
    <row r="227" spans="4:7" x14ac:dyDescent="0.2">
      <c r="D227" s="17">
        <v>44218</v>
      </c>
      <c r="E227" s="1">
        <v>3</v>
      </c>
      <c r="F227" s="1">
        <v>10.199999999999999</v>
      </c>
      <c r="G227" s="1">
        <v>13</v>
      </c>
    </row>
    <row r="228" spans="4:7" x14ac:dyDescent="0.2">
      <c r="D228" s="17">
        <v>44221</v>
      </c>
      <c r="E228" s="1">
        <v>3</v>
      </c>
      <c r="F228" s="1">
        <v>10.25</v>
      </c>
      <c r="G228" s="1">
        <v>13</v>
      </c>
    </row>
    <row r="229" spans="4:7" x14ac:dyDescent="0.2">
      <c r="D229" s="17">
        <v>44222</v>
      </c>
      <c r="E229" s="1">
        <v>3</v>
      </c>
      <c r="F229" s="1">
        <v>10.4</v>
      </c>
      <c r="G229" s="1">
        <v>13</v>
      </c>
    </row>
    <row r="230" spans="4:7" x14ac:dyDescent="0.2">
      <c r="D230" s="17">
        <v>44223</v>
      </c>
      <c r="E230" s="1">
        <v>3</v>
      </c>
      <c r="F230" s="1">
        <v>10.4</v>
      </c>
      <c r="G230" s="1">
        <v>13</v>
      </c>
    </row>
    <row r="231" spans="4:7" x14ac:dyDescent="0.2">
      <c r="D231" s="17">
        <v>44224</v>
      </c>
      <c r="E231" s="1">
        <v>3</v>
      </c>
      <c r="F231" s="1">
        <v>10.4</v>
      </c>
      <c r="G231" s="1">
        <v>13</v>
      </c>
    </row>
    <row r="232" spans="4:7" x14ac:dyDescent="0.2">
      <c r="D232" s="17">
        <v>44225</v>
      </c>
      <c r="E232" s="1">
        <v>3</v>
      </c>
      <c r="F232" s="1">
        <v>10.25</v>
      </c>
      <c r="G232" s="1">
        <v>13</v>
      </c>
    </row>
    <row r="233" spans="4:7" x14ac:dyDescent="0.2">
      <c r="D233" s="17">
        <v>44228</v>
      </c>
      <c r="E233" s="1">
        <v>3</v>
      </c>
      <c r="F233" s="1">
        <v>10.25</v>
      </c>
      <c r="G233" s="1">
        <v>13</v>
      </c>
    </row>
    <row r="234" spans="4:7" x14ac:dyDescent="0.2">
      <c r="D234" s="17">
        <v>44229</v>
      </c>
      <c r="E234" s="1">
        <v>3</v>
      </c>
      <c r="F234" s="1">
        <v>10.25</v>
      </c>
      <c r="G234" s="1">
        <v>13</v>
      </c>
    </row>
    <row r="235" spans="4:7" x14ac:dyDescent="0.2">
      <c r="D235" s="17">
        <v>44230</v>
      </c>
      <c r="E235" s="1">
        <v>3</v>
      </c>
      <c r="F235" s="1">
        <v>10.199999999999999</v>
      </c>
      <c r="G235" s="1">
        <v>13</v>
      </c>
    </row>
    <row r="236" spans="4:7" x14ac:dyDescent="0.2">
      <c r="D236" s="17">
        <v>44231</v>
      </c>
      <c r="E236" s="1">
        <v>3</v>
      </c>
      <c r="F236" s="1">
        <v>10.199999999999999</v>
      </c>
      <c r="G236" s="1">
        <v>13</v>
      </c>
    </row>
    <row r="237" spans="4:7" x14ac:dyDescent="0.2">
      <c r="D237" s="17">
        <v>44232</v>
      </c>
      <c r="E237" s="1">
        <v>3</v>
      </c>
      <c r="F237" s="1">
        <v>10.199999999999999</v>
      </c>
      <c r="G237" s="1">
        <v>12.4</v>
      </c>
    </row>
    <row r="238" spans="4:7" x14ac:dyDescent="0.2">
      <c r="D238" s="17">
        <v>44235</v>
      </c>
      <c r="E238" s="1">
        <v>3</v>
      </c>
      <c r="F238" s="1">
        <v>10.199999999999999</v>
      </c>
      <c r="G238" s="1">
        <v>12.4</v>
      </c>
    </row>
    <row r="239" spans="4:7" x14ac:dyDescent="0.2">
      <c r="D239" s="17">
        <v>44236</v>
      </c>
      <c r="E239" s="1">
        <v>3</v>
      </c>
      <c r="F239" s="1">
        <v>10.199999999999999</v>
      </c>
      <c r="G239" s="1">
        <v>12.4</v>
      </c>
    </row>
    <row r="240" spans="4:7" x14ac:dyDescent="0.2">
      <c r="D240" s="17">
        <v>44237</v>
      </c>
      <c r="E240" s="1">
        <v>3</v>
      </c>
      <c r="F240" s="1">
        <v>10.19</v>
      </c>
      <c r="G240" s="1">
        <v>12.4</v>
      </c>
    </row>
    <row r="241" spans="4:7" x14ac:dyDescent="0.2">
      <c r="D241" s="17">
        <v>44238</v>
      </c>
      <c r="E241" s="1">
        <v>3</v>
      </c>
      <c r="F241" s="1">
        <v>10.18</v>
      </c>
      <c r="G241" s="1">
        <v>12.4</v>
      </c>
    </row>
    <row r="242" spans="4:7" x14ac:dyDescent="0.2">
      <c r="D242" s="17">
        <v>44239</v>
      </c>
      <c r="E242" s="1">
        <v>3</v>
      </c>
      <c r="F242" s="1">
        <v>10.16</v>
      </c>
      <c r="G242" s="1">
        <v>12.1</v>
      </c>
    </row>
    <row r="243" spans="4:7" x14ac:dyDescent="0.2">
      <c r="D243" s="17">
        <v>44244</v>
      </c>
      <c r="E243" s="1">
        <v>3</v>
      </c>
      <c r="F243" s="1">
        <v>10.19</v>
      </c>
      <c r="G243" s="1">
        <v>12.1</v>
      </c>
    </row>
    <row r="244" spans="4:7" x14ac:dyDescent="0.2">
      <c r="D244" s="17">
        <v>44245</v>
      </c>
      <c r="E244" s="1">
        <v>3</v>
      </c>
      <c r="F244" s="1">
        <v>10.18</v>
      </c>
      <c r="G244" s="1">
        <v>12.1</v>
      </c>
    </row>
    <row r="245" spans="4:7" x14ac:dyDescent="0.2">
      <c r="D245" s="17">
        <v>44246</v>
      </c>
      <c r="E245" s="1">
        <v>3</v>
      </c>
      <c r="F245" s="1">
        <v>10</v>
      </c>
      <c r="G245" s="1">
        <v>12.6</v>
      </c>
    </row>
    <row r="246" spans="4:7" x14ac:dyDescent="0.2">
      <c r="D246" s="17">
        <v>44249</v>
      </c>
      <c r="E246" s="1">
        <v>3</v>
      </c>
      <c r="F246" s="1">
        <v>10</v>
      </c>
      <c r="G246" s="1">
        <v>12.6</v>
      </c>
    </row>
    <row r="247" spans="4:7" x14ac:dyDescent="0.2">
      <c r="D247" s="17">
        <v>44250</v>
      </c>
      <c r="E247" s="1">
        <v>3</v>
      </c>
      <c r="F247" s="1">
        <v>10</v>
      </c>
      <c r="G247" s="1">
        <v>12.6</v>
      </c>
    </row>
    <row r="248" spans="4:7" x14ac:dyDescent="0.2">
      <c r="D248" s="17">
        <v>44251</v>
      </c>
      <c r="E248" s="1">
        <v>3</v>
      </c>
      <c r="F248" s="1">
        <v>10</v>
      </c>
      <c r="G248" s="1">
        <v>12.6</v>
      </c>
    </row>
    <row r="249" spans="4:7" x14ac:dyDescent="0.2">
      <c r="D249" s="17">
        <v>44252</v>
      </c>
      <c r="E249" s="1">
        <v>3</v>
      </c>
      <c r="F249" s="1">
        <v>9.9499999999999993</v>
      </c>
      <c r="G249" s="1">
        <v>12.6</v>
      </c>
    </row>
    <row r="250" spans="4:7" x14ac:dyDescent="0.2">
      <c r="D250" s="17">
        <v>44253</v>
      </c>
      <c r="E250" s="1">
        <v>3</v>
      </c>
      <c r="F250" s="1">
        <v>9.9</v>
      </c>
      <c r="G250" s="1">
        <v>12.6</v>
      </c>
    </row>
    <row r="251" spans="4:7" x14ac:dyDescent="0.2">
      <c r="D251" s="17">
        <v>44256</v>
      </c>
      <c r="E251" s="1">
        <v>3</v>
      </c>
      <c r="F251" s="1">
        <v>9.98</v>
      </c>
      <c r="G251" s="1">
        <v>12.6</v>
      </c>
    </row>
    <row r="252" spans="4:7" x14ac:dyDescent="0.2">
      <c r="D252" s="17">
        <v>44257</v>
      </c>
      <c r="E252" s="1">
        <v>3</v>
      </c>
      <c r="F252" s="1">
        <v>9.99</v>
      </c>
      <c r="G252" s="1">
        <v>12.6</v>
      </c>
    </row>
    <row r="253" spans="4:7" x14ac:dyDescent="0.2">
      <c r="D253" s="17">
        <v>44258</v>
      </c>
      <c r="E253" s="1">
        <v>3</v>
      </c>
      <c r="F253" s="1">
        <v>10</v>
      </c>
      <c r="G253" s="1">
        <v>12.6</v>
      </c>
    </row>
    <row r="254" spans="4:7" x14ac:dyDescent="0.2">
      <c r="D254" s="17">
        <v>44259</v>
      </c>
      <c r="E254" s="1">
        <v>3</v>
      </c>
      <c r="F254" s="1">
        <v>10</v>
      </c>
      <c r="G254" s="1">
        <v>12.6</v>
      </c>
    </row>
    <row r="255" spans="4:7" x14ac:dyDescent="0.2">
      <c r="D255" s="17">
        <v>44260</v>
      </c>
      <c r="E255" s="1">
        <v>3</v>
      </c>
      <c r="F255" s="1">
        <v>9.99</v>
      </c>
      <c r="G255" s="1">
        <v>12.1</v>
      </c>
    </row>
    <row r="256" spans="4:7" x14ac:dyDescent="0.2">
      <c r="D256" s="17">
        <v>44263</v>
      </c>
      <c r="E256" s="1">
        <v>3</v>
      </c>
      <c r="F256" s="1">
        <v>10</v>
      </c>
      <c r="G256" s="1">
        <v>12.1</v>
      </c>
    </row>
    <row r="257" spans="4:7" x14ac:dyDescent="0.2">
      <c r="D257" s="17">
        <v>44264</v>
      </c>
      <c r="E257" s="1">
        <v>3</v>
      </c>
      <c r="F257" s="1">
        <v>10</v>
      </c>
      <c r="G257" s="1">
        <v>12.1</v>
      </c>
    </row>
    <row r="258" spans="4:7" x14ac:dyDescent="0.2">
      <c r="D258" s="17">
        <v>44265</v>
      </c>
      <c r="E258" s="1">
        <v>3</v>
      </c>
      <c r="F258" s="1">
        <v>10</v>
      </c>
      <c r="G258" s="1">
        <v>12.1</v>
      </c>
    </row>
    <row r="259" spans="4:7" x14ac:dyDescent="0.2">
      <c r="D259" s="17">
        <v>44266</v>
      </c>
      <c r="E259" s="1">
        <v>3</v>
      </c>
      <c r="F259" s="1">
        <v>10</v>
      </c>
      <c r="G259" s="1">
        <v>12.1</v>
      </c>
    </row>
    <row r="260" spans="4:7" x14ac:dyDescent="0.2">
      <c r="D260" s="17">
        <v>44267</v>
      </c>
      <c r="E260" s="1">
        <v>3</v>
      </c>
      <c r="F260" s="1">
        <v>9.99</v>
      </c>
      <c r="G260" s="1">
        <v>12.1</v>
      </c>
    </row>
    <row r="261" spans="4:7" x14ac:dyDescent="0.2">
      <c r="D261" s="17">
        <v>44270</v>
      </c>
      <c r="E261" s="1">
        <v>3</v>
      </c>
      <c r="F261" s="1">
        <v>10</v>
      </c>
      <c r="G261" s="1">
        <v>12.1</v>
      </c>
    </row>
    <row r="262" spans="4:7" x14ac:dyDescent="0.2">
      <c r="D262" s="17">
        <v>44271</v>
      </c>
      <c r="E262" s="1">
        <v>3</v>
      </c>
      <c r="F262" s="1">
        <v>9.99</v>
      </c>
      <c r="G262" s="1">
        <v>12.1</v>
      </c>
    </row>
    <row r="263" spans="4:7" x14ac:dyDescent="0.2">
      <c r="D263" s="17">
        <v>44272</v>
      </c>
      <c r="E263" s="1">
        <v>3</v>
      </c>
      <c r="F263" s="1">
        <v>9.99</v>
      </c>
      <c r="G263" s="1">
        <v>12.1</v>
      </c>
    </row>
    <row r="264" spans="4:7" x14ac:dyDescent="0.2">
      <c r="D264" s="17">
        <v>44273</v>
      </c>
      <c r="E264" s="1">
        <v>3</v>
      </c>
      <c r="F264" s="1">
        <v>9.99</v>
      </c>
      <c r="G264" s="1">
        <v>12.1</v>
      </c>
    </row>
    <row r="265" spans="4:7" x14ac:dyDescent="0.2">
      <c r="D265" s="17">
        <v>44274</v>
      </c>
      <c r="E265" s="1">
        <v>3</v>
      </c>
      <c r="F265" s="1">
        <v>9.98</v>
      </c>
      <c r="G265" s="1">
        <v>12.1</v>
      </c>
    </row>
    <row r="266" spans="4:7" x14ac:dyDescent="0.2">
      <c r="D266" s="17">
        <v>44277</v>
      </c>
      <c r="E266" s="1">
        <v>3</v>
      </c>
      <c r="F266" s="1">
        <v>9.98</v>
      </c>
      <c r="G266" s="1">
        <v>12.1</v>
      </c>
    </row>
    <row r="267" spans="4:7" x14ac:dyDescent="0.2">
      <c r="D267" s="17">
        <v>44278</v>
      </c>
      <c r="E267" s="1">
        <v>3</v>
      </c>
      <c r="F267" s="1">
        <v>9.6</v>
      </c>
      <c r="G267" s="1">
        <v>12.1</v>
      </c>
    </row>
    <row r="268" spans="4:7" x14ac:dyDescent="0.2">
      <c r="D268" s="17">
        <v>44279</v>
      </c>
      <c r="E268" s="1">
        <v>3</v>
      </c>
      <c r="F268" s="1">
        <v>9.6</v>
      </c>
      <c r="G268" s="1">
        <v>12.1</v>
      </c>
    </row>
    <row r="269" spans="4:7" x14ac:dyDescent="0.2">
      <c r="D269" s="17">
        <v>44280</v>
      </c>
      <c r="E269" s="1">
        <v>3</v>
      </c>
      <c r="F269" s="1">
        <v>9.59</v>
      </c>
      <c r="G269" s="1">
        <v>12.1</v>
      </c>
    </row>
    <row r="270" spans="4:7" x14ac:dyDescent="0.2">
      <c r="D270" s="17">
        <v>44281</v>
      </c>
      <c r="E270" s="1">
        <v>3</v>
      </c>
      <c r="F270" s="1">
        <v>9.5</v>
      </c>
      <c r="G270" s="1">
        <v>12.1</v>
      </c>
    </row>
    <row r="271" spans="4:7" x14ac:dyDescent="0.2">
      <c r="D271" s="17">
        <v>44284</v>
      </c>
      <c r="E271" s="1">
        <v>3</v>
      </c>
      <c r="F271" s="1">
        <v>9.5399999999999991</v>
      </c>
      <c r="G271" s="1">
        <v>12.1</v>
      </c>
    </row>
    <row r="272" spans="4:7" x14ac:dyDescent="0.2">
      <c r="D272" s="17">
        <v>44285</v>
      </c>
      <c r="E272" s="1">
        <v>3</v>
      </c>
      <c r="F272" s="1">
        <v>9.5399999999999991</v>
      </c>
      <c r="G272" s="1">
        <v>12.1</v>
      </c>
    </row>
    <row r="273" spans="4:7" x14ac:dyDescent="0.2">
      <c r="D273" s="17">
        <v>44286</v>
      </c>
      <c r="E273" s="1">
        <v>3</v>
      </c>
      <c r="F273" s="1">
        <v>9.5422999999999991</v>
      </c>
      <c r="G273" s="1">
        <v>12.1</v>
      </c>
    </row>
    <row r="274" spans="4:7" x14ac:dyDescent="0.2">
      <c r="D274" s="17">
        <v>44287</v>
      </c>
      <c r="E274" s="1">
        <v>3</v>
      </c>
      <c r="F274" s="1">
        <v>9.5</v>
      </c>
      <c r="G274" s="1">
        <v>12.1</v>
      </c>
    </row>
    <row r="275" spans="4:7" x14ac:dyDescent="0.2">
      <c r="D275" s="17">
        <v>44291</v>
      </c>
      <c r="E275" s="1">
        <v>3</v>
      </c>
      <c r="F275" s="1">
        <v>9.5422999999999991</v>
      </c>
      <c r="G275" s="1">
        <v>12.1</v>
      </c>
    </row>
    <row r="276" spans="4:7" x14ac:dyDescent="0.2">
      <c r="D276" s="17">
        <v>44292</v>
      </c>
      <c r="E276" s="1">
        <v>3</v>
      </c>
      <c r="F276" s="1">
        <v>9.5</v>
      </c>
      <c r="G276" s="1">
        <v>12.1</v>
      </c>
    </row>
    <row r="277" spans="4:7" x14ac:dyDescent="0.2">
      <c r="D277" s="17">
        <v>44293</v>
      </c>
      <c r="E277" s="1">
        <v>3</v>
      </c>
      <c r="F277" s="1">
        <v>9.5</v>
      </c>
      <c r="G277" s="1">
        <v>12.1</v>
      </c>
    </row>
    <row r="278" spans="4:7" x14ac:dyDescent="0.2">
      <c r="D278" s="17">
        <v>44294</v>
      </c>
      <c r="E278" s="1">
        <v>3</v>
      </c>
      <c r="F278" s="1">
        <v>9.5</v>
      </c>
      <c r="G278" s="1">
        <v>12.1</v>
      </c>
    </row>
    <row r="279" spans="4:7" x14ac:dyDescent="0.2">
      <c r="D279" s="17">
        <v>44295</v>
      </c>
      <c r="E279" s="1">
        <v>3</v>
      </c>
      <c r="F279" s="1">
        <v>9.5</v>
      </c>
      <c r="G279" s="1">
        <v>12</v>
      </c>
    </row>
    <row r="280" spans="4:7" x14ac:dyDescent="0.2">
      <c r="D280" s="17">
        <v>44298</v>
      </c>
      <c r="E280" s="1">
        <v>3</v>
      </c>
      <c r="F280" s="1">
        <v>9.5</v>
      </c>
      <c r="G280" s="1">
        <v>12</v>
      </c>
    </row>
    <row r="281" spans="4:7" x14ac:dyDescent="0.2">
      <c r="D281" s="17">
        <v>44299</v>
      </c>
      <c r="E281" s="1">
        <v>3</v>
      </c>
      <c r="F281" s="1">
        <v>9.49</v>
      </c>
      <c r="G281" s="1">
        <v>12</v>
      </c>
    </row>
    <row r="282" spans="4:7" x14ac:dyDescent="0.2">
      <c r="D282" s="17">
        <v>44300</v>
      </c>
      <c r="E282" s="1">
        <v>3</v>
      </c>
      <c r="F282" s="1">
        <v>9.48</v>
      </c>
      <c r="G282" s="1">
        <v>12</v>
      </c>
    </row>
    <row r="283" spans="4:7" x14ac:dyDescent="0.2">
      <c r="D283" s="17">
        <v>44301</v>
      </c>
      <c r="E283" s="1">
        <v>3</v>
      </c>
      <c r="F283" s="1">
        <v>9.33</v>
      </c>
      <c r="G283" s="1">
        <v>12</v>
      </c>
    </row>
    <row r="284" spans="4:7" x14ac:dyDescent="0.2">
      <c r="D284" s="17">
        <v>44302</v>
      </c>
      <c r="E284" s="1">
        <v>3</v>
      </c>
      <c r="F284" s="1">
        <v>9.33</v>
      </c>
      <c r="G284" s="1">
        <v>12</v>
      </c>
    </row>
    <row r="285" spans="4:7" x14ac:dyDescent="0.2">
      <c r="D285" s="17">
        <v>44305</v>
      </c>
      <c r="E285" s="1">
        <v>3</v>
      </c>
      <c r="F285" s="1">
        <v>9.2899999999999991</v>
      </c>
      <c r="G285" s="1">
        <v>12</v>
      </c>
    </row>
    <row r="286" spans="4:7" x14ac:dyDescent="0.2">
      <c r="D286" s="17">
        <v>44306</v>
      </c>
      <c r="E286" s="1">
        <v>3</v>
      </c>
      <c r="F286" s="1">
        <v>9.14</v>
      </c>
      <c r="G286" s="1">
        <v>12</v>
      </c>
    </row>
    <row r="287" spans="4:7" x14ac:dyDescent="0.2">
      <c r="D287" s="17">
        <v>44308</v>
      </c>
      <c r="E287" s="1">
        <v>3</v>
      </c>
      <c r="F287" s="1">
        <v>9.14</v>
      </c>
      <c r="G287" s="1">
        <v>12</v>
      </c>
    </row>
    <row r="288" spans="4:7" x14ac:dyDescent="0.2">
      <c r="D288" s="17">
        <v>44309</v>
      </c>
      <c r="E288" s="1">
        <v>3</v>
      </c>
      <c r="F288" s="1">
        <v>9.2449999999999992</v>
      </c>
      <c r="G288" s="1">
        <v>12</v>
      </c>
    </row>
    <row r="289" spans="4:7" x14ac:dyDescent="0.2">
      <c r="D289" s="17">
        <v>44312</v>
      </c>
      <c r="E289" s="1">
        <v>3</v>
      </c>
      <c r="F289" s="1">
        <v>9.3550000000000004</v>
      </c>
      <c r="G289" s="1">
        <v>12</v>
      </c>
    </row>
    <row r="290" spans="4:7" x14ac:dyDescent="0.2">
      <c r="D290" s="17">
        <v>44313</v>
      </c>
      <c r="E290" s="1">
        <v>-1.3</v>
      </c>
      <c r="F290" s="1">
        <v>9.31</v>
      </c>
      <c r="G290" s="1">
        <v>12</v>
      </c>
    </row>
    <row r="291" spans="4:7" x14ac:dyDescent="0.2">
      <c r="D291" s="17">
        <v>44314</v>
      </c>
      <c r="E291" s="1">
        <v>-1.3</v>
      </c>
      <c r="F291" s="1">
        <v>9.4</v>
      </c>
      <c r="G291" s="1">
        <v>12</v>
      </c>
    </row>
    <row r="292" spans="4:7" x14ac:dyDescent="0.2">
      <c r="D292" s="17">
        <v>44315</v>
      </c>
      <c r="E292" s="1">
        <v>-1.3</v>
      </c>
      <c r="F292" s="1">
        <v>9.3550000000000004</v>
      </c>
      <c r="G292" s="1">
        <v>12</v>
      </c>
    </row>
    <row r="293" spans="4:7" x14ac:dyDescent="0.2">
      <c r="D293" s="17">
        <v>44316</v>
      </c>
      <c r="E293" s="1">
        <v>-1.3</v>
      </c>
      <c r="F293" s="1">
        <v>9.4</v>
      </c>
      <c r="G293" s="1">
        <v>12</v>
      </c>
    </row>
    <row r="294" spans="4:7" x14ac:dyDescent="0.2">
      <c r="D294" s="17">
        <v>44319</v>
      </c>
      <c r="E294" s="1">
        <v>-1.3</v>
      </c>
      <c r="F294" s="1">
        <v>9.4</v>
      </c>
      <c r="G294" s="1">
        <v>12</v>
      </c>
    </row>
    <row r="295" spans="4:7" x14ac:dyDescent="0.2">
      <c r="D295" s="17">
        <v>44320</v>
      </c>
      <c r="E295" s="1">
        <v>-1.3</v>
      </c>
      <c r="F295" s="1">
        <v>9.4</v>
      </c>
      <c r="G295" s="1">
        <v>12</v>
      </c>
    </row>
    <row r="296" spans="4:7" x14ac:dyDescent="0.2">
      <c r="D296" s="17">
        <v>44321</v>
      </c>
      <c r="E296" s="1">
        <v>-1.3</v>
      </c>
      <c r="F296" s="1">
        <v>9.48</v>
      </c>
      <c r="G296" s="1">
        <v>12</v>
      </c>
    </row>
    <row r="297" spans="4:7" x14ac:dyDescent="0.2">
      <c r="D297" s="17">
        <v>44322</v>
      </c>
      <c r="E297" s="1">
        <v>-1.3</v>
      </c>
      <c r="F297" s="1">
        <v>9.49</v>
      </c>
      <c r="G297" s="1">
        <v>12</v>
      </c>
    </row>
    <row r="298" spans="4:7" x14ac:dyDescent="0.2">
      <c r="D298" s="17">
        <v>44323</v>
      </c>
      <c r="E298" s="1">
        <v>-1.3</v>
      </c>
      <c r="F298" s="1">
        <v>9.4</v>
      </c>
      <c r="G298" s="1">
        <v>12</v>
      </c>
    </row>
    <row r="299" spans="4:7" x14ac:dyDescent="0.2">
      <c r="D299" s="17">
        <v>44326</v>
      </c>
      <c r="E299" s="1">
        <v>-1.3</v>
      </c>
      <c r="F299" s="1">
        <v>9.4</v>
      </c>
      <c r="G299" s="1">
        <v>12</v>
      </c>
    </row>
    <row r="300" spans="4:7" x14ac:dyDescent="0.2">
      <c r="D300" s="17">
        <v>44327</v>
      </c>
      <c r="E300" s="1">
        <v>-1.3</v>
      </c>
      <c r="F300" s="1">
        <v>9.4</v>
      </c>
      <c r="G300" s="1">
        <v>12</v>
      </c>
    </row>
    <row r="301" spans="4:7" x14ac:dyDescent="0.2">
      <c r="D301" s="17">
        <v>44328</v>
      </c>
      <c r="E301" s="1">
        <v>-1.3</v>
      </c>
      <c r="F301" s="1">
        <v>9.4</v>
      </c>
      <c r="G301" s="1">
        <v>12</v>
      </c>
    </row>
    <row r="302" spans="4:7" x14ac:dyDescent="0.2">
      <c r="D302" s="17">
        <v>44329</v>
      </c>
      <c r="E302" s="1">
        <v>-1.3</v>
      </c>
      <c r="F302" s="1">
        <v>9.4</v>
      </c>
      <c r="G302" s="1">
        <v>12</v>
      </c>
    </row>
    <row r="303" spans="4:7" x14ac:dyDescent="0.2">
      <c r="D303" s="17">
        <v>44330</v>
      </c>
      <c r="E303" s="1">
        <v>3</v>
      </c>
      <c r="F303" s="1">
        <v>9.8000000000000007</v>
      </c>
      <c r="G303" s="1">
        <v>12.1</v>
      </c>
    </row>
    <row r="304" spans="4:7" x14ac:dyDescent="0.2">
      <c r="D304" s="17">
        <v>44333</v>
      </c>
      <c r="E304" s="1">
        <v>3</v>
      </c>
      <c r="F304" s="1">
        <v>9.8000000000000007</v>
      </c>
      <c r="G304" s="1">
        <v>12.1</v>
      </c>
    </row>
    <row r="305" spans="4:7" x14ac:dyDescent="0.2">
      <c r="D305" s="17">
        <v>44334</v>
      </c>
      <c r="E305" s="1">
        <v>3</v>
      </c>
      <c r="F305" s="1">
        <v>9.8000000000000007</v>
      </c>
      <c r="G305" s="1">
        <v>12.1</v>
      </c>
    </row>
    <row r="306" spans="4:7" x14ac:dyDescent="0.2">
      <c r="D306" s="17">
        <v>44335</v>
      </c>
      <c r="E306" s="1">
        <v>3</v>
      </c>
      <c r="F306" s="1">
        <v>9.8971</v>
      </c>
      <c r="G306" s="1">
        <v>12.1</v>
      </c>
    </row>
    <row r="307" spans="4:7" x14ac:dyDescent="0.2">
      <c r="D307" s="17">
        <v>44336</v>
      </c>
      <c r="E307" s="1">
        <v>3</v>
      </c>
      <c r="F307" s="1">
        <v>9.9970999999999997</v>
      </c>
      <c r="G307" s="1">
        <v>12.1</v>
      </c>
    </row>
    <row r="308" spans="4:7" x14ac:dyDescent="0.2">
      <c r="D308" s="17">
        <v>44337</v>
      </c>
      <c r="E308" s="1">
        <v>3</v>
      </c>
      <c r="F308" s="1">
        <v>10.085000000000001</v>
      </c>
      <c r="G308" s="1">
        <v>12.1</v>
      </c>
    </row>
    <row r="309" spans="4:7" x14ac:dyDescent="0.2">
      <c r="D309" s="17">
        <v>44340</v>
      </c>
      <c r="E309" s="1">
        <v>3</v>
      </c>
      <c r="F309" s="1">
        <v>10.154999999999999</v>
      </c>
      <c r="G309" s="1">
        <v>12.1</v>
      </c>
    </row>
    <row r="310" spans="4:7" x14ac:dyDescent="0.2">
      <c r="D310" s="17">
        <v>44341</v>
      </c>
      <c r="E310" s="1">
        <v>3</v>
      </c>
      <c r="F310" s="1">
        <v>10.199999999999999</v>
      </c>
      <c r="G310" s="1">
        <v>12.1</v>
      </c>
    </row>
    <row r="311" spans="4:7" x14ac:dyDescent="0.2">
      <c r="D311" s="17">
        <v>44342</v>
      </c>
      <c r="E311" s="1">
        <v>3</v>
      </c>
      <c r="F311" s="1">
        <v>10.199999999999999</v>
      </c>
      <c r="G311" s="1">
        <v>12.1</v>
      </c>
    </row>
    <row r="312" spans="4:7" x14ac:dyDescent="0.2">
      <c r="D312" s="17">
        <v>44343</v>
      </c>
      <c r="E312" s="1">
        <v>5.5</v>
      </c>
      <c r="F312" s="1">
        <v>10.199999999999999</v>
      </c>
      <c r="G312" s="1">
        <v>12.1</v>
      </c>
    </row>
    <row r="313" spans="4:7" x14ac:dyDescent="0.2">
      <c r="D313" s="17">
        <v>44344</v>
      </c>
      <c r="E313" s="1">
        <v>5.5</v>
      </c>
      <c r="F313" s="1">
        <v>10.4</v>
      </c>
      <c r="G313" s="1">
        <v>14.4</v>
      </c>
    </row>
    <row r="314" spans="4:7" x14ac:dyDescent="0.2">
      <c r="D314" s="17">
        <v>44347</v>
      </c>
      <c r="E314" s="1">
        <v>5.5</v>
      </c>
      <c r="F314" s="1">
        <v>10.4</v>
      </c>
      <c r="G314" s="1">
        <v>14.4</v>
      </c>
    </row>
    <row r="315" spans="4:7" x14ac:dyDescent="0.2">
      <c r="D315" s="17">
        <v>44348</v>
      </c>
      <c r="E315" s="1">
        <v>5.5</v>
      </c>
      <c r="F315" s="1">
        <v>10.4</v>
      </c>
      <c r="G315" s="1">
        <v>14.4</v>
      </c>
    </row>
    <row r="316" spans="4:7" x14ac:dyDescent="0.2">
      <c r="D316" s="17">
        <v>44349</v>
      </c>
      <c r="E316" s="1">
        <v>5.5</v>
      </c>
      <c r="F316" s="1">
        <v>11</v>
      </c>
      <c r="G316" s="1">
        <v>14.4</v>
      </c>
    </row>
    <row r="317" spans="4:7" x14ac:dyDescent="0.2">
      <c r="D317" s="17">
        <v>44351</v>
      </c>
      <c r="E317" s="1">
        <v>5.5</v>
      </c>
      <c r="F317" s="1">
        <v>11.25</v>
      </c>
      <c r="G317" s="1">
        <v>14.4</v>
      </c>
    </row>
    <row r="318" spans="4:7" x14ac:dyDescent="0.2">
      <c r="D318" s="17">
        <v>44354</v>
      </c>
      <c r="E318" s="1">
        <v>5.5</v>
      </c>
      <c r="F318" s="1">
        <v>11.55</v>
      </c>
      <c r="G318" s="1">
        <v>14.4</v>
      </c>
    </row>
    <row r="319" spans="4:7" x14ac:dyDescent="0.2">
      <c r="D319" s="17">
        <v>44355</v>
      </c>
      <c r="E319" s="1">
        <v>5.5</v>
      </c>
      <c r="F319" s="1">
        <v>11.5</v>
      </c>
      <c r="G319" s="1">
        <v>14.3</v>
      </c>
    </row>
    <row r="320" spans="4:7" x14ac:dyDescent="0.2">
      <c r="D320" s="17">
        <v>44356</v>
      </c>
      <c r="E320" s="1">
        <v>5.5</v>
      </c>
      <c r="F320" s="1">
        <v>11.6</v>
      </c>
      <c r="G320" s="1">
        <v>14.3</v>
      </c>
    </row>
    <row r="321" spans="4:7" x14ac:dyDescent="0.2">
      <c r="D321" s="17">
        <v>44357</v>
      </c>
      <c r="E321" s="1">
        <v>5.5</v>
      </c>
      <c r="F321" s="1">
        <v>11.7</v>
      </c>
      <c r="G321" s="1">
        <v>14.3</v>
      </c>
    </row>
    <row r="322" spans="4:7" x14ac:dyDescent="0.2">
      <c r="D322" s="17">
        <v>44358</v>
      </c>
      <c r="E322" s="1">
        <v>5.5</v>
      </c>
      <c r="F322" s="1">
        <v>12.07</v>
      </c>
      <c r="G322" s="1">
        <v>14.3</v>
      </c>
    </row>
    <row r="323" spans="4:7" x14ac:dyDescent="0.2">
      <c r="D323" s="17">
        <v>44361</v>
      </c>
      <c r="E323" s="1">
        <v>5.5</v>
      </c>
      <c r="F323" s="1">
        <v>12.1</v>
      </c>
      <c r="G323" s="1">
        <v>14.3</v>
      </c>
    </row>
    <row r="324" spans="4:7" x14ac:dyDescent="0.2">
      <c r="D324" s="17">
        <v>44362</v>
      </c>
      <c r="E324" s="1">
        <v>5.5</v>
      </c>
      <c r="F324" s="1">
        <v>12.1</v>
      </c>
      <c r="G324" s="1">
        <v>14.3</v>
      </c>
    </row>
    <row r="325" spans="4:7" x14ac:dyDescent="0.2">
      <c r="D325" s="17">
        <v>44363</v>
      </c>
      <c r="E325" s="1">
        <v>5.5</v>
      </c>
      <c r="F325" s="1">
        <v>12.1</v>
      </c>
      <c r="G325" s="1">
        <v>14.3</v>
      </c>
    </row>
    <row r="326" spans="4:7" x14ac:dyDescent="0.2">
      <c r="D326" s="17">
        <v>44364</v>
      </c>
      <c r="E326" s="1">
        <v>5.6</v>
      </c>
      <c r="F326" s="1">
        <v>12.1</v>
      </c>
      <c r="G326" s="1">
        <v>14.3</v>
      </c>
    </row>
    <row r="327" spans="4:7" x14ac:dyDescent="0.2">
      <c r="D327" s="17">
        <v>44365</v>
      </c>
      <c r="E327" s="1">
        <v>5.6</v>
      </c>
      <c r="F327" s="1">
        <v>12.4</v>
      </c>
      <c r="G327" s="1">
        <v>14.3</v>
      </c>
    </row>
    <row r="328" spans="4:7" x14ac:dyDescent="0.2">
      <c r="D328" s="17">
        <v>44368</v>
      </c>
      <c r="E328" s="1">
        <v>5.6</v>
      </c>
      <c r="F328" s="1">
        <v>12.4</v>
      </c>
      <c r="G328" s="1">
        <v>14.3</v>
      </c>
    </row>
    <row r="329" spans="4:7" x14ac:dyDescent="0.2">
      <c r="D329" s="17">
        <v>44369</v>
      </c>
      <c r="E329" s="1">
        <v>5.6</v>
      </c>
      <c r="F329" s="1">
        <v>12.48</v>
      </c>
      <c r="G329" s="1">
        <v>14.3</v>
      </c>
    </row>
    <row r="330" spans="4:7" x14ac:dyDescent="0.2">
      <c r="D330" s="17">
        <v>44370</v>
      </c>
      <c r="E330" s="1">
        <v>5.6</v>
      </c>
      <c r="F330" s="1">
        <v>12.5</v>
      </c>
      <c r="G330" s="1">
        <v>14.3</v>
      </c>
    </row>
    <row r="331" spans="4:7" x14ac:dyDescent="0.2">
      <c r="D331" s="17">
        <v>44371</v>
      </c>
      <c r="E331" s="1">
        <v>5.6</v>
      </c>
      <c r="F331" s="1">
        <v>12.5</v>
      </c>
      <c r="G331" s="1">
        <v>14.3</v>
      </c>
    </row>
    <row r="332" spans="4:7" x14ac:dyDescent="0.2">
      <c r="D332" s="17">
        <v>44372</v>
      </c>
      <c r="E332" s="1">
        <v>5.6</v>
      </c>
      <c r="F332" s="1">
        <v>12.5</v>
      </c>
      <c r="G332" s="1">
        <v>14</v>
      </c>
    </row>
    <row r="333" spans="4:7" x14ac:dyDescent="0.2">
      <c r="D333" s="17">
        <v>44375</v>
      </c>
      <c r="E333" s="1">
        <v>5.6</v>
      </c>
      <c r="F333" s="1">
        <v>12.55</v>
      </c>
      <c r="G333" s="1">
        <v>14</v>
      </c>
    </row>
    <row r="334" spans="4:7" x14ac:dyDescent="0.2">
      <c r="D334" s="17">
        <v>44376</v>
      </c>
      <c r="E334" s="1">
        <v>5.6</v>
      </c>
      <c r="F334" s="1">
        <v>12.55</v>
      </c>
      <c r="G334" s="1">
        <v>14</v>
      </c>
    </row>
    <row r="335" spans="4:7" x14ac:dyDescent="0.2">
      <c r="D335" s="17">
        <v>44377</v>
      </c>
      <c r="E335" s="1">
        <v>5.6</v>
      </c>
      <c r="F335" s="1">
        <v>12.55</v>
      </c>
      <c r="G335" s="1">
        <v>14</v>
      </c>
    </row>
    <row r="336" spans="4:7" x14ac:dyDescent="0.2">
      <c r="D336" s="17">
        <v>44378</v>
      </c>
      <c r="E336" s="1">
        <v>5.6</v>
      </c>
      <c r="F336" s="1">
        <v>12.6</v>
      </c>
      <c r="G336" s="1">
        <v>14</v>
      </c>
    </row>
    <row r="337" spans="4:7" x14ac:dyDescent="0.2">
      <c r="D337" s="17">
        <v>44379</v>
      </c>
      <c r="E337" s="1">
        <v>5.6</v>
      </c>
      <c r="F337" s="1">
        <v>12.55</v>
      </c>
      <c r="G337" s="1">
        <v>14</v>
      </c>
    </row>
    <row r="338" spans="4:7" x14ac:dyDescent="0.2">
      <c r="D338" s="17">
        <v>44382</v>
      </c>
      <c r="E338" s="1">
        <v>5.6</v>
      </c>
      <c r="F338" s="1">
        <v>12.6</v>
      </c>
      <c r="G338" s="1">
        <v>14</v>
      </c>
    </row>
    <row r="339" spans="4:7" x14ac:dyDescent="0.2">
      <c r="D339" s="17">
        <v>44383</v>
      </c>
      <c r="E339" s="1">
        <v>5.6</v>
      </c>
      <c r="F339" s="1">
        <v>12.6</v>
      </c>
      <c r="G339" s="1">
        <v>14</v>
      </c>
    </row>
    <row r="340" spans="4:7" x14ac:dyDescent="0.2">
      <c r="D340" s="17">
        <v>44384</v>
      </c>
      <c r="E340" s="1">
        <v>5.6</v>
      </c>
      <c r="F340" s="1">
        <v>12.6</v>
      </c>
      <c r="G340" s="1">
        <v>14</v>
      </c>
    </row>
    <row r="341" spans="4:7" x14ac:dyDescent="0.2">
      <c r="D341" s="17">
        <v>44385</v>
      </c>
      <c r="E341" s="1">
        <v>5.6</v>
      </c>
      <c r="F341" s="1">
        <v>12.615</v>
      </c>
      <c r="G341" s="1">
        <v>14</v>
      </c>
    </row>
    <row r="342" spans="4:7" x14ac:dyDescent="0.2">
      <c r="D342" s="17">
        <v>44386</v>
      </c>
      <c r="E342" s="1">
        <v>5.6</v>
      </c>
      <c r="F342" s="1">
        <v>12.615</v>
      </c>
      <c r="G342" s="1">
        <v>14</v>
      </c>
    </row>
    <row r="343" spans="4:7" x14ac:dyDescent="0.2">
      <c r="D343" s="17">
        <v>44389</v>
      </c>
      <c r="E343" s="1">
        <v>5.6</v>
      </c>
      <c r="F343" s="1">
        <v>12.7</v>
      </c>
      <c r="G343" s="1">
        <v>14</v>
      </c>
    </row>
    <row r="344" spans="4:7" x14ac:dyDescent="0.2">
      <c r="D344" s="17">
        <v>44390</v>
      </c>
      <c r="E344" s="1">
        <v>5.6</v>
      </c>
      <c r="F344" s="1">
        <v>12.7</v>
      </c>
      <c r="G344" s="1">
        <v>14</v>
      </c>
    </row>
    <row r="345" spans="4:7" x14ac:dyDescent="0.2">
      <c r="D345" s="17">
        <v>44391</v>
      </c>
      <c r="E345" s="1">
        <v>5.6</v>
      </c>
      <c r="F345" s="1">
        <v>12.7</v>
      </c>
      <c r="G345" s="1">
        <v>14</v>
      </c>
    </row>
    <row r="346" spans="4:7" x14ac:dyDescent="0.2">
      <c r="D346" s="17">
        <v>44392</v>
      </c>
      <c r="E346" s="1">
        <v>5.6</v>
      </c>
      <c r="F346" s="1">
        <v>12.75</v>
      </c>
      <c r="G346" s="1">
        <v>14</v>
      </c>
    </row>
    <row r="347" spans="4:7" x14ac:dyDescent="0.2">
      <c r="D347" s="17">
        <v>44393</v>
      </c>
      <c r="E347" s="1">
        <v>5.6</v>
      </c>
      <c r="F347" s="1">
        <v>12.8</v>
      </c>
      <c r="G347" s="1">
        <v>14</v>
      </c>
    </row>
    <row r="348" spans="4:7" x14ac:dyDescent="0.2">
      <c r="D348" s="17">
        <v>44396</v>
      </c>
      <c r="E348" s="1">
        <v>9.6199999999999992</v>
      </c>
      <c r="F348" s="1">
        <v>12.8</v>
      </c>
      <c r="G348" s="1">
        <v>14</v>
      </c>
    </row>
    <row r="349" spans="4:7" x14ac:dyDescent="0.2">
      <c r="D349" s="17">
        <v>44397</v>
      </c>
      <c r="E349" s="1">
        <v>9.6199999999999992</v>
      </c>
      <c r="F349" s="1">
        <v>12.8</v>
      </c>
      <c r="G349" s="1">
        <v>14</v>
      </c>
    </row>
    <row r="350" spans="4:7" x14ac:dyDescent="0.2">
      <c r="D350" s="17">
        <v>44398</v>
      </c>
      <c r="E350" s="1">
        <v>9.6199999999999992</v>
      </c>
      <c r="F350" s="1">
        <v>12.8</v>
      </c>
      <c r="G350" s="1">
        <v>14</v>
      </c>
    </row>
    <row r="351" spans="4:7" x14ac:dyDescent="0.2">
      <c r="D351" s="17">
        <v>44399</v>
      </c>
      <c r="E351" s="1">
        <v>9.6199999999999992</v>
      </c>
      <c r="F351" s="1">
        <v>12.8</v>
      </c>
      <c r="G351" s="1">
        <v>14</v>
      </c>
    </row>
    <row r="352" spans="4:7" x14ac:dyDescent="0.2">
      <c r="D352" s="17">
        <v>44400</v>
      </c>
      <c r="E352" s="1">
        <v>9.6199999999999992</v>
      </c>
      <c r="F352" s="1">
        <v>12.8</v>
      </c>
      <c r="G352" s="1">
        <v>14</v>
      </c>
    </row>
    <row r="353" spans="4:7" x14ac:dyDescent="0.2">
      <c r="D353" s="17">
        <v>44403</v>
      </c>
      <c r="E353" s="1">
        <v>9.6199999999999992</v>
      </c>
      <c r="F353" s="1">
        <v>12.8</v>
      </c>
      <c r="G353" s="1">
        <v>14</v>
      </c>
    </row>
    <row r="354" spans="4:7" x14ac:dyDescent="0.2">
      <c r="D354" s="17">
        <v>44404</v>
      </c>
      <c r="E354" s="1">
        <v>9.6199999999999992</v>
      </c>
      <c r="F354" s="1">
        <v>12.8</v>
      </c>
      <c r="G354" s="1">
        <v>14</v>
      </c>
    </row>
    <row r="355" spans="4:7" x14ac:dyDescent="0.2">
      <c r="D355" s="17">
        <v>44405</v>
      </c>
      <c r="E355" s="1">
        <v>9.6199999999999992</v>
      </c>
      <c r="F355" s="1">
        <v>12.8</v>
      </c>
      <c r="G355" s="1">
        <v>14</v>
      </c>
    </row>
    <row r="356" spans="4:7" x14ac:dyDescent="0.2">
      <c r="D356" s="17">
        <v>44406</v>
      </c>
      <c r="E356" s="1">
        <v>9.6199999999999992</v>
      </c>
      <c r="F356" s="1">
        <v>12.8</v>
      </c>
      <c r="G356" s="1">
        <v>14</v>
      </c>
    </row>
    <row r="357" spans="4:7" x14ac:dyDescent="0.2">
      <c r="D357" s="17">
        <v>44407</v>
      </c>
      <c r="E357" s="1">
        <v>9.6199999999999992</v>
      </c>
      <c r="F357" s="1">
        <v>12.85</v>
      </c>
      <c r="G357" s="1">
        <v>14</v>
      </c>
    </row>
    <row r="358" spans="4:7" x14ac:dyDescent="0.2">
      <c r="D358" s="17">
        <v>44410</v>
      </c>
      <c r="E358" s="1">
        <v>9.6199999999999992</v>
      </c>
      <c r="F358" s="1">
        <v>12.9</v>
      </c>
      <c r="G358" s="1">
        <v>14</v>
      </c>
    </row>
    <row r="359" spans="4:7" x14ac:dyDescent="0.2">
      <c r="D359" s="17">
        <v>44411</v>
      </c>
      <c r="E359" s="1">
        <v>9.6199999999999992</v>
      </c>
      <c r="F359" s="1">
        <v>12.9</v>
      </c>
      <c r="G359" s="1">
        <v>14</v>
      </c>
    </row>
    <row r="360" spans="4:7" x14ac:dyDescent="0.2">
      <c r="D360" s="17">
        <v>44412</v>
      </c>
      <c r="E360" s="1">
        <v>9.6199999999999992</v>
      </c>
      <c r="F360" s="1">
        <v>12.9</v>
      </c>
      <c r="G360" s="1">
        <v>14</v>
      </c>
    </row>
    <row r="361" spans="4:7" x14ac:dyDescent="0.2">
      <c r="D361" s="17">
        <v>44413</v>
      </c>
      <c r="E361" s="1">
        <v>9.6199999999999992</v>
      </c>
      <c r="F361" s="1">
        <v>12.9</v>
      </c>
      <c r="G361" s="1">
        <v>14</v>
      </c>
    </row>
    <row r="362" spans="4:7" x14ac:dyDescent="0.2">
      <c r="D362" s="17">
        <v>44414</v>
      </c>
      <c r="E362" s="1">
        <v>9.6199999999999992</v>
      </c>
      <c r="F362" s="1">
        <v>12.9</v>
      </c>
      <c r="G362" s="1">
        <v>14</v>
      </c>
    </row>
    <row r="363" spans="4:7" x14ac:dyDescent="0.2">
      <c r="D363" s="17">
        <v>44417</v>
      </c>
      <c r="E363" s="1">
        <v>9.6199999999999992</v>
      </c>
      <c r="F363" s="1">
        <v>12.9</v>
      </c>
      <c r="G363" s="1">
        <v>14</v>
      </c>
    </row>
    <row r="364" spans="4:7" x14ac:dyDescent="0.2">
      <c r="D364" s="17">
        <v>44418</v>
      </c>
      <c r="E364" s="1">
        <v>9.6199999999999992</v>
      </c>
      <c r="F364" s="1">
        <v>12.8744</v>
      </c>
      <c r="G364" s="1">
        <v>14</v>
      </c>
    </row>
    <row r="365" spans="4:7" x14ac:dyDescent="0.2">
      <c r="D365" s="17">
        <v>44419</v>
      </c>
      <c r="E365" s="1">
        <v>9.6199999999999992</v>
      </c>
      <c r="F365" s="1">
        <v>12.8744</v>
      </c>
      <c r="G365" s="1">
        <v>14</v>
      </c>
    </row>
    <row r="366" spans="4:7" x14ac:dyDescent="0.2">
      <c r="D366" s="17">
        <v>44420</v>
      </c>
      <c r="E366" s="1">
        <v>9.6199999999999992</v>
      </c>
      <c r="F366" s="1">
        <v>12.9</v>
      </c>
      <c r="G366" s="1">
        <v>14</v>
      </c>
    </row>
    <row r="367" spans="4:7" x14ac:dyDescent="0.2">
      <c r="D367" s="17">
        <v>44421</v>
      </c>
      <c r="E367" s="1">
        <v>9.6199999999999992</v>
      </c>
      <c r="F367" s="1">
        <v>12.9</v>
      </c>
      <c r="G367" s="1">
        <v>14</v>
      </c>
    </row>
    <row r="368" spans="4:7" x14ac:dyDescent="0.2">
      <c r="D368" s="17">
        <v>44424</v>
      </c>
      <c r="E368" s="1">
        <v>10.9</v>
      </c>
      <c r="F368" s="1">
        <v>12.8851</v>
      </c>
      <c r="G368" s="1">
        <v>14</v>
      </c>
    </row>
    <row r="369" spans="4:7" x14ac:dyDescent="0.2">
      <c r="D369" s="17">
        <v>44425</v>
      </c>
      <c r="E369" s="1">
        <v>10.9</v>
      </c>
      <c r="F369" s="1">
        <v>12.8851</v>
      </c>
      <c r="G369" s="1">
        <v>14</v>
      </c>
    </row>
    <row r="370" spans="4:7" x14ac:dyDescent="0.2">
      <c r="D370" s="17">
        <v>44426</v>
      </c>
      <c r="E370" s="1">
        <v>10.9</v>
      </c>
      <c r="F370" s="1">
        <v>12.8851</v>
      </c>
      <c r="G370" s="1">
        <v>14</v>
      </c>
    </row>
    <row r="371" spans="4:7" x14ac:dyDescent="0.2">
      <c r="D371" s="17">
        <v>44427</v>
      </c>
      <c r="E371" s="1">
        <v>0.42</v>
      </c>
      <c r="F371" s="1">
        <v>12.867000000000001</v>
      </c>
      <c r="G371" s="1">
        <v>14</v>
      </c>
    </row>
    <row r="372" spans="4:7" x14ac:dyDescent="0.2">
      <c r="D372" s="17">
        <v>44428</v>
      </c>
      <c r="E372" s="1">
        <v>10.9</v>
      </c>
      <c r="F372" s="1">
        <v>12.8</v>
      </c>
      <c r="G372" s="1">
        <v>14</v>
      </c>
    </row>
    <row r="373" spans="4:7" x14ac:dyDescent="0.2">
      <c r="D373" s="17">
        <v>44431</v>
      </c>
      <c r="E373" s="1">
        <v>10.9</v>
      </c>
      <c r="F373" s="1">
        <v>12.8</v>
      </c>
      <c r="G373" s="1">
        <v>14</v>
      </c>
    </row>
    <row r="374" spans="4:7" x14ac:dyDescent="0.2">
      <c r="D374" s="17">
        <v>44432</v>
      </c>
      <c r="E374" s="1">
        <v>10.9</v>
      </c>
      <c r="F374" s="1">
        <v>12.8</v>
      </c>
      <c r="G374" s="1">
        <v>14</v>
      </c>
    </row>
    <row r="375" spans="4:7" x14ac:dyDescent="0.2">
      <c r="D375" s="17">
        <v>44433</v>
      </c>
      <c r="E375" s="1">
        <v>10.9</v>
      </c>
      <c r="F375" s="1">
        <v>12.8</v>
      </c>
      <c r="G375" s="1">
        <v>14</v>
      </c>
    </row>
    <row r="376" spans="4:7" x14ac:dyDescent="0.2">
      <c r="D376" s="17">
        <v>44434</v>
      </c>
      <c r="E376" s="1">
        <v>10.9</v>
      </c>
      <c r="F376" s="1">
        <v>12.8</v>
      </c>
      <c r="G376" s="1">
        <v>14</v>
      </c>
    </row>
    <row r="377" spans="4:7" x14ac:dyDescent="0.2">
      <c r="D377" s="17">
        <v>44435</v>
      </c>
      <c r="E377" s="1">
        <v>10.9</v>
      </c>
      <c r="F377" s="1">
        <v>12.8</v>
      </c>
      <c r="G377" s="1">
        <v>14</v>
      </c>
    </row>
    <row r="378" spans="4:7" x14ac:dyDescent="0.2">
      <c r="D378" s="17">
        <v>44438</v>
      </c>
      <c r="E378" s="1">
        <v>10.9</v>
      </c>
      <c r="F378" s="1">
        <v>12.7988</v>
      </c>
      <c r="G378" s="1">
        <v>14</v>
      </c>
    </row>
    <row r="379" spans="4:7" x14ac:dyDescent="0.2">
      <c r="D379" s="17">
        <v>44439</v>
      </c>
      <c r="E379" s="1">
        <v>10.9</v>
      </c>
      <c r="F379" s="1">
        <v>12.764200000000001</v>
      </c>
      <c r="G379" s="1">
        <v>14</v>
      </c>
    </row>
    <row r="380" spans="4:7" x14ac:dyDescent="0.2">
      <c r="D380" s="17"/>
    </row>
    <row r="381" spans="4:7" x14ac:dyDescent="0.2">
      <c r="D381" s="17"/>
    </row>
    <row r="382" spans="4:7" x14ac:dyDescent="0.2">
      <c r="D382" s="17"/>
    </row>
    <row r="383" spans="4:7" x14ac:dyDescent="0.2">
      <c r="D383" s="17"/>
    </row>
    <row r="384" spans="4:7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3C59E-BD83-4B5B-9C16-2CF8EE58AF3A}">
  <sheetPr codeName="Planilha4"/>
  <dimension ref="A1:P461"/>
  <sheetViews>
    <sheetView workbookViewId="0">
      <selection activeCell="L34" sqref="L34"/>
    </sheetView>
  </sheetViews>
  <sheetFormatPr defaultRowHeight="12.75" x14ac:dyDescent="0.2"/>
  <cols>
    <col min="1" max="1" width="36.5703125" style="1" customWidth="1"/>
    <col min="2" max="2" width="14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88</v>
      </c>
      <c r="I1" s="3" t="s">
        <v>60</v>
      </c>
      <c r="J1" s="59" t="str">
        <f>"FOCUS forecast for "&amp;$B$3&amp;" of "&amp;PROPER(TEXT($B$5,"[$-409]aaaa"))</f>
        <v>FOCUS forecast for IPCA of 2021</v>
      </c>
      <c r="K1" s="60"/>
      <c r="L1" s="60"/>
      <c r="M1" s="60"/>
      <c r="N1" s="60"/>
      <c r="O1" s="60"/>
      <c r="P1" s="60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360">xlFOCUS_ExpectativasAnuais(B3,B4,B5,B6,B7,B8,D3:G3)</f>
        <v>44013</v>
      </c>
      <c r="E4" s="1">
        <v>2.4700000000000002</v>
      </c>
      <c r="F4" s="1">
        <v>3.07</v>
      </c>
      <c r="G4" s="1">
        <v>4.1500000000000004</v>
      </c>
    </row>
    <row r="5" spans="1:16" x14ac:dyDescent="0.2">
      <c r="A5" s="3" t="s">
        <v>63</v>
      </c>
      <c r="B5" s="14">
        <v>44197</v>
      </c>
      <c r="D5" s="17">
        <v>44014</v>
      </c>
      <c r="E5" s="1">
        <v>2.4700000000000002</v>
      </c>
      <c r="F5" s="1">
        <v>3</v>
      </c>
      <c r="G5" s="1">
        <v>4.1500000000000004</v>
      </c>
    </row>
    <row r="6" spans="1:16" x14ac:dyDescent="0.2">
      <c r="A6" s="3" t="s">
        <v>64</v>
      </c>
      <c r="B6" s="14">
        <v>44013</v>
      </c>
      <c r="D6" s="17">
        <v>44015</v>
      </c>
      <c r="E6" s="1">
        <v>2.2999999999999998</v>
      </c>
      <c r="F6" s="1">
        <v>3.05</v>
      </c>
      <c r="G6" s="1">
        <v>4.1500000000000004</v>
      </c>
    </row>
    <row r="7" spans="1:16" x14ac:dyDescent="0.2">
      <c r="A7" s="3" t="s">
        <v>65</v>
      </c>
      <c r="B7" s="14">
        <v>44531</v>
      </c>
      <c r="D7" s="17">
        <v>44018</v>
      </c>
      <c r="E7" s="1">
        <v>2.2999999999999998</v>
      </c>
      <c r="F7" s="1">
        <v>3.07</v>
      </c>
      <c r="G7" s="1">
        <v>4.1500000000000004</v>
      </c>
    </row>
    <row r="8" spans="1:16" x14ac:dyDescent="0.2">
      <c r="A8" s="3" t="s">
        <v>66</v>
      </c>
      <c r="B8" s="18">
        <v>1</v>
      </c>
      <c r="D8" s="17">
        <v>44019</v>
      </c>
      <c r="E8" s="1">
        <v>2.2999999999999998</v>
      </c>
      <c r="F8" s="1">
        <v>3.07</v>
      </c>
      <c r="G8" s="1">
        <v>4.0599999999999996</v>
      </c>
    </row>
    <row r="9" spans="1:16" x14ac:dyDescent="0.2">
      <c r="D9" s="17">
        <v>44020</v>
      </c>
      <c r="E9" s="1">
        <v>2.09</v>
      </c>
      <c r="F9" s="1">
        <v>3.09</v>
      </c>
      <c r="G9" s="1">
        <v>4.0599999999999996</v>
      </c>
    </row>
    <row r="10" spans="1:16" x14ac:dyDescent="0.2">
      <c r="D10" s="17">
        <v>44021</v>
      </c>
      <c r="E10" s="1">
        <v>2.09</v>
      </c>
      <c r="F10" s="1">
        <v>3.12</v>
      </c>
      <c r="G10" s="1">
        <v>4.0599999999999996</v>
      </c>
    </row>
    <row r="11" spans="1:16" x14ac:dyDescent="0.2">
      <c r="D11" s="17">
        <v>44022</v>
      </c>
      <c r="E11" s="1">
        <v>2.09</v>
      </c>
      <c r="F11" s="1">
        <v>3.01</v>
      </c>
      <c r="G11" s="1">
        <v>4.4400000000000004</v>
      </c>
    </row>
    <row r="12" spans="1:16" x14ac:dyDescent="0.2">
      <c r="D12" s="17">
        <v>44025</v>
      </c>
      <c r="E12" s="1">
        <v>2.09</v>
      </c>
      <c r="F12" s="1">
        <v>3</v>
      </c>
      <c r="G12" s="1">
        <v>4.4400000000000004</v>
      </c>
    </row>
    <row r="13" spans="1:16" x14ac:dyDescent="0.2">
      <c r="D13" s="17">
        <v>44026</v>
      </c>
      <c r="E13" s="1">
        <v>2.09</v>
      </c>
      <c r="F13" s="1">
        <v>3</v>
      </c>
      <c r="G13" s="1">
        <v>4.4400000000000004</v>
      </c>
    </row>
    <row r="14" spans="1:16" x14ac:dyDescent="0.2">
      <c r="D14" s="17">
        <v>44027</v>
      </c>
      <c r="E14" s="1">
        <v>2.09</v>
      </c>
      <c r="F14" s="1">
        <v>3</v>
      </c>
      <c r="G14" s="1">
        <v>4.4400000000000004</v>
      </c>
    </row>
    <row r="15" spans="1:16" x14ac:dyDescent="0.2">
      <c r="D15" s="17">
        <v>44028</v>
      </c>
      <c r="E15" s="1">
        <v>2.09</v>
      </c>
      <c r="F15" s="1">
        <v>3</v>
      </c>
      <c r="G15" s="1">
        <v>4.4400000000000004</v>
      </c>
    </row>
    <row r="16" spans="1:16" x14ac:dyDescent="0.2">
      <c r="D16" s="17">
        <v>44029</v>
      </c>
      <c r="E16" s="1">
        <v>2.44</v>
      </c>
      <c r="F16" s="1">
        <v>3.01</v>
      </c>
      <c r="G16" s="1">
        <v>4.0599999999999996</v>
      </c>
    </row>
    <row r="17" spans="4:7" x14ac:dyDescent="0.2">
      <c r="D17" s="17">
        <v>44032</v>
      </c>
      <c r="E17" s="1">
        <v>2.09</v>
      </c>
      <c r="F17" s="1">
        <v>3.07</v>
      </c>
      <c r="G17" s="1">
        <v>4.0599999999999996</v>
      </c>
    </row>
    <row r="18" spans="4:7" x14ac:dyDescent="0.2">
      <c r="D18" s="17">
        <v>44033</v>
      </c>
      <c r="E18" s="1">
        <v>2.09</v>
      </c>
      <c r="F18" s="1">
        <v>3.08</v>
      </c>
      <c r="G18" s="1">
        <v>4.0599999999999996</v>
      </c>
    </row>
    <row r="19" spans="4:7" x14ac:dyDescent="0.2">
      <c r="D19" s="17">
        <v>44034</v>
      </c>
      <c r="E19" s="1">
        <v>2.09</v>
      </c>
      <c r="F19" s="1">
        <v>3.08</v>
      </c>
      <c r="G19" s="1">
        <v>4</v>
      </c>
    </row>
    <row r="20" spans="4:7" x14ac:dyDescent="0.2">
      <c r="D20" s="17">
        <v>44035</v>
      </c>
      <c r="E20" s="1">
        <v>2.09</v>
      </c>
      <c r="F20" s="1">
        <v>3</v>
      </c>
      <c r="G20" s="1">
        <v>4</v>
      </c>
    </row>
    <row r="21" spans="4:7" x14ac:dyDescent="0.2">
      <c r="D21" s="17">
        <v>44036</v>
      </c>
      <c r="E21" s="1">
        <v>2.2799999999999998</v>
      </c>
      <c r="F21" s="1">
        <v>2.99</v>
      </c>
      <c r="G21" s="1">
        <v>4</v>
      </c>
    </row>
    <row r="22" spans="4:7" x14ac:dyDescent="0.2">
      <c r="D22" s="17">
        <v>44039</v>
      </c>
      <c r="E22" s="1">
        <v>2.2799999999999998</v>
      </c>
      <c r="F22" s="1">
        <v>3</v>
      </c>
      <c r="G22" s="1">
        <v>4</v>
      </c>
    </row>
    <row r="23" spans="4:7" x14ac:dyDescent="0.2">
      <c r="D23" s="17">
        <v>44040</v>
      </c>
      <c r="E23" s="1">
        <v>2.2799999999999998</v>
      </c>
      <c r="F23" s="1">
        <v>3</v>
      </c>
      <c r="G23" s="1">
        <v>4</v>
      </c>
    </row>
    <row r="24" spans="4:7" x14ac:dyDescent="0.2">
      <c r="D24" s="17">
        <v>44041</v>
      </c>
      <c r="E24" s="1">
        <v>2.2799999999999998</v>
      </c>
      <c r="F24" s="1">
        <v>3</v>
      </c>
      <c r="G24" s="1">
        <v>4</v>
      </c>
    </row>
    <row r="25" spans="4:7" x14ac:dyDescent="0.2">
      <c r="D25" s="17">
        <v>44042</v>
      </c>
      <c r="E25" s="1">
        <v>2.2799999999999998</v>
      </c>
      <c r="F25" s="1">
        <v>3</v>
      </c>
      <c r="G25" s="1">
        <v>4</v>
      </c>
    </row>
    <row r="26" spans="4:7" x14ac:dyDescent="0.2">
      <c r="D26" s="17">
        <v>44043</v>
      </c>
      <c r="E26" s="1">
        <v>2.44</v>
      </c>
      <c r="F26" s="1">
        <v>2.99</v>
      </c>
      <c r="G26" s="1">
        <v>4</v>
      </c>
    </row>
    <row r="27" spans="4:7" x14ac:dyDescent="0.2">
      <c r="D27" s="17">
        <v>44046</v>
      </c>
      <c r="E27" s="1">
        <v>2.44</v>
      </c>
      <c r="F27" s="1">
        <v>2.98</v>
      </c>
      <c r="G27" s="1">
        <v>4</v>
      </c>
    </row>
    <row r="28" spans="4:7" x14ac:dyDescent="0.2">
      <c r="D28" s="17">
        <v>44047</v>
      </c>
      <c r="E28" s="1">
        <v>2.44</v>
      </c>
      <c r="F28" s="1">
        <v>2.98</v>
      </c>
      <c r="G28" s="1">
        <v>4</v>
      </c>
    </row>
    <row r="29" spans="4:7" x14ac:dyDescent="0.2">
      <c r="D29" s="17">
        <v>44048</v>
      </c>
      <c r="E29" s="1">
        <v>2.44</v>
      </c>
      <c r="F29" s="1">
        <v>2.98</v>
      </c>
      <c r="G29" s="1">
        <v>4</v>
      </c>
    </row>
    <row r="30" spans="4:7" x14ac:dyDescent="0.2">
      <c r="D30" s="17">
        <v>44049</v>
      </c>
      <c r="E30" s="1">
        <v>2.5</v>
      </c>
      <c r="F30" s="1">
        <v>2.99</v>
      </c>
      <c r="G30" s="1">
        <v>3.75</v>
      </c>
    </row>
    <row r="31" spans="4:7" x14ac:dyDescent="0.2">
      <c r="D31" s="17">
        <v>44050</v>
      </c>
      <c r="E31" s="1">
        <v>2.11</v>
      </c>
      <c r="F31" s="1">
        <v>2.99</v>
      </c>
      <c r="G31" s="1">
        <v>3.96</v>
      </c>
    </row>
    <row r="32" spans="4:7" x14ac:dyDescent="0.2">
      <c r="D32" s="17">
        <v>44053</v>
      </c>
      <c r="E32" s="1">
        <v>2.11</v>
      </c>
      <c r="F32" s="1">
        <v>2.99</v>
      </c>
      <c r="G32" s="1">
        <v>4.4400000000000004</v>
      </c>
    </row>
    <row r="33" spans="4:7" x14ac:dyDescent="0.2">
      <c r="D33" s="17">
        <v>44054</v>
      </c>
      <c r="E33" s="1">
        <v>2.11</v>
      </c>
      <c r="F33" s="1">
        <v>2.96</v>
      </c>
      <c r="G33" s="1">
        <v>4.4400000000000004</v>
      </c>
    </row>
    <row r="34" spans="4:7" x14ac:dyDescent="0.2">
      <c r="D34" s="17">
        <v>44055</v>
      </c>
      <c r="E34" s="1">
        <v>2.11</v>
      </c>
      <c r="F34" s="1">
        <v>3</v>
      </c>
      <c r="G34" s="1">
        <v>4.4400000000000004</v>
      </c>
    </row>
    <row r="35" spans="4:7" x14ac:dyDescent="0.2">
      <c r="D35" s="17">
        <v>44056</v>
      </c>
      <c r="E35" s="1">
        <v>2.11</v>
      </c>
      <c r="F35" s="1">
        <v>3</v>
      </c>
      <c r="G35" s="1">
        <v>4.4400000000000004</v>
      </c>
    </row>
    <row r="36" spans="4:7" x14ac:dyDescent="0.2">
      <c r="D36" s="17">
        <v>44057</v>
      </c>
      <c r="E36" s="1">
        <v>2.08</v>
      </c>
      <c r="F36" s="1">
        <v>3</v>
      </c>
      <c r="G36" s="1">
        <v>4.4400000000000004</v>
      </c>
    </row>
    <row r="37" spans="4:7" x14ac:dyDescent="0.2">
      <c r="D37" s="17">
        <v>44060</v>
      </c>
      <c r="E37" s="1">
        <v>2.08</v>
      </c>
      <c r="F37" s="1">
        <v>3</v>
      </c>
      <c r="G37" s="1">
        <v>4.4400000000000004</v>
      </c>
    </row>
    <row r="38" spans="4:7" x14ac:dyDescent="0.2">
      <c r="D38" s="17">
        <v>44061</v>
      </c>
      <c r="E38" s="1">
        <v>2.08</v>
      </c>
      <c r="F38" s="1">
        <v>3</v>
      </c>
      <c r="G38" s="1">
        <v>4.4400000000000004</v>
      </c>
    </row>
    <row r="39" spans="4:7" x14ac:dyDescent="0.2">
      <c r="D39" s="17">
        <v>44062</v>
      </c>
      <c r="E39" s="1">
        <v>2.08</v>
      </c>
      <c r="F39" s="1">
        <v>3</v>
      </c>
      <c r="G39" s="1">
        <v>4.4400000000000004</v>
      </c>
    </row>
    <row r="40" spans="4:7" x14ac:dyDescent="0.2">
      <c r="D40" s="17">
        <v>44063</v>
      </c>
      <c r="E40" s="1">
        <v>2.08</v>
      </c>
      <c r="F40" s="1">
        <v>3</v>
      </c>
      <c r="G40" s="1">
        <v>4.4400000000000004</v>
      </c>
    </row>
    <row r="41" spans="4:7" x14ac:dyDescent="0.2">
      <c r="D41" s="17">
        <v>44064</v>
      </c>
      <c r="E41" s="1">
        <v>2.4300000000000002</v>
      </c>
      <c r="F41" s="1">
        <v>3.02</v>
      </c>
      <c r="G41" s="1">
        <v>4.4400000000000004</v>
      </c>
    </row>
    <row r="42" spans="4:7" x14ac:dyDescent="0.2">
      <c r="D42" s="17">
        <v>44067</v>
      </c>
      <c r="E42" s="1">
        <v>2.4300000000000002</v>
      </c>
      <c r="F42" s="1">
        <v>3</v>
      </c>
      <c r="G42" s="1">
        <v>4.4400000000000004</v>
      </c>
    </row>
    <row r="43" spans="4:7" x14ac:dyDescent="0.2">
      <c r="D43" s="17">
        <v>44068</v>
      </c>
      <c r="E43" s="1">
        <v>2.4300000000000002</v>
      </c>
      <c r="F43" s="1">
        <v>3</v>
      </c>
      <c r="G43" s="1">
        <v>4.4400000000000004</v>
      </c>
    </row>
    <row r="44" spans="4:7" x14ac:dyDescent="0.2">
      <c r="D44" s="17">
        <v>44069</v>
      </c>
      <c r="E44" s="1">
        <v>2.4300000000000002</v>
      </c>
      <c r="F44" s="1">
        <v>3</v>
      </c>
      <c r="G44" s="1">
        <v>4.4400000000000004</v>
      </c>
    </row>
    <row r="45" spans="4:7" x14ac:dyDescent="0.2">
      <c r="D45" s="17">
        <v>44070</v>
      </c>
      <c r="E45" s="1">
        <v>2.4300000000000002</v>
      </c>
      <c r="F45" s="1">
        <v>3</v>
      </c>
      <c r="G45" s="1">
        <v>4.4400000000000004</v>
      </c>
    </row>
    <row r="46" spans="4:7" x14ac:dyDescent="0.2">
      <c r="D46" s="17">
        <v>44071</v>
      </c>
      <c r="E46" s="1">
        <v>2.2599999999999998</v>
      </c>
      <c r="F46" s="1">
        <v>3</v>
      </c>
      <c r="G46" s="1">
        <v>4.4400000000000004</v>
      </c>
    </row>
    <row r="47" spans="4:7" x14ac:dyDescent="0.2">
      <c r="D47" s="17">
        <v>44074</v>
      </c>
      <c r="E47" s="1">
        <v>2.2599999999999998</v>
      </c>
      <c r="F47" s="1">
        <v>3</v>
      </c>
      <c r="G47" s="1">
        <v>4.58</v>
      </c>
    </row>
    <row r="48" spans="4:7" x14ac:dyDescent="0.2">
      <c r="D48" s="17">
        <v>44075</v>
      </c>
      <c r="E48" s="1">
        <v>2.02</v>
      </c>
      <c r="F48" s="1">
        <v>3.01</v>
      </c>
      <c r="G48" s="1">
        <v>4.58</v>
      </c>
    </row>
    <row r="49" spans="4:7" x14ac:dyDescent="0.2">
      <c r="D49" s="17">
        <v>44076</v>
      </c>
      <c r="E49" s="1">
        <v>2.02</v>
      </c>
      <c r="F49" s="1">
        <v>3.02</v>
      </c>
      <c r="G49" s="1">
        <v>4.58</v>
      </c>
    </row>
    <row r="50" spans="4:7" x14ac:dyDescent="0.2">
      <c r="D50" s="17">
        <v>44077</v>
      </c>
      <c r="E50" s="1">
        <v>2.02</v>
      </c>
      <c r="F50" s="1">
        <v>3.01</v>
      </c>
      <c r="G50" s="1">
        <v>4.58</v>
      </c>
    </row>
    <row r="51" spans="4:7" x14ac:dyDescent="0.2">
      <c r="D51" s="17">
        <v>44078</v>
      </c>
      <c r="E51" s="1">
        <v>2.02</v>
      </c>
      <c r="F51" s="1">
        <v>2.99</v>
      </c>
      <c r="G51" s="1">
        <v>4.58</v>
      </c>
    </row>
    <row r="52" spans="4:7" x14ac:dyDescent="0.2">
      <c r="D52" s="17">
        <v>44082</v>
      </c>
      <c r="E52" s="1">
        <v>2.02</v>
      </c>
      <c r="F52" s="1">
        <v>3</v>
      </c>
      <c r="G52" s="1">
        <v>3.96</v>
      </c>
    </row>
    <row r="53" spans="4:7" x14ac:dyDescent="0.2">
      <c r="D53" s="17">
        <v>44083</v>
      </c>
      <c r="E53" s="1">
        <v>2.2599999999999998</v>
      </c>
      <c r="F53" s="1">
        <v>3</v>
      </c>
      <c r="G53" s="1">
        <v>4.4400000000000004</v>
      </c>
    </row>
    <row r="54" spans="4:7" x14ac:dyDescent="0.2">
      <c r="D54" s="17">
        <v>44084</v>
      </c>
      <c r="E54" s="1">
        <v>2.2599999999999998</v>
      </c>
      <c r="F54" s="1">
        <v>3</v>
      </c>
      <c r="G54" s="1">
        <v>4.4400000000000004</v>
      </c>
    </row>
    <row r="55" spans="4:7" x14ac:dyDescent="0.2">
      <c r="D55" s="17">
        <v>44085</v>
      </c>
      <c r="E55" s="1">
        <v>2.2599999999999998</v>
      </c>
      <c r="F55" s="1">
        <v>3</v>
      </c>
      <c r="G55" s="1">
        <v>4.4400000000000004</v>
      </c>
    </row>
    <row r="56" spans="4:7" x14ac:dyDescent="0.2">
      <c r="D56" s="17">
        <v>44088</v>
      </c>
      <c r="E56" s="1">
        <v>2.2999999999999998</v>
      </c>
      <c r="F56" s="1">
        <v>3.01</v>
      </c>
      <c r="G56" s="1">
        <v>4.4400000000000004</v>
      </c>
    </row>
    <row r="57" spans="4:7" x14ac:dyDescent="0.2">
      <c r="D57" s="17">
        <v>44089</v>
      </c>
      <c r="E57" s="1">
        <v>2.2999999999999998</v>
      </c>
      <c r="F57" s="1">
        <v>3.01</v>
      </c>
      <c r="G57" s="1">
        <v>4.4400000000000004</v>
      </c>
    </row>
    <row r="58" spans="4:7" x14ac:dyDescent="0.2">
      <c r="D58" s="17">
        <v>44090</v>
      </c>
      <c r="E58" s="1">
        <v>2.2999999999999998</v>
      </c>
      <c r="F58" s="1">
        <v>3.01</v>
      </c>
      <c r="G58" s="1">
        <v>4.4400000000000004</v>
      </c>
    </row>
    <row r="59" spans="4:7" x14ac:dyDescent="0.2">
      <c r="D59" s="17">
        <v>44091</v>
      </c>
      <c r="E59" s="1">
        <v>2.2999999999999998</v>
      </c>
      <c r="F59" s="1">
        <v>3.01</v>
      </c>
      <c r="G59" s="1">
        <v>4.4400000000000004</v>
      </c>
    </row>
    <row r="60" spans="4:7" x14ac:dyDescent="0.2">
      <c r="D60" s="17">
        <v>44092</v>
      </c>
      <c r="E60" s="1">
        <v>2.2599999999999998</v>
      </c>
      <c r="F60" s="1">
        <v>3</v>
      </c>
      <c r="G60" s="1">
        <v>4.58</v>
      </c>
    </row>
    <row r="61" spans="4:7" x14ac:dyDescent="0.2">
      <c r="D61" s="17">
        <v>44095</v>
      </c>
      <c r="E61" s="1">
        <v>2.2599999999999998</v>
      </c>
      <c r="F61" s="1">
        <v>3</v>
      </c>
      <c r="G61" s="1">
        <v>4.58</v>
      </c>
    </row>
    <row r="62" spans="4:7" x14ac:dyDescent="0.2">
      <c r="D62" s="17">
        <v>44096</v>
      </c>
      <c r="E62" s="1">
        <v>2.2599999999999998</v>
      </c>
      <c r="F62" s="1">
        <v>3</v>
      </c>
      <c r="G62" s="1">
        <v>4.58</v>
      </c>
    </row>
    <row r="63" spans="4:7" x14ac:dyDescent="0.2">
      <c r="D63" s="17">
        <v>44097</v>
      </c>
      <c r="E63" s="1">
        <v>2.2400000000000002</v>
      </c>
      <c r="F63" s="1">
        <v>3.01</v>
      </c>
      <c r="G63" s="1">
        <v>4.58</v>
      </c>
    </row>
    <row r="64" spans="4:7" x14ac:dyDescent="0.2">
      <c r="D64" s="17">
        <v>44098</v>
      </c>
      <c r="E64" s="1">
        <v>2.2400000000000002</v>
      </c>
      <c r="F64" s="1">
        <v>3.01</v>
      </c>
      <c r="G64" s="1">
        <v>4.58</v>
      </c>
    </row>
    <row r="65" spans="4:7" x14ac:dyDescent="0.2">
      <c r="D65" s="17">
        <v>44099</v>
      </c>
      <c r="E65" s="1">
        <v>2.2400000000000002</v>
      </c>
      <c r="F65" s="1">
        <v>3</v>
      </c>
      <c r="G65" s="1">
        <v>4.4400000000000004</v>
      </c>
    </row>
    <row r="66" spans="4:7" x14ac:dyDescent="0.2">
      <c r="D66" s="17">
        <v>44102</v>
      </c>
      <c r="E66" s="1">
        <v>2.2400000000000002</v>
      </c>
      <c r="F66" s="1">
        <v>3</v>
      </c>
      <c r="G66" s="1">
        <v>4.4400000000000004</v>
      </c>
    </row>
    <row r="67" spans="4:7" x14ac:dyDescent="0.2">
      <c r="D67" s="17">
        <v>44103</v>
      </c>
      <c r="E67" s="1">
        <v>2.2400000000000002</v>
      </c>
      <c r="F67" s="1">
        <v>3</v>
      </c>
      <c r="G67" s="1">
        <v>4.4400000000000004</v>
      </c>
    </row>
    <row r="68" spans="4:7" x14ac:dyDescent="0.2">
      <c r="D68" s="17">
        <v>44104</v>
      </c>
      <c r="E68" s="1">
        <v>2.2400000000000002</v>
      </c>
      <c r="F68" s="1">
        <v>3</v>
      </c>
      <c r="G68" s="1">
        <v>3.97</v>
      </c>
    </row>
    <row r="69" spans="4:7" x14ac:dyDescent="0.2">
      <c r="D69" s="17">
        <v>44105</v>
      </c>
      <c r="E69" s="1">
        <v>2.2400000000000002</v>
      </c>
      <c r="F69" s="1">
        <v>3.01</v>
      </c>
      <c r="G69" s="1">
        <v>3.97</v>
      </c>
    </row>
    <row r="70" spans="4:7" x14ac:dyDescent="0.2">
      <c r="D70" s="17">
        <v>44106</v>
      </c>
      <c r="E70" s="1">
        <v>2.2799999999999998</v>
      </c>
      <c r="F70" s="1">
        <v>3.02</v>
      </c>
      <c r="G70" s="1">
        <v>3.75</v>
      </c>
    </row>
    <row r="71" spans="4:7" x14ac:dyDescent="0.2">
      <c r="D71" s="17">
        <v>44109</v>
      </c>
      <c r="E71" s="1">
        <v>2.2799999999999998</v>
      </c>
      <c r="F71" s="1">
        <v>3.03</v>
      </c>
      <c r="G71" s="1">
        <v>3.75</v>
      </c>
    </row>
    <row r="72" spans="4:7" x14ac:dyDescent="0.2">
      <c r="D72" s="17">
        <v>44110</v>
      </c>
      <c r="E72" s="1">
        <v>2.2799999999999998</v>
      </c>
      <c r="F72" s="1">
        <v>3.02</v>
      </c>
      <c r="G72" s="1">
        <v>3.75</v>
      </c>
    </row>
    <row r="73" spans="4:7" x14ac:dyDescent="0.2">
      <c r="D73" s="17">
        <v>44111</v>
      </c>
      <c r="E73" s="1">
        <v>2.2799999999999998</v>
      </c>
      <c r="F73" s="1">
        <v>3.01</v>
      </c>
      <c r="G73" s="1">
        <v>3.75</v>
      </c>
    </row>
    <row r="74" spans="4:7" x14ac:dyDescent="0.2">
      <c r="D74" s="17">
        <v>44112</v>
      </c>
      <c r="E74" s="1">
        <v>2.2799999999999998</v>
      </c>
      <c r="F74" s="1">
        <v>3.01</v>
      </c>
      <c r="G74" s="1">
        <v>3.75</v>
      </c>
    </row>
    <row r="75" spans="4:7" x14ac:dyDescent="0.2">
      <c r="D75" s="17">
        <v>44113</v>
      </c>
      <c r="E75" s="1">
        <v>2.2200000000000002</v>
      </c>
      <c r="F75" s="1">
        <v>3.08</v>
      </c>
      <c r="G75" s="1">
        <v>4.1500000000000004</v>
      </c>
    </row>
    <row r="76" spans="4:7" x14ac:dyDescent="0.2">
      <c r="D76" s="17">
        <v>44117</v>
      </c>
      <c r="E76" s="1">
        <v>2.2200000000000002</v>
      </c>
      <c r="F76" s="1">
        <v>3.1</v>
      </c>
      <c r="G76" s="1">
        <v>4.1500000000000004</v>
      </c>
    </row>
    <row r="77" spans="4:7" x14ac:dyDescent="0.2">
      <c r="D77" s="17">
        <v>44118</v>
      </c>
      <c r="E77" s="1">
        <v>2.2200000000000002</v>
      </c>
      <c r="F77" s="1">
        <v>3.11</v>
      </c>
      <c r="G77" s="1">
        <v>4.1500000000000004</v>
      </c>
    </row>
    <row r="78" spans="4:7" x14ac:dyDescent="0.2">
      <c r="D78" s="17">
        <v>44119</v>
      </c>
      <c r="E78" s="1">
        <v>2.2200000000000002</v>
      </c>
      <c r="F78" s="1">
        <v>3.11</v>
      </c>
      <c r="G78" s="1">
        <v>4.1500000000000004</v>
      </c>
    </row>
    <row r="79" spans="4:7" x14ac:dyDescent="0.2">
      <c r="D79" s="17">
        <v>44120</v>
      </c>
      <c r="E79" s="1">
        <v>2.36</v>
      </c>
      <c r="F79" s="1">
        <v>3.1</v>
      </c>
      <c r="G79" s="1">
        <v>4.58</v>
      </c>
    </row>
    <row r="80" spans="4:7" x14ac:dyDescent="0.2">
      <c r="D80" s="17">
        <v>44123</v>
      </c>
      <c r="E80" s="1">
        <v>2.36</v>
      </c>
      <c r="F80" s="1">
        <v>3.1</v>
      </c>
      <c r="G80" s="1">
        <v>4.58</v>
      </c>
    </row>
    <row r="81" spans="4:7" x14ac:dyDescent="0.2">
      <c r="D81" s="17">
        <v>44124</v>
      </c>
      <c r="E81" s="1">
        <v>2.36</v>
      </c>
      <c r="F81" s="1">
        <v>3.09</v>
      </c>
      <c r="G81" s="1">
        <v>4.58</v>
      </c>
    </row>
    <row r="82" spans="4:7" x14ac:dyDescent="0.2">
      <c r="D82" s="17">
        <v>44125</v>
      </c>
      <c r="E82" s="1">
        <v>2.36</v>
      </c>
      <c r="F82" s="1">
        <v>3.09</v>
      </c>
      <c r="G82" s="1">
        <v>4.58</v>
      </c>
    </row>
    <row r="83" spans="4:7" x14ac:dyDescent="0.2">
      <c r="D83" s="17">
        <v>44126</v>
      </c>
      <c r="E83" s="1">
        <v>2.36</v>
      </c>
      <c r="F83" s="1">
        <v>3.04</v>
      </c>
      <c r="G83" s="1">
        <v>4.58</v>
      </c>
    </row>
    <row r="84" spans="4:7" x14ac:dyDescent="0.2">
      <c r="D84" s="17">
        <v>44127</v>
      </c>
      <c r="E84" s="1">
        <v>2.2999999999999998</v>
      </c>
      <c r="F84" s="1">
        <v>3.08</v>
      </c>
      <c r="G84" s="1">
        <v>4.1399999999999997</v>
      </c>
    </row>
    <row r="85" spans="4:7" x14ac:dyDescent="0.2">
      <c r="D85" s="17">
        <v>44130</v>
      </c>
      <c r="E85" s="1">
        <v>2.2999999999999998</v>
      </c>
      <c r="F85" s="1">
        <v>3.09</v>
      </c>
      <c r="G85" s="1">
        <v>4.1399999999999997</v>
      </c>
    </row>
    <row r="86" spans="4:7" x14ac:dyDescent="0.2">
      <c r="D86" s="17">
        <v>44131</v>
      </c>
      <c r="E86" s="1">
        <v>2.2999999999999998</v>
      </c>
      <c r="F86" s="1">
        <v>3.09</v>
      </c>
      <c r="G86" s="1">
        <v>4.1399999999999997</v>
      </c>
    </row>
    <row r="87" spans="4:7" x14ac:dyDescent="0.2">
      <c r="D87" s="17">
        <v>44132</v>
      </c>
      <c r="E87" s="1">
        <v>2.2999999999999998</v>
      </c>
      <c r="F87" s="1">
        <v>3.1</v>
      </c>
      <c r="G87" s="1">
        <v>4.1399999999999997</v>
      </c>
    </row>
    <row r="88" spans="4:7" x14ac:dyDescent="0.2">
      <c r="D88" s="17">
        <v>44133</v>
      </c>
      <c r="E88" s="1">
        <v>2.2999999999999998</v>
      </c>
      <c r="F88" s="1">
        <v>3.13</v>
      </c>
      <c r="G88" s="1">
        <v>4.1399999999999997</v>
      </c>
    </row>
    <row r="89" spans="4:7" x14ac:dyDescent="0.2">
      <c r="D89" s="17">
        <v>44134</v>
      </c>
      <c r="E89" s="1">
        <v>2.67</v>
      </c>
      <c r="F89" s="1">
        <v>3.3</v>
      </c>
      <c r="G89" s="1">
        <v>4.8099999999999996</v>
      </c>
    </row>
    <row r="90" spans="4:7" x14ac:dyDescent="0.2">
      <c r="D90" s="17">
        <v>44138</v>
      </c>
      <c r="E90" s="1">
        <v>2.2999999999999998</v>
      </c>
      <c r="F90" s="1">
        <v>3.3</v>
      </c>
      <c r="G90" s="1">
        <v>4.8099999999999996</v>
      </c>
    </row>
    <row r="91" spans="4:7" x14ac:dyDescent="0.2">
      <c r="D91" s="17">
        <v>44139</v>
      </c>
      <c r="E91" s="1">
        <v>2.2999999999999998</v>
      </c>
      <c r="F91" s="1">
        <v>3.32</v>
      </c>
      <c r="G91" s="1">
        <v>4.8099999999999996</v>
      </c>
    </row>
    <row r="92" spans="4:7" x14ac:dyDescent="0.2">
      <c r="D92" s="17">
        <v>44140</v>
      </c>
      <c r="E92" s="1">
        <v>2.2999999999999998</v>
      </c>
      <c r="F92" s="1">
        <v>3.3</v>
      </c>
      <c r="G92" s="1">
        <v>4.8099999999999996</v>
      </c>
    </row>
    <row r="93" spans="4:7" x14ac:dyDescent="0.2">
      <c r="D93" s="17">
        <v>44141</v>
      </c>
      <c r="E93" s="1">
        <v>2.29</v>
      </c>
      <c r="F93" s="1">
        <v>3.27</v>
      </c>
      <c r="G93" s="1">
        <v>4.8099999999999996</v>
      </c>
    </row>
    <row r="94" spans="4:7" x14ac:dyDescent="0.2">
      <c r="D94" s="17">
        <v>44144</v>
      </c>
      <c r="E94" s="1">
        <v>2.29</v>
      </c>
      <c r="F94" s="1">
        <v>3.27</v>
      </c>
      <c r="G94" s="1">
        <v>4.2</v>
      </c>
    </row>
    <row r="95" spans="4:7" x14ac:dyDescent="0.2">
      <c r="D95" s="17">
        <v>44145</v>
      </c>
      <c r="E95" s="1">
        <v>2.29</v>
      </c>
      <c r="F95" s="1">
        <v>3.3</v>
      </c>
      <c r="G95" s="1">
        <v>4.2</v>
      </c>
    </row>
    <row r="96" spans="4:7" x14ac:dyDescent="0.2">
      <c r="D96" s="17">
        <v>44146</v>
      </c>
      <c r="E96" s="1">
        <v>2.29</v>
      </c>
      <c r="F96" s="1">
        <v>3.27</v>
      </c>
      <c r="G96" s="1">
        <v>4.2</v>
      </c>
    </row>
    <row r="97" spans="4:7" x14ac:dyDescent="0.2">
      <c r="D97" s="17">
        <v>44147</v>
      </c>
      <c r="E97" s="1">
        <v>2.29</v>
      </c>
      <c r="F97" s="1">
        <v>3.31</v>
      </c>
      <c r="G97" s="1">
        <v>4.2</v>
      </c>
    </row>
    <row r="98" spans="4:7" x14ac:dyDescent="0.2">
      <c r="D98" s="17">
        <v>44148</v>
      </c>
      <c r="E98" s="1">
        <v>2.68</v>
      </c>
      <c r="F98" s="1">
        <v>3.38</v>
      </c>
      <c r="G98" s="1">
        <v>4.26</v>
      </c>
    </row>
    <row r="99" spans="4:7" x14ac:dyDescent="0.2">
      <c r="D99" s="17">
        <v>44151</v>
      </c>
      <c r="E99" s="1">
        <v>2.68</v>
      </c>
      <c r="F99" s="1">
        <v>3.32</v>
      </c>
      <c r="G99" s="1">
        <v>4.26</v>
      </c>
    </row>
    <row r="100" spans="4:7" x14ac:dyDescent="0.2">
      <c r="D100" s="17">
        <v>44152</v>
      </c>
      <c r="E100" s="1">
        <v>2.68</v>
      </c>
      <c r="F100" s="1">
        <v>3.31</v>
      </c>
      <c r="G100" s="1">
        <v>4.26</v>
      </c>
    </row>
    <row r="101" spans="4:7" x14ac:dyDescent="0.2">
      <c r="D101" s="17">
        <v>44153</v>
      </c>
      <c r="E101" s="1">
        <v>2.54</v>
      </c>
      <c r="F101" s="1">
        <v>3.31</v>
      </c>
      <c r="G101" s="1">
        <v>4.26</v>
      </c>
    </row>
    <row r="102" spans="4:7" x14ac:dyDescent="0.2">
      <c r="D102" s="17">
        <v>44154</v>
      </c>
      <c r="E102" s="1">
        <v>2.4900000000000002</v>
      </c>
      <c r="F102" s="1">
        <v>3.31</v>
      </c>
      <c r="G102" s="1">
        <v>4.26</v>
      </c>
    </row>
    <row r="103" spans="4:7" x14ac:dyDescent="0.2">
      <c r="D103" s="17">
        <v>44155</v>
      </c>
      <c r="E103" s="1">
        <v>2.4900000000000002</v>
      </c>
      <c r="F103" s="1">
        <v>3.47</v>
      </c>
      <c r="G103" s="1">
        <v>4.12</v>
      </c>
    </row>
    <row r="104" spans="4:7" x14ac:dyDescent="0.2">
      <c r="D104" s="17">
        <v>44158</v>
      </c>
      <c r="E104" s="1">
        <v>2.4900000000000002</v>
      </c>
      <c r="F104" s="1">
        <v>3.48</v>
      </c>
      <c r="G104" s="1">
        <v>4.12</v>
      </c>
    </row>
    <row r="105" spans="4:7" x14ac:dyDescent="0.2">
      <c r="D105" s="17">
        <v>44159</v>
      </c>
      <c r="E105" s="1">
        <v>2.4900000000000002</v>
      </c>
      <c r="F105" s="1">
        <v>3.48</v>
      </c>
      <c r="G105" s="1">
        <v>4.12</v>
      </c>
    </row>
    <row r="106" spans="4:7" x14ac:dyDescent="0.2">
      <c r="D106" s="17">
        <v>44160</v>
      </c>
      <c r="E106" s="1">
        <v>2.4900000000000002</v>
      </c>
      <c r="F106" s="1">
        <v>3.5</v>
      </c>
      <c r="G106" s="1">
        <v>4.12</v>
      </c>
    </row>
    <row r="107" spans="4:7" x14ac:dyDescent="0.2">
      <c r="D107" s="17">
        <v>44161</v>
      </c>
      <c r="E107" s="1">
        <v>2.8</v>
      </c>
      <c r="F107" s="1">
        <v>3.5</v>
      </c>
      <c r="G107" s="1">
        <v>4.12</v>
      </c>
    </row>
    <row r="108" spans="4:7" x14ac:dyDescent="0.2">
      <c r="D108" s="17">
        <v>44162</v>
      </c>
      <c r="E108" s="1">
        <v>2.8</v>
      </c>
      <c r="F108" s="1">
        <v>3.56</v>
      </c>
      <c r="G108" s="1">
        <v>4.1100000000000003</v>
      </c>
    </row>
    <row r="109" spans="4:7" x14ac:dyDescent="0.2">
      <c r="D109" s="17">
        <v>44165</v>
      </c>
      <c r="E109" s="1">
        <v>2.97</v>
      </c>
      <c r="F109" s="1">
        <v>3.58</v>
      </c>
      <c r="G109" s="1">
        <v>4.1100000000000003</v>
      </c>
    </row>
    <row r="110" spans="4:7" x14ac:dyDescent="0.2">
      <c r="D110" s="17">
        <v>44166</v>
      </c>
      <c r="E110" s="1">
        <v>2.85</v>
      </c>
      <c r="F110" s="1">
        <v>3.45</v>
      </c>
      <c r="G110" s="1">
        <v>4.1100000000000003</v>
      </c>
    </row>
    <row r="111" spans="4:7" x14ac:dyDescent="0.2">
      <c r="D111" s="17">
        <v>44167</v>
      </c>
      <c r="E111" s="1">
        <v>2.6</v>
      </c>
      <c r="F111" s="1">
        <v>3.43</v>
      </c>
      <c r="G111" s="1">
        <v>4.1100000000000003</v>
      </c>
    </row>
    <row r="112" spans="4:7" x14ac:dyDescent="0.2">
      <c r="D112" s="17">
        <v>44168</v>
      </c>
      <c r="E112" s="1">
        <v>2.6</v>
      </c>
      <c r="F112" s="1">
        <v>3.42</v>
      </c>
      <c r="G112" s="1">
        <v>4.1100000000000003</v>
      </c>
    </row>
    <row r="113" spans="4:7" x14ac:dyDescent="0.2">
      <c r="D113" s="17">
        <v>44169</v>
      </c>
      <c r="E113" s="1">
        <v>2.4900000000000002</v>
      </c>
      <c r="F113" s="1">
        <v>3.33</v>
      </c>
      <c r="G113" s="1">
        <v>4.1100000000000003</v>
      </c>
    </row>
    <row r="114" spans="4:7" x14ac:dyDescent="0.2">
      <c r="D114" s="17">
        <v>44172</v>
      </c>
      <c r="E114" s="1">
        <v>2.36</v>
      </c>
      <c r="F114" s="1">
        <v>3.31</v>
      </c>
      <c r="G114" s="1">
        <v>4.1100000000000003</v>
      </c>
    </row>
    <row r="115" spans="4:7" x14ac:dyDescent="0.2">
      <c r="D115" s="17">
        <v>44173</v>
      </c>
      <c r="E115" s="1">
        <v>2.36</v>
      </c>
      <c r="F115" s="1">
        <v>3.31</v>
      </c>
      <c r="G115" s="1">
        <v>4.18</v>
      </c>
    </row>
    <row r="116" spans="4:7" x14ac:dyDescent="0.2">
      <c r="D116" s="17">
        <v>44174</v>
      </c>
      <c r="E116" s="1">
        <v>2.36</v>
      </c>
      <c r="F116" s="1">
        <v>3.3</v>
      </c>
      <c r="G116" s="1">
        <v>4.18</v>
      </c>
    </row>
    <row r="117" spans="4:7" x14ac:dyDescent="0.2">
      <c r="D117" s="17">
        <v>44175</v>
      </c>
      <c r="E117" s="1">
        <v>2.36</v>
      </c>
      <c r="F117" s="1">
        <v>3.3</v>
      </c>
      <c r="G117" s="1">
        <v>4.18</v>
      </c>
    </row>
    <row r="118" spans="4:7" x14ac:dyDescent="0.2">
      <c r="D118" s="17">
        <v>44176</v>
      </c>
      <c r="E118" s="1">
        <v>2.36</v>
      </c>
      <c r="F118" s="1">
        <v>3.34</v>
      </c>
      <c r="G118" s="1">
        <v>4.18</v>
      </c>
    </row>
    <row r="119" spans="4:7" x14ac:dyDescent="0.2">
      <c r="D119" s="17">
        <v>44179</v>
      </c>
      <c r="E119" s="1">
        <v>2.4900000000000002</v>
      </c>
      <c r="F119" s="1">
        <v>3.34</v>
      </c>
      <c r="G119" s="1">
        <v>4.18</v>
      </c>
    </row>
    <row r="120" spans="4:7" x14ac:dyDescent="0.2">
      <c r="D120" s="17">
        <v>44180</v>
      </c>
      <c r="E120" s="1">
        <v>2.4900000000000002</v>
      </c>
      <c r="F120" s="1">
        <v>3.34</v>
      </c>
      <c r="G120" s="1">
        <v>4.01</v>
      </c>
    </row>
    <row r="121" spans="4:7" x14ac:dyDescent="0.2">
      <c r="D121" s="17">
        <v>44181</v>
      </c>
      <c r="E121" s="1">
        <v>2.89</v>
      </c>
      <c r="F121" s="1">
        <v>3.35</v>
      </c>
      <c r="G121" s="1">
        <v>4.01</v>
      </c>
    </row>
    <row r="122" spans="4:7" x14ac:dyDescent="0.2">
      <c r="D122" s="17">
        <v>44182</v>
      </c>
      <c r="E122" s="1">
        <v>2.89</v>
      </c>
      <c r="F122" s="1">
        <v>3.33</v>
      </c>
      <c r="G122" s="1">
        <v>4.01</v>
      </c>
    </row>
    <row r="123" spans="4:7" x14ac:dyDescent="0.2">
      <c r="D123" s="17">
        <v>44183</v>
      </c>
      <c r="E123" s="1">
        <v>2.4300000000000002</v>
      </c>
      <c r="F123" s="1">
        <v>3.35</v>
      </c>
      <c r="G123" s="1">
        <v>4.05</v>
      </c>
    </row>
    <row r="124" spans="4:7" x14ac:dyDescent="0.2">
      <c r="D124" s="17">
        <v>44186</v>
      </c>
      <c r="E124" s="1">
        <v>2.4300000000000002</v>
      </c>
      <c r="F124" s="1">
        <v>3.34</v>
      </c>
      <c r="G124" s="1">
        <v>4.05</v>
      </c>
    </row>
    <row r="125" spans="4:7" x14ac:dyDescent="0.2">
      <c r="D125" s="17">
        <v>44187</v>
      </c>
      <c r="E125" s="1">
        <v>2.4300000000000002</v>
      </c>
      <c r="F125" s="1">
        <v>3.3</v>
      </c>
      <c r="G125" s="1">
        <v>4.05</v>
      </c>
    </row>
    <row r="126" spans="4:7" x14ac:dyDescent="0.2">
      <c r="D126" s="17">
        <v>44188</v>
      </c>
      <c r="E126" s="1">
        <v>2.4300000000000002</v>
      </c>
      <c r="F126" s="1">
        <v>3.3</v>
      </c>
      <c r="G126" s="1">
        <v>4.18</v>
      </c>
    </row>
    <row r="127" spans="4:7" x14ac:dyDescent="0.2">
      <c r="D127" s="17">
        <v>44189</v>
      </c>
      <c r="E127" s="1">
        <v>2.4300000000000002</v>
      </c>
      <c r="F127" s="1">
        <v>3.34</v>
      </c>
      <c r="G127" s="1">
        <v>4.18</v>
      </c>
    </row>
    <row r="128" spans="4:7" x14ac:dyDescent="0.2">
      <c r="D128" s="17">
        <v>44193</v>
      </c>
      <c r="E128" s="1">
        <v>2.5</v>
      </c>
      <c r="F128" s="1">
        <v>3.28</v>
      </c>
      <c r="G128" s="1">
        <v>4.18</v>
      </c>
    </row>
    <row r="129" spans="4:7" x14ac:dyDescent="0.2">
      <c r="D129" s="17">
        <v>44194</v>
      </c>
      <c r="E129" s="1">
        <v>2.5</v>
      </c>
      <c r="F129" s="1">
        <v>3.3</v>
      </c>
      <c r="G129" s="1">
        <v>4.18</v>
      </c>
    </row>
    <row r="130" spans="4:7" x14ac:dyDescent="0.2">
      <c r="D130" s="17">
        <v>44195</v>
      </c>
      <c r="E130" s="1">
        <v>2.5</v>
      </c>
      <c r="F130" s="1">
        <v>3.34</v>
      </c>
      <c r="G130" s="1">
        <v>4.18</v>
      </c>
    </row>
    <row r="131" spans="4:7" x14ac:dyDescent="0.2">
      <c r="D131" s="17">
        <v>44196</v>
      </c>
      <c r="E131" s="1">
        <v>2.5</v>
      </c>
      <c r="F131" s="1">
        <v>3.34</v>
      </c>
      <c r="G131" s="1">
        <v>4.18</v>
      </c>
    </row>
    <row r="132" spans="4:7" x14ac:dyDescent="0.2">
      <c r="D132" s="17">
        <v>44200</v>
      </c>
      <c r="E132" s="1">
        <v>2.5</v>
      </c>
      <c r="F132" s="1">
        <v>3.32</v>
      </c>
      <c r="G132" s="1">
        <v>4.18</v>
      </c>
    </row>
    <row r="133" spans="4:7" x14ac:dyDescent="0.2">
      <c r="D133" s="17">
        <v>44201</v>
      </c>
      <c r="E133" s="1">
        <v>2.5299999999999998</v>
      </c>
      <c r="F133" s="1">
        <v>3.3</v>
      </c>
      <c r="G133" s="1">
        <v>4.18</v>
      </c>
    </row>
    <row r="134" spans="4:7" x14ac:dyDescent="0.2">
      <c r="D134" s="17">
        <v>44202</v>
      </c>
      <c r="E134" s="1">
        <v>2.5299999999999998</v>
      </c>
      <c r="F134" s="1">
        <v>3.29</v>
      </c>
      <c r="G134" s="1">
        <v>4.18</v>
      </c>
    </row>
    <row r="135" spans="4:7" x14ac:dyDescent="0.2">
      <c r="D135" s="17">
        <v>44203</v>
      </c>
      <c r="E135" s="1">
        <v>2.5299999999999998</v>
      </c>
      <c r="F135" s="1">
        <v>3.28</v>
      </c>
      <c r="G135" s="1">
        <v>4.18</v>
      </c>
    </row>
    <row r="136" spans="4:7" x14ac:dyDescent="0.2">
      <c r="D136" s="17">
        <v>44204</v>
      </c>
      <c r="E136" s="1">
        <v>2.48</v>
      </c>
      <c r="F136" s="1">
        <v>3.35</v>
      </c>
      <c r="G136" s="1">
        <v>4.18</v>
      </c>
    </row>
    <row r="137" spans="4:7" x14ac:dyDescent="0.2">
      <c r="D137" s="17">
        <v>44207</v>
      </c>
      <c r="E137" s="1">
        <v>2.48</v>
      </c>
      <c r="F137" s="1">
        <v>3.4</v>
      </c>
      <c r="G137" s="1">
        <v>4.18</v>
      </c>
    </row>
    <row r="138" spans="4:7" x14ac:dyDescent="0.2">
      <c r="D138" s="17">
        <v>44208</v>
      </c>
      <c r="E138" s="1">
        <v>2.48</v>
      </c>
      <c r="F138" s="1">
        <v>3.4</v>
      </c>
      <c r="G138" s="1">
        <v>4.13</v>
      </c>
    </row>
    <row r="139" spans="4:7" x14ac:dyDescent="0.2">
      <c r="D139" s="17">
        <v>44209</v>
      </c>
      <c r="E139" s="1">
        <v>2.48</v>
      </c>
      <c r="F139" s="1">
        <v>3.44</v>
      </c>
      <c r="G139" s="1">
        <v>4.24</v>
      </c>
    </row>
    <row r="140" spans="4:7" x14ac:dyDescent="0.2">
      <c r="D140" s="17">
        <v>44210</v>
      </c>
      <c r="E140" s="1">
        <v>2.48</v>
      </c>
      <c r="F140" s="1">
        <v>3.49</v>
      </c>
      <c r="G140" s="1">
        <v>4.24</v>
      </c>
    </row>
    <row r="141" spans="4:7" x14ac:dyDescent="0.2">
      <c r="D141" s="17">
        <v>44211</v>
      </c>
      <c r="E141" s="1">
        <v>2.89</v>
      </c>
      <c r="F141" s="1">
        <v>3.47</v>
      </c>
      <c r="G141" s="1">
        <v>4.26</v>
      </c>
    </row>
    <row r="142" spans="4:7" x14ac:dyDescent="0.2">
      <c r="D142" s="17">
        <v>44214</v>
      </c>
      <c r="E142" s="1">
        <v>2.4900000000000002</v>
      </c>
      <c r="F142" s="1">
        <v>3.49</v>
      </c>
      <c r="G142" s="1">
        <v>4.26</v>
      </c>
    </row>
    <row r="143" spans="4:7" x14ac:dyDescent="0.2">
      <c r="D143" s="17">
        <v>44215</v>
      </c>
      <c r="E143" s="1">
        <v>2.4900000000000002</v>
      </c>
      <c r="F143" s="1">
        <v>3.46</v>
      </c>
      <c r="G143" s="1">
        <v>4.26</v>
      </c>
    </row>
    <row r="144" spans="4:7" x14ac:dyDescent="0.2">
      <c r="D144" s="17">
        <v>44216</v>
      </c>
      <c r="E144" s="1">
        <v>2.4900000000000002</v>
      </c>
      <c r="F144" s="1">
        <v>3.45</v>
      </c>
      <c r="G144" s="1">
        <v>4.26</v>
      </c>
    </row>
    <row r="145" spans="4:7" x14ac:dyDescent="0.2">
      <c r="D145" s="17">
        <v>44217</v>
      </c>
      <c r="E145" s="1">
        <v>2.5</v>
      </c>
      <c r="F145" s="1">
        <v>3.43</v>
      </c>
      <c r="G145" s="1">
        <v>4.26</v>
      </c>
    </row>
    <row r="146" spans="4:7" x14ac:dyDescent="0.2">
      <c r="D146" s="17">
        <v>44218</v>
      </c>
      <c r="E146" s="1">
        <v>2.5</v>
      </c>
      <c r="F146" s="1">
        <v>3.6</v>
      </c>
      <c r="G146" s="1">
        <v>4.24</v>
      </c>
    </row>
    <row r="147" spans="4:7" x14ac:dyDescent="0.2">
      <c r="D147" s="17">
        <v>44221</v>
      </c>
      <c r="E147" s="1">
        <v>2.5</v>
      </c>
      <c r="F147" s="1">
        <v>3.61</v>
      </c>
      <c r="G147" s="1">
        <v>4.24</v>
      </c>
    </row>
    <row r="148" spans="4:7" x14ac:dyDescent="0.2">
      <c r="D148" s="17">
        <v>44222</v>
      </c>
      <c r="E148" s="1">
        <v>2.5</v>
      </c>
      <c r="F148" s="1">
        <v>3.66</v>
      </c>
      <c r="G148" s="1">
        <v>4.24</v>
      </c>
    </row>
    <row r="149" spans="4:7" x14ac:dyDescent="0.2">
      <c r="D149" s="17">
        <v>44223</v>
      </c>
      <c r="E149" s="1">
        <v>2.5</v>
      </c>
      <c r="F149" s="1">
        <v>3.64</v>
      </c>
      <c r="G149" s="1">
        <v>4.24</v>
      </c>
    </row>
    <row r="150" spans="4:7" x14ac:dyDescent="0.2">
      <c r="D150" s="17">
        <v>44224</v>
      </c>
      <c r="E150" s="1">
        <v>3.04</v>
      </c>
      <c r="F150" s="1">
        <v>3.64</v>
      </c>
      <c r="G150" s="1">
        <v>4.24</v>
      </c>
    </row>
    <row r="151" spans="4:7" x14ac:dyDescent="0.2">
      <c r="D151" s="17">
        <v>44225</v>
      </c>
      <c r="E151" s="1">
        <v>3.04</v>
      </c>
      <c r="F151" s="1">
        <v>3.6</v>
      </c>
      <c r="G151" s="1">
        <v>4.1900000000000004</v>
      </c>
    </row>
    <row r="152" spans="4:7" x14ac:dyDescent="0.2">
      <c r="D152" s="17">
        <v>44228</v>
      </c>
      <c r="E152" s="1">
        <v>3.04</v>
      </c>
      <c r="F152" s="1">
        <v>3.62</v>
      </c>
      <c r="G152" s="1">
        <v>4.22</v>
      </c>
    </row>
    <row r="153" spans="4:7" x14ac:dyDescent="0.2">
      <c r="D153" s="17">
        <v>44229</v>
      </c>
      <c r="E153" s="1">
        <v>3.04</v>
      </c>
      <c r="F153" s="1">
        <v>3.64</v>
      </c>
      <c r="G153" s="1">
        <v>4.22</v>
      </c>
    </row>
    <row r="154" spans="4:7" x14ac:dyDescent="0.2">
      <c r="D154" s="17">
        <v>44230</v>
      </c>
      <c r="E154" s="1">
        <v>2.93</v>
      </c>
      <c r="F154" s="1">
        <v>3.64</v>
      </c>
      <c r="G154" s="1">
        <v>4.22</v>
      </c>
    </row>
    <row r="155" spans="4:7" x14ac:dyDescent="0.2">
      <c r="D155" s="17">
        <v>44231</v>
      </c>
      <c r="E155" s="1">
        <v>2.93</v>
      </c>
      <c r="F155" s="1">
        <v>3.64</v>
      </c>
      <c r="G155" s="1">
        <v>4.22</v>
      </c>
    </row>
    <row r="156" spans="4:7" x14ac:dyDescent="0.2">
      <c r="D156" s="17">
        <v>44232</v>
      </c>
      <c r="E156" s="1">
        <v>2.93</v>
      </c>
      <c r="F156" s="1">
        <v>3.66</v>
      </c>
      <c r="G156" s="1">
        <v>4.25</v>
      </c>
    </row>
    <row r="157" spans="4:7" x14ac:dyDescent="0.2">
      <c r="D157" s="17">
        <v>44235</v>
      </c>
      <c r="E157" s="1">
        <v>2.93</v>
      </c>
      <c r="F157" s="1">
        <v>3.63</v>
      </c>
      <c r="G157" s="1">
        <v>4.25</v>
      </c>
    </row>
    <row r="158" spans="4:7" x14ac:dyDescent="0.2">
      <c r="D158" s="17">
        <v>44236</v>
      </c>
      <c r="E158" s="1">
        <v>2.85</v>
      </c>
      <c r="F158" s="1">
        <v>3.61</v>
      </c>
      <c r="G158" s="1">
        <v>4.18</v>
      </c>
    </row>
    <row r="159" spans="4:7" x14ac:dyDescent="0.2">
      <c r="D159" s="17">
        <v>44237</v>
      </c>
      <c r="E159" s="1">
        <v>2.96</v>
      </c>
      <c r="F159" s="1">
        <v>3.65</v>
      </c>
      <c r="G159" s="1">
        <v>4.2699999999999996</v>
      </c>
    </row>
    <row r="160" spans="4:7" x14ac:dyDescent="0.2">
      <c r="D160" s="17">
        <v>44238</v>
      </c>
      <c r="E160" s="1">
        <v>2.96</v>
      </c>
      <c r="F160" s="1">
        <v>3.65</v>
      </c>
      <c r="G160" s="1">
        <v>4.2699999999999996</v>
      </c>
    </row>
    <row r="161" spans="4:7" x14ac:dyDescent="0.2">
      <c r="D161" s="17">
        <v>44239</v>
      </c>
      <c r="E161" s="1">
        <v>2.46</v>
      </c>
      <c r="F161" s="1">
        <v>3.72</v>
      </c>
      <c r="G161" s="1">
        <v>4.3</v>
      </c>
    </row>
    <row r="162" spans="4:7" x14ac:dyDescent="0.2">
      <c r="D162" s="17">
        <v>44244</v>
      </c>
      <c r="E162" s="1">
        <v>2.46</v>
      </c>
      <c r="F162" s="1">
        <v>3.8</v>
      </c>
      <c r="G162" s="1">
        <v>4.37</v>
      </c>
    </row>
    <row r="163" spans="4:7" x14ac:dyDescent="0.2">
      <c r="D163" s="17">
        <v>44245</v>
      </c>
      <c r="E163" s="1">
        <v>2.46</v>
      </c>
      <c r="F163" s="1">
        <v>3.79</v>
      </c>
      <c r="G163" s="1">
        <v>4.47</v>
      </c>
    </row>
    <row r="164" spans="4:7" x14ac:dyDescent="0.2">
      <c r="D164" s="17">
        <v>44246</v>
      </c>
      <c r="E164" s="1">
        <v>2.46</v>
      </c>
      <c r="F164" s="1">
        <v>3.85</v>
      </c>
      <c r="G164" s="1">
        <v>4.6100000000000003</v>
      </c>
    </row>
    <row r="165" spans="4:7" x14ac:dyDescent="0.2">
      <c r="D165" s="17">
        <v>44249</v>
      </c>
      <c r="E165" s="1">
        <v>2.46</v>
      </c>
      <c r="F165" s="1">
        <v>3.89</v>
      </c>
      <c r="G165" s="1">
        <v>4.6100000000000003</v>
      </c>
    </row>
    <row r="166" spans="4:7" x14ac:dyDescent="0.2">
      <c r="D166" s="17">
        <v>44250</v>
      </c>
      <c r="E166" s="1">
        <v>2.86</v>
      </c>
      <c r="F166" s="1">
        <v>3.89</v>
      </c>
      <c r="G166" s="1">
        <v>4.6100000000000003</v>
      </c>
    </row>
    <row r="167" spans="4:7" x14ac:dyDescent="0.2">
      <c r="D167" s="17">
        <v>44251</v>
      </c>
      <c r="E167" s="1">
        <v>2.86</v>
      </c>
      <c r="F167" s="1">
        <v>3.89</v>
      </c>
      <c r="G167" s="1">
        <v>4.6100000000000003</v>
      </c>
    </row>
    <row r="168" spans="4:7" x14ac:dyDescent="0.2">
      <c r="D168" s="17">
        <v>44252</v>
      </c>
      <c r="E168" s="1">
        <v>2.86</v>
      </c>
      <c r="F168" s="1">
        <v>3.9</v>
      </c>
      <c r="G168" s="1">
        <v>4.6100000000000003</v>
      </c>
    </row>
    <row r="169" spans="4:7" x14ac:dyDescent="0.2">
      <c r="D169" s="17">
        <v>44253</v>
      </c>
      <c r="E169" s="1">
        <v>3.33</v>
      </c>
      <c r="F169" s="1">
        <v>3.99</v>
      </c>
      <c r="G169" s="1">
        <v>4.6100000000000003</v>
      </c>
    </row>
    <row r="170" spans="4:7" x14ac:dyDescent="0.2">
      <c r="D170" s="17">
        <v>44256</v>
      </c>
      <c r="E170" s="1">
        <v>3.33</v>
      </c>
      <c r="F170" s="1">
        <v>3.97</v>
      </c>
      <c r="G170" s="1">
        <v>4.6100000000000003</v>
      </c>
    </row>
    <row r="171" spans="4:7" x14ac:dyDescent="0.2">
      <c r="D171" s="17">
        <v>44257</v>
      </c>
      <c r="E171" s="1">
        <v>3.33</v>
      </c>
      <c r="F171" s="1">
        <v>4.01</v>
      </c>
      <c r="G171" s="1">
        <v>4.6100000000000003</v>
      </c>
    </row>
    <row r="172" spans="4:7" x14ac:dyDescent="0.2">
      <c r="D172" s="17">
        <v>44258</v>
      </c>
      <c r="E172" s="1">
        <v>3.33</v>
      </c>
      <c r="F172" s="1">
        <v>4.0199999999999996</v>
      </c>
      <c r="G172" s="1">
        <v>4.6900000000000004</v>
      </c>
    </row>
    <row r="173" spans="4:7" x14ac:dyDescent="0.2">
      <c r="D173" s="17">
        <v>44259</v>
      </c>
      <c r="E173" s="1">
        <v>3.33</v>
      </c>
      <c r="F173" s="1">
        <v>4.0199999999999996</v>
      </c>
      <c r="G173" s="1">
        <v>4.6900000000000004</v>
      </c>
    </row>
    <row r="174" spans="4:7" x14ac:dyDescent="0.2">
      <c r="D174" s="17">
        <v>44260</v>
      </c>
      <c r="E174" s="1">
        <v>3.39</v>
      </c>
      <c r="F174" s="1">
        <v>4.0999999999999996</v>
      </c>
      <c r="G174" s="1">
        <v>4.74</v>
      </c>
    </row>
    <row r="175" spans="4:7" x14ac:dyDescent="0.2">
      <c r="D175" s="17">
        <v>44263</v>
      </c>
      <c r="E175" s="1">
        <v>3.39</v>
      </c>
      <c r="F175" s="1">
        <v>4.29</v>
      </c>
      <c r="G175" s="1">
        <v>5.0999999999999996</v>
      </c>
    </row>
    <row r="176" spans="4:7" x14ac:dyDescent="0.2">
      <c r="D176" s="17">
        <v>44264</v>
      </c>
      <c r="E176" s="1">
        <v>3.39</v>
      </c>
      <c r="F176" s="1">
        <v>4.3</v>
      </c>
      <c r="G176" s="1">
        <v>5.0999999999999996</v>
      </c>
    </row>
    <row r="177" spans="4:7" x14ac:dyDescent="0.2">
      <c r="D177" s="17">
        <v>44265</v>
      </c>
      <c r="E177" s="1">
        <v>3.39</v>
      </c>
      <c r="F177" s="1">
        <v>4.3499999999999996</v>
      </c>
      <c r="G177" s="1">
        <v>5.0999999999999996</v>
      </c>
    </row>
    <row r="178" spans="4:7" x14ac:dyDescent="0.2">
      <c r="D178" s="17">
        <v>44266</v>
      </c>
      <c r="E178" s="1">
        <v>3.8</v>
      </c>
      <c r="F178" s="1">
        <v>4.6500000000000004</v>
      </c>
      <c r="G178" s="1">
        <v>5.45</v>
      </c>
    </row>
    <row r="179" spans="4:7" x14ac:dyDescent="0.2">
      <c r="D179" s="17">
        <v>44267</v>
      </c>
      <c r="E179" s="1">
        <v>3.43</v>
      </c>
      <c r="F179" s="1">
        <v>4.72</v>
      </c>
      <c r="G179" s="1">
        <v>5.54</v>
      </c>
    </row>
    <row r="180" spans="4:7" x14ac:dyDescent="0.2">
      <c r="D180" s="17">
        <v>44270</v>
      </c>
      <c r="E180" s="1">
        <v>3.43</v>
      </c>
      <c r="F180" s="1">
        <v>4.72</v>
      </c>
      <c r="G180" s="1">
        <v>5.54</v>
      </c>
    </row>
    <row r="181" spans="4:7" x14ac:dyDescent="0.2">
      <c r="D181" s="17">
        <v>44271</v>
      </c>
      <c r="E181" s="1">
        <v>3.43</v>
      </c>
      <c r="F181" s="1">
        <v>4.72</v>
      </c>
      <c r="G181" s="1">
        <v>5.54</v>
      </c>
    </row>
    <row r="182" spans="4:7" x14ac:dyDescent="0.2">
      <c r="D182" s="17">
        <v>44272</v>
      </c>
      <c r="E182" s="1">
        <v>3.43</v>
      </c>
      <c r="F182" s="1">
        <v>4.72</v>
      </c>
      <c r="G182" s="1">
        <v>5.54</v>
      </c>
    </row>
    <row r="183" spans="4:7" x14ac:dyDescent="0.2">
      <c r="D183" s="17">
        <v>44273</v>
      </c>
      <c r="E183" s="1">
        <v>3.43</v>
      </c>
      <c r="F183" s="1">
        <v>4.72</v>
      </c>
      <c r="G183" s="1">
        <v>5.74</v>
      </c>
    </row>
    <row r="184" spans="4:7" x14ac:dyDescent="0.2">
      <c r="D184" s="17">
        <v>44274</v>
      </c>
      <c r="E184" s="1">
        <v>3.76</v>
      </c>
      <c r="F184" s="1">
        <v>4.75</v>
      </c>
      <c r="G184" s="1">
        <v>5.74</v>
      </c>
    </row>
    <row r="185" spans="4:7" x14ac:dyDescent="0.2">
      <c r="D185" s="17">
        <v>44277</v>
      </c>
      <c r="E185" s="1">
        <v>3.76</v>
      </c>
      <c r="F185" s="1">
        <v>4.8099999999999996</v>
      </c>
      <c r="G185" s="1">
        <v>5.74</v>
      </c>
    </row>
    <row r="186" spans="4:7" x14ac:dyDescent="0.2">
      <c r="D186" s="17">
        <v>44278</v>
      </c>
      <c r="E186" s="1">
        <v>3.76</v>
      </c>
      <c r="F186" s="1">
        <v>4.8499999999999996</v>
      </c>
      <c r="G186" s="1">
        <v>5.74</v>
      </c>
    </row>
    <row r="187" spans="4:7" x14ac:dyDescent="0.2">
      <c r="D187" s="17">
        <v>44279</v>
      </c>
      <c r="E187" s="1">
        <v>3.76</v>
      </c>
      <c r="F187" s="1">
        <v>4.91</v>
      </c>
      <c r="G187" s="1">
        <v>5.74</v>
      </c>
    </row>
    <row r="188" spans="4:7" x14ac:dyDescent="0.2">
      <c r="D188" s="17">
        <v>44280</v>
      </c>
      <c r="E188" s="1">
        <v>3.76</v>
      </c>
      <c r="F188" s="1">
        <v>4.91</v>
      </c>
      <c r="G188" s="1">
        <v>5.71</v>
      </c>
    </row>
    <row r="189" spans="4:7" x14ac:dyDescent="0.2">
      <c r="D189" s="17">
        <v>44281</v>
      </c>
      <c r="E189" s="1">
        <v>4.0199999999999996</v>
      </c>
      <c r="F189" s="1">
        <v>4.9000000000000004</v>
      </c>
      <c r="G189" s="1">
        <v>5.71</v>
      </c>
    </row>
    <row r="190" spans="4:7" x14ac:dyDescent="0.2">
      <c r="D190" s="17">
        <v>44284</v>
      </c>
      <c r="E190" s="1">
        <v>4.05</v>
      </c>
      <c r="F190" s="1">
        <v>4.92</v>
      </c>
      <c r="G190" s="1">
        <v>6.26</v>
      </c>
    </row>
    <row r="191" spans="4:7" x14ac:dyDescent="0.2">
      <c r="D191" s="17">
        <v>44285</v>
      </c>
      <c r="E191" s="1">
        <v>4.05</v>
      </c>
      <c r="F191" s="1">
        <v>4.91</v>
      </c>
      <c r="G191" s="1">
        <v>6.26</v>
      </c>
    </row>
    <row r="192" spans="4:7" x14ac:dyDescent="0.2">
      <c r="D192" s="17">
        <v>44286</v>
      </c>
      <c r="E192" s="1">
        <v>4.0488</v>
      </c>
      <c r="F192" s="1">
        <v>4.8710000000000004</v>
      </c>
      <c r="G192" s="1">
        <v>6.2591999999999999</v>
      </c>
    </row>
    <row r="193" spans="4:7" x14ac:dyDescent="0.2">
      <c r="D193" s="17">
        <v>44287</v>
      </c>
      <c r="E193" s="1">
        <v>3.9340000000000002</v>
      </c>
      <c r="F193" s="1">
        <v>4.8612000000000002</v>
      </c>
      <c r="G193" s="1">
        <v>6.2591999999999999</v>
      </c>
    </row>
    <row r="194" spans="4:7" x14ac:dyDescent="0.2">
      <c r="D194" s="17">
        <v>44291</v>
      </c>
      <c r="E194" s="1">
        <v>3.9340000000000002</v>
      </c>
      <c r="F194" s="1">
        <v>4.8604000000000003</v>
      </c>
      <c r="G194" s="1">
        <v>6.2591999999999999</v>
      </c>
    </row>
    <row r="195" spans="4:7" x14ac:dyDescent="0.2">
      <c r="D195" s="17">
        <v>44292</v>
      </c>
      <c r="E195" s="1">
        <v>3.9340000000000002</v>
      </c>
      <c r="F195" s="1">
        <v>4.8304999999999998</v>
      </c>
      <c r="G195" s="1">
        <v>5.383</v>
      </c>
    </row>
    <row r="196" spans="4:7" x14ac:dyDescent="0.2">
      <c r="D196" s="17">
        <v>44293</v>
      </c>
      <c r="E196" s="1">
        <v>3.9340000000000002</v>
      </c>
      <c r="F196" s="1">
        <v>4.8097000000000003</v>
      </c>
      <c r="G196" s="1">
        <v>5.383</v>
      </c>
    </row>
    <row r="197" spans="4:7" x14ac:dyDescent="0.2">
      <c r="D197" s="17">
        <v>44294</v>
      </c>
      <c r="E197" s="1">
        <v>3.9340000000000002</v>
      </c>
      <c r="F197" s="1">
        <v>4.8513000000000002</v>
      </c>
      <c r="G197" s="1">
        <v>5.5204000000000004</v>
      </c>
    </row>
    <row r="198" spans="4:7" x14ac:dyDescent="0.2">
      <c r="D198" s="17">
        <v>44295</v>
      </c>
      <c r="E198" s="1">
        <v>4.0590999999999999</v>
      </c>
      <c r="F198" s="1">
        <v>4.9244000000000003</v>
      </c>
      <c r="G198" s="1">
        <v>5.8482000000000003</v>
      </c>
    </row>
    <row r="199" spans="4:7" x14ac:dyDescent="0.2">
      <c r="D199" s="17">
        <v>44298</v>
      </c>
      <c r="E199" s="1">
        <v>4.0590999999999999</v>
      </c>
      <c r="F199" s="1">
        <v>4.9713000000000003</v>
      </c>
      <c r="G199" s="1">
        <v>5.8482000000000003</v>
      </c>
    </row>
    <row r="200" spans="4:7" x14ac:dyDescent="0.2">
      <c r="D200" s="17">
        <v>44299</v>
      </c>
      <c r="E200" s="1">
        <v>4.1002999999999998</v>
      </c>
      <c r="F200" s="1">
        <v>4.9713000000000003</v>
      </c>
      <c r="G200" s="1">
        <v>5.8482000000000003</v>
      </c>
    </row>
    <row r="201" spans="4:7" x14ac:dyDescent="0.2">
      <c r="D201" s="17">
        <v>44300</v>
      </c>
      <c r="E201" s="1">
        <v>4.1002999999999998</v>
      </c>
      <c r="F201" s="1">
        <v>4.9607999999999999</v>
      </c>
      <c r="G201" s="1">
        <v>5.8482000000000003</v>
      </c>
    </row>
    <row r="202" spans="4:7" x14ac:dyDescent="0.2">
      <c r="D202" s="17">
        <v>44301</v>
      </c>
      <c r="E202" s="1">
        <v>4.2049000000000003</v>
      </c>
      <c r="F202" s="1">
        <v>4.9610000000000003</v>
      </c>
      <c r="G202" s="1">
        <v>5.8482000000000003</v>
      </c>
    </row>
    <row r="203" spans="4:7" x14ac:dyDescent="0.2">
      <c r="D203" s="17">
        <v>44302</v>
      </c>
      <c r="E203" s="1">
        <v>4.05</v>
      </c>
      <c r="F203" s="1">
        <v>4.9817999999999998</v>
      </c>
      <c r="G203" s="1">
        <v>5.6479999999999997</v>
      </c>
    </row>
    <row r="204" spans="4:7" x14ac:dyDescent="0.2">
      <c r="D204" s="17">
        <v>44305</v>
      </c>
      <c r="E204" s="1">
        <v>4.05</v>
      </c>
      <c r="F204" s="1">
        <v>5</v>
      </c>
      <c r="G204" s="1">
        <v>6.5140000000000002</v>
      </c>
    </row>
    <row r="205" spans="4:7" x14ac:dyDescent="0.2">
      <c r="D205" s="17">
        <v>44306</v>
      </c>
      <c r="E205" s="1">
        <v>4.05</v>
      </c>
      <c r="F205" s="1">
        <v>4.9987000000000004</v>
      </c>
      <c r="G205" s="1">
        <v>6.5140000000000002</v>
      </c>
    </row>
    <row r="206" spans="4:7" x14ac:dyDescent="0.2">
      <c r="D206" s="17">
        <v>44308</v>
      </c>
      <c r="E206" s="1">
        <v>4.05</v>
      </c>
      <c r="F206" s="1">
        <v>5.0175000000000001</v>
      </c>
      <c r="G206" s="1">
        <v>6.4391999999999996</v>
      </c>
    </row>
    <row r="207" spans="4:7" x14ac:dyDescent="0.2">
      <c r="D207" s="17">
        <v>44309</v>
      </c>
      <c r="E207" s="1">
        <v>4.2152000000000003</v>
      </c>
      <c r="F207" s="1">
        <v>5.0392000000000001</v>
      </c>
      <c r="G207" s="1">
        <v>6.9390999999999998</v>
      </c>
    </row>
    <row r="208" spans="4:7" x14ac:dyDescent="0.2">
      <c r="D208" s="17">
        <v>44312</v>
      </c>
      <c r="E208" s="1">
        <v>4.2152000000000003</v>
      </c>
      <c r="F208" s="1">
        <v>5.0392000000000001</v>
      </c>
      <c r="G208" s="1">
        <v>6.9390999999999998</v>
      </c>
    </row>
    <row r="209" spans="4:7" x14ac:dyDescent="0.2">
      <c r="D209" s="17">
        <v>44313</v>
      </c>
      <c r="E209" s="1">
        <v>4.2152000000000003</v>
      </c>
      <c r="F209" s="1">
        <v>5.0495000000000001</v>
      </c>
      <c r="G209" s="1">
        <v>6.9390999999999998</v>
      </c>
    </row>
    <row r="210" spans="4:7" x14ac:dyDescent="0.2">
      <c r="D210" s="17">
        <v>44314</v>
      </c>
      <c r="E210" s="1">
        <v>4.2152000000000003</v>
      </c>
      <c r="F210" s="1">
        <v>5.0495999999999999</v>
      </c>
      <c r="G210" s="1">
        <v>6.9390999999999998</v>
      </c>
    </row>
    <row r="211" spans="4:7" x14ac:dyDescent="0.2">
      <c r="D211" s="17">
        <v>44315</v>
      </c>
      <c r="E211" s="1">
        <v>4.2152000000000003</v>
      </c>
      <c r="F211" s="1">
        <v>5.0545999999999998</v>
      </c>
      <c r="G211" s="1">
        <v>6.9390999999999998</v>
      </c>
    </row>
    <row r="212" spans="4:7" x14ac:dyDescent="0.2">
      <c r="D212" s="17">
        <v>44316</v>
      </c>
      <c r="E212" s="1">
        <v>4.2255000000000003</v>
      </c>
      <c r="F212" s="1">
        <v>5.1021000000000001</v>
      </c>
      <c r="G212" s="1">
        <v>6.4286000000000003</v>
      </c>
    </row>
    <row r="213" spans="4:7" x14ac:dyDescent="0.2">
      <c r="D213" s="17">
        <v>44319</v>
      </c>
      <c r="E213" s="1">
        <v>4.2255000000000003</v>
      </c>
      <c r="F213" s="1">
        <v>5.1071</v>
      </c>
      <c r="G213" s="1">
        <v>6.4286000000000003</v>
      </c>
    </row>
    <row r="214" spans="4:7" x14ac:dyDescent="0.2">
      <c r="D214" s="17">
        <v>44320</v>
      </c>
      <c r="E214" s="1">
        <v>4.2255000000000003</v>
      </c>
      <c r="F214" s="1">
        <v>5.1071</v>
      </c>
      <c r="G214" s="1">
        <v>6.4286000000000003</v>
      </c>
    </row>
    <row r="215" spans="4:7" x14ac:dyDescent="0.2">
      <c r="D215" s="17">
        <v>44321</v>
      </c>
      <c r="E215" s="1">
        <v>4.2255000000000003</v>
      </c>
      <c r="F215" s="1">
        <v>5.1185999999999998</v>
      </c>
      <c r="G215" s="1">
        <v>6.4286000000000003</v>
      </c>
    </row>
    <row r="216" spans="4:7" x14ac:dyDescent="0.2">
      <c r="D216" s="17">
        <v>44322</v>
      </c>
      <c r="E216" s="1">
        <v>4.2255000000000003</v>
      </c>
      <c r="F216" s="1">
        <v>5.1334</v>
      </c>
      <c r="G216" s="1">
        <v>6.4286000000000003</v>
      </c>
    </row>
    <row r="217" spans="4:7" x14ac:dyDescent="0.2">
      <c r="D217" s="17">
        <v>44323</v>
      </c>
      <c r="E217" s="1">
        <v>4.0274999999999999</v>
      </c>
      <c r="F217" s="1">
        <v>5.1543999999999999</v>
      </c>
      <c r="G217" s="1">
        <v>5.6894</v>
      </c>
    </row>
    <row r="218" spans="4:7" x14ac:dyDescent="0.2">
      <c r="D218" s="17">
        <v>44326</v>
      </c>
      <c r="E218" s="1">
        <v>4.0274999999999999</v>
      </c>
      <c r="F218" s="1">
        <v>5.1654</v>
      </c>
      <c r="G218" s="1">
        <v>5.6894</v>
      </c>
    </row>
    <row r="219" spans="4:7" x14ac:dyDescent="0.2">
      <c r="D219" s="17">
        <v>44327</v>
      </c>
      <c r="E219" s="1">
        <v>4.0898000000000003</v>
      </c>
      <c r="F219" s="1">
        <v>5.1859999999999999</v>
      </c>
      <c r="G219" s="1">
        <v>5.8792</v>
      </c>
    </row>
    <row r="220" spans="4:7" x14ac:dyDescent="0.2">
      <c r="D220" s="17">
        <v>44328</v>
      </c>
      <c r="E220" s="1">
        <v>4.0898000000000003</v>
      </c>
      <c r="F220" s="1">
        <v>5.2172000000000001</v>
      </c>
      <c r="G220" s="1">
        <v>6.5448000000000004</v>
      </c>
    </row>
    <row r="221" spans="4:7" x14ac:dyDescent="0.2">
      <c r="D221" s="17">
        <v>44329</v>
      </c>
      <c r="E221" s="1">
        <v>4.0898000000000003</v>
      </c>
      <c r="F221" s="1">
        <v>5.2380000000000004</v>
      </c>
      <c r="G221" s="1">
        <v>6.5448000000000004</v>
      </c>
    </row>
    <row r="222" spans="4:7" x14ac:dyDescent="0.2">
      <c r="D222" s="17">
        <v>44330</v>
      </c>
      <c r="E222" s="1">
        <v>4.1821999999999999</v>
      </c>
      <c r="F222" s="1">
        <v>5.2485999999999997</v>
      </c>
      <c r="G222" s="1">
        <v>6.5448000000000004</v>
      </c>
    </row>
    <row r="223" spans="4:7" x14ac:dyDescent="0.2">
      <c r="D223" s="17">
        <v>44333</v>
      </c>
      <c r="E223" s="1">
        <v>4.1821999999999999</v>
      </c>
      <c r="F223" s="1">
        <v>5.3110999999999997</v>
      </c>
      <c r="G223" s="1">
        <v>6.5448000000000004</v>
      </c>
    </row>
    <row r="224" spans="4:7" x14ac:dyDescent="0.2">
      <c r="D224" s="17">
        <v>44334</v>
      </c>
      <c r="E224" s="1">
        <v>4.1821999999999999</v>
      </c>
      <c r="F224" s="1">
        <v>5.2586000000000004</v>
      </c>
      <c r="G224" s="1">
        <v>6.5448000000000004</v>
      </c>
    </row>
    <row r="225" spans="4:7" x14ac:dyDescent="0.2">
      <c r="D225" s="17">
        <v>44335</v>
      </c>
      <c r="E225" s="1">
        <v>4.1821999999999999</v>
      </c>
      <c r="F225" s="1">
        <v>5.2176</v>
      </c>
      <c r="G225" s="1">
        <v>6.0587999999999997</v>
      </c>
    </row>
    <row r="226" spans="4:7" x14ac:dyDescent="0.2">
      <c r="D226" s="17">
        <v>44336</v>
      </c>
      <c r="E226" s="1">
        <v>4.1821999999999999</v>
      </c>
      <c r="F226" s="1">
        <v>5.3380000000000001</v>
      </c>
      <c r="G226" s="1">
        <v>6.0587999999999997</v>
      </c>
    </row>
    <row r="227" spans="4:7" x14ac:dyDescent="0.2">
      <c r="D227" s="17">
        <v>44337</v>
      </c>
      <c r="E227" s="1">
        <v>4.2866999999999997</v>
      </c>
      <c r="F227" s="1">
        <v>5.3570000000000002</v>
      </c>
      <c r="G227" s="1">
        <v>6.1115000000000004</v>
      </c>
    </row>
    <row r="228" spans="4:7" x14ac:dyDescent="0.2">
      <c r="D228" s="17">
        <v>44340</v>
      </c>
      <c r="E228" s="1">
        <v>4.2866999999999997</v>
      </c>
      <c r="F228" s="1">
        <v>5.3947000000000003</v>
      </c>
      <c r="G228" s="1">
        <v>6.1115000000000004</v>
      </c>
    </row>
    <row r="229" spans="4:7" x14ac:dyDescent="0.2">
      <c r="D229" s="17">
        <v>44341</v>
      </c>
      <c r="E229" s="1">
        <v>4.2866999999999997</v>
      </c>
      <c r="F229" s="1">
        <v>5.3941999999999997</v>
      </c>
      <c r="G229" s="1">
        <v>6.2066999999999997</v>
      </c>
    </row>
    <row r="230" spans="4:7" x14ac:dyDescent="0.2">
      <c r="D230" s="17">
        <v>44342</v>
      </c>
      <c r="E230" s="1">
        <v>4.2866999999999997</v>
      </c>
      <c r="F230" s="1">
        <v>5.3948</v>
      </c>
      <c r="G230" s="1">
        <v>6.2066999999999997</v>
      </c>
    </row>
    <row r="231" spans="4:7" x14ac:dyDescent="0.2">
      <c r="D231" s="17">
        <v>44343</v>
      </c>
      <c r="E231" s="1">
        <v>4.2866999999999997</v>
      </c>
      <c r="F231" s="1">
        <v>5.3944000000000001</v>
      </c>
      <c r="G231" s="1">
        <v>6.2066999999999997</v>
      </c>
    </row>
    <row r="232" spans="4:7" x14ac:dyDescent="0.2">
      <c r="D232" s="17">
        <v>44344</v>
      </c>
      <c r="E232" s="1">
        <v>4.6094999999999997</v>
      </c>
      <c r="F232" s="1">
        <v>5.4904000000000002</v>
      </c>
      <c r="G232" s="1">
        <v>6.2380000000000004</v>
      </c>
    </row>
    <row r="233" spans="4:7" x14ac:dyDescent="0.2">
      <c r="D233" s="17">
        <v>44347</v>
      </c>
      <c r="E233" s="1">
        <v>4.6094999999999997</v>
      </c>
      <c r="F233" s="1">
        <v>5.5</v>
      </c>
      <c r="G233" s="1">
        <v>6.2380000000000004</v>
      </c>
    </row>
    <row r="234" spans="4:7" x14ac:dyDescent="0.2">
      <c r="D234" s="17">
        <v>44348</v>
      </c>
      <c r="E234" s="1">
        <v>4.8503999999999996</v>
      </c>
      <c r="F234" s="1">
        <v>5.5015999999999998</v>
      </c>
      <c r="G234" s="1">
        <v>6.2380000000000004</v>
      </c>
    </row>
    <row r="235" spans="4:7" x14ac:dyDescent="0.2">
      <c r="D235" s="17">
        <v>44349</v>
      </c>
      <c r="E235" s="1">
        <v>4.8503999999999996</v>
      </c>
      <c r="F235" s="1">
        <v>5.5015999999999998</v>
      </c>
      <c r="G235" s="1">
        <v>6.2380000000000004</v>
      </c>
    </row>
    <row r="236" spans="4:7" x14ac:dyDescent="0.2">
      <c r="D236" s="17">
        <v>44351</v>
      </c>
      <c r="E236" s="1">
        <v>4.8503999999999996</v>
      </c>
      <c r="F236" s="1">
        <v>5.5111999999999997</v>
      </c>
      <c r="G236" s="1">
        <v>6.2066999999999997</v>
      </c>
    </row>
    <row r="237" spans="4:7" x14ac:dyDescent="0.2">
      <c r="D237" s="17">
        <v>44354</v>
      </c>
      <c r="E237" s="1">
        <v>5.0484999999999998</v>
      </c>
      <c r="F237" s="1">
        <v>5.5151000000000003</v>
      </c>
      <c r="G237" s="1">
        <v>6.2066999999999997</v>
      </c>
    </row>
    <row r="238" spans="4:7" x14ac:dyDescent="0.2">
      <c r="D238" s="17">
        <v>44355</v>
      </c>
      <c r="E238" s="1">
        <v>5.0484999999999998</v>
      </c>
      <c r="F238" s="1">
        <v>5.5266000000000002</v>
      </c>
      <c r="G238" s="1">
        <v>6.3337000000000003</v>
      </c>
    </row>
    <row r="239" spans="4:7" x14ac:dyDescent="0.2">
      <c r="D239" s="17">
        <v>44356</v>
      </c>
      <c r="E239" s="1">
        <v>5.1632999999999996</v>
      </c>
      <c r="F239" s="1">
        <v>5.718</v>
      </c>
      <c r="G239" s="1">
        <v>6.6938000000000004</v>
      </c>
    </row>
    <row r="240" spans="4:7" x14ac:dyDescent="0.2">
      <c r="D240" s="17">
        <v>44357</v>
      </c>
      <c r="E240" s="1">
        <v>5.0168999999999997</v>
      </c>
      <c r="F240" s="1">
        <v>5.8160999999999996</v>
      </c>
      <c r="G240" s="1">
        <v>6.9922000000000004</v>
      </c>
    </row>
    <row r="241" spans="4:7" x14ac:dyDescent="0.2">
      <c r="D241" s="17">
        <v>44358</v>
      </c>
      <c r="E241" s="1">
        <v>5.0168999999999997</v>
      </c>
      <c r="F241" s="1">
        <v>5.8505000000000003</v>
      </c>
      <c r="G241" s="1">
        <v>7.0022000000000002</v>
      </c>
    </row>
    <row r="242" spans="4:7" x14ac:dyDescent="0.2">
      <c r="D242" s="17">
        <v>44361</v>
      </c>
      <c r="E242" s="1">
        <v>5.0168999999999997</v>
      </c>
      <c r="F242" s="1">
        <v>5.8894000000000002</v>
      </c>
      <c r="G242" s="1">
        <v>7.0022000000000002</v>
      </c>
    </row>
    <row r="243" spans="4:7" x14ac:dyDescent="0.2">
      <c r="D243" s="17">
        <v>44362</v>
      </c>
      <c r="E243" s="1">
        <v>5.0168999999999997</v>
      </c>
      <c r="F243" s="1">
        <v>5.9105999999999996</v>
      </c>
      <c r="G243" s="1">
        <v>7.0022000000000002</v>
      </c>
    </row>
    <row r="244" spans="4:7" x14ac:dyDescent="0.2">
      <c r="D244" s="17">
        <v>44363</v>
      </c>
      <c r="E244" s="1">
        <v>5.0168999999999997</v>
      </c>
      <c r="F244" s="1">
        <v>5.9108000000000001</v>
      </c>
      <c r="G244" s="1">
        <v>7.0022000000000002</v>
      </c>
    </row>
    <row r="245" spans="4:7" x14ac:dyDescent="0.2">
      <c r="D245" s="17">
        <v>44364</v>
      </c>
      <c r="E245" s="1">
        <v>5.1234000000000002</v>
      </c>
      <c r="F245" s="1">
        <v>5.9372999999999996</v>
      </c>
      <c r="G245" s="1">
        <v>7.0022000000000002</v>
      </c>
    </row>
    <row r="246" spans="4:7" x14ac:dyDescent="0.2">
      <c r="D246" s="17">
        <v>44365</v>
      </c>
      <c r="E246" s="1">
        <v>5.0168999999999997</v>
      </c>
      <c r="F246" s="1">
        <v>5.9318999999999997</v>
      </c>
      <c r="G246" s="1">
        <v>6.9922000000000004</v>
      </c>
    </row>
    <row r="247" spans="4:7" x14ac:dyDescent="0.2">
      <c r="D247" s="17">
        <v>44368</v>
      </c>
      <c r="E247" s="1">
        <v>5.0168999999999997</v>
      </c>
      <c r="F247" s="1">
        <v>5.9527000000000001</v>
      </c>
      <c r="G247" s="1">
        <v>6.9922000000000004</v>
      </c>
    </row>
    <row r="248" spans="4:7" x14ac:dyDescent="0.2">
      <c r="D248" s="17">
        <v>44369</v>
      </c>
      <c r="E248" s="1">
        <v>5.0168999999999997</v>
      </c>
      <c r="F248" s="1">
        <v>5.9634999999999998</v>
      </c>
      <c r="G248" s="1">
        <v>6.9390000000000001</v>
      </c>
    </row>
    <row r="249" spans="4:7" x14ac:dyDescent="0.2">
      <c r="D249" s="17">
        <v>44370</v>
      </c>
      <c r="E249" s="1">
        <v>5.0168999999999997</v>
      </c>
      <c r="F249" s="1">
        <v>5.9743000000000004</v>
      </c>
      <c r="G249" s="1">
        <v>6.9490999999999996</v>
      </c>
    </row>
    <row r="250" spans="4:7" x14ac:dyDescent="0.2">
      <c r="D250" s="17">
        <v>44371</v>
      </c>
      <c r="E250" s="1">
        <v>5.0168999999999997</v>
      </c>
      <c r="F250" s="1">
        <v>5.9839000000000002</v>
      </c>
      <c r="G250" s="1">
        <v>6.9490999999999996</v>
      </c>
    </row>
    <row r="251" spans="4:7" x14ac:dyDescent="0.2">
      <c r="D251" s="17">
        <v>44372</v>
      </c>
      <c r="E251" s="1">
        <v>5.3842999999999996</v>
      </c>
      <c r="F251" s="1">
        <v>6</v>
      </c>
      <c r="G251" s="1">
        <v>6.9490999999999996</v>
      </c>
    </row>
    <row r="252" spans="4:7" x14ac:dyDescent="0.2">
      <c r="D252" s="17">
        <v>44375</v>
      </c>
      <c r="E252" s="1">
        <v>5.0168999999999997</v>
      </c>
      <c r="F252" s="1">
        <v>6.0153999999999996</v>
      </c>
      <c r="G252" s="1">
        <v>6.9490999999999996</v>
      </c>
    </row>
    <row r="253" spans="4:7" x14ac:dyDescent="0.2">
      <c r="D253" s="17">
        <v>44376</v>
      </c>
      <c r="E253" s="1">
        <v>5.0168999999999997</v>
      </c>
      <c r="F253" s="1">
        <v>6.0472999999999999</v>
      </c>
      <c r="G253" s="1">
        <v>7.0986000000000002</v>
      </c>
    </row>
    <row r="254" spans="4:7" x14ac:dyDescent="0.2">
      <c r="D254" s="17">
        <v>44377</v>
      </c>
      <c r="E254" s="1">
        <v>5.0168999999999997</v>
      </c>
      <c r="F254" s="1">
        <v>6</v>
      </c>
      <c r="G254" s="1">
        <v>7.0986000000000002</v>
      </c>
    </row>
    <row r="255" spans="4:7" x14ac:dyDescent="0.2">
      <c r="D255" s="17">
        <v>44378</v>
      </c>
      <c r="E255" s="1">
        <v>5.3</v>
      </c>
      <c r="F255" s="1">
        <v>6</v>
      </c>
      <c r="G255" s="1">
        <v>7.2584999999999997</v>
      </c>
    </row>
    <row r="256" spans="4:7" x14ac:dyDescent="0.2">
      <c r="D256" s="17">
        <v>44379</v>
      </c>
      <c r="E256" s="1">
        <v>5.3</v>
      </c>
      <c r="F256" s="1">
        <v>6.1003999999999996</v>
      </c>
      <c r="G256" s="1">
        <v>7.2584999999999997</v>
      </c>
    </row>
    <row r="257" spans="4:7" x14ac:dyDescent="0.2">
      <c r="D257" s="17">
        <v>44382</v>
      </c>
      <c r="E257" s="1">
        <v>5.5946999999999996</v>
      </c>
      <c r="F257" s="1">
        <v>6.2042000000000002</v>
      </c>
      <c r="G257" s="1">
        <v>7.2584999999999997</v>
      </c>
    </row>
    <row r="258" spans="4:7" x14ac:dyDescent="0.2">
      <c r="D258" s="17">
        <v>44383</v>
      </c>
      <c r="E258" s="1">
        <v>5.5946999999999996</v>
      </c>
      <c r="F258" s="1">
        <v>6.2911999999999999</v>
      </c>
      <c r="G258" s="1">
        <v>7.2584999999999997</v>
      </c>
    </row>
    <row r="259" spans="4:7" x14ac:dyDescent="0.2">
      <c r="D259" s="17">
        <v>44384</v>
      </c>
      <c r="E259" s="1">
        <v>5.5946999999999996</v>
      </c>
      <c r="F259" s="1">
        <v>6.3048000000000002</v>
      </c>
      <c r="G259" s="1">
        <v>7.3541999999999996</v>
      </c>
    </row>
    <row r="260" spans="4:7" x14ac:dyDescent="0.2">
      <c r="D260" s="17">
        <v>44385</v>
      </c>
      <c r="E260" s="1">
        <v>5.7949000000000002</v>
      </c>
      <c r="F260" s="1">
        <v>6.3228999999999997</v>
      </c>
      <c r="G260" s="1">
        <v>7.2794999999999996</v>
      </c>
    </row>
    <row r="261" spans="4:7" x14ac:dyDescent="0.2">
      <c r="D261" s="17">
        <v>44386</v>
      </c>
      <c r="E261" s="1">
        <v>5.7949000000000002</v>
      </c>
      <c r="F261" s="1">
        <v>6.3228</v>
      </c>
      <c r="G261" s="1">
        <v>7.2794999999999996</v>
      </c>
    </row>
    <row r="262" spans="4:7" x14ac:dyDescent="0.2">
      <c r="D262" s="17">
        <v>44389</v>
      </c>
      <c r="E262" s="1">
        <v>5.7949000000000002</v>
      </c>
      <c r="F262" s="1">
        <v>6.3224</v>
      </c>
      <c r="G262" s="1">
        <v>7.6315999999999997</v>
      </c>
    </row>
    <row r="263" spans="4:7" x14ac:dyDescent="0.2">
      <c r="D263" s="17">
        <v>44390</v>
      </c>
      <c r="E263" s="1">
        <v>5.9653</v>
      </c>
      <c r="F263" s="1">
        <v>6.3914999999999997</v>
      </c>
      <c r="G263" s="1">
        <v>7.6315999999999997</v>
      </c>
    </row>
    <row r="264" spans="4:7" x14ac:dyDescent="0.2">
      <c r="D264" s="17">
        <v>44391</v>
      </c>
      <c r="E264" s="1">
        <v>5.8578000000000001</v>
      </c>
      <c r="F264" s="1">
        <v>6.4286000000000003</v>
      </c>
      <c r="G264" s="1">
        <v>7.6315999999999997</v>
      </c>
    </row>
    <row r="265" spans="4:7" x14ac:dyDescent="0.2">
      <c r="D265" s="17">
        <v>44392</v>
      </c>
      <c r="E265" s="1">
        <v>5.8578000000000001</v>
      </c>
      <c r="F265" s="1">
        <v>6.4260000000000002</v>
      </c>
      <c r="G265" s="1">
        <v>7.6315999999999997</v>
      </c>
    </row>
    <row r="266" spans="4:7" x14ac:dyDescent="0.2">
      <c r="D266" s="17">
        <v>44393</v>
      </c>
      <c r="E266" s="1">
        <v>5.8578000000000001</v>
      </c>
      <c r="F266" s="1">
        <v>6.4347000000000003</v>
      </c>
      <c r="G266" s="1">
        <v>7.7382999999999997</v>
      </c>
    </row>
    <row r="267" spans="4:7" x14ac:dyDescent="0.2">
      <c r="D267" s="17">
        <v>44396</v>
      </c>
      <c r="E267" s="1">
        <v>5.7104999999999997</v>
      </c>
      <c r="F267" s="1">
        <v>6.4001000000000001</v>
      </c>
      <c r="G267" s="1">
        <v>7.7382999999999997</v>
      </c>
    </row>
    <row r="268" spans="4:7" x14ac:dyDescent="0.2">
      <c r="D268" s="17">
        <v>44397</v>
      </c>
      <c r="E268" s="1">
        <v>5.7096</v>
      </c>
      <c r="F268" s="1">
        <v>6.3804999999999996</v>
      </c>
      <c r="G268" s="1">
        <v>7.7382999999999997</v>
      </c>
    </row>
    <row r="269" spans="4:7" x14ac:dyDescent="0.2">
      <c r="D269" s="17">
        <v>44398</v>
      </c>
      <c r="E269" s="1">
        <v>5.7096</v>
      </c>
      <c r="F269" s="1">
        <v>6.4001000000000001</v>
      </c>
      <c r="G269" s="1">
        <v>7.7382999999999997</v>
      </c>
    </row>
    <row r="270" spans="4:7" x14ac:dyDescent="0.2">
      <c r="D270" s="17">
        <v>44399</v>
      </c>
      <c r="E270" s="1">
        <v>5.7096</v>
      </c>
      <c r="F270" s="1">
        <v>6.4477000000000002</v>
      </c>
      <c r="G270" s="1">
        <v>7.7382999999999997</v>
      </c>
    </row>
    <row r="271" spans="4:7" x14ac:dyDescent="0.2">
      <c r="D271" s="17">
        <v>44400</v>
      </c>
      <c r="E271" s="1">
        <v>5.7104999999999997</v>
      </c>
      <c r="F271" s="1">
        <v>6.6718999999999999</v>
      </c>
      <c r="G271" s="1">
        <v>7.8879000000000001</v>
      </c>
    </row>
    <row r="272" spans="4:7" x14ac:dyDescent="0.2">
      <c r="D272" s="17">
        <v>44403</v>
      </c>
      <c r="E272" s="1">
        <v>5.9934000000000003</v>
      </c>
      <c r="F272" s="1">
        <v>6.7305999999999999</v>
      </c>
      <c r="G272" s="1">
        <v>7.8879000000000001</v>
      </c>
    </row>
    <row r="273" spans="4:7" x14ac:dyDescent="0.2">
      <c r="D273" s="17">
        <v>44404</v>
      </c>
      <c r="E273" s="1">
        <v>5.9934000000000003</v>
      </c>
      <c r="F273" s="1">
        <v>6.7539999999999996</v>
      </c>
      <c r="G273" s="1">
        <v>7.8879000000000001</v>
      </c>
    </row>
    <row r="274" spans="4:7" x14ac:dyDescent="0.2">
      <c r="D274" s="17">
        <v>44405</v>
      </c>
      <c r="E274" s="1">
        <v>6.0056000000000003</v>
      </c>
      <c r="F274" s="1">
        <v>6.7674000000000003</v>
      </c>
      <c r="G274" s="1">
        <v>7.8879000000000001</v>
      </c>
    </row>
    <row r="275" spans="4:7" x14ac:dyDescent="0.2">
      <c r="D275" s="17">
        <v>44406</v>
      </c>
      <c r="E275" s="1">
        <v>6.0056000000000003</v>
      </c>
      <c r="F275" s="1">
        <v>6.7784000000000004</v>
      </c>
      <c r="G275" s="1">
        <v>7.8879000000000001</v>
      </c>
    </row>
    <row r="276" spans="4:7" x14ac:dyDescent="0.2">
      <c r="D276" s="17">
        <v>44407</v>
      </c>
      <c r="E276" s="1">
        <v>6.17</v>
      </c>
      <c r="F276" s="1">
        <v>6.8845000000000001</v>
      </c>
      <c r="G276" s="1">
        <v>8.1891999999999996</v>
      </c>
    </row>
    <row r="277" spans="4:7" x14ac:dyDescent="0.2">
      <c r="D277" s="17">
        <v>44410</v>
      </c>
      <c r="E277" s="1">
        <v>6.17</v>
      </c>
      <c r="F277" s="1">
        <v>6.8845999999999998</v>
      </c>
      <c r="G277" s="1">
        <v>8.1891999999999996</v>
      </c>
    </row>
    <row r="278" spans="4:7" x14ac:dyDescent="0.2">
      <c r="D278" s="17">
        <v>44411</v>
      </c>
      <c r="E278" s="1">
        <v>6.17</v>
      </c>
      <c r="F278" s="1">
        <v>6.8845999999999998</v>
      </c>
      <c r="G278" s="1">
        <v>8.1891999999999996</v>
      </c>
    </row>
    <row r="279" spans="4:7" x14ac:dyDescent="0.2">
      <c r="D279" s="17">
        <v>44412</v>
      </c>
      <c r="E279" s="1">
        <v>6.17</v>
      </c>
      <c r="F279" s="1">
        <v>6.9028999999999998</v>
      </c>
      <c r="G279" s="1">
        <v>8.1891999999999996</v>
      </c>
    </row>
    <row r="280" spans="4:7" x14ac:dyDescent="0.2">
      <c r="D280" s="17">
        <v>44413</v>
      </c>
      <c r="E280" s="1">
        <v>6.17</v>
      </c>
      <c r="F280" s="1">
        <v>6.9279000000000002</v>
      </c>
      <c r="G280" s="1">
        <v>8.1891999999999996</v>
      </c>
    </row>
    <row r="281" spans="4:7" x14ac:dyDescent="0.2">
      <c r="D281" s="17">
        <v>44414</v>
      </c>
      <c r="E281" s="1">
        <v>6.2676999999999996</v>
      </c>
      <c r="F281" s="1">
        <v>6.9431000000000003</v>
      </c>
      <c r="G281" s="1">
        <v>7.6307</v>
      </c>
    </row>
    <row r="282" spans="4:7" x14ac:dyDescent="0.2">
      <c r="D282" s="17">
        <v>44417</v>
      </c>
      <c r="E282" s="1">
        <v>6.2676999999999996</v>
      </c>
      <c r="F282" s="1">
        <v>6.9903000000000004</v>
      </c>
      <c r="G282" s="1">
        <v>7.6307</v>
      </c>
    </row>
    <row r="283" spans="4:7" x14ac:dyDescent="0.2">
      <c r="D283" s="17">
        <v>44418</v>
      </c>
      <c r="E283" s="1">
        <v>6.1940999999999997</v>
      </c>
      <c r="F283" s="1">
        <v>7.0172999999999996</v>
      </c>
      <c r="G283" s="1">
        <v>7.6257000000000001</v>
      </c>
    </row>
    <row r="284" spans="4:7" x14ac:dyDescent="0.2">
      <c r="D284" s="17">
        <v>44419</v>
      </c>
      <c r="E284" s="1">
        <v>6.1940999999999997</v>
      </c>
      <c r="F284" s="1">
        <v>7.0404</v>
      </c>
      <c r="G284" s="1">
        <v>7.6257000000000001</v>
      </c>
    </row>
    <row r="285" spans="4:7" x14ac:dyDescent="0.2">
      <c r="D285" s="17">
        <v>44420</v>
      </c>
      <c r="E285" s="1">
        <v>6.1940999999999997</v>
      </c>
      <c r="F285" s="1">
        <v>7.0472999999999999</v>
      </c>
      <c r="G285" s="1">
        <v>7.6257000000000001</v>
      </c>
    </row>
    <row r="286" spans="4:7" x14ac:dyDescent="0.2">
      <c r="D286" s="17">
        <v>44421</v>
      </c>
      <c r="E286" s="1">
        <v>6.4805000000000001</v>
      </c>
      <c r="F286" s="1">
        <v>7.1185</v>
      </c>
      <c r="G286" s="1">
        <v>7.8994999999999997</v>
      </c>
    </row>
    <row r="287" spans="4:7" x14ac:dyDescent="0.2">
      <c r="D287" s="17">
        <v>44424</v>
      </c>
      <c r="E287" s="1">
        <v>6.4805000000000001</v>
      </c>
      <c r="F287" s="1">
        <v>7.1185</v>
      </c>
      <c r="G287" s="1">
        <v>7.8994999999999997</v>
      </c>
    </row>
    <row r="288" spans="4:7" x14ac:dyDescent="0.2">
      <c r="D288" s="17">
        <v>44425</v>
      </c>
      <c r="E288" s="1">
        <v>6.4805000000000001</v>
      </c>
      <c r="F288" s="1">
        <v>7.14</v>
      </c>
      <c r="G288" s="1">
        <v>7.8994999999999997</v>
      </c>
    </row>
    <row r="289" spans="4:7" x14ac:dyDescent="0.2">
      <c r="D289" s="17">
        <v>44426</v>
      </c>
      <c r="E289" s="1">
        <v>6.4805000000000001</v>
      </c>
      <c r="F289" s="1">
        <v>7.1401000000000003</v>
      </c>
      <c r="G289" s="1">
        <v>7.8994999999999997</v>
      </c>
    </row>
    <row r="290" spans="4:7" x14ac:dyDescent="0.2">
      <c r="D290" s="17">
        <v>44427</v>
      </c>
      <c r="E290" s="1">
        <v>6.5439999999999996</v>
      </c>
      <c r="F290" s="1">
        <v>7.1589999999999998</v>
      </c>
      <c r="G290" s="1">
        <v>8.4906000000000006</v>
      </c>
    </row>
    <row r="291" spans="4:7" x14ac:dyDescent="0.2">
      <c r="D291" s="17">
        <v>44428</v>
      </c>
      <c r="E291" s="1">
        <v>6.5541999999999998</v>
      </c>
      <c r="F291" s="1">
        <v>7.1761999999999997</v>
      </c>
      <c r="G291" s="1">
        <v>8.4906000000000006</v>
      </c>
    </row>
    <row r="292" spans="4:7" x14ac:dyDescent="0.2">
      <c r="D292" s="17">
        <v>44431</v>
      </c>
      <c r="E292" s="1">
        <v>6.5541999999999998</v>
      </c>
      <c r="F292" s="1">
        <v>7.2394999999999996</v>
      </c>
      <c r="G292" s="1">
        <v>8.4906000000000006</v>
      </c>
    </row>
    <row r="293" spans="4:7" x14ac:dyDescent="0.2">
      <c r="D293" s="17">
        <v>44432</v>
      </c>
      <c r="E293" s="1">
        <v>6.5541999999999998</v>
      </c>
      <c r="F293" s="1">
        <v>7.2732999999999999</v>
      </c>
      <c r="G293" s="1">
        <v>8.4906000000000006</v>
      </c>
    </row>
    <row r="294" spans="4:7" x14ac:dyDescent="0.2">
      <c r="D294" s="17">
        <v>44433</v>
      </c>
      <c r="E294" s="1">
        <v>6.5541999999999998</v>
      </c>
      <c r="F294" s="1">
        <v>7.3320999999999996</v>
      </c>
      <c r="G294" s="1">
        <v>8.4906000000000006</v>
      </c>
    </row>
    <row r="295" spans="4:7" x14ac:dyDescent="0.2">
      <c r="D295" s="17">
        <v>44434</v>
      </c>
      <c r="E295" s="1">
        <v>6.5541999999999998</v>
      </c>
      <c r="F295" s="1">
        <v>7.3536000000000001</v>
      </c>
      <c r="G295" s="1">
        <v>8.0966000000000005</v>
      </c>
    </row>
    <row r="296" spans="4:7" x14ac:dyDescent="0.2">
      <c r="D296" s="17">
        <v>44435</v>
      </c>
      <c r="E296" s="1">
        <v>6.6681999999999997</v>
      </c>
      <c r="F296" s="1">
        <v>7.4603000000000002</v>
      </c>
      <c r="G296" s="1">
        <v>8.35</v>
      </c>
    </row>
    <row r="297" spans="4:7" x14ac:dyDescent="0.2">
      <c r="D297" s="17">
        <v>44438</v>
      </c>
      <c r="E297" s="1">
        <v>6.7350000000000003</v>
      </c>
      <c r="F297" s="1">
        <v>7.5136000000000003</v>
      </c>
      <c r="G297" s="1">
        <v>8.4896999999999991</v>
      </c>
    </row>
    <row r="298" spans="4:7" x14ac:dyDescent="0.2">
      <c r="D298" s="17">
        <v>44439</v>
      </c>
      <c r="E298" s="1">
        <v>6.7350000000000003</v>
      </c>
      <c r="F298" s="1">
        <v>7.5777999999999999</v>
      </c>
      <c r="G298" s="1">
        <v>8.4896999999999991</v>
      </c>
    </row>
    <row r="299" spans="4:7" x14ac:dyDescent="0.2">
      <c r="D299" s="17">
        <v>44440</v>
      </c>
      <c r="E299" s="1">
        <v>6.7350000000000003</v>
      </c>
      <c r="F299" s="1">
        <v>7.6794000000000002</v>
      </c>
      <c r="G299" s="1">
        <v>8.4896999999999991</v>
      </c>
    </row>
    <row r="300" spans="4:7" x14ac:dyDescent="0.2">
      <c r="D300" s="17">
        <v>44441</v>
      </c>
      <c r="E300" s="1">
        <v>6.7350000000000003</v>
      </c>
      <c r="F300" s="1">
        <v>7.7169999999999996</v>
      </c>
      <c r="G300" s="1">
        <v>8.4896999999999991</v>
      </c>
    </row>
    <row r="301" spans="4:7" x14ac:dyDescent="0.2">
      <c r="D301" s="17">
        <v>44442</v>
      </c>
      <c r="E301" s="1">
        <v>7.0221</v>
      </c>
      <c r="F301" s="1">
        <v>7.7596999999999996</v>
      </c>
      <c r="G301" s="1">
        <v>8.6405999999999992</v>
      </c>
    </row>
    <row r="302" spans="4:7" x14ac:dyDescent="0.2">
      <c r="D302" s="17">
        <v>44445</v>
      </c>
      <c r="E302" s="1">
        <v>7.0221</v>
      </c>
      <c r="F302" s="1">
        <v>7.7594000000000003</v>
      </c>
      <c r="G302" s="1">
        <v>8.6405999999999992</v>
      </c>
    </row>
    <row r="303" spans="4:7" x14ac:dyDescent="0.2">
      <c r="D303" s="17">
        <v>44447</v>
      </c>
      <c r="E303" s="1">
        <v>7.0221</v>
      </c>
      <c r="F303" s="1">
        <v>7.7590000000000003</v>
      </c>
      <c r="G303" s="1">
        <v>8.6405999999999992</v>
      </c>
    </row>
    <row r="304" spans="4:7" x14ac:dyDescent="0.2">
      <c r="D304" s="17">
        <v>44448</v>
      </c>
      <c r="E304" s="1">
        <v>7.3093000000000004</v>
      </c>
      <c r="F304" s="1">
        <v>8.0596999999999994</v>
      </c>
      <c r="G304" s="1">
        <v>8.7698999999999998</v>
      </c>
    </row>
    <row r="305" spans="4:7" x14ac:dyDescent="0.2">
      <c r="D305" s="17">
        <v>44449</v>
      </c>
      <c r="E305" s="1">
        <v>7.4916999999999998</v>
      </c>
      <c r="F305" s="1">
        <v>8.1983999999999995</v>
      </c>
      <c r="G305" s="1">
        <v>8.7698999999999998</v>
      </c>
    </row>
    <row r="306" spans="4:7" x14ac:dyDescent="0.2">
      <c r="D306" s="17">
        <v>44452</v>
      </c>
      <c r="E306" s="1">
        <v>7.1</v>
      </c>
      <c r="F306" s="1">
        <v>8.2635000000000005</v>
      </c>
      <c r="G306" s="1">
        <v>8.7698999999999998</v>
      </c>
    </row>
    <row r="307" spans="4:7" x14ac:dyDescent="0.2">
      <c r="D307" s="17">
        <v>44453</v>
      </c>
      <c r="E307" s="1">
        <v>7.1</v>
      </c>
      <c r="F307" s="1">
        <v>8.2743000000000002</v>
      </c>
      <c r="G307" s="1">
        <v>8.7170000000000005</v>
      </c>
    </row>
    <row r="308" spans="4:7" x14ac:dyDescent="0.2">
      <c r="D308" s="17">
        <v>44454</v>
      </c>
      <c r="E308" s="1">
        <v>7.1</v>
      </c>
      <c r="F308" s="1">
        <v>8.2843999999999998</v>
      </c>
      <c r="G308" s="1">
        <v>8.7675999999999998</v>
      </c>
    </row>
    <row r="309" spans="4:7" x14ac:dyDescent="0.2">
      <c r="D309" s="17">
        <v>44455</v>
      </c>
      <c r="E309" s="1">
        <v>7.1</v>
      </c>
      <c r="F309" s="1">
        <v>8.2847000000000008</v>
      </c>
      <c r="G309" s="1">
        <v>9.2025000000000006</v>
      </c>
    </row>
    <row r="310" spans="4:7" x14ac:dyDescent="0.2">
      <c r="D310" s="17">
        <v>44456</v>
      </c>
      <c r="E310" s="1">
        <v>7.1</v>
      </c>
      <c r="F310" s="1">
        <v>8.4030000000000005</v>
      </c>
      <c r="G310" s="1">
        <v>9.1918000000000006</v>
      </c>
    </row>
    <row r="311" spans="4:7" x14ac:dyDescent="0.2">
      <c r="D311" s="17">
        <v>44459</v>
      </c>
      <c r="E311" s="1">
        <v>7.7270000000000003</v>
      </c>
      <c r="F311" s="1">
        <v>8.4243000000000006</v>
      </c>
      <c r="G311" s="1">
        <v>9.1918000000000006</v>
      </c>
    </row>
    <row r="312" spans="4:7" x14ac:dyDescent="0.2">
      <c r="D312" s="17">
        <v>44460</v>
      </c>
      <c r="E312" s="1">
        <v>7.7270000000000003</v>
      </c>
      <c r="F312" s="1">
        <v>8.4351000000000003</v>
      </c>
      <c r="G312" s="1">
        <v>9.1918000000000006</v>
      </c>
    </row>
    <row r="313" spans="4:7" x14ac:dyDescent="0.2">
      <c r="D313" s="17">
        <v>44461</v>
      </c>
      <c r="E313" s="1">
        <v>7.6417000000000002</v>
      </c>
      <c r="F313" s="1">
        <v>8.4404000000000003</v>
      </c>
      <c r="G313" s="1">
        <v>9.1918000000000006</v>
      </c>
    </row>
    <row r="314" spans="4:7" x14ac:dyDescent="0.2">
      <c r="D314" s="17">
        <v>44462</v>
      </c>
      <c r="E314" s="1">
        <v>7.6417000000000002</v>
      </c>
      <c r="F314" s="1">
        <v>8.4431999999999992</v>
      </c>
      <c r="G314" s="1">
        <v>9.1918000000000006</v>
      </c>
    </row>
    <row r="315" spans="4:7" x14ac:dyDescent="0.2">
      <c r="D315" s="17">
        <v>44463</v>
      </c>
      <c r="E315" s="1">
        <v>7.7270000000000003</v>
      </c>
      <c r="F315" s="1">
        <v>8.5170999999999992</v>
      </c>
      <c r="G315" s="1">
        <v>9.2022999999999993</v>
      </c>
    </row>
    <row r="316" spans="4:7" x14ac:dyDescent="0.2">
      <c r="D316" s="17">
        <v>44466</v>
      </c>
      <c r="E316" s="1">
        <v>7.4916999999999998</v>
      </c>
      <c r="F316" s="1">
        <v>8.5968</v>
      </c>
      <c r="G316" s="1">
        <v>9.2022999999999993</v>
      </c>
    </row>
    <row r="317" spans="4:7" x14ac:dyDescent="0.2">
      <c r="D317" s="17">
        <v>44467</v>
      </c>
      <c r="E317" s="1">
        <v>7.4916999999999998</v>
      </c>
      <c r="F317" s="1">
        <v>8.609</v>
      </c>
      <c r="G317" s="1">
        <v>9.2022999999999993</v>
      </c>
    </row>
    <row r="318" spans="4:7" x14ac:dyDescent="0.2">
      <c r="D318" s="17">
        <v>44468</v>
      </c>
      <c r="E318" s="1">
        <v>7.4916999999999998</v>
      </c>
      <c r="F318" s="1">
        <v>8.6448</v>
      </c>
      <c r="G318" s="1">
        <v>9.2022999999999993</v>
      </c>
    </row>
    <row r="319" spans="4:7" x14ac:dyDescent="0.2">
      <c r="D319" s="17">
        <v>44469</v>
      </c>
      <c r="E319" s="1">
        <v>7.4916999999999998</v>
      </c>
      <c r="F319" s="1">
        <v>8.6611999999999991</v>
      </c>
      <c r="G319" s="1">
        <v>9.2022999999999993</v>
      </c>
    </row>
    <row r="320" spans="4:7" x14ac:dyDescent="0.2">
      <c r="D320" s="17">
        <v>44470</v>
      </c>
      <c r="E320" s="1">
        <v>7.9954000000000001</v>
      </c>
      <c r="F320" s="1">
        <v>8.6999999999999993</v>
      </c>
      <c r="G320" s="1">
        <v>9.3756000000000004</v>
      </c>
    </row>
    <row r="321" spans="4:7" x14ac:dyDescent="0.2">
      <c r="D321" s="17">
        <v>44473</v>
      </c>
      <c r="E321" s="1">
        <v>7.9954000000000001</v>
      </c>
      <c r="F321" s="1">
        <v>8.7136999999999993</v>
      </c>
      <c r="G321" s="1">
        <v>9.3756000000000004</v>
      </c>
    </row>
    <row r="322" spans="4:7" x14ac:dyDescent="0.2">
      <c r="D322" s="17">
        <v>44474</v>
      </c>
      <c r="E322" s="1">
        <v>7.9954000000000001</v>
      </c>
      <c r="F322" s="1">
        <v>8.7040000000000006</v>
      </c>
      <c r="G322" s="1">
        <v>9.3756000000000004</v>
      </c>
    </row>
    <row r="323" spans="4:7" x14ac:dyDescent="0.2">
      <c r="D323" s="17">
        <v>44475</v>
      </c>
      <c r="E323" s="1">
        <v>7.9954000000000001</v>
      </c>
      <c r="F323" s="1">
        <v>8.6929999999999996</v>
      </c>
      <c r="G323" s="1">
        <v>9.3756000000000004</v>
      </c>
    </row>
    <row r="324" spans="4:7" x14ac:dyDescent="0.2">
      <c r="D324" s="17">
        <v>44476</v>
      </c>
      <c r="E324" s="1">
        <v>7.9954000000000001</v>
      </c>
      <c r="F324" s="1">
        <v>8.7143999999999995</v>
      </c>
      <c r="G324" s="1">
        <v>9.3756000000000004</v>
      </c>
    </row>
    <row r="325" spans="4:7" x14ac:dyDescent="0.2">
      <c r="D325" s="17">
        <v>44477</v>
      </c>
      <c r="E325" s="1">
        <v>8.1434999999999995</v>
      </c>
      <c r="F325" s="1">
        <v>8.7123000000000008</v>
      </c>
      <c r="G325" s="1">
        <v>9.1160999999999994</v>
      </c>
    </row>
    <row r="326" spans="4:7" x14ac:dyDescent="0.2">
      <c r="D326" s="17">
        <v>44480</v>
      </c>
      <c r="E326" s="1">
        <v>8.1434999999999995</v>
      </c>
      <c r="F326" s="1">
        <v>8.7759</v>
      </c>
      <c r="G326" s="1">
        <v>9.5393000000000008</v>
      </c>
    </row>
    <row r="327" spans="4:7" x14ac:dyDescent="0.2">
      <c r="D327" s="17">
        <v>44482</v>
      </c>
      <c r="E327" s="1">
        <v>8.1434999999999995</v>
      </c>
      <c r="F327" s="1">
        <v>8.7713999999999999</v>
      </c>
      <c r="G327" s="1">
        <v>9.5393000000000008</v>
      </c>
    </row>
    <row r="328" spans="4:7" x14ac:dyDescent="0.2">
      <c r="D328" s="17">
        <v>44483</v>
      </c>
      <c r="E328" s="1">
        <v>8.1434999999999995</v>
      </c>
      <c r="F328" s="1">
        <v>8.7803000000000004</v>
      </c>
      <c r="G328" s="1">
        <v>9.4740000000000002</v>
      </c>
    </row>
    <row r="329" spans="4:7" x14ac:dyDescent="0.2">
      <c r="D329" s="17">
        <v>44484</v>
      </c>
      <c r="E329" s="1">
        <v>8.2081999999999997</v>
      </c>
      <c r="F329" s="1">
        <v>8.7911999999999999</v>
      </c>
      <c r="G329" s="1">
        <v>9.4981000000000009</v>
      </c>
    </row>
    <row r="330" spans="4:7" x14ac:dyDescent="0.2">
      <c r="D330" s="17">
        <v>44487</v>
      </c>
      <c r="E330" s="1">
        <v>8.2081999999999997</v>
      </c>
      <c r="F330" s="1">
        <v>8.8018999999999998</v>
      </c>
      <c r="G330" s="1">
        <v>9.4981000000000009</v>
      </c>
    </row>
    <row r="331" spans="4:7" x14ac:dyDescent="0.2">
      <c r="D331" s="17">
        <v>44488</v>
      </c>
      <c r="E331" s="1">
        <v>8.2081999999999997</v>
      </c>
      <c r="F331" s="1">
        <v>8.8019999999999996</v>
      </c>
      <c r="G331" s="1">
        <v>9.4740000000000002</v>
      </c>
    </row>
    <row r="332" spans="4:7" x14ac:dyDescent="0.2">
      <c r="D332" s="17">
        <v>44489</v>
      </c>
      <c r="E332" s="1">
        <v>8.2081999999999997</v>
      </c>
      <c r="F332" s="1">
        <v>8.8344000000000005</v>
      </c>
      <c r="G332" s="1">
        <v>9.4740000000000002</v>
      </c>
    </row>
    <row r="333" spans="4:7" x14ac:dyDescent="0.2">
      <c r="D333" s="17">
        <v>44490</v>
      </c>
      <c r="E333" s="1">
        <v>8.2081999999999997</v>
      </c>
      <c r="F333" s="1">
        <v>8.8453999999999997</v>
      </c>
      <c r="G333" s="1">
        <v>9.4740000000000002</v>
      </c>
    </row>
    <row r="334" spans="4:7" x14ac:dyDescent="0.2">
      <c r="D334" s="17">
        <v>44491</v>
      </c>
      <c r="E334" s="1">
        <v>8.2327999999999992</v>
      </c>
      <c r="F334" s="1">
        <v>9.0510000000000002</v>
      </c>
      <c r="G334" s="1">
        <v>9.6588999999999992</v>
      </c>
    </row>
    <row r="335" spans="4:7" x14ac:dyDescent="0.2">
      <c r="D335" s="17">
        <v>44494</v>
      </c>
      <c r="E335" s="1">
        <v>8.2327999999999992</v>
      </c>
      <c r="F335" s="1">
        <v>9.0996000000000006</v>
      </c>
      <c r="G335" s="1">
        <v>9.6588999999999992</v>
      </c>
    </row>
    <row r="336" spans="4:7" x14ac:dyDescent="0.2">
      <c r="D336" s="17">
        <v>44495</v>
      </c>
      <c r="E336" s="1">
        <v>8.2327999999999992</v>
      </c>
      <c r="F336" s="1">
        <v>9.1158999999999999</v>
      </c>
      <c r="G336" s="1">
        <v>9.8323</v>
      </c>
    </row>
    <row r="337" spans="4:7" x14ac:dyDescent="0.2">
      <c r="D337" s="17">
        <v>44496</v>
      </c>
      <c r="E337" s="1">
        <v>8.2327999999999992</v>
      </c>
      <c r="F337" s="1">
        <v>9.1539000000000001</v>
      </c>
      <c r="G337" s="1">
        <v>10.014799999999999</v>
      </c>
    </row>
    <row r="338" spans="4:7" x14ac:dyDescent="0.2">
      <c r="D338" s="17">
        <v>44497</v>
      </c>
      <c r="E338" s="1">
        <v>8.2327999999999992</v>
      </c>
      <c r="F338" s="1">
        <v>9.1701999999999995</v>
      </c>
      <c r="G338" s="1">
        <v>10.014799999999999</v>
      </c>
    </row>
    <row r="339" spans="4:7" x14ac:dyDescent="0.2">
      <c r="D339" s="17">
        <v>44498</v>
      </c>
      <c r="E339" s="1">
        <v>8.7263000000000002</v>
      </c>
      <c r="F339" s="1">
        <v>9.4032</v>
      </c>
      <c r="G339" s="1">
        <v>9.8652999999999995</v>
      </c>
    </row>
    <row r="340" spans="4:7" x14ac:dyDescent="0.2">
      <c r="D340" s="17">
        <v>44501</v>
      </c>
      <c r="E340" s="1">
        <v>8.9640000000000004</v>
      </c>
      <c r="F340" s="1">
        <v>9.4461999999999993</v>
      </c>
      <c r="G340" s="1">
        <v>9.8652999999999995</v>
      </c>
    </row>
    <row r="341" spans="4:7" x14ac:dyDescent="0.2">
      <c r="D341" s="17">
        <v>44503</v>
      </c>
      <c r="E341" s="1">
        <v>8.9425000000000008</v>
      </c>
      <c r="F341" s="1">
        <v>9.4406999999999996</v>
      </c>
      <c r="G341" s="1">
        <v>9.9743999999999993</v>
      </c>
    </row>
    <row r="342" spans="4:7" x14ac:dyDescent="0.2">
      <c r="D342" s="17">
        <v>44504</v>
      </c>
      <c r="E342" s="1">
        <v>8.6609999999999996</v>
      </c>
      <c r="F342" s="1">
        <v>9.4300999999999995</v>
      </c>
      <c r="G342" s="1">
        <v>9.9743999999999993</v>
      </c>
    </row>
    <row r="343" spans="4:7" x14ac:dyDescent="0.2">
      <c r="D343" s="17">
        <v>44505</v>
      </c>
      <c r="E343" s="1">
        <v>8.6609999999999996</v>
      </c>
      <c r="F343" s="1">
        <v>9.4626000000000001</v>
      </c>
      <c r="G343" s="1">
        <v>9.9743999999999993</v>
      </c>
    </row>
    <row r="344" spans="4:7" x14ac:dyDescent="0.2">
      <c r="D344" s="17">
        <v>44508</v>
      </c>
      <c r="E344" s="1">
        <v>8.7370999999999999</v>
      </c>
      <c r="F344" s="1">
        <v>9.4736999999999991</v>
      </c>
      <c r="G344" s="1">
        <v>10.1271</v>
      </c>
    </row>
    <row r="345" spans="4:7" x14ac:dyDescent="0.2">
      <c r="D345" s="17">
        <v>44509</v>
      </c>
      <c r="E345" s="1">
        <v>8.7370999999999999</v>
      </c>
      <c r="F345" s="1">
        <v>9.4841999999999995</v>
      </c>
      <c r="G345" s="1">
        <v>10.1271</v>
      </c>
    </row>
    <row r="346" spans="4:7" x14ac:dyDescent="0.2">
      <c r="D346" s="17">
        <v>44510</v>
      </c>
      <c r="E346" s="1">
        <v>8.9</v>
      </c>
      <c r="F346" s="1">
        <v>9.7807999999999993</v>
      </c>
      <c r="G346" s="1">
        <v>10.52</v>
      </c>
    </row>
    <row r="347" spans="4:7" x14ac:dyDescent="0.2">
      <c r="D347" s="17">
        <v>44511</v>
      </c>
      <c r="E347" s="1">
        <v>8.9</v>
      </c>
      <c r="F347" s="1">
        <v>9.8375000000000004</v>
      </c>
      <c r="G347" s="1">
        <v>10.52</v>
      </c>
    </row>
    <row r="348" spans="4:7" x14ac:dyDescent="0.2">
      <c r="D348" s="17">
        <v>44512</v>
      </c>
      <c r="E348" s="1">
        <v>8.9</v>
      </c>
      <c r="F348" s="1">
        <v>10.1043</v>
      </c>
      <c r="G348" s="1">
        <v>10.5307</v>
      </c>
    </row>
    <row r="349" spans="4:7" x14ac:dyDescent="0.2">
      <c r="D349" s="17">
        <v>44516</v>
      </c>
      <c r="E349" s="1">
        <v>8.9</v>
      </c>
      <c r="F349" s="1">
        <v>10.115600000000001</v>
      </c>
      <c r="G349" s="1">
        <v>10.5307</v>
      </c>
    </row>
    <row r="350" spans="4:7" x14ac:dyDescent="0.2">
      <c r="D350" s="17">
        <v>44517</v>
      </c>
      <c r="E350" s="1">
        <v>9.5376999999999992</v>
      </c>
      <c r="F350" s="1">
        <v>10.115600000000001</v>
      </c>
      <c r="G350" s="1">
        <v>10.5307</v>
      </c>
    </row>
    <row r="351" spans="4:7" x14ac:dyDescent="0.2">
      <c r="D351" s="17">
        <v>44518</v>
      </c>
      <c r="E351" s="1">
        <v>9.5378000000000007</v>
      </c>
      <c r="F351" s="1">
        <v>10.1264</v>
      </c>
      <c r="G351" s="1">
        <v>10.5746</v>
      </c>
    </row>
    <row r="352" spans="4:7" x14ac:dyDescent="0.2">
      <c r="D352" s="17">
        <v>44519</v>
      </c>
      <c r="E352" s="1">
        <v>9.5378000000000007</v>
      </c>
      <c r="F352" s="1">
        <v>10.159000000000001</v>
      </c>
      <c r="G352" s="1">
        <v>10.5747</v>
      </c>
    </row>
    <row r="353" spans="4:7" x14ac:dyDescent="0.2">
      <c r="D353" s="17">
        <v>44522</v>
      </c>
      <c r="E353" s="1">
        <v>9.5698000000000008</v>
      </c>
      <c r="F353" s="1">
        <v>10.1701</v>
      </c>
      <c r="G353" s="1">
        <v>10.5747</v>
      </c>
    </row>
    <row r="354" spans="4:7" x14ac:dyDescent="0.2">
      <c r="D354" s="17">
        <v>44523</v>
      </c>
      <c r="E354" s="1">
        <v>9.7555999999999994</v>
      </c>
      <c r="F354" s="1">
        <v>10.1919</v>
      </c>
      <c r="G354" s="1">
        <v>10.5747</v>
      </c>
    </row>
    <row r="355" spans="4:7" x14ac:dyDescent="0.2">
      <c r="D355" s="17">
        <v>44524</v>
      </c>
      <c r="E355" s="1">
        <v>9.7555999999999994</v>
      </c>
      <c r="F355" s="1">
        <v>10.192</v>
      </c>
      <c r="G355" s="1">
        <v>10.5747</v>
      </c>
    </row>
    <row r="356" spans="4:7" x14ac:dyDescent="0.2">
      <c r="D356" s="17">
        <v>44525</v>
      </c>
      <c r="E356" s="1">
        <v>9.7555999999999994</v>
      </c>
      <c r="F356" s="1">
        <v>10.1919</v>
      </c>
      <c r="G356" s="1">
        <v>10.5747</v>
      </c>
    </row>
    <row r="357" spans="4:7" x14ac:dyDescent="0.2">
      <c r="D357" s="17">
        <v>44526</v>
      </c>
      <c r="E357" s="1">
        <v>9.7555999999999994</v>
      </c>
      <c r="F357" s="1">
        <v>10.1914</v>
      </c>
      <c r="G357" s="1">
        <v>10.563499999999999</v>
      </c>
    </row>
    <row r="358" spans="4:7" x14ac:dyDescent="0.2">
      <c r="D358" s="17">
        <v>44529</v>
      </c>
      <c r="E358" s="1">
        <v>9.8643000000000001</v>
      </c>
      <c r="F358" s="1">
        <v>10.1911</v>
      </c>
      <c r="G358" s="1">
        <v>10.563499999999999</v>
      </c>
    </row>
    <row r="359" spans="4:7" x14ac:dyDescent="0.2">
      <c r="D359" s="17">
        <v>44530</v>
      </c>
      <c r="E359" s="1">
        <v>9.8643000000000001</v>
      </c>
      <c r="F359" s="1">
        <v>10.1911</v>
      </c>
      <c r="G359" s="1">
        <v>10.563499999999999</v>
      </c>
    </row>
    <row r="360" spans="4:7" x14ac:dyDescent="0.2">
      <c r="D360" s="17">
        <v>44531</v>
      </c>
      <c r="E360" s="1">
        <v>9.8643000000000001</v>
      </c>
      <c r="F360" s="1">
        <v>10.1701</v>
      </c>
      <c r="G360" s="1">
        <v>10.563499999999999</v>
      </c>
    </row>
    <row r="361" spans="4:7" x14ac:dyDescent="0.2">
      <c r="D361" s="17"/>
    </row>
    <row r="362" spans="4:7" x14ac:dyDescent="0.2">
      <c r="D362" s="17"/>
    </row>
    <row r="363" spans="4:7" x14ac:dyDescent="0.2">
      <c r="D363" s="17"/>
    </row>
    <row r="364" spans="4:7" x14ac:dyDescent="0.2">
      <c r="D364" s="17"/>
    </row>
    <row r="365" spans="4:7" x14ac:dyDescent="0.2">
      <c r="D365" s="17"/>
    </row>
    <row r="366" spans="4:7" x14ac:dyDescent="0.2">
      <c r="D366" s="17"/>
    </row>
    <row r="367" spans="4:7" x14ac:dyDescent="0.2">
      <c r="D367" s="17"/>
    </row>
    <row r="368" spans="4:7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D3E03-A6DE-4C04-9707-C6443C224173}">
  <sheetPr codeName="Planilha6"/>
  <dimension ref="A1:P399"/>
  <sheetViews>
    <sheetView workbookViewId="0">
      <selection activeCell="B18" sqref="B18"/>
    </sheetView>
  </sheetViews>
  <sheetFormatPr defaultRowHeight="12.75" x14ac:dyDescent="0.2"/>
  <cols>
    <col min="1" max="1" width="33.5703125" style="1" customWidth="1"/>
    <col min="2" max="2" width="12.85546875" style="1" bestFit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89</v>
      </c>
      <c r="I1" s="3" t="s">
        <v>60</v>
      </c>
      <c r="J1" s="59" t="str">
        <f>"FOCUS forecast for "&amp;$B$3&amp;" 12 months ahead "</f>
        <v xml:space="preserve">FOCUS forecast for IGP-DI 12 months ahead </v>
      </c>
      <c r="K1" s="60"/>
      <c r="L1" s="60"/>
      <c r="M1" s="60"/>
      <c r="N1" s="60"/>
      <c r="O1" s="60"/>
      <c r="P1" s="60"/>
    </row>
    <row r="3" spans="1:16" x14ac:dyDescent="0.2">
      <c r="A3" s="3" t="s">
        <v>61</v>
      </c>
      <c r="B3" s="18" t="s">
        <v>114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64">xlFOCUS_Expectativas12Meses($B$3,B4,B5,B6,B7,B8,D3:G3)</f>
        <v>43861</v>
      </c>
      <c r="E4" s="1">
        <v>1.41</v>
      </c>
      <c r="F4" s="1">
        <v>4</v>
      </c>
      <c r="G4" s="1">
        <v>6.17</v>
      </c>
    </row>
    <row r="5" spans="1:16" x14ac:dyDescent="0.2">
      <c r="A5" s="3" t="s">
        <v>67</v>
      </c>
      <c r="B5" s="18" t="s">
        <v>68</v>
      </c>
      <c r="D5" s="17">
        <v>43864</v>
      </c>
      <c r="E5" s="1">
        <v>1.41</v>
      </c>
      <c r="F5" s="1">
        <v>4</v>
      </c>
      <c r="G5" s="1">
        <v>6.17</v>
      </c>
    </row>
    <row r="6" spans="1:16" x14ac:dyDescent="0.2">
      <c r="A6" s="3" t="s">
        <v>64</v>
      </c>
      <c r="B6" s="14">
        <v>43861</v>
      </c>
      <c r="D6" s="17">
        <v>43865</v>
      </c>
      <c r="E6" s="1">
        <v>1.41</v>
      </c>
      <c r="F6" s="1">
        <v>4</v>
      </c>
      <c r="G6" s="1">
        <v>6.17</v>
      </c>
    </row>
    <row r="7" spans="1:16" x14ac:dyDescent="0.2">
      <c r="A7" s="3" t="s">
        <v>65</v>
      </c>
      <c r="B7" s="14">
        <v>44531</v>
      </c>
      <c r="D7" s="17">
        <v>43866</v>
      </c>
      <c r="E7" s="1">
        <v>1.41</v>
      </c>
      <c r="F7" s="1">
        <v>4</v>
      </c>
      <c r="G7" s="1">
        <v>6.17</v>
      </c>
    </row>
    <row r="8" spans="1:16" x14ac:dyDescent="0.2">
      <c r="A8" s="3" t="s">
        <v>66</v>
      </c>
      <c r="B8" s="18">
        <v>0</v>
      </c>
      <c r="D8" s="17">
        <v>43867</v>
      </c>
      <c r="E8" s="1">
        <v>1.41</v>
      </c>
      <c r="F8" s="1">
        <v>4</v>
      </c>
      <c r="G8" s="1">
        <v>6.17</v>
      </c>
    </row>
    <row r="9" spans="1:16" x14ac:dyDescent="0.2">
      <c r="D9" s="17">
        <v>43868</v>
      </c>
      <c r="E9" s="1">
        <v>1.41</v>
      </c>
      <c r="F9" s="1">
        <v>4</v>
      </c>
      <c r="G9" s="1">
        <v>6.27</v>
      </c>
    </row>
    <row r="10" spans="1:16" x14ac:dyDescent="0.2">
      <c r="D10" s="17">
        <v>43871</v>
      </c>
      <c r="E10" s="1">
        <v>1.41</v>
      </c>
      <c r="F10" s="1">
        <v>3.99</v>
      </c>
      <c r="G10" s="1">
        <v>6.27</v>
      </c>
    </row>
    <row r="11" spans="1:16" x14ac:dyDescent="0.2">
      <c r="D11" s="17">
        <v>43872</v>
      </c>
      <c r="E11" s="1">
        <v>1.41</v>
      </c>
      <c r="F11" s="1">
        <v>3.99</v>
      </c>
      <c r="G11" s="1">
        <v>6.27</v>
      </c>
    </row>
    <row r="12" spans="1:16" x14ac:dyDescent="0.2">
      <c r="D12" s="17">
        <v>43873</v>
      </c>
      <c r="E12" s="1">
        <v>1.41</v>
      </c>
      <c r="F12" s="1">
        <v>3.99</v>
      </c>
      <c r="G12" s="1">
        <v>6.27</v>
      </c>
    </row>
    <row r="13" spans="1:16" x14ac:dyDescent="0.2">
      <c r="D13" s="17">
        <v>43874</v>
      </c>
      <c r="E13" s="1">
        <v>1.41</v>
      </c>
      <c r="F13" s="1">
        <v>3.99</v>
      </c>
      <c r="G13" s="1">
        <v>6.27</v>
      </c>
    </row>
    <row r="14" spans="1:16" x14ac:dyDescent="0.2">
      <c r="D14" s="17">
        <v>43875</v>
      </c>
      <c r="E14" s="1">
        <v>1.41</v>
      </c>
      <c r="F14" s="1">
        <v>3.99</v>
      </c>
      <c r="G14" s="1">
        <v>6.27</v>
      </c>
    </row>
    <row r="15" spans="1:16" x14ac:dyDescent="0.2">
      <c r="D15" s="17">
        <v>43878</v>
      </c>
      <c r="E15" s="1">
        <v>1.41</v>
      </c>
      <c r="F15" s="1">
        <v>3.92</v>
      </c>
      <c r="G15" s="1">
        <v>6.27</v>
      </c>
    </row>
    <row r="16" spans="1:16" x14ac:dyDescent="0.2">
      <c r="D16" s="17">
        <v>43879</v>
      </c>
      <c r="E16" s="1">
        <v>1.41</v>
      </c>
      <c r="F16" s="1">
        <v>3.97</v>
      </c>
      <c r="G16" s="1">
        <v>6.27</v>
      </c>
    </row>
    <row r="17" spans="4:7" x14ac:dyDescent="0.2">
      <c r="D17" s="17">
        <v>43880</v>
      </c>
      <c r="E17" s="1">
        <v>1.41</v>
      </c>
      <c r="F17" s="1">
        <v>3.97</v>
      </c>
      <c r="G17" s="1">
        <v>6.27</v>
      </c>
    </row>
    <row r="18" spans="4:7" x14ac:dyDescent="0.2">
      <c r="D18" s="17">
        <v>43881</v>
      </c>
      <c r="E18" s="1">
        <v>1.41</v>
      </c>
      <c r="F18" s="1">
        <v>3.92</v>
      </c>
      <c r="G18" s="1">
        <v>6.27</v>
      </c>
    </row>
    <row r="19" spans="4:7" x14ac:dyDescent="0.2">
      <c r="D19" s="17">
        <v>43882</v>
      </c>
      <c r="E19" s="1">
        <v>1.41</v>
      </c>
      <c r="F19" s="1">
        <v>3.92</v>
      </c>
      <c r="G19" s="1">
        <v>6.27</v>
      </c>
    </row>
    <row r="20" spans="4:7" x14ac:dyDescent="0.2">
      <c r="D20" s="17">
        <v>43887</v>
      </c>
      <c r="E20" s="1">
        <v>2.8</v>
      </c>
      <c r="F20" s="1">
        <v>4.0199999999999996</v>
      </c>
      <c r="G20" s="1">
        <v>6.27</v>
      </c>
    </row>
    <row r="21" spans="4:7" x14ac:dyDescent="0.2">
      <c r="D21" s="17">
        <v>43888</v>
      </c>
      <c r="E21" s="1">
        <v>2.8</v>
      </c>
      <c r="F21" s="1">
        <v>3.99</v>
      </c>
      <c r="G21" s="1">
        <v>6.27</v>
      </c>
    </row>
    <row r="22" spans="4:7" x14ac:dyDescent="0.2">
      <c r="D22" s="17">
        <v>43889</v>
      </c>
      <c r="E22" s="1">
        <v>1.41</v>
      </c>
      <c r="F22" s="1">
        <v>3.97</v>
      </c>
      <c r="G22" s="1">
        <v>6.27</v>
      </c>
    </row>
    <row r="23" spans="4:7" x14ac:dyDescent="0.2">
      <c r="D23" s="17">
        <v>43892</v>
      </c>
      <c r="E23" s="1">
        <v>1.41</v>
      </c>
      <c r="F23" s="1">
        <v>3.96</v>
      </c>
      <c r="G23" s="1">
        <v>6.27</v>
      </c>
    </row>
    <row r="24" spans="4:7" x14ac:dyDescent="0.2">
      <c r="D24" s="17">
        <v>43893</v>
      </c>
      <c r="E24" s="1">
        <v>1.41</v>
      </c>
      <c r="F24" s="1">
        <v>3.95</v>
      </c>
      <c r="G24" s="1">
        <v>6.27</v>
      </c>
    </row>
    <row r="25" spans="4:7" x14ac:dyDescent="0.2">
      <c r="D25" s="17">
        <v>43894</v>
      </c>
      <c r="E25" s="1">
        <v>1.41</v>
      </c>
      <c r="F25" s="1">
        <v>3.94</v>
      </c>
      <c r="G25" s="1">
        <v>6.27</v>
      </c>
    </row>
    <row r="26" spans="4:7" x14ac:dyDescent="0.2">
      <c r="D26" s="17">
        <v>43895</v>
      </c>
      <c r="E26" s="1">
        <v>1.41</v>
      </c>
      <c r="F26" s="1">
        <v>3.94</v>
      </c>
      <c r="G26" s="1">
        <v>6.27</v>
      </c>
    </row>
    <row r="27" spans="4:7" x14ac:dyDescent="0.2">
      <c r="D27" s="17">
        <v>43896</v>
      </c>
      <c r="E27" s="1">
        <v>1.41</v>
      </c>
      <c r="F27" s="1">
        <v>3.79</v>
      </c>
      <c r="G27" s="1">
        <v>6.27</v>
      </c>
    </row>
    <row r="28" spans="4:7" x14ac:dyDescent="0.2">
      <c r="D28" s="17">
        <v>43899</v>
      </c>
      <c r="E28" s="1">
        <v>1.41</v>
      </c>
      <c r="F28" s="1">
        <v>4.25</v>
      </c>
      <c r="G28" s="1">
        <v>6.17</v>
      </c>
    </row>
    <row r="29" spans="4:7" x14ac:dyDescent="0.2">
      <c r="D29" s="17">
        <v>43900</v>
      </c>
      <c r="E29" s="1">
        <v>1.41</v>
      </c>
      <c r="F29" s="1">
        <v>4.25</v>
      </c>
      <c r="G29" s="1">
        <v>6.17</v>
      </c>
    </row>
    <row r="30" spans="4:7" x14ac:dyDescent="0.2">
      <c r="D30" s="17">
        <v>43901</v>
      </c>
      <c r="E30" s="1">
        <v>1.41</v>
      </c>
      <c r="F30" s="1">
        <v>4.25</v>
      </c>
      <c r="G30" s="1">
        <v>6.17</v>
      </c>
    </row>
    <row r="31" spans="4:7" x14ac:dyDescent="0.2">
      <c r="D31" s="17">
        <v>43902</v>
      </c>
      <c r="E31" s="1">
        <v>1.41</v>
      </c>
      <c r="F31" s="1">
        <v>4.24</v>
      </c>
      <c r="G31" s="1">
        <v>6.17</v>
      </c>
    </row>
    <row r="32" spans="4:7" x14ac:dyDescent="0.2">
      <c r="D32" s="17">
        <v>43903</v>
      </c>
      <c r="E32" s="1">
        <v>1.41</v>
      </c>
      <c r="F32" s="1">
        <v>4.2300000000000004</v>
      </c>
      <c r="G32" s="1">
        <v>6.17</v>
      </c>
    </row>
    <row r="33" spans="4:7" x14ac:dyDescent="0.2">
      <c r="D33" s="17">
        <v>43906</v>
      </c>
      <c r="E33" s="1">
        <v>1.41</v>
      </c>
      <c r="F33" s="1">
        <v>4.24</v>
      </c>
      <c r="G33" s="1">
        <v>6.17</v>
      </c>
    </row>
    <row r="34" spans="4:7" x14ac:dyDescent="0.2">
      <c r="D34" s="17">
        <v>43907</v>
      </c>
      <c r="E34" s="1">
        <v>1.41</v>
      </c>
      <c r="F34" s="1">
        <v>4.24</v>
      </c>
      <c r="G34" s="1">
        <v>6.17</v>
      </c>
    </row>
    <row r="35" spans="4:7" x14ac:dyDescent="0.2">
      <c r="D35" s="17">
        <v>43908</v>
      </c>
      <c r="E35" s="1">
        <v>1.41</v>
      </c>
      <c r="F35" s="1">
        <v>4.24</v>
      </c>
      <c r="G35" s="1">
        <v>6.17</v>
      </c>
    </row>
    <row r="36" spans="4:7" x14ac:dyDescent="0.2">
      <c r="D36" s="17">
        <v>43909</v>
      </c>
      <c r="E36" s="1">
        <v>1.41</v>
      </c>
      <c r="F36" s="1">
        <v>4.24</v>
      </c>
      <c r="G36" s="1">
        <v>6.18</v>
      </c>
    </row>
    <row r="37" spans="4:7" x14ac:dyDescent="0.2">
      <c r="D37" s="17">
        <v>43910</v>
      </c>
      <c r="E37" s="1">
        <v>1.41</v>
      </c>
      <c r="F37" s="1">
        <v>4.3099999999999996</v>
      </c>
      <c r="G37" s="1">
        <v>6.18</v>
      </c>
    </row>
    <row r="38" spans="4:7" x14ac:dyDescent="0.2">
      <c r="D38" s="17">
        <v>43913</v>
      </c>
      <c r="E38" s="1">
        <v>1.41</v>
      </c>
      <c r="F38" s="1">
        <v>4.4400000000000004</v>
      </c>
      <c r="G38" s="1">
        <v>6.18</v>
      </c>
    </row>
    <row r="39" spans="4:7" x14ac:dyDescent="0.2">
      <c r="D39" s="17">
        <v>43914</v>
      </c>
      <c r="E39" s="1">
        <v>1.41</v>
      </c>
      <c r="F39" s="1">
        <v>4.4400000000000004</v>
      </c>
      <c r="G39" s="1">
        <v>6.18</v>
      </c>
    </row>
    <row r="40" spans="4:7" x14ac:dyDescent="0.2">
      <c r="D40" s="17">
        <v>43915</v>
      </c>
      <c r="E40" s="1">
        <v>1.41</v>
      </c>
      <c r="F40" s="1">
        <v>4.45</v>
      </c>
      <c r="G40" s="1">
        <v>6.18</v>
      </c>
    </row>
    <row r="41" spans="4:7" x14ac:dyDescent="0.2">
      <c r="D41" s="17">
        <v>43916</v>
      </c>
      <c r="E41" s="1">
        <v>1.41</v>
      </c>
      <c r="F41" s="1">
        <v>4.45</v>
      </c>
      <c r="G41" s="1">
        <v>6.18</v>
      </c>
    </row>
    <row r="42" spans="4:7" x14ac:dyDescent="0.2">
      <c r="D42" s="17">
        <v>43917</v>
      </c>
      <c r="E42" s="1">
        <v>1.41</v>
      </c>
      <c r="F42" s="1">
        <v>4.4400000000000004</v>
      </c>
      <c r="G42" s="1">
        <v>6.01</v>
      </c>
    </row>
    <row r="43" spans="4:7" x14ac:dyDescent="0.2">
      <c r="D43" s="17">
        <v>43920</v>
      </c>
      <c r="E43" s="1">
        <v>3.06</v>
      </c>
      <c r="F43" s="1">
        <v>4.45</v>
      </c>
      <c r="G43" s="1">
        <v>6.01</v>
      </c>
    </row>
    <row r="44" spans="4:7" x14ac:dyDescent="0.2">
      <c r="D44" s="17">
        <v>43921</v>
      </c>
      <c r="E44" s="1">
        <v>3.06</v>
      </c>
      <c r="F44" s="1">
        <v>4.45</v>
      </c>
      <c r="G44" s="1">
        <v>6.01</v>
      </c>
    </row>
    <row r="45" spans="4:7" x14ac:dyDescent="0.2">
      <c r="D45" s="17">
        <v>43922</v>
      </c>
      <c r="E45" s="1">
        <v>3.06</v>
      </c>
      <c r="F45" s="1">
        <v>4.45</v>
      </c>
      <c r="G45" s="1">
        <v>6.01</v>
      </c>
    </row>
    <row r="46" spans="4:7" x14ac:dyDescent="0.2">
      <c r="D46" s="17">
        <v>43923</v>
      </c>
      <c r="E46" s="1">
        <v>3.06</v>
      </c>
      <c r="F46" s="1">
        <v>4.45</v>
      </c>
      <c r="G46" s="1">
        <v>6.01</v>
      </c>
    </row>
    <row r="47" spans="4:7" x14ac:dyDescent="0.2">
      <c r="D47" s="17">
        <v>43924</v>
      </c>
      <c r="E47" s="1">
        <v>3.06</v>
      </c>
      <c r="F47" s="1">
        <v>4.74</v>
      </c>
      <c r="G47" s="1">
        <v>6.01</v>
      </c>
    </row>
    <row r="48" spans="4:7" x14ac:dyDescent="0.2">
      <c r="D48" s="17">
        <v>43929</v>
      </c>
      <c r="E48" s="1">
        <v>3.28</v>
      </c>
      <c r="F48" s="1">
        <v>4.24</v>
      </c>
      <c r="G48" s="1">
        <v>7.15</v>
      </c>
    </row>
    <row r="49" spans="4:7" x14ac:dyDescent="0.2">
      <c r="D49" s="17">
        <v>43928</v>
      </c>
      <c r="E49" s="1">
        <v>3.34</v>
      </c>
      <c r="F49" s="1">
        <v>4.2300000000000004</v>
      </c>
      <c r="G49" s="1">
        <v>5.2</v>
      </c>
    </row>
    <row r="50" spans="4:7" x14ac:dyDescent="0.2">
      <c r="D50" s="17">
        <v>43927</v>
      </c>
      <c r="E50" s="1">
        <v>3.34</v>
      </c>
      <c r="F50" s="1">
        <v>4.2300000000000004</v>
      </c>
      <c r="G50" s="1">
        <v>5.2</v>
      </c>
    </row>
    <row r="51" spans="4:7" x14ac:dyDescent="0.2">
      <c r="D51" s="17">
        <v>43930</v>
      </c>
      <c r="E51" s="1">
        <v>3.28</v>
      </c>
      <c r="F51" s="1">
        <v>4.24</v>
      </c>
      <c r="G51" s="1">
        <v>7.15</v>
      </c>
    </row>
    <row r="52" spans="4:7" x14ac:dyDescent="0.2">
      <c r="D52" s="17">
        <v>43934</v>
      </c>
      <c r="E52" s="1">
        <v>2.77</v>
      </c>
      <c r="F52" s="1">
        <v>4.2300000000000004</v>
      </c>
      <c r="G52" s="1">
        <v>7.15</v>
      </c>
    </row>
    <row r="53" spans="4:7" x14ac:dyDescent="0.2">
      <c r="D53" s="17">
        <v>43935</v>
      </c>
      <c r="E53" s="1">
        <v>2.77</v>
      </c>
      <c r="F53" s="1">
        <v>4.2300000000000004</v>
      </c>
      <c r="G53" s="1">
        <v>7.15</v>
      </c>
    </row>
    <row r="54" spans="4:7" x14ac:dyDescent="0.2">
      <c r="D54" s="17">
        <v>43936</v>
      </c>
      <c r="E54" s="1">
        <v>2.77</v>
      </c>
      <c r="F54" s="1">
        <v>4.2300000000000004</v>
      </c>
      <c r="G54" s="1">
        <v>7.15</v>
      </c>
    </row>
    <row r="55" spans="4:7" x14ac:dyDescent="0.2">
      <c r="D55" s="17">
        <v>43937</v>
      </c>
      <c r="E55" s="1">
        <v>2.77</v>
      </c>
      <c r="F55" s="1">
        <v>4.2300000000000004</v>
      </c>
      <c r="G55" s="1">
        <v>7.15</v>
      </c>
    </row>
    <row r="56" spans="4:7" x14ac:dyDescent="0.2">
      <c r="D56" s="17">
        <v>43938</v>
      </c>
      <c r="E56" s="1">
        <v>2.77</v>
      </c>
      <c r="F56" s="1">
        <v>4.1399999999999997</v>
      </c>
      <c r="G56" s="1">
        <v>7.15</v>
      </c>
    </row>
    <row r="57" spans="4:7" x14ac:dyDescent="0.2">
      <c r="D57" s="17">
        <v>43941</v>
      </c>
      <c r="E57" s="1">
        <v>2.82</v>
      </c>
      <c r="F57" s="1">
        <v>4.12</v>
      </c>
      <c r="G57" s="1">
        <v>7.15</v>
      </c>
    </row>
    <row r="58" spans="4:7" x14ac:dyDescent="0.2">
      <c r="D58" s="17">
        <v>43943</v>
      </c>
      <c r="E58" s="1">
        <v>2.82</v>
      </c>
      <c r="F58" s="1">
        <v>4.12</v>
      </c>
      <c r="G58" s="1">
        <v>7.15</v>
      </c>
    </row>
    <row r="59" spans="4:7" x14ac:dyDescent="0.2">
      <c r="D59" s="17">
        <v>43944</v>
      </c>
      <c r="E59" s="1">
        <v>2.82</v>
      </c>
      <c r="F59" s="1">
        <v>4.12</v>
      </c>
      <c r="G59" s="1">
        <v>7.15</v>
      </c>
    </row>
    <row r="60" spans="4:7" x14ac:dyDescent="0.2">
      <c r="D60" s="17">
        <v>43945</v>
      </c>
      <c r="E60" s="1">
        <v>2.82</v>
      </c>
      <c r="F60" s="1">
        <v>4.12</v>
      </c>
      <c r="G60" s="1">
        <v>7.15</v>
      </c>
    </row>
    <row r="61" spans="4:7" x14ac:dyDescent="0.2">
      <c r="D61" s="17">
        <v>43948</v>
      </c>
      <c r="E61" s="1">
        <v>2.82</v>
      </c>
      <c r="F61" s="1">
        <v>4.12</v>
      </c>
      <c r="G61" s="1">
        <v>7.15</v>
      </c>
    </row>
    <row r="62" spans="4:7" x14ac:dyDescent="0.2">
      <c r="D62" s="17">
        <v>43949</v>
      </c>
      <c r="E62" s="1">
        <v>2.82</v>
      </c>
      <c r="F62" s="1">
        <v>4.12</v>
      </c>
      <c r="G62" s="1">
        <v>7.15</v>
      </c>
    </row>
    <row r="63" spans="4:7" x14ac:dyDescent="0.2">
      <c r="D63" s="17">
        <v>43950</v>
      </c>
      <c r="E63" s="1">
        <v>2.17</v>
      </c>
      <c r="F63" s="1">
        <v>4.12</v>
      </c>
      <c r="G63" s="1">
        <v>7.15</v>
      </c>
    </row>
    <row r="64" spans="4:7" x14ac:dyDescent="0.2">
      <c r="D64" s="17">
        <v>43951</v>
      </c>
      <c r="E64" s="1">
        <v>2.17</v>
      </c>
      <c r="F64" s="1">
        <v>4.12</v>
      </c>
      <c r="G64" s="1">
        <v>7.15</v>
      </c>
    </row>
    <row r="65" spans="4:7" x14ac:dyDescent="0.2">
      <c r="D65" s="17">
        <v>43955</v>
      </c>
      <c r="E65" s="1">
        <v>2.17</v>
      </c>
      <c r="F65" s="1">
        <v>4.12</v>
      </c>
      <c r="G65" s="1">
        <v>7.15</v>
      </c>
    </row>
    <row r="66" spans="4:7" x14ac:dyDescent="0.2">
      <c r="D66" s="17">
        <v>43956</v>
      </c>
      <c r="E66" s="1">
        <v>2.17</v>
      </c>
      <c r="F66" s="1">
        <v>4.12</v>
      </c>
      <c r="G66" s="1">
        <v>7.15</v>
      </c>
    </row>
    <row r="67" spans="4:7" x14ac:dyDescent="0.2">
      <c r="D67" s="17">
        <v>43957</v>
      </c>
      <c r="E67" s="1">
        <v>2.17</v>
      </c>
      <c r="F67" s="1">
        <v>4.12</v>
      </c>
      <c r="G67" s="1">
        <v>7.15</v>
      </c>
    </row>
    <row r="68" spans="4:7" x14ac:dyDescent="0.2">
      <c r="D68" s="17">
        <v>43958</v>
      </c>
      <c r="E68" s="1">
        <v>2.17</v>
      </c>
      <c r="F68" s="1">
        <v>4.12</v>
      </c>
      <c r="G68" s="1">
        <v>7.15</v>
      </c>
    </row>
    <row r="69" spans="4:7" x14ac:dyDescent="0.2">
      <c r="D69" s="17">
        <v>43959</v>
      </c>
      <c r="E69" s="1">
        <v>2.12</v>
      </c>
      <c r="F69" s="1">
        <v>3.96</v>
      </c>
      <c r="G69" s="1">
        <v>5.95</v>
      </c>
    </row>
    <row r="70" spans="4:7" x14ac:dyDescent="0.2">
      <c r="D70" s="17">
        <v>43962</v>
      </c>
      <c r="E70" s="1">
        <v>2.12</v>
      </c>
      <c r="F70" s="1">
        <v>3.75</v>
      </c>
      <c r="G70" s="1">
        <v>5.95</v>
      </c>
    </row>
    <row r="71" spans="4:7" x14ac:dyDescent="0.2">
      <c r="D71" s="17">
        <v>43963</v>
      </c>
      <c r="E71" s="1">
        <v>2.12</v>
      </c>
      <c r="F71" s="1">
        <v>3.81</v>
      </c>
      <c r="G71" s="1">
        <v>5.95</v>
      </c>
    </row>
    <row r="72" spans="4:7" x14ac:dyDescent="0.2">
      <c r="D72" s="17">
        <v>43964</v>
      </c>
      <c r="E72" s="1">
        <v>1.61</v>
      </c>
      <c r="F72" s="1">
        <v>3.78</v>
      </c>
      <c r="G72" s="1">
        <v>5.95</v>
      </c>
    </row>
    <row r="73" spans="4:7" x14ac:dyDescent="0.2">
      <c r="D73" s="17">
        <v>43965</v>
      </c>
      <c r="E73" s="1">
        <v>1.61</v>
      </c>
      <c r="F73" s="1">
        <v>3.78</v>
      </c>
      <c r="G73" s="1">
        <v>5.95</v>
      </c>
    </row>
    <row r="74" spans="4:7" x14ac:dyDescent="0.2">
      <c r="D74" s="17">
        <v>43966</v>
      </c>
      <c r="E74" s="1">
        <v>1.61</v>
      </c>
      <c r="F74" s="1">
        <v>3.76</v>
      </c>
      <c r="G74" s="1">
        <v>5.95</v>
      </c>
    </row>
    <row r="75" spans="4:7" x14ac:dyDescent="0.2">
      <c r="D75" s="17">
        <v>43969</v>
      </c>
      <c r="E75" s="1">
        <v>1.61</v>
      </c>
      <c r="F75" s="1">
        <v>3.78</v>
      </c>
      <c r="G75" s="1">
        <v>5.95</v>
      </c>
    </row>
    <row r="76" spans="4:7" x14ac:dyDescent="0.2">
      <c r="D76" s="17">
        <v>43970</v>
      </c>
      <c r="E76" s="1">
        <v>1.61</v>
      </c>
      <c r="F76" s="1">
        <v>3.78</v>
      </c>
      <c r="G76" s="1">
        <v>5.95</v>
      </c>
    </row>
    <row r="77" spans="4:7" x14ac:dyDescent="0.2">
      <c r="D77" s="17">
        <v>43971</v>
      </c>
      <c r="E77" s="1">
        <v>1.61</v>
      </c>
      <c r="F77" s="1">
        <v>3.78</v>
      </c>
      <c r="G77" s="1">
        <v>5.95</v>
      </c>
    </row>
    <row r="78" spans="4:7" x14ac:dyDescent="0.2">
      <c r="D78" s="17">
        <v>43972</v>
      </c>
      <c r="E78" s="1">
        <v>1.61</v>
      </c>
      <c r="F78" s="1">
        <v>3.78</v>
      </c>
      <c r="G78" s="1">
        <v>5.95</v>
      </c>
    </row>
    <row r="79" spans="4:7" x14ac:dyDescent="0.2">
      <c r="D79" s="17">
        <v>43973</v>
      </c>
      <c r="E79" s="1">
        <v>1.61</v>
      </c>
      <c r="F79" s="1">
        <v>3.76</v>
      </c>
      <c r="G79" s="1">
        <v>5.95</v>
      </c>
    </row>
    <row r="80" spans="4:7" x14ac:dyDescent="0.2">
      <c r="D80" s="17">
        <v>43976</v>
      </c>
      <c r="E80" s="1">
        <v>1.61</v>
      </c>
      <c r="F80" s="1">
        <v>3.83</v>
      </c>
      <c r="G80" s="1">
        <v>5.36</v>
      </c>
    </row>
    <row r="81" spans="4:7" x14ac:dyDescent="0.2">
      <c r="D81" s="17">
        <v>43977</v>
      </c>
      <c r="E81" s="1">
        <v>1.61</v>
      </c>
      <c r="F81" s="1">
        <v>3.9</v>
      </c>
      <c r="G81" s="1">
        <v>5.36</v>
      </c>
    </row>
    <row r="82" spans="4:7" x14ac:dyDescent="0.2">
      <c r="D82" s="17">
        <v>43978</v>
      </c>
      <c r="E82" s="1">
        <v>1.61</v>
      </c>
      <c r="F82" s="1">
        <v>3.9</v>
      </c>
      <c r="G82" s="1">
        <v>5.36</v>
      </c>
    </row>
    <row r="83" spans="4:7" x14ac:dyDescent="0.2">
      <c r="D83" s="17">
        <v>43979</v>
      </c>
      <c r="E83" s="1">
        <v>1.61</v>
      </c>
      <c r="F83" s="1">
        <v>3.9</v>
      </c>
      <c r="G83" s="1">
        <v>5.36</v>
      </c>
    </row>
    <row r="84" spans="4:7" x14ac:dyDescent="0.2">
      <c r="D84" s="17">
        <v>43980</v>
      </c>
      <c r="E84" s="1">
        <v>1.61</v>
      </c>
      <c r="F84" s="1">
        <v>3.98</v>
      </c>
      <c r="G84" s="1">
        <v>5.36</v>
      </c>
    </row>
    <row r="85" spans="4:7" x14ac:dyDescent="0.2">
      <c r="D85" s="17">
        <v>43983</v>
      </c>
      <c r="E85" s="1">
        <v>1.61</v>
      </c>
      <c r="F85" s="1">
        <v>4.12</v>
      </c>
      <c r="G85" s="1">
        <v>5.36</v>
      </c>
    </row>
    <row r="86" spans="4:7" x14ac:dyDescent="0.2">
      <c r="D86" s="17">
        <v>43984</v>
      </c>
      <c r="E86" s="1">
        <v>1.61</v>
      </c>
      <c r="F86" s="1">
        <v>4.1100000000000003</v>
      </c>
      <c r="G86" s="1">
        <v>5.36</v>
      </c>
    </row>
    <row r="87" spans="4:7" x14ac:dyDescent="0.2">
      <c r="D87" s="17">
        <v>43985</v>
      </c>
      <c r="E87" s="1">
        <v>1.61</v>
      </c>
      <c r="F87" s="1">
        <v>4.1100000000000003</v>
      </c>
      <c r="G87" s="1">
        <v>5.36</v>
      </c>
    </row>
    <row r="88" spans="4:7" x14ac:dyDescent="0.2">
      <c r="D88" s="17">
        <v>43986</v>
      </c>
      <c r="E88" s="1">
        <v>1.61</v>
      </c>
      <c r="F88" s="1">
        <v>4.1100000000000003</v>
      </c>
      <c r="G88" s="1">
        <v>5.36</v>
      </c>
    </row>
    <row r="89" spans="4:7" x14ac:dyDescent="0.2">
      <c r="D89" s="17">
        <v>43987</v>
      </c>
      <c r="E89" s="1">
        <v>1.61</v>
      </c>
      <c r="F89" s="1">
        <v>4.07</v>
      </c>
      <c r="G89" s="1">
        <v>5.38</v>
      </c>
    </row>
    <row r="90" spans="4:7" x14ac:dyDescent="0.2">
      <c r="D90" s="17">
        <v>43990</v>
      </c>
      <c r="E90" s="1">
        <v>1.61</v>
      </c>
      <c r="F90" s="1">
        <v>4.1500000000000004</v>
      </c>
      <c r="G90" s="1">
        <v>5.38</v>
      </c>
    </row>
    <row r="91" spans="4:7" x14ac:dyDescent="0.2">
      <c r="D91" s="17">
        <v>43991</v>
      </c>
      <c r="E91" s="1">
        <v>1.61</v>
      </c>
      <c r="F91" s="1">
        <v>4.1500000000000004</v>
      </c>
      <c r="G91" s="1">
        <v>5.38</v>
      </c>
    </row>
    <row r="92" spans="4:7" x14ac:dyDescent="0.2">
      <c r="D92" s="17">
        <v>43992</v>
      </c>
      <c r="E92" s="1">
        <v>1.61</v>
      </c>
      <c r="F92" s="1">
        <v>4.1500000000000004</v>
      </c>
      <c r="G92" s="1">
        <v>5.38</v>
      </c>
    </row>
    <row r="93" spans="4:7" x14ac:dyDescent="0.2">
      <c r="D93" s="17">
        <v>43994</v>
      </c>
      <c r="E93" s="1">
        <v>1.61</v>
      </c>
      <c r="F93" s="1">
        <v>4.0599999999999996</v>
      </c>
      <c r="G93" s="1">
        <v>5.81</v>
      </c>
    </row>
    <row r="94" spans="4:7" x14ac:dyDescent="0.2">
      <c r="D94" s="17">
        <v>43997</v>
      </c>
      <c r="E94" s="1">
        <v>2.4700000000000002</v>
      </c>
      <c r="F94" s="1">
        <v>4.21</v>
      </c>
      <c r="G94" s="1">
        <v>5.81</v>
      </c>
    </row>
    <row r="95" spans="4:7" x14ac:dyDescent="0.2">
      <c r="D95" s="17">
        <v>43998</v>
      </c>
      <c r="E95" s="1">
        <v>2.4700000000000002</v>
      </c>
      <c r="F95" s="1">
        <v>4.13</v>
      </c>
      <c r="G95" s="1">
        <v>5.81</v>
      </c>
    </row>
    <row r="96" spans="4:7" x14ac:dyDescent="0.2">
      <c r="D96" s="17">
        <v>43999</v>
      </c>
      <c r="E96" s="1">
        <v>2.44</v>
      </c>
      <c r="F96" s="1">
        <v>4.13</v>
      </c>
      <c r="G96" s="1">
        <v>5.81</v>
      </c>
    </row>
    <row r="97" spans="4:7" x14ac:dyDescent="0.2">
      <c r="D97" s="17">
        <v>44008</v>
      </c>
      <c r="E97" s="1">
        <v>2.44</v>
      </c>
      <c r="F97" s="1">
        <v>4.21</v>
      </c>
      <c r="G97" s="1">
        <v>5.81</v>
      </c>
    </row>
    <row r="98" spans="4:7" x14ac:dyDescent="0.2">
      <c r="D98" s="17">
        <v>44007</v>
      </c>
      <c r="E98" s="1">
        <v>2.44</v>
      </c>
      <c r="F98" s="1">
        <v>4.13</v>
      </c>
      <c r="G98" s="1">
        <v>5.81</v>
      </c>
    </row>
    <row r="99" spans="4:7" x14ac:dyDescent="0.2">
      <c r="D99" s="17">
        <v>44006</v>
      </c>
      <c r="E99" s="1">
        <v>2.44</v>
      </c>
      <c r="F99" s="1">
        <v>4.13</v>
      </c>
      <c r="G99" s="1">
        <v>5.81</v>
      </c>
    </row>
    <row r="100" spans="4:7" x14ac:dyDescent="0.2">
      <c r="D100" s="17">
        <v>44005</v>
      </c>
      <c r="E100" s="1">
        <v>2.44</v>
      </c>
      <c r="F100" s="1">
        <v>4.13</v>
      </c>
      <c r="G100" s="1">
        <v>5.81</v>
      </c>
    </row>
    <row r="101" spans="4:7" x14ac:dyDescent="0.2">
      <c r="D101" s="17">
        <v>44004</v>
      </c>
      <c r="E101" s="1">
        <v>2.44</v>
      </c>
      <c r="F101" s="1">
        <v>4.13</v>
      </c>
      <c r="G101" s="1">
        <v>5.81</v>
      </c>
    </row>
    <row r="102" spans="4:7" x14ac:dyDescent="0.2">
      <c r="D102" s="17">
        <v>44001</v>
      </c>
      <c r="E102" s="1">
        <v>2.44</v>
      </c>
      <c r="F102" s="1">
        <v>4.13</v>
      </c>
      <c r="G102" s="1">
        <v>5.81</v>
      </c>
    </row>
    <row r="103" spans="4:7" x14ac:dyDescent="0.2">
      <c r="D103" s="17">
        <v>44000</v>
      </c>
      <c r="E103" s="1">
        <v>2.44</v>
      </c>
      <c r="F103" s="1">
        <v>4.13</v>
      </c>
      <c r="G103" s="1">
        <v>5.81</v>
      </c>
    </row>
    <row r="104" spans="4:7" x14ac:dyDescent="0.2">
      <c r="D104" s="17">
        <v>44011</v>
      </c>
      <c r="E104" s="1">
        <v>2.4700000000000002</v>
      </c>
      <c r="F104" s="1">
        <v>4.21</v>
      </c>
      <c r="G104" s="1">
        <v>5.81</v>
      </c>
    </row>
    <row r="105" spans="4:7" x14ac:dyDescent="0.2">
      <c r="D105" s="17">
        <v>44013</v>
      </c>
      <c r="E105" s="1">
        <v>2.4700000000000002</v>
      </c>
      <c r="F105" s="1">
        <v>4.37</v>
      </c>
      <c r="G105" s="1">
        <v>5.81</v>
      </c>
    </row>
    <row r="106" spans="4:7" x14ac:dyDescent="0.2">
      <c r="D106" s="17">
        <v>44012</v>
      </c>
      <c r="E106" s="1">
        <v>2.4700000000000002</v>
      </c>
      <c r="F106" s="1">
        <v>4.37</v>
      </c>
      <c r="G106" s="1">
        <v>5.81</v>
      </c>
    </row>
    <row r="107" spans="4:7" x14ac:dyDescent="0.2">
      <c r="D107" s="17">
        <v>44014</v>
      </c>
      <c r="E107" s="1">
        <v>2.4700000000000002</v>
      </c>
      <c r="F107" s="1">
        <v>4.37</v>
      </c>
      <c r="G107" s="1">
        <v>5.81</v>
      </c>
    </row>
    <row r="108" spans="4:7" x14ac:dyDescent="0.2">
      <c r="D108" s="17">
        <v>44015</v>
      </c>
      <c r="E108" s="1">
        <v>2.4700000000000002</v>
      </c>
      <c r="F108" s="1">
        <v>4.29</v>
      </c>
      <c r="G108" s="1">
        <v>5.81</v>
      </c>
    </row>
    <row r="109" spans="4:7" x14ac:dyDescent="0.2">
      <c r="D109" s="17">
        <v>44018</v>
      </c>
      <c r="E109" s="1">
        <v>2.4700000000000002</v>
      </c>
      <c r="F109" s="1">
        <v>4.7</v>
      </c>
      <c r="G109" s="1">
        <v>5.81</v>
      </c>
    </row>
    <row r="110" spans="4:7" x14ac:dyDescent="0.2">
      <c r="D110" s="17">
        <v>44019</v>
      </c>
      <c r="E110" s="1">
        <v>2.4700000000000002</v>
      </c>
      <c r="F110" s="1">
        <v>4.7</v>
      </c>
      <c r="G110" s="1">
        <v>5.81</v>
      </c>
    </row>
    <row r="111" spans="4:7" x14ac:dyDescent="0.2">
      <c r="D111" s="17">
        <v>44020</v>
      </c>
      <c r="E111" s="1">
        <v>2.02</v>
      </c>
      <c r="F111" s="1">
        <v>3.99</v>
      </c>
      <c r="G111" s="1">
        <v>4.75</v>
      </c>
    </row>
    <row r="112" spans="4:7" x14ac:dyDescent="0.2">
      <c r="D112" s="17">
        <v>44021</v>
      </c>
      <c r="E112" s="1">
        <v>2.02</v>
      </c>
      <c r="F112" s="1">
        <v>3.99</v>
      </c>
      <c r="G112" s="1">
        <v>4.75</v>
      </c>
    </row>
    <row r="113" spans="4:7" x14ac:dyDescent="0.2">
      <c r="D113" s="17">
        <v>44022</v>
      </c>
      <c r="E113" s="1">
        <v>2.02</v>
      </c>
      <c r="F113" s="1">
        <v>3.99</v>
      </c>
      <c r="G113" s="1">
        <v>4.75</v>
      </c>
    </row>
    <row r="114" spans="4:7" x14ac:dyDescent="0.2">
      <c r="D114" s="17">
        <v>44025</v>
      </c>
      <c r="E114" s="1">
        <v>3.03</v>
      </c>
      <c r="F114" s="1">
        <v>3.95</v>
      </c>
      <c r="G114" s="1">
        <v>4.75</v>
      </c>
    </row>
    <row r="115" spans="4:7" x14ac:dyDescent="0.2">
      <c r="D115" s="17">
        <v>44026</v>
      </c>
      <c r="E115" s="1">
        <v>3.03</v>
      </c>
      <c r="F115" s="1">
        <v>3.95</v>
      </c>
      <c r="G115" s="1">
        <v>4.75</v>
      </c>
    </row>
    <row r="116" spans="4:7" x14ac:dyDescent="0.2">
      <c r="D116" s="17">
        <v>44028</v>
      </c>
      <c r="E116" s="1">
        <v>3.03</v>
      </c>
      <c r="F116" s="1">
        <v>4.03</v>
      </c>
      <c r="G116" s="1">
        <v>6.52</v>
      </c>
    </row>
    <row r="117" spans="4:7" x14ac:dyDescent="0.2">
      <c r="D117" s="17">
        <v>44027</v>
      </c>
      <c r="E117" s="1">
        <v>3.03</v>
      </c>
      <c r="F117" s="1">
        <v>3.97</v>
      </c>
      <c r="G117" s="1">
        <v>6.52</v>
      </c>
    </row>
    <row r="118" spans="4:7" x14ac:dyDescent="0.2">
      <c r="D118" s="17">
        <v>44029</v>
      </c>
      <c r="E118" s="1">
        <v>3.03</v>
      </c>
      <c r="F118" s="1">
        <v>4.24</v>
      </c>
      <c r="G118" s="1">
        <v>6.52</v>
      </c>
    </row>
    <row r="119" spans="4:7" x14ac:dyDescent="0.2">
      <c r="D119" s="17">
        <v>44032</v>
      </c>
      <c r="E119" s="1">
        <v>3.03</v>
      </c>
      <c r="F119" s="1">
        <v>4.38</v>
      </c>
      <c r="G119" s="1">
        <v>6.52</v>
      </c>
    </row>
    <row r="120" spans="4:7" x14ac:dyDescent="0.2">
      <c r="D120" s="17">
        <v>44033</v>
      </c>
      <c r="E120" s="1">
        <v>3.03</v>
      </c>
      <c r="F120" s="1">
        <v>4.38</v>
      </c>
      <c r="G120" s="1">
        <v>6.52</v>
      </c>
    </row>
    <row r="121" spans="4:7" x14ac:dyDescent="0.2">
      <c r="D121" s="17">
        <v>44034</v>
      </c>
      <c r="E121" s="1">
        <v>3.04</v>
      </c>
      <c r="F121" s="1">
        <v>4.4400000000000004</v>
      </c>
      <c r="G121" s="1">
        <v>6.52</v>
      </c>
    </row>
    <row r="122" spans="4:7" x14ac:dyDescent="0.2">
      <c r="D122" s="17">
        <v>44035</v>
      </c>
      <c r="E122" s="1">
        <v>3.04</v>
      </c>
      <c r="F122" s="1">
        <v>4.38</v>
      </c>
      <c r="G122" s="1">
        <v>6.52</v>
      </c>
    </row>
    <row r="123" spans="4:7" x14ac:dyDescent="0.2">
      <c r="D123" s="17">
        <v>44036</v>
      </c>
      <c r="E123" s="1">
        <v>3.04</v>
      </c>
      <c r="F123" s="1">
        <v>4.38</v>
      </c>
      <c r="G123" s="1">
        <v>6.52</v>
      </c>
    </row>
    <row r="124" spans="4:7" x14ac:dyDescent="0.2">
      <c r="D124" s="17">
        <v>44039</v>
      </c>
      <c r="E124" s="1">
        <v>3.04</v>
      </c>
      <c r="F124" s="1">
        <v>4.38</v>
      </c>
      <c r="G124" s="1">
        <v>6.52</v>
      </c>
    </row>
    <row r="125" spans="4:7" x14ac:dyDescent="0.2">
      <c r="D125" s="17">
        <v>44040</v>
      </c>
      <c r="E125" s="1">
        <v>3.04</v>
      </c>
      <c r="F125" s="1">
        <v>4.38</v>
      </c>
      <c r="G125" s="1">
        <v>6.52</v>
      </c>
    </row>
    <row r="126" spans="4:7" x14ac:dyDescent="0.2">
      <c r="D126" s="17">
        <v>44041</v>
      </c>
      <c r="E126" s="1">
        <v>3.04</v>
      </c>
      <c r="F126" s="1">
        <v>4.38</v>
      </c>
      <c r="G126" s="1">
        <v>6.52</v>
      </c>
    </row>
    <row r="127" spans="4:7" x14ac:dyDescent="0.2">
      <c r="D127" s="17">
        <v>44042</v>
      </c>
      <c r="E127" s="1">
        <v>3.04</v>
      </c>
      <c r="F127" s="1">
        <v>4.38</v>
      </c>
      <c r="G127" s="1">
        <v>6.52</v>
      </c>
    </row>
    <row r="128" spans="4:7" x14ac:dyDescent="0.2">
      <c r="D128" s="17">
        <v>44043</v>
      </c>
      <c r="E128" s="1">
        <v>3.38</v>
      </c>
      <c r="F128" s="1">
        <v>4.9000000000000004</v>
      </c>
      <c r="G128" s="1">
        <v>6.89</v>
      </c>
    </row>
    <row r="129" spans="4:7" x14ac:dyDescent="0.2">
      <c r="D129" s="17">
        <v>44046</v>
      </c>
      <c r="E129" s="1">
        <v>3.38</v>
      </c>
      <c r="F129" s="1">
        <v>4.9000000000000004</v>
      </c>
      <c r="G129" s="1">
        <v>6.89</v>
      </c>
    </row>
    <row r="130" spans="4:7" x14ac:dyDescent="0.2">
      <c r="D130" s="17">
        <v>44047</v>
      </c>
      <c r="E130" s="1">
        <v>3.38</v>
      </c>
      <c r="F130" s="1">
        <v>4.9000000000000004</v>
      </c>
      <c r="G130" s="1">
        <v>6.89</v>
      </c>
    </row>
    <row r="131" spans="4:7" x14ac:dyDescent="0.2">
      <c r="D131" s="17">
        <v>44048</v>
      </c>
      <c r="E131" s="1">
        <v>3.38</v>
      </c>
      <c r="F131" s="1">
        <v>5.04</v>
      </c>
      <c r="G131" s="1">
        <v>6.89</v>
      </c>
    </row>
    <row r="132" spans="4:7" x14ac:dyDescent="0.2">
      <c r="D132" s="17">
        <v>44049</v>
      </c>
      <c r="E132" s="1">
        <v>1.34</v>
      </c>
      <c r="F132" s="1">
        <v>3.94</v>
      </c>
      <c r="G132" s="1">
        <v>6.13</v>
      </c>
    </row>
    <row r="133" spans="4:7" x14ac:dyDescent="0.2">
      <c r="D133" s="17">
        <v>44050</v>
      </c>
      <c r="E133" s="1">
        <v>1.34</v>
      </c>
      <c r="F133" s="1">
        <v>4.13</v>
      </c>
      <c r="G133" s="1">
        <v>6.13</v>
      </c>
    </row>
    <row r="134" spans="4:7" x14ac:dyDescent="0.2">
      <c r="D134" s="17">
        <v>44053</v>
      </c>
      <c r="E134" s="1">
        <v>1.34</v>
      </c>
      <c r="F134" s="1">
        <v>4.13</v>
      </c>
      <c r="G134" s="1">
        <v>6.13</v>
      </c>
    </row>
    <row r="135" spans="4:7" x14ac:dyDescent="0.2">
      <c r="D135" s="17">
        <v>44054</v>
      </c>
      <c r="E135" s="1">
        <v>1.34</v>
      </c>
      <c r="F135" s="1">
        <v>4.13</v>
      </c>
      <c r="G135" s="1">
        <v>6.13</v>
      </c>
    </row>
    <row r="136" spans="4:7" x14ac:dyDescent="0.2">
      <c r="D136" s="17">
        <v>44055</v>
      </c>
      <c r="E136" s="1">
        <v>1.34</v>
      </c>
      <c r="F136" s="1">
        <v>4.13</v>
      </c>
      <c r="G136" s="1">
        <v>6.13</v>
      </c>
    </row>
    <row r="137" spans="4:7" x14ac:dyDescent="0.2">
      <c r="D137" s="17">
        <v>44056</v>
      </c>
      <c r="E137" s="1">
        <v>1.34</v>
      </c>
      <c r="F137" s="1">
        <v>4.13</v>
      </c>
      <c r="G137" s="1">
        <v>6.13</v>
      </c>
    </row>
    <row r="138" spans="4:7" x14ac:dyDescent="0.2">
      <c r="D138" s="17">
        <v>44057</v>
      </c>
      <c r="E138" s="1">
        <v>2.4500000000000002</v>
      </c>
      <c r="F138" s="1">
        <v>4.13</v>
      </c>
      <c r="G138" s="1">
        <v>6.56</v>
      </c>
    </row>
    <row r="139" spans="4:7" x14ac:dyDescent="0.2">
      <c r="D139" s="17">
        <v>44060</v>
      </c>
      <c r="E139" s="1">
        <v>2.4500000000000002</v>
      </c>
      <c r="F139" s="1">
        <v>4.13</v>
      </c>
      <c r="G139" s="1">
        <v>6.56</v>
      </c>
    </row>
    <row r="140" spans="4:7" x14ac:dyDescent="0.2">
      <c r="D140" s="17">
        <v>44061</v>
      </c>
      <c r="E140" s="1">
        <v>2.4500000000000002</v>
      </c>
      <c r="F140" s="1">
        <v>4.13</v>
      </c>
      <c r="G140" s="1">
        <v>7.25</v>
      </c>
    </row>
    <row r="141" spans="4:7" x14ac:dyDescent="0.2">
      <c r="D141" s="17">
        <v>44062</v>
      </c>
      <c r="E141" s="1">
        <v>2.4500000000000002</v>
      </c>
      <c r="F141" s="1">
        <v>4.3</v>
      </c>
      <c r="G141" s="1">
        <v>7.25</v>
      </c>
    </row>
    <row r="142" spans="4:7" x14ac:dyDescent="0.2">
      <c r="D142" s="17">
        <v>44063</v>
      </c>
      <c r="E142" s="1">
        <v>2.4500000000000002</v>
      </c>
      <c r="F142" s="1">
        <v>4.3</v>
      </c>
      <c r="G142" s="1">
        <v>7.25</v>
      </c>
    </row>
    <row r="143" spans="4:7" x14ac:dyDescent="0.2">
      <c r="D143" s="17">
        <v>44064</v>
      </c>
      <c r="E143" s="1">
        <v>2.4500000000000002</v>
      </c>
      <c r="F143" s="1">
        <v>4.51</v>
      </c>
      <c r="G143" s="1">
        <v>7.25</v>
      </c>
    </row>
    <row r="144" spans="4:7" x14ac:dyDescent="0.2">
      <c r="D144" s="17">
        <v>44067</v>
      </c>
      <c r="E144" s="1">
        <v>2.5299999999999998</v>
      </c>
      <c r="F144" s="1">
        <v>5.34</v>
      </c>
      <c r="G144" s="1">
        <v>8.16</v>
      </c>
    </row>
    <row r="145" spans="4:7" x14ac:dyDescent="0.2">
      <c r="D145" s="17">
        <v>44068</v>
      </c>
      <c r="E145" s="1">
        <v>2.5299999999999998</v>
      </c>
      <c r="F145" s="1">
        <v>5.0599999999999996</v>
      </c>
      <c r="G145" s="1">
        <v>8.16</v>
      </c>
    </row>
    <row r="146" spans="4:7" x14ac:dyDescent="0.2">
      <c r="D146" s="17">
        <v>44069</v>
      </c>
      <c r="E146" s="1">
        <v>2.5299999999999998</v>
      </c>
      <c r="F146" s="1">
        <v>5.0599999999999996</v>
      </c>
      <c r="G146" s="1">
        <v>8.16</v>
      </c>
    </row>
    <row r="147" spans="4:7" x14ac:dyDescent="0.2">
      <c r="D147" s="17">
        <v>44070</v>
      </c>
      <c r="E147" s="1">
        <v>2.5299999999999998</v>
      </c>
      <c r="F147" s="1">
        <v>5.61</v>
      </c>
      <c r="G147" s="1">
        <v>8.16</v>
      </c>
    </row>
    <row r="148" spans="4:7" x14ac:dyDescent="0.2">
      <c r="D148" s="17">
        <v>44071</v>
      </c>
      <c r="E148" s="1">
        <v>3.43</v>
      </c>
      <c r="F148" s="1">
        <v>5.64</v>
      </c>
      <c r="G148" s="1">
        <v>11.59</v>
      </c>
    </row>
    <row r="149" spans="4:7" x14ac:dyDescent="0.2">
      <c r="D149" s="17">
        <v>44074</v>
      </c>
      <c r="E149" s="1">
        <v>3.43</v>
      </c>
      <c r="F149" s="1">
        <v>5.76</v>
      </c>
      <c r="G149" s="1">
        <v>11.59</v>
      </c>
    </row>
    <row r="150" spans="4:7" x14ac:dyDescent="0.2">
      <c r="D150" s="17">
        <v>44075</v>
      </c>
      <c r="E150" s="1">
        <v>2.4300000000000002</v>
      </c>
      <c r="F150" s="1">
        <v>5.68</v>
      </c>
      <c r="G150" s="1">
        <v>11.59</v>
      </c>
    </row>
    <row r="151" spans="4:7" x14ac:dyDescent="0.2">
      <c r="D151" s="17">
        <v>44076</v>
      </c>
      <c r="E151" s="1">
        <v>2.4300000000000002</v>
      </c>
      <c r="F151" s="1">
        <v>5.68</v>
      </c>
      <c r="G151" s="1">
        <v>11.59</v>
      </c>
    </row>
    <row r="152" spans="4:7" x14ac:dyDescent="0.2">
      <c r="D152" s="17">
        <v>44077</v>
      </c>
      <c r="E152" s="1">
        <v>2.4300000000000002</v>
      </c>
      <c r="F152" s="1">
        <v>5.94</v>
      </c>
      <c r="G152" s="1">
        <v>11.59</v>
      </c>
    </row>
    <row r="153" spans="4:7" x14ac:dyDescent="0.2">
      <c r="D153" s="17">
        <v>44078</v>
      </c>
      <c r="E153" s="1">
        <v>2.4300000000000002</v>
      </c>
      <c r="F153" s="1">
        <v>6.14</v>
      </c>
      <c r="G153" s="1">
        <v>11.59</v>
      </c>
    </row>
    <row r="154" spans="4:7" x14ac:dyDescent="0.2">
      <c r="D154" s="17">
        <v>44082</v>
      </c>
      <c r="E154" s="1">
        <v>2.5299999999999998</v>
      </c>
      <c r="F154" s="1">
        <v>4.76</v>
      </c>
      <c r="G154" s="1">
        <v>8.93</v>
      </c>
    </row>
    <row r="155" spans="4:7" x14ac:dyDescent="0.2">
      <c r="D155" s="17">
        <v>44083</v>
      </c>
      <c r="E155" s="1">
        <v>2.5299999999999998</v>
      </c>
      <c r="F155" s="1">
        <v>4.76</v>
      </c>
      <c r="G155" s="1">
        <v>8.93</v>
      </c>
    </row>
    <row r="156" spans="4:7" x14ac:dyDescent="0.2">
      <c r="D156" s="17">
        <v>44084</v>
      </c>
      <c r="E156" s="1">
        <v>2.5299999999999998</v>
      </c>
      <c r="F156" s="1">
        <v>5.07</v>
      </c>
      <c r="G156" s="1">
        <v>8.93</v>
      </c>
    </row>
    <row r="157" spans="4:7" x14ac:dyDescent="0.2">
      <c r="D157" s="17">
        <v>44085</v>
      </c>
      <c r="E157" s="1">
        <v>2.5299999999999998</v>
      </c>
      <c r="F157" s="1">
        <v>5.9</v>
      </c>
      <c r="G157" s="1">
        <v>8.93</v>
      </c>
    </row>
    <row r="158" spans="4:7" x14ac:dyDescent="0.2">
      <c r="D158" s="17">
        <v>44088</v>
      </c>
      <c r="E158" s="1">
        <v>2.5299999999999998</v>
      </c>
      <c r="F158" s="1">
        <v>5.9</v>
      </c>
      <c r="G158" s="1">
        <v>8.93</v>
      </c>
    </row>
    <row r="159" spans="4:7" x14ac:dyDescent="0.2">
      <c r="D159" s="17">
        <v>44089</v>
      </c>
      <c r="E159" s="1">
        <v>2.5299999999999998</v>
      </c>
      <c r="F159" s="1">
        <v>5.9</v>
      </c>
      <c r="G159" s="1">
        <v>8.93</v>
      </c>
    </row>
    <row r="160" spans="4:7" x14ac:dyDescent="0.2">
      <c r="D160" s="17">
        <v>44090</v>
      </c>
      <c r="E160" s="1">
        <v>2.5299999999999998</v>
      </c>
      <c r="F160" s="1">
        <v>6.1</v>
      </c>
      <c r="G160" s="1">
        <v>8.93</v>
      </c>
    </row>
    <row r="161" spans="4:7" x14ac:dyDescent="0.2">
      <c r="D161" s="17">
        <v>44091</v>
      </c>
      <c r="E161" s="1">
        <v>2.5299999999999998</v>
      </c>
      <c r="F161" s="1">
        <v>6.1</v>
      </c>
      <c r="G161" s="1">
        <v>8.93</v>
      </c>
    </row>
    <row r="162" spans="4:7" x14ac:dyDescent="0.2">
      <c r="D162" s="17">
        <v>44092</v>
      </c>
      <c r="E162" s="1">
        <v>2.5299999999999998</v>
      </c>
      <c r="F162" s="1">
        <v>6.51</v>
      </c>
      <c r="G162" s="1">
        <v>9.61</v>
      </c>
    </row>
    <row r="163" spans="4:7" x14ac:dyDescent="0.2">
      <c r="D163" s="17">
        <v>44095</v>
      </c>
      <c r="E163" s="1">
        <v>2.5299999999999998</v>
      </c>
      <c r="F163" s="1">
        <v>6.51</v>
      </c>
      <c r="G163" s="1">
        <v>9.61</v>
      </c>
    </row>
    <row r="164" spans="4:7" x14ac:dyDescent="0.2">
      <c r="D164" s="17">
        <v>44096</v>
      </c>
      <c r="E164" s="1">
        <v>2.5299999999999998</v>
      </c>
      <c r="F164" s="1">
        <v>6.51</v>
      </c>
      <c r="G164" s="1">
        <v>9.61</v>
      </c>
    </row>
    <row r="165" spans="4:7" x14ac:dyDescent="0.2">
      <c r="D165" s="17">
        <v>44097</v>
      </c>
      <c r="E165" s="1">
        <v>2.5299999999999998</v>
      </c>
      <c r="F165" s="1">
        <v>6.51</v>
      </c>
      <c r="G165" s="1">
        <v>9.61</v>
      </c>
    </row>
    <row r="166" spans="4:7" x14ac:dyDescent="0.2">
      <c r="D166" s="17">
        <v>44098</v>
      </c>
      <c r="E166" s="1">
        <v>2.5299999999999998</v>
      </c>
      <c r="F166" s="1">
        <v>6.51</v>
      </c>
      <c r="G166" s="1">
        <v>9.61</v>
      </c>
    </row>
    <row r="167" spans="4:7" x14ac:dyDescent="0.2">
      <c r="D167" s="17">
        <v>44099</v>
      </c>
      <c r="E167" s="1">
        <v>2.2000000000000002</v>
      </c>
      <c r="F167" s="1">
        <v>6.57</v>
      </c>
      <c r="G167" s="1">
        <v>10.87</v>
      </c>
    </row>
    <row r="168" spans="4:7" x14ac:dyDescent="0.2">
      <c r="D168" s="17">
        <v>44102</v>
      </c>
      <c r="E168" s="1">
        <v>2.2000000000000002</v>
      </c>
      <c r="F168" s="1">
        <v>6.52</v>
      </c>
      <c r="G168" s="1">
        <v>10.87</v>
      </c>
    </row>
    <row r="169" spans="4:7" x14ac:dyDescent="0.2">
      <c r="D169" s="17">
        <v>44103</v>
      </c>
      <c r="E169" s="1">
        <v>2.2000000000000002</v>
      </c>
      <c r="F169" s="1">
        <v>6.62</v>
      </c>
      <c r="G169" s="1">
        <v>10.99</v>
      </c>
    </row>
    <row r="170" spans="4:7" x14ac:dyDescent="0.2">
      <c r="D170" s="17">
        <v>44104</v>
      </c>
      <c r="E170" s="1">
        <v>2.2000000000000002</v>
      </c>
      <c r="F170" s="1">
        <v>6.62</v>
      </c>
      <c r="G170" s="1">
        <v>10.99</v>
      </c>
    </row>
    <row r="171" spans="4:7" x14ac:dyDescent="0.2">
      <c r="D171" s="17">
        <v>44105</v>
      </c>
      <c r="E171" s="1">
        <v>2.2000000000000002</v>
      </c>
      <c r="F171" s="1">
        <v>6.75</v>
      </c>
      <c r="G171" s="1">
        <v>10.99</v>
      </c>
    </row>
    <row r="172" spans="4:7" x14ac:dyDescent="0.2">
      <c r="D172" s="17">
        <v>44106</v>
      </c>
      <c r="E172" s="1">
        <v>2.2000000000000002</v>
      </c>
      <c r="F172" s="1">
        <v>7.33</v>
      </c>
      <c r="G172" s="1">
        <v>12.73</v>
      </c>
    </row>
    <row r="173" spans="4:7" x14ac:dyDescent="0.2">
      <c r="D173" s="17">
        <v>44109</v>
      </c>
      <c r="E173" s="1">
        <v>2.2000000000000002</v>
      </c>
      <c r="F173" s="1">
        <v>7.89</v>
      </c>
      <c r="G173" s="1">
        <v>12.73</v>
      </c>
    </row>
    <row r="174" spans="4:7" x14ac:dyDescent="0.2">
      <c r="D174" s="17">
        <v>44110</v>
      </c>
      <c r="E174" s="1">
        <v>2.2000000000000002</v>
      </c>
      <c r="F174" s="1">
        <v>8.3000000000000007</v>
      </c>
      <c r="G174" s="1">
        <v>12.73</v>
      </c>
    </row>
    <row r="175" spans="4:7" x14ac:dyDescent="0.2">
      <c r="D175" s="17">
        <v>44111</v>
      </c>
      <c r="E175" s="1">
        <v>0.99</v>
      </c>
      <c r="F175" s="1">
        <v>4.8499999999999996</v>
      </c>
      <c r="G175" s="1">
        <v>8.7200000000000006</v>
      </c>
    </row>
    <row r="176" spans="4:7" x14ac:dyDescent="0.2">
      <c r="D176" s="17">
        <v>44112</v>
      </c>
      <c r="E176" s="1">
        <v>0.99</v>
      </c>
      <c r="F176" s="1">
        <v>4.8499999999999996</v>
      </c>
      <c r="G176" s="1">
        <v>8.7200000000000006</v>
      </c>
    </row>
    <row r="177" spans="4:7" x14ac:dyDescent="0.2">
      <c r="D177" s="17">
        <v>44113</v>
      </c>
      <c r="E177" s="1">
        <v>0.99</v>
      </c>
      <c r="F177" s="1">
        <v>5.6</v>
      </c>
      <c r="G177" s="1">
        <v>8.7200000000000006</v>
      </c>
    </row>
    <row r="178" spans="4:7" x14ac:dyDescent="0.2">
      <c r="D178" s="17">
        <v>44117</v>
      </c>
      <c r="E178" s="1">
        <v>0.99</v>
      </c>
      <c r="F178" s="1">
        <v>5.65</v>
      </c>
      <c r="G178" s="1">
        <v>8.7200000000000006</v>
      </c>
    </row>
    <row r="179" spans="4:7" x14ac:dyDescent="0.2">
      <c r="D179" s="17">
        <v>44118</v>
      </c>
      <c r="E179" s="1">
        <v>0.99</v>
      </c>
      <c r="F179" s="1">
        <v>5.65</v>
      </c>
      <c r="G179" s="1">
        <v>8.7200000000000006</v>
      </c>
    </row>
    <row r="180" spans="4:7" x14ac:dyDescent="0.2">
      <c r="D180" s="17">
        <v>44119</v>
      </c>
      <c r="E180" s="1">
        <v>0.99</v>
      </c>
      <c r="F180" s="1">
        <v>5.6</v>
      </c>
      <c r="G180" s="1">
        <v>8.7200000000000006</v>
      </c>
    </row>
    <row r="181" spans="4:7" x14ac:dyDescent="0.2">
      <c r="D181" s="17">
        <v>44120</v>
      </c>
      <c r="E181" s="1">
        <v>0.99</v>
      </c>
      <c r="F181" s="1">
        <v>5.6</v>
      </c>
      <c r="G181" s="1">
        <v>9.25</v>
      </c>
    </row>
    <row r="182" spans="4:7" x14ac:dyDescent="0.2">
      <c r="D182" s="17">
        <v>44123</v>
      </c>
      <c r="E182" s="1">
        <v>0.99</v>
      </c>
      <c r="F182" s="1">
        <v>5.6</v>
      </c>
      <c r="G182" s="1">
        <v>9.25</v>
      </c>
    </row>
    <row r="183" spans="4:7" x14ac:dyDescent="0.2">
      <c r="D183" s="17">
        <v>44124</v>
      </c>
      <c r="E183" s="1">
        <v>0.99</v>
      </c>
      <c r="F183" s="1">
        <v>6.94</v>
      </c>
      <c r="G183" s="1">
        <v>9.25</v>
      </c>
    </row>
    <row r="184" spans="4:7" x14ac:dyDescent="0.2">
      <c r="D184" s="17">
        <v>44125</v>
      </c>
      <c r="E184" s="1">
        <v>0.99</v>
      </c>
      <c r="F184" s="1">
        <v>6.94</v>
      </c>
      <c r="G184" s="1">
        <v>9.25</v>
      </c>
    </row>
    <row r="185" spans="4:7" x14ac:dyDescent="0.2">
      <c r="D185" s="17">
        <v>44126</v>
      </c>
      <c r="E185" s="1">
        <v>0.99</v>
      </c>
      <c r="F185" s="1">
        <v>6.94</v>
      </c>
      <c r="G185" s="1">
        <v>9.25</v>
      </c>
    </row>
    <row r="186" spans="4:7" x14ac:dyDescent="0.2">
      <c r="D186" s="17">
        <v>44127</v>
      </c>
      <c r="E186" s="1">
        <v>0.99</v>
      </c>
      <c r="F186" s="1">
        <v>7.34</v>
      </c>
      <c r="G186" s="1">
        <v>9.25</v>
      </c>
    </row>
    <row r="187" spans="4:7" x14ac:dyDescent="0.2">
      <c r="D187" s="17">
        <v>44130</v>
      </c>
      <c r="E187" s="1">
        <v>0.99</v>
      </c>
      <c r="F187" s="1">
        <v>7.34</v>
      </c>
      <c r="G187" s="1">
        <v>9.25</v>
      </c>
    </row>
    <row r="188" spans="4:7" x14ac:dyDescent="0.2">
      <c r="D188" s="17">
        <v>44131</v>
      </c>
      <c r="E188" s="1">
        <v>0.99</v>
      </c>
      <c r="F188" s="1">
        <v>7.34</v>
      </c>
      <c r="G188" s="1">
        <v>9.25</v>
      </c>
    </row>
    <row r="189" spans="4:7" x14ac:dyDescent="0.2">
      <c r="D189" s="17">
        <v>44132</v>
      </c>
      <c r="E189" s="1">
        <v>0.99</v>
      </c>
      <c r="F189" s="1">
        <v>7.34</v>
      </c>
      <c r="G189" s="1">
        <v>9.25</v>
      </c>
    </row>
    <row r="190" spans="4:7" x14ac:dyDescent="0.2">
      <c r="D190" s="1">
        <v>44133</v>
      </c>
      <c r="E190" s="1">
        <v>0.99</v>
      </c>
      <c r="F190" s="1">
        <v>7.65</v>
      </c>
      <c r="G190" s="1">
        <v>9.25</v>
      </c>
    </row>
    <row r="191" spans="4:7" x14ac:dyDescent="0.2">
      <c r="D191" s="1">
        <v>44134</v>
      </c>
      <c r="E191" s="1">
        <v>0.99</v>
      </c>
      <c r="F191" s="1">
        <v>8</v>
      </c>
      <c r="G191" s="1">
        <v>10.81</v>
      </c>
    </row>
    <row r="192" spans="4:7" x14ac:dyDescent="0.2">
      <c r="D192" s="1">
        <v>44138</v>
      </c>
      <c r="E192" s="1">
        <v>0.99</v>
      </c>
      <c r="F192" s="1">
        <v>8</v>
      </c>
      <c r="G192" s="1">
        <v>10.81</v>
      </c>
    </row>
    <row r="193" spans="4:7" x14ac:dyDescent="0.2">
      <c r="D193" s="1">
        <v>44139</v>
      </c>
      <c r="E193" s="1">
        <v>0.99</v>
      </c>
      <c r="F193" s="1">
        <v>8</v>
      </c>
      <c r="G193" s="1">
        <v>10.81</v>
      </c>
    </row>
    <row r="194" spans="4:7" x14ac:dyDescent="0.2">
      <c r="D194" s="1">
        <v>44140</v>
      </c>
      <c r="E194" s="1">
        <v>0.99</v>
      </c>
      <c r="F194" s="1">
        <v>8</v>
      </c>
      <c r="G194" s="1">
        <v>10.81</v>
      </c>
    </row>
    <row r="195" spans="4:7" x14ac:dyDescent="0.2">
      <c r="D195" s="1">
        <v>44141</v>
      </c>
      <c r="E195" s="1">
        <v>0.28999999999999998</v>
      </c>
      <c r="F195" s="1">
        <v>5.97</v>
      </c>
      <c r="G195" s="1">
        <v>10.87</v>
      </c>
    </row>
    <row r="196" spans="4:7" x14ac:dyDescent="0.2">
      <c r="D196" s="17">
        <v>44144</v>
      </c>
      <c r="E196" s="1">
        <v>0.28999999999999998</v>
      </c>
      <c r="F196" s="1">
        <v>5.78</v>
      </c>
      <c r="G196" s="1">
        <v>10.87</v>
      </c>
    </row>
    <row r="197" spans="4:7" x14ac:dyDescent="0.2">
      <c r="D197" s="17">
        <v>44145</v>
      </c>
      <c r="E197" s="1">
        <v>0.28999999999999998</v>
      </c>
      <c r="F197" s="1">
        <v>5.97</v>
      </c>
      <c r="G197" s="1">
        <v>10.87</v>
      </c>
    </row>
    <row r="198" spans="4:7" x14ac:dyDescent="0.2">
      <c r="D198" s="17">
        <v>44146</v>
      </c>
      <c r="E198" s="1">
        <v>0.28999999999999998</v>
      </c>
      <c r="F198" s="1">
        <v>6</v>
      </c>
      <c r="G198" s="1">
        <v>10.87</v>
      </c>
    </row>
    <row r="199" spans="4:7" x14ac:dyDescent="0.2">
      <c r="D199" s="17">
        <v>44147</v>
      </c>
      <c r="E199" s="1">
        <v>0.28999999999999998</v>
      </c>
      <c r="F199" s="1">
        <v>6</v>
      </c>
      <c r="G199" s="1">
        <v>10.87</v>
      </c>
    </row>
    <row r="200" spans="4:7" x14ac:dyDescent="0.2">
      <c r="D200" s="17">
        <v>44148</v>
      </c>
      <c r="E200" s="1">
        <v>0.28999999999999998</v>
      </c>
      <c r="F200" s="1">
        <v>6.14</v>
      </c>
      <c r="G200" s="1">
        <v>10.87</v>
      </c>
    </row>
    <row r="201" spans="4:7" x14ac:dyDescent="0.2">
      <c r="D201" s="17">
        <v>44151</v>
      </c>
      <c r="E201" s="1">
        <v>0.28999999999999998</v>
      </c>
      <c r="F201" s="1">
        <v>6.14</v>
      </c>
      <c r="G201" s="1">
        <v>10.87</v>
      </c>
    </row>
    <row r="202" spans="4:7" x14ac:dyDescent="0.2">
      <c r="D202" s="17">
        <v>44152</v>
      </c>
      <c r="E202" s="1">
        <v>0.1</v>
      </c>
      <c r="F202" s="1">
        <v>6.13</v>
      </c>
      <c r="G202" s="1">
        <v>10.87</v>
      </c>
    </row>
    <row r="203" spans="4:7" x14ac:dyDescent="0.2">
      <c r="D203" s="17">
        <v>44153</v>
      </c>
      <c r="E203" s="1">
        <v>-2.08</v>
      </c>
      <c r="F203" s="1">
        <v>6.13</v>
      </c>
      <c r="G203" s="1">
        <v>10.87</v>
      </c>
    </row>
    <row r="204" spans="4:7" x14ac:dyDescent="0.2">
      <c r="D204" s="17">
        <v>44154</v>
      </c>
      <c r="E204" s="1">
        <v>-2.08</v>
      </c>
      <c r="F204" s="1">
        <v>6.67</v>
      </c>
      <c r="G204" s="1">
        <v>10.87</v>
      </c>
    </row>
    <row r="205" spans="4:7" x14ac:dyDescent="0.2">
      <c r="D205" s="17">
        <v>44155</v>
      </c>
      <c r="E205" s="1">
        <v>-2.08</v>
      </c>
      <c r="F205" s="1">
        <v>7.64</v>
      </c>
      <c r="G205" s="1">
        <v>11.12</v>
      </c>
    </row>
    <row r="206" spans="4:7" x14ac:dyDescent="0.2">
      <c r="D206" s="17">
        <v>44158</v>
      </c>
      <c r="E206" s="1">
        <v>-2.08</v>
      </c>
      <c r="F206" s="1">
        <v>7.66</v>
      </c>
      <c r="G206" s="1">
        <v>11.12</v>
      </c>
    </row>
    <row r="207" spans="4:7" x14ac:dyDescent="0.2">
      <c r="D207" s="17">
        <v>44159</v>
      </c>
      <c r="E207" s="1">
        <v>-2.08</v>
      </c>
      <c r="F207" s="1">
        <v>7.66</v>
      </c>
      <c r="G207" s="1">
        <v>11.12</v>
      </c>
    </row>
    <row r="208" spans="4:7" x14ac:dyDescent="0.2">
      <c r="D208" s="17">
        <v>44160</v>
      </c>
      <c r="E208" s="1">
        <v>-2.08</v>
      </c>
      <c r="F208" s="1">
        <v>7.66</v>
      </c>
      <c r="G208" s="1">
        <v>11.12</v>
      </c>
    </row>
    <row r="209" spans="4:7" x14ac:dyDescent="0.2">
      <c r="D209" s="17">
        <v>44161</v>
      </c>
      <c r="E209" s="1">
        <v>-2.08</v>
      </c>
      <c r="F209" s="1">
        <v>7.66</v>
      </c>
      <c r="G209" s="1">
        <v>11.12</v>
      </c>
    </row>
    <row r="210" spans="4:7" x14ac:dyDescent="0.2">
      <c r="D210" s="17">
        <v>44162</v>
      </c>
      <c r="E210" s="1">
        <v>-2.75</v>
      </c>
      <c r="F210" s="1">
        <v>7.68</v>
      </c>
      <c r="G210" s="1">
        <v>11.12</v>
      </c>
    </row>
    <row r="211" spans="4:7" x14ac:dyDescent="0.2">
      <c r="D211" s="17">
        <v>44165</v>
      </c>
      <c r="E211" s="1">
        <v>-2.75</v>
      </c>
      <c r="F211" s="1">
        <v>7.68</v>
      </c>
      <c r="G211" s="1">
        <v>11.12</v>
      </c>
    </row>
    <row r="212" spans="4:7" x14ac:dyDescent="0.2">
      <c r="D212" s="17">
        <v>44166</v>
      </c>
      <c r="E212" s="1">
        <v>-2.75</v>
      </c>
      <c r="F212" s="1">
        <v>7.79</v>
      </c>
      <c r="G212" s="1">
        <v>11.12</v>
      </c>
    </row>
    <row r="213" spans="4:7" x14ac:dyDescent="0.2">
      <c r="D213" s="17">
        <v>44167</v>
      </c>
      <c r="E213" s="1">
        <v>-2.75</v>
      </c>
      <c r="F213" s="1">
        <v>7.79</v>
      </c>
      <c r="G213" s="1">
        <v>11.17</v>
      </c>
    </row>
    <row r="214" spans="4:7" x14ac:dyDescent="0.2">
      <c r="D214" s="17">
        <v>44168</v>
      </c>
      <c r="E214" s="1">
        <v>-2.75</v>
      </c>
      <c r="F214" s="1">
        <v>7.79</v>
      </c>
      <c r="G214" s="1">
        <v>11.25</v>
      </c>
    </row>
    <row r="215" spans="4:7" x14ac:dyDescent="0.2">
      <c r="D215" s="17">
        <v>44169</v>
      </c>
      <c r="E215" s="1">
        <v>-2.75</v>
      </c>
      <c r="F215" s="1">
        <v>7.98</v>
      </c>
      <c r="G215" s="1">
        <v>11.25</v>
      </c>
    </row>
    <row r="216" spans="4:7" x14ac:dyDescent="0.2">
      <c r="D216" s="17">
        <v>44172</v>
      </c>
      <c r="E216" s="1">
        <v>-4.9000000000000004</v>
      </c>
      <c r="F216" s="1">
        <v>5.64</v>
      </c>
      <c r="G216" s="1">
        <v>9.18</v>
      </c>
    </row>
    <row r="217" spans="4:7" x14ac:dyDescent="0.2">
      <c r="D217" s="17">
        <v>44173</v>
      </c>
      <c r="E217" s="1">
        <v>-4.9000000000000004</v>
      </c>
      <c r="F217" s="1">
        <v>5.64</v>
      </c>
      <c r="G217" s="1">
        <v>9.18</v>
      </c>
    </row>
    <row r="218" spans="4:7" x14ac:dyDescent="0.2">
      <c r="D218" s="17">
        <v>44174</v>
      </c>
      <c r="E218" s="1">
        <v>-4.7</v>
      </c>
      <c r="F218" s="1">
        <v>5.64</v>
      </c>
      <c r="G218" s="1">
        <v>9.18</v>
      </c>
    </row>
    <row r="219" spans="4:7" x14ac:dyDescent="0.2">
      <c r="D219" s="17">
        <v>44175</v>
      </c>
      <c r="E219" s="1">
        <v>-4.7</v>
      </c>
      <c r="F219" s="1">
        <v>5.64</v>
      </c>
      <c r="G219" s="1">
        <v>9.18</v>
      </c>
    </row>
    <row r="220" spans="4:7" x14ac:dyDescent="0.2">
      <c r="D220" s="17">
        <v>44176</v>
      </c>
      <c r="E220" s="1">
        <v>-4.7</v>
      </c>
      <c r="F220" s="1">
        <v>5.64</v>
      </c>
      <c r="G220" s="1">
        <v>9.18</v>
      </c>
    </row>
    <row r="221" spans="4:7" x14ac:dyDescent="0.2">
      <c r="D221" s="17">
        <v>44179</v>
      </c>
      <c r="E221" s="1">
        <v>-4.7</v>
      </c>
      <c r="F221" s="1">
        <v>5.64</v>
      </c>
      <c r="G221" s="1">
        <v>9.18</v>
      </c>
    </row>
    <row r="222" spans="4:7" x14ac:dyDescent="0.2">
      <c r="D222" s="17">
        <v>44180</v>
      </c>
      <c r="E222" s="1">
        <v>-4.6399999999999997</v>
      </c>
      <c r="F222" s="1">
        <v>5.56</v>
      </c>
      <c r="G222" s="1">
        <v>9.18</v>
      </c>
    </row>
    <row r="223" spans="4:7" x14ac:dyDescent="0.2">
      <c r="D223" s="17">
        <v>44181</v>
      </c>
      <c r="E223" s="1">
        <v>-4.6399999999999997</v>
      </c>
      <c r="F223" s="1">
        <v>5.56</v>
      </c>
      <c r="G223" s="1">
        <v>9.18</v>
      </c>
    </row>
    <row r="224" spans="4:7" x14ac:dyDescent="0.2">
      <c r="D224" s="17">
        <v>44182</v>
      </c>
      <c r="E224" s="1">
        <v>-4.6399999999999997</v>
      </c>
      <c r="F224" s="1">
        <v>5.56</v>
      </c>
      <c r="G224" s="1">
        <v>9.18</v>
      </c>
    </row>
    <row r="225" spans="4:7" x14ac:dyDescent="0.2">
      <c r="D225" s="17">
        <v>44183</v>
      </c>
      <c r="E225" s="1">
        <v>-4.6399999999999997</v>
      </c>
      <c r="F225" s="1">
        <v>5.64</v>
      </c>
      <c r="G225" s="1">
        <v>9.18</v>
      </c>
    </row>
    <row r="226" spans="4:7" x14ac:dyDescent="0.2">
      <c r="D226" s="17">
        <v>44186</v>
      </c>
      <c r="E226" s="1">
        <v>-4.6399999999999997</v>
      </c>
      <c r="F226" s="1">
        <v>5.46</v>
      </c>
      <c r="G226" s="1">
        <v>9.18</v>
      </c>
    </row>
    <row r="227" spans="4:7" x14ac:dyDescent="0.2">
      <c r="D227" s="17">
        <v>44187</v>
      </c>
      <c r="E227" s="1">
        <v>-4.6399999999999997</v>
      </c>
      <c r="F227" s="1">
        <v>5.38</v>
      </c>
      <c r="G227" s="1">
        <v>9.18</v>
      </c>
    </row>
    <row r="228" spans="4:7" x14ac:dyDescent="0.2">
      <c r="D228" s="17">
        <v>44188</v>
      </c>
      <c r="E228" s="1">
        <v>-4.6399999999999997</v>
      </c>
      <c r="F228" s="1">
        <v>5.18</v>
      </c>
      <c r="G228" s="1">
        <v>9.18</v>
      </c>
    </row>
    <row r="229" spans="4:7" x14ac:dyDescent="0.2">
      <c r="D229" s="17">
        <v>44189</v>
      </c>
      <c r="E229" s="1">
        <v>-4.6399999999999997</v>
      </c>
      <c r="F229" s="1">
        <v>5.18</v>
      </c>
      <c r="G229" s="1">
        <v>9.18</v>
      </c>
    </row>
    <row r="230" spans="4:7" x14ac:dyDescent="0.2">
      <c r="D230" s="17">
        <v>44193</v>
      </c>
      <c r="E230" s="1">
        <v>-4.6399999999999997</v>
      </c>
      <c r="F230" s="1">
        <v>5.18</v>
      </c>
      <c r="G230" s="1">
        <v>9.18</v>
      </c>
    </row>
    <row r="231" spans="4:7" x14ac:dyDescent="0.2">
      <c r="D231" s="17">
        <v>44194</v>
      </c>
      <c r="E231" s="1">
        <v>-4.7300000000000004</v>
      </c>
      <c r="F231" s="1">
        <v>5.18</v>
      </c>
      <c r="G231" s="1">
        <v>9.18</v>
      </c>
    </row>
    <row r="232" spans="4:7" x14ac:dyDescent="0.2">
      <c r="D232" s="17">
        <v>44195</v>
      </c>
      <c r="E232" s="1">
        <v>-4.7300000000000004</v>
      </c>
      <c r="F232" s="1">
        <v>5.16</v>
      </c>
      <c r="G232" s="1">
        <v>9.18</v>
      </c>
    </row>
    <row r="233" spans="4:7" x14ac:dyDescent="0.2">
      <c r="D233" s="17">
        <v>44196</v>
      </c>
      <c r="E233" s="1">
        <v>-4.7300000000000004</v>
      </c>
      <c r="F233" s="1">
        <v>5.16</v>
      </c>
      <c r="G233" s="1">
        <v>9.18</v>
      </c>
    </row>
    <row r="234" spans="4:7" x14ac:dyDescent="0.2">
      <c r="D234" s="17">
        <v>44203</v>
      </c>
      <c r="E234" s="1">
        <v>-5.09</v>
      </c>
      <c r="F234" s="1">
        <v>5.13</v>
      </c>
      <c r="G234" s="1">
        <v>7.75</v>
      </c>
    </row>
    <row r="235" spans="4:7" x14ac:dyDescent="0.2">
      <c r="D235" s="17">
        <v>44202</v>
      </c>
      <c r="E235" s="1">
        <v>-5.09</v>
      </c>
      <c r="F235" s="1">
        <v>5.13</v>
      </c>
      <c r="G235" s="1">
        <v>7.75</v>
      </c>
    </row>
    <row r="236" spans="4:7" x14ac:dyDescent="0.2">
      <c r="D236" s="17">
        <v>44201</v>
      </c>
      <c r="E236" s="1">
        <v>-5.09</v>
      </c>
      <c r="F236" s="1">
        <v>5.13</v>
      </c>
      <c r="G236" s="1">
        <v>7.75</v>
      </c>
    </row>
    <row r="237" spans="4:7" x14ac:dyDescent="0.2">
      <c r="D237" s="17">
        <v>44200</v>
      </c>
      <c r="E237" s="1">
        <v>-4.7300000000000004</v>
      </c>
      <c r="F237" s="1">
        <v>5.12</v>
      </c>
      <c r="G237" s="1">
        <v>7.75</v>
      </c>
    </row>
    <row r="238" spans="4:7" x14ac:dyDescent="0.2">
      <c r="D238" s="17">
        <v>44204</v>
      </c>
      <c r="E238" s="1">
        <v>-3.88</v>
      </c>
      <c r="F238" s="1">
        <v>4.32</v>
      </c>
      <c r="G238" s="1">
        <v>6.38</v>
      </c>
    </row>
    <row r="239" spans="4:7" x14ac:dyDescent="0.2">
      <c r="D239" s="17">
        <v>44207</v>
      </c>
      <c r="E239" s="1">
        <v>-3.88</v>
      </c>
      <c r="F239" s="1">
        <v>4.3099999999999996</v>
      </c>
      <c r="G239" s="1">
        <v>6.38</v>
      </c>
    </row>
    <row r="240" spans="4:7" x14ac:dyDescent="0.2">
      <c r="D240" s="17">
        <v>44208</v>
      </c>
      <c r="E240" s="1">
        <v>-3.88</v>
      </c>
      <c r="F240" s="1">
        <v>4.28</v>
      </c>
      <c r="G240" s="1">
        <v>6.38</v>
      </c>
    </row>
    <row r="241" spans="4:7" x14ac:dyDescent="0.2">
      <c r="D241" s="17">
        <v>44211</v>
      </c>
      <c r="E241" s="1">
        <v>-3.88</v>
      </c>
      <c r="F241" s="1">
        <v>4.34</v>
      </c>
      <c r="G241" s="1">
        <v>6.94</v>
      </c>
    </row>
    <row r="242" spans="4:7" x14ac:dyDescent="0.2">
      <c r="D242" s="17">
        <v>44210</v>
      </c>
      <c r="E242" s="1">
        <v>-3.88</v>
      </c>
      <c r="F242" s="1">
        <v>4.34</v>
      </c>
      <c r="G242" s="1">
        <v>6.94</v>
      </c>
    </row>
    <row r="243" spans="4:7" x14ac:dyDescent="0.2">
      <c r="D243" s="17">
        <v>44209</v>
      </c>
      <c r="E243" s="1">
        <v>-3.88</v>
      </c>
      <c r="F243" s="1">
        <v>4.3099999999999996</v>
      </c>
      <c r="G243" s="1">
        <v>6.94</v>
      </c>
    </row>
    <row r="244" spans="4:7" x14ac:dyDescent="0.2">
      <c r="D244" s="17">
        <v>44214</v>
      </c>
      <c r="E244" s="1">
        <v>-3.88</v>
      </c>
      <c r="F244" s="1">
        <v>4.34</v>
      </c>
      <c r="G244" s="1">
        <v>6.94</v>
      </c>
    </row>
    <row r="245" spans="4:7" x14ac:dyDescent="0.2">
      <c r="D245" s="17">
        <v>44215</v>
      </c>
      <c r="E245" s="1">
        <v>-3.88</v>
      </c>
      <c r="F245" s="1">
        <v>4.34</v>
      </c>
      <c r="G245" s="1">
        <v>6.94</v>
      </c>
    </row>
    <row r="246" spans="4:7" x14ac:dyDescent="0.2">
      <c r="D246" s="17">
        <v>44216</v>
      </c>
      <c r="E246" s="1">
        <v>-3.88</v>
      </c>
      <c r="F246" s="1">
        <v>4.34</v>
      </c>
      <c r="G246" s="1">
        <v>6.94</v>
      </c>
    </row>
    <row r="247" spans="4:7" x14ac:dyDescent="0.2">
      <c r="D247" s="17">
        <v>44217</v>
      </c>
      <c r="E247" s="1">
        <v>-3.88</v>
      </c>
      <c r="F247" s="1">
        <v>4.34</v>
      </c>
      <c r="G247" s="1">
        <v>6.94</v>
      </c>
    </row>
    <row r="248" spans="4:7" x14ac:dyDescent="0.2">
      <c r="D248" s="17">
        <v>44218</v>
      </c>
      <c r="E248" s="1">
        <v>-3.88</v>
      </c>
      <c r="F248" s="1">
        <v>4.3099999999999996</v>
      </c>
      <c r="G248" s="1">
        <v>6.94</v>
      </c>
    </row>
    <row r="249" spans="4:7" x14ac:dyDescent="0.2">
      <c r="D249" s="17">
        <v>44221</v>
      </c>
      <c r="E249" s="1">
        <v>-3.88</v>
      </c>
      <c r="F249" s="1">
        <v>4.3099999999999996</v>
      </c>
      <c r="G249" s="1">
        <v>6.94</v>
      </c>
    </row>
    <row r="250" spans="4:7" x14ac:dyDescent="0.2">
      <c r="D250" s="17">
        <v>44222</v>
      </c>
      <c r="E250" s="1">
        <v>-3.88</v>
      </c>
      <c r="F250" s="1">
        <v>4.3099999999999996</v>
      </c>
      <c r="G250" s="1">
        <v>6.94</v>
      </c>
    </row>
    <row r="251" spans="4:7" x14ac:dyDescent="0.2">
      <c r="D251" s="17">
        <v>44223</v>
      </c>
      <c r="E251" s="1">
        <v>-3.88</v>
      </c>
      <c r="F251" s="1">
        <v>4.3099999999999996</v>
      </c>
      <c r="G251" s="1">
        <v>6.94</v>
      </c>
    </row>
    <row r="252" spans="4:7" x14ac:dyDescent="0.2">
      <c r="D252" s="17">
        <v>44224</v>
      </c>
      <c r="E252" s="1">
        <v>-3.88</v>
      </c>
      <c r="F252" s="1">
        <v>4.32</v>
      </c>
      <c r="G252" s="1">
        <v>6.94</v>
      </c>
    </row>
    <row r="253" spans="4:7" x14ac:dyDescent="0.2">
      <c r="D253" s="17">
        <v>44225</v>
      </c>
      <c r="E253" s="1">
        <v>-3.88</v>
      </c>
      <c r="F253" s="1">
        <v>4.32</v>
      </c>
      <c r="G253" s="1">
        <v>6.94</v>
      </c>
    </row>
    <row r="254" spans="4:7" x14ac:dyDescent="0.2">
      <c r="D254" s="17">
        <v>44228</v>
      </c>
      <c r="E254" s="1">
        <v>-3.88</v>
      </c>
      <c r="F254" s="1">
        <v>4.25</v>
      </c>
      <c r="G254" s="1">
        <v>6.94</v>
      </c>
    </row>
    <row r="255" spans="4:7" x14ac:dyDescent="0.2">
      <c r="D255" s="17">
        <v>44229</v>
      </c>
      <c r="E255" s="1">
        <v>-3.88</v>
      </c>
      <c r="F255" s="1">
        <v>4.25</v>
      </c>
      <c r="G255" s="1">
        <v>6.94</v>
      </c>
    </row>
    <row r="256" spans="4:7" x14ac:dyDescent="0.2">
      <c r="D256" s="17">
        <v>44230</v>
      </c>
      <c r="E256" s="1">
        <v>-3.88</v>
      </c>
      <c r="F256" s="1">
        <v>4.25</v>
      </c>
      <c r="G256" s="1">
        <v>6.94</v>
      </c>
    </row>
    <row r="257" spans="4:7" x14ac:dyDescent="0.2">
      <c r="D257" s="17">
        <v>44231</v>
      </c>
      <c r="E257" s="1">
        <v>-3.88</v>
      </c>
      <c r="F257" s="1">
        <v>4.5</v>
      </c>
      <c r="G257" s="1">
        <v>6.94</v>
      </c>
    </row>
    <row r="258" spans="4:7" x14ac:dyDescent="0.2">
      <c r="D258" s="17">
        <v>44232</v>
      </c>
      <c r="E258" s="1">
        <v>-2.82</v>
      </c>
      <c r="F258" s="1">
        <v>4.1900000000000004</v>
      </c>
      <c r="G258" s="1">
        <v>5.85</v>
      </c>
    </row>
    <row r="259" spans="4:7" x14ac:dyDescent="0.2">
      <c r="D259" s="17">
        <v>44235</v>
      </c>
      <c r="E259" s="1">
        <v>-2.82</v>
      </c>
      <c r="F259" s="1">
        <v>3.85</v>
      </c>
      <c r="G259" s="1">
        <v>5.85</v>
      </c>
    </row>
    <row r="260" spans="4:7" x14ac:dyDescent="0.2">
      <c r="D260" s="17">
        <v>44236</v>
      </c>
      <c r="E260" s="1">
        <v>-2.82</v>
      </c>
      <c r="F260" s="1">
        <v>3.85</v>
      </c>
      <c r="G260" s="1">
        <v>5.85</v>
      </c>
    </row>
    <row r="261" spans="4:7" x14ac:dyDescent="0.2">
      <c r="D261" s="17">
        <v>44237</v>
      </c>
      <c r="E261" s="1">
        <v>-2.82</v>
      </c>
      <c r="F261" s="1">
        <v>3.85</v>
      </c>
      <c r="G261" s="1">
        <v>5.85</v>
      </c>
    </row>
    <row r="262" spans="4:7" x14ac:dyDescent="0.2">
      <c r="D262" s="17">
        <v>44238</v>
      </c>
      <c r="E262" s="1">
        <v>-2.82</v>
      </c>
      <c r="F262" s="1">
        <v>3.85</v>
      </c>
      <c r="G262" s="1">
        <v>5.85</v>
      </c>
    </row>
    <row r="263" spans="4:7" x14ac:dyDescent="0.2">
      <c r="D263" s="17">
        <v>44239</v>
      </c>
      <c r="E263" s="1">
        <v>-2.82</v>
      </c>
      <c r="F263" s="1">
        <v>3.85</v>
      </c>
      <c r="G263" s="1">
        <v>5.85</v>
      </c>
    </row>
    <row r="264" spans="4:7" x14ac:dyDescent="0.2">
      <c r="D264" s="17">
        <v>44244</v>
      </c>
      <c r="E264" s="1">
        <v>-2.82</v>
      </c>
      <c r="F264" s="1">
        <v>1.08</v>
      </c>
      <c r="G264" s="1">
        <v>4.9800000000000004</v>
      </c>
    </row>
    <row r="265" spans="4:7" x14ac:dyDescent="0.2">
      <c r="D265" s="17"/>
    </row>
    <row r="266" spans="4:7" x14ac:dyDescent="0.2">
      <c r="D266" s="17"/>
    </row>
    <row r="267" spans="4:7" x14ac:dyDescent="0.2">
      <c r="D267" s="17"/>
    </row>
    <row r="268" spans="4:7" x14ac:dyDescent="0.2">
      <c r="D268" s="17"/>
    </row>
    <row r="269" spans="4:7" x14ac:dyDescent="0.2">
      <c r="D269" s="17"/>
    </row>
    <row r="270" spans="4:7" x14ac:dyDescent="0.2">
      <c r="D270" s="17"/>
    </row>
    <row r="271" spans="4:7" x14ac:dyDescent="0.2">
      <c r="D271" s="17"/>
    </row>
    <row r="272" spans="4:7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0A603-5C9D-4C6A-A620-CF7213348789}">
  <sheetPr codeName="Planilha7"/>
  <dimension ref="A1:P399"/>
  <sheetViews>
    <sheetView workbookViewId="0">
      <selection activeCell="J33" sqref="J33"/>
    </sheetView>
  </sheetViews>
  <sheetFormatPr defaultRowHeight="12.75" x14ac:dyDescent="0.2"/>
  <cols>
    <col min="1" max="1" width="37.140625" style="1" customWidth="1"/>
    <col min="2" max="3" width="10.140625" style="1" bestFit="1" customWidth="1"/>
    <col min="4" max="4" width="12" style="1" customWidth="1"/>
    <col min="5" max="7" width="9.140625" style="1"/>
    <col min="8" max="8" width="12.28515625" style="1" bestFit="1" customWidth="1"/>
    <col min="9" max="9" width="15.7109375" style="1" bestFit="1" customWidth="1"/>
    <col min="10" max="16384" width="9.140625" style="1"/>
  </cols>
  <sheetData>
    <row r="1" spans="1:16" ht="15.75" x14ac:dyDescent="0.25">
      <c r="A1" s="9" t="s">
        <v>90</v>
      </c>
      <c r="I1" s="3" t="s">
        <v>60</v>
      </c>
      <c r="J1" s="59" t="str">
        <f>"FOCUS TOP 5 forecast for "&amp;$B$3&amp;" of "&amp;PROPER(TEXT($B$5,"[$-409]mmm/aa"))</f>
        <v>FOCUS TOP 5 forecast for IPCA of Oct/21</v>
      </c>
      <c r="K1" s="60"/>
      <c r="L1" s="60"/>
      <c r="M1" s="60"/>
      <c r="N1" s="60"/>
      <c r="O1" s="60"/>
      <c r="P1" s="60"/>
    </row>
    <row r="2" spans="1:16" x14ac:dyDescent="0.2">
      <c r="D2" s="1" t="s">
        <v>13</v>
      </c>
      <c r="E2" s="1" t="s">
        <v>15</v>
      </c>
      <c r="F2" s="1" t="s">
        <v>17</v>
      </c>
      <c r="G2" s="1" t="s">
        <v>21</v>
      </c>
      <c r="H2" s="1" t="s">
        <v>22</v>
      </c>
    </row>
    <row r="3" spans="1:16" x14ac:dyDescent="0.2">
      <c r="A3" s="3" t="s">
        <v>61</v>
      </c>
      <c r="B3" s="18" t="s">
        <v>36</v>
      </c>
      <c r="D3" s="1" t="s">
        <v>69</v>
      </c>
      <c r="E3" s="1" t="s">
        <v>70</v>
      </c>
      <c r="F3" s="1" t="s">
        <v>71</v>
      </c>
      <c r="G3" s="1" t="s">
        <v>72</v>
      </c>
      <c r="H3" s="1" t="s">
        <v>73</v>
      </c>
    </row>
    <row r="4" spans="1:16" x14ac:dyDescent="0.2">
      <c r="A4" s="3" t="s">
        <v>62</v>
      </c>
      <c r="B4" s="18"/>
      <c r="D4" s="17" cm="1">
        <f t="array" ref="D4:H94">xlFOCUS_ExpectativasTop5Mensais($B$3,,B5,B6,B7,B8,D2:H2)</f>
        <v>44378</v>
      </c>
      <c r="E4" s="1">
        <v>0.14000000000000001</v>
      </c>
      <c r="F4" s="1">
        <v>0.35499999999999998</v>
      </c>
      <c r="G4" s="1">
        <v>0.39</v>
      </c>
      <c r="H4" s="1">
        <v>7.5700000000000003E-2</v>
      </c>
    </row>
    <row r="5" spans="1:16" x14ac:dyDescent="0.2">
      <c r="A5" s="3" t="s">
        <v>63</v>
      </c>
      <c r="B5" s="14">
        <v>44470</v>
      </c>
      <c r="D5" s="17">
        <v>44379</v>
      </c>
      <c r="E5" s="1">
        <v>0.14000000000000001</v>
      </c>
      <c r="F5" s="1">
        <v>0.35499999999999998</v>
      </c>
      <c r="G5" s="1">
        <v>0.4</v>
      </c>
      <c r="H5" s="1">
        <v>7.8399999999999997E-2</v>
      </c>
    </row>
    <row r="6" spans="1:16" x14ac:dyDescent="0.2">
      <c r="A6" s="3" t="s">
        <v>64</v>
      </c>
      <c r="B6" s="14">
        <v>44378</v>
      </c>
      <c r="D6" s="17">
        <v>44382</v>
      </c>
      <c r="E6" s="1">
        <v>0.14000000000000001</v>
      </c>
      <c r="F6" s="1">
        <v>0.35499999999999998</v>
      </c>
      <c r="G6" s="1">
        <v>0.4</v>
      </c>
      <c r="H6" s="1">
        <v>7.8399999999999997E-2</v>
      </c>
    </row>
    <row r="7" spans="1:16" x14ac:dyDescent="0.2">
      <c r="A7" s="3" t="s">
        <v>65</v>
      </c>
      <c r="B7" s="14">
        <v>44531</v>
      </c>
      <c r="D7" s="17">
        <v>44383</v>
      </c>
      <c r="E7" s="1">
        <v>0.14000000000000001</v>
      </c>
      <c r="F7" s="1">
        <v>0.35499999999999998</v>
      </c>
      <c r="G7" s="1">
        <v>0.4</v>
      </c>
      <c r="H7" s="1">
        <v>7.8399999999999997E-2</v>
      </c>
    </row>
    <row r="8" spans="1:16" x14ac:dyDescent="0.2">
      <c r="A8" s="3" t="s">
        <v>74</v>
      </c>
      <c r="B8" s="18" t="s">
        <v>75</v>
      </c>
      <c r="D8" s="17">
        <v>44384</v>
      </c>
      <c r="E8" s="1">
        <v>0.14000000000000001</v>
      </c>
      <c r="F8" s="1">
        <v>0.35499999999999998</v>
      </c>
      <c r="G8" s="1">
        <v>0.4</v>
      </c>
      <c r="H8" s="1">
        <v>7.8399999999999997E-2</v>
      </c>
    </row>
    <row r="9" spans="1:16" x14ac:dyDescent="0.2">
      <c r="D9" s="17">
        <v>44385</v>
      </c>
      <c r="E9" s="1">
        <v>0.34</v>
      </c>
      <c r="F9" s="1">
        <v>0.375</v>
      </c>
      <c r="G9" s="1">
        <v>0.4</v>
      </c>
      <c r="H9" s="1">
        <v>2.29E-2</v>
      </c>
    </row>
    <row r="10" spans="1:16" x14ac:dyDescent="0.2">
      <c r="D10" s="17">
        <v>44386</v>
      </c>
      <c r="E10" s="1">
        <v>0.34</v>
      </c>
      <c r="F10" s="1">
        <v>0.36499999999999999</v>
      </c>
      <c r="G10" s="1">
        <v>0.4</v>
      </c>
      <c r="H10" s="1">
        <v>2.1399999999999999E-2</v>
      </c>
    </row>
    <row r="11" spans="1:16" x14ac:dyDescent="0.2">
      <c r="D11" s="17">
        <v>44389</v>
      </c>
      <c r="E11" s="1">
        <v>0.34</v>
      </c>
      <c r="F11" s="1">
        <v>0.36</v>
      </c>
      <c r="G11" s="1">
        <v>0.4</v>
      </c>
      <c r="H11" s="1">
        <v>2.3300000000000001E-2</v>
      </c>
    </row>
    <row r="12" spans="1:16" x14ac:dyDescent="0.2">
      <c r="D12" s="17">
        <v>44390</v>
      </c>
      <c r="E12" s="1">
        <v>0.34</v>
      </c>
      <c r="F12" s="1">
        <v>0.36</v>
      </c>
      <c r="G12" s="1">
        <v>0.4</v>
      </c>
      <c r="H12" s="1">
        <v>2.3300000000000001E-2</v>
      </c>
    </row>
    <row r="13" spans="1:16" x14ac:dyDescent="0.2">
      <c r="D13" s="17">
        <v>44391</v>
      </c>
      <c r="E13" s="1">
        <v>0.34</v>
      </c>
      <c r="F13" s="1">
        <v>0.36</v>
      </c>
      <c r="G13" s="1">
        <v>0.4</v>
      </c>
      <c r="H13" s="1">
        <v>2.3300000000000001E-2</v>
      </c>
    </row>
    <row r="14" spans="1:16" x14ac:dyDescent="0.2">
      <c r="D14" s="17">
        <v>44392</v>
      </c>
      <c r="E14" s="1">
        <v>0.34</v>
      </c>
      <c r="F14" s="1">
        <v>0.36</v>
      </c>
      <c r="G14" s="1">
        <v>0.4</v>
      </c>
      <c r="H14" s="1">
        <v>2.3300000000000001E-2</v>
      </c>
    </row>
    <row r="15" spans="1:16" x14ac:dyDescent="0.2">
      <c r="D15" s="17">
        <v>44393</v>
      </c>
      <c r="E15" s="1">
        <v>0.34</v>
      </c>
      <c r="F15" s="1">
        <v>0.36</v>
      </c>
      <c r="G15" s="1">
        <v>0.4</v>
      </c>
      <c r="H15" s="1">
        <v>2.3300000000000001E-2</v>
      </c>
    </row>
    <row r="16" spans="1:16" x14ac:dyDescent="0.2">
      <c r="D16" s="17">
        <v>44396</v>
      </c>
      <c r="E16" s="1">
        <v>0.34</v>
      </c>
      <c r="F16" s="1">
        <v>0.36</v>
      </c>
      <c r="G16" s="1">
        <v>0.4</v>
      </c>
      <c r="H16" s="1">
        <v>2.3300000000000001E-2</v>
      </c>
    </row>
    <row r="17" spans="4:8" x14ac:dyDescent="0.2">
      <c r="D17" s="17">
        <v>44397</v>
      </c>
      <c r="E17" s="1">
        <v>0.34</v>
      </c>
      <c r="F17" s="1">
        <v>0.36</v>
      </c>
      <c r="G17" s="1">
        <v>0.4</v>
      </c>
      <c r="H17" s="1">
        <v>2.3300000000000001E-2</v>
      </c>
    </row>
    <row r="18" spans="4:8" x14ac:dyDescent="0.2">
      <c r="D18" s="17">
        <v>44398</v>
      </c>
      <c r="E18" s="1">
        <v>0.32</v>
      </c>
      <c r="F18" s="1">
        <v>0.35</v>
      </c>
      <c r="G18" s="1">
        <v>0.4</v>
      </c>
      <c r="H18" s="1">
        <v>2.69E-2</v>
      </c>
    </row>
    <row r="19" spans="4:8" x14ac:dyDescent="0.2">
      <c r="D19" s="17">
        <v>44399</v>
      </c>
      <c r="E19" s="1">
        <v>0.32</v>
      </c>
      <c r="F19" s="1">
        <v>0.35</v>
      </c>
      <c r="G19" s="1">
        <v>0.4</v>
      </c>
      <c r="H19" s="1">
        <v>2.4899999999999999E-2</v>
      </c>
    </row>
    <row r="20" spans="4:8" x14ac:dyDescent="0.2">
      <c r="D20" s="17">
        <v>44400</v>
      </c>
      <c r="E20" s="1">
        <v>0.34</v>
      </c>
      <c r="F20" s="1">
        <v>0.36</v>
      </c>
      <c r="G20" s="1">
        <v>0.64</v>
      </c>
      <c r="H20" s="1">
        <v>0.10639999999999999</v>
      </c>
    </row>
    <row r="21" spans="4:8" x14ac:dyDescent="0.2">
      <c r="D21" s="17">
        <v>44403</v>
      </c>
      <c r="E21" s="1">
        <v>0.34</v>
      </c>
      <c r="F21" s="1">
        <v>0.36</v>
      </c>
      <c r="G21" s="1">
        <v>0.64</v>
      </c>
      <c r="H21" s="1">
        <v>0.10639999999999999</v>
      </c>
    </row>
    <row r="22" spans="4:8" x14ac:dyDescent="0.2">
      <c r="D22" s="17">
        <v>44404</v>
      </c>
      <c r="E22" s="1">
        <v>0.34</v>
      </c>
      <c r="F22" s="1">
        <v>0.36</v>
      </c>
      <c r="G22" s="1">
        <v>0.64</v>
      </c>
      <c r="H22" s="1">
        <v>0.10639999999999999</v>
      </c>
    </row>
    <row r="23" spans="4:8" x14ac:dyDescent="0.2">
      <c r="D23" s="17">
        <v>44405</v>
      </c>
      <c r="E23" s="1">
        <v>0.34</v>
      </c>
      <c r="F23" s="1">
        <v>0.36</v>
      </c>
      <c r="G23" s="1">
        <v>0.64</v>
      </c>
      <c r="H23" s="1">
        <v>0.10639999999999999</v>
      </c>
    </row>
    <row r="24" spans="4:8" x14ac:dyDescent="0.2">
      <c r="D24" s="17">
        <v>44406</v>
      </c>
      <c r="E24" s="1">
        <v>0.34</v>
      </c>
      <c r="F24" s="1">
        <v>0.36</v>
      </c>
      <c r="G24" s="1">
        <v>0.64</v>
      </c>
      <c r="H24" s="1">
        <v>0.10639999999999999</v>
      </c>
    </row>
    <row r="25" spans="4:8" x14ac:dyDescent="0.2">
      <c r="D25" s="17">
        <v>44407</v>
      </c>
      <c r="E25" s="1">
        <v>0.3</v>
      </c>
      <c r="F25" s="1">
        <v>0.35</v>
      </c>
      <c r="G25" s="1">
        <v>0.6</v>
      </c>
      <c r="H25" s="1">
        <v>9.9099999999999994E-2</v>
      </c>
    </row>
    <row r="26" spans="4:8" x14ac:dyDescent="0.2">
      <c r="D26" s="17">
        <v>44410</v>
      </c>
      <c r="E26" s="1">
        <v>0.3</v>
      </c>
      <c r="F26" s="1">
        <v>0.35</v>
      </c>
      <c r="G26" s="1">
        <v>0.6</v>
      </c>
      <c r="H26" s="1">
        <v>9.9099999999999994E-2</v>
      </c>
    </row>
    <row r="27" spans="4:8" x14ac:dyDescent="0.2">
      <c r="D27" s="17">
        <v>44411</v>
      </c>
      <c r="E27" s="1">
        <v>0.3</v>
      </c>
      <c r="F27" s="1">
        <v>0.37</v>
      </c>
      <c r="G27" s="1">
        <v>0.6</v>
      </c>
      <c r="H27" s="1">
        <v>9.8000000000000004E-2</v>
      </c>
    </row>
    <row r="28" spans="4:8" x14ac:dyDescent="0.2">
      <c r="D28" s="17">
        <v>44412</v>
      </c>
      <c r="E28" s="1">
        <v>0.3</v>
      </c>
      <c r="F28" s="1">
        <v>0.37</v>
      </c>
      <c r="G28" s="1">
        <v>0.6</v>
      </c>
      <c r="H28" s="1">
        <v>9.8000000000000004E-2</v>
      </c>
    </row>
    <row r="29" spans="4:8" x14ac:dyDescent="0.2">
      <c r="D29" s="17">
        <v>44413</v>
      </c>
      <c r="E29" s="1">
        <v>0.3</v>
      </c>
      <c r="F29" s="1">
        <v>0.37</v>
      </c>
      <c r="G29" s="1">
        <v>0.6</v>
      </c>
      <c r="H29" s="1">
        <v>9.8000000000000004E-2</v>
      </c>
    </row>
    <row r="30" spans="4:8" x14ac:dyDescent="0.2">
      <c r="D30" s="17">
        <v>44414</v>
      </c>
      <c r="E30" s="1">
        <v>0.3</v>
      </c>
      <c r="F30" s="1">
        <v>0.38500000000000001</v>
      </c>
      <c r="G30" s="1">
        <v>0.6</v>
      </c>
      <c r="H30" s="1">
        <v>9.5500000000000002E-2</v>
      </c>
    </row>
    <row r="31" spans="4:8" x14ac:dyDescent="0.2">
      <c r="D31" s="17">
        <v>44417</v>
      </c>
      <c r="E31" s="1">
        <v>0.3</v>
      </c>
      <c r="F31" s="1">
        <v>0.38500000000000001</v>
      </c>
      <c r="G31" s="1">
        <v>0.6</v>
      </c>
      <c r="H31" s="1">
        <v>9.5500000000000002E-2</v>
      </c>
    </row>
    <row r="32" spans="4:8" x14ac:dyDescent="0.2">
      <c r="D32" s="17">
        <v>44418</v>
      </c>
      <c r="E32" s="1">
        <v>0.3</v>
      </c>
      <c r="F32" s="1">
        <v>0.37</v>
      </c>
      <c r="G32" s="1">
        <v>0.42</v>
      </c>
      <c r="H32" s="1">
        <v>4.07E-2</v>
      </c>
    </row>
    <row r="33" spans="4:8" x14ac:dyDescent="0.2">
      <c r="D33" s="17">
        <v>44419</v>
      </c>
      <c r="E33" s="1">
        <v>0.3</v>
      </c>
      <c r="F33" s="1">
        <v>0.37</v>
      </c>
      <c r="G33" s="1">
        <v>0.42</v>
      </c>
      <c r="H33" s="1">
        <v>4.07E-2</v>
      </c>
    </row>
    <row r="34" spans="4:8" x14ac:dyDescent="0.2">
      <c r="D34" s="17">
        <v>44420</v>
      </c>
      <c r="E34" s="1">
        <v>0.3</v>
      </c>
      <c r="F34" s="1">
        <v>0.37</v>
      </c>
      <c r="G34" s="1">
        <v>0.42</v>
      </c>
      <c r="H34" s="1">
        <v>4.07E-2</v>
      </c>
    </row>
    <row r="35" spans="4:8" x14ac:dyDescent="0.2">
      <c r="D35" s="17">
        <v>44421</v>
      </c>
      <c r="E35" s="1">
        <v>0.3</v>
      </c>
      <c r="F35" s="1">
        <v>0.4</v>
      </c>
      <c r="G35" s="1">
        <v>0.52</v>
      </c>
      <c r="H35" s="1">
        <v>7.17E-2</v>
      </c>
    </row>
    <row r="36" spans="4:8" x14ac:dyDescent="0.2">
      <c r="D36" s="17">
        <v>44424</v>
      </c>
      <c r="E36" s="1">
        <v>0.3</v>
      </c>
      <c r="F36" s="1">
        <v>0.4</v>
      </c>
      <c r="G36" s="1">
        <v>0.52</v>
      </c>
      <c r="H36" s="1">
        <v>7.17E-2</v>
      </c>
    </row>
    <row r="37" spans="4:8" x14ac:dyDescent="0.2">
      <c r="D37" s="17">
        <v>44425</v>
      </c>
      <c r="E37" s="1">
        <v>0.3</v>
      </c>
      <c r="F37" s="1">
        <v>0.4</v>
      </c>
      <c r="G37" s="1">
        <v>0.52</v>
      </c>
      <c r="H37" s="1">
        <v>7.17E-2</v>
      </c>
    </row>
    <row r="38" spans="4:8" x14ac:dyDescent="0.2">
      <c r="D38" s="17">
        <v>44426</v>
      </c>
      <c r="E38" s="1">
        <v>0.3</v>
      </c>
      <c r="F38" s="1">
        <v>0.4</v>
      </c>
      <c r="G38" s="1">
        <v>0.52</v>
      </c>
      <c r="H38" s="1">
        <v>7.17E-2</v>
      </c>
    </row>
    <row r="39" spans="4:8" x14ac:dyDescent="0.2">
      <c r="D39" s="17">
        <v>44427</v>
      </c>
      <c r="E39" s="1">
        <v>0.3</v>
      </c>
      <c r="F39" s="1">
        <v>0.4</v>
      </c>
      <c r="G39" s="1">
        <v>0.52</v>
      </c>
      <c r="H39" s="1">
        <v>7.17E-2</v>
      </c>
    </row>
    <row r="40" spans="4:8" x14ac:dyDescent="0.2">
      <c r="D40" s="17">
        <v>44428</v>
      </c>
      <c r="E40" s="1">
        <v>0.3</v>
      </c>
      <c r="F40" s="1">
        <v>0.4</v>
      </c>
      <c r="G40" s="1">
        <v>0.5</v>
      </c>
      <c r="H40" s="1">
        <v>6.9699999999999998E-2</v>
      </c>
    </row>
    <row r="41" spans="4:8" x14ac:dyDescent="0.2">
      <c r="D41" s="17">
        <v>44431</v>
      </c>
      <c r="E41" s="1">
        <v>0.3</v>
      </c>
      <c r="F41" s="1">
        <v>0.4</v>
      </c>
      <c r="G41" s="1">
        <v>0.5</v>
      </c>
      <c r="H41" s="1">
        <v>6.9699999999999998E-2</v>
      </c>
    </row>
    <row r="42" spans="4:8" x14ac:dyDescent="0.2">
      <c r="D42" s="17">
        <v>44432</v>
      </c>
      <c r="E42" s="1">
        <v>0.3</v>
      </c>
      <c r="F42" s="1">
        <v>0.4</v>
      </c>
      <c r="G42" s="1">
        <v>0.5</v>
      </c>
      <c r="H42" s="1">
        <v>6.9699999999999998E-2</v>
      </c>
    </row>
    <row r="43" spans="4:8" x14ac:dyDescent="0.2">
      <c r="D43" s="17">
        <v>44433</v>
      </c>
      <c r="E43" s="1">
        <v>0.3</v>
      </c>
      <c r="F43" s="1">
        <v>0.4</v>
      </c>
      <c r="G43" s="1">
        <v>0.5</v>
      </c>
      <c r="H43" s="1">
        <v>6.9699999999999998E-2</v>
      </c>
    </row>
    <row r="44" spans="4:8" x14ac:dyDescent="0.2">
      <c r="D44" s="17">
        <v>44434</v>
      </c>
      <c r="E44" s="1">
        <v>0.3</v>
      </c>
      <c r="F44" s="1">
        <v>0.4</v>
      </c>
      <c r="G44" s="1">
        <v>0.5</v>
      </c>
      <c r="H44" s="1">
        <v>6.9699999999999998E-2</v>
      </c>
    </row>
    <row r="45" spans="4:8" x14ac:dyDescent="0.2">
      <c r="D45" s="17">
        <v>44435</v>
      </c>
      <c r="E45" s="1">
        <v>0.3</v>
      </c>
      <c r="F45" s="1">
        <v>0.4</v>
      </c>
      <c r="G45" s="1">
        <v>0.65</v>
      </c>
      <c r="H45" s="1">
        <v>0.1192</v>
      </c>
    </row>
    <row r="46" spans="4:8" x14ac:dyDescent="0.2">
      <c r="D46" s="17">
        <v>44438</v>
      </c>
      <c r="E46" s="1">
        <v>0.4</v>
      </c>
      <c r="F46" s="1">
        <v>0.47</v>
      </c>
      <c r="G46" s="1">
        <v>0.65</v>
      </c>
      <c r="H46" s="1">
        <v>0.1053</v>
      </c>
    </row>
    <row r="47" spans="4:8" x14ac:dyDescent="0.2">
      <c r="D47" s="17">
        <v>44447</v>
      </c>
      <c r="E47" s="1">
        <v>0.41</v>
      </c>
      <c r="F47" s="1">
        <v>0.55000000000000004</v>
      </c>
      <c r="G47" s="1">
        <v>0.65</v>
      </c>
      <c r="H47" s="1">
        <v>0.09</v>
      </c>
    </row>
    <row r="48" spans="4:8" x14ac:dyDescent="0.2">
      <c r="D48" s="17">
        <v>44439</v>
      </c>
      <c r="E48" s="1">
        <v>0.4</v>
      </c>
      <c r="F48" s="1">
        <v>0.47</v>
      </c>
      <c r="G48" s="1">
        <v>0.65</v>
      </c>
      <c r="H48" s="1">
        <v>0.1053</v>
      </c>
    </row>
    <row r="49" spans="4:8" x14ac:dyDescent="0.2">
      <c r="D49" s="17">
        <v>44440</v>
      </c>
      <c r="E49" s="1">
        <v>0.4</v>
      </c>
      <c r="F49" s="1">
        <v>0.47</v>
      </c>
      <c r="G49" s="1">
        <v>0.65</v>
      </c>
      <c r="H49" s="1">
        <v>0.1053</v>
      </c>
    </row>
    <row r="50" spans="4:8" x14ac:dyDescent="0.2">
      <c r="D50" s="17">
        <v>44441</v>
      </c>
      <c r="E50" s="1">
        <v>0.41</v>
      </c>
      <c r="F50" s="1">
        <v>0.53</v>
      </c>
      <c r="G50" s="1">
        <v>0.65</v>
      </c>
      <c r="H50" s="1">
        <v>9.4899999999999998E-2</v>
      </c>
    </row>
    <row r="51" spans="4:8" x14ac:dyDescent="0.2">
      <c r="D51" s="17">
        <v>44442</v>
      </c>
      <c r="E51" s="1">
        <v>0.41</v>
      </c>
      <c r="F51" s="1">
        <v>0.55000000000000004</v>
      </c>
      <c r="G51" s="1">
        <v>0.65</v>
      </c>
      <c r="H51" s="1">
        <v>0.09</v>
      </c>
    </row>
    <row r="52" spans="4:8" x14ac:dyDescent="0.2">
      <c r="D52" s="17">
        <v>44445</v>
      </c>
      <c r="E52" s="1">
        <v>0.41</v>
      </c>
      <c r="F52" s="1">
        <v>0.55000000000000004</v>
      </c>
      <c r="G52" s="1">
        <v>0.65</v>
      </c>
      <c r="H52" s="1">
        <v>0.09</v>
      </c>
    </row>
    <row r="53" spans="4:8" x14ac:dyDescent="0.2">
      <c r="D53" s="17">
        <v>44448</v>
      </c>
      <c r="E53" s="1">
        <v>0.41</v>
      </c>
      <c r="F53" s="1">
        <v>0.53</v>
      </c>
      <c r="G53" s="1">
        <v>0.61</v>
      </c>
      <c r="H53" s="1">
        <v>7.4999999999999997E-2</v>
      </c>
    </row>
    <row r="54" spans="4:8" x14ac:dyDescent="0.2">
      <c r="D54" s="17">
        <v>44449</v>
      </c>
      <c r="E54" s="1">
        <v>0.41</v>
      </c>
      <c r="F54" s="1">
        <v>0.5</v>
      </c>
      <c r="G54" s="1">
        <v>0.61</v>
      </c>
      <c r="H54" s="1">
        <v>7.5600000000000001E-2</v>
      </c>
    </row>
    <row r="55" spans="4:8" x14ac:dyDescent="0.2">
      <c r="D55" s="17">
        <v>44452</v>
      </c>
      <c r="E55" s="1">
        <v>0.41</v>
      </c>
      <c r="F55" s="1">
        <v>0.5</v>
      </c>
      <c r="G55" s="1">
        <v>0.64</v>
      </c>
      <c r="H55" s="1">
        <v>8.5199999999999998E-2</v>
      </c>
    </row>
    <row r="56" spans="4:8" x14ac:dyDescent="0.2">
      <c r="D56" s="17">
        <v>44453</v>
      </c>
      <c r="E56" s="1">
        <v>0.41</v>
      </c>
      <c r="F56" s="1">
        <v>0.5</v>
      </c>
      <c r="G56" s="1">
        <v>0.64</v>
      </c>
      <c r="H56" s="1">
        <v>8.5199999999999998E-2</v>
      </c>
    </row>
    <row r="57" spans="4:8" x14ac:dyDescent="0.2">
      <c r="D57" s="17">
        <v>44454</v>
      </c>
      <c r="E57" s="1">
        <v>0.41</v>
      </c>
      <c r="F57" s="1">
        <v>0.57999999999999996</v>
      </c>
      <c r="G57" s="1">
        <v>0.65</v>
      </c>
      <c r="H57" s="1">
        <v>9.0499999999999997E-2</v>
      </c>
    </row>
    <row r="58" spans="4:8" x14ac:dyDescent="0.2">
      <c r="D58" s="17">
        <v>44455</v>
      </c>
      <c r="E58" s="1">
        <v>0.41</v>
      </c>
      <c r="F58" s="1">
        <v>0.57999999999999996</v>
      </c>
      <c r="G58" s="1">
        <v>0.73</v>
      </c>
      <c r="H58" s="1">
        <v>0.1118</v>
      </c>
    </row>
    <row r="59" spans="4:8" x14ac:dyDescent="0.2">
      <c r="D59" s="17">
        <v>44456</v>
      </c>
      <c r="E59" s="1">
        <v>0.5</v>
      </c>
      <c r="F59" s="1">
        <v>0.59</v>
      </c>
      <c r="G59" s="1">
        <v>0.73</v>
      </c>
      <c r="H59" s="1">
        <v>7.4800000000000005E-2</v>
      </c>
    </row>
    <row r="60" spans="4:8" x14ac:dyDescent="0.2">
      <c r="D60" s="17">
        <v>44459</v>
      </c>
      <c r="E60" s="1">
        <v>0.5</v>
      </c>
      <c r="F60" s="1">
        <v>0.59</v>
      </c>
      <c r="G60" s="1">
        <v>0.73</v>
      </c>
      <c r="H60" s="1">
        <v>7.4800000000000005E-2</v>
      </c>
    </row>
    <row r="61" spans="4:8" x14ac:dyDescent="0.2">
      <c r="D61" s="17">
        <v>44460</v>
      </c>
      <c r="E61" s="1">
        <v>0.5</v>
      </c>
      <c r="F61" s="1">
        <v>0.59</v>
      </c>
      <c r="G61" s="1">
        <v>0.73</v>
      </c>
      <c r="H61" s="1">
        <v>7.4800000000000005E-2</v>
      </c>
    </row>
    <row r="62" spans="4:8" x14ac:dyDescent="0.2">
      <c r="D62" s="17">
        <v>44461</v>
      </c>
      <c r="E62" s="1">
        <v>0.5</v>
      </c>
      <c r="F62" s="1">
        <v>0.59</v>
      </c>
      <c r="G62" s="1">
        <v>0.73</v>
      </c>
      <c r="H62" s="1">
        <v>7.4800000000000005E-2</v>
      </c>
    </row>
    <row r="63" spans="4:8" x14ac:dyDescent="0.2">
      <c r="D63" s="17">
        <v>44462</v>
      </c>
      <c r="E63" s="1">
        <v>0.5</v>
      </c>
      <c r="F63" s="1">
        <v>0.59</v>
      </c>
      <c r="G63" s="1">
        <v>0.73</v>
      </c>
      <c r="H63" s="1">
        <v>7.4800000000000005E-2</v>
      </c>
    </row>
    <row r="64" spans="4:8" x14ac:dyDescent="0.2">
      <c r="D64" s="17">
        <v>44463</v>
      </c>
      <c r="E64" s="1">
        <v>0.5</v>
      </c>
      <c r="F64" s="1">
        <v>0.61</v>
      </c>
      <c r="G64" s="1">
        <v>0.73</v>
      </c>
      <c r="H64" s="1">
        <v>7.3099999999999998E-2</v>
      </c>
    </row>
    <row r="65" spans="4:8" x14ac:dyDescent="0.2">
      <c r="D65" s="17">
        <v>44466</v>
      </c>
      <c r="E65" s="1">
        <v>0.5</v>
      </c>
      <c r="F65" s="1">
        <v>0.61</v>
      </c>
      <c r="G65" s="1">
        <v>0.73</v>
      </c>
      <c r="H65" s="1">
        <v>7.3099999999999998E-2</v>
      </c>
    </row>
    <row r="66" spans="4:8" x14ac:dyDescent="0.2">
      <c r="D66" s="17">
        <v>44467</v>
      </c>
      <c r="E66" s="1">
        <v>0.5</v>
      </c>
      <c r="F66" s="1">
        <v>0.61</v>
      </c>
      <c r="G66" s="1">
        <v>0.73</v>
      </c>
      <c r="H66" s="1">
        <v>7.3099999999999998E-2</v>
      </c>
    </row>
    <row r="67" spans="4:8" x14ac:dyDescent="0.2">
      <c r="D67" s="17">
        <v>44468</v>
      </c>
      <c r="E67" s="1">
        <v>0.5</v>
      </c>
      <c r="F67" s="1">
        <v>0.61</v>
      </c>
      <c r="G67" s="1">
        <v>0.73</v>
      </c>
      <c r="H67" s="1">
        <v>7.3099999999999998E-2</v>
      </c>
    </row>
    <row r="68" spans="4:8" x14ac:dyDescent="0.2">
      <c r="D68" s="17">
        <v>44469</v>
      </c>
      <c r="E68" s="1">
        <v>0.5</v>
      </c>
      <c r="F68" s="1">
        <v>0.61</v>
      </c>
      <c r="G68" s="1">
        <v>0.73</v>
      </c>
      <c r="H68" s="1">
        <v>7.3099999999999998E-2</v>
      </c>
    </row>
    <row r="69" spans="4:8" x14ac:dyDescent="0.2">
      <c r="D69" s="17">
        <v>44470</v>
      </c>
      <c r="E69" s="1">
        <v>0.5</v>
      </c>
      <c r="F69" s="1">
        <v>0.61</v>
      </c>
      <c r="G69" s="1">
        <v>0.77</v>
      </c>
      <c r="H69" s="1">
        <v>8.9099999999999999E-2</v>
      </c>
    </row>
    <row r="70" spans="4:8" x14ac:dyDescent="0.2">
      <c r="D70" s="17">
        <v>44473</v>
      </c>
      <c r="E70" s="1">
        <v>0.5</v>
      </c>
      <c r="F70" s="1">
        <v>0.61</v>
      </c>
      <c r="G70" s="1">
        <v>0.77</v>
      </c>
      <c r="H70" s="1">
        <v>8.9099999999999999E-2</v>
      </c>
    </row>
    <row r="71" spans="4:8" x14ac:dyDescent="0.2">
      <c r="D71" s="17">
        <v>44474</v>
      </c>
      <c r="E71" s="1">
        <v>0.5</v>
      </c>
      <c r="F71" s="1">
        <v>0.61</v>
      </c>
      <c r="G71" s="1">
        <v>0.77</v>
      </c>
      <c r="H71" s="1">
        <v>8.9099999999999999E-2</v>
      </c>
    </row>
    <row r="72" spans="4:8" x14ac:dyDescent="0.2">
      <c r="D72" s="17">
        <v>44475</v>
      </c>
      <c r="E72" s="1">
        <v>0.5</v>
      </c>
      <c r="F72" s="1">
        <v>0.61</v>
      </c>
      <c r="G72" s="1">
        <v>0.77</v>
      </c>
      <c r="H72" s="1">
        <v>8.9099999999999999E-2</v>
      </c>
    </row>
    <row r="73" spans="4:8" x14ac:dyDescent="0.2">
      <c r="D73" s="17">
        <v>44476</v>
      </c>
      <c r="E73" s="1">
        <v>0.5</v>
      </c>
      <c r="F73" s="1">
        <v>0.61</v>
      </c>
      <c r="G73" s="1">
        <v>0.77</v>
      </c>
      <c r="H73" s="1">
        <v>8.9099999999999999E-2</v>
      </c>
    </row>
    <row r="74" spans="4:8" x14ac:dyDescent="0.2">
      <c r="D74" s="17">
        <v>44477</v>
      </c>
      <c r="E74" s="1">
        <v>0.4</v>
      </c>
      <c r="F74" s="1">
        <v>0.65</v>
      </c>
      <c r="G74" s="1">
        <v>0.68</v>
      </c>
      <c r="H74" s="1">
        <v>0.10150000000000001</v>
      </c>
    </row>
    <row r="75" spans="4:8" x14ac:dyDescent="0.2">
      <c r="D75" s="17">
        <v>44480</v>
      </c>
      <c r="E75" s="1">
        <v>0.4</v>
      </c>
      <c r="F75" s="1">
        <v>0.65</v>
      </c>
      <c r="G75" s="1">
        <v>0.68</v>
      </c>
      <c r="H75" s="1">
        <v>0.10150000000000001</v>
      </c>
    </row>
    <row r="76" spans="4:8" x14ac:dyDescent="0.2">
      <c r="D76" s="17">
        <v>44482</v>
      </c>
      <c r="E76" s="1">
        <v>0.61</v>
      </c>
      <c r="F76" s="1">
        <v>0.65</v>
      </c>
      <c r="G76" s="1">
        <v>0.78</v>
      </c>
      <c r="H76" s="1">
        <v>5.7500000000000002E-2</v>
      </c>
    </row>
    <row r="77" spans="4:8" x14ac:dyDescent="0.2">
      <c r="D77" s="17">
        <v>44483</v>
      </c>
      <c r="E77" s="1">
        <v>0.61</v>
      </c>
      <c r="F77" s="1">
        <v>0.65</v>
      </c>
      <c r="G77" s="1">
        <v>0.78</v>
      </c>
      <c r="H77" s="1">
        <v>5.7500000000000002E-2</v>
      </c>
    </row>
    <row r="78" spans="4:8" x14ac:dyDescent="0.2">
      <c r="D78" s="17">
        <v>44484</v>
      </c>
      <c r="E78" s="1">
        <v>0.61</v>
      </c>
      <c r="F78" s="1">
        <v>0.68</v>
      </c>
      <c r="G78" s="1">
        <v>0.82</v>
      </c>
      <c r="H78" s="1">
        <v>7.4700000000000003E-2</v>
      </c>
    </row>
    <row r="79" spans="4:8" x14ac:dyDescent="0.2">
      <c r="D79" s="17">
        <v>44487</v>
      </c>
      <c r="E79" s="1">
        <v>0.61</v>
      </c>
      <c r="F79" s="1">
        <v>0.71499999999999997</v>
      </c>
      <c r="G79" s="1">
        <v>0.82</v>
      </c>
      <c r="H79" s="1">
        <v>7.8299999999999995E-2</v>
      </c>
    </row>
    <row r="80" spans="4:8" x14ac:dyDescent="0.2">
      <c r="D80" s="17">
        <v>44488</v>
      </c>
      <c r="E80" s="1">
        <v>0.61</v>
      </c>
      <c r="F80" s="1">
        <v>0.71499999999999997</v>
      </c>
      <c r="G80" s="1">
        <v>0.82</v>
      </c>
      <c r="H80" s="1">
        <v>7.8299999999999995E-2</v>
      </c>
    </row>
    <row r="81" spans="4:8" x14ac:dyDescent="0.2">
      <c r="D81" s="17">
        <v>44489</v>
      </c>
      <c r="E81" s="1">
        <v>0.61</v>
      </c>
      <c r="F81" s="1">
        <v>0.71499999999999997</v>
      </c>
      <c r="G81" s="1">
        <v>0.86</v>
      </c>
      <c r="H81" s="1">
        <v>9.2299999999999993E-2</v>
      </c>
    </row>
    <row r="82" spans="4:8" x14ac:dyDescent="0.2">
      <c r="D82" s="17">
        <v>44490</v>
      </c>
      <c r="E82" s="1">
        <v>0.61</v>
      </c>
      <c r="F82" s="1">
        <v>0.71499999999999997</v>
      </c>
      <c r="G82" s="1">
        <v>0.86</v>
      </c>
      <c r="H82" s="1">
        <v>9.2299999999999993E-2</v>
      </c>
    </row>
    <row r="83" spans="4:8" x14ac:dyDescent="0.2">
      <c r="D83" s="17">
        <v>44491</v>
      </c>
      <c r="E83" s="1">
        <v>0.84</v>
      </c>
      <c r="F83" s="1">
        <v>0.88</v>
      </c>
      <c r="G83" s="1">
        <v>0.95</v>
      </c>
      <c r="H83" s="1">
        <v>3.7699999999999997E-2</v>
      </c>
    </row>
    <row r="84" spans="4:8" x14ac:dyDescent="0.2">
      <c r="D84" s="17">
        <v>44494</v>
      </c>
      <c r="E84" s="1">
        <v>0.84</v>
      </c>
      <c r="F84" s="1">
        <v>0.88</v>
      </c>
      <c r="G84" s="1">
        <v>0.95</v>
      </c>
      <c r="H84" s="1">
        <v>3.7699999999999997E-2</v>
      </c>
    </row>
    <row r="85" spans="4:8" x14ac:dyDescent="0.2">
      <c r="D85" s="17">
        <v>44495</v>
      </c>
      <c r="E85" s="1">
        <v>0.84</v>
      </c>
      <c r="F85" s="1">
        <v>0.9</v>
      </c>
      <c r="G85" s="1">
        <v>1</v>
      </c>
      <c r="H85" s="1">
        <v>5.57E-2</v>
      </c>
    </row>
    <row r="86" spans="4:8" x14ac:dyDescent="0.2">
      <c r="D86" s="17">
        <v>44496</v>
      </c>
      <c r="E86" s="1">
        <v>0.84</v>
      </c>
      <c r="F86" s="1">
        <v>0.9</v>
      </c>
      <c r="G86" s="1">
        <v>1</v>
      </c>
      <c r="H86" s="1">
        <v>5.57E-2</v>
      </c>
    </row>
    <row r="87" spans="4:8" x14ac:dyDescent="0.2">
      <c r="D87" s="17">
        <v>44497</v>
      </c>
      <c r="E87" s="1">
        <v>0.84</v>
      </c>
      <c r="F87" s="1">
        <v>0.9</v>
      </c>
      <c r="G87" s="1">
        <v>1</v>
      </c>
      <c r="H87" s="1">
        <v>5.57E-2</v>
      </c>
    </row>
    <row r="88" spans="4:8" x14ac:dyDescent="0.2">
      <c r="D88" s="17">
        <v>44498</v>
      </c>
      <c r="E88" s="1">
        <v>0.84</v>
      </c>
      <c r="F88" s="1">
        <v>1</v>
      </c>
      <c r="G88" s="1">
        <v>1.08</v>
      </c>
      <c r="H88" s="1">
        <v>8.9899999999999994E-2</v>
      </c>
    </row>
    <row r="89" spans="4:8" x14ac:dyDescent="0.2">
      <c r="D89" s="17">
        <v>44501</v>
      </c>
      <c r="E89" s="1">
        <v>0.84</v>
      </c>
      <c r="F89" s="1">
        <v>1</v>
      </c>
      <c r="G89" s="1">
        <v>1.08</v>
      </c>
      <c r="H89" s="1">
        <v>8.9899999999999994E-2</v>
      </c>
    </row>
    <row r="90" spans="4:8" x14ac:dyDescent="0.2">
      <c r="D90" s="17">
        <v>44503</v>
      </c>
      <c r="E90" s="1">
        <v>0.84</v>
      </c>
      <c r="F90" s="1">
        <v>1</v>
      </c>
      <c r="G90" s="1">
        <v>1.08</v>
      </c>
      <c r="H90" s="1">
        <v>8.9899999999999994E-2</v>
      </c>
    </row>
    <row r="91" spans="4:8" x14ac:dyDescent="0.2">
      <c r="D91" s="17">
        <v>44504</v>
      </c>
      <c r="E91" s="1">
        <v>0.84</v>
      </c>
      <c r="F91" s="1">
        <v>1</v>
      </c>
      <c r="G91" s="1">
        <v>1.08</v>
      </c>
      <c r="H91" s="1">
        <v>8.9899999999999994E-2</v>
      </c>
    </row>
    <row r="92" spans="4:8" x14ac:dyDescent="0.2">
      <c r="D92" s="17">
        <v>44505</v>
      </c>
      <c r="E92" s="1">
        <v>0.84</v>
      </c>
      <c r="F92" s="1">
        <v>1</v>
      </c>
      <c r="G92" s="1">
        <v>1.08</v>
      </c>
      <c r="H92" s="1">
        <v>8.9899999999999994E-2</v>
      </c>
    </row>
    <row r="93" spans="4:8" x14ac:dyDescent="0.2">
      <c r="D93" s="17">
        <v>44508</v>
      </c>
      <c r="E93" s="1">
        <v>0.95</v>
      </c>
      <c r="F93" s="1">
        <v>1.08</v>
      </c>
      <c r="G93" s="1">
        <v>1.0900000000000001</v>
      </c>
      <c r="H93" s="1">
        <v>5.5500000000000001E-2</v>
      </c>
    </row>
    <row r="94" spans="4:8" x14ac:dyDescent="0.2">
      <c r="D94" s="17">
        <v>44509</v>
      </c>
      <c r="E94" s="1">
        <v>0.95</v>
      </c>
      <c r="F94" s="1">
        <v>1.08</v>
      </c>
      <c r="G94" s="1">
        <v>1.0900000000000001</v>
      </c>
      <c r="H94" s="1">
        <v>5.5500000000000001E-2</v>
      </c>
    </row>
    <row r="95" spans="4:8" x14ac:dyDescent="0.2">
      <c r="D95" s="17"/>
    </row>
    <row r="96" spans="4:8" x14ac:dyDescent="0.2">
      <c r="D96" s="17"/>
    </row>
    <row r="97" spans="4:4" x14ac:dyDescent="0.2">
      <c r="D97" s="17"/>
    </row>
    <row r="98" spans="4:4" x14ac:dyDescent="0.2">
      <c r="D98" s="17"/>
    </row>
    <row r="99" spans="4:4" x14ac:dyDescent="0.2">
      <c r="D99" s="17"/>
    </row>
    <row r="100" spans="4:4" x14ac:dyDescent="0.2">
      <c r="D100" s="17"/>
    </row>
    <row r="101" spans="4:4" x14ac:dyDescent="0.2">
      <c r="D101" s="17"/>
    </row>
    <row r="102" spans="4:4" x14ac:dyDescent="0.2">
      <c r="D102" s="17"/>
    </row>
    <row r="103" spans="4:4" x14ac:dyDescent="0.2">
      <c r="D103" s="17"/>
    </row>
    <row r="104" spans="4:4" x14ac:dyDescent="0.2">
      <c r="D104" s="17"/>
    </row>
    <row r="105" spans="4:4" x14ac:dyDescent="0.2">
      <c r="D105" s="17"/>
    </row>
    <row r="106" spans="4:4" x14ac:dyDescent="0.2">
      <c r="D106" s="17"/>
    </row>
    <row r="107" spans="4:4" x14ac:dyDescent="0.2">
      <c r="D107" s="17"/>
    </row>
    <row r="108" spans="4:4" x14ac:dyDescent="0.2">
      <c r="D108" s="17"/>
    </row>
    <row r="109" spans="4:4" x14ac:dyDescent="0.2">
      <c r="D109" s="17"/>
    </row>
    <row r="110" spans="4:4" x14ac:dyDescent="0.2">
      <c r="D110" s="17"/>
    </row>
    <row r="111" spans="4:4" x14ac:dyDescent="0.2">
      <c r="D111" s="17"/>
    </row>
    <row r="112" spans="4:4" x14ac:dyDescent="0.2">
      <c r="D112" s="17"/>
    </row>
    <row r="113" spans="4:4" x14ac:dyDescent="0.2">
      <c r="D113" s="17"/>
    </row>
    <row r="114" spans="4:4" x14ac:dyDescent="0.2">
      <c r="D114" s="17"/>
    </row>
    <row r="115" spans="4:4" x14ac:dyDescent="0.2">
      <c r="D115" s="17"/>
    </row>
    <row r="116" spans="4:4" x14ac:dyDescent="0.2">
      <c r="D116" s="17"/>
    </row>
    <row r="117" spans="4:4" x14ac:dyDescent="0.2">
      <c r="D117" s="17"/>
    </row>
    <row r="118" spans="4:4" x14ac:dyDescent="0.2">
      <c r="D118" s="17"/>
    </row>
    <row r="119" spans="4:4" x14ac:dyDescent="0.2">
      <c r="D119" s="17"/>
    </row>
    <row r="120" spans="4:4" x14ac:dyDescent="0.2">
      <c r="D120" s="17"/>
    </row>
    <row r="121" spans="4:4" x14ac:dyDescent="0.2">
      <c r="D121" s="17"/>
    </row>
    <row r="122" spans="4:4" x14ac:dyDescent="0.2">
      <c r="D122" s="17"/>
    </row>
    <row r="123" spans="4:4" x14ac:dyDescent="0.2">
      <c r="D123" s="17"/>
    </row>
    <row r="124" spans="4:4" x14ac:dyDescent="0.2">
      <c r="D124" s="17"/>
    </row>
    <row r="125" spans="4:4" x14ac:dyDescent="0.2">
      <c r="D125" s="17"/>
    </row>
    <row r="126" spans="4:4" x14ac:dyDescent="0.2">
      <c r="D126" s="17"/>
    </row>
    <row r="127" spans="4:4" x14ac:dyDescent="0.2">
      <c r="D127" s="17"/>
    </row>
    <row r="128" spans="4:4" x14ac:dyDescent="0.2">
      <c r="D128" s="17"/>
    </row>
    <row r="129" spans="4:4" x14ac:dyDescent="0.2">
      <c r="D129" s="17"/>
    </row>
    <row r="130" spans="4:4" x14ac:dyDescent="0.2">
      <c r="D130" s="17"/>
    </row>
    <row r="131" spans="4:4" x14ac:dyDescent="0.2">
      <c r="D131" s="17"/>
    </row>
    <row r="132" spans="4:4" x14ac:dyDescent="0.2">
      <c r="D132" s="17"/>
    </row>
    <row r="133" spans="4:4" x14ac:dyDescent="0.2">
      <c r="D133" s="17"/>
    </row>
    <row r="134" spans="4:4" x14ac:dyDescent="0.2">
      <c r="D134" s="17"/>
    </row>
    <row r="135" spans="4:4" x14ac:dyDescent="0.2">
      <c r="D135" s="17"/>
    </row>
    <row r="136" spans="4:4" x14ac:dyDescent="0.2">
      <c r="D136" s="17"/>
    </row>
    <row r="137" spans="4:4" x14ac:dyDescent="0.2">
      <c r="D137" s="17"/>
    </row>
    <row r="138" spans="4:4" x14ac:dyDescent="0.2">
      <c r="D138" s="17"/>
    </row>
    <row r="139" spans="4:4" x14ac:dyDescent="0.2">
      <c r="D139" s="17"/>
    </row>
    <row r="140" spans="4:4" x14ac:dyDescent="0.2">
      <c r="D140" s="17"/>
    </row>
    <row r="141" spans="4:4" x14ac:dyDescent="0.2">
      <c r="D141" s="17"/>
    </row>
    <row r="142" spans="4:4" x14ac:dyDescent="0.2">
      <c r="D142" s="17"/>
    </row>
    <row r="143" spans="4:4" x14ac:dyDescent="0.2">
      <c r="D143" s="17"/>
    </row>
    <row r="144" spans="4:4" x14ac:dyDescent="0.2">
      <c r="D144" s="17"/>
    </row>
    <row r="145" spans="4:4" x14ac:dyDescent="0.2">
      <c r="D145" s="17"/>
    </row>
    <row r="146" spans="4:4" x14ac:dyDescent="0.2">
      <c r="D146" s="17"/>
    </row>
    <row r="147" spans="4:4" x14ac:dyDescent="0.2">
      <c r="D147" s="17"/>
    </row>
    <row r="148" spans="4:4" x14ac:dyDescent="0.2">
      <c r="D148" s="17"/>
    </row>
    <row r="149" spans="4:4" x14ac:dyDescent="0.2">
      <c r="D149" s="17"/>
    </row>
    <row r="150" spans="4:4" x14ac:dyDescent="0.2">
      <c r="D150" s="17"/>
    </row>
    <row r="151" spans="4:4" x14ac:dyDescent="0.2">
      <c r="D151" s="17"/>
    </row>
    <row r="152" spans="4:4" x14ac:dyDescent="0.2">
      <c r="D152" s="17"/>
    </row>
    <row r="153" spans="4:4" x14ac:dyDescent="0.2">
      <c r="D153" s="17"/>
    </row>
    <row r="154" spans="4:4" x14ac:dyDescent="0.2">
      <c r="D154" s="17"/>
    </row>
    <row r="155" spans="4:4" x14ac:dyDescent="0.2">
      <c r="D155" s="17"/>
    </row>
    <row r="156" spans="4:4" x14ac:dyDescent="0.2">
      <c r="D156" s="17"/>
    </row>
    <row r="157" spans="4:4" x14ac:dyDescent="0.2">
      <c r="D157" s="17"/>
    </row>
    <row r="158" spans="4:4" x14ac:dyDescent="0.2">
      <c r="D158" s="17"/>
    </row>
    <row r="159" spans="4:4" x14ac:dyDescent="0.2">
      <c r="D159" s="17"/>
    </row>
    <row r="160" spans="4:4" x14ac:dyDescent="0.2">
      <c r="D160" s="17"/>
    </row>
    <row r="161" spans="4:4" x14ac:dyDescent="0.2">
      <c r="D161" s="17"/>
    </row>
    <row r="162" spans="4:4" x14ac:dyDescent="0.2">
      <c r="D162" s="17"/>
    </row>
    <row r="163" spans="4:4" x14ac:dyDescent="0.2">
      <c r="D163" s="17"/>
    </row>
    <row r="164" spans="4:4" x14ac:dyDescent="0.2">
      <c r="D164" s="17"/>
    </row>
    <row r="165" spans="4:4" x14ac:dyDescent="0.2">
      <c r="D165" s="17"/>
    </row>
    <row r="166" spans="4:4" x14ac:dyDescent="0.2">
      <c r="D166" s="17"/>
    </row>
    <row r="167" spans="4:4" x14ac:dyDescent="0.2">
      <c r="D167" s="17"/>
    </row>
    <row r="168" spans="4:4" x14ac:dyDescent="0.2">
      <c r="D168" s="17"/>
    </row>
    <row r="169" spans="4:4" x14ac:dyDescent="0.2">
      <c r="D169" s="17"/>
    </row>
    <row r="170" spans="4:4" x14ac:dyDescent="0.2">
      <c r="D170" s="17"/>
    </row>
    <row r="171" spans="4:4" x14ac:dyDescent="0.2">
      <c r="D171" s="17"/>
    </row>
    <row r="172" spans="4:4" x14ac:dyDescent="0.2">
      <c r="D172" s="17"/>
    </row>
    <row r="173" spans="4:4" x14ac:dyDescent="0.2">
      <c r="D173" s="17"/>
    </row>
    <row r="174" spans="4:4" x14ac:dyDescent="0.2">
      <c r="D174" s="17"/>
    </row>
    <row r="175" spans="4:4" x14ac:dyDescent="0.2">
      <c r="D175" s="17"/>
    </row>
    <row r="176" spans="4:4" x14ac:dyDescent="0.2">
      <c r="D176" s="17"/>
    </row>
    <row r="177" spans="4:4" x14ac:dyDescent="0.2">
      <c r="D177" s="17"/>
    </row>
    <row r="178" spans="4:4" x14ac:dyDescent="0.2">
      <c r="D178" s="17"/>
    </row>
    <row r="179" spans="4:4" x14ac:dyDescent="0.2">
      <c r="D179" s="17"/>
    </row>
    <row r="180" spans="4:4" x14ac:dyDescent="0.2">
      <c r="D180" s="17"/>
    </row>
    <row r="181" spans="4:4" x14ac:dyDescent="0.2">
      <c r="D181" s="17"/>
    </row>
    <row r="182" spans="4:4" x14ac:dyDescent="0.2">
      <c r="D182" s="17"/>
    </row>
    <row r="183" spans="4:4" x14ac:dyDescent="0.2">
      <c r="D183" s="17"/>
    </row>
    <row r="184" spans="4:4" x14ac:dyDescent="0.2">
      <c r="D184" s="17"/>
    </row>
    <row r="185" spans="4:4" x14ac:dyDescent="0.2">
      <c r="D185" s="17"/>
    </row>
    <row r="186" spans="4:4" x14ac:dyDescent="0.2">
      <c r="D186" s="17"/>
    </row>
    <row r="187" spans="4:4" x14ac:dyDescent="0.2">
      <c r="D187" s="17"/>
    </row>
    <row r="188" spans="4:4" x14ac:dyDescent="0.2">
      <c r="D188" s="17"/>
    </row>
    <row r="189" spans="4:4" x14ac:dyDescent="0.2">
      <c r="D189" s="17"/>
    </row>
    <row r="196" spans="4:4" x14ac:dyDescent="0.2">
      <c r="D196" s="17"/>
    </row>
    <row r="197" spans="4:4" x14ac:dyDescent="0.2">
      <c r="D197" s="17"/>
    </row>
    <row r="198" spans="4:4" x14ac:dyDescent="0.2">
      <c r="D198" s="17"/>
    </row>
    <row r="199" spans="4:4" x14ac:dyDescent="0.2">
      <c r="D199" s="17"/>
    </row>
    <row r="200" spans="4:4" x14ac:dyDescent="0.2">
      <c r="D200" s="17"/>
    </row>
    <row r="201" spans="4:4" x14ac:dyDescent="0.2">
      <c r="D201" s="17"/>
    </row>
    <row r="202" spans="4:4" x14ac:dyDescent="0.2">
      <c r="D202" s="17"/>
    </row>
    <row r="203" spans="4:4" x14ac:dyDescent="0.2">
      <c r="D203" s="17"/>
    </row>
    <row r="204" spans="4:4" x14ac:dyDescent="0.2">
      <c r="D204" s="17"/>
    </row>
    <row r="205" spans="4:4" x14ac:dyDescent="0.2">
      <c r="D205" s="17"/>
    </row>
    <row r="206" spans="4:4" x14ac:dyDescent="0.2">
      <c r="D206" s="17"/>
    </row>
    <row r="207" spans="4:4" x14ac:dyDescent="0.2">
      <c r="D207" s="17"/>
    </row>
    <row r="208" spans="4:4" x14ac:dyDescent="0.2">
      <c r="D208" s="17"/>
    </row>
    <row r="209" spans="4:4" x14ac:dyDescent="0.2">
      <c r="D209" s="17"/>
    </row>
    <row r="210" spans="4:4" x14ac:dyDescent="0.2">
      <c r="D210" s="17"/>
    </row>
    <row r="211" spans="4:4" x14ac:dyDescent="0.2">
      <c r="D211" s="17"/>
    </row>
    <row r="212" spans="4:4" x14ac:dyDescent="0.2">
      <c r="D212" s="17"/>
    </row>
    <row r="213" spans="4:4" x14ac:dyDescent="0.2">
      <c r="D213" s="17"/>
    </row>
    <row r="214" spans="4:4" x14ac:dyDescent="0.2">
      <c r="D214" s="17"/>
    </row>
    <row r="215" spans="4:4" x14ac:dyDescent="0.2">
      <c r="D215" s="17"/>
    </row>
    <row r="216" spans="4:4" x14ac:dyDescent="0.2">
      <c r="D216" s="17"/>
    </row>
    <row r="217" spans="4:4" x14ac:dyDescent="0.2">
      <c r="D217" s="17"/>
    </row>
    <row r="218" spans="4:4" x14ac:dyDescent="0.2">
      <c r="D218" s="17"/>
    </row>
    <row r="219" spans="4:4" x14ac:dyDescent="0.2">
      <c r="D219" s="17"/>
    </row>
    <row r="220" spans="4:4" x14ac:dyDescent="0.2">
      <c r="D220" s="17"/>
    </row>
    <row r="221" spans="4:4" x14ac:dyDescent="0.2">
      <c r="D221" s="17"/>
    </row>
    <row r="222" spans="4:4" x14ac:dyDescent="0.2">
      <c r="D222" s="17"/>
    </row>
    <row r="223" spans="4:4" x14ac:dyDescent="0.2">
      <c r="D223" s="17"/>
    </row>
    <row r="224" spans="4:4" x14ac:dyDescent="0.2">
      <c r="D224" s="17"/>
    </row>
    <row r="225" spans="4:4" x14ac:dyDescent="0.2">
      <c r="D225" s="17"/>
    </row>
    <row r="226" spans="4:4" x14ac:dyDescent="0.2">
      <c r="D226" s="17"/>
    </row>
    <row r="227" spans="4:4" x14ac:dyDescent="0.2">
      <c r="D227" s="17"/>
    </row>
    <row r="228" spans="4:4" x14ac:dyDescent="0.2">
      <c r="D228" s="17"/>
    </row>
    <row r="229" spans="4:4" x14ac:dyDescent="0.2">
      <c r="D229" s="17"/>
    </row>
    <row r="230" spans="4:4" x14ac:dyDescent="0.2">
      <c r="D230" s="17"/>
    </row>
    <row r="231" spans="4:4" x14ac:dyDescent="0.2">
      <c r="D231" s="17"/>
    </row>
    <row r="232" spans="4:4" x14ac:dyDescent="0.2">
      <c r="D232" s="17"/>
    </row>
    <row r="233" spans="4:4" x14ac:dyDescent="0.2">
      <c r="D233" s="17"/>
    </row>
    <row r="234" spans="4:4" x14ac:dyDescent="0.2">
      <c r="D234" s="17"/>
    </row>
    <row r="235" spans="4:4" x14ac:dyDescent="0.2">
      <c r="D235" s="17"/>
    </row>
    <row r="236" spans="4:4" x14ac:dyDescent="0.2">
      <c r="D236" s="17"/>
    </row>
    <row r="237" spans="4:4" x14ac:dyDescent="0.2">
      <c r="D237" s="17"/>
    </row>
    <row r="238" spans="4:4" x14ac:dyDescent="0.2">
      <c r="D238" s="17"/>
    </row>
    <row r="239" spans="4:4" x14ac:dyDescent="0.2">
      <c r="D239" s="17"/>
    </row>
    <row r="240" spans="4:4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A7B2-B868-4A39-8B3A-45B510D60F2A}">
  <sheetPr codeName="Planilha8"/>
  <dimension ref="A1:P461"/>
  <sheetViews>
    <sheetView workbookViewId="0">
      <selection activeCell="B15" sqref="B15"/>
    </sheetView>
  </sheetViews>
  <sheetFormatPr defaultRowHeight="12.75" x14ac:dyDescent="0.2"/>
  <cols>
    <col min="1" max="1" width="35.7109375" style="1" customWidth="1"/>
    <col min="2" max="2" width="10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91</v>
      </c>
      <c r="I1" s="3" t="s">
        <v>60</v>
      </c>
      <c r="J1" s="59" t="str">
        <f>"FOCUS TOP 5 forecast for "&amp;$B$3&amp;" of "&amp;PROPER(TEXT($B$5,"[$-409]aaaa"))</f>
        <v>FOCUS TOP 5 forecast for IPCA of 2021</v>
      </c>
      <c r="K1" s="60"/>
      <c r="L1" s="60"/>
      <c r="M1" s="60"/>
      <c r="N1" s="60"/>
      <c r="O1" s="60"/>
      <c r="P1" s="60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32">xlFOCUS_ExpectativasTop5Anuais(B3,B4,B5,B6,B7,B8,D3:G3)</f>
        <v>44203</v>
      </c>
      <c r="E4" s="1">
        <v>2.99</v>
      </c>
      <c r="F4" s="1">
        <v>3.33</v>
      </c>
      <c r="G4" s="1">
        <v>3.38</v>
      </c>
    </row>
    <row r="5" spans="1:16" x14ac:dyDescent="0.2">
      <c r="A5" s="3" t="s">
        <v>63</v>
      </c>
      <c r="B5" s="14">
        <v>44197</v>
      </c>
      <c r="D5" s="17">
        <v>44202</v>
      </c>
      <c r="E5" s="1">
        <v>2.99</v>
      </c>
      <c r="F5" s="1">
        <v>3.25</v>
      </c>
      <c r="G5" s="1">
        <v>3.38</v>
      </c>
    </row>
    <row r="6" spans="1:16" x14ac:dyDescent="0.2">
      <c r="A6" s="3" t="s">
        <v>64</v>
      </c>
      <c r="B6" s="14">
        <v>44197</v>
      </c>
      <c r="D6" s="17">
        <v>44201</v>
      </c>
      <c r="E6" s="1">
        <v>2.99</v>
      </c>
      <c r="F6" s="1">
        <v>3.25</v>
      </c>
      <c r="G6" s="1">
        <v>3.38</v>
      </c>
    </row>
    <row r="7" spans="1:16" x14ac:dyDescent="0.2">
      <c r="A7" s="3" t="s">
        <v>65</v>
      </c>
      <c r="B7" s="14">
        <v>44531</v>
      </c>
      <c r="D7" s="17">
        <v>44200</v>
      </c>
      <c r="E7" s="1">
        <v>2.99</v>
      </c>
      <c r="F7" s="1">
        <v>3.25</v>
      </c>
      <c r="G7" s="1">
        <v>3.38</v>
      </c>
    </row>
    <row r="8" spans="1:16" x14ac:dyDescent="0.2">
      <c r="A8" s="3" t="s">
        <v>74</v>
      </c>
      <c r="B8" s="18" t="s">
        <v>75</v>
      </c>
      <c r="D8" s="17">
        <v>44204</v>
      </c>
      <c r="E8" s="1">
        <v>2.99</v>
      </c>
      <c r="F8" s="1">
        <v>3.33</v>
      </c>
      <c r="G8" s="1">
        <v>3.7</v>
      </c>
    </row>
    <row r="9" spans="1:16" x14ac:dyDescent="0.2">
      <c r="D9" s="17">
        <v>44207</v>
      </c>
      <c r="E9" s="1">
        <v>2.99</v>
      </c>
      <c r="F9" s="1">
        <v>3.33</v>
      </c>
      <c r="G9" s="1">
        <v>3.7</v>
      </c>
    </row>
    <row r="10" spans="1:16" x14ac:dyDescent="0.2">
      <c r="D10" s="17">
        <v>44208</v>
      </c>
      <c r="E10" s="1">
        <v>2.99</v>
      </c>
      <c r="F10" s="1">
        <v>3.32</v>
      </c>
      <c r="G10" s="1">
        <v>3.7</v>
      </c>
    </row>
    <row r="11" spans="1:16" x14ac:dyDescent="0.2">
      <c r="D11" s="17">
        <v>44211</v>
      </c>
      <c r="E11" s="1">
        <v>3.36</v>
      </c>
      <c r="F11" s="1">
        <v>3.75</v>
      </c>
      <c r="G11" s="1">
        <v>3.89</v>
      </c>
    </row>
    <row r="12" spans="1:16" x14ac:dyDescent="0.2">
      <c r="D12" s="17">
        <v>44210</v>
      </c>
      <c r="E12" s="1">
        <v>2.99</v>
      </c>
      <c r="F12" s="1">
        <v>3.43</v>
      </c>
      <c r="G12" s="1">
        <v>3.7</v>
      </c>
    </row>
    <row r="13" spans="1:16" x14ac:dyDescent="0.2">
      <c r="D13" s="17">
        <v>44209</v>
      </c>
      <c r="E13" s="1">
        <v>2.99</v>
      </c>
      <c r="F13" s="1">
        <v>3.33</v>
      </c>
      <c r="G13" s="1">
        <v>3.7</v>
      </c>
    </row>
    <row r="14" spans="1:16" x14ac:dyDescent="0.2">
      <c r="D14" s="17">
        <v>44214</v>
      </c>
      <c r="E14" s="1">
        <v>3.36</v>
      </c>
      <c r="F14" s="1">
        <v>3.75</v>
      </c>
      <c r="G14" s="1">
        <v>3.89</v>
      </c>
    </row>
    <row r="15" spans="1:16" x14ac:dyDescent="0.2">
      <c r="D15" s="17">
        <v>44215</v>
      </c>
      <c r="E15" s="1">
        <v>3.36</v>
      </c>
      <c r="F15" s="1">
        <v>3.75</v>
      </c>
      <c r="G15" s="1">
        <v>3.89</v>
      </c>
    </row>
    <row r="16" spans="1:16" x14ac:dyDescent="0.2">
      <c r="D16" s="17">
        <v>44216</v>
      </c>
      <c r="E16" s="1">
        <v>3.36</v>
      </c>
      <c r="F16" s="1">
        <v>3.75</v>
      </c>
      <c r="G16" s="1">
        <v>3.89</v>
      </c>
    </row>
    <row r="17" spans="4:7" x14ac:dyDescent="0.2">
      <c r="D17" s="17">
        <v>44217</v>
      </c>
      <c r="E17" s="1">
        <v>3.36</v>
      </c>
      <c r="F17" s="1">
        <v>3.75</v>
      </c>
      <c r="G17" s="1">
        <v>3.89</v>
      </c>
    </row>
    <row r="18" spans="4:7" x14ac:dyDescent="0.2">
      <c r="D18" s="17">
        <v>44218</v>
      </c>
      <c r="E18" s="1">
        <v>3.5</v>
      </c>
      <c r="F18" s="1">
        <v>3.75</v>
      </c>
      <c r="G18" s="1">
        <v>3.97</v>
      </c>
    </row>
    <row r="19" spans="4:7" x14ac:dyDescent="0.2">
      <c r="D19" s="17">
        <v>44221</v>
      </c>
      <c r="E19" s="1">
        <v>3.5</v>
      </c>
      <c r="F19" s="1">
        <v>3.75</v>
      </c>
      <c r="G19" s="1">
        <v>3.97</v>
      </c>
    </row>
    <row r="20" spans="4:7" x14ac:dyDescent="0.2">
      <c r="D20" s="17">
        <v>44222</v>
      </c>
      <c r="E20" s="1">
        <v>3.55</v>
      </c>
      <c r="F20" s="1">
        <v>3.75</v>
      </c>
      <c r="G20" s="1">
        <v>3.97</v>
      </c>
    </row>
    <row r="21" spans="4:7" x14ac:dyDescent="0.2">
      <c r="D21" s="17">
        <v>44223</v>
      </c>
      <c r="E21" s="1">
        <v>3.55</v>
      </c>
      <c r="F21" s="1">
        <v>3.75</v>
      </c>
      <c r="G21" s="1">
        <v>3.97</v>
      </c>
    </row>
    <row r="22" spans="4:7" x14ac:dyDescent="0.2">
      <c r="D22" s="17">
        <v>44224</v>
      </c>
      <c r="E22" s="1">
        <v>3.55</v>
      </c>
      <c r="F22" s="1">
        <v>3.75</v>
      </c>
      <c r="G22" s="1">
        <v>3.97</v>
      </c>
    </row>
    <row r="23" spans="4:7" x14ac:dyDescent="0.2">
      <c r="D23" s="17">
        <v>44225</v>
      </c>
      <c r="E23" s="1">
        <v>3.55</v>
      </c>
      <c r="F23" s="1">
        <v>3.75</v>
      </c>
      <c r="G23" s="1">
        <v>3.96</v>
      </c>
    </row>
    <row r="24" spans="4:7" x14ac:dyDescent="0.2">
      <c r="D24" s="17">
        <v>44228</v>
      </c>
      <c r="E24" s="1">
        <v>3.55</v>
      </c>
      <c r="F24" s="1">
        <v>3.75</v>
      </c>
      <c r="G24" s="1">
        <v>3.96</v>
      </c>
    </row>
    <row r="25" spans="4:7" x14ac:dyDescent="0.2">
      <c r="D25" s="17">
        <v>44229</v>
      </c>
      <c r="E25" s="1">
        <v>3.55</v>
      </c>
      <c r="F25" s="1">
        <v>3.75</v>
      </c>
      <c r="G25" s="1">
        <v>3.96</v>
      </c>
    </row>
    <row r="26" spans="4:7" x14ac:dyDescent="0.2">
      <c r="D26" s="17">
        <v>44230</v>
      </c>
      <c r="E26" s="1">
        <v>3.55</v>
      </c>
      <c r="F26" s="1">
        <v>3.75</v>
      </c>
      <c r="G26" s="1">
        <v>3.96</v>
      </c>
    </row>
    <row r="27" spans="4:7" x14ac:dyDescent="0.2">
      <c r="D27" s="17">
        <v>44231</v>
      </c>
      <c r="E27" s="1">
        <v>3.55</v>
      </c>
      <c r="F27" s="1">
        <v>3.75</v>
      </c>
      <c r="G27" s="1">
        <v>3.96</v>
      </c>
    </row>
    <row r="28" spans="4:7" x14ac:dyDescent="0.2">
      <c r="D28" s="17">
        <v>44232</v>
      </c>
      <c r="E28" s="1">
        <v>3.55</v>
      </c>
      <c r="F28" s="1">
        <v>3.75</v>
      </c>
      <c r="G28" s="1">
        <v>4.21</v>
      </c>
    </row>
    <row r="29" spans="4:7" x14ac:dyDescent="0.2">
      <c r="D29" s="17">
        <v>44235</v>
      </c>
      <c r="E29" s="1">
        <v>3.55</v>
      </c>
      <c r="F29" s="1">
        <v>3.75</v>
      </c>
      <c r="G29" s="1">
        <v>4.21</v>
      </c>
    </row>
    <row r="30" spans="4:7" x14ac:dyDescent="0.2">
      <c r="D30" s="17">
        <v>44236</v>
      </c>
      <c r="E30" s="1">
        <v>3.45</v>
      </c>
      <c r="F30" s="1">
        <v>3.76</v>
      </c>
      <c r="G30" s="1">
        <v>4.1399999999999997</v>
      </c>
    </row>
    <row r="31" spans="4:7" x14ac:dyDescent="0.2">
      <c r="D31" s="17">
        <v>44237</v>
      </c>
      <c r="E31" s="1">
        <v>3.45</v>
      </c>
      <c r="F31" s="1">
        <v>3.76</v>
      </c>
      <c r="G31" s="1">
        <v>4.1399999999999997</v>
      </c>
    </row>
    <row r="32" spans="4:7" x14ac:dyDescent="0.2">
      <c r="D32" s="17">
        <v>44238</v>
      </c>
      <c r="E32" s="1">
        <v>3.45</v>
      </c>
      <c r="F32" s="1">
        <v>3.76</v>
      </c>
      <c r="G32" s="1">
        <v>4.1399999999999997</v>
      </c>
    </row>
    <row r="33" spans="4:7" x14ac:dyDescent="0.2">
      <c r="D33" s="17">
        <v>44239</v>
      </c>
      <c r="E33" s="1">
        <v>3.67</v>
      </c>
      <c r="F33" s="1">
        <v>3.78</v>
      </c>
      <c r="G33" s="1">
        <v>4.03</v>
      </c>
    </row>
    <row r="34" spans="4:7" x14ac:dyDescent="0.2">
      <c r="D34" s="17">
        <v>44244</v>
      </c>
      <c r="E34" s="1">
        <v>3.77</v>
      </c>
      <c r="F34" s="1">
        <v>3.83</v>
      </c>
      <c r="G34" s="1">
        <v>4.03</v>
      </c>
    </row>
    <row r="35" spans="4:7" x14ac:dyDescent="0.2">
      <c r="D35" s="17">
        <v>44245</v>
      </c>
      <c r="E35" s="1">
        <v>3.77</v>
      </c>
      <c r="F35" s="1">
        <v>3.83</v>
      </c>
      <c r="G35" s="1">
        <v>4.03</v>
      </c>
    </row>
    <row r="36" spans="4:7" x14ac:dyDescent="0.2">
      <c r="D36" s="17">
        <v>44246</v>
      </c>
      <c r="E36" s="1">
        <v>3.87</v>
      </c>
      <c r="F36" s="1">
        <v>4.18</v>
      </c>
      <c r="G36" s="1">
        <v>4.3099999999999996</v>
      </c>
    </row>
    <row r="37" spans="4:7" x14ac:dyDescent="0.2">
      <c r="D37" s="17">
        <v>44249</v>
      </c>
      <c r="E37" s="1">
        <v>3.87</v>
      </c>
      <c r="F37" s="1">
        <v>4.18</v>
      </c>
      <c r="G37" s="1">
        <v>4.3099999999999996</v>
      </c>
    </row>
    <row r="38" spans="4:7" x14ac:dyDescent="0.2">
      <c r="D38" s="17">
        <v>44250</v>
      </c>
      <c r="E38" s="1">
        <v>3.87</v>
      </c>
      <c r="F38" s="1">
        <v>4.18</v>
      </c>
      <c r="G38" s="1">
        <v>4.3099999999999996</v>
      </c>
    </row>
    <row r="39" spans="4:7" x14ac:dyDescent="0.2">
      <c r="D39" s="17">
        <v>44251</v>
      </c>
      <c r="E39" s="1">
        <v>3.87</v>
      </c>
      <c r="F39" s="1">
        <v>4.18</v>
      </c>
      <c r="G39" s="1">
        <v>4.3099999999999996</v>
      </c>
    </row>
    <row r="40" spans="4:7" x14ac:dyDescent="0.2">
      <c r="D40" s="17">
        <v>44252</v>
      </c>
      <c r="E40" s="1">
        <v>3.87</v>
      </c>
      <c r="F40" s="1">
        <v>4.18</v>
      </c>
      <c r="G40" s="1">
        <v>4.3099999999999996</v>
      </c>
    </row>
    <row r="41" spans="4:7" x14ac:dyDescent="0.2">
      <c r="D41" s="17">
        <v>44253</v>
      </c>
      <c r="E41" s="1">
        <v>3.87</v>
      </c>
      <c r="F41" s="1">
        <v>4.18</v>
      </c>
      <c r="G41" s="1">
        <v>4.3099999999999996</v>
      </c>
    </row>
    <row r="42" spans="4:7" x14ac:dyDescent="0.2">
      <c r="D42" s="17">
        <v>44256</v>
      </c>
      <c r="E42" s="1">
        <v>3.87</v>
      </c>
      <c r="F42" s="1">
        <v>4.18</v>
      </c>
      <c r="G42" s="1">
        <v>4.3099999999999996</v>
      </c>
    </row>
    <row r="43" spans="4:7" x14ac:dyDescent="0.2">
      <c r="D43" s="17">
        <v>44257</v>
      </c>
      <c r="E43" s="1">
        <v>3.87</v>
      </c>
      <c r="F43" s="1">
        <v>4.18</v>
      </c>
      <c r="G43" s="1">
        <v>4.3099999999999996</v>
      </c>
    </row>
    <row r="44" spans="4:7" x14ac:dyDescent="0.2">
      <c r="D44" s="17">
        <v>44258</v>
      </c>
      <c r="E44" s="1">
        <v>3.87</v>
      </c>
      <c r="F44" s="1">
        <v>4.18</v>
      </c>
      <c r="G44" s="1">
        <v>4.3099999999999996</v>
      </c>
    </row>
    <row r="45" spans="4:7" x14ac:dyDescent="0.2">
      <c r="D45" s="17">
        <v>44259</v>
      </c>
      <c r="E45" s="1">
        <v>3.87</v>
      </c>
      <c r="F45" s="1">
        <v>4.18</v>
      </c>
      <c r="G45" s="1">
        <v>4.3099999999999996</v>
      </c>
    </row>
    <row r="46" spans="4:7" x14ac:dyDescent="0.2">
      <c r="D46" s="17">
        <v>44260</v>
      </c>
      <c r="E46" s="1">
        <v>3.87</v>
      </c>
      <c r="F46" s="1">
        <v>4.18</v>
      </c>
      <c r="G46" s="1">
        <v>4.5199999999999996</v>
      </c>
    </row>
    <row r="47" spans="4:7" x14ac:dyDescent="0.2">
      <c r="D47" s="17">
        <v>44263</v>
      </c>
      <c r="E47" s="1">
        <v>3.87</v>
      </c>
      <c r="F47" s="1">
        <v>4.3099999999999996</v>
      </c>
      <c r="G47" s="1">
        <v>4.63</v>
      </c>
    </row>
    <row r="48" spans="4:7" x14ac:dyDescent="0.2">
      <c r="D48" s="17">
        <v>44264</v>
      </c>
      <c r="E48" s="1">
        <v>3.87</v>
      </c>
      <c r="F48" s="1">
        <v>4.3099999999999996</v>
      </c>
      <c r="G48" s="1">
        <v>4.63</v>
      </c>
    </row>
    <row r="49" spans="4:7" x14ac:dyDescent="0.2">
      <c r="D49" s="17">
        <v>44265</v>
      </c>
      <c r="E49" s="1">
        <v>3.87</v>
      </c>
      <c r="F49" s="1">
        <v>4.3099999999999996</v>
      </c>
      <c r="G49" s="1">
        <v>4.63</v>
      </c>
    </row>
    <row r="50" spans="4:7" x14ac:dyDescent="0.2">
      <c r="D50" s="17">
        <v>44266</v>
      </c>
      <c r="E50" s="1">
        <v>4.33</v>
      </c>
      <c r="F50" s="1">
        <v>4.8499999999999996</v>
      </c>
      <c r="G50" s="1">
        <v>5.42</v>
      </c>
    </row>
    <row r="51" spans="4:7" x14ac:dyDescent="0.2">
      <c r="D51" s="17">
        <v>44267</v>
      </c>
      <c r="E51" s="1">
        <v>4.92</v>
      </c>
      <c r="F51" s="1">
        <v>5.12</v>
      </c>
      <c r="G51" s="1">
        <v>5.54</v>
      </c>
    </row>
    <row r="52" spans="4:7" x14ac:dyDescent="0.2">
      <c r="D52" s="17">
        <v>44270</v>
      </c>
      <c r="E52" s="1">
        <v>4.92</v>
      </c>
      <c r="F52" s="1">
        <v>5.12</v>
      </c>
      <c r="G52" s="1">
        <v>5.54</v>
      </c>
    </row>
    <row r="53" spans="4:7" x14ac:dyDescent="0.2">
      <c r="D53" s="17">
        <v>44272</v>
      </c>
      <c r="E53" s="1">
        <v>4.92</v>
      </c>
      <c r="F53" s="1">
        <v>5.12</v>
      </c>
      <c r="G53" s="1">
        <v>5.54</v>
      </c>
    </row>
    <row r="54" spans="4:7" x14ac:dyDescent="0.2">
      <c r="D54" s="17">
        <v>44271</v>
      </c>
      <c r="E54" s="1">
        <v>4.92</v>
      </c>
      <c r="F54" s="1">
        <v>5.12</v>
      </c>
      <c r="G54" s="1">
        <v>5.54</v>
      </c>
    </row>
    <row r="55" spans="4:7" x14ac:dyDescent="0.2">
      <c r="D55" s="17">
        <v>44273</v>
      </c>
      <c r="E55" s="1">
        <v>4.92</v>
      </c>
      <c r="F55" s="1">
        <v>5.12</v>
      </c>
      <c r="G55" s="1">
        <v>5.54</v>
      </c>
    </row>
    <row r="56" spans="4:7" x14ac:dyDescent="0.2">
      <c r="D56" s="17">
        <v>44274</v>
      </c>
      <c r="E56" s="1">
        <v>4.92</v>
      </c>
      <c r="F56" s="1">
        <v>5.15</v>
      </c>
      <c r="G56" s="1">
        <v>5.54</v>
      </c>
    </row>
    <row r="57" spans="4:7" x14ac:dyDescent="0.2">
      <c r="D57" s="17">
        <v>44277</v>
      </c>
      <c r="E57" s="1">
        <v>4.92</v>
      </c>
      <c r="F57" s="1">
        <v>5.15</v>
      </c>
      <c r="G57" s="1">
        <v>5.54</v>
      </c>
    </row>
    <row r="58" spans="4:7" x14ac:dyDescent="0.2">
      <c r="D58" s="17">
        <v>44278</v>
      </c>
      <c r="E58" s="1">
        <v>4.92</v>
      </c>
      <c r="F58" s="1">
        <v>5.15</v>
      </c>
      <c r="G58" s="1">
        <v>5.54</v>
      </c>
    </row>
    <row r="59" spans="4:7" x14ac:dyDescent="0.2">
      <c r="D59" s="17">
        <v>44279</v>
      </c>
      <c r="E59" s="1">
        <v>4.92</v>
      </c>
      <c r="F59" s="1">
        <v>5.15</v>
      </c>
      <c r="G59" s="1">
        <v>5.54</v>
      </c>
    </row>
    <row r="60" spans="4:7" x14ac:dyDescent="0.2">
      <c r="D60" s="17">
        <v>44280</v>
      </c>
      <c r="E60" s="1">
        <v>4.92</v>
      </c>
      <c r="F60" s="1">
        <v>5.15</v>
      </c>
      <c r="G60" s="1">
        <v>5.54</v>
      </c>
    </row>
    <row r="61" spans="4:7" x14ac:dyDescent="0.2">
      <c r="D61" s="17">
        <v>44281</v>
      </c>
      <c r="E61" s="1">
        <v>4.92</v>
      </c>
      <c r="F61" s="1">
        <v>5.15</v>
      </c>
      <c r="G61" s="1">
        <v>5.54</v>
      </c>
    </row>
    <row r="62" spans="4:7" x14ac:dyDescent="0.2">
      <c r="D62" s="17">
        <v>44284</v>
      </c>
      <c r="E62" s="1">
        <v>4.92</v>
      </c>
      <c r="F62" s="1">
        <v>5.15</v>
      </c>
      <c r="G62" s="1">
        <v>5.54</v>
      </c>
    </row>
    <row r="63" spans="4:7" x14ac:dyDescent="0.2">
      <c r="D63" s="17">
        <v>44286</v>
      </c>
      <c r="E63" s="1">
        <v>4.9241999999999999</v>
      </c>
      <c r="F63" s="1">
        <v>5.1481000000000003</v>
      </c>
      <c r="G63" s="1">
        <v>5.5382999999999996</v>
      </c>
    </row>
    <row r="64" spans="4:7" x14ac:dyDescent="0.2">
      <c r="D64" s="17">
        <v>44287</v>
      </c>
      <c r="E64" s="1">
        <v>4.9241999999999999</v>
      </c>
      <c r="F64" s="1">
        <v>5.1378000000000004</v>
      </c>
      <c r="G64" s="1">
        <v>5.5382999999999996</v>
      </c>
    </row>
    <row r="65" spans="4:7" x14ac:dyDescent="0.2">
      <c r="D65" s="17">
        <v>44291</v>
      </c>
      <c r="E65" s="1">
        <v>4.9241999999999999</v>
      </c>
      <c r="F65" s="1">
        <v>5.1378000000000004</v>
      </c>
      <c r="G65" s="1">
        <v>5.5382999999999996</v>
      </c>
    </row>
    <row r="66" spans="4:7" x14ac:dyDescent="0.2">
      <c r="D66" s="17">
        <v>44292</v>
      </c>
      <c r="E66" s="1">
        <v>4.9241999999999999</v>
      </c>
      <c r="F66" s="1">
        <v>5.1378000000000004</v>
      </c>
      <c r="G66" s="1">
        <v>5.5382999999999996</v>
      </c>
    </row>
    <row r="67" spans="4:7" x14ac:dyDescent="0.2">
      <c r="D67" s="17">
        <v>44293</v>
      </c>
      <c r="E67" s="1">
        <v>4.9241999999999999</v>
      </c>
      <c r="F67" s="1">
        <v>5.1378000000000004</v>
      </c>
      <c r="G67" s="1">
        <v>5.5382999999999996</v>
      </c>
    </row>
    <row r="68" spans="4:7" x14ac:dyDescent="0.2">
      <c r="D68" s="17">
        <v>44294</v>
      </c>
      <c r="E68" s="1">
        <v>4.9241999999999999</v>
      </c>
      <c r="F68" s="1">
        <v>5.1378000000000004</v>
      </c>
      <c r="G68" s="1">
        <v>5.5382999999999996</v>
      </c>
    </row>
    <row r="69" spans="4:7" x14ac:dyDescent="0.2">
      <c r="D69" s="17">
        <v>44295</v>
      </c>
      <c r="E69" s="1">
        <v>4.6939000000000002</v>
      </c>
      <c r="F69" s="1">
        <v>4.9866999999999999</v>
      </c>
      <c r="G69" s="1">
        <v>5.5317999999999996</v>
      </c>
    </row>
    <row r="70" spans="4:7" x14ac:dyDescent="0.2">
      <c r="D70" s="17">
        <v>44298</v>
      </c>
      <c r="E70" s="1">
        <v>4.6939000000000002</v>
      </c>
      <c r="F70" s="1">
        <v>5.1028000000000002</v>
      </c>
      <c r="G70" s="1">
        <v>5.5117000000000003</v>
      </c>
    </row>
    <row r="71" spans="4:7" x14ac:dyDescent="0.2">
      <c r="D71" s="17">
        <v>44299</v>
      </c>
      <c r="E71" s="1">
        <v>4.6939000000000002</v>
      </c>
      <c r="F71" s="1">
        <v>5.1028000000000002</v>
      </c>
      <c r="G71" s="1">
        <v>5.5117000000000003</v>
      </c>
    </row>
    <row r="72" spans="4:7" x14ac:dyDescent="0.2">
      <c r="D72" s="17">
        <v>44300</v>
      </c>
      <c r="E72" s="1">
        <v>4.6939000000000002</v>
      </c>
      <c r="F72" s="1">
        <v>5.1028000000000002</v>
      </c>
      <c r="G72" s="1">
        <v>5.5117000000000003</v>
      </c>
    </row>
    <row r="73" spans="4:7" x14ac:dyDescent="0.2">
      <c r="D73" s="17">
        <v>44301</v>
      </c>
      <c r="E73" s="1">
        <v>4.8196000000000003</v>
      </c>
      <c r="F73" s="1">
        <v>5.1657000000000002</v>
      </c>
      <c r="G73" s="1">
        <v>5.5117000000000003</v>
      </c>
    </row>
    <row r="74" spans="4:7" x14ac:dyDescent="0.2">
      <c r="D74" s="17">
        <v>44302</v>
      </c>
      <c r="E74" s="1">
        <v>5.1018999999999997</v>
      </c>
      <c r="F74" s="1">
        <v>5.2595000000000001</v>
      </c>
      <c r="G74" s="1">
        <v>5.4169999999999998</v>
      </c>
    </row>
    <row r="75" spans="4:7" x14ac:dyDescent="0.2">
      <c r="D75" s="17">
        <v>44305</v>
      </c>
      <c r="E75" s="1">
        <v>5.1018999999999997</v>
      </c>
      <c r="F75" s="1">
        <v>5.2595000000000001</v>
      </c>
      <c r="G75" s="1">
        <v>5.4169999999999998</v>
      </c>
    </row>
    <row r="76" spans="4:7" x14ac:dyDescent="0.2">
      <c r="D76" s="17">
        <v>44306</v>
      </c>
      <c r="E76" s="1">
        <v>5.1018999999999997</v>
      </c>
      <c r="F76" s="1">
        <v>5.2595000000000001</v>
      </c>
      <c r="G76" s="1">
        <v>5.4169999999999998</v>
      </c>
    </row>
    <row r="77" spans="4:7" x14ac:dyDescent="0.2">
      <c r="D77" s="17">
        <v>44308</v>
      </c>
      <c r="E77" s="1">
        <v>5.1018999999999997</v>
      </c>
      <c r="F77" s="1">
        <v>5.2595000000000001</v>
      </c>
      <c r="G77" s="1">
        <v>5.4169999999999998</v>
      </c>
    </row>
    <row r="78" spans="4:7" x14ac:dyDescent="0.2">
      <c r="D78" s="17">
        <v>44309</v>
      </c>
      <c r="E78" s="1">
        <v>4.9341999999999997</v>
      </c>
      <c r="F78" s="1">
        <v>5.2492000000000001</v>
      </c>
      <c r="G78" s="1">
        <v>5.4897</v>
      </c>
    </row>
    <row r="79" spans="4:7" x14ac:dyDescent="0.2">
      <c r="D79" s="17">
        <v>44312</v>
      </c>
      <c r="E79" s="1">
        <v>4.9341999999999997</v>
      </c>
      <c r="F79" s="1">
        <v>5.2492000000000001</v>
      </c>
      <c r="G79" s="1">
        <v>5.4897</v>
      </c>
    </row>
    <row r="80" spans="4:7" x14ac:dyDescent="0.2">
      <c r="D80" s="17">
        <v>44313</v>
      </c>
      <c r="E80" s="1">
        <v>4.9341999999999997</v>
      </c>
      <c r="F80" s="1">
        <v>5.2492000000000001</v>
      </c>
      <c r="G80" s="1">
        <v>5.4897</v>
      </c>
    </row>
    <row r="81" spans="4:7" x14ac:dyDescent="0.2">
      <c r="D81" s="17">
        <v>44314</v>
      </c>
      <c r="E81" s="1">
        <v>4.9341999999999997</v>
      </c>
      <c r="F81" s="1">
        <v>5.2492000000000001</v>
      </c>
      <c r="G81" s="1">
        <v>5.4897</v>
      </c>
    </row>
    <row r="82" spans="4:7" x14ac:dyDescent="0.2">
      <c r="D82" s="17">
        <v>44315</v>
      </c>
      <c r="E82" s="1">
        <v>4.9341999999999997</v>
      </c>
      <c r="F82" s="1">
        <v>5.2492000000000001</v>
      </c>
      <c r="G82" s="1">
        <v>5.4897</v>
      </c>
    </row>
    <row r="83" spans="4:7" x14ac:dyDescent="0.2">
      <c r="D83" s="17">
        <v>44316</v>
      </c>
      <c r="E83" s="1">
        <v>4.9341999999999997</v>
      </c>
      <c r="F83" s="1">
        <v>5.2766999999999999</v>
      </c>
      <c r="G83" s="1">
        <v>5.3745000000000003</v>
      </c>
    </row>
    <row r="84" spans="4:7" x14ac:dyDescent="0.2">
      <c r="D84" s="17">
        <v>44319</v>
      </c>
      <c r="E84" s="1">
        <v>4.9341999999999997</v>
      </c>
      <c r="F84" s="1">
        <v>5.2766999999999999</v>
      </c>
      <c r="G84" s="1">
        <v>5.3745000000000003</v>
      </c>
    </row>
    <row r="85" spans="4:7" x14ac:dyDescent="0.2">
      <c r="D85" s="17">
        <v>44320</v>
      </c>
      <c r="E85" s="1">
        <v>4.9341999999999997</v>
      </c>
      <c r="F85" s="1">
        <v>5.2766999999999999</v>
      </c>
      <c r="G85" s="1">
        <v>5.3745000000000003</v>
      </c>
    </row>
    <row r="86" spans="4:7" x14ac:dyDescent="0.2">
      <c r="D86" s="17">
        <v>44321</v>
      </c>
      <c r="E86" s="1">
        <v>4.9341999999999997</v>
      </c>
      <c r="F86" s="1">
        <v>5.2766999999999999</v>
      </c>
      <c r="G86" s="1">
        <v>5.3745000000000003</v>
      </c>
    </row>
    <row r="87" spans="4:7" x14ac:dyDescent="0.2">
      <c r="D87" s="17">
        <v>44322</v>
      </c>
      <c r="E87" s="1">
        <v>4.9341999999999997</v>
      </c>
      <c r="F87" s="1">
        <v>5.2766999999999999</v>
      </c>
      <c r="G87" s="1">
        <v>5.3745000000000003</v>
      </c>
    </row>
    <row r="88" spans="4:7" x14ac:dyDescent="0.2">
      <c r="D88" s="17">
        <v>44323</v>
      </c>
      <c r="E88" s="1">
        <v>4.9341999999999997</v>
      </c>
      <c r="F88" s="1">
        <v>5.2766999999999999</v>
      </c>
      <c r="G88" s="1">
        <v>5.4374000000000002</v>
      </c>
    </row>
    <row r="89" spans="4:7" x14ac:dyDescent="0.2">
      <c r="D89" s="17">
        <v>44326</v>
      </c>
      <c r="E89" s="1">
        <v>4.9341999999999997</v>
      </c>
      <c r="F89" s="1">
        <v>5.2766999999999999</v>
      </c>
      <c r="G89" s="1">
        <v>5.4374000000000002</v>
      </c>
    </row>
    <row r="90" spans="4:7" x14ac:dyDescent="0.2">
      <c r="D90" s="17">
        <v>44327</v>
      </c>
      <c r="E90" s="1">
        <v>5.1230000000000002</v>
      </c>
      <c r="F90" s="1">
        <v>5.3236999999999997</v>
      </c>
      <c r="G90" s="1">
        <v>5.6680999999999999</v>
      </c>
    </row>
    <row r="91" spans="4:7" x14ac:dyDescent="0.2">
      <c r="D91" s="17">
        <v>44328</v>
      </c>
      <c r="E91" s="1">
        <v>5.1230000000000002</v>
      </c>
      <c r="F91" s="1">
        <v>5.3236999999999997</v>
      </c>
      <c r="G91" s="1">
        <v>5.6680999999999999</v>
      </c>
    </row>
    <row r="92" spans="4:7" x14ac:dyDescent="0.2">
      <c r="D92" s="17">
        <v>44329</v>
      </c>
      <c r="E92" s="1">
        <v>5.1230000000000002</v>
      </c>
      <c r="F92" s="1">
        <v>5.3236999999999997</v>
      </c>
      <c r="G92" s="1">
        <v>5.6680999999999999</v>
      </c>
    </row>
    <row r="93" spans="4:7" x14ac:dyDescent="0.2">
      <c r="D93" s="17">
        <v>44330</v>
      </c>
      <c r="E93" s="1">
        <v>5.2804000000000002</v>
      </c>
      <c r="F93" s="1">
        <v>5.4268999999999998</v>
      </c>
      <c r="G93" s="1">
        <v>5.6680999999999999</v>
      </c>
    </row>
    <row r="94" spans="4:7" x14ac:dyDescent="0.2">
      <c r="D94" s="17">
        <v>44333</v>
      </c>
      <c r="E94" s="1">
        <v>5.2804000000000002</v>
      </c>
      <c r="F94" s="1">
        <v>5.4268999999999998</v>
      </c>
      <c r="G94" s="1">
        <v>5.6680999999999999</v>
      </c>
    </row>
    <row r="95" spans="4:7" x14ac:dyDescent="0.2">
      <c r="D95" s="17">
        <v>44334</v>
      </c>
      <c r="E95" s="1">
        <v>5.2804000000000002</v>
      </c>
      <c r="F95" s="1">
        <v>5.4268999999999998</v>
      </c>
      <c r="G95" s="1">
        <v>5.6680999999999999</v>
      </c>
    </row>
    <row r="96" spans="4:7" x14ac:dyDescent="0.2">
      <c r="D96" s="17">
        <v>44335</v>
      </c>
      <c r="E96" s="1">
        <v>5.2804000000000002</v>
      </c>
      <c r="F96" s="1">
        <v>5.4268999999999998</v>
      </c>
      <c r="G96" s="1">
        <v>5.6680999999999999</v>
      </c>
    </row>
    <row r="97" spans="4:7" x14ac:dyDescent="0.2">
      <c r="D97" s="17">
        <v>44336</v>
      </c>
      <c r="E97" s="1">
        <v>5.2804000000000002</v>
      </c>
      <c r="F97" s="1">
        <v>5.4268999999999998</v>
      </c>
      <c r="G97" s="1">
        <v>5.6680999999999999</v>
      </c>
    </row>
    <row r="98" spans="4:7" x14ac:dyDescent="0.2">
      <c r="D98" s="17">
        <v>44337</v>
      </c>
      <c r="E98" s="1">
        <v>5.2804000000000002</v>
      </c>
      <c r="F98" s="1">
        <v>5.4268999999999998</v>
      </c>
      <c r="G98" s="1">
        <v>5.9424000000000001</v>
      </c>
    </row>
    <row r="99" spans="4:7" x14ac:dyDescent="0.2">
      <c r="D99" s="17">
        <v>44340</v>
      </c>
      <c r="E99" s="1">
        <v>5.2804000000000002</v>
      </c>
      <c r="F99" s="1">
        <v>5.4268999999999998</v>
      </c>
      <c r="G99" s="1">
        <v>5.9424000000000001</v>
      </c>
    </row>
    <row r="100" spans="4:7" x14ac:dyDescent="0.2">
      <c r="D100" s="17">
        <v>44341</v>
      </c>
      <c r="E100" s="1">
        <v>5.2804000000000002</v>
      </c>
      <c r="F100" s="1">
        <v>5.4268999999999998</v>
      </c>
      <c r="G100" s="1">
        <v>5.9424000000000001</v>
      </c>
    </row>
    <row r="101" spans="4:7" x14ac:dyDescent="0.2">
      <c r="D101" s="17">
        <v>44342</v>
      </c>
      <c r="E101" s="1">
        <v>5.2804000000000002</v>
      </c>
      <c r="F101" s="1">
        <v>5.4268999999999998</v>
      </c>
      <c r="G101" s="1">
        <v>5.9424000000000001</v>
      </c>
    </row>
    <row r="102" spans="4:7" x14ac:dyDescent="0.2">
      <c r="D102" s="17">
        <v>44343</v>
      </c>
      <c r="E102" s="1">
        <v>5.2804000000000002</v>
      </c>
      <c r="F102" s="1">
        <v>5.4268999999999998</v>
      </c>
      <c r="G102" s="1">
        <v>5.9424000000000001</v>
      </c>
    </row>
    <row r="103" spans="4:7" x14ac:dyDescent="0.2">
      <c r="D103" s="17">
        <v>44344</v>
      </c>
      <c r="E103" s="1">
        <v>5.2804000000000002</v>
      </c>
      <c r="F103" s="1">
        <v>5.4268999999999998</v>
      </c>
      <c r="G103" s="1">
        <v>6.0907</v>
      </c>
    </row>
    <row r="104" spans="4:7" x14ac:dyDescent="0.2">
      <c r="D104" s="17">
        <v>44347</v>
      </c>
      <c r="E104" s="1">
        <v>5.4367000000000001</v>
      </c>
      <c r="F104" s="1">
        <v>5.9847000000000001</v>
      </c>
      <c r="G104" s="1">
        <v>6.0907</v>
      </c>
    </row>
    <row r="105" spans="4:7" x14ac:dyDescent="0.2">
      <c r="D105" s="17">
        <v>44285</v>
      </c>
      <c r="E105" s="1">
        <v>4.92</v>
      </c>
      <c r="F105" s="1">
        <v>5.15</v>
      </c>
      <c r="G105" s="1">
        <v>5.54</v>
      </c>
    </row>
    <row r="106" spans="4:7" x14ac:dyDescent="0.2">
      <c r="D106" s="17">
        <v>44348</v>
      </c>
      <c r="E106" s="1">
        <v>5.4367000000000001</v>
      </c>
      <c r="F106" s="1">
        <v>5.9847000000000001</v>
      </c>
      <c r="G106" s="1">
        <v>6.0907</v>
      </c>
    </row>
    <row r="107" spans="4:7" x14ac:dyDescent="0.2">
      <c r="D107" s="17">
        <v>44349</v>
      </c>
      <c r="E107" s="1">
        <v>5.9318</v>
      </c>
      <c r="F107" s="1">
        <v>5.9847000000000001</v>
      </c>
      <c r="G107" s="1">
        <v>6.0907</v>
      </c>
    </row>
    <row r="108" spans="4:7" x14ac:dyDescent="0.2">
      <c r="D108" s="17">
        <v>44351</v>
      </c>
      <c r="E108" s="1">
        <v>5.6692</v>
      </c>
      <c r="F108" s="1">
        <v>5.9844999999999997</v>
      </c>
      <c r="G108" s="1">
        <v>6.1645000000000003</v>
      </c>
    </row>
    <row r="109" spans="4:7" x14ac:dyDescent="0.2">
      <c r="D109" s="17">
        <v>44354</v>
      </c>
      <c r="E109" s="1">
        <v>5.6692</v>
      </c>
      <c r="F109" s="1">
        <v>5.9844999999999997</v>
      </c>
      <c r="G109" s="1">
        <v>6.1645000000000003</v>
      </c>
    </row>
    <row r="110" spans="4:7" x14ac:dyDescent="0.2">
      <c r="D110" s="17">
        <v>44355</v>
      </c>
      <c r="E110" s="1">
        <v>5.6692</v>
      </c>
      <c r="F110" s="1">
        <v>5.9844999999999997</v>
      </c>
      <c r="G110" s="1">
        <v>6.1645000000000003</v>
      </c>
    </row>
    <row r="111" spans="4:7" x14ac:dyDescent="0.2">
      <c r="D111" s="17">
        <v>44356</v>
      </c>
      <c r="E111" s="1">
        <v>5.1632999999999996</v>
      </c>
      <c r="F111" s="1">
        <v>5.9631999999999996</v>
      </c>
      <c r="G111" s="1">
        <v>6.2381000000000002</v>
      </c>
    </row>
    <row r="112" spans="4:7" x14ac:dyDescent="0.2">
      <c r="D112" s="17">
        <v>44357</v>
      </c>
      <c r="E112" s="1">
        <v>5.1632999999999996</v>
      </c>
      <c r="F112" s="1">
        <v>6.0316999999999998</v>
      </c>
      <c r="G112" s="1">
        <v>6.5029000000000003</v>
      </c>
    </row>
    <row r="113" spans="4:7" x14ac:dyDescent="0.2">
      <c r="D113" s="17">
        <v>44358</v>
      </c>
      <c r="E113" s="1">
        <v>5.1632999999999996</v>
      </c>
      <c r="F113" s="1">
        <v>6.3018000000000001</v>
      </c>
      <c r="G113" s="1">
        <v>6.5015999999999998</v>
      </c>
    </row>
    <row r="114" spans="4:7" x14ac:dyDescent="0.2">
      <c r="D114" s="17">
        <v>44361</v>
      </c>
      <c r="E114" s="1">
        <v>5.3204000000000002</v>
      </c>
      <c r="F114" s="1">
        <v>6.3018000000000001</v>
      </c>
      <c r="G114" s="1">
        <v>6.5349000000000004</v>
      </c>
    </row>
    <row r="115" spans="4:7" x14ac:dyDescent="0.2">
      <c r="D115" s="17">
        <v>44362</v>
      </c>
      <c r="E115" s="1">
        <v>5.3204000000000002</v>
      </c>
      <c r="F115" s="1">
        <v>6.3018000000000001</v>
      </c>
      <c r="G115" s="1">
        <v>6.5349000000000004</v>
      </c>
    </row>
    <row r="116" spans="4:7" x14ac:dyDescent="0.2">
      <c r="D116" s="17">
        <v>44363</v>
      </c>
      <c r="E116" s="1">
        <v>5.3204000000000002</v>
      </c>
      <c r="F116" s="1">
        <v>6.3018000000000001</v>
      </c>
      <c r="G116" s="1">
        <v>6.5349000000000004</v>
      </c>
    </row>
    <row r="117" spans="4:7" x14ac:dyDescent="0.2">
      <c r="D117" s="17">
        <v>44364</v>
      </c>
      <c r="E117" s="1">
        <v>5.2889999999999997</v>
      </c>
      <c r="F117" s="1">
        <v>6.3018000000000001</v>
      </c>
      <c r="G117" s="1">
        <v>6.5349000000000004</v>
      </c>
    </row>
    <row r="118" spans="4:7" x14ac:dyDescent="0.2">
      <c r="D118" s="17">
        <v>44365</v>
      </c>
      <c r="E118" s="1">
        <v>5.2889999999999997</v>
      </c>
      <c r="F118" s="1">
        <v>6.2329999999999997</v>
      </c>
      <c r="G118" s="1">
        <v>6.5015999999999998</v>
      </c>
    </row>
    <row r="119" spans="4:7" x14ac:dyDescent="0.2">
      <c r="D119" s="17">
        <v>44368</v>
      </c>
      <c r="E119" s="1">
        <v>5.2889999999999997</v>
      </c>
      <c r="F119" s="1">
        <v>6.2329999999999997</v>
      </c>
      <c r="G119" s="1">
        <v>6.5015999999999998</v>
      </c>
    </row>
    <row r="120" spans="4:7" x14ac:dyDescent="0.2">
      <c r="D120" s="17">
        <v>44369</v>
      </c>
      <c r="E120" s="1">
        <v>5.6470000000000002</v>
      </c>
      <c r="F120" s="1">
        <v>6.2329999999999997</v>
      </c>
      <c r="G120" s="1">
        <v>6.5015999999999998</v>
      </c>
    </row>
    <row r="121" spans="4:7" x14ac:dyDescent="0.2">
      <c r="D121" s="17">
        <v>44370</v>
      </c>
      <c r="E121" s="1">
        <v>5.6470000000000002</v>
      </c>
      <c r="F121" s="1">
        <v>6.2329999999999997</v>
      </c>
      <c r="G121" s="1">
        <v>6.5015999999999998</v>
      </c>
    </row>
    <row r="122" spans="4:7" x14ac:dyDescent="0.2">
      <c r="D122" s="17">
        <v>44371</v>
      </c>
      <c r="E122" s="1">
        <v>5.6470000000000002</v>
      </c>
      <c r="F122" s="1">
        <v>6.2329999999999997</v>
      </c>
      <c r="G122" s="1">
        <v>6.5015999999999998</v>
      </c>
    </row>
    <row r="123" spans="4:7" x14ac:dyDescent="0.2">
      <c r="D123" s="17">
        <v>44372</v>
      </c>
      <c r="E123" s="1">
        <v>5.6470000000000002</v>
      </c>
      <c r="F123" s="1">
        <v>6.3440000000000003</v>
      </c>
      <c r="G123" s="1">
        <v>6.6618000000000004</v>
      </c>
    </row>
    <row r="124" spans="4:7" x14ac:dyDescent="0.2">
      <c r="D124" s="17">
        <v>44375</v>
      </c>
      <c r="E124" s="1">
        <v>5.6470000000000002</v>
      </c>
      <c r="F124" s="1">
        <v>6.3440000000000003</v>
      </c>
      <c r="G124" s="1">
        <v>6.6618000000000004</v>
      </c>
    </row>
    <row r="125" spans="4:7" x14ac:dyDescent="0.2">
      <c r="D125" s="17">
        <v>44376</v>
      </c>
      <c r="E125" s="1">
        <v>5.6470000000000002</v>
      </c>
      <c r="F125" s="1">
        <v>6.3440000000000003</v>
      </c>
      <c r="G125" s="1">
        <v>6.6618000000000004</v>
      </c>
    </row>
    <row r="126" spans="4:7" x14ac:dyDescent="0.2">
      <c r="D126" s="17">
        <v>44377</v>
      </c>
      <c r="E126" s="1">
        <v>5.6470000000000002</v>
      </c>
      <c r="F126" s="1">
        <v>6.3440000000000003</v>
      </c>
      <c r="G126" s="1">
        <v>6.6618000000000004</v>
      </c>
    </row>
    <row r="127" spans="4:7" x14ac:dyDescent="0.2">
      <c r="D127" s="17">
        <v>44378</v>
      </c>
      <c r="E127" s="1">
        <v>5.6470000000000002</v>
      </c>
      <c r="F127" s="1">
        <v>6.3440000000000003</v>
      </c>
      <c r="G127" s="1">
        <v>6.6618000000000004</v>
      </c>
    </row>
    <row r="128" spans="4:7" x14ac:dyDescent="0.2">
      <c r="D128" s="17">
        <v>44379</v>
      </c>
      <c r="E128" s="1">
        <v>5.6470000000000002</v>
      </c>
      <c r="F128" s="1">
        <v>6.4981999999999998</v>
      </c>
      <c r="G128" s="1">
        <v>6.8</v>
      </c>
    </row>
    <row r="129" spans="4:7" x14ac:dyDescent="0.2">
      <c r="D129" s="17">
        <v>44382</v>
      </c>
      <c r="E129" s="1">
        <v>5.6470000000000002</v>
      </c>
      <c r="F129" s="1">
        <v>6.4981999999999998</v>
      </c>
      <c r="G129" s="1">
        <v>6.8</v>
      </c>
    </row>
    <row r="130" spans="4:7" x14ac:dyDescent="0.2">
      <c r="D130" s="17">
        <v>44383</v>
      </c>
      <c r="E130" s="1">
        <v>5.6470000000000002</v>
      </c>
      <c r="F130" s="1">
        <v>6.4981999999999998</v>
      </c>
      <c r="G130" s="1">
        <v>6.8</v>
      </c>
    </row>
    <row r="131" spans="4:7" x14ac:dyDescent="0.2">
      <c r="D131" s="17">
        <v>44384</v>
      </c>
      <c r="E131" s="1">
        <v>5.6470000000000002</v>
      </c>
      <c r="F131" s="1">
        <v>6.4981999999999998</v>
      </c>
      <c r="G131" s="1">
        <v>6.8</v>
      </c>
    </row>
    <row r="132" spans="4:7" x14ac:dyDescent="0.2">
      <c r="D132" s="17">
        <v>44385</v>
      </c>
      <c r="E132" s="1">
        <v>6.3883999999999999</v>
      </c>
      <c r="F132" s="1">
        <v>6.7203999999999997</v>
      </c>
      <c r="G132" s="1">
        <v>6.8102999999999998</v>
      </c>
    </row>
    <row r="133" spans="4:7" x14ac:dyDescent="0.2">
      <c r="D133" s="17">
        <v>44386</v>
      </c>
      <c r="E133" s="1">
        <v>6.3883999999999999</v>
      </c>
      <c r="F133" s="1">
        <v>6.7415000000000003</v>
      </c>
      <c r="G133" s="1">
        <v>6.8531000000000004</v>
      </c>
    </row>
    <row r="134" spans="4:7" x14ac:dyDescent="0.2">
      <c r="D134" s="17">
        <v>44389</v>
      </c>
      <c r="E134" s="1">
        <v>6.3883999999999999</v>
      </c>
      <c r="F134" s="1">
        <v>6.7678000000000003</v>
      </c>
      <c r="G134" s="1">
        <v>6.8531000000000004</v>
      </c>
    </row>
    <row r="135" spans="4:7" x14ac:dyDescent="0.2">
      <c r="D135" s="17">
        <v>44390</v>
      </c>
      <c r="E135" s="1">
        <v>6.3883999999999999</v>
      </c>
      <c r="F135" s="1">
        <v>6.7678000000000003</v>
      </c>
      <c r="G135" s="1">
        <v>6.8531000000000004</v>
      </c>
    </row>
    <row r="136" spans="4:7" x14ac:dyDescent="0.2">
      <c r="D136" s="17">
        <v>44391</v>
      </c>
      <c r="E136" s="1">
        <v>6.3883999999999999</v>
      </c>
      <c r="F136" s="1">
        <v>6.7678000000000003</v>
      </c>
      <c r="G136" s="1">
        <v>6.8531000000000004</v>
      </c>
    </row>
    <row r="137" spans="4:7" x14ac:dyDescent="0.2">
      <c r="D137" s="17">
        <v>44392</v>
      </c>
      <c r="E137" s="1">
        <v>6.3883999999999999</v>
      </c>
      <c r="F137" s="1">
        <v>6.7678000000000003</v>
      </c>
      <c r="G137" s="1">
        <v>6.8531000000000004</v>
      </c>
    </row>
    <row r="138" spans="4:7" x14ac:dyDescent="0.2">
      <c r="D138" s="17">
        <v>44393</v>
      </c>
      <c r="E138" s="1">
        <v>6.3883999999999999</v>
      </c>
      <c r="F138" s="1">
        <v>6.7678000000000003</v>
      </c>
      <c r="G138" s="1">
        <v>6.9593999999999996</v>
      </c>
    </row>
    <row r="139" spans="4:7" x14ac:dyDescent="0.2">
      <c r="D139" s="17">
        <v>44396</v>
      </c>
      <c r="E139" s="1">
        <v>6.3883999999999999</v>
      </c>
      <c r="F139" s="1">
        <v>6.7678000000000003</v>
      </c>
      <c r="G139" s="1">
        <v>6.9593999999999996</v>
      </c>
    </row>
    <row r="140" spans="4:7" x14ac:dyDescent="0.2">
      <c r="D140" s="17">
        <v>44397</v>
      </c>
      <c r="E140" s="1">
        <v>6.3883999999999999</v>
      </c>
      <c r="F140" s="1">
        <v>6.7678000000000003</v>
      </c>
      <c r="G140" s="1">
        <v>6.9593999999999996</v>
      </c>
    </row>
    <row r="141" spans="4:7" x14ac:dyDescent="0.2">
      <c r="D141" s="17">
        <v>44398</v>
      </c>
      <c r="E141" s="1">
        <v>6.3883999999999999</v>
      </c>
      <c r="F141" s="1">
        <v>6.7462</v>
      </c>
      <c r="G141" s="1">
        <v>6.9593999999999996</v>
      </c>
    </row>
    <row r="142" spans="4:7" x14ac:dyDescent="0.2">
      <c r="D142" s="17">
        <v>44399</v>
      </c>
      <c r="E142" s="1">
        <v>6.3883999999999999</v>
      </c>
      <c r="F142" s="1">
        <v>6.8048000000000002</v>
      </c>
      <c r="G142" s="1">
        <v>6.9593999999999996</v>
      </c>
    </row>
    <row r="143" spans="4:7" x14ac:dyDescent="0.2">
      <c r="D143" s="17">
        <v>44400</v>
      </c>
      <c r="E143" s="1">
        <v>6.9638999999999998</v>
      </c>
      <c r="F143" s="1">
        <v>7.1401000000000003</v>
      </c>
      <c r="G143" s="1">
        <v>7.7961999999999998</v>
      </c>
    </row>
    <row r="144" spans="4:7" x14ac:dyDescent="0.2">
      <c r="D144" s="17">
        <v>44403</v>
      </c>
      <c r="E144" s="1">
        <v>6.9638999999999998</v>
      </c>
      <c r="F144" s="1">
        <v>7.1401000000000003</v>
      </c>
      <c r="G144" s="1">
        <v>7.7961999999999998</v>
      </c>
    </row>
    <row r="145" spans="4:7" x14ac:dyDescent="0.2">
      <c r="D145" s="17">
        <v>44404</v>
      </c>
      <c r="E145" s="1">
        <v>6.9638999999999998</v>
      </c>
      <c r="F145" s="1">
        <v>7.1401000000000003</v>
      </c>
      <c r="G145" s="1">
        <v>7.7961999999999998</v>
      </c>
    </row>
    <row r="146" spans="4:7" x14ac:dyDescent="0.2">
      <c r="D146" s="17">
        <v>44405</v>
      </c>
      <c r="E146" s="1">
        <v>6.9638999999999998</v>
      </c>
      <c r="F146" s="1">
        <v>7.1401000000000003</v>
      </c>
      <c r="G146" s="1">
        <v>7.7961999999999998</v>
      </c>
    </row>
    <row r="147" spans="4:7" x14ac:dyDescent="0.2">
      <c r="D147" s="17">
        <v>44406</v>
      </c>
      <c r="E147" s="1">
        <v>6.9638999999999998</v>
      </c>
      <c r="F147" s="1">
        <v>7.1401000000000003</v>
      </c>
      <c r="G147" s="1">
        <v>7.7961999999999998</v>
      </c>
    </row>
    <row r="148" spans="4:7" x14ac:dyDescent="0.2">
      <c r="D148" s="17">
        <v>44407</v>
      </c>
      <c r="E148" s="1">
        <v>7.0327000000000002</v>
      </c>
      <c r="F148" s="1">
        <v>7.22</v>
      </c>
      <c r="G148" s="1">
        <v>7.8051000000000004</v>
      </c>
    </row>
    <row r="149" spans="4:7" x14ac:dyDescent="0.2">
      <c r="D149" s="17">
        <v>44410</v>
      </c>
      <c r="E149" s="1">
        <v>7.0327000000000002</v>
      </c>
      <c r="F149" s="1">
        <v>7.22</v>
      </c>
      <c r="G149" s="1">
        <v>7.8051000000000004</v>
      </c>
    </row>
    <row r="150" spans="4:7" x14ac:dyDescent="0.2">
      <c r="D150" s="17">
        <v>44411</v>
      </c>
      <c r="E150" s="1">
        <v>7.0327000000000002</v>
      </c>
      <c r="F150" s="1">
        <v>7.2201000000000004</v>
      </c>
      <c r="G150" s="1">
        <v>7.8051000000000004</v>
      </c>
    </row>
    <row r="151" spans="4:7" x14ac:dyDescent="0.2">
      <c r="D151" s="17">
        <v>44412</v>
      </c>
      <c r="E151" s="1">
        <v>7.0327000000000002</v>
      </c>
      <c r="F151" s="1">
        <v>7.2201000000000004</v>
      </c>
      <c r="G151" s="1">
        <v>7.8051000000000004</v>
      </c>
    </row>
    <row r="152" spans="4:7" x14ac:dyDescent="0.2">
      <c r="D152" s="17">
        <v>44413</v>
      </c>
      <c r="E152" s="1">
        <v>7.0327000000000002</v>
      </c>
      <c r="F152" s="1">
        <v>7.2201000000000004</v>
      </c>
      <c r="G152" s="1">
        <v>7.8051000000000004</v>
      </c>
    </row>
    <row r="153" spans="4:7" x14ac:dyDescent="0.2">
      <c r="D153" s="17">
        <v>44414</v>
      </c>
      <c r="E153" s="1">
        <v>7.0327000000000002</v>
      </c>
      <c r="F153" s="1">
        <v>7.2952000000000004</v>
      </c>
      <c r="G153" s="1">
        <v>7.8051000000000004</v>
      </c>
    </row>
    <row r="154" spans="4:7" x14ac:dyDescent="0.2">
      <c r="D154" s="17">
        <v>44417</v>
      </c>
      <c r="E154" s="1">
        <v>7.0327000000000002</v>
      </c>
      <c r="F154" s="1">
        <v>7.2952000000000004</v>
      </c>
      <c r="G154" s="1">
        <v>7.8051000000000004</v>
      </c>
    </row>
    <row r="155" spans="4:7" x14ac:dyDescent="0.2">
      <c r="D155" s="17">
        <v>44418</v>
      </c>
      <c r="E155" s="1">
        <v>7.0221</v>
      </c>
      <c r="F155" s="1">
        <v>7.3</v>
      </c>
      <c r="G155" s="1">
        <v>7.5246000000000004</v>
      </c>
    </row>
    <row r="156" spans="4:7" x14ac:dyDescent="0.2">
      <c r="D156" s="17">
        <v>44419</v>
      </c>
      <c r="E156" s="1">
        <v>7.0221</v>
      </c>
      <c r="F156" s="1">
        <v>7.3</v>
      </c>
      <c r="G156" s="1">
        <v>7.5246000000000004</v>
      </c>
    </row>
    <row r="157" spans="4:7" x14ac:dyDescent="0.2">
      <c r="D157" s="17">
        <v>44420</v>
      </c>
      <c r="E157" s="1">
        <v>7.0221</v>
      </c>
      <c r="F157" s="1">
        <v>7.3</v>
      </c>
      <c r="G157" s="1">
        <v>7.5246000000000004</v>
      </c>
    </row>
    <row r="158" spans="4:7" x14ac:dyDescent="0.2">
      <c r="D158" s="17">
        <v>44421</v>
      </c>
      <c r="E158" s="1">
        <v>7.0221</v>
      </c>
      <c r="F158" s="1">
        <v>7.3</v>
      </c>
      <c r="G158" s="1">
        <v>7.8994999999999997</v>
      </c>
    </row>
    <row r="159" spans="4:7" x14ac:dyDescent="0.2">
      <c r="D159" s="17">
        <v>44424</v>
      </c>
      <c r="E159" s="1">
        <v>7.0221</v>
      </c>
      <c r="F159" s="1">
        <v>7.3</v>
      </c>
      <c r="G159" s="1">
        <v>7.8994999999999997</v>
      </c>
    </row>
    <row r="160" spans="4:7" x14ac:dyDescent="0.2">
      <c r="D160" s="17">
        <v>44425</v>
      </c>
      <c r="E160" s="1">
        <v>7.0221</v>
      </c>
      <c r="F160" s="1">
        <v>7.3</v>
      </c>
      <c r="G160" s="1">
        <v>7.8994999999999997</v>
      </c>
    </row>
    <row r="161" spans="4:7" x14ac:dyDescent="0.2">
      <c r="D161" s="17">
        <v>44426</v>
      </c>
      <c r="E161" s="1">
        <v>7.0221</v>
      </c>
      <c r="F161" s="1">
        <v>7.3</v>
      </c>
      <c r="G161" s="1">
        <v>7.8994999999999997</v>
      </c>
    </row>
    <row r="162" spans="4:7" x14ac:dyDescent="0.2">
      <c r="D162" s="17">
        <v>44427</v>
      </c>
      <c r="E162" s="1">
        <v>7.0221</v>
      </c>
      <c r="F162" s="1">
        <v>7.3</v>
      </c>
      <c r="G162" s="1">
        <v>7.8994999999999997</v>
      </c>
    </row>
    <row r="163" spans="4:7" x14ac:dyDescent="0.2">
      <c r="D163" s="17">
        <v>44428</v>
      </c>
      <c r="E163" s="1">
        <v>7.0221</v>
      </c>
      <c r="F163" s="1">
        <v>7.3</v>
      </c>
      <c r="G163" s="1">
        <v>7.8350999999999997</v>
      </c>
    </row>
    <row r="164" spans="4:7" x14ac:dyDescent="0.2">
      <c r="D164" s="17">
        <v>44431</v>
      </c>
      <c r="E164" s="1">
        <v>7.0221</v>
      </c>
      <c r="F164" s="1">
        <v>7.3</v>
      </c>
      <c r="G164" s="1">
        <v>7.8350999999999997</v>
      </c>
    </row>
    <row r="165" spans="4:7" x14ac:dyDescent="0.2">
      <c r="D165" s="17">
        <v>44432</v>
      </c>
      <c r="E165" s="1">
        <v>7.0221</v>
      </c>
      <c r="F165" s="1">
        <v>7.3</v>
      </c>
      <c r="G165" s="1">
        <v>7.8350999999999997</v>
      </c>
    </row>
    <row r="166" spans="4:7" x14ac:dyDescent="0.2">
      <c r="D166" s="17">
        <v>44433</v>
      </c>
      <c r="E166" s="1">
        <v>7.0221</v>
      </c>
      <c r="F166" s="1">
        <v>7.3</v>
      </c>
      <c r="G166" s="1">
        <v>7.8350999999999997</v>
      </c>
    </row>
    <row r="167" spans="4:7" x14ac:dyDescent="0.2">
      <c r="D167" s="17">
        <v>44434</v>
      </c>
      <c r="E167" s="1">
        <v>7.0221</v>
      </c>
      <c r="F167" s="1">
        <v>7.3</v>
      </c>
      <c r="G167" s="1">
        <v>7.8350999999999997</v>
      </c>
    </row>
    <row r="168" spans="4:7" x14ac:dyDescent="0.2">
      <c r="D168" s="17">
        <v>44435</v>
      </c>
      <c r="E168" s="1">
        <v>7.0221</v>
      </c>
      <c r="F168" s="1">
        <v>7.3</v>
      </c>
      <c r="G168" s="1">
        <v>8.1463000000000001</v>
      </c>
    </row>
    <row r="169" spans="4:7" x14ac:dyDescent="0.2">
      <c r="D169" s="17">
        <v>44438</v>
      </c>
      <c r="E169" s="1">
        <v>7.1721000000000004</v>
      </c>
      <c r="F169" s="1">
        <v>7.7384000000000004</v>
      </c>
      <c r="G169" s="1">
        <v>8.1463000000000001</v>
      </c>
    </row>
    <row r="170" spans="4:7" x14ac:dyDescent="0.2">
      <c r="D170" s="17">
        <v>44447</v>
      </c>
      <c r="E170" s="1">
        <v>8.0595999999999997</v>
      </c>
      <c r="F170" s="1">
        <v>8.1887000000000008</v>
      </c>
      <c r="G170" s="1">
        <v>8.3190000000000008</v>
      </c>
    </row>
    <row r="171" spans="4:7" x14ac:dyDescent="0.2">
      <c r="D171" s="17">
        <v>44439</v>
      </c>
      <c r="E171" s="1">
        <v>7.1721000000000004</v>
      </c>
      <c r="F171" s="1">
        <v>7.7384000000000004</v>
      </c>
      <c r="G171" s="1">
        <v>8.1463000000000001</v>
      </c>
    </row>
    <row r="172" spans="4:7" x14ac:dyDescent="0.2">
      <c r="D172" s="17">
        <v>44440</v>
      </c>
      <c r="E172" s="1">
        <v>7.1721000000000004</v>
      </c>
      <c r="F172" s="1">
        <v>7.7384000000000004</v>
      </c>
      <c r="G172" s="1">
        <v>8.1463000000000001</v>
      </c>
    </row>
    <row r="173" spans="4:7" x14ac:dyDescent="0.2">
      <c r="D173" s="17">
        <v>44441</v>
      </c>
      <c r="E173" s="1">
        <v>7.7384000000000004</v>
      </c>
      <c r="F173" s="1">
        <v>8.1564999999999994</v>
      </c>
      <c r="G173" s="1">
        <v>8.3190000000000008</v>
      </c>
    </row>
    <row r="174" spans="4:7" x14ac:dyDescent="0.2">
      <c r="D174" s="17">
        <v>44442</v>
      </c>
      <c r="E174" s="1">
        <v>8.0595999999999997</v>
      </c>
      <c r="F174" s="1">
        <v>8.1887000000000008</v>
      </c>
      <c r="G174" s="1">
        <v>8.3190000000000008</v>
      </c>
    </row>
    <row r="175" spans="4:7" x14ac:dyDescent="0.2">
      <c r="D175" s="17">
        <v>44445</v>
      </c>
      <c r="E175" s="1">
        <v>8.0595999999999997</v>
      </c>
      <c r="F175" s="1">
        <v>8.1887000000000008</v>
      </c>
      <c r="G175" s="1">
        <v>8.3190000000000008</v>
      </c>
    </row>
    <row r="176" spans="4:7" x14ac:dyDescent="0.2">
      <c r="D176" s="17">
        <v>44448</v>
      </c>
      <c r="E176" s="1">
        <v>8.1245999999999992</v>
      </c>
      <c r="F176" s="1">
        <v>8.3712</v>
      </c>
      <c r="G176" s="1">
        <v>8.577</v>
      </c>
    </row>
    <row r="177" spans="4:7" x14ac:dyDescent="0.2">
      <c r="D177" s="17">
        <v>44449</v>
      </c>
      <c r="E177" s="1">
        <v>8.1245999999999992</v>
      </c>
      <c r="F177" s="1">
        <v>8.3712</v>
      </c>
      <c r="G177" s="1">
        <v>8.577</v>
      </c>
    </row>
    <row r="178" spans="4:7" x14ac:dyDescent="0.2">
      <c r="D178" s="17">
        <v>44452</v>
      </c>
      <c r="E178" s="1">
        <v>8.3385999999999996</v>
      </c>
      <c r="F178" s="1">
        <v>8.4463000000000008</v>
      </c>
      <c r="G178" s="1">
        <v>8.6834000000000007</v>
      </c>
    </row>
    <row r="179" spans="4:7" x14ac:dyDescent="0.2">
      <c r="D179" s="17">
        <v>44453</v>
      </c>
      <c r="E179" s="1">
        <v>8.3385999999999996</v>
      </c>
      <c r="F179" s="1">
        <v>8.4463000000000008</v>
      </c>
      <c r="G179" s="1">
        <v>8.6834000000000007</v>
      </c>
    </row>
    <row r="180" spans="4:7" x14ac:dyDescent="0.2">
      <c r="D180" s="17">
        <v>44454</v>
      </c>
      <c r="E180" s="1">
        <v>8.3385999999999996</v>
      </c>
      <c r="F180" s="1">
        <v>8.6402000000000001</v>
      </c>
      <c r="G180" s="1">
        <v>8.6834000000000007</v>
      </c>
    </row>
    <row r="181" spans="4:7" x14ac:dyDescent="0.2">
      <c r="D181" s="17">
        <v>44455</v>
      </c>
      <c r="E181" s="1">
        <v>8.3385999999999996</v>
      </c>
      <c r="F181" s="1">
        <v>8.6402000000000001</v>
      </c>
      <c r="G181" s="1">
        <v>9.2025000000000006</v>
      </c>
    </row>
    <row r="182" spans="4:7" x14ac:dyDescent="0.2">
      <c r="D182" s="17">
        <v>44456</v>
      </c>
      <c r="E182" s="1">
        <v>8.5211000000000006</v>
      </c>
      <c r="F182" s="1">
        <v>8.5968</v>
      </c>
      <c r="G182" s="1">
        <v>9.1918000000000006</v>
      </c>
    </row>
    <row r="183" spans="4:7" x14ac:dyDescent="0.2">
      <c r="D183" s="17">
        <v>44459</v>
      </c>
      <c r="E183" s="1">
        <v>8.5211000000000006</v>
      </c>
      <c r="F183" s="1">
        <v>8.6077999999999992</v>
      </c>
      <c r="G183" s="1">
        <v>9.1918000000000006</v>
      </c>
    </row>
    <row r="184" spans="4:7" x14ac:dyDescent="0.2">
      <c r="D184" s="17">
        <v>44460</v>
      </c>
      <c r="E184" s="1">
        <v>8.5211000000000006</v>
      </c>
      <c r="F184" s="1">
        <v>8.6077999999999992</v>
      </c>
      <c r="G184" s="1">
        <v>9.1918000000000006</v>
      </c>
    </row>
    <row r="185" spans="4:7" x14ac:dyDescent="0.2">
      <c r="D185" s="17">
        <v>44461</v>
      </c>
      <c r="E185" s="1">
        <v>8.5211000000000006</v>
      </c>
      <c r="F185" s="1">
        <v>8.6077999999999992</v>
      </c>
      <c r="G185" s="1">
        <v>9.1918000000000006</v>
      </c>
    </row>
    <row r="186" spans="4:7" x14ac:dyDescent="0.2">
      <c r="D186" s="17">
        <v>44462</v>
      </c>
      <c r="E186" s="1">
        <v>8.5211000000000006</v>
      </c>
      <c r="F186" s="1">
        <v>8.6077999999999992</v>
      </c>
      <c r="G186" s="1">
        <v>9.1918000000000006</v>
      </c>
    </row>
    <row r="187" spans="4:7" x14ac:dyDescent="0.2">
      <c r="D187" s="17">
        <v>44463</v>
      </c>
      <c r="E187" s="1">
        <v>8.5211000000000006</v>
      </c>
      <c r="F187" s="1">
        <v>8.8338999999999999</v>
      </c>
      <c r="G187" s="1">
        <v>9.1918000000000006</v>
      </c>
    </row>
    <row r="188" spans="4:7" x14ac:dyDescent="0.2">
      <c r="D188" s="17">
        <v>44466</v>
      </c>
      <c r="E188" s="1">
        <v>8.5211000000000006</v>
      </c>
      <c r="F188" s="1">
        <v>8.8338999999999999</v>
      </c>
      <c r="G188" s="1">
        <v>9.1918000000000006</v>
      </c>
    </row>
    <row r="189" spans="4:7" x14ac:dyDescent="0.2">
      <c r="D189" s="17">
        <v>44467</v>
      </c>
      <c r="E189" s="1">
        <v>8.5211000000000006</v>
      </c>
      <c r="F189" s="1">
        <v>8.8338999999999999</v>
      </c>
      <c r="G189" s="1">
        <v>9.1918000000000006</v>
      </c>
    </row>
    <row r="190" spans="4:7" x14ac:dyDescent="0.2">
      <c r="D190" s="17">
        <v>44468</v>
      </c>
      <c r="E190" s="1">
        <v>8.5211000000000006</v>
      </c>
      <c r="F190" s="1">
        <v>8.8338999999999999</v>
      </c>
      <c r="G190" s="1">
        <v>9.1918000000000006</v>
      </c>
    </row>
    <row r="191" spans="4:7" x14ac:dyDescent="0.2">
      <c r="D191" s="17">
        <v>44469</v>
      </c>
      <c r="E191" s="1">
        <v>8.5211000000000006</v>
      </c>
      <c r="F191" s="1">
        <v>8.8338999999999999</v>
      </c>
      <c r="G191" s="1">
        <v>9.1918000000000006</v>
      </c>
    </row>
    <row r="192" spans="4:7" x14ac:dyDescent="0.2">
      <c r="D192" s="17">
        <v>44470</v>
      </c>
      <c r="E192" s="1">
        <v>8.5211000000000006</v>
      </c>
      <c r="F192" s="1">
        <v>8.9095999999999993</v>
      </c>
      <c r="G192" s="1">
        <v>9.3756000000000004</v>
      </c>
    </row>
    <row r="193" spans="4:7" x14ac:dyDescent="0.2">
      <c r="D193" s="17">
        <v>44473</v>
      </c>
      <c r="E193" s="1">
        <v>8.5211000000000006</v>
      </c>
      <c r="F193" s="1">
        <v>8.9095999999999993</v>
      </c>
      <c r="G193" s="1">
        <v>9.3756000000000004</v>
      </c>
    </row>
    <row r="194" spans="4:7" x14ac:dyDescent="0.2">
      <c r="D194" s="17">
        <v>44474</v>
      </c>
      <c r="E194" s="1">
        <v>8.5211000000000006</v>
      </c>
      <c r="F194" s="1">
        <v>8.9095999999999993</v>
      </c>
      <c r="G194" s="1">
        <v>9.3756000000000004</v>
      </c>
    </row>
    <row r="195" spans="4:7" x14ac:dyDescent="0.2">
      <c r="D195" s="17">
        <v>44475</v>
      </c>
      <c r="E195" s="1">
        <v>8.5211000000000006</v>
      </c>
      <c r="F195" s="1">
        <v>8.9095999999999993</v>
      </c>
      <c r="G195" s="1">
        <v>9.3756000000000004</v>
      </c>
    </row>
    <row r="196" spans="4:7" x14ac:dyDescent="0.2">
      <c r="D196" s="17">
        <v>44476</v>
      </c>
      <c r="E196" s="1">
        <v>8.5211000000000006</v>
      </c>
      <c r="F196" s="1">
        <v>8.9095999999999993</v>
      </c>
      <c r="G196" s="1">
        <v>9.3756000000000004</v>
      </c>
    </row>
    <row r="197" spans="4:7" x14ac:dyDescent="0.2">
      <c r="D197" s="17">
        <v>44477</v>
      </c>
      <c r="E197" s="1">
        <v>8.7805</v>
      </c>
      <c r="F197" s="1">
        <v>8.8343000000000007</v>
      </c>
      <c r="G197" s="1">
        <v>8.9212000000000007</v>
      </c>
    </row>
    <row r="198" spans="4:7" x14ac:dyDescent="0.2">
      <c r="D198" s="17">
        <v>44480</v>
      </c>
      <c r="E198" s="1">
        <v>8.7805</v>
      </c>
      <c r="F198" s="1">
        <v>8.8343000000000007</v>
      </c>
      <c r="G198" s="1">
        <v>8.9212000000000007</v>
      </c>
    </row>
    <row r="199" spans="4:7" x14ac:dyDescent="0.2">
      <c r="D199" s="17">
        <v>44482</v>
      </c>
      <c r="E199" s="1">
        <v>8.7805</v>
      </c>
      <c r="F199" s="1">
        <v>8.8451000000000004</v>
      </c>
      <c r="G199" s="1">
        <v>9.3976000000000006</v>
      </c>
    </row>
    <row r="200" spans="4:7" x14ac:dyDescent="0.2">
      <c r="D200" s="17">
        <v>44483</v>
      </c>
      <c r="E200" s="1">
        <v>8.7805</v>
      </c>
      <c r="F200" s="1">
        <v>8.8451000000000004</v>
      </c>
      <c r="G200" s="1">
        <v>9.3976000000000006</v>
      </c>
    </row>
    <row r="201" spans="4:7" x14ac:dyDescent="0.2">
      <c r="D201" s="17">
        <v>44484</v>
      </c>
      <c r="E201" s="1">
        <v>8.7802000000000007</v>
      </c>
      <c r="F201" s="1">
        <v>8.8451000000000004</v>
      </c>
      <c r="G201" s="1">
        <v>9.4519000000000002</v>
      </c>
    </row>
    <row r="202" spans="4:7" x14ac:dyDescent="0.2">
      <c r="D202" s="17">
        <v>44487</v>
      </c>
      <c r="E202" s="1">
        <v>8.7802000000000007</v>
      </c>
      <c r="F202" s="1">
        <v>8.8397000000000006</v>
      </c>
      <c r="G202" s="1">
        <v>9.4519000000000002</v>
      </c>
    </row>
    <row r="203" spans="4:7" x14ac:dyDescent="0.2">
      <c r="D203" s="17">
        <v>44488</v>
      </c>
      <c r="E203" s="1">
        <v>8.7802000000000007</v>
      </c>
      <c r="F203" s="1">
        <v>8.8397000000000006</v>
      </c>
      <c r="G203" s="1">
        <v>9.4519000000000002</v>
      </c>
    </row>
    <row r="204" spans="4:7" x14ac:dyDescent="0.2">
      <c r="D204" s="17">
        <v>44489</v>
      </c>
      <c r="E204" s="1">
        <v>8.7802000000000007</v>
      </c>
      <c r="F204" s="1">
        <v>8.8397000000000006</v>
      </c>
      <c r="G204" s="1">
        <v>9.4626999999999999</v>
      </c>
    </row>
    <row r="205" spans="4:7" x14ac:dyDescent="0.2">
      <c r="D205" s="17">
        <v>44490</v>
      </c>
      <c r="E205" s="1">
        <v>8.7802000000000007</v>
      </c>
      <c r="F205" s="1">
        <v>8.8397000000000006</v>
      </c>
      <c r="G205" s="1">
        <v>9.4626999999999999</v>
      </c>
    </row>
    <row r="206" spans="4:7" x14ac:dyDescent="0.2">
      <c r="D206" s="17">
        <v>44491</v>
      </c>
      <c r="E206" s="1">
        <v>9.0075000000000003</v>
      </c>
      <c r="F206" s="1">
        <v>9.4519000000000002</v>
      </c>
      <c r="G206" s="1">
        <v>9.6588999999999992</v>
      </c>
    </row>
    <row r="207" spans="4:7" x14ac:dyDescent="0.2">
      <c r="D207" s="17">
        <v>44494</v>
      </c>
      <c r="E207" s="1">
        <v>9.0075000000000003</v>
      </c>
      <c r="F207" s="1">
        <v>9.4519000000000002</v>
      </c>
      <c r="G207" s="1">
        <v>9.6588999999999992</v>
      </c>
    </row>
    <row r="208" spans="4:7" x14ac:dyDescent="0.2">
      <c r="D208" s="17">
        <v>44495</v>
      </c>
      <c r="E208" s="1">
        <v>9.3221000000000007</v>
      </c>
      <c r="F208" s="1">
        <v>9.5066000000000006</v>
      </c>
      <c r="G208" s="1">
        <v>9.6588999999999992</v>
      </c>
    </row>
    <row r="209" spans="4:7" x14ac:dyDescent="0.2">
      <c r="D209" s="17">
        <v>44496</v>
      </c>
      <c r="E209" s="1">
        <v>9.3221000000000007</v>
      </c>
      <c r="F209" s="1">
        <v>9.5066000000000006</v>
      </c>
      <c r="G209" s="1">
        <v>9.6588999999999992</v>
      </c>
    </row>
    <row r="210" spans="4:7" x14ac:dyDescent="0.2">
      <c r="D210" s="17">
        <v>44497</v>
      </c>
      <c r="E210" s="1">
        <v>9.3221000000000007</v>
      </c>
      <c r="F210" s="1">
        <v>9.5066000000000006</v>
      </c>
      <c r="G210" s="1">
        <v>9.6588999999999992</v>
      </c>
    </row>
    <row r="211" spans="4:7" x14ac:dyDescent="0.2">
      <c r="D211" s="17">
        <v>44498</v>
      </c>
      <c r="E211" s="1">
        <v>9.4519000000000002</v>
      </c>
      <c r="F211" s="1">
        <v>9.6478000000000002</v>
      </c>
      <c r="G211" s="1">
        <v>9.8652999999999995</v>
      </c>
    </row>
    <row r="212" spans="4:7" x14ac:dyDescent="0.2">
      <c r="D212" s="17">
        <v>44501</v>
      </c>
      <c r="E212" s="1">
        <v>9.4519000000000002</v>
      </c>
      <c r="F212" s="1">
        <v>9.6478000000000002</v>
      </c>
      <c r="G212" s="1">
        <v>9.8652999999999995</v>
      </c>
    </row>
    <row r="213" spans="4:7" x14ac:dyDescent="0.2">
      <c r="D213" s="17">
        <v>44503</v>
      </c>
      <c r="E213" s="1">
        <v>9.4519000000000002</v>
      </c>
      <c r="F213" s="1">
        <v>9.6478000000000002</v>
      </c>
      <c r="G213" s="1">
        <v>9.8652999999999995</v>
      </c>
    </row>
    <row r="214" spans="4:7" x14ac:dyDescent="0.2">
      <c r="D214" s="17">
        <v>44504</v>
      </c>
      <c r="E214" s="1">
        <v>9.4519000000000002</v>
      </c>
      <c r="F214" s="1">
        <v>9.6478000000000002</v>
      </c>
      <c r="G214" s="1">
        <v>9.8652999999999995</v>
      </c>
    </row>
    <row r="215" spans="4:7" x14ac:dyDescent="0.2">
      <c r="D215" s="17">
        <v>44505</v>
      </c>
      <c r="E215" s="1">
        <v>9.4519000000000002</v>
      </c>
      <c r="F215" s="1">
        <v>9.6478000000000002</v>
      </c>
      <c r="G215" s="1">
        <v>9.8652999999999995</v>
      </c>
    </row>
    <row r="216" spans="4:7" x14ac:dyDescent="0.2">
      <c r="D216" s="17">
        <v>44508</v>
      </c>
      <c r="E216" s="1">
        <v>9.6476000000000006</v>
      </c>
      <c r="F216" s="1">
        <v>9.6588999999999992</v>
      </c>
      <c r="G216" s="1">
        <v>10.1271</v>
      </c>
    </row>
    <row r="217" spans="4:7" x14ac:dyDescent="0.2">
      <c r="D217" s="17">
        <v>44509</v>
      </c>
      <c r="E217" s="1">
        <v>9.6476000000000006</v>
      </c>
      <c r="F217" s="1">
        <v>9.6588999999999992</v>
      </c>
      <c r="G217" s="1">
        <v>10.1271</v>
      </c>
    </row>
    <row r="218" spans="4:7" x14ac:dyDescent="0.2">
      <c r="D218" s="17">
        <v>44510</v>
      </c>
      <c r="E218" s="1">
        <v>9.9192</v>
      </c>
      <c r="F218" s="1">
        <v>10.148099999999999</v>
      </c>
      <c r="G218" s="1">
        <v>10.410600000000001</v>
      </c>
    </row>
    <row r="219" spans="4:7" x14ac:dyDescent="0.2">
      <c r="D219" s="17">
        <v>44511</v>
      </c>
      <c r="E219" s="1">
        <v>9.9192</v>
      </c>
      <c r="F219" s="1">
        <v>10.148099999999999</v>
      </c>
      <c r="G219" s="1">
        <v>10.410600000000001</v>
      </c>
    </row>
    <row r="220" spans="4:7" x14ac:dyDescent="0.2">
      <c r="D220" s="17">
        <v>44512</v>
      </c>
      <c r="E220" s="1">
        <v>9.9192</v>
      </c>
      <c r="F220" s="1">
        <v>10.148099999999999</v>
      </c>
      <c r="G220" s="1">
        <v>10.410600000000001</v>
      </c>
    </row>
    <row r="221" spans="4:7" x14ac:dyDescent="0.2">
      <c r="D221" s="17">
        <v>44516</v>
      </c>
      <c r="E221" s="1">
        <v>9.9192</v>
      </c>
      <c r="F221" s="1">
        <v>10.2681</v>
      </c>
      <c r="G221" s="1">
        <v>10.465199999999999</v>
      </c>
    </row>
    <row r="222" spans="4:7" x14ac:dyDescent="0.2">
      <c r="D222" s="17">
        <v>44517</v>
      </c>
      <c r="E222" s="1">
        <v>9.9192</v>
      </c>
      <c r="F222" s="1">
        <v>10.2681</v>
      </c>
      <c r="G222" s="1">
        <v>10.465199999999999</v>
      </c>
    </row>
    <row r="223" spans="4:7" x14ac:dyDescent="0.2">
      <c r="D223" s="17">
        <v>44518</v>
      </c>
      <c r="E223" s="1">
        <v>9.9192</v>
      </c>
      <c r="F223" s="1">
        <v>10.2681</v>
      </c>
      <c r="G223" s="1">
        <v>10.465199999999999</v>
      </c>
    </row>
    <row r="224" spans="4:7" x14ac:dyDescent="0.2">
      <c r="D224" s="17">
        <v>44519</v>
      </c>
      <c r="E224" s="1">
        <v>10.060499999999999</v>
      </c>
      <c r="F224" s="1">
        <v>10.388400000000001</v>
      </c>
      <c r="G224" s="1">
        <v>10.5527</v>
      </c>
    </row>
    <row r="225" spans="4:7" x14ac:dyDescent="0.2">
      <c r="D225" s="17">
        <v>44522</v>
      </c>
      <c r="E225" s="1">
        <v>10.060499999999999</v>
      </c>
      <c r="F225" s="1">
        <v>10.388400000000001</v>
      </c>
      <c r="G225" s="1">
        <v>10.5527</v>
      </c>
    </row>
    <row r="226" spans="4:7" x14ac:dyDescent="0.2">
      <c r="D226" s="17">
        <v>44523</v>
      </c>
      <c r="E226" s="1">
        <v>10.060499999999999</v>
      </c>
      <c r="F226" s="1">
        <v>10.388400000000001</v>
      </c>
      <c r="G226" s="1">
        <v>10.5527</v>
      </c>
    </row>
    <row r="227" spans="4:7" x14ac:dyDescent="0.2">
      <c r="D227" s="17">
        <v>44524</v>
      </c>
      <c r="E227" s="1">
        <v>10.060499999999999</v>
      </c>
      <c r="F227" s="1">
        <v>10.388400000000001</v>
      </c>
      <c r="G227" s="1">
        <v>10.5527</v>
      </c>
    </row>
    <row r="228" spans="4:7" x14ac:dyDescent="0.2">
      <c r="D228" s="17">
        <v>44525</v>
      </c>
      <c r="E228" s="1">
        <v>10.060499999999999</v>
      </c>
      <c r="F228" s="1">
        <v>10.388400000000001</v>
      </c>
      <c r="G228" s="1">
        <v>10.5527</v>
      </c>
    </row>
    <row r="229" spans="4:7" x14ac:dyDescent="0.2">
      <c r="D229" s="17">
        <v>44526</v>
      </c>
      <c r="E229" s="1">
        <v>10.0822</v>
      </c>
      <c r="F229" s="1">
        <v>10.388400000000001</v>
      </c>
      <c r="G229" s="1">
        <v>10.5527</v>
      </c>
    </row>
    <row r="230" spans="4:7" x14ac:dyDescent="0.2">
      <c r="D230" s="17">
        <v>44529</v>
      </c>
      <c r="E230" s="1">
        <v>10.0822</v>
      </c>
      <c r="F230" s="1">
        <v>10.388400000000001</v>
      </c>
      <c r="G230" s="1">
        <v>10.5527</v>
      </c>
    </row>
    <row r="231" spans="4:7" x14ac:dyDescent="0.2">
      <c r="D231" s="17">
        <v>44530</v>
      </c>
      <c r="E231" s="1">
        <v>10.0822</v>
      </c>
      <c r="F231" s="1">
        <v>10.388400000000001</v>
      </c>
      <c r="G231" s="1">
        <v>10.5527</v>
      </c>
    </row>
    <row r="232" spans="4:7" x14ac:dyDescent="0.2">
      <c r="D232" s="17">
        <v>44531</v>
      </c>
      <c r="E232" s="1">
        <v>10.0822</v>
      </c>
      <c r="F232" s="1">
        <v>10.388400000000001</v>
      </c>
      <c r="G232" s="1">
        <v>10.5527</v>
      </c>
    </row>
    <row r="233" spans="4:7" x14ac:dyDescent="0.2">
      <c r="D233" s="17"/>
    </row>
    <row r="234" spans="4:7" x14ac:dyDescent="0.2">
      <c r="D234" s="17"/>
    </row>
    <row r="235" spans="4:7" x14ac:dyDescent="0.2">
      <c r="D235" s="17"/>
    </row>
    <row r="236" spans="4:7" x14ac:dyDescent="0.2">
      <c r="D236" s="17"/>
    </row>
    <row r="237" spans="4:7" x14ac:dyDescent="0.2">
      <c r="D237" s="17"/>
    </row>
    <row r="238" spans="4:7" x14ac:dyDescent="0.2">
      <c r="D238" s="17"/>
    </row>
    <row r="239" spans="4:7" x14ac:dyDescent="0.2">
      <c r="D239" s="17"/>
    </row>
    <row r="240" spans="4:7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DDC8-FE27-485A-9A73-6891335FB357}">
  <sheetPr codeName="Planilha11"/>
  <dimension ref="A1:U461"/>
  <sheetViews>
    <sheetView workbookViewId="0">
      <selection activeCell="M34" sqref="M34"/>
    </sheetView>
  </sheetViews>
  <sheetFormatPr defaultRowHeight="12.75" x14ac:dyDescent="0.2"/>
  <cols>
    <col min="1" max="1" width="35.28515625" style="1" customWidth="1"/>
    <col min="2" max="2" width="14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21" ht="15.75" x14ac:dyDescent="0.25">
      <c r="A1" s="9" t="s">
        <v>92</v>
      </c>
      <c r="I1" s="3" t="s">
        <v>60</v>
      </c>
      <c r="J1" s="59" t="str">
        <f>"FOCUS forecast by Institution " &amp; $B$6 &amp; " for "&amp;$B$3&amp;" of "&amp;PROPER(TEXT($B$7,"[$-409]aaaa"))</f>
        <v>FOCUS forecast by Institution 16 for IPCA of 2020</v>
      </c>
      <c r="K1" s="60"/>
      <c r="L1" s="60"/>
      <c r="M1" s="60"/>
      <c r="N1" s="60"/>
      <c r="O1" s="60"/>
      <c r="P1" s="60"/>
    </row>
    <row r="3" spans="1:21" x14ac:dyDescent="0.2">
      <c r="A3" s="3" t="s">
        <v>61</v>
      </c>
      <c r="B3" s="18" t="s">
        <v>36</v>
      </c>
      <c r="D3" s="1" t="s">
        <v>13</v>
      </c>
      <c r="E3" s="1" t="s">
        <v>76</v>
      </c>
      <c r="F3" s="1" t="s">
        <v>77</v>
      </c>
    </row>
    <row r="4" spans="1:21" x14ac:dyDescent="0.2">
      <c r="A4" s="3" t="s">
        <v>62</v>
      </c>
      <c r="B4" s="18"/>
      <c r="D4" s="17" cm="1">
        <f t="array" ref="D4:F46">xlFOCUS_ExpectativasInstituicoes(B3,B4,B7,B6,B8,B9,B5,D3:F3)</f>
        <v>43804</v>
      </c>
      <c r="E4" s="1">
        <v>16</v>
      </c>
      <c r="F4" s="1">
        <v>3.39</v>
      </c>
    </row>
    <row r="5" spans="1:21" x14ac:dyDescent="0.2">
      <c r="A5" s="3" t="s">
        <v>111</v>
      </c>
      <c r="B5" s="18" t="s">
        <v>145</v>
      </c>
      <c r="D5" s="17">
        <v>43812</v>
      </c>
      <c r="E5" s="1">
        <v>16</v>
      </c>
      <c r="F5" s="1">
        <v>3.39</v>
      </c>
    </row>
    <row r="6" spans="1:21" x14ac:dyDescent="0.2">
      <c r="A6" s="3" t="s">
        <v>76</v>
      </c>
      <c r="B6" s="18">
        <v>16</v>
      </c>
      <c r="D6" s="17">
        <v>43819</v>
      </c>
      <c r="E6" s="1">
        <v>16</v>
      </c>
      <c r="F6" s="1">
        <v>3.39</v>
      </c>
      <c r="U6" s="19"/>
    </row>
    <row r="7" spans="1:21" x14ac:dyDescent="0.2">
      <c r="A7" s="3" t="s">
        <v>63</v>
      </c>
      <c r="B7" s="14">
        <v>43831</v>
      </c>
      <c r="D7" s="17">
        <v>43826</v>
      </c>
      <c r="E7" s="1">
        <v>16</v>
      </c>
      <c r="F7" s="1">
        <v>3.39</v>
      </c>
    </row>
    <row r="8" spans="1:21" x14ac:dyDescent="0.2">
      <c r="A8" s="3" t="s">
        <v>64</v>
      </c>
      <c r="B8" s="14">
        <v>43800</v>
      </c>
      <c r="D8" s="17">
        <v>43833</v>
      </c>
      <c r="E8" s="1">
        <v>16</v>
      </c>
      <c r="F8" s="1">
        <v>3.39</v>
      </c>
    </row>
    <row r="9" spans="1:21" x14ac:dyDescent="0.2">
      <c r="A9" s="3" t="s">
        <v>65</v>
      </c>
      <c r="B9" s="14"/>
      <c r="D9" s="17">
        <v>43840</v>
      </c>
      <c r="E9" s="1">
        <v>16</v>
      </c>
      <c r="F9" s="1">
        <v>3.39</v>
      </c>
    </row>
    <row r="10" spans="1:21" x14ac:dyDescent="0.2">
      <c r="D10" s="17">
        <v>43847</v>
      </c>
      <c r="E10" s="1">
        <v>16</v>
      </c>
      <c r="F10" s="1">
        <v>3.39</v>
      </c>
    </row>
    <row r="11" spans="1:21" x14ac:dyDescent="0.2">
      <c r="D11" s="17">
        <v>43854</v>
      </c>
      <c r="E11" s="1">
        <v>16</v>
      </c>
      <c r="F11" s="1">
        <v>3.39</v>
      </c>
    </row>
    <row r="12" spans="1:21" x14ac:dyDescent="0.2">
      <c r="D12" s="17">
        <v>43861</v>
      </c>
      <c r="E12" s="1">
        <v>16</v>
      </c>
      <c r="F12" s="1">
        <v>3.39</v>
      </c>
    </row>
    <row r="13" spans="1:21" x14ac:dyDescent="0.2">
      <c r="D13" s="17">
        <v>43868</v>
      </c>
      <c r="E13" s="1">
        <v>16</v>
      </c>
      <c r="F13" s="1">
        <v>3.2149000000000001</v>
      </c>
    </row>
    <row r="14" spans="1:21" x14ac:dyDescent="0.2">
      <c r="D14" s="17">
        <v>43875</v>
      </c>
      <c r="E14" s="1">
        <v>16</v>
      </c>
      <c r="F14" s="1">
        <v>3.2149000000000001</v>
      </c>
    </row>
    <row r="15" spans="1:21" x14ac:dyDescent="0.2">
      <c r="D15" s="17">
        <v>43882</v>
      </c>
      <c r="E15" s="1">
        <v>16</v>
      </c>
      <c r="F15" s="1">
        <v>3.2149000000000001</v>
      </c>
    </row>
    <row r="16" spans="1:21" x14ac:dyDescent="0.2">
      <c r="D16" s="17">
        <v>43889</v>
      </c>
      <c r="E16" s="1">
        <v>16</v>
      </c>
      <c r="F16" s="1">
        <v>3.2149000000000001</v>
      </c>
    </row>
    <row r="17" spans="4:6" x14ac:dyDescent="0.2">
      <c r="D17" s="17">
        <v>43903</v>
      </c>
      <c r="E17" s="1">
        <v>16</v>
      </c>
      <c r="F17" s="1">
        <v>3.3393999999999999</v>
      </c>
    </row>
    <row r="18" spans="4:6" x14ac:dyDescent="0.2">
      <c r="D18" s="17">
        <v>43917</v>
      </c>
      <c r="E18" s="1">
        <v>16</v>
      </c>
      <c r="F18" s="1">
        <v>3.3393999999999999</v>
      </c>
    </row>
    <row r="19" spans="4:6" x14ac:dyDescent="0.2">
      <c r="D19" s="17">
        <v>43928</v>
      </c>
      <c r="E19" s="1">
        <v>16</v>
      </c>
      <c r="F19" s="1">
        <v>2.8149000000000002</v>
      </c>
    </row>
    <row r="20" spans="4:6" x14ac:dyDescent="0.2">
      <c r="D20" s="17">
        <v>43938</v>
      </c>
      <c r="E20" s="1">
        <v>16</v>
      </c>
      <c r="F20" s="1">
        <v>2.5893000000000002</v>
      </c>
    </row>
    <row r="21" spans="4:6" x14ac:dyDescent="0.2">
      <c r="D21" s="17">
        <v>43945</v>
      </c>
      <c r="E21" s="1">
        <v>16</v>
      </c>
      <c r="F21" s="1">
        <v>2.5893000000000002</v>
      </c>
    </row>
    <row r="22" spans="4:6" x14ac:dyDescent="0.2">
      <c r="D22" s="17">
        <v>43962</v>
      </c>
      <c r="E22" s="1">
        <v>16</v>
      </c>
      <c r="F22" s="1">
        <v>1.3873</v>
      </c>
    </row>
    <row r="23" spans="4:6" x14ac:dyDescent="0.2">
      <c r="D23" s="17">
        <v>43966</v>
      </c>
      <c r="E23" s="1">
        <v>16</v>
      </c>
      <c r="F23" s="1">
        <v>1.3873</v>
      </c>
    </row>
    <row r="24" spans="4:6" x14ac:dyDescent="0.2">
      <c r="D24" s="17">
        <v>43973</v>
      </c>
      <c r="E24" s="1">
        <v>16</v>
      </c>
      <c r="F24" s="1">
        <v>1.3873</v>
      </c>
    </row>
    <row r="25" spans="4:6" x14ac:dyDescent="0.2">
      <c r="D25" s="17">
        <v>43980</v>
      </c>
      <c r="E25" s="1">
        <v>16</v>
      </c>
      <c r="F25" s="1">
        <v>1.3873</v>
      </c>
    </row>
    <row r="26" spans="4:6" x14ac:dyDescent="0.2">
      <c r="D26" s="17">
        <v>43987</v>
      </c>
      <c r="E26" s="1">
        <v>16</v>
      </c>
      <c r="F26" s="1">
        <v>2.1082999999999998</v>
      </c>
    </row>
    <row r="27" spans="4:6" x14ac:dyDescent="0.2">
      <c r="D27" s="17">
        <v>43994</v>
      </c>
      <c r="E27" s="1">
        <v>16</v>
      </c>
      <c r="F27" s="1">
        <v>1.5578000000000001</v>
      </c>
    </row>
    <row r="28" spans="4:6" x14ac:dyDescent="0.2">
      <c r="D28" s="17">
        <v>44001</v>
      </c>
      <c r="E28" s="1">
        <v>16</v>
      </c>
      <c r="F28" s="1">
        <v>1.3858999999999999</v>
      </c>
    </row>
    <row r="29" spans="4:6" x14ac:dyDescent="0.2">
      <c r="D29" s="17">
        <v>44008</v>
      </c>
      <c r="E29" s="1">
        <v>16</v>
      </c>
      <c r="F29" s="1">
        <v>1.3858999999999999</v>
      </c>
    </row>
    <row r="30" spans="4:6" x14ac:dyDescent="0.2">
      <c r="D30" s="17">
        <v>44015</v>
      </c>
      <c r="E30" s="1">
        <v>16</v>
      </c>
      <c r="F30" s="1">
        <v>1.3858999999999999</v>
      </c>
    </row>
    <row r="31" spans="4:6" x14ac:dyDescent="0.2">
      <c r="D31" s="17">
        <v>44050</v>
      </c>
      <c r="E31" s="1">
        <v>16</v>
      </c>
      <c r="F31" s="1">
        <v>1.3853</v>
      </c>
    </row>
    <row r="32" spans="4:6" x14ac:dyDescent="0.2">
      <c r="D32" s="17">
        <v>44057</v>
      </c>
      <c r="E32" s="1">
        <v>16</v>
      </c>
      <c r="F32" s="1">
        <v>1.4259999999999999</v>
      </c>
    </row>
    <row r="33" spans="4:6" x14ac:dyDescent="0.2">
      <c r="D33" s="17">
        <v>44064</v>
      </c>
      <c r="E33" s="1">
        <v>16</v>
      </c>
      <c r="F33" s="1">
        <v>1.4259999999999999</v>
      </c>
    </row>
    <row r="34" spans="4:6" x14ac:dyDescent="0.2">
      <c r="D34" s="17">
        <v>44071</v>
      </c>
      <c r="E34" s="1">
        <v>16</v>
      </c>
      <c r="F34" s="1">
        <v>1.4259999999999999</v>
      </c>
    </row>
    <row r="35" spans="4:6" x14ac:dyDescent="0.2">
      <c r="D35" s="17">
        <v>44078</v>
      </c>
      <c r="E35" s="1">
        <v>16</v>
      </c>
      <c r="F35" s="1">
        <v>1.4259999999999999</v>
      </c>
    </row>
    <row r="36" spans="4:6" x14ac:dyDescent="0.2">
      <c r="D36" s="17">
        <v>44085</v>
      </c>
      <c r="E36" s="1">
        <v>16</v>
      </c>
      <c r="F36" s="1">
        <v>1.6288</v>
      </c>
    </row>
    <row r="37" spans="4:6" x14ac:dyDescent="0.2">
      <c r="D37" s="17">
        <v>44092</v>
      </c>
      <c r="E37" s="1">
        <v>16</v>
      </c>
      <c r="F37" s="1">
        <v>1.6288</v>
      </c>
    </row>
    <row r="38" spans="4:6" x14ac:dyDescent="0.2">
      <c r="D38" s="17">
        <v>44106</v>
      </c>
      <c r="E38" s="1">
        <v>16</v>
      </c>
      <c r="F38" s="1">
        <v>1.6288</v>
      </c>
    </row>
    <row r="39" spans="4:6" x14ac:dyDescent="0.2">
      <c r="D39" s="17">
        <v>44113</v>
      </c>
      <c r="E39" s="1">
        <v>16</v>
      </c>
      <c r="F39" s="1">
        <v>1.6288</v>
      </c>
    </row>
    <row r="40" spans="4:6" x14ac:dyDescent="0.2">
      <c r="D40" s="17">
        <v>44120</v>
      </c>
      <c r="E40" s="1">
        <v>16</v>
      </c>
      <c r="F40" s="1">
        <v>2.8201000000000001</v>
      </c>
    </row>
    <row r="41" spans="4:6" x14ac:dyDescent="0.2">
      <c r="D41" s="17">
        <v>44127</v>
      </c>
      <c r="E41" s="1">
        <v>16</v>
      </c>
      <c r="F41" s="1">
        <v>2.8201000000000001</v>
      </c>
    </row>
    <row r="42" spans="4:6" x14ac:dyDescent="0.2">
      <c r="D42" s="17">
        <v>44134</v>
      </c>
      <c r="E42" s="1">
        <v>16</v>
      </c>
      <c r="F42" s="1">
        <v>2.8201000000000001</v>
      </c>
    </row>
    <row r="43" spans="4:6" x14ac:dyDescent="0.2">
      <c r="D43" s="17">
        <v>44141</v>
      </c>
      <c r="E43" s="1">
        <v>16</v>
      </c>
      <c r="F43" s="1">
        <v>3.4146999999999998</v>
      </c>
    </row>
    <row r="44" spans="4:6" x14ac:dyDescent="0.2">
      <c r="D44" s="17">
        <v>44147</v>
      </c>
      <c r="E44" s="1">
        <v>16</v>
      </c>
      <c r="F44" s="1">
        <v>3.4146999999999998</v>
      </c>
    </row>
    <row r="45" spans="4:6" x14ac:dyDescent="0.2">
      <c r="D45" s="17">
        <v>44155</v>
      </c>
      <c r="E45" s="1">
        <v>16</v>
      </c>
      <c r="F45" s="1">
        <v>3.4146999999999998</v>
      </c>
    </row>
    <row r="46" spans="4:6" x14ac:dyDescent="0.2">
      <c r="D46" s="17">
        <v>44162</v>
      </c>
      <c r="E46" s="1">
        <v>16</v>
      </c>
      <c r="F46" s="1">
        <v>3.4146999999999998</v>
      </c>
    </row>
    <row r="47" spans="4:6" x14ac:dyDescent="0.2">
      <c r="D47" s="17"/>
    </row>
    <row r="48" spans="4:6" x14ac:dyDescent="0.2">
      <c r="D48" s="17"/>
    </row>
    <row r="49" spans="4:4" x14ac:dyDescent="0.2">
      <c r="D49" s="17"/>
    </row>
    <row r="50" spans="4:4" x14ac:dyDescent="0.2">
      <c r="D50" s="17"/>
    </row>
    <row r="51" spans="4:4" x14ac:dyDescent="0.2">
      <c r="D51" s="17"/>
    </row>
    <row r="52" spans="4:4" x14ac:dyDescent="0.2">
      <c r="D52" s="17"/>
    </row>
    <row r="53" spans="4:4" x14ac:dyDescent="0.2">
      <c r="D53" s="17"/>
    </row>
    <row r="54" spans="4:4" x14ac:dyDescent="0.2">
      <c r="D54" s="17"/>
    </row>
    <row r="55" spans="4:4" x14ac:dyDescent="0.2">
      <c r="D55" s="17"/>
    </row>
    <row r="56" spans="4:4" x14ac:dyDescent="0.2">
      <c r="D56" s="17"/>
    </row>
    <row r="57" spans="4:4" x14ac:dyDescent="0.2">
      <c r="D57" s="17"/>
    </row>
    <row r="58" spans="4:4" x14ac:dyDescent="0.2">
      <c r="D58" s="17"/>
    </row>
    <row r="59" spans="4:4" x14ac:dyDescent="0.2">
      <c r="D59" s="17"/>
    </row>
    <row r="60" spans="4:4" x14ac:dyDescent="0.2">
      <c r="D60" s="17"/>
    </row>
    <row r="61" spans="4:4" x14ac:dyDescent="0.2">
      <c r="D61" s="17"/>
    </row>
    <row r="62" spans="4:4" x14ac:dyDescent="0.2">
      <c r="D62" s="17"/>
    </row>
    <row r="63" spans="4:4" x14ac:dyDescent="0.2">
      <c r="D63" s="17"/>
    </row>
    <row r="64" spans="4:4" x14ac:dyDescent="0.2">
      <c r="D64" s="17"/>
    </row>
    <row r="65" spans="4:4" x14ac:dyDescent="0.2">
      <c r="D65" s="17"/>
    </row>
    <row r="66" spans="4:4" x14ac:dyDescent="0.2">
      <c r="D66" s="17"/>
    </row>
    <row r="67" spans="4:4" x14ac:dyDescent="0.2">
      <c r="D67" s="17"/>
    </row>
    <row r="68" spans="4:4" x14ac:dyDescent="0.2">
      <c r="D68" s="17"/>
    </row>
    <row r="69" spans="4:4" x14ac:dyDescent="0.2">
      <c r="D69" s="17"/>
    </row>
    <row r="70" spans="4:4" x14ac:dyDescent="0.2">
      <c r="D70" s="17"/>
    </row>
    <row r="71" spans="4:4" x14ac:dyDescent="0.2">
      <c r="D71" s="17"/>
    </row>
    <row r="72" spans="4:4" x14ac:dyDescent="0.2">
      <c r="D72" s="17"/>
    </row>
    <row r="73" spans="4:4" x14ac:dyDescent="0.2">
      <c r="D73" s="17"/>
    </row>
    <row r="74" spans="4:4" x14ac:dyDescent="0.2">
      <c r="D74" s="17"/>
    </row>
    <row r="75" spans="4:4" x14ac:dyDescent="0.2">
      <c r="D75" s="17"/>
    </row>
    <row r="76" spans="4:4" x14ac:dyDescent="0.2">
      <c r="D76" s="17"/>
    </row>
    <row r="77" spans="4:4" x14ac:dyDescent="0.2">
      <c r="D77" s="17"/>
    </row>
    <row r="78" spans="4:4" x14ac:dyDescent="0.2">
      <c r="D78" s="17"/>
    </row>
    <row r="79" spans="4:4" x14ac:dyDescent="0.2">
      <c r="D79" s="17"/>
    </row>
    <row r="80" spans="4:4" x14ac:dyDescent="0.2">
      <c r="D80" s="17"/>
    </row>
    <row r="81" spans="4:4" x14ac:dyDescent="0.2">
      <c r="D81" s="17"/>
    </row>
    <row r="82" spans="4:4" x14ac:dyDescent="0.2">
      <c r="D82" s="17"/>
    </row>
    <row r="83" spans="4:4" x14ac:dyDescent="0.2">
      <c r="D83" s="17"/>
    </row>
    <row r="84" spans="4:4" x14ac:dyDescent="0.2">
      <c r="D84" s="17"/>
    </row>
    <row r="85" spans="4:4" x14ac:dyDescent="0.2">
      <c r="D85" s="17"/>
    </row>
    <row r="86" spans="4:4" x14ac:dyDescent="0.2">
      <c r="D86" s="17"/>
    </row>
    <row r="87" spans="4:4" x14ac:dyDescent="0.2">
      <c r="D87" s="17"/>
    </row>
    <row r="88" spans="4:4" x14ac:dyDescent="0.2">
      <c r="D88" s="17"/>
    </row>
    <row r="89" spans="4:4" x14ac:dyDescent="0.2">
      <c r="D89" s="17"/>
    </row>
    <row r="90" spans="4:4" x14ac:dyDescent="0.2">
      <c r="D90" s="17"/>
    </row>
    <row r="91" spans="4:4" x14ac:dyDescent="0.2">
      <c r="D91" s="17"/>
    </row>
    <row r="92" spans="4:4" x14ac:dyDescent="0.2">
      <c r="D92" s="17"/>
    </row>
    <row r="93" spans="4:4" x14ac:dyDescent="0.2">
      <c r="D93" s="17"/>
    </row>
    <row r="94" spans="4:4" x14ac:dyDescent="0.2">
      <c r="D94" s="17"/>
    </row>
    <row r="95" spans="4:4" x14ac:dyDescent="0.2">
      <c r="D95" s="17"/>
    </row>
    <row r="96" spans="4:4" x14ac:dyDescent="0.2">
      <c r="D96" s="17"/>
    </row>
    <row r="97" spans="4:4" x14ac:dyDescent="0.2">
      <c r="D97" s="17"/>
    </row>
    <row r="98" spans="4:4" x14ac:dyDescent="0.2">
      <c r="D98" s="17"/>
    </row>
    <row r="99" spans="4:4" x14ac:dyDescent="0.2">
      <c r="D99" s="17"/>
    </row>
    <row r="100" spans="4:4" x14ac:dyDescent="0.2">
      <c r="D100" s="17"/>
    </row>
    <row r="101" spans="4:4" x14ac:dyDescent="0.2">
      <c r="D101" s="17"/>
    </row>
    <row r="102" spans="4:4" x14ac:dyDescent="0.2">
      <c r="D102" s="17"/>
    </row>
    <row r="103" spans="4:4" x14ac:dyDescent="0.2">
      <c r="D103" s="17"/>
    </row>
    <row r="104" spans="4:4" x14ac:dyDescent="0.2">
      <c r="D104" s="17"/>
    </row>
    <row r="105" spans="4:4" x14ac:dyDescent="0.2">
      <c r="D105" s="17"/>
    </row>
    <row r="106" spans="4:4" x14ac:dyDescent="0.2">
      <c r="D106" s="17"/>
    </row>
    <row r="107" spans="4:4" x14ac:dyDescent="0.2">
      <c r="D107" s="17"/>
    </row>
    <row r="108" spans="4:4" x14ac:dyDescent="0.2">
      <c r="D108" s="17"/>
    </row>
    <row r="109" spans="4:4" x14ac:dyDescent="0.2">
      <c r="D109" s="17"/>
    </row>
    <row r="110" spans="4:4" x14ac:dyDescent="0.2">
      <c r="D110" s="17"/>
    </row>
    <row r="111" spans="4:4" x14ac:dyDescent="0.2">
      <c r="D111" s="17"/>
    </row>
    <row r="112" spans="4:4" x14ac:dyDescent="0.2">
      <c r="D112" s="17"/>
    </row>
    <row r="113" spans="4:4" x14ac:dyDescent="0.2">
      <c r="D113" s="17"/>
    </row>
    <row r="114" spans="4:4" x14ac:dyDescent="0.2">
      <c r="D114" s="17"/>
    </row>
    <row r="115" spans="4:4" x14ac:dyDescent="0.2">
      <c r="D115" s="17"/>
    </row>
    <row r="116" spans="4:4" x14ac:dyDescent="0.2">
      <c r="D116" s="17"/>
    </row>
    <row r="117" spans="4:4" x14ac:dyDescent="0.2">
      <c r="D117" s="17"/>
    </row>
    <row r="118" spans="4:4" x14ac:dyDescent="0.2">
      <c r="D118" s="17"/>
    </row>
    <row r="119" spans="4:4" x14ac:dyDescent="0.2">
      <c r="D119" s="17"/>
    </row>
    <row r="120" spans="4:4" x14ac:dyDescent="0.2">
      <c r="D120" s="17"/>
    </row>
    <row r="121" spans="4:4" x14ac:dyDescent="0.2">
      <c r="D121" s="17"/>
    </row>
    <row r="122" spans="4:4" x14ac:dyDescent="0.2">
      <c r="D122" s="17"/>
    </row>
    <row r="123" spans="4:4" x14ac:dyDescent="0.2">
      <c r="D123" s="17"/>
    </row>
    <row r="124" spans="4:4" x14ac:dyDescent="0.2">
      <c r="D124" s="17"/>
    </row>
    <row r="125" spans="4:4" x14ac:dyDescent="0.2">
      <c r="D125" s="17"/>
    </row>
    <row r="126" spans="4:4" x14ac:dyDescent="0.2">
      <c r="D126" s="17"/>
    </row>
    <row r="127" spans="4:4" x14ac:dyDescent="0.2">
      <c r="D127" s="17"/>
    </row>
    <row r="128" spans="4:4" x14ac:dyDescent="0.2">
      <c r="D128" s="17"/>
    </row>
    <row r="129" spans="4:4" x14ac:dyDescent="0.2">
      <c r="D129" s="17"/>
    </row>
    <row r="130" spans="4:4" x14ac:dyDescent="0.2">
      <c r="D130" s="17"/>
    </row>
    <row r="131" spans="4:4" x14ac:dyDescent="0.2">
      <c r="D131" s="17"/>
    </row>
    <row r="132" spans="4:4" x14ac:dyDescent="0.2">
      <c r="D132" s="17"/>
    </row>
    <row r="133" spans="4:4" x14ac:dyDescent="0.2">
      <c r="D133" s="17"/>
    </row>
    <row r="134" spans="4:4" x14ac:dyDescent="0.2">
      <c r="D134" s="17"/>
    </row>
    <row r="135" spans="4:4" x14ac:dyDescent="0.2">
      <c r="D135" s="17"/>
    </row>
    <row r="136" spans="4:4" x14ac:dyDescent="0.2">
      <c r="D136" s="17"/>
    </row>
    <row r="137" spans="4:4" x14ac:dyDescent="0.2">
      <c r="D137" s="17"/>
    </row>
    <row r="138" spans="4:4" x14ac:dyDescent="0.2">
      <c r="D138" s="17"/>
    </row>
    <row r="139" spans="4:4" x14ac:dyDescent="0.2">
      <c r="D139" s="17"/>
    </row>
    <row r="140" spans="4:4" x14ac:dyDescent="0.2">
      <c r="D140" s="17"/>
    </row>
    <row r="141" spans="4:4" x14ac:dyDescent="0.2">
      <c r="D141" s="17"/>
    </row>
    <row r="142" spans="4:4" x14ac:dyDescent="0.2">
      <c r="D142" s="17"/>
    </row>
    <row r="143" spans="4:4" x14ac:dyDescent="0.2">
      <c r="D143" s="17"/>
    </row>
    <row r="144" spans="4:4" x14ac:dyDescent="0.2">
      <c r="D144" s="17"/>
    </row>
    <row r="145" spans="4:4" x14ac:dyDescent="0.2">
      <c r="D145" s="17"/>
    </row>
    <row r="146" spans="4:4" x14ac:dyDescent="0.2">
      <c r="D146" s="17"/>
    </row>
    <row r="147" spans="4:4" x14ac:dyDescent="0.2">
      <c r="D147" s="17"/>
    </row>
    <row r="148" spans="4:4" x14ac:dyDescent="0.2">
      <c r="D148" s="17"/>
    </row>
    <row r="149" spans="4:4" x14ac:dyDescent="0.2">
      <c r="D149" s="17"/>
    </row>
    <row r="150" spans="4:4" x14ac:dyDescent="0.2">
      <c r="D150" s="17"/>
    </row>
    <row r="151" spans="4:4" x14ac:dyDescent="0.2">
      <c r="D151" s="17"/>
    </row>
    <row r="152" spans="4:4" x14ac:dyDescent="0.2">
      <c r="D152" s="17"/>
    </row>
    <row r="153" spans="4:4" x14ac:dyDescent="0.2">
      <c r="D153" s="17"/>
    </row>
    <row r="154" spans="4:4" x14ac:dyDescent="0.2">
      <c r="D154" s="17"/>
    </row>
    <row r="155" spans="4:4" x14ac:dyDescent="0.2">
      <c r="D155" s="17"/>
    </row>
    <row r="156" spans="4:4" x14ac:dyDescent="0.2">
      <c r="D156" s="17"/>
    </row>
    <row r="157" spans="4:4" x14ac:dyDescent="0.2">
      <c r="D157" s="17"/>
    </row>
    <row r="158" spans="4:4" x14ac:dyDescent="0.2">
      <c r="D158" s="17"/>
    </row>
    <row r="159" spans="4:4" x14ac:dyDescent="0.2">
      <c r="D159" s="17"/>
    </row>
    <row r="160" spans="4:4" x14ac:dyDescent="0.2">
      <c r="D160" s="17"/>
    </row>
    <row r="161" spans="4:4" x14ac:dyDescent="0.2">
      <c r="D161" s="17"/>
    </row>
    <row r="162" spans="4:4" x14ac:dyDescent="0.2">
      <c r="D162" s="17"/>
    </row>
    <row r="163" spans="4:4" x14ac:dyDescent="0.2">
      <c r="D163" s="17"/>
    </row>
    <row r="164" spans="4:4" x14ac:dyDescent="0.2">
      <c r="D164" s="17"/>
    </row>
    <row r="165" spans="4:4" x14ac:dyDescent="0.2">
      <c r="D165" s="17"/>
    </row>
    <row r="166" spans="4:4" x14ac:dyDescent="0.2">
      <c r="D166" s="17"/>
    </row>
    <row r="167" spans="4:4" x14ac:dyDescent="0.2">
      <c r="D167" s="17"/>
    </row>
    <row r="168" spans="4:4" x14ac:dyDescent="0.2">
      <c r="D168" s="17"/>
    </row>
    <row r="169" spans="4:4" x14ac:dyDescent="0.2">
      <c r="D169" s="17"/>
    </row>
    <row r="170" spans="4:4" x14ac:dyDescent="0.2">
      <c r="D170" s="17"/>
    </row>
    <row r="171" spans="4:4" x14ac:dyDescent="0.2">
      <c r="D171" s="17"/>
    </row>
    <row r="172" spans="4:4" x14ac:dyDescent="0.2">
      <c r="D172" s="17"/>
    </row>
    <row r="173" spans="4:4" x14ac:dyDescent="0.2">
      <c r="D173" s="17"/>
    </row>
    <row r="174" spans="4:4" x14ac:dyDescent="0.2">
      <c r="D174" s="17"/>
    </row>
    <row r="175" spans="4:4" x14ac:dyDescent="0.2">
      <c r="D175" s="17"/>
    </row>
    <row r="176" spans="4:4" x14ac:dyDescent="0.2">
      <c r="D176" s="17"/>
    </row>
    <row r="177" spans="4:4" x14ac:dyDescent="0.2">
      <c r="D177" s="17"/>
    </row>
    <row r="178" spans="4:4" x14ac:dyDescent="0.2">
      <c r="D178" s="17"/>
    </row>
    <row r="179" spans="4:4" x14ac:dyDescent="0.2">
      <c r="D179" s="17"/>
    </row>
    <row r="180" spans="4:4" x14ac:dyDescent="0.2">
      <c r="D180" s="17"/>
    </row>
    <row r="181" spans="4:4" x14ac:dyDescent="0.2">
      <c r="D181" s="17"/>
    </row>
    <row r="182" spans="4:4" x14ac:dyDescent="0.2">
      <c r="D182" s="17"/>
    </row>
    <row r="183" spans="4:4" x14ac:dyDescent="0.2">
      <c r="D183" s="17"/>
    </row>
    <row r="184" spans="4:4" x14ac:dyDescent="0.2">
      <c r="D184" s="17"/>
    </row>
    <row r="185" spans="4:4" x14ac:dyDescent="0.2">
      <c r="D185" s="17"/>
    </row>
    <row r="186" spans="4:4" x14ac:dyDescent="0.2">
      <c r="D186" s="17"/>
    </row>
    <row r="187" spans="4:4" x14ac:dyDescent="0.2">
      <c r="D187" s="17"/>
    </row>
    <row r="188" spans="4:4" x14ac:dyDescent="0.2">
      <c r="D188" s="17"/>
    </row>
    <row r="189" spans="4:4" x14ac:dyDescent="0.2">
      <c r="D189" s="17"/>
    </row>
    <row r="190" spans="4:4" x14ac:dyDescent="0.2">
      <c r="D190" s="17"/>
    </row>
    <row r="191" spans="4:4" x14ac:dyDescent="0.2">
      <c r="D191" s="17"/>
    </row>
    <row r="192" spans="4:4" x14ac:dyDescent="0.2">
      <c r="D192" s="17"/>
    </row>
    <row r="193" spans="4:4" x14ac:dyDescent="0.2">
      <c r="D193" s="17"/>
    </row>
    <row r="194" spans="4:4" x14ac:dyDescent="0.2">
      <c r="D194" s="17"/>
    </row>
    <row r="195" spans="4:4" x14ac:dyDescent="0.2">
      <c r="D195" s="17"/>
    </row>
    <row r="196" spans="4:4" x14ac:dyDescent="0.2">
      <c r="D196" s="17"/>
    </row>
    <row r="197" spans="4:4" x14ac:dyDescent="0.2">
      <c r="D197" s="17"/>
    </row>
    <row r="198" spans="4:4" x14ac:dyDescent="0.2">
      <c r="D198" s="17"/>
    </row>
    <row r="199" spans="4:4" x14ac:dyDescent="0.2">
      <c r="D199" s="17"/>
    </row>
    <row r="200" spans="4:4" x14ac:dyDescent="0.2">
      <c r="D200" s="17"/>
    </row>
    <row r="201" spans="4:4" x14ac:dyDescent="0.2">
      <c r="D201" s="17"/>
    </row>
    <row r="202" spans="4:4" x14ac:dyDescent="0.2">
      <c r="D202" s="17"/>
    </row>
    <row r="203" spans="4:4" x14ac:dyDescent="0.2">
      <c r="D203" s="17"/>
    </row>
    <row r="204" spans="4:4" x14ac:dyDescent="0.2">
      <c r="D204" s="17"/>
    </row>
    <row r="205" spans="4:4" x14ac:dyDescent="0.2">
      <c r="D205" s="17"/>
    </row>
    <row r="206" spans="4:4" x14ac:dyDescent="0.2">
      <c r="D206" s="17"/>
    </row>
    <row r="207" spans="4:4" x14ac:dyDescent="0.2">
      <c r="D207" s="17"/>
    </row>
    <row r="208" spans="4:4" x14ac:dyDescent="0.2">
      <c r="D208" s="17"/>
    </row>
    <row r="209" spans="4:4" x14ac:dyDescent="0.2">
      <c r="D209" s="17"/>
    </row>
    <row r="210" spans="4:4" x14ac:dyDescent="0.2">
      <c r="D210" s="17"/>
    </row>
    <row r="211" spans="4:4" x14ac:dyDescent="0.2">
      <c r="D211" s="17"/>
    </row>
    <row r="212" spans="4:4" x14ac:dyDescent="0.2">
      <c r="D212" s="17"/>
    </row>
    <row r="213" spans="4:4" x14ac:dyDescent="0.2">
      <c r="D213" s="17"/>
    </row>
    <row r="214" spans="4:4" x14ac:dyDescent="0.2">
      <c r="D214" s="17"/>
    </row>
    <row r="215" spans="4:4" x14ac:dyDescent="0.2">
      <c r="D215" s="17"/>
    </row>
    <row r="216" spans="4:4" x14ac:dyDescent="0.2">
      <c r="D216" s="17"/>
    </row>
    <row r="217" spans="4:4" x14ac:dyDescent="0.2">
      <c r="D217" s="17"/>
    </row>
    <row r="218" spans="4:4" x14ac:dyDescent="0.2">
      <c r="D218" s="17"/>
    </row>
    <row r="219" spans="4:4" x14ac:dyDescent="0.2">
      <c r="D219" s="17"/>
    </row>
    <row r="220" spans="4:4" x14ac:dyDescent="0.2">
      <c r="D220" s="17"/>
    </row>
    <row r="221" spans="4:4" x14ac:dyDescent="0.2">
      <c r="D221" s="17"/>
    </row>
    <row r="222" spans="4:4" x14ac:dyDescent="0.2">
      <c r="D222" s="17"/>
    </row>
    <row r="223" spans="4:4" x14ac:dyDescent="0.2">
      <c r="D223" s="17"/>
    </row>
    <row r="224" spans="4:4" x14ac:dyDescent="0.2">
      <c r="D224" s="17"/>
    </row>
    <row r="225" spans="4:4" x14ac:dyDescent="0.2">
      <c r="D225" s="17"/>
    </row>
    <row r="226" spans="4:4" x14ac:dyDescent="0.2">
      <c r="D226" s="17"/>
    </row>
    <row r="227" spans="4:4" x14ac:dyDescent="0.2">
      <c r="D227" s="17"/>
    </row>
    <row r="228" spans="4:4" x14ac:dyDescent="0.2">
      <c r="D228" s="17"/>
    </row>
    <row r="229" spans="4:4" x14ac:dyDescent="0.2">
      <c r="D229" s="17"/>
    </row>
    <row r="230" spans="4:4" x14ac:dyDescent="0.2">
      <c r="D230" s="17"/>
    </row>
    <row r="231" spans="4:4" x14ac:dyDescent="0.2">
      <c r="D231" s="17"/>
    </row>
    <row r="232" spans="4:4" x14ac:dyDescent="0.2">
      <c r="D232" s="17"/>
    </row>
    <row r="233" spans="4:4" x14ac:dyDescent="0.2">
      <c r="D233" s="17"/>
    </row>
    <row r="234" spans="4:4" x14ac:dyDescent="0.2">
      <c r="D234" s="17"/>
    </row>
    <row r="235" spans="4:4" x14ac:dyDescent="0.2">
      <c r="D235" s="17"/>
    </row>
    <row r="236" spans="4:4" x14ac:dyDescent="0.2">
      <c r="D236" s="17"/>
    </row>
    <row r="237" spans="4:4" x14ac:dyDescent="0.2">
      <c r="D237" s="17"/>
    </row>
    <row r="238" spans="4:4" x14ac:dyDescent="0.2">
      <c r="D238" s="17"/>
    </row>
    <row r="239" spans="4:4" x14ac:dyDescent="0.2">
      <c r="D239" s="17"/>
    </row>
    <row r="240" spans="4:4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General</vt:lpstr>
      <vt:lpstr>Raw Data</vt:lpstr>
      <vt:lpstr>Summary</vt:lpstr>
      <vt:lpstr>Exp Monthly</vt:lpstr>
      <vt:lpstr>Exp Quarterly</vt:lpstr>
      <vt:lpstr>Exp Annual</vt:lpstr>
      <vt:lpstr>Exp 12 Months</vt:lpstr>
      <vt:lpstr>Top5 Monthly</vt:lpstr>
      <vt:lpstr>Top5 Annual</vt:lpstr>
      <vt:lpstr>Exp Institutions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2021-12-18T23:39:43Z</dcterms:modified>
</cp:coreProperties>
</file>