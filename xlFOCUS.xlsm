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"/>
    </mc:Choice>
  </mc:AlternateContent>
  <xr:revisionPtr revIDLastSave="0" documentId="13_ncr:1_{4B2231AC-63B2-4ACE-A5ED-D393944CCA94}" xr6:coauthVersionLast="47" xr6:coauthVersionMax="47" xr10:uidLastSave="{00000000-0000-0000-0000-000000000000}"/>
  <bookViews>
    <workbookView xWindow="-120" yWindow="-120" windowWidth="26760" windowHeight="14520" xr2:uid="{9E6A8D97-B289-41C5-8A9F-017379FD1A6C}"/>
  </bookViews>
  <sheets>
    <sheet name="General" sheetId="2" r:id="rId1"/>
    <sheet name="Summary" sheetId="4" r:id="rId2"/>
    <sheet name="Exp Monthly" sheetId="5" r:id="rId3"/>
    <sheet name="Exp Quarterly" sheetId="6" r:id="rId4"/>
    <sheet name="Exp Annual" sheetId="7" r:id="rId5"/>
    <sheet name="Exp 12 Months" sheetId="8" r:id="rId6"/>
    <sheet name="Top5 Monthly" sheetId="9" r:id="rId7"/>
    <sheet name="Top5 Annual" sheetId="10" r:id="rId8"/>
    <sheet name="Exp Institutions" sheetId="11" r:id="rId9"/>
    <sheet name="URL to Table" sheetId="3" r:id="rId10"/>
    <sheet name="File to Table" sheetId="12" r:id="rId11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" i="6" l="1"/>
  <c r="J1" i="11"/>
  <c r="J1" i="10"/>
  <c r="J1" i="9"/>
  <c r="J1" i="8"/>
  <c r="J1" i="7"/>
  <c r="J1" i="5"/>
  <c r="P2" i="4"/>
  <c r="I2" i="4"/>
  <c r="A5" i="3"/>
  <c r="J4" i="4" a="1"/>
  <c r="L9" i="4" a="1"/>
  <c r="K11" i="4" a="1"/>
  <c r="J15" i="4" a="1"/>
  <c r="M7" i="4" a="1"/>
  <c r="M12" i="4" a="1"/>
  <c r="I14" i="4" a="1"/>
  <c r="T14" i="4" a="1"/>
  <c r="S8" i="4" a="1"/>
  <c r="D4" i="8" a="1"/>
  <c r="L14" i="4" a="1"/>
  <c r="M13" i="4" a="1"/>
  <c r="N15" i="4" a="1"/>
  <c r="S4" i="4" a="1"/>
  <c r="I4" i="4" a="1"/>
  <c r="D4" i="7" a="1"/>
  <c r="Q8" i="4" a="1"/>
  <c r="P10" i="4" a="1"/>
  <c r="N14" i="4" a="1"/>
  <c r="I15" i="4" a="1"/>
  <c r="M10" i="4" a="1"/>
  <c r="Q15" i="4" a="1"/>
  <c r="P13" i="4" a="1"/>
  <c r="I6" i="4" a="1"/>
  <c r="D4" i="10" a="1"/>
  <c r="T12" i="4" a="1"/>
  <c r="K12" i="4" a="1"/>
  <c r="T6" i="4" a="1"/>
  <c r="A8" i="3" a="1"/>
  <c r="U11" i="4" a="1"/>
  <c r="U7" i="4" a="1"/>
  <c r="T9" i="4" a="1"/>
  <c r="S13" i="4" a="1"/>
  <c r="I13" i="4" a="1"/>
  <c r="I9" i="4" a="1"/>
  <c r="N13" i="4" a="1"/>
  <c r="J12" i="4" a="1"/>
  <c r="U9" i="4" a="1"/>
  <c r="L7" i="4" a="1"/>
  <c r="P6" i="4" a="1"/>
  <c r="P8" i="4" a="1"/>
  <c r="J13" i="4" a="1"/>
  <c r="R11" i="4" a="1"/>
  <c r="R7" i="4" a="1"/>
  <c r="U12" i="4" a="1"/>
  <c r="U5" i="4" a="1"/>
  <c r="K7" i="4" a="1"/>
  <c r="K4" i="4" a="1"/>
  <c r="K9" i="4" a="1"/>
  <c r="T5" i="4" a="1"/>
  <c r="N6" i="4" a="1"/>
  <c r="N12" i="4" a="1"/>
  <c r="I11" i="4" a="1"/>
  <c r="L4" i="4" a="1"/>
  <c r="U10" i="4" a="1"/>
  <c r="P11" i="4" a="1"/>
  <c r="I12" i="4" a="1"/>
  <c r="S15" i="4" a="1"/>
  <c r="S5" i="4" a="1"/>
  <c r="P4" i="4" a="1"/>
  <c r="N4" i="4" a="1"/>
  <c r="J11" i="4" a="1"/>
  <c r="R9" i="4" a="1"/>
  <c r="T4" i="4" a="1"/>
  <c r="Q9" i="4" a="1"/>
  <c r="K10" i="4" a="1"/>
  <c r="M14" i="4" a="1"/>
  <c r="M9" i="4" a="1"/>
  <c r="T7" i="4" a="1"/>
  <c r="R14" i="4" a="1"/>
  <c r="N10" i="4" a="1"/>
  <c r="M8" i="4" a="1"/>
  <c r="T8" i="4" a="1"/>
  <c r="U15" i="4" a="1"/>
  <c r="J7" i="4" a="1"/>
  <c r="T15" i="4" a="1"/>
  <c r="S9" i="4" a="1"/>
  <c r="U6" i="4" a="1"/>
  <c r="L5" i="4" a="1"/>
  <c r="R8" i="4" a="1"/>
  <c r="K8" i="4" a="1"/>
  <c r="S10" i="4" a="1"/>
  <c r="L12" i="4" a="1"/>
  <c r="R5" i="4" a="1"/>
  <c r="M15" i="4" a="1"/>
  <c r="J14" i="4" a="1"/>
  <c r="I10" i="4" a="1"/>
  <c r="L15" i="4" a="1"/>
  <c r="J5" i="4" a="1"/>
  <c r="S11" i="4" a="1"/>
  <c r="J9" i="4" a="1"/>
  <c r="Q5" i="4" a="1"/>
  <c r="U14" i="4" a="1"/>
  <c r="K14" i="4" a="1"/>
  <c r="S6" i="4" a="1"/>
  <c r="N9" i="4" a="1"/>
  <c r="I8" i="4" a="1"/>
  <c r="Q11" i="4" a="1"/>
  <c r="Q6" i="4" a="1"/>
  <c r="N11" i="4" a="1"/>
  <c r="D4" i="9" a="1"/>
  <c r="Q14" i="4" a="1"/>
  <c r="M11" i="4" a="1"/>
  <c r="N8" i="4" a="1"/>
  <c r="S7" i="4" a="1"/>
  <c r="K6" i="4" a="1"/>
  <c r="Q13" i="4" a="1"/>
  <c r="T10" i="4" a="1"/>
  <c r="N5" i="4" a="1"/>
  <c r="J8" i="4" a="1"/>
  <c r="P9" i="4" a="1"/>
  <c r="R10" i="4" a="1"/>
  <c r="S14" i="4" a="1"/>
  <c r="U4" i="4" a="1"/>
  <c r="T11" i="4" a="1"/>
  <c r="D4" i="6" a="1"/>
  <c r="U13" i="4" a="1"/>
  <c r="K15" i="4" a="1"/>
  <c r="I7" i="4" a="1"/>
  <c r="M6" i="4" a="1"/>
  <c r="N7" i="4" a="1"/>
  <c r="R4" i="4" a="1"/>
  <c r="J6" i="4" a="1"/>
  <c r="U8" i="4" a="1"/>
  <c r="R13" i="4" a="1"/>
  <c r="D4" i="11" a="1"/>
  <c r="L13" i="4" a="1"/>
  <c r="P14" i="4" a="1"/>
  <c r="I5" i="4" a="1"/>
  <c r="P7" i="4" a="1"/>
  <c r="R15" i="4" a="1"/>
  <c r="J10" i="4" a="1"/>
  <c r="D4" i="5" a="1"/>
  <c r="Q12" i="4" a="1"/>
  <c r="T13" i="4" a="1"/>
  <c r="L8" i="4" a="1"/>
  <c r="M4" i="4" a="1"/>
  <c r="Q4" i="4" a="1"/>
  <c r="L10" i="4" a="1"/>
  <c r="S12" i="4" a="1"/>
  <c r="M5" i="4" a="1"/>
  <c r="L6" i="4" a="1"/>
  <c r="L11" i="4" a="1"/>
  <c r="K13" i="4" a="1"/>
  <c r="R6" i="4" a="1"/>
  <c r="P15" i="4" a="1"/>
  <c r="K5" i="4" a="1"/>
  <c r="Q10" i="4" a="1"/>
  <c r="P12" i="4" a="1"/>
  <c r="R12" i="4" a="1"/>
  <c r="P5" i="4" a="1"/>
  <c r="Q7" i="4" a="1"/>
  <c r="A5" i="12" a="1"/>
  <c r="A5" i="12" l="1"/>
  <c r="D4" i="6"/>
  <c r="D4" i="11"/>
  <c r="D4" i="5"/>
  <c r="L6" i="4"/>
  <c r="K5" i="4"/>
  <c r="K4" i="4"/>
  <c r="J4" i="4"/>
  <c r="D4" i="7"/>
  <c r="Q6" i="4"/>
  <c r="M15" i="4"/>
  <c r="R4" i="4"/>
  <c r="J8" i="4"/>
  <c r="N9" i="4"/>
  <c r="S10" i="4"/>
  <c r="J12" i="4"/>
  <c r="N13" i="4"/>
  <c r="N15" i="4"/>
  <c r="U5" i="4"/>
  <c r="M13" i="4"/>
  <c r="I6" i="4"/>
  <c r="S8" i="4"/>
  <c r="J10" i="4"/>
  <c r="N11" i="4"/>
  <c r="S12" i="4"/>
  <c r="J14" i="4"/>
  <c r="S14" i="4"/>
  <c r="I8" i="4"/>
  <c r="N5" i="4"/>
  <c r="S6" i="4"/>
  <c r="K8" i="4"/>
  <c r="T8" i="4"/>
  <c r="K10" i="4"/>
  <c r="P11" i="4"/>
  <c r="K12" i="4"/>
  <c r="T12" i="4"/>
  <c r="P13" i="4"/>
  <c r="T14" i="4"/>
  <c r="P15" i="4"/>
  <c r="I10" i="4"/>
  <c r="S4" i="4"/>
  <c r="J6" i="4"/>
  <c r="P7" i="4"/>
  <c r="P9" i="4"/>
  <c r="T10" i="4"/>
  <c r="K14" i="4"/>
  <c r="R8" i="4"/>
  <c r="T6" i="4"/>
  <c r="Q9" i="4"/>
  <c r="U10" i="4"/>
  <c r="U12" i="4"/>
  <c r="L14" i="4"/>
  <c r="Q15" i="4"/>
  <c r="I14" i="4"/>
  <c r="I4" i="4"/>
  <c r="Q7" i="4"/>
  <c r="U8" i="4"/>
  <c r="L10" i="4"/>
  <c r="Q11" i="4"/>
  <c r="L12" i="4"/>
  <c r="Q13" i="4"/>
  <c r="U14" i="4"/>
  <c r="L5" i="4"/>
  <c r="I12" i="4"/>
  <c r="T4" i="4"/>
  <c r="L4" i="4"/>
  <c r="R7" i="4"/>
  <c r="I9" i="4"/>
  <c r="M10" i="4"/>
  <c r="M12" i="4"/>
  <c r="R13" i="4"/>
  <c r="M14" i="4"/>
  <c r="R15" i="4"/>
  <c r="Q4" i="4"/>
  <c r="R10" i="4"/>
  <c r="N7" i="4"/>
  <c r="K6" i="4"/>
  <c r="Q5" i="4"/>
  <c r="U6" i="4"/>
  <c r="M8" i="4"/>
  <c r="R9" i="4"/>
  <c r="I11" i="4"/>
  <c r="R11" i="4"/>
  <c r="I13" i="4"/>
  <c r="I15" i="4"/>
  <c r="M7" i="4"/>
  <c r="M5" i="4"/>
  <c r="P5" i="4"/>
  <c r="U4" i="4"/>
  <c r="M4" i="4"/>
  <c r="R5" i="4"/>
  <c r="M6" i="4"/>
  <c r="S7" i="4"/>
  <c r="J9" i="4"/>
  <c r="S9" i="4"/>
  <c r="N10" i="4"/>
  <c r="J11" i="4"/>
  <c r="N12" i="4"/>
  <c r="J13" i="4"/>
  <c r="S13" i="4"/>
  <c r="N14" i="4"/>
  <c r="J15" i="4"/>
  <c r="S15" i="4"/>
  <c r="R12" i="4"/>
  <c r="R6" i="4"/>
  <c r="L8" i="4"/>
  <c r="I5" i="4"/>
  <c r="I7" i="4"/>
  <c r="N8" i="4"/>
  <c r="S11" i="4"/>
  <c r="T15" i="4"/>
  <c r="R14" i="4"/>
  <c r="N4" i="4"/>
  <c r="N6" i="4"/>
  <c r="P8" i="4"/>
  <c r="T9" i="4"/>
  <c r="P10" i="4"/>
  <c r="K11" i="4"/>
  <c r="T11" i="4"/>
  <c r="P12" i="4"/>
  <c r="K13" i="4"/>
  <c r="T13" i="4"/>
  <c r="P14" i="4"/>
  <c r="K15" i="4"/>
  <c r="M11" i="4"/>
  <c r="J5" i="4"/>
  <c r="J7" i="4"/>
  <c r="T7" i="4"/>
  <c r="P4" i="4"/>
  <c r="T5" i="4"/>
  <c r="P6" i="4"/>
  <c r="U7" i="4"/>
  <c r="Q8" i="4"/>
  <c r="L9" i="4"/>
  <c r="U9" i="4"/>
  <c r="Q10" i="4"/>
  <c r="L11" i="4"/>
  <c r="Q12" i="4"/>
  <c r="L13" i="4"/>
  <c r="U13" i="4"/>
  <c r="Q14" i="4"/>
  <c r="L15" i="4"/>
  <c r="U15" i="4"/>
  <c r="M9" i="4"/>
  <c r="S5" i="4"/>
  <c r="K9" i="4"/>
  <c r="L7" i="4"/>
  <c r="U11" i="4"/>
  <c r="K7" i="4"/>
  <c r="A8" i="3"/>
  <c r="D4" i="8"/>
  <c r="D4" i="9"/>
  <c r="D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<sst xmlns="http://schemas.openxmlformats.org/spreadsheetml/2006/main" count="334" uniqueCount="167">
  <si>
    <t>This spreadsheet exposes examples of how to fetch data from the BCB's "Expectativas de Mercado" survey, also known as FOCUS.</t>
  </si>
  <si>
    <t>https://olinda.bcb.gov.br/olinda/servico/Expectativas/versao/v1/aplicacao#!/recursos</t>
  </si>
  <si>
    <t>Function name</t>
  </si>
  <si>
    <t>Description</t>
  </si>
  <si>
    <t>Expectations for monthly indicators</t>
  </si>
  <si>
    <t>Expectations for quarterly indicators</t>
  </si>
  <si>
    <t>Expectations for annual indicators</t>
  </si>
  <si>
    <t>Expectations of each institution</t>
  </si>
  <si>
    <t>Expectations for 12 months ahead</t>
  </si>
  <si>
    <t>Expectations for monthly indicators from TOP 5 institutions</t>
  </si>
  <si>
    <t>Expectations for annual indicators from TOP 5 institutions</t>
  </si>
  <si>
    <t>Indicador</t>
  </si>
  <si>
    <t>Indicator name</t>
  </si>
  <si>
    <t>Data</t>
  </si>
  <si>
    <t>Date of the forecast</t>
  </si>
  <si>
    <t>Minimo</t>
  </si>
  <si>
    <t>Lowest forecast</t>
  </si>
  <si>
    <t>Mediana</t>
  </si>
  <si>
    <t>Median of forecasts</t>
  </si>
  <si>
    <t>Media</t>
  </si>
  <si>
    <t>Mean of forecasts</t>
  </si>
  <si>
    <t>Maximo</t>
  </si>
  <si>
    <t>DesvioPadrao</t>
  </si>
  <si>
    <t>Standard deviation of forecasts</t>
  </si>
  <si>
    <t>JSON</t>
  </si>
  <si>
    <t>From JSON to Table</t>
  </si>
  <si>
    <t>Indicator</t>
  </si>
  <si>
    <t>Detalhe do Indicador (Indicator Detail)</t>
  </si>
  <si>
    <t>Measure</t>
  </si>
  <si>
    <t>Forecast date</t>
  </si>
  <si>
    <t>4-wk ago</t>
  </si>
  <si>
    <t>1-wk ago</t>
  </si>
  <si>
    <t>Today</t>
  </si>
  <si>
    <t># Resp</t>
  </si>
  <si>
    <t>5 wd</t>
  </si>
  <si>
    <t>IPCA (% YoY)</t>
  </si>
  <si>
    <t>IPCA</t>
  </si>
  <si>
    <t>GDP (% YoY)</t>
  </si>
  <si>
    <t>PIB Total</t>
  </si>
  <si>
    <t>FX (R$/US$)</t>
  </si>
  <si>
    <t>Câmbio</t>
  </si>
  <si>
    <t>Selic (% annum)</t>
  </si>
  <si>
    <t>Selic</t>
  </si>
  <si>
    <t>IGP-M (% YoY)</t>
  </si>
  <si>
    <t>IGP-M</t>
  </si>
  <si>
    <t>IPCA Supervised (% YoY)</t>
  </si>
  <si>
    <t>IPCA Administrados</t>
  </si>
  <si>
    <t>Current account (US$ billions)</t>
  </si>
  <si>
    <t>Conta corrente</t>
  </si>
  <si>
    <t>Commercial balance (US$ billions)</t>
  </si>
  <si>
    <t>Balança comercial</t>
  </si>
  <si>
    <t>Saldo</t>
  </si>
  <si>
    <t>FDI (US$ billions)</t>
  </si>
  <si>
    <t>Investimento direto no país</t>
  </si>
  <si>
    <t>Net debt (% of GDP)</t>
  </si>
  <si>
    <t>Dívida líquida do setor público</t>
  </si>
  <si>
    <t>Primary balance (% of GDP)</t>
  </si>
  <si>
    <t>Resultado primário</t>
  </si>
  <si>
    <t>Nominal balance (% of GDP)</t>
  </si>
  <si>
    <t>Resultado nominal</t>
  </si>
  <si>
    <t>Graph title</t>
  </si>
  <si>
    <t>Indicador (Indicator)</t>
  </si>
  <si>
    <t>Indicador Detalhe (Indicator Detail)</t>
  </si>
  <si>
    <t>Data de Referência (Date of Reference)</t>
  </si>
  <si>
    <t>Data Inicial (Start Date)</t>
  </si>
  <si>
    <t>Data Final (Final Date)</t>
  </si>
  <si>
    <t>Base de Cálculo (Calculus Basis)</t>
  </si>
  <si>
    <t>Suavizada (Smoothened)</t>
  </si>
  <si>
    <t>N</t>
  </si>
  <si>
    <t>Date</t>
  </si>
  <si>
    <t>Minimum</t>
  </si>
  <si>
    <t>Median</t>
  </si>
  <si>
    <t>Maximum</t>
  </si>
  <si>
    <t>Std</t>
  </si>
  <si>
    <t>Tipo de Cálculo (Calculus Type)</t>
  </si>
  <si>
    <t>C</t>
  </si>
  <si>
    <t>Instituicao</t>
  </si>
  <si>
    <t>Valor</t>
  </si>
  <si>
    <t>URL</t>
  </si>
  <si>
    <t>https://olinda.bcb.gov.br/olinda/servico/Expectativas/versao/v1/odata/ExpectativaMercadoMensais?$top=10000&amp;$filter=Indicador%20eq%20'IPCA'%20and%20DataReferencia%20eq%20'04%2F2000'&amp;$format=json</t>
  </si>
  <si>
    <t>Summary of Annual Expectations (Resumo das Expectativas Anuais)</t>
  </si>
  <si>
    <t>Forecast of Monthly Indicators (Expectativas Mensais)</t>
  </si>
  <si>
    <t>Forecast of Quarterly Indicators (Expectativas Trimestrais)</t>
  </si>
  <si>
    <t>Field name (Campos)</t>
  </si>
  <si>
    <t>baseCalculo</t>
  </si>
  <si>
    <t>tipoCalculo</t>
  </si>
  <si>
    <t>Calculus basis</t>
  </si>
  <si>
    <t>Calculus type</t>
  </si>
  <si>
    <t>Forecast of Annual Indicators (Expectativas Anuais)</t>
  </si>
  <si>
    <t>Forecast of Inflation 12 months ahead (Expectativas 12 meses à frente)</t>
  </si>
  <si>
    <t>Forecast of Monthly Indicators by TOP5 Institutions (Expectativas TOP5 Mensais)</t>
  </si>
  <si>
    <t>Forecast of Annual Indicators by TOP5 Institutions (Expectativas TOP5 Anuais)</t>
  </si>
  <si>
    <t>Forecast of Specific Institutions (Expectativas Instituições)</t>
  </si>
  <si>
    <t>Highest forecast</t>
  </si>
  <si>
    <t>DataReferencia</t>
  </si>
  <si>
    <t>Date of the indicator forecasted</t>
  </si>
  <si>
    <t>numeroRespondentes</t>
  </si>
  <si>
    <t>Number of respondents</t>
  </si>
  <si>
    <t>Monthly</t>
  </si>
  <si>
    <t>x</t>
  </si>
  <si>
    <t>Quarterly</t>
  </si>
  <si>
    <t>Annual</t>
  </si>
  <si>
    <t>IndicadorDetalhe</t>
  </si>
  <si>
    <t>Indicator detail</t>
  </si>
  <si>
    <t>12 mths ahead</t>
  </si>
  <si>
    <t>Suavizada</t>
  </si>
  <si>
    <t>Smoothed</t>
  </si>
  <si>
    <t>TOP5 Monthly</t>
  </si>
  <si>
    <t>TOP5 Annual</t>
  </si>
  <si>
    <t>Institutions</t>
  </si>
  <si>
    <t>Institution</t>
  </si>
  <si>
    <t>Periodicidade</t>
  </si>
  <si>
    <t>Frequency</t>
  </si>
  <si>
    <t>Value</t>
  </si>
  <si>
    <t>IGP-DI</t>
  </si>
  <si>
    <t>TIPS</t>
  </si>
  <si>
    <t>* There is a function for each resource provided by the FOCUS's webservice. One can find the metadata on its webpage:</t>
  </si>
  <si>
    <r>
      <t xml:space="preserve">It is intended to be used by researchers and the general public. It is NOT a product of the BCB, nor it is maintained by that institution. </t>
    </r>
    <r>
      <rPr>
        <b/>
        <sz val="11"/>
        <color theme="1"/>
        <rFont val="Arial"/>
        <family val="2"/>
      </rPr>
      <t>Use at your own risk!</t>
    </r>
  </si>
  <si>
    <t>It is totally free and its code is open!</t>
  </si>
  <si>
    <t/>
  </si>
  <si>
    <t>* 32,767 is the maximum number of characters of the JSON script returned by each function call</t>
  </si>
  <si>
    <t>* 2,048 is the maximum number of characters of the URL path accessed by each function call</t>
  </si>
  <si>
    <t>https://github.com/VBA-tools/VBA-JSON</t>
  </si>
  <si>
    <t>The JsonConverter module is part of the "VBA-JSON" project developed by Tim Hall and available at the website below. Tested on v2.3.1.</t>
  </si>
  <si>
    <t>* These functions rely on Excel's WEBSERVICE function (available from Excel 2013 onward), which can be quite unstable. So, when designing your spreadsheet, remember to save it constantly.</t>
  </si>
  <si>
    <t>https://github.com/edugca/xlFOCUS</t>
  </si>
  <si>
    <t>* Most recent version should be found in the webpage below:</t>
  </si>
  <si>
    <t>xlFOCUS_ReadJSON</t>
  </si>
  <si>
    <t>xlFOCUS_ExpectativasMensais</t>
  </si>
  <si>
    <t>xlFOCUS_ExpectativasTrimestrais</t>
  </si>
  <si>
    <t>xlFOCUS_ExpectativasAnuais</t>
  </si>
  <si>
    <t>xlFOCUS_ExpectativasInstituicoes</t>
  </si>
  <si>
    <t>xlFOCUS_Expectativas12Meses</t>
  </si>
  <si>
    <t>xlFOCUS_ExpectativasTop5Mensais</t>
  </si>
  <si>
    <t>xlFOCUS_ExpectativasTop5Anuais</t>
  </si>
  <si>
    <t>xlFOCUS_IfError</t>
  </si>
  <si>
    <t>The same as Excel's IFERROR function but able to identify xlFOCUS error messages</t>
  </si>
  <si>
    <t>* If your query is not working, try to build it on the webpage above. If the server is down, then all functions will fail to fetch data!</t>
  </si>
  <si>
    <t>* Beware that the FOCUS webservice is case sensitive, that is, "IPCA" works but "ipca" does not.</t>
  </si>
  <si>
    <t>* Below, one finds a quick summary of the functions and its available fields. NOT all fields are obligatory, i.e if DataFInal is left empty, query returns all available values up to the present date</t>
  </si>
  <si>
    <t>Anual</t>
  </si>
  <si>
    <t>4/2021</t>
  </si>
  <si>
    <t>* 10,000 is the maximum number of observations returned by each function call</t>
  </si>
  <si>
    <t>Alternatively, make a reference in your spreadsheet to the "Microsoft Scripting Runtime" library and copy to your spreadsheet the VBA modules named xlFOCUS and JsonConverter, both embedded in this spreadsheet.</t>
  </si>
  <si>
    <t>https://support.microsoft.com/en-us/topic/show-the-developer-tab-e1192344-5e56-4d45-931b-e5fd9bea2d45</t>
  </si>
  <si>
    <t>https://support.microsoft.com/en-us/office/enable-or-disable-macros-in-office-files-12b036fd-d140-4e74-b45e-16fed1a7e5c6</t>
  </si>
  <si>
    <t>1) With your spreadsheet open, make sure macros are enabled and the Developer tab is displayed. In the links below, you learn how to do that:</t>
  </si>
  <si>
    <t>xlFOCUS (v. 0.2)</t>
  </si>
  <si>
    <t>* Version history</t>
  </si>
  <si>
    <t>First release</t>
  </si>
  <si>
    <t>More instructions on how to implement these resources on the user's spreadsheet</t>
  </si>
  <si>
    <t>3) In the toolbar of the VBA Editor, click on Tools, then on References. Enable the library "Microsoft Scripting Runtime". Then click OK.</t>
  </si>
  <si>
    <t>4) Drag the VBA modules "xlFOCUS" and "JsonConverter" from this spreadsheet to your spreadsheet. Now, close the VBA Editor. You're ready to use xlFOCUS!</t>
  </si>
  <si>
    <t>2) In the ribbon, click on Developer tab, then on "Visual Basic".</t>
  </si>
  <si>
    <t>File path</t>
  </si>
  <si>
    <t>C:\Users\Eduardo\Google Drive\Meus Projetos\Example 1.json</t>
  </si>
  <si>
    <t>xlFOCUS_ReadJSONFile</t>
  </si>
  <si>
    <t>Read a JSON string in a cell that resulted from the FOCUS webservice and transform it into a table</t>
  </si>
  <si>
    <t>Read a JSON file that resulted from the FOCUS webservice and transform it into a table</t>
  </si>
  <si>
    <t>* There are some known limitations with functions that directly query the FOCUS webservice. Basically, avoid returning much data in a single function call and avoid many function calls:</t>
  </si>
  <si>
    <t>* To update from a previous version, just replace the old version of this spreadsheet with this one.</t>
  </si>
  <si>
    <t>To update in your own spreadsheets, you need to open each one of them in the VBA Editor and replace the module "xlFOCUS" with its current version embedded in this spreadsheet.</t>
  </si>
  <si>
    <t>* To read large JSON files generated by the FOCUS website, download them to a folder and then read them with the function xlFOCUS_ReadJSONFile.</t>
  </si>
  <si>
    <t>New function to read JSON files: xlFOCUS_readJSONFile</t>
  </si>
  <si>
    <t>v 0.1</t>
  </si>
  <si>
    <t>v 0.2</t>
  </si>
  <si>
    <t>* To use these functions in your own spreadsheet, use this spreadsheet as a model, it is EASIER!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</si>
</sst>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-416]mmm\-yy;@"/>
    <numFmt numFmtId="165" formatCode="yyyy"/>
  </numFmts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u/>
      <sz val="10"/>
      <color theme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rgb="FF3F3F76"/>
      <name val="Arial"/>
      <family val="2"/>
    </font>
    <font>
      <b/>
      <sz val="11"/>
      <color theme="1"/>
      <name val="Arial"/>
      <family val="2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5" fillId="0" borderId="0" applyNumberFormat="0" applyFill="0" applyBorder="0" applyAlignment="0" applyProtection="0"/>
    <xf numFmtId="0" fontId="8" fillId="2" borderId="1" applyNumberFormat="0" applyAlignment="0" applyProtection="0"/>
  </cellStyleXfs>
  <cellXfs count="62">
    <xf numFmtId="0" fontId="0" fillId="0" borderId="0" xfId="0"/>
    <xf numFmtId="0" fontId="2" fillId="0" borderId="0" xfId="2"/>
    <xf numFmtId="0" fontId="4" fillId="0" borderId="0" xfId="2" applyFont="1"/>
    <xf numFmtId="0" fontId="6" fillId="0" borderId="0" xfId="2" applyFont="1"/>
    <xf numFmtId="0" fontId="2" fillId="0" borderId="2" xfId="2" applyBorder="1"/>
    <xf numFmtId="0" fontId="2" fillId="0" borderId="3" xfId="2" applyBorder="1"/>
    <xf numFmtId="0" fontId="2" fillId="0" borderId="4" xfId="2" applyBorder="1"/>
    <xf numFmtId="0" fontId="6" fillId="3" borderId="0" xfId="2" applyFont="1" applyFill="1"/>
    <xf numFmtId="0" fontId="2" fillId="3" borderId="0" xfId="2" applyFill="1"/>
    <xf numFmtId="0" fontId="7" fillId="0" borderId="0" xfId="2" applyFont="1"/>
    <xf numFmtId="164" fontId="2" fillId="0" borderId="0" xfId="2" applyNumberFormat="1"/>
    <xf numFmtId="2" fontId="2" fillId="0" borderId="0" xfId="2" applyNumberFormat="1"/>
    <xf numFmtId="164" fontId="6" fillId="0" borderId="0" xfId="2" applyNumberFormat="1" applyFont="1"/>
    <xf numFmtId="165" fontId="6" fillId="0" borderId="0" xfId="2" applyNumberFormat="1" applyFont="1"/>
    <xf numFmtId="14" fontId="8" fillId="2" borderId="1" xfId="4" applyNumberFormat="1"/>
    <xf numFmtId="0" fontId="2" fillId="0" borderId="5" xfId="2" applyBorder="1"/>
    <xf numFmtId="2" fontId="2" fillId="0" borderId="5" xfId="2" applyNumberFormat="1" applyBorder="1"/>
    <xf numFmtId="14" fontId="2" fillId="0" borderId="0" xfId="2" applyNumberFormat="1"/>
    <xf numFmtId="0" fontId="8" fillId="2" borderId="1" xfId="4"/>
    <xf numFmtId="0" fontId="5" fillId="0" borderId="0" xfId="3"/>
    <xf numFmtId="0" fontId="1" fillId="0" borderId="0" xfId="1"/>
    <xf numFmtId="165" fontId="6" fillId="0" borderId="4" xfId="2" applyNumberFormat="1" applyFont="1" applyBorder="1"/>
    <xf numFmtId="2" fontId="2" fillId="0" borderId="7" xfId="2" applyNumberFormat="1" applyBorder="1"/>
    <xf numFmtId="0" fontId="2" fillId="0" borderId="0" xfId="2" applyBorder="1"/>
    <xf numFmtId="0" fontId="6" fillId="0" borderId="5" xfId="2" applyFont="1" applyBorder="1"/>
    <xf numFmtId="2" fontId="6" fillId="0" borderId="0" xfId="2" applyNumberFormat="1" applyFont="1"/>
    <xf numFmtId="164" fontId="2" fillId="4" borderId="0" xfId="2" applyNumberFormat="1" applyFill="1"/>
    <xf numFmtId="2" fontId="2" fillId="4" borderId="0" xfId="2" applyNumberFormat="1" applyFill="1"/>
    <xf numFmtId="2" fontId="2" fillId="4" borderId="0" xfId="2" applyNumberFormat="1" applyFill="1" applyAlignment="1">
      <alignment horizontal="right"/>
    </xf>
    <xf numFmtId="1" fontId="2" fillId="4" borderId="0" xfId="2" applyNumberFormat="1" applyFill="1" applyAlignment="1">
      <alignment horizontal="right"/>
    </xf>
    <xf numFmtId="2" fontId="2" fillId="4" borderId="4" xfId="2" applyNumberFormat="1" applyFill="1" applyBorder="1" applyAlignment="1">
      <alignment horizontal="right"/>
    </xf>
    <xf numFmtId="164" fontId="2" fillId="5" borderId="0" xfId="2" applyNumberFormat="1" applyFill="1"/>
    <xf numFmtId="2" fontId="2" fillId="5" borderId="0" xfId="2" applyNumberFormat="1" applyFill="1"/>
    <xf numFmtId="2" fontId="2" fillId="5" borderId="0" xfId="2" applyNumberFormat="1" applyFill="1" applyAlignment="1">
      <alignment horizontal="right"/>
    </xf>
    <xf numFmtId="1" fontId="2" fillId="5" borderId="0" xfId="2" applyNumberFormat="1" applyFill="1" applyAlignment="1">
      <alignment horizontal="right"/>
    </xf>
    <xf numFmtId="2" fontId="2" fillId="5" borderId="4" xfId="2" applyNumberFormat="1" applyFill="1" applyBorder="1" applyAlignment="1">
      <alignment horizontal="right"/>
    </xf>
    <xf numFmtId="164" fontId="2" fillId="5" borderId="3" xfId="2" applyNumberFormat="1" applyFill="1" applyBorder="1"/>
    <xf numFmtId="2" fontId="2" fillId="5" borderId="3" xfId="2" applyNumberFormat="1" applyFill="1" applyBorder="1"/>
    <xf numFmtId="2" fontId="2" fillId="5" borderId="3" xfId="2" applyNumberFormat="1" applyFill="1" applyBorder="1" applyAlignment="1">
      <alignment horizontal="right"/>
    </xf>
    <xf numFmtId="0" fontId="2" fillId="5" borderId="3" xfId="2" applyFill="1" applyBorder="1" applyAlignment="1">
      <alignment horizontal="right"/>
    </xf>
    <xf numFmtId="2" fontId="2" fillId="5" borderId="2" xfId="2" applyNumberFormat="1" applyFill="1" applyBorder="1" applyAlignment="1">
      <alignment horizontal="right"/>
    </xf>
    <xf numFmtId="164" fontId="2" fillId="5" borderId="5" xfId="2" applyNumberFormat="1" applyFill="1" applyBorder="1"/>
    <xf numFmtId="2" fontId="2" fillId="5" borderId="5" xfId="2" applyNumberFormat="1" applyFill="1" applyBorder="1" applyAlignment="1">
      <alignment horizontal="right"/>
    </xf>
    <xf numFmtId="1" fontId="2" fillId="5" borderId="5" xfId="2" applyNumberFormat="1" applyFill="1" applyBorder="1" applyAlignment="1">
      <alignment horizontal="right"/>
    </xf>
    <xf numFmtId="2" fontId="2" fillId="5" borderId="7" xfId="2" applyNumberFormat="1" applyFill="1" applyBorder="1" applyAlignment="1">
      <alignment horizontal="right"/>
    </xf>
    <xf numFmtId="0" fontId="2" fillId="4" borderId="0" xfId="2" applyFill="1"/>
    <xf numFmtId="0" fontId="2" fillId="5" borderId="0" xfId="2" applyFill="1"/>
    <xf numFmtId="0" fontId="6" fillId="0" borderId="0" xfId="2" applyFont="1" applyAlignment="1">
      <alignment horizontal="right"/>
    </xf>
    <xf numFmtId="0" fontId="6" fillId="0" borderId="4" xfId="2" applyFont="1" applyBorder="1" applyAlignment="1">
      <alignment horizontal="right"/>
    </xf>
    <xf numFmtId="0" fontId="2" fillId="0" borderId="5" xfId="2" applyBorder="1" applyAlignment="1">
      <alignment horizontal="center"/>
    </xf>
    <xf numFmtId="0" fontId="2" fillId="0" borderId="0" xfId="2" applyAlignment="1">
      <alignment horizontal="center"/>
    </xf>
    <xf numFmtId="0" fontId="2" fillId="0" borderId="7" xfId="2" applyBorder="1"/>
    <xf numFmtId="0" fontId="9" fillId="0" borderId="0" xfId="2" applyFont="1"/>
    <xf numFmtId="0" fontId="6" fillId="0" borderId="0" xfId="2" applyFont="1" applyAlignment="1">
      <alignment horizontal="center"/>
    </xf>
    <xf numFmtId="0" fontId="6" fillId="0" borderId="5" xfId="2" applyFont="1" applyBorder="1" applyAlignment="1">
      <alignment horizontal="center"/>
    </xf>
    <xf numFmtId="0" fontId="10" fillId="0" borderId="0" xfId="2" applyFont="1" applyAlignment="1">
      <alignment horizontal="center"/>
    </xf>
    <xf numFmtId="0" fontId="3" fillId="6" borderId="0" xfId="2" applyFont="1" applyFill="1"/>
    <xf numFmtId="0" fontId="2" fillId="6" borderId="0" xfId="2" applyFill="1"/>
    <xf numFmtId="0" fontId="2" fillId="0" borderId="0" xfId="2" quotePrefix="1"/>
    <xf numFmtId="49" fontId="8" fillId="2" borderId="1" xfId="4" applyNumberFormat="1" applyAlignment="1">
      <alignment horizontal="left"/>
    </xf>
    <xf numFmtId="0" fontId="8" fillId="2" borderId="6" xfId="4" applyBorder="1" applyAlignment="1">
      <alignment horizontal="left"/>
    </xf>
    <xf numFmtId="0" fontId="8" fillId="2" borderId="0" xfId="4" applyBorder="1" applyAlignment="1">
      <alignment horizontal="left"/>
    </xf>
  </cellXfs>
  <cellStyles count="5">
    <cellStyle name="Entrada 2" xfId="4" xr:uid="{3571552F-01C5-46A9-B6A2-427FD46A3187}"/>
    <cellStyle name="Hiperlink" xfId="1" builtinId="8"/>
    <cellStyle name="Hiperlink 2" xfId="3" xr:uid="{4FE85F15-950E-4C1A-9045-74450B8FACC8}"/>
    <cellStyle name="Normal" xfId="0" builtinId="0"/>
    <cellStyle name="Normal 2" xfId="2" xr:uid="{44EBA60F-36FD-40B9-B1DB-FB01AEDB0EE1}"/>
  </cellStyles>
  <dxfs count="0"/>
  <tableStyles count="1" defaultTableStyle="TableStyleMedium2" defaultPivotStyle="PivotStyleLight16">
    <tableStyle name="Invisible" pivot="0" table="0" count="0" xr9:uid="{6304E80C-FF5A-4CFF-AE49-ED201168DF0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'Exp Monthly'!$J$1:$P$1</c:f>
          <c:strCache>
            <c:ptCount val="7"/>
            <c:pt idx="0">
              <c:v>FOCUS forecast for IPCA of Jan/22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'Exp Monthly'!$E$3</c:f>
              <c:strCache>
                <c:ptCount val="1"/>
                <c:pt idx="0">
                  <c:v>Minimo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'Exp Monthly'!$D$4:$D$239</c:f>
              <c:numCache>
                <c:formatCode>m/d/yyyy</c:formatCode>
                <c:ptCount val="236"/>
                <c:pt idx="0">
                  <c:v>44200</c:v>
                </c:pt>
                <c:pt idx="1">
                  <c:v>44201</c:v>
                </c:pt>
                <c:pt idx="2">
                  <c:v>44202</c:v>
                </c:pt>
                <c:pt idx="3">
                  <c:v>44203</c:v>
                </c:pt>
                <c:pt idx="4">
                  <c:v>44204</c:v>
                </c:pt>
                <c:pt idx="5">
                  <c:v>44207</c:v>
                </c:pt>
                <c:pt idx="6">
                  <c:v>44208</c:v>
                </c:pt>
                <c:pt idx="7">
                  <c:v>44209</c:v>
                </c:pt>
                <c:pt idx="8">
                  <c:v>44210</c:v>
                </c:pt>
                <c:pt idx="9">
                  <c:v>44211</c:v>
                </c:pt>
                <c:pt idx="10">
                  <c:v>44214</c:v>
                </c:pt>
                <c:pt idx="11">
                  <c:v>44215</c:v>
                </c:pt>
                <c:pt idx="12">
                  <c:v>44216</c:v>
                </c:pt>
                <c:pt idx="13">
                  <c:v>44217</c:v>
                </c:pt>
                <c:pt idx="14">
                  <c:v>44218</c:v>
                </c:pt>
                <c:pt idx="15">
                  <c:v>44221</c:v>
                </c:pt>
                <c:pt idx="16">
                  <c:v>44222</c:v>
                </c:pt>
                <c:pt idx="17">
                  <c:v>44223</c:v>
                </c:pt>
                <c:pt idx="18">
                  <c:v>44224</c:v>
                </c:pt>
                <c:pt idx="19">
                  <c:v>44225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44235</c:v>
                </c:pt>
                <c:pt idx="26">
                  <c:v>44236</c:v>
                </c:pt>
                <c:pt idx="27">
                  <c:v>44237</c:v>
                </c:pt>
                <c:pt idx="28">
                  <c:v>44238</c:v>
                </c:pt>
                <c:pt idx="29">
                  <c:v>44239</c:v>
                </c:pt>
                <c:pt idx="30">
                  <c:v>44244</c:v>
                </c:pt>
                <c:pt idx="31">
                  <c:v>44245</c:v>
                </c:pt>
                <c:pt idx="32">
                  <c:v>44246</c:v>
                </c:pt>
                <c:pt idx="33">
                  <c:v>44249</c:v>
                </c:pt>
                <c:pt idx="34">
                  <c:v>44250</c:v>
                </c:pt>
                <c:pt idx="35">
                  <c:v>44251</c:v>
                </c:pt>
                <c:pt idx="36">
                  <c:v>44252</c:v>
                </c:pt>
                <c:pt idx="37">
                  <c:v>44253</c:v>
                </c:pt>
                <c:pt idx="38">
                  <c:v>44256</c:v>
                </c:pt>
                <c:pt idx="39">
                  <c:v>44257</c:v>
                </c:pt>
                <c:pt idx="40">
                  <c:v>44258</c:v>
                </c:pt>
                <c:pt idx="41">
                  <c:v>44259</c:v>
                </c:pt>
                <c:pt idx="42">
                  <c:v>44260</c:v>
                </c:pt>
                <c:pt idx="43">
                  <c:v>44263</c:v>
                </c:pt>
                <c:pt idx="44">
                  <c:v>44264</c:v>
                </c:pt>
                <c:pt idx="45">
                  <c:v>44265</c:v>
                </c:pt>
                <c:pt idx="46">
                  <c:v>44266</c:v>
                </c:pt>
                <c:pt idx="47">
                  <c:v>44267</c:v>
                </c:pt>
                <c:pt idx="48">
                  <c:v>44270</c:v>
                </c:pt>
                <c:pt idx="49">
                  <c:v>44271</c:v>
                </c:pt>
                <c:pt idx="50">
                  <c:v>44272</c:v>
                </c:pt>
                <c:pt idx="51">
                  <c:v>44273</c:v>
                </c:pt>
                <c:pt idx="52">
                  <c:v>44274</c:v>
                </c:pt>
                <c:pt idx="53">
                  <c:v>44277</c:v>
                </c:pt>
                <c:pt idx="54">
                  <c:v>44278</c:v>
                </c:pt>
                <c:pt idx="55">
                  <c:v>44279</c:v>
                </c:pt>
                <c:pt idx="56">
                  <c:v>44280</c:v>
                </c:pt>
                <c:pt idx="57">
                  <c:v>44281</c:v>
                </c:pt>
                <c:pt idx="58">
                  <c:v>44284</c:v>
                </c:pt>
                <c:pt idx="59">
                  <c:v>44285</c:v>
                </c:pt>
                <c:pt idx="60">
                  <c:v>44286</c:v>
                </c:pt>
                <c:pt idx="61">
                  <c:v>44287</c:v>
                </c:pt>
                <c:pt idx="62">
                  <c:v>44291</c:v>
                </c:pt>
                <c:pt idx="63">
                  <c:v>44292</c:v>
                </c:pt>
                <c:pt idx="64">
                  <c:v>44293</c:v>
                </c:pt>
                <c:pt idx="65">
                  <c:v>44294</c:v>
                </c:pt>
                <c:pt idx="66">
                  <c:v>44295</c:v>
                </c:pt>
                <c:pt idx="67">
                  <c:v>44298</c:v>
                </c:pt>
                <c:pt idx="68">
                  <c:v>44299</c:v>
                </c:pt>
                <c:pt idx="69">
                  <c:v>44300</c:v>
                </c:pt>
                <c:pt idx="70">
                  <c:v>44301</c:v>
                </c:pt>
                <c:pt idx="71">
                  <c:v>44302</c:v>
                </c:pt>
                <c:pt idx="72">
                  <c:v>44305</c:v>
                </c:pt>
                <c:pt idx="73">
                  <c:v>44306</c:v>
                </c:pt>
                <c:pt idx="74">
                  <c:v>44308</c:v>
                </c:pt>
                <c:pt idx="75">
                  <c:v>44309</c:v>
                </c:pt>
                <c:pt idx="76">
                  <c:v>44312</c:v>
                </c:pt>
                <c:pt idx="77">
                  <c:v>44313</c:v>
                </c:pt>
                <c:pt idx="78">
                  <c:v>44314</c:v>
                </c:pt>
                <c:pt idx="79">
                  <c:v>44315</c:v>
                </c:pt>
                <c:pt idx="80">
                  <c:v>44316</c:v>
                </c:pt>
                <c:pt idx="81">
                  <c:v>44319</c:v>
                </c:pt>
                <c:pt idx="82">
                  <c:v>44320</c:v>
                </c:pt>
                <c:pt idx="83">
                  <c:v>44321</c:v>
                </c:pt>
                <c:pt idx="84">
                  <c:v>44322</c:v>
                </c:pt>
                <c:pt idx="85">
                  <c:v>44323</c:v>
                </c:pt>
                <c:pt idx="86">
                  <c:v>44326</c:v>
                </c:pt>
                <c:pt idx="87">
                  <c:v>44327</c:v>
                </c:pt>
                <c:pt idx="88">
                  <c:v>44328</c:v>
                </c:pt>
                <c:pt idx="89">
                  <c:v>44329</c:v>
                </c:pt>
                <c:pt idx="90">
                  <c:v>44330</c:v>
                </c:pt>
                <c:pt idx="91">
                  <c:v>44333</c:v>
                </c:pt>
                <c:pt idx="92">
                  <c:v>44334</c:v>
                </c:pt>
                <c:pt idx="93">
                  <c:v>44335</c:v>
                </c:pt>
                <c:pt idx="94">
                  <c:v>44336</c:v>
                </c:pt>
                <c:pt idx="95">
                  <c:v>44337</c:v>
                </c:pt>
                <c:pt idx="96">
                  <c:v>44340</c:v>
                </c:pt>
                <c:pt idx="97">
                  <c:v>44341</c:v>
                </c:pt>
                <c:pt idx="98">
                  <c:v>44342</c:v>
                </c:pt>
                <c:pt idx="99">
                  <c:v>44343</c:v>
                </c:pt>
                <c:pt idx="100">
                  <c:v>44344</c:v>
                </c:pt>
                <c:pt idx="101">
                  <c:v>44347</c:v>
                </c:pt>
                <c:pt idx="102">
                  <c:v>44348</c:v>
                </c:pt>
                <c:pt idx="103">
                  <c:v>44349</c:v>
                </c:pt>
                <c:pt idx="104">
                  <c:v>44351</c:v>
                </c:pt>
                <c:pt idx="105">
                  <c:v>44354</c:v>
                </c:pt>
                <c:pt idx="106">
                  <c:v>44355</c:v>
                </c:pt>
                <c:pt idx="107">
                  <c:v>44356</c:v>
                </c:pt>
                <c:pt idx="108">
                  <c:v>44357</c:v>
                </c:pt>
                <c:pt idx="109">
                  <c:v>44358</c:v>
                </c:pt>
                <c:pt idx="110">
                  <c:v>44361</c:v>
                </c:pt>
                <c:pt idx="111">
                  <c:v>44362</c:v>
                </c:pt>
                <c:pt idx="112">
                  <c:v>44363</c:v>
                </c:pt>
                <c:pt idx="113">
                  <c:v>44364</c:v>
                </c:pt>
                <c:pt idx="114">
                  <c:v>44365</c:v>
                </c:pt>
                <c:pt idx="115">
                  <c:v>44368</c:v>
                </c:pt>
                <c:pt idx="116">
                  <c:v>44369</c:v>
                </c:pt>
                <c:pt idx="117">
                  <c:v>44370</c:v>
                </c:pt>
                <c:pt idx="118">
                  <c:v>44371</c:v>
                </c:pt>
                <c:pt idx="119">
                  <c:v>44372</c:v>
                </c:pt>
                <c:pt idx="120">
                  <c:v>44375</c:v>
                </c:pt>
                <c:pt idx="121">
                  <c:v>44376</c:v>
                </c:pt>
                <c:pt idx="122">
                  <c:v>44377</c:v>
                </c:pt>
                <c:pt idx="123">
                  <c:v>44378</c:v>
                </c:pt>
                <c:pt idx="124">
                  <c:v>44379</c:v>
                </c:pt>
                <c:pt idx="125">
                  <c:v>44382</c:v>
                </c:pt>
                <c:pt idx="126">
                  <c:v>44383</c:v>
                </c:pt>
                <c:pt idx="127">
                  <c:v>44384</c:v>
                </c:pt>
                <c:pt idx="128">
                  <c:v>44385</c:v>
                </c:pt>
                <c:pt idx="129">
                  <c:v>44386</c:v>
                </c:pt>
                <c:pt idx="130">
                  <c:v>44389</c:v>
                </c:pt>
                <c:pt idx="131">
                  <c:v>44390</c:v>
                </c:pt>
                <c:pt idx="132">
                  <c:v>44391</c:v>
                </c:pt>
                <c:pt idx="133">
                  <c:v>44392</c:v>
                </c:pt>
                <c:pt idx="134">
                  <c:v>44393</c:v>
                </c:pt>
                <c:pt idx="135">
                  <c:v>44396</c:v>
                </c:pt>
                <c:pt idx="136">
                  <c:v>44397</c:v>
                </c:pt>
                <c:pt idx="137">
                  <c:v>44398</c:v>
                </c:pt>
                <c:pt idx="138">
                  <c:v>44399</c:v>
                </c:pt>
                <c:pt idx="139">
                  <c:v>44400</c:v>
                </c:pt>
                <c:pt idx="140">
                  <c:v>44403</c:v>
                </c:pt>
                <c:pt idx="141">
                  <c:v>44404</c:v>
                </c:pt>
                <c:pt idx="142">
                  <c:v>44405</c:v>
                </c:pt>
                <c:pt idx="143">
                  <c:v>44406</c:v>
                </c:pt>
                <c:pt idx="144">
                  <c:v>44407</c:v>
                </c:pt>
                <c:pt idx="145">
                  <c:v>44410</c:v>
                </c:pt>
                <c:pt idx="146">
                  <c:v>44411</c:v>
                </c:pt>
                <c:pt idx="147">
                  <c:v>44412</c:v>
                </c:pt>
                <c:pt idx="148">
                  <c:v>44413</c:v>
                </c:pt>
                <c:pt idx="149">
                  <c:v>44414</c:v>
                </c:pt>
                <c:pt idx="150">
                  <c:v>44417</c:v>
                </c:pt>
                <c:pt idx="151">
                  <c:v>44418</c:v>
                </c:pt>
                <c:pt idx="152">
                  <c:v>44419</c:v>
                </c:pt>
                <c:pt idx="153">
                  <c:v>44420</c:v>
                </c:pt>
                <c:pt idx="154">
                  <c:v>44421</c:v>
                </c:pt>
                <c:pt idx="155">
                  <c:v>44424</c:v>
                </c:pt>
                <c:pt idx="156">
                  <c:v>44425</c:v>
                </c:pt>
                <c:pt idx="157">
                  <c:v>44426</c:v>
                </c:pt>
                <c:pt idx="158">
                  <c:v>44427</c:v>
                </c:pt>
                <c:pt idx="159">
                  <c:v>44428</c:v>
                </c:pt>
                <c:pt idx="160">
                  <c:v>44431</c:v>
                </c:pt>
                <c:pt idx="161">
                  <c:v>44432</c:v>
                </c:pt>
                <c:pt idx="162">
                  <c:v>44433</c:v>
                </c:pt>
                <c:pt idx="163">
                  <c:v>44434</c:v>
                </c:pt>
                <c:pt idx="164">
                  <c:v>44435</c:v>
                </c:pt>
                <c:pt idx="165">
                  <c:v>44438</c:v>
                </c:pt>
                <c:pt idx="166">
                  <c:v>44439</c:v>
                </c:pt>
                <c:pt idx="167">
                  <c:v>44440</c:v>
                </c:pt>
                <c:pt idx="168">
                  <c:v>44441</c:v>
                </c:pt>
                <c:pt idx="169">
                  <c:v>44442</c:v>
                </c:pt>
                <c:pt idx="170">
                  <c:v>44445</c:v>
                </c:pt>
                <c:pt idx="171">
                  <c:v>44447</c:v>
                </c:pt>
                <c:pt idx="172">
                  <c:v>44448</c:v>
                </c:pt>
                <c:pt idx="173">
                  <c:v>44449</c:v>
                </c:pt>
                <c:pt idx="174">
                  <c:v>44452</c:v>
                </c:pt>
                <c:pt idx="175">
                  <c:v>44453</c:v>
                </c:pt>
                <c:pt idx="176">
                  <c:v>44454</c:v>
                </c:pt>
                <c:pt idx="177">
                  <c:v>44455</c:v>
                </c:pt>
                <c:pt idx="178">
                  <c:v>44456</c:v>
                </c:pt>
                <c:pt idx="179">
                  <c:v>44459</c:v>
                </c:pt>
                <c:pt idx="180">
                  <c:v>44460</c:v>
                </c:pt>
                <c:pt idx="181">
                  <c:v>44461</c:v>
                </c:pt>
                <c:pt idx="182">
                  <c:v>44462</c:v>
                </c:pt>
                <c:pt idx="183">
                  <c:v>44463</c:v>
                </c:pt>
                <c:pt idx="184">
                  <c:v>44466</c:v>
                </c:pt>
                <c:pt idx="185">
                  <c:v>44467</c:v>
                </c:pt>
                <c:pt idx="186" formatCode="General">
                  <c:v>44468</c:v>
                </c:pt>
                <c:pt idx="187" formatCode="General">
                  <c:v>44469</c:v>
                </c:pt>
                <c:pt idx="188" formatCode="General">
                  <c:v>44470</c:v>
                </c:pt>
                <c:pt idx="189" formatCode="General">
                  <c:v>44473</c:v>
                </c:pt>
                <c:pt idx="190" formatCode="General">
                  <c:v>44474</c:v>
                </c:pt>
                <c:pt idx="191" formatCode="General">
                  <c:v>44475</c:v>
                </c:pt>
                <c:pt idx="192">
                  <c:v>44476</c:v>
                </c:pt>
                <c:pt idx="193">
                  <c:v>44477</c:v>
                </c:pt>
                <c:pt idx="194">
                  <c:v>44480</c:v>
                </c:pt>
                <c:pt idx="195">
                  <c:v>44482</c:v>
                </c:pt>
                <c:pt idx="196">
                  <c:v>44483</c:v>
                </c:pt>
                <c:pt idx="197">
                  <c:v>44484</c:v>
                </c:pt>
                <c:pt idx="198">
                  <c:v>44487</c:v>
                </c:pt>
                <c:pt idx="199">
                  <c:v>44488</c:v>
                </c:pt>
                <c:pt idx="200">
                  <c:v>44489</c:v>
                </c:pt>
                <c:pt idx="201">
                  <c:v>44490</c:v>
                </c:pt>
                <c:pt idx="202">
                  <c:v>44491</c:v>
                </c:pt>
                <c:pt idx="203">
                  <c:v>44494</c:v>
                </c:pt>
                <c:pt idx="204">
                  <c:v>44495</c:v>
                </c:pt>
                <c:pt idx="205">
                  <c:v>44496</c:v>
                </c:pt>
                <c:pt idx="206">
                  <c:v>44497</c:v>
                </c:pt>
                <c:pt idx="207">
                  <c:v>44498</c:v>
                </c:pt>
                <c:pt idx="208">
                  <c:v>44501</c:v>
                </c:pt>
                <c:pt idx="209">
                  <c:v>44503</c:v>
                </c:pt>
                <c:pt idx="210">
                  <c:v>44504</c:v>
                </c:pt>
                <c:pt idx="211">
                  <c:v>44505</c:v>
                </c:pt>
                <c:pt idx="212">
                  <c:v>44508</c:v>
                </c:pt>
                <c:pt idx="213">
                  <c:v>44509</c:v>
                </c:pt>
                <c:pt idx="214">
                  <c:v>44510</c:v>
                </c:pt>
                <c:pt idx="215">
                  <c:v>44511</c:v>
                </c:pt>
                <c:pt idx="216">
                  <c:v>44512</c:v>
                </c:pt>
                <c:pt idx="217">
                  <c:v>44516</c:v>
                </c:pt>
                <c:pt idx="218">
                  <c:v>44517</c:v>
                </c:pt>
                <c:pt idx="219">
                  <c:v>44518</c:v>
                </c:pt>
                <c:pt idx="220">
                  <c:v>44519</c:v>
                </c:pt>
                <c:pt idx="221">
                  <c:v>44522</c:v>
                </c:pt>
                <c:pt idx="222">
                  <c:v>44523</c:v>
                </c:pt>
                <c:pt idx="223">
                  <c:v>44524</c:v>
                </c:pt>
                <c:pt idx="224">
                  <c:v>44525</c:v>
                </c:pt>
                <c:pt idx="225">
                  <c:v>44526</c:v>
                </c:pt>
                <c:pt idx="226">
                  <c:v>44529</c:v>
                </c:pt>
                <c:pt idx="227">
                  <c:v>44530</c:v>
                </c:pt>
                <c:pt idx="228">
                  <c:v>44531</c:v>
                </c:pt>
                <c:pt idx="229">
                  <c:v>44532</c:v>
                </c:pt>
                <c:pt idx="230">
                  <c:v>44533</c:v>
                </c:pt>
                <c:pt idx="231">
                  <c:v>44536</c:v>
                </c:pt>
                <c:pt idx="232">
                  <c:v>44537</c:v>
                </c:pt>
                <c:pt idx="233">
                  <c:v>44538</c:v>
                </c:pt>
                <c:pt idx="234">
                  <c:v>44539</c:v>
                </c:pt>
                <c:pt idx="235">
                  <c:v>44540</c:v>
                </c:pt>
              </c:numCache>
            </c:numRef>
          </c:cat>
          <c:val>
            <c:numRef>
              <c:f>'Exp Monthly'!$E$4:$E$239</c:f>
              <c:numCache>
                <c:formatCode>General</c:formatCode>
                <c:ptCount val="236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0.18</c:v>
                </c:pt>
                <c:pt idx="10">
                  <c:v>0.18</c:v>
                </c:pt>
                <c:pt idx="11">
                  <c:v>0.18</c:v>
                </c:pt>
                <c:pt idx="12">
                  <c:v>0.18</c:v>
                </c:pt>
                <c:pt idx="13">
                  <c:v>0.18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0.24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0.25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0.22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0.26</c:v>
                </c:pt>
                <c:pt idx="38">
                  <c:v>0.26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0.26</c:v>
                </c:pt>
                <c:pt idx="58">
                  <c:v>0.26</c:v>
                </c:pt>
                <c:pt idx="59">
                  <c:v>0.28000000000000003</c:v>
                </c:pt>
                <c:pt idx="60">
                  <c:v>0.25</c:v>
                </c:pt>
                <c:pt idx="61">
                  <c:v>0.25</c:v>
                </c:pt>
                <c:pt idx="62">
                  <c:v>0.25</c:v>
                </c:pt>
                <c:pt idx="63">
                  <c:v>0.25</c:v>
                </c:pt>
                <c:pt idx="64">
                  <c:v>0.25</c:v>
                </c:pt>
                <c:pt idx="65">
                  <c:v>0.25</c:v>
                </c:pt>
                <c:pt idx="66">
                  <c:v>0.25</c:v>
                </c:pt>
                <c:pt idx="67">
                  <c:v>0.25</c:v>
                </c:pt>
                <c:pt idx="68">
                  <c:v>0.25</c:v>
                </c:pt>
                <c:pt idx="69">
                  <c:v>0.25</c:v>
                </c:pt>
                <c:pt idx="70">
                  <c:v>0.25</c:v>
                </c:pt>
                <c:pt idx="71">
                  <c:v>0.28000000000000003</c:v>
                </c:pt>
                <c:pt idx="72">
                  <c:v>0.26300000000000001</c:v>
                </c:pt>
                <c:pt idx="73">
                  <c:v>0.26300000000000001</c:v>
                </c:pt>
                <c:pt idx="74">
                  <c:v>0.26300000000000001</c:v>
                </c:pt>
                <c:pt idx="75">
                  <c:v>0.04</c:v>
                </c:pt>
                <c:pt idx="76">
                  <c:v>0.04</c:v>
                </c:pt>
                <c:pt idx="77">
                  <c:v>0.04</c:v>
                </c:pt>
                <c:pt idx="78">
                  <c:v>0.04</c:v>
                </c:pt>
                <c:pt idx="79">
                  <c:v>0.04</c:v>
                </c:pt>
                <c:pt idx="80">
                  <c:v>0.04</c:v>
                </c:pt>
                <c:pt idx="81">
                  <c:v>0.04</c:v>
                </c:pt>
                <c:pt idx="82">
                  <c:v>0.04</c:v>
                </c:pt>
                <c:pt idx="83">
                  <c:v>0.04</c:v>
                </c:pt>
                <c:pt idx="84">
                  <c:v>0.04</c:v>
                </c:pt>
                <c:pt idx="85">
                  <c:v>0.25</c:v>
                </c:pt>
                <c:pt idx="86">
                  <c:v>0.25</c:v>
                </c:pt>
                <c:pt idx="87">
                  <c:v>0.2</c:v>
                </c:pt>
                <c:pt idx="88">
                  <c:v>0.17</c:v>
                </c:pt>
                <c:pt idx="89">
                  <c:v>0.17</c:v>
                </c:pt>
                <c:pt idx="90">
                  <c:v>0.08</c:v>
                </c:pt>
                <c:pt idx="91">
                  <c:v>0.08</c:v>
                </c:pt>
                <c:pt idx="92">
                  <c:v>0.08</c:v>
                </c:pt>
                <c:pt idx="93">
                  <c:v>0.08</c:v>
                </c:pt>
                <c:pt idx="94">
                  <c:v>0.08</c:v>
                </c:pt>
                <c:pt idx="95">
                  <c:v>0.08</c:v>
                </c:pt>
                <c:pt idx="96">
                  <c:v>0.08</c:v>
                </c:pt>
                <c:pt idx="97">
                  <c:v>0.08</c:v>
                </c:pt>
                <c:pt idx="98">
                  <c:v>0.08</c:v>
                </c:pt>
                <c:pt idx="99">
                  <c:v>0.08</c:v>
                </c:pt>
                <c:pt idx="100">
                  <c:v>0.11</c:v>
                </c:pt>
                <c:pt idx="101">
                  <c:v>0.11</c:v>
                </c:pt>
                <c:pt idx="102">
                  <c:v>0.11</c:v>
                </c:pt>
                <c:pt idx="103">
                  <c:v>0.11</c:v>
                </c:pt>
                <c:pt idx="104">
                  <c:v>0.11</c:v>
                </c:pt>
                <c:pt idx="105">
                  <c:v>0.15</c:v>
                </c:pt>
                <c:pt idx="106">
                  <c:v>0.15</c:v>
                </c:pt>
                <c:pt idx="107">
                  <c:v>0.15</c:v>
                </c:pt>
                <c:pt idx="108">
                  <c:v>0.15</c:v>
                </c:pt>
                <c:pt idx="109">
                  <c:v>0.16</c:v>
                </c:pt>
                <c:pt idx="110">
                  <c:v>0.16</c:v>
                </c:pt>
                <c:pt idx="111">
                  <c:v>0.16</c:v>
                </c:pt>
                <c:pt idx="112">
                  <c:v>0.16</c:v>
                </c:pt>
                <c:pt idx="113">
                  <c:v>0.16</c:v>
                </c:pt>
                <c:pt idx="114">
                  <c:v>0.12</c:v>
                </c:pt>
                <c:pt idx="115">
                  <c:v>0.12</c:v>
                </c:pt>
                <c:pt idx="116">
                  <c:v>0.12</c:v>
                </c:pt>
                <c:pt idx="117">
                  <c:v>0.12</c:v>
                </c:pt>
                <c:pt idx="118">
                  <c:v>0.12</c:v>
                </c:pt>
                <c:pt idx="119">
                  <c:v>7.0000000000000007E-2</c:v>
                </c:pt>
                <c:pt idx="120">
                  <c:v>0.03</c:v>
                </c:pt>
                <c:pt idx="121">
                  <c:v>0.03</c:v>
                </c:pt>
                <c:pt idx="122">
                  <c:v>7.0000000000000007E-2</c:v>
                </c:pt>
                <c:pt idx="123">
                  <c:v>7.0000000000000007E-2</c:v>
                </c:pt>
                <c:pt idx="124">
                  <c:v>-0.19</c:v>
                </c:pt>
                <c:pt idx="125">
                  <c:v>-0.19</c:v>
                </c:pt>
                <c:pt idx="126">
                  <c:v>-0.19</c:v>
                </c:pt>
                <c:pt idx="127">
                  <c:v>-0.19</c:v>
                </c:pt>
                <c:pt idx="128">
                  <c:v>-0.24</c:v>
                </c:pt>
                <c:pt idx="129">
                  <c:v>-0.24</c:v>
                </c:pt>
                <c:pt idx="130">
                  <c:v>-0.24</c:v>
                </c:pt>
                <c:pt idx="131">
                  <c:v>-0.24</c:v>
                </c:pt>
                <c:pt idx="132">
                  <c:v>-0.24</c:v>
                </c:pt>
                <c:pt idx="133">
                  <c:v>0.1</c:v>
                </c:pt>
                <c:pt idx="134">
                  <c:v>-0.24</c:v>
                </c:pt>
                <c:pt idx="135">
                  <c:v>-0.24</c:v>
                </c:pt>
                <c:pt idx="136">
                  <c:v>-0.24</c:v>
                </c:pt>
                <c:pt idx="137">
                  <c:v>-0.24</c:v>
                </c:pt>
                <c:pt idx="138">
                  <c:v>-0.24</c:v>
                </c:pt>
                <c:pt idx="139">
                  <c:v>-0.14000000000000001</c:v>
                </c:pt>
                <c:pt idx="140">
                  <c:v>-0.14000000000000001</c:v>
                </c:pt>
                <c:pt idx="141">
                  <c:v>-0.14000000000000001</c:v>
                </c:pt>
                <c:pt idx="142">
                  <c:v>-0.26</c:v>
                </c:pt>
                <c:pt idx="143">
                  <c:v>-0.26</c:v>
                </c:pt>
                <c:pt idx="144">
                  <c:v>-0.26</c:v>
                </c:pt>
                <c:pt idx="145">
                  <c:v>-0.26</c:v>
                </c:pt>
                <c:pt idx="146">
                  <c:v>-0.26</c:v>
                </c:pt>
                <c:pt idx="147">
                  <c:v>-0.1</c:v>
                </c:pt>
                <c:pt idx="148">
                  <c:v>-0.1</c:v>
                </c:pt>
                <c:pt idx="149">
                  <c:v>0.05</c:v>
                </c:pt>
                <c:pt idx="150">
                  <c:v>0.05</c:v>
                </c:pt>
                <c:pt idx="151">
                  <c:v>0.05</c:v>
                </c:pt>
                <c:pt idx="152">
                  <c:v>0.05</c:v>
                </c:pt>
                <c:pt idx="153">
                  <c:v>0.05</c:v>
                </c:pt>
                <c:pt idx="154">
                  <c:v>-7.0000000000000007E-2</c:v>
                </c:pt>
                <c:pt idx="155">
                  <c:v>-7.0000000000000007E-2</c:v>
                </c:pt>
                <c:pt idx="156">
                  <c:v>-7.0000000000000007E-2</c:v>
                </c:pt>
                <c:pt idx="157">
                  <c:v>-7.0000000000000007E-2</c:v>
                </c:pt>
                <c:pt idx="158">
                  <c:v>-7.0000000000000007E-2</c:v>
                </c:pt>
                <c:pt idx="159">
                  <c:v>-7.0000000000000007E-2</c:v>
                </c:pt>
                <c:pt idx="160">
                  <c:v>-7.0000000000000007E-2</c:v>
                </c:pt>
                <c:pt idx="161">
                  <c:v>-7.0000000000000007E-2</c:v>
                </c:pt>
                <c:pt idx="162">
                  <c:v>-7.0000000000000007E-2</c:v>
                </c:pt>
                <c:pt idx="163">
                  <c:v>-7.0000000000000007E-2</c:v>
                </c:pt>
                <c:pt idx="164">
                  <c:v>-0.33700000000000002</c:v>
                </c:pt>
                <c:pt idx="165">
                  <c:v>0.16</c:v>
                </c:pt>
                <c:pt idx="166">
                  <c:v>-0.18</c:v>
                </c:pt>
                <c:pt idx="167">
                  <c:v>-0.18</c:v>
                </c:pt>
                <c:pt idx="168">
                  <c:v>-0.18</c:v>
                </c:pt>
                <c:pt idx="169">
                  <c:v>-0.01</c:v>
                </c:pt>
                <c:pt idx="170">
                  <c:v>-0.01</c:v>
                </c:pt>
                <c:pt idx="171">
                  <c:v>-0.01</c:v>
                </c:pt>
                <c:pt idx="172">
                  <c:v>-0.01</c:v>
                </c:pt>
                <c:pt idx="173">
                  <c:v>-0.05</c:v>
                </c:pt>
                <c:pt idx="174">
                  <c:v>-0.05</c:v>
                </c:pt>
                <c:pt idx="175">
                  <c:v>-0.05</c:v>
                </c:pt>
                <c:pt idx="176">
                  <c:v>-0.05</c:v>
                </c:pt>
                <c:pt idx="177">
                  <c:v>-0.05</c:v>
                </c:pt>
                <c:pt idx="178">
                  <c:v>-0.04</c:v>
                </c:pt>
                <c:pt idx="179">
                  <c:v>-0.04</c:v>
                </c:pt>
                <c:pt idx="180">
                  <c:v>-0.04</c:v>
                </c:pt>
                <c:pt idx="181">
                  <c:v>-0.04</c:v>
                </c:pt>
                <c:pt idx="182">
                  <c:v>-0.04</c:v>
                </c:pt>
                <c:pt idx="183">
                  <c:v>0.24</c:v>
                </c:pt>
                <c:pt idx="184">
                  <c:v>0.24</c:v>
                </c:pt>
                <c:pt idx="185">
                  <c:v>0.24</c:v>
                </c:pt>
                <c:pt idx="186">
                  <c:v>0.24</c:v>
                </c:pt>
                <c:pt idx="187">
                  <c:v>0.24</c:v>
                </c:pt>
                <c:pt idx="188">
                  <c:v>0.25</c:v>
                </c:pt>
                <c:pt idx="189">
                  <c:v>-0.04</c:v>
                </c:pt>
                <c:pt idx="190">
                  <c:v>-0.04</c:v>
                </c:pt>
                <c:pt idx="191">
                  <c:v>-0.04</c:v>
                </c:pt>
                <c:pt idx="192">
                  <c:v>-0.04</c:v>
                </c:pt>
                <c:pt idx="193">
                  <c:v>-0.04</c:v>
                </c:pt>
                <c:pt idx="194">
                  <c:v>-0.05</c:v>
                </c:pt>
                <c:pt idx="195">
                  <c:v>-0.05</c:v>
                </c:pt>
                <c:pt idx="196">
                  <c:v>-0.05</c:v>
                </c:pt>
                <c:pt idx="197">
                  <c:v>-0.05</c:v>
                </c:pt>
                <c:pt idx="198">
                  <c:v>-0.05</c:v>
                </c:pt>
                <c:pt idx="199">
                  <c:v>0.26250000000000001</c:v>
                </c:pt>
                <c:pt idx="200">
                  <c:v>0.26250000000000001</c:v>
                </c:pt>
                <c:pt idx="201">
                  <c:v>0.26250000000000001</c:v>
                </c:pt>
                <c:pt idx="202">
                  <c:v>0.04</c:v>
                </c:pt>
                <c:pt idx="203">
                  <c:v>0.04</c:v>
                </c:pt>
                <c:pt idx="204">
                  <c:v>0.04</c:v>
                </c:pt>
                <c:pt idx="205">
                  <c:v>0.04</c:v>
                </c:pt>
                <c:pt idx="206">
                  <c:v>0.04</c:v>
                </c:pt>
                <c:pt idx="207">
                  <c:v>0.26250000000000001</c:v>
                </c:pt>
                <c:pt idx="208">
                  <c:v>0.26250000000000001</c:v>
                </c:pt>
                <c:pt idx="209">
                  <c:v>0.26250000000000001</c:v>
                </c:pt>
                <c:pt idx="210">
                  <c:v>0.26250000000000001</c:v>
                </c:pt>
                <c:pt idx="211">
                  <c:v>0.13</c:v>
                </c:pt>
                <c:pt idx="212">
                  <c:v>0.13</c:v>
                </c:pt>
                <c:pt idx="213">
                  <c:v>0.13</c:v>
                </c:pt>
                <c:pt idx="214">
                  <c:v>0.13</c:v>
                </c:pt>
                <c:pt idx="215">
                  <c:v>0.13</c:v>
                </c:pt>
                <c:pt idx="216">
                  <c:v>0.26250000000000001</c:v>
                </c:pt>
                <c:pt idx="217">
                  <c:v>0.26250000000000001</c:v>
                </c:pt>
                <c:pt idx="218">
                  <c:v>0.26250000000000001</c:v>
                </c:pt>
                <c:pt idx="219">
                  <c:v>0.26250000000000001</c:v>
                </c:pt>
                <c:pt idx="220">
                  <c:v>-0.01</c:v>
                </c:pt>
                <c:pt idx="221">
                  <c:v>-0.01</c:v>
                </c:pt>
                <c:pt idx="222">
                  <c:v>-0.01</c:v>
                </c:pt>
                <c:pt idx="223">
                  <c:v>-0.01</c:v>
                </c:pt>
                <c:pt idx="224">
                  <c:v>-0.01</c:v>
                </c:pt>
                <c:pt idx="225">
                  <c:v>0.25</c:v>
                </c:pt>
                <c:pt idx="226">
                  <c:v>0.25</c:v>
                </c:pt>
                <c:pt idx="227">
                  <c:v>0.25</c:v>
                </c:pt>
                <c:pt idx="228">
                  <c:v>0.25</c:v>
                </c:pt>
                <c:pt idx="229">
                  <c:v>0.25</c:v>
                </c:pt>
                <c:pt idx="230">
                  <c:v>0.26</c:v>
                </c:pt>
                <c:pt idx="231">
                  <c:v>0.26</c:v>
                </c:pt>
                <c:pt idx="232">
                  <c:v>0.26</c:v>
                </c:pt>
                <c:pt idx="233">
                  <c:v>0.26</c:v>
                </c:pt>
                <c:pt idx="234">
                  <c:v>0.26</c:v>
                </c:pt>
                <c:pt idx="235">
                  <c:v>0.26250000000000001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D6-4F8A-9664-282BF69C6434}"/>
            </c:ext>
          </c:extLst>
        </c:ser>
        <c:ser>
          <c:idx val="2"/>
          <c:order val="1"/>
          <c:tx>
            <c:strRef>
              <c:f>'Exp Monthly'!$F$3</c:f>
              <c:strCache>
                <c:ptCount val="1"/>
                <c:pt idx="0">
                  <c:v>Mediana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'Exp Monthly'!$D$4:$D$239</c:f>
              <c:numCache>
                <c:formatCode>m/d/yyyy</c:formatCode>
                <c:ptCount val="236"/>
                <c:pt idx="0">
                  <c:v>44200</c:v>
                </c:pt>
                <c:pt idx="1">
                  <c:v>44201</c:v>
                </c:pt>
                <c:pt idx="2">
                  <c:v>44202</c:v>
                </c:pt>
                <c:pt idx="3">
                  <c:v>44203</c:v>
                </c:pt>
                <c:pt idx="4">
                  <c:v>44204</c:v>
                </c:pt>
                <c:pt idx="5">
                  <c:v>44207</c:v>
                </c:pt>
                <c:pt idx="6">
                  <c:v>44208</c:v>
                </c:pt>
                <c:pt idx="7">
                  <c:v>44209</c:v>
                </c:pt>
                <c:pt idx="8">
                  <c:v>44210</c:v>
                </c:pt>
                <c:pt idx="9">
                  <c:v>44211</c:v>
                </c:pt>
                <c:pt idx="10">
                  <c:v>44214</c:v>
                </c:pt>
                <c:pt idx="11">
                  <c:v>44215</c:v>
                </c:pt>
                <c:pt idx="12">
                  <c:v>44216</c:v>
                </c:pt>
                <c:pt idx="13">
                  <c:v>44217</c:v>
                </c:pt>
                <c:pt idx="14">
                  <c:v>44218</c:v>
                </c:pt>
                <c:pt idx="15">
                  <c:v>44221</c:v>
                </c:pt>
                <c:pt idx="16">
                  <c:v>44222</c:v>
                </c:pt>
                <c:pt idx="17">
                  <c:v>44223</c:v>
                </c:pt>
                <c:pt idx="18">
                  <c:v>44224</c:v>
                </c:pt>
                <c:pt idx="19">
                  <c:v>44225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44235</c:v>
                </c:pt>
                <c:pt idx="26">
                  <c:v>44236</c:v>
                </c:pt>
                <c:pt idx="27">
                  <c:v>44237</c:v>
                </c:pt>
                <c:pt idx="28">
                  <c:v>44238</c:v>
                </c:pt>
                <c:pt idx="29">
                  <c:v>44239</c:v>
                </c:pt>
                <c:pt idx="30">
                  <c:v>44244</c:v>
                </c:pt>
                <c:pt idx="31">
                  <c:v>44245</c:v>
                </c:pt>
                <c:pt idx="32">
                  <c:v>44246</c:v>
                </c:pt>
                <c:pt idx="33">
                  <c:v>44249</c:v>
                </c:pt>
                <c:pt idx="34">
                  <c:v>44250</c:v>
                </c:pt>
                <c:pt idx="35">
                  <c:v>44251</c:v>
                </c:pt>
                <c:pt idx="36">
                  <c:v>44252</c:v>
                </c:pt>
                <c:pt idx="37">
                  <c:v>44253</c:v>
                </c:pt>
                <c:pt idx="38">
                  <c:v>44256</c:v>
                </c:pt>
                <c:pt idx="39">
                  <c:v>44257</c:v>
                </c:pt>
                <c:pt idx="40">
                  <c:v>44258</c:v>
                </c:pt>
                <c:pt idx="41">
                  <c:v>44259</c:v>
                </c:pt>
                <c:pt idx="42">
                  <c:v>44260</c:v>
                </c:pt>
                <c:pt idx="43">
                  <c:v>44263</c:v>
                </c:pt>
                <c:pt idx="44">
                  <c:v>44264</c:v>
                </c:pt>
                <c:pt idx="45">
                  <c:v>44265</c:v>
                </c:pt>
                <c:pt idx="46">
                  <c:v>44266</c:v>
                </c:pt>
                <c:pt idx="47">
                  <c:v>44267</c:v>
                </c:pt>
                <c:pt idx="48">
                  <c:v>44270</c:v>
                </c:pt>
                <c:pt idx="49">
                  <c:v>44271</c:v>
                </c:pt>
                <c:pt idx="50">
                  <c:v>44272</c:v>
                </c:pt>
                <c:pt idx="51">
                  <c:v>44273</c:v>
                </c:pt>
                <c:pt idx="52">
                  <c:v>44274</c:v>
                </c:pt>
                <c:pt idx="53">
                  <c:v>44277</c:v>
                </c:pt>
                <c:pt idx="54">
                  <c:v>44278</c:v>
                </c:pt>
                <c:pt idx="55">
                  <c:v>44279</c:v>
                </c:pt>
                <c:pt idx="56">
                  <c:v>44280</c:v>
                </c:pt>
                <c:pt idx="57">
                  <c:v>44281</c:v>
                </c:pt>
                <c:pt idx="58">
                  <c:v>44284</c:v>
                </c:pt>
                <c:pt idx="59">
                  <c:v>44285</c:v>
                </c:pt>
                <c:pt idx="60">
                  <c:v>44286</c:v>
                </c:pt>
                <c:pt idx="61">
                  <c:v>44287</c:v>
                </c:pt>
                <c:pt idx="62">
                  <c:v>44291</c:v>
                </c:pt>
                <c:pt idx="63">
                  <c:v>44292</c:v>
                </c:pt>
                <c:pt idx="64">
                  <c:v>44293</c:v>
                </c:pt>
                <c:pt idx="65">
                  <c:v>44294</c:v>
                </c:pt>
                <c:pt idx="66">
                  <c:v>44295</c:v>
                </c:pt>
                <c:pt idx="67">
                  <c:v>44298</c:v>
                </c:pt>
                <c:pt idx="68">
                  <c:v>44299</c:v>
                </c:pt>
                <c:pt idx="69">
                  <c:v>44300</c:v>
                </c:pt>
                <c:pt idx="70">
                  <c:v>44301</c:v>
                </c:pt>
                <c:pt idx="71">
                  <c:v>44302</c:v>
                </c:pt>
                <c:pt idx="72">
                  <c:v>44305</c:v>
                </c:pt>
                <c:pt idx="73">
                  <c:v>44306</c:v>
                </c:pt>
                <c:pt idx="74">
                  <c:v>44308</c:v>
                </c:pt>
                <c:pt idx="75">
                  <c:v>44309</c:v>
                </c:pt>
                <c:pt idx="76">
                  <c:v>44312</c:v>
                </c:pt>
                <c:pt idx="77">
                  <c:v>44313</c:v>
                </c:pt>
                <c:pt idx="78">
                  <c:v>44314</c:v>
                </c:pt>
                <c:pt idx="79">
                  <c:v>44315</c:v>
                </c:pt>
                <c:pt idx="80">
                  <c:v>44316</c:v>
                </c:pt>
                <c:pt idx="81">
                  <c:v>44319</c:v>
                </c:pt>
                <c:pt idx="82">
                  <c:v>44320</c:v>
                </c:pt>
                <c:pt idx="83">
                  <c:v>44321</c:v>
                </c:pt>
                <c:pt idx="84">
                  <c:v>44322</c:v>
                </c:pt>
                <c:pt idx="85">
                  <c:v>44323</c:v>
                </c:pt>
                <c:pt idx="86">
                  <c:v>44326</c:v>
                </c:pt>
                <c:pt idx="87">
                  <c:v>44327</c:v>
                </c:pt>
                <c:pt idx="88">
                  <c:v>44328</c:v>
                </c:pt>
                <c:pt idx="89">
                  <c:v>44329</c:v>
                </c:pt>
                <c:pt idx="90">
                  <c:v>44330</c:v>
                </c:pt>
                <c:pt idx="91">
                  <c:v>44333</c:v>
                </c:pt>
                <c:pt idx="92">
                  <c:v>44334</c:v>
                </c:pt>
                <c:pt idx="93">
                  <c:v>44335</c:v>
                </c:pt>
                <c:pt idx="94">
                  <c:v>44336</c:v>
                </c:pt>
                <c:pt idx="95">
                  <c:v>44337</c:v>
                </c:pt>
                <c:pt idx="96">
                  <c:v>44340</c:v>
                </c:pt>
                <c:pt idx="97">
                  <c:v>44341</c:v>
                </c:pt>
                <c:pt idx="98">
                  <c:v>44342</c:v>
                </c:pt>
                <c:pt idx="99">
                  <c:v>44343</c:v>
                </c:pt>
                <c:pt idx="100">
                  <c:v>44344</c:v>
                </c:pt>
                <c:pt idx="101">
                  <c:v>44347</c:v>
                </c:pt>
                <c:pt idx="102">
                  <c:v>44348</c:v>
                </c:pt>
                <c:pt idx="103">
                  <c:v>44349</c:v>
                </c:pt>
                <c:pt idx="104">
                  <c:v>44351</c:v>
                </c:pt>
                <c:pt idx="105">
                  <c:v>44354</c:v>
                </c:pt>
                <c:pt idx="106">
                  <c:v>44355</c:v>
                </c:pt>
                <c:pt idx="107">
                  <c:v>44356</c:v>
                </c:pt>
                <c:pt idx="108">
                  <c:v>44357</c:v>
                </c:pt>
                <c:pt idx="109">
                  <c:v>44358</c:v>
                </c:pt>
                <c:pt idx="110">
                  <c:v>44361</c:v>
                </c:pt>
                <c:pt idx="111">
                  <c:v>44362</c:v>
                </c:pt>
                <c:pt idx="112">
                  <c:v>44363</c:v>
                </c:pt>
                <c:pt idx="113">
                  <c:v>44364</c:v>
                </c:pt>
                <c:pt idx="114">
                  <c:v>44365</c:v>
                </c:pt>
                <c:pt idx="115">
                  <c:v>44368</c:v>
                </c:pt>
                <c:pt idx="116">
                  <c:v>44369</c:v>
                </c:pt>
                <c:pt idx="117">
                  <c:v>44370</c:v>
                </c:pt>
                <c:pt idx="118">
                  <c:v>44371</c:v>
                </c:pt>
                <c:pt idx="119">
                  <c:v>44372</c:v>
                </c:pt>
                <c:pt idx="120">
                  <c:v>44375</c:v>
                </c:pt>
                <c:pt idx="121">
                  <c:v>44376</c:v>
                </c:pt>
                <c:pt idx="122">
                  <c:v>44377</c:v>
                </c:pt>
                <c:pt idx="123">
                  <c:v>44378</c:v>
                </c:pt>
                <c:pt idx="124">
                  <c:v>44379</c:v>
                </c:pt>
                <c:pt idx="125">
                  <c:v>44382</c:v>
                </c:pt>
                <c:pt idx="126">
                  <c:v>44383</c:v>
                </c:pt>
                <c:pt idx="127">
                  <c:v>44384</c:v>
                </c:pt>
                <c:pt idx="128">
                  <c:v>44385</c:v>
                </c:pt>
                <c:pt idx="129">
                  <c:v>44386</c:v>
                </c:pt>
                <c:pt idx="130">
                  <c:v>44389</c:v>
                </c:pt>
                <c:pt idx="131">
                  <c:v>44390</c:v>
                </c:pt>
                <c:pt idx="132">
                  <c:v>44391</c:v>
                </c:pt>
                <c:pt idx="133">
                  <c:v>44392</c:v>
                </c:pt>
                <c:pt idx="134">
                  <c:v>44393</c:v>
                </c:pt>
                <c:pt idx="135">
                  <c:v>44396</c:v>
                </c:pt>
                <c:pt idx="136">
                  <c:v>44397</c:v>
                </c:pt>
                <c:pt idx="137">
                  <c:v>44398</c:v>
                </c:pt>
                <c:pt idx="138">
                  <c:v>44399</c:v>
                </c:pt>
                <c:pt idx="139">
                  <c:v>44400</c:v>
                </c:pt>
                <c:pt idx="140">
                  <c:v>44403</c:v>
                </c:pt>
                <c:pt idx="141">
                  <c:v>44404</c:v>
                </c:pt>
                <c:pt idx="142">
                  <c:v>44405</c:v>
                </c:pt>
                <c:pt idx="143">
                  <c:v>44406</c:v>
                </c:pt>
                <c:pt idx="144">
                  <c:v>44407</c:v>
                </c:pt>
                <c:pt idx="145">
                  <c:v>44410</c:v>
                </c:pt>
                <c:pt idx="146">
                  <c:v>44411</c:v>
                </c:pt>
                <c:pt idx="147">
                  <c:v>44412</c:v>
                </c:pt>
                <c:pt idx="148">
                  <c:v>44413</c:v>
                </c:pt>
                <c:pt idx="149">
                  <c:v>44414</c:v>
                </c:pt>
                <c:pt idx="150">
                  <c:v>44417</c:v>
                </c:pt>
                <c:pt idx="151">
                  <c:v>44418</c:v>
                </c:pt>
                <c:pt idx="152">
                  <c:v>44419</c:v>
                </c:pt>
                <c:pt idx="153">
                  <c:v>44420</c:v>
                </c:pt>
                <c:pt idx="154">
                  <c:v>44421</c:v>
                </c:pt>
                <c:pt idx="155">
                  <c:v>44424</c:v>
                </c:pt>
                <c:pt idx="156">
                  <c:v>44425</c:v>
                </c:pt>
                <c:pt idx="157">
                  <c:v>44426</c:v>
                </c:pt>
                <c:pt idx="158">
                  <c:v>44427</c:v>
                </c:pt>
                <c:pt idx="159">
                  <c:v>44428</c:v>
                </c:pt>
                <c:pt idx="160">
                  <c:v>44431</c:v>
                </c:pt>
                <c:pt idx="161">
                  <c:v>44432</c:v>
                </c:pt>
                <c:pt idx="162">
                  <c:v>44433</c:v>
                </c:pt>
                <c:pt idx="163">
                  <c:v>44434</c:v>
                </c:pt>
                <c:pt idx="164">
                  <c:v>44435</c:v>
                </c:pt>
                <c:pt idx="165">
                  <c:v>44438</c:v>
                </c:pt>
                <c:pt idx="166">
                  <c:v>44439</c:v>
                </c:pt>
                <c:pt idx="167">
                  <c:v>44440</c:v>
                </c:pt>
                <c:pt idx="168">
                  <c:v>44441</c:v>
                </c:pt>
                <c:pt idx="169">
                  <c:v>44442</c:v>
                </c:pt>
                <c:pt idx="170">
                  <c:v>44445</c:v>
                </c:pt>
                <c:pt idx="171">
                  <c:v>44447</c:v>
                </c:pt>
                <c:pt idx="172">
                  <c:v>44448</c:v>
                </c:pt>
                <c:pt idx="173">
                  <c:v>44449</c:v>
                </c:pt>
                <c:pt idx="174">
                  <c:v>44452</c:v>
                </c:pt>
                <c:pt idx="175">
                  <c:v>44453</c:v>
                </c:pt>
                <c:pt idx="176">
                  <c:v>44454</c:v>
                </c:pt>
                <c:pt idx="177">
                  <c:v>44455</c:v>
                </c:pt>
                <c:pt idx="178">
                  <c:v>44456</c:v>
                </c:pt>
                <c:pt idx="179">
                  <c:v>44459</c:v>
                </c:pt>
                <c:pt idx="180">
                  <c:v>44460</c:v>
                </c:pt>
                <c:pt idx="181">
                  <c:v>44461</c:v>
                </c:pt>
                <c:pt idx="182">
                  <c:v>44462</c:v>
                </c:pt>
                <c:pt idx="183">
                  <c:v>44463</c:v>
                </c:pt>
                <c:pt idx="184">
                  <c:v>44466</c:v>
                </c:pt>
                <c:pt idx="185">
                  <c:v>44467</c:v>
                </c:pt>
                <c:pt idx="186" formatCode="General">
                  <c:v>44468</c:v>
                </c:pt>
                <c:pt idx="187" formatCode="General">
                  <c:v>44469</c:v>
                </c:pt>
                <c:pt idx="188" formatCode="General">
                  <c:v>44470</c:v>
                </c:pt>
                <c:pt idx="189" formatCode="General">
                  <c:v>44473</c:v>
                </c:pt>
                <c:pt idx="190" formatCode="General">
                  <c:v>44474</c:v>
                </c:pt>
                <c:pt idx="191" formatCode="General">
                  <c:v>44475</c:v>
                </c:pt>
                <c:pt idx="192">
                  <c:v>44476</c:v>
                </c:pt>
                <c:pt idx="193">
                  <c:v>44477</c:v>
                </c:pt>
                <c:pt idx="194">
                  <c:v>44480</c:v>
                </c:pt>
                <c:pt idx="195">
                  <c:v>44482</c:v>
                </c:pt>
                <c:pt idx="196">
                  <c:v>44483</c:v>
                </c:pt>
                <c:pt idx="197">
                  <c:v>44484</c:v>
                </c:pt>
                <c:pt idx="198">
                  <c:v>44487</c:v>
                </c:pt>
                <c:pt idx="199">
                  <c:v>44488</c:v>
                </c:pt>
                <c:pt idx="200">
                  <c:v>44489</c:v>
                </c:pt>
                <c:pt idx="201">
                  <c:v>44490</c:v>
                </c:pt>
                <c:pt idx="202">
                  <c:v>44491</c:v>
                </c:pt>
                <c:pt idx="203">
                  <c:v>44494</c:v>
                </c:pt>
                <c:pt idx="204">
                  <c:v>44495</c:v>
                </c:pt>
                <c:pt idx="205">
                  <c:v>44496</c:v>
                </c:pt>
                <c:pt idx="206">
                  <c:v>44497</c:v>
                </c:pt>
                <c:pt idx="207">
                  <c:v>44498</c:v>
                </c:pt>
                <c:pt idx="208">
                  <c:v>44501</c:v>
                </c:pt>
                <c:pt idx="209">
                  <c:v>44503</c:v>
                </c:pt>
                <c:pt idx="210">
                  <c:v>44504</c:v>
                </c:pt>
                <c:pt idx="211">
                  <c:v>44505</c:v>
                </c:pt>
                <c:pt idx="212">
                  <c:v>44508</c:v>
                </c:pt>
                <c:pt idx="213">
                  <c:v>44509</c:v>
                </c:pt>
                <c:pt idx="214">
                  <c:v>44510</c:v>
                </c:pt>
                <c:pt idx="215">
                  <c:v>44511</c:v>
                </c:pt>
                <c:pt idx="216">
                  <c:v>44512</c:v>
                </c:pt>
                <c:pt idx="217">
                  <c:v>44516</c:v>
                </c:pt>
                <c:pt idx="218">
                  <c:v>44517</c:v>
                </c:pt>
                <c:pt idx="219">
                  <c:v>44518</c:v>
                </c:pt>
                <c:pt idx="220">
                  <c:v>44519</c:v>
                </c:pt>
                <c:pt idx="221">
                  <c:v>44522</c:v>
                </c:pt>
                <c:pt idx="222">
                  <c:v>44523</c:v>
                </c:pt>
                <c:pt idx="223">
                  <c:v>44524</c:v>
                </c:pt>
                <c:pt idx="224">
                  <c:v>44525</c:v>
                </c:pt>
                <c:pt idx="225">
                  <c:v>44526</c:v>
                </c:pt>
                <c:pt idx="226">
                  <c:v>44529</c:v>
                </c:pt>
                <c:pt idx="227">
                  <c:v>44530</c:v>
                </c:pt>
                <c:pt idx="228">
                  <c:v>44531</c:v>
                </c:pt>
                <c:pt idx="229">
                  <c:v>44532</c:v>
                </c:pt>
                <c:pt idx="230">
                  <c:v>44533</c:v>
                </c:pt>
                <c:pt idx="231">
                  <c:v>44536</c:v>
                </c:pt>
                <c:pt idx="232">
                  <c:v>44537</c:v>
                </c:pt>
                <c:pt idx="233">
                  <c:v>44538</c:v>
                </c:pt>
                <c:pt idx="234">
                  <c:v>44539</c:v>
                </c:pt>
                <c:pt idx="235">
                  <c:v>44540</c:v>
                </c:pt>
              </c:numCache>
            </c:numRef>
          </c:cat>
          <c:val>
            <c:numRef>
              <c:f>'Exp Monthly'!$F$4:$F$239</c:f>
              <c:numCache>
                <c:formatCode>General</c:formatCode>
                <c:ptCount val="236"/>
                <c:pt idx="0">
                  <c:v>0.4</c:v>
                </c:pt>
                <c:pt idx="1">
                  <c:v>0.41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0.39</c:v>
                </c:pt>
                <c:pt idx="6">
                  <c:v>0.4</c:v>
                </c:pt>
                <c:pt idx="7">
                  <c:v>0.39</c:v>
                </c:pt>
                <c:pt idx="8">
                  <c:v>0.39</c:v>
                </c:pt>
                <c:pt idx="9">
                  <c:v>0.39</c:v>
                </c:pt>
                <c:pt idx="10">
                  <c:v>0.39</c:v>
                </c:pt>
                <c:pt idx="11">
                  <c:v>0.39</c:v>
                </c:pt>
                <c:pt idx="12">
                  <c:v>0.39</c:v>
                </c:pt>
                <c:pt idx="13">
                  <c:v>0.39</c:v>
                </c:pt>
                <c:pt idx="14">
                  <c:v>0.39</c:v>
                </c:pt>
                <c:pt idx="15">
                  <c:v>0.4</c:v>
                </c:pt>
                <c:pt idx="16">
                  <c:v>0.38</c:v>
                </c:pt>
                <c:pt idx="17">
                  <c:v>0.38</c:v>
                </c:pt>
                <c:pt idx="18">
                  <c:v>0.38</c:v>
                </c:pt>
                <c:pt idx="19">
                  <c:v>0.38</c:v>
                </c:pt>
                <c:pt idx="20">
                  <c:v>0.37</c:v>
                </c:pt>
                <c:pt idx="21">
                  <c:v>0.39</c:v>
                </c:pt>
                <c:pt idx="22">
                  <c:v>0.4</c:v>
                </c:pt>
                <c:pt idx="23">
                  <c:v>0.4</c:v>
                </c:pt>
                <c:pt idx="24">
                  <c:v>0.4</c:v>
                </c:pt>
                <c:pt idx="25">
                  <c:v>0.4</c:v>
                </c:pt>
                <c:pt idx="26">
                  <c:v>0.4</c:v>
                </c:pt>
                <c:pt idx="27">
                  <c:v>0.4</c:v>
                </c:pt>
                <c:pt idx="28">
                  <c:v>0.4</c:v>
                </c:pt>
                <c:pt idx="29">
                  <c:v>0.4</c:v>
                </c:pt>
                <c:pt idx="30">
                  <c:v>0.4</c:v>
                </c:pt>
                <c:pt idx="31">
                  <c:v>0.4</c:v>
                </c:pt>
                <c:pt idx="32">
                  <c:v>0.38</c:v>
                </c:pt>
                <c:pt idx="33">
                  <c:v>0.39</c:v>
                </c:pt>
                <c:pt idx="34">
                  <c:v>0.39</c:v>
                </c:pt>
                <c:pt idx="35">
                  <c:v>0.39</c:v>
                </c:pt>
                <c:pt idx="36">
                  <c:v>0.39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0.39</c:v>
                </c:pt>
                <c:pt idx="41">
                  <c:v>0.39</c:v>
                </c:pt>
                <c:pt idx="42">
                  <c:v>0.4</c:v>
                </c:pt>
                <c:pt idx="43">
                  <c:v>0.41</c:v>
                </c:pt>
                <c:pt idx="44">
                  <c:v>0.4</c:v>
                </c:pt>
                <c:pt idx="45">
                  <c:v>0.41</c:v>
                </c:pt>
                <c:pt idx="46">
                  <c:v>0.41</c:v>
                </c:pt>
                <c:pt idx="47">
                  <c:v>0.4</c:v>
                </c:pt>
                <c:pt idx="48">
                  <c:v>0.4</c:v>
                </c:pt>
                <c:pt idx="49">
                  <c:v>0.4</c:v>
                </c:pt>
                <c:pt idx="50">
                  <c:v>0.4</c:v>
                </c:pt>
                <c:pt idx="51">
                  <c:v>0.39</c:v>
                </c:pt>
                <c:pt idx="52">
                  <c:v>0.4</c:v>
                </c:pt>
                <c:pt idx="53">
                  <c:v>0.4</c:v>
                </c:pt>
                <c:pt idx="54">
                  <c:v>0.39</c:v>
                </c:pt>
                <c:pt idx="55">
                  <c:v>0.4</c:v>
                </c:pt>
                <c:pt idx="56">
                  <c:v>0.4</c:v>
                </c:pt>
                <c:pt idx="57">
                  <c:v>0.4</c:v>
                </c:pt>
                <c:pt idx="58">
                  <c:v>0.4</c:v>
                </c:pt>
                <c:pt idx="59">
                  <c:v>0.4</c:v>
                </c:pt>
                <c:pt idx="60">
                  <c:v>0.4</c:v>
                </c:pt>
                <c:pt idx="61">
                  <c:v>0.4</c:v>
                </c:pt>
                <c:pt idx="62">
                  <c:v>0.39</c:v>
                </c:pt>
                <c:pt idx="63">
                  <c:v>0.39500000000000002</c:v>
                </c:pt>
                <c:pt idx="64">
                  <c:v>0.38019999999999998</c:v>
                </c:pt>
                <c:pt idx="65">
                  <c:v>0.39</c:v>
                </c:pt>
                <c:pt idx="66">
                  <c:v>0.4</c:v>
                </c:pt>
                <c:pt idx="67">
                  <c:v>0.4</c:v>
                </c:pt>
                <c:pt idx="68">
                  <c:v>0.38150000000000001</c:v>
                </c:pt>
                <c:pt idx="69">
                  <c:v>0.38100000000000001</c:v>
                </c:pt>
                <c:pt idx="70">
                  <c:v>0.36</c:v>
                </c:pt>
                <c:pt idx="71">
                  <c:v>0.39</c:v>
                </c:pt>
                <c:pt idx="72">
                  <c:v>0.4</c:v>
                </c:pt>
                <c:pt idx="73">
                  <c:v>0.41</c:v>
                </c:pt>
                <c:pt idx="74">
                  <c:v>0.42</c:v>
                </c:pt>
                <c:pt idx="75">
                  <c:v>0.4</c:v>
                </c:pt>
                <c:pt idx="76">
                  <c:v>0.4</c:v>
                </c:pt>
                <c:pt idx="77">
                  <c:v>0.4</c:v>
                </c:pt>
                <c:pt idx="78">
                  <c:v>0.4</c:v>
                </c:pt>
                <c:pt idx="79">
                  <c:v>0.39</c:v>
                </c:pt>
                <c:pt idx="80">
                  <c:v>0.39</c:v>
                </c:pt>
                <c:pt idx="81">
                  <c:v>0.39500000000000002</c:v>
                </c:pt>
                <c:pt idx="82">
                  <c:v>0.39</c:v>
                </c:pt>
                <c:pt idx="83">
                  <c:v>0.39</c:v>
                </c:pt>
                <c:pt idx="84">
                  <c:v>0.4</c:v>
                </c:pt>
                <c:pt idx="85">
                  <c:v>0.36699999999999999</c:v>
                </c:pt>
                <c:pt idx="86">
                  <c:v>0.36</c:v>
                </c:pt>
                <c:pt idx="87">
                  <c:v>0.3639</c:v>
                </c:pt>
                <c:pt idx="88">
                  <c:v>0.37</c:v>
                </c:pt>
                <c:pt idx="89">
                  <c:v>0.37</c:v>
                </c:pt>
                <c:pt idx="90">
                  <c:v>0.36499999999999999</c:v>
                </c:pt>
                <c:pt idx="91">
                  <c:v>0.38</c:v>
                </c:pt>
                <c:pt idx="92">
                  <c:v>0.38</c:v>
                </c:pt>
                <c:pt idx="93">
                  <c:v>0.35</c:v>
                </c:pt>
                <c:pt idx="94">
                  <c:v>0.3543</c:v>
                </c:pt>
                <c:pt idx="95">
                  <c:v>0.37</c:v>
                </c:pt>
                <c:pt idx="96">
                  <c:v>0.36499999999999999</c:v>
                </c:pt>
                <c:pt idx="97">
                  <c:v>0.36</c:v>
                </c:pt>
                <c:pt idx="98">
                  <c:v>0.37</c:v>
                </c:pt>
                <c:pt idx="99">
                  <c:v>0.36499999999999999</c:v>
                </c:pt>
                <c:pt idx="100">
                  <c:v>0.36</c:v>
                </c:pt>
                <c:pt idx="101">
                  <c:v>0.35549999999999998</c:v>
                </c:pt>
                <c:pt idx="102">
                  <c:v>0.35549999999999998</c:v>
                </c:pt>
                <c:pt idx="103">
                  <c:v>0.39</c:v>
                </c:pt>
                <c:pt idx="104">
                  <c:v>0.37</c:v>
                </c:pt>
                <c:pt idx="105">
                  <c:v>0.37</c:v>
                </c:pt>
                <c:pt idx="106">
                  <c:v>0.37</c:v>
                </c:pt>
                <c:pt idx="107">
                  <c:v>0.37</c:v>
                </c:pt>
                <c:pt idx="108">
                  <c:v>0.36099999999999999</c:v>
                </c:pt>
                <c:pt idx="109">
                  <c:v>0.36</c:v>
                </c:pt>
                <c:pt idx="110">
                  <c:v>0.36</c:v>
                </c:pt>
                <c:pt idx="111">
                  <c:v>0.36</c:v>
                </c:pt>
                <c:pt idx="112">
                  <c:v>0.36049999999999999</c:v>
                </c:pt>
                <c:pt idx="113">
                  <c:v>0.36549999999999999</c:v>
                </c:pt>
                <c:pt idx="114">
                  <c:v>0.35</c:v>
                </c:pt>
                <c:pt idx="115">
                  <c:v>0.35</c:v>
                </c:pt>
                <c:pt idx="116">
                  <c:v>0.35</c:v>
                </c:pt>
                <c:pt idx="117">
                  <c:v>0.34</c:v>
                </c:pt>
                <c:pt idx="118">
                  <c:v>0.34499999999999997</c:v>
                </c:pt>
                <c:pt idx="119">
                  <c:v>0.35809999999999997</c:v>
                </c:pt>
                <c:pt idx="120">
                  <c:v>0.35249999999999998</c:v>
                </c:pt>
                <c:pt idx="121">
                  <c:v>0.35</c:v>
                </c:pt>
                <c:pt idx="122">
                  <c:v>0.35809999999999997</c:v>
                </c:pt>
                <c:pt idx="123">
                  <c:v>0.36499999999999999</c:v>
                </c:pt>
                <c:pt idx="124">
                  <c:v>0.34</c:v>
                </c:pt>
                <c:pt idx="125">
                  <c:v>0.35</c:v>
                </c:pt>
                <c:pt idx="126">
                  <c:v>0.35</c:v>
                </c:pt>
                <c:pt idx="127">
                  <c:v>0.35</c:v>
                </c:pt>
                <c:pt idx="128">
                  <c:v>0.35499999999999998</c:v>
                </c:pt>
                <c:pt idx="129">
                  <c:v>0.34499999999999997</c:v>
                </c:pt>
                <c:pt idx="130">
                  <c:v>0.34</c:v>
                </c:pt>
                <c:pt idx="131">
                  <c:v>0.34</c:v>
                </c:pt>
                <c:pt idx="132">
                  <c:v>0.34</c:v>
                </c:pt>
                <c:pt idx="133">
                  <c:v>0.33379999999999999</c:v>
                </c:pt>
                <c:pt idx="134">
                  <c:v>0.35</c:v>
                </c:pt>
                <c:pt idx="135">
                  <c:v>0.35499999999999998</c:v>
                </c:pt>
                <c:pt idx="136">
                  <c:v>0.35</c:v>
                </c:pt>
                <c:pt idx="137">
                  <c:v>0.35649999999999998</c:v>
                </c:pt>
                <c:pt idx="138">
                  <c:v>0.35830000000000001</c:v>
                </c:pt>
                <c:pt idx="139">
                  <c:v>0.35</c:v>
                </c:pt>
                <c:pt idx="140">
                  <c:v>0.36</c:v>
                </c:pt>
                <c:pt idx="141">
                  <c:v>0.36</c:v>
                </c:pt>
                <c:pt idx="142">
                  <c:v>0.36</c:v>
                </c:pt>
                <c:pt idx="143">
                  <c:v>0.36</c:v>
                </c:pt>
                <c:pt idx="144">
                  <c:v>0.37</c:v>
                </c:pt>
                <c:pt idx="145">
                  <c:v>0.37</c:v>
                </c:pt>
                <c:pt idx="146">
                  <c:v>0.37019999999999997</c:v>
                </c:pt>
                <c:pt idx="147">
                  <c:v>0.37</c:v>
                </c:pt>
                <c:pt idx="148">
                  <c:v>0.37009999999999998</c:v>
                </c:pt>
                <c:pt idx="149">
                  <c:v>0.37019999999999997</c:v>
                </c:pt>
                <c:pt idx="150">
                  <c:v>0.37009999999999998</c:v>
                </c:pt>
                <c:pt idx="151">
                  <c:v>0.37009999999999998</c:v>
                </c:pt>
                <c:pt idx="152">
                  <c:v>0.37509999999999999</c:v>
                </c:pt>
                <c:pt idx="153">
                  <c:v>0.37</c:v>
                </c:pt>
                <c:pt idx="154">
                  <c:v>0.36670000000000003</c:v>
                </c:pt>
                <c:pt idx="155">
                  <c:v>0.36670000000000003</c:v>
                </c:pt>
                <c:pt idx="156">
                  <c:v>0.36170000000000002</c:v>
                </c:pt>
                <c:pt idx="157">
                  <c:v>0.37</c:v>
                </c:pt>
                <c:pt idx="158">
                  <c:v>0.4</c:v>
                </c:pt>
                <c:pt idx="159">
                  <c:v>0.4</c:v>
                </c:pt>
                <c:pt idx="160">
                  <c:v>0.4</c:v>
                </c:pt>
                <c:pt idx="161">
                  <c:v>0.4</c:v>
                </c:pt>
                <c:pt idx="162">
                  <c:v>0.4</c:v>
                </c:pt>
                <c:pt idx="163">
                  <c:v>0.4</c:v>
                </c:pt>
                <c:pt idx="164">
                  <c:v>0.4</c:v>
                </c:pt>
                <c:pt idx="165">
                  <c:v>0.42</c:v>
                </c:pt>
                <c:pt idx="166">
                  <c:v>0.41</c:v>
                </c:pt>
                <c:pt idx="167">
                  <c:v>0.41</c:v>
                </c:pt>
                <c:pt idx="168">
                  <c:v>0.42499999999999999</c:v>
                </c:pt>
                <c:pt idx="169">
                  <c:v>0.42</c:v>
                </c:pt>
                <c:pt idx="170">
                  <c:v>0.41</c:v>
                </c:pt>
                <c:pt idx="171">
                  <c:v>0.42</c:v>
                </c:pt>
                <c:pt idx="172">
                  <c:v>0.42499999999999999</c:v>
                </c:pt>
                <c:pt idx="173">
                  <c:v>0.43</c:v>
                </c:pt>
                <c:pt idx="174">
                  <c:v>0.42</c:v>
                </c:pt>
                <c:pt idx="175">
                  <c:v>0.42</c:v>
                </c:pt>
                <c:pt idx="176">
                  <c:v>0.42</c:v>
                </c:pt>
                <c:pt idx="177">
                  <c:v>0.42</c:v>
                </c:pt>
                <c:pt idx="178">
                  <c:v>0.41499999999999998</c:v>
                </c:pt>
                <c:pt idx="179">
                  <c:v>0.42</c:v>
                </c:pt>
                <c:pt idx="180">
                  <c:v>0.42</c:v>
                </c:pt>
                <c:pt idx="181">
                  <c:v>0.42499999999999999</c:v>
                </c:pt>
                <c:pt idx="182">
                  <c:v>0.42</c:v>
                </c:pt>
                <c:pt idx="183">
                  <c:v>0.44619999999999999</c:v>
                </c:pt>
                <c:pt idx="184">
                  <c:v>0.46</c:v>
                </c:pt>
                <c:pt idx="185">
                  <c:v>0.45</c:v>
                </c:pt>
                <c:pt idx="186">
                  <c:v>0.45</c:v>
                </c:pt>
                <c:pt idx="187">
                  <c:v>0.45</c:v>
                </c:pt>
                <c:pt idx="188">
                  <c:v>0.45</c:v>
                </c:pt>
                <c:pt idx="189">
                  <c:v>0.43619999999999998</c:v>
                </c:pt>
                <c:pt idx="190">
                  <c:v>0.43</c:v>
                </c:pt>
                <c:pt idx="191">
                  <c:v>0.43</c:v>
                </c:pt>
                <c:pt idx="192">
                  <c:v>0.42</c:v>
                </c:pt>
                <c:pt idx="193">
                  <c:v>0.44119999999999998</c:v>
                </c:pt>
                <c:pt idx="194">
                  <c:v>0.44619999999999999</c:v>
                </c:pt>
                <c:pt idx="195">
                  <c:v>0.46500000000000002</c:v>
                </c:pt>
                <c:pt idx="196">
                  <c:v>0.47</c:v>
                </c:pt>
                <c:pt idx="197">
                  <c:v>0.47</c:v>
                </c:pt>
                <c:pt idx="198">
                  <c:v>0.47</c:v>
                </c:pt>
                <c:pt idx="199">
                  <c:v>0.47</c:v>
                </c:pt>
                <c:pt idx="200">
                  <c:v>0.47</c:v>
                </c:pt>
                <c:pt idx="201">
                  <c:v>0.47499999999999998</c:v>
                </c:pt>
                <c:pt idx="202">
                  <c:v>0.49</c:v>
                </c:pt>
                <c:pt idx="203">
                  <c:v>0.5</c:v>
                </c:pt>
                <c:pt idx="204">
                  <c:v>0.495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0.4975</c:v>
                </c:pt>
                <c:pt idx="212">
                  <c:v>0.49249999999999999</c:v>
                </c:pt>
                <c:pt idx="213">
                  <c:v>0.49</c:v>
                </c:pt>
                <c:pt idx="214">
                  <c:v>0.5</c:v>
                </c:pt>
                <c:pt idx="215">
                  <c:v>0.51</c:v>
                </c:pt>
                <c:pt idx="216">
                  <c:v>0.56000000000000005</c:v>
                </c:pt>
                <c:pt idx="217">
                  <c:v>0.56340000000000001</c:v>
                </c:pt>
                <c:pt idx="218">
                  <c:v>0.56669999999999998</c:v>
                </c:pt>
                <c:pt idx="219">
                  <c:v>0.56000000000000005</c:v>
                </c:pt>
                <c:pt idx="220">
                  <c:v>0.56999999999999995</c:v>
                </c:pt>
                <c:pt idx="221">
                  <c:v>0.56169999999999998</c:v>
                </c:pt>
                <c:pt idx="222">
                  <c:v>0.56999999999999995</c:v>
                </c:pt>
                <c:pt idx="223">
                  <c:v>0.56999999999999995</c:v>
                </c:pt>
                <c:pt idx="224">
                  <c:v>0.56999999999999995</c:v>
                </c:pt>
                <c:pt idx="225">
                  <c:v>0.51639999999999997</c:v>
                </c:pt>
                <c:pt idx="226">
                  <c:v>0.55500000000000005</c:v>
                </c:pt>
                <c:pt idx="227">
                  <c:v>0.56000000000000005</c:v>
                </c:pt>
                <c:pt idx="228">
                  <c:v>0.55000000000000004</c:v>
                </c:pt>
                <c:pt idx="229">
                  <c:v>0.55000000000000004</c:v>
                </c:pt>
                <c:pt idx="230">
                  <c:v>0.54</c:v>
                </c:pt>
                <c:pt idx="231">
                  <c:v>0.53</c:v>
                </c:pt>
                <c:pt idx="232">
                  <c:v>0.53</c:v>
                </c:pt>
                <c:pt idx="233">
                  <c:v>0.55000000000000004</c:v>
                </c:pt>
                <c:pt idx="234">
                  <c:v>0.55000000000000004</c:v>
                </c:pt>
                <c:pt idx="235">
                  <c:v>0.52439999999999998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D6-4F8A-9664-282BF69C6434}"/>
            </c:ext>
          </c:extLst>
        </c:ser>
        <c:ser>
          <c:idx val="3"/>
          <c:order val="2"/>
          <c:tx>
            <c:strRef>
              <c:f>'Exp Monthly'!$G$3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'Exp Monthly'!$D$4:$D$239</c:f>
              <c:numCache>
                <c:formatCode>m/d/yyyy</c:formatCode>
                <c:ptCount val="236"/>
                <c:pt idx="0">
                  <c:v>44200</c:v>
                </c:pt>
                <c:pt idx="1">
                  <c:v>44201</c:v>
                </c:pt>
                <c:pt idx="2">
                  <c:v>44202</c:v>
                </c:pt>
                <c:pt idx="3">
                  <c:v>44203</c:v>
                </c:pt>
                <c:pt idx="4">
                  <c:v>44204</c:v>
                </c:pt>
                <c:pt idx="5">
                  <c:v>44207</c:v>
                </c:pt>
                <c:pt idx="6">
                  <c:v>44208</c:v>
                </c:pt>
                <c:pt idx="7">
                  <c:v>44209</c:v>
                </c:pt>
                <c:pt idx="8">
                  <c:v>44210</c:v>
                </c:pt>
                <c:pt idx="9">
                  <c:v>44211</c:v>
                </c:pt>
                <c:pt idx="10">
                  <c:v>44214</c:v>
                </c:pt>
                <c:pt idx="11">
                  <c:v>44215</c:v>
                </c:pt>
                <c:pt idx="12">
                  <c:v>44216</c:v>
                </c:pt>
                <c:pt idx="13">
                  <c:v>44217</c:v>
                </c:pt>
                <c:pt idx="14">
                  <c:v>44218</c:v>
                </c:pt>
                <c:pt idx="15">
                  <c:v>44221</c:v>
                </c:pt>
                <c:pt idx="16">
                  <c:v>44222</c:v>
                </c:pt>
                <c:pt idx="17">
                  <c:v>44223</c:v>
                </c:pt>
                <c:pt idx="18">
                  <c:v>44224</c:v>
                </c:pt>
                <c:pt idx="19">
                  <c:v>44225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44235</c:v>
                </c:pt>
                <c:pt idx="26">
                  <c:v>44236</c:v>
                </c:pt>
                <c:pt idx="27">
                  <c:v>44237</c:v>
                </c:pt>
                <c:pt idx="28">
                  <c:v>44238</c:v>
                </c:pt>
                <c:pt idx="29">
                  <c:v>44239</c:v>
                </c:pt>
                <c:pt idx="30">
                  <c:v>44244</c:v>
                </c:pt>
                <c:pt idx="31">
                  <c:v>44245</c:v>
                </c:pt>
                <c:pt idx="32">
                  <c:v>44246</c:v>
                </c:pt>
                <c:pt idx="33">
                  <c:v>44249</c:v>
                </c:pt>
                <c:pt idx="34">
                  <c:v>44250</c:v>
                </c:pt>
                <c:pt idx="35">
                  <c:v>44251</c:v>
                </c:pt>
                <c:pt idx="36">
                  <c:v>44252</c:v>
                </c:pt>
                <c:pt idx="37">
                  <c:v>44253</c:v>
                </c:pt>
                <c:pt idx="38">
                  <c:v>44256</c:v>
                </c:pt>
                <c:pt idx="39">
                  <c:v>44257</c:v>
                </c:pt>
                <c:pt idx="40">
                  <c:v>44258</c:v>
                </c:pt>
                <c:pt idx="41">
                  <c:v>44259</c:v>
                </c:pt>
                <c:pt idx="42">
                  <c:v>44260</c:v>
                </c:pt>
                <c:pt idx="43">
                  <c:v>44263</c:v>
                </c:pt>
                <c:pt idx="44">
                  <c:v>44264</c:v>
                </c:pt>
                <c:pt idx="45">
                  <c:v>44265</c:v>
                </c:pt>
                <c:pt idx="46">
                  <c:v>44266</c:v>
                </c:pt>
                <c:pt idx="47">
                  <c:v>44267</c:v>
                </c:pt>
                <c:pt idx="48">
                  <c:v>44270</c:v>
                </c:pt>
                <c:pt idx="49">
                  <c:v>44271</c:v>
                </c:pt>
                <c:pt idx="50">
                  <c:v>44272</c:v>
                </c:pt>
                <c:pt idx="51">
                  <c:v>44273</c:v>
                </c:pt>
                <c:pt idx="52">
                  <c:v>44274</c:v>
                </c:pt>
                <c:pt idx="53">
                  <c:v>44277</c:v>
                </c:pt>
                <c:pt idx="54">
                  <c:v>44278</c:v>
                </c:pt>
                <c:pt idx="55">
                  <c:v>44279</c:v>
                </c:pt>
                <c:pt idx="56">
                  <c:v>44280</c:v>
                </c:pt>
                <c:pt idx="57">
                  <c:v>44281</c:v>
                </c:pt>
                <c:pt idx="58">
                  <c:v>44284</c:v>
                </c:pt>
                <c:pt idx="59">
                  <c:v>44285</c:v>
                </c:pt>
                <c:pt idx="60">
                  <c:v>44286</c:v>
                </c:pt>
                <c:pt idx="61">
                  <c:v>44287</c:v>
                </c:pt>
                <c:pt idx="62">
                  <c:v>44291</c:v>
                </c:pt>
                <c:pt idx="63">
                  <c:v>44292</c:v>
                </c:pt>
                <c:pt idx="64">
                  <c:v>44293</c:v>
                </c:pt>
                <c:pt idx="65">
                  <c:v>44294</c:v>
                </c:pt>
                <c:pt idx="66">
                  <c:v>44295</c:v>
                </c:pt>
                <c:pt idx="67">
                  <c:v>44298</c:v>
                </c:pt>
                <c:pt idx="68">
                  <c:v>44299</c:v>
                </c:pt>
                <c:pt idx="69">
                  <c:v>44300</c:v>
                </c:pt>
                <c:pt idx="70">
                  <c:v>44301</c:v>
                </c:pt>
                <c:pt idx="71">
                  <c:v>44302</c:v>
                </c:pt>
                <c:pt idx="72">
                  <c:v>44305</c:v>
                </c:pt>
                <c:pt idx="73">
                  <c:v>44306</c:v>
                </c:pt>
                <c:pt idx="74">
                  <c:v>44308</c:v>
                </c:pt>
                <c:pt idx="75">
                  <c:v>44309</c:v>
                </c:pt>
                <c:pt idx="76">
                  <c:v>44312</c:v>
                </c:pt>
                <c:pt idx="77">
                  <c:v>44313</c:v>
                </c:pt>
                <c:pt idx="78">
                  <c:v>44314</c:v>
                </c:pt>
                <c:pt idx="79">
                  <c:v>44315</c:v>
                </c:pt>
                <c:pt idx="80">
                  <c:v>44316</c:v>
                </c:pt>
                <c:pt idx="81">
                  <c:v>44319</c:v>
                </c:pt>
                <c:pt idx="82">
                  <c:v>44320</c:v>
                </c:pt>
                <c:pt idx="83">
                  <c:v>44321</c:v>
                </c:pt>
                <c:pt idx="84">
                  <c:v>44322</c:v>
                </c:pt>
                <c:pt idx="85">
                  <c:v>44323</c:v>
                </c:pt>
                <c:pt idx="86">
                  <c:v>44326</c:v>
                </c:pt>
                <c:pt idx="87">
                  <c:v>44327</c:v>
                </c:pt>
                <c:pt idx="88">
                  <c:v>44328</c:v>
                </c:pt>
                <c:pt idx="89">
                  <c:v>44329</c:v>
                </c:pt>
                <c:pt idx="90">
                  <c:v>44330</c:v>
                </c:pt>
                <c:pt idx="91">
                  <c:v>44333</c:v>
                </c:pt>
                <c:pt idx="92">
                  <c:v>44334</c:v>
                </c:pt>
                <c:pt idx="93">
                  <c:v>44335</c:v>
                </c:pt>
                <c:pt idx="94">
                  <c:v>44336</c:v>
                </c:pt>
                <c:pt idx="95">
                  <c:v>44337</c:v>
                </c:pt>
                <c:pt idx="96">
                  <c:v>44340</c:v>
                </c:pt>
                <c:pt idx="97">
                  <c:v>44341</c:v>
                </c:pt>
                <c:pt idx="98">
                  <c:v>44342</c:v>
                </c:pt>
                <c:pt idx="99">
                  <c:v>44343</c:v>
                </c:pt>
                <c:pt idx="100">
                  <c:v>44344</c:v>
                </c:pt>
                <c:pt idx="101">
                  <c:v>44347</c:v>
                </c:pt>
                <c:pt idx="102">
                  <c:v>44348</c:v>
                </c:pt>
                <c:pt idx="103">
                  <c:v>44349</c:v>
                </c:pt>
                <c:pt idx="104">
                  <c:v>44351</c:v>
                </c:pt>
                <c:pt idx="105">
                  <c:v>44354</c:v>
                </c:pt>
                <c:pt idx="106">
                  <c:v>44355</c:v>
                </c:pt>
                <c:pt idx="107">
                  <c:v>44356</c:v>
                </c:pt>
                <c:pt idx="108">
                  <c:v>44357</c:v>
                </c:pt>
                <c:pt idx="109">
                  <c:v>44358</c:v>
                </c:pt>
                <c:pt idx="110">
                  <c:v>44361</c:v>
                </c:pt>
                <c:pt idx="111">
                  <c:v>44362</c:v>
                </c:pt>
                <c:pt idx="112">
                  <c:v>44363</c:v>
                </c:pt>
                <c:pt idx="113">
                  <c:v>44364</c:v>
                </c:pt>
                <c:pt idx="114">
                  <c:v>44365</c:v>
                </c:pt>
                <c:pt idx="115">
                  <c:v>44368</c:v>
                </c:pt>
                <c:pt idx="116">
                  <c:v>44369</c:v>
                </c:pt>
                <c:pt idx="117">
                  <c:v>44370</c:v>
                </c:pt>
                <c:pt idx="118">
                  <c:v>44371</c:v>
                </c:pt>
                <c:pt idx="119">
                  <c:v>44372</c:v>
                </c:pt>
                <c:pt idx="120">
                  <c:v>44375</c:v>
                </c:pt>
                <c:pt idx="121">
                  <c:v>44376</c:v>
                </c:pt>
                <c:pt idx="122">
                  <c:v>44377</c:v>
                </c:pt>
                <c:pt idx="123">
                  <c:v>44378</c:v>
                </c:pt>
                <c:pt idx="124">
                  <c:v>44379</c:v>
                </c:pt>
                <c:pt idx="125">
                  <c:v>44382</c:v>
                </c:pt>
                <c:pt idx="126">
                  <c:v>44383</c:v>
                </c:pt>
                <c:pt idx="127">
                  <c:v>44384</c:v>
                </c:pt>
                <c:pt idx="128">
                  <c:v>44385</c:v>
                </c:pt>
                <c:pt idx="129">
                  <c:v>44386</c:v>
                </c:pt>
                <c:pt idx="130">
                  <c:v>44389</c:v>
                </c:pt>
                <c:pt idx="131">
                  <c:v>44390</c:v>
                </c:pt>
                <c:pt idx="132">
                  <c:v>44391</c:v>
                </c:pt>
                <c:pt idx="133">
                  <c:v>44392</c:v>
                </c:pt>
                <c:pt idx="134">
                  <c:v>44393</c:v>
                </c:pt>
                <c:pt idx="135">
                  <c:v>44396</c:v>
                </c:pt>
                <c:pt idx="136">
                  <c:v>44397</c:v>
                </c:pt>
                <c:pt idx="137">
                  <c:v>44398</c:v>
                </c:pt>
                <c:pt idx="138">
                  <c:v>44399</c:v>
                </c:pt>
                <c:pt idx="139">
                  <c:v>44400</c:v>
                </c:pt>
                <c:pt idx="140">
                  <c:v>44403</c:v>
                </c:pt>
                <c:pt idx="141">
                  <c:v>44404</c:v>
                </c:pt>
                <c:pt idx="142">
                  <c:v>44405</c:v>
                </c:pt>
                <c:pt idx="143">
                  <c:v>44406</c:v>
                </c:pt>
                <c:pt idx="144">
                  <c:v>44407</c:v>
                </c:pt>
                <c:pt idx="145">
                  <c:v>44410</c:v>
                </c:pt>
                <c:pt idx="146">
                  <c:v>44411</c:v>
                </c:pt>
                <c:pt idx="147">
                  <c:v>44412</c:v>
                </c:pt>
                <c:pt idx="148">
                  <c:v>44413</c:v>
                </c:pt>
                <c:pt idx="149">
                  <c:v>44414</c:v>
                </c:pt>
                <c:pt idx="150">
                  <c:v>44417</c:v>
                </c:pt>
                <c:pt idx="151">
                  <c:v>44418</c:v>
                </c:pt>
                <c:pt idx="152">
                  <c:v>44419</c:v>
                </c:pt>
                <c:pt idx="153">
                  <c:v>44420</c:v>
                </c:pt>
                <c:pt idx="154">
                  <c:v>44421</c:v>
                </c:pt>
                <c:pt idx="155">
                  <c:v>44424</c:v>
                </c:pt>
                <c:pt idx="156">
                  <c:v>44425</c:v>
                </c:pt>
                <c:pt idx="157">
                  <c:v>44426</c:v>
                </c:pt>
                <c:pt idx="158">
                  <c:v>44427</c:v>
                </c:pt>
                <c:pt idx="159">
                  <c:v>44428</c:v>
                </c:pt>
                <c:pt idx="160">
                  <c:v>44431</c:v>
                </c:pt>
                <c:pt idx="161">
                  <c:v>44432</c:v>
                </c:pt>
                <c:pt idx="162">
                  <c:v>44433</c:v>
                </c:pt>
                <c:pt idx="163">
                  <c:v>44434</c:v>
                </c:pt>
                <c:pt idx="164">
                  <c:v>44435</c:v>
                </c:pt>
                <c:pt idx="165">
                  <c:v>44438</c:v>
                </c:pt>
                <c:pt idx="166">
                  <c:v>44439</c:v>
                </c:pt>
                <c:pt idx="167">
                  <c:v>44440</c:v>
                </c:pt>
                <c:pt idx="168">
                  <c:v>44441</c:v>
                </c:pt>
                <c:pt idx="169">
                  <c:v>44442</c:v>
                </c:pt>
                <c:pt idx="170">
                  <c:v>44445</c:v>
                </c:pt>
                <c:pt idx="171">
                  <c:v>44447</c:v>
                </c:pt>
                <c:pt idx="172">
                  <c:v>44448</c:v>
                </c:pt>
                <c:pt idx="173">
                  <c:v>44449</c:v>
                </c:pt>
                <c:pt idx="174">
                  <c:v>44452</c:v>
                </c:pt>
                <c:pt idx="175">
                  <c:v>44453</c:v>
                </c:pt>
                <c:pt idx="176">
                  <c:v>44454</c:v>
                </c:pt>
                <c:pt idx="177">
                  <c:v>44455</c:v>
                </c:pt>
                <c:pt idx="178">
                  <c:v>44456</c:v>
                </c:pt>
                <c:pt idx="179">
                  <c:v>44459</c:v>
                </c:pt>
                <c:pt idx="180">
                  <c:v>44460</c:v>
                </c:pt>
                <c:pt idx="181">
                  <c:v>44461</c:v>
                </c:pt>
                <c:pt idx="182">
                  <c:v>44462</c:v>
                </c:pt>
                <c:pt idx="183">
                  <c:v>44463</c:v>
                </c:pt>
                <c:pt idx="184">
                  <c:v>44466</c:v>
                </c:pt>
                <c:pt idx="185">
                  <c:v>44467</c:v>
                </c:pt>
                <c:pt idx="186" formatCode="General">
                  <c:v>44468</c:v>
                </c:pt>
                <c:pt idx="187" formatCode="General">
                  <c:v>44469</c:v>
                </c:pt>
                <c:pt idx="188" formatCode="General">
                  <c:v>44470</c:v>
                </c:pt>
                <c:pt idx="189" formatCode="General">
                  <c:v>44473</c:v>
                </c:pt>
                <c:pt idx="190" formatCode="General">
                  <c:v>44474</c:v>
                </c:pt>
                <c:pt idx="191" formatCode="General">
                  <c:v>44475</c:v>
                </c:pt>
                <c:pt idx="192">
                  <c:v>44476</c:v>
                </c:pt>
                <c:pt idx="193">
                  <c:v>44477</c:v>
                </c:pt>
                <c:pt idx="194">
                  <c:v>44480</c:v>
                </c:pt>
                <c:pt idx="195">
                  <c:v>44482</c:v>
                </c:pt>
                <c:pt idx="196">
                  <c:v>44483</c:v>
                </c:pt>
                <c:pt idx="197">
                  <c:v>44484</c:v>
                </c:pt>
                <c:pt idx="198">
                  <c:v>44487</c:v>
                </c:pt>
                <c:pt idx="199">
                  <c:v>44488</c:v>
                </c:pt>
                <c:pt idx="200">
                  <c:v>44489</c:v>
                </c:pt>
                <c:pt idx="201">
                  <c:v>44490</c:v>
                </c:pt>
                <c:pt idx="202">
                  <c:v>44491</c:v>
                </c:pt>
                <c:pt idx="203">
                  <c:v>44494</c:v>
                </c:pt>
                <c:pt idx="204">
                  <c:v>44495</c:v>
                </c:pt>
                <c:pt idx="205">
                  <c:v>44496</c:v>
                </c:pt>
                <c:pt idx="206">
                  <c:v>44497</c:v>
                </c:pt>
                <c:pt idx="207">
                  <c:v>44498</c:v>
                </c:pt>
                <c:pt idx="208">
                  <c:v>44501</c:v>
                </c:pt>
                <c:pt idx="209">
                  <c:v>44503</c:v>
                </c:pt>
                <c:pt idx="210">
                  <c:v>44504</c:v>
                </c:pt>
                <c:pt idx="211">
                  <c:v>44505</c:v>
                </c:pt>
                <c:pt idx="212">
                  <c:v>44508</c:v>
                </c:pt>
                <c:pt idx="213">
                  <c:v>44509</c:v>
                </c:pt>
                <c:pt idx="214">
                  <c:v>44510</c:v>
                </c:pt>
                <c:pt idx="215">
                  <c:v>44511</c:v>
                </c:pt>
                <c:pt idx="216">
                  <c:v>44512</c:v>
                </c:pt>
                <c:pt idx="217">
                  <c:v>44516</c:v>
                </c:pt>
                <c:pt idx="218">
                  <c:v>44517</c:v>
                </c:pt>
                <c:pt idx="219">
                  <c:v>44518</c:v>
                </c:pt>
                <c:pt idx="220">
                  <c:v>44519</c:v>
                </c:pt>
                <c:pt idx="221">
                  <c:v>44522</c:v>
                </c:pt>
                <c:pt idx="222">
                  <c:v>44523</c:v>
                </c:pt>
                <c:pt idx="223">
                  <c:v>44524</c:v>
                </c:pt>
                <c:pt idx="224">
                  <c:v>44525</c:v>
                </c:pt>
                <c:pt idx="225">
                  <c:v>44526</c:v>
                </c:pt>
                <c:pt idx="226">
                  <c:v>44529</c:v>
                </c:pt>
                <c:pt idx="227">
                  <c:v>44530</c:v>
                </c:pt>
                <c:pt idx="228">
                  <c:v>44531</c:v>
                </c:pt>
                <c:pt idx="229">
                  <c:v>44532</c:v>
                </c:pt>
                <c:pt idx="230">
                  <c:v>44533</c:v>
                </c:pt>
                <c:pt idx="231">
                  <c:v>44536</c:v>
                </c:pt>
                <c:pt idx="232">
                  <c:v>44537</c:v>
                </c:pt>
                <c:pt idx="233">
                  <c:v>44538</c:v>
                </c:pt>
                <c:pt idx="234">
                  <c:v>44539</c:v>
                </c:pt>
                <c:pt idx="235">
                  <c:v>44540</c:v>
                </c:pt>
              </c:numCache>
            </c:numRef>
          </c:cat>
          <c:val>
            <c:numRef>
              <c:f>'Exp Monthly'!$G$4:$G$239</c:f>
              <c:numCache>
                <c:formatCode>General</c:formatCode>
                <c:ptCount val="236"/>
                <c:pt idx="0">
                  <c:v>0.71</c:v>
                </c:pt>
                <c:pt idx="1">
                  <c:v>0.71</c:v>
                </c:pt>
                <c:pt idx="2">
                  <c:v>0.71</c:v>
                </c:pt>
                <c:pt idx="3">
                  <c:v>0.71</c:v>
                </c:pt>
                <c:pt idx="4">
                  <c:v>0.71</c:v>
                </c:pt>
                <c:pt idx="5">
                  <c:v>0.71</c:v>
                </c:pt>
                <c:pt idx="6">
                  <c:v>0.71</c:v>
                </c:pt>
                <c:pt idx="7">
                  <c:v>0.71</c:v>
                </c:pt>
                <c:pt idx="8">
                  <c:v>0.71</c:v>
                </c:pt>
                <c:pt idx="9">
                  <c:v>0.71</c:v>
                </c:pt>
                <c:pt idx="10">
                  <c:v>0.71</c:v>
                </c:pt>
                <c:pt idx="11">
                  <c:v>0.71</c:v>
                </c:pt>
                <c:pt idx="12">
                  <c:v>0.71</c:v>
                </c:pt>
                <c:pt idx="13">
                  <c:v>0.71</c:v>
                </c:pt>
                <c:pt idx="14">
                  <c:v>0.71</c:v>
                </c:pt>
                <c:pt idx="15">
                  <c:v>0.71</c:v>
                </c:pt>
                <c:pt idx="16">
                  <c:v>0.71</c:v>
                </c:pt>
                <c:pt idx="17">
                  <c:v>0.71</c:v>
                </c:pt>
                <c:pt idx="18">
                  <c:v>0.71</c:v>
                </c:pt>
                <c:pt idx="19">
                  <c:v>0.71</c:v>
                </c:pt>
                <c:pt idx="20">
                  <c:v>0.71</c:v>
                </c:pt>
                <c:pt idx="21">
                  <c:v>0.71</c:v>
                </c:pt>
                <c:pt idx="22">
                  <c:v>0.71</c:v>
                </c:pt>
                <c:pt idx="23">
                  <c:v>0.71</c:v>
                </c:pt>
                <c:pt idx="24">
                  <c:v>0.71</c:v>
                </c:pt>
                <c:pt idx="25">
                  <c:v>0.71</c:v>
                </c:pt>
                <c:pt idx="26">
                  <c:v>0.71</c:v>
                </c:pt>
                <c:pt idx="27">
                  <c:v>0.71</c:v>
                </c:pt>
                <c:pt idx="28">
                  <c:v>0.71</c:v>
                </c:pt>
                <c:pt idx="29">
                  <c:v>0.71</c:v>
                </c:pt>
                <c:pt idx="30">
                  <c:v>0.71</c:v>
                </c:pt>
                <c:pt idx="31">
                  <c:v>0.71</c:v>
                </c:pt>
                <c:pt idx="32">
                  <c:v>0.71</c:v>
                </c:pt>
                <c:pt idx="33">
                  <c:v>0.71</c:v>
                </c:pt>
                <c:pt idx="34">
                  <c:v>0.71</c:v>
                </c:pt>
                <c:pt idx="35">
                  <c:v>0.71</c:v>
                </c:pt>
                <c:pt idx="36">
                  <c:v>0.71</c:v>
                </c:pt>
                <c:pt idx="37">
                  <c:v>0.71</c:v>
                </c:pt>
                <c:pt idx="38">
                  <c:v>0.59</c:v>
                </c:pt>
                <c:pt idx="39">
                  <c:v>0.59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0.71</c:v>
                </c:pt>
                <c:pt idx="44">
                  <c:v>0.71</c:v>
                </c:pt>
                <c:pt idx="45">
                  <c:v>0.71</c:v>
                </c:pt>
                <c:pt idx="46">
                  <c:v>0.71</c:v>
                </c:pt>
                <c:pt idx="47">
                  <c:v>0.71</c:v>
                </c:pt>
                <c:pt idx="48">
                  <c:v>0.71</c:v>
                </c:pt>
                <c:pt idx="49">
                  <c:v>0.71</c:v>
                </c:pt>
                <c:pt idx="50">
                  <c:v>0.71</c:v>
                </c:pt>
                <c:pt idx="51">
                  <c:v>0.71</c:v>
                </c:pt>
                <c:pt idx="52">
                  <c:v>0.81</c:v>
                </c:pt>
                <c:pt idx="53">
                  <c:v>0.81</c:v>
                </c:pt>
                <c:pt idx="54">
                  <c:v>0.81</c:v>
                </c:pt>
                <c:pt idx="55">
                  <c:v>0.81</c:v>
                </c:pt>
                <c:pt idx="56">
                  <c:v>0.81</c:v>
                </c:pt>
                <c:pt idx="57">
                  <c:v>0.59</c:v>
                </c:pt>
                <c:pt idx="58">
                  <c:v>0.59</c:v>
                </c:pt>
                <c:pt idx="59">
                  <c:v>0.81</c:v>
                </c:pt>
                <c:pt idx="60">
                  <c:v>0.80569999999999997</c:v>
                </c:pt>
                <c:pt idx="61">
                  <c:v>0.80569999999999997</c:v>
                </c:pt>
                <c:pt idx="62">
                  <c:v>0.80569999999999997</c:v>
                </c:pt>
                <c:pt idx="63">
                  <c:v>0.80569999999999997</c:v>
                </c:pt>
                <c:pt idx="64">
                  <c:v>0.6</c:v>
                </c:pt>
                <c:pt idx="65">
                  <c:v>0.6</c:v>
                </c:pt>
                <c:pt idx="66">
                  <c:v>0.80569999999999997</c:v>
                </c:pt>
                <c:pt idx="67">
                  <c:v>0.80569999999999997</c:v>
                </c:pt>
                <c:pt idx="68">
                  <c:v>0.80569999999999997</c:v>
                </c:pt>
                <c:pt idx="69">
                  <c:v>0.80569999999999997</c:v>
                </c:pt>
                <c:pt idx="70">
                  <c:v>0.80569999999999997</c:v>
                </c:pt>
                <c:pt idx="71">
                  <c:v>0.63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0.80569999999999997</c:v>
                </c:pt>
                <c:pt idx="76">
                  <c:v>0.80569999999999997</c:v>
                </c:pt>
                <c:pt idx="77">
                  <c:v>0.80569999999999997</c:v>
                </c:pt>
                <c:pt idx="78">
                  <c:v>0.80569999999999997</c:v>
                </c:pt>
                <c:pt idx="79">
                  <c:v>0.80569999999999997</c:v>
                </c:pt>
                <c:pt idx="80">
                  <c:v>0.80569999999999997</c:v>
                </c:pt>
                <c:pt idx="81">
                  <c:v>0.80569999999999997</c:v>
                </c:pt>
                <c:pt idx="82">
                  <c:v>0.80569999999999997</c:v>
                </c:pt>
                <c:pt idx="83">
                  <c:v>0.7</c:v>
                </c:pt>
                <c:pt idx="84">
                  <c:v>0.7</c:v>
                </c:pt>
                <c:pt idx="85">
                  <c:v>0.7</c:v>
                </c:pt>
                <c:pt idx="86">
                  <c:v>0.7</c:v>
                </c:pt>
                <c:pt idx="87">
                  <c:v>0.7</c:v>
                </c:pt>
                <c:pt idx="88">
                  <c:v>0.7</c:v>
                </c:pt>
                <c:pt idx="89">
                  <c:v>0.7</c:v>
                </c:pt>
                <c:pt idx="90">
                  <c:v>0.7</c:v>
                </c:pt>
                <c:pt idx="91">
                  <c:v>0.7</c:v>
                </c:pt>
                <c:pt idx="92">
                  <c:v>0.7</c:v>
                </c:pt>
                <c:pt idx="93">
                  <c:v>0.7</c:v>
                </c:pt>
                <c:pt idx="94">
                  <c:v>0.7</c:v>
                </c:pt>
                <c:pt idx="95">
                  <c:v>0.7</c:v>
                </c:pt>
                <c:pt idx="96">
                  <c:v>0.7</c:v>
                </c:pt>
                <c:pt idx="97">
                  <c:v>0.7</c:v>
                </c:pt>
                <c:pt idx="98">
                  <c:v>0.7</c:v>
                </c:pt>
                <c:pt idx="99">
                  <c:v>0.7</c:v>
                </c:pt>
                <c:pt idx="100">
                  <c:v>0.7</c:v>
                </c:pt>
                <c:pt idx="101">
                  <c:v>0.7</c:v>
                </c:pt>
                <c:pt idx="102">
                  <c:v>0.7</c:v>
                </c:pt>
                <c:pt idx="103">
                  <c:v>0.7</c:v>
                </c:pt>
                <c:pt idx="104">
                  <c:v>0.7</c:v>
                </c:pt>
                <c:pt idx="105">
                  <c:v>0.7</c:v>
                </c:pt>
                <c:pt idx="106">
                  <c:v>0.7</c:v>
                </c:pt>
                <c:pt idx="107">
                  <c:v>0.7</c:v>
                </c:pt>
                <c:pt idx="108">
                  <c:v>0.7</c:v>
                </c:pt>
                <c:pt idx="109">
                  <c:v>0.7</c:v>
                </c:pt>
                <c:pt idx="110">
                  <c:v>0.7</c:v>
                </c:pt>
                <c:pt idx="111">
                  <c:v>0.7</c:v>
                </c:pt>
                <c:pt idx="112">
                  <c:v>0.7</c:v>
                </c:pt>
                <c:pt idx="113">
                  <c:v>0.7</c:v>
                </c:pt>
                <c:pt idx="114">
                  <c:v>0.7</c:v>
                </c:pt>
                <c:pt idx="115">
                  <c:v>0.7</c:v>
                </c:pt>
                <c:pt idx="116">
                  <c:v>0.7</c:v>
                </c:pt>
                <c:pt idx="117">
                  <c:v>0.7</c:v>
                </c:pt>
                <c:pt idx="118">
                  <c:v>0.7</c:v>
                </c:pt>
                <c:pt idx="119">
                  <c:v>0.7</c:v>
                </c:pt>
                <c:pt idx="120">
                  <c:v>0.7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0.7</c:v>
                </c:pt>
                <c:pt idx="125">
                  <c:v>0.7</c:v>
                </c:pt>
                <c:pt idx="126">
                  <c:v>0.7</c:v>
                </c:pt>
                <c:pt idx="127">
                  <c:v>0.7</c:v>
                </c:pt>
                <c:pt idx="128">
                  <c:v>0.7</c:v>
                </c:pt>
                <c:pt idx="129">
                  <c:v>0.7</c:v>
                </c:pt>
                <c:pt idx="130">
                  <c:v>0.7</c:v>
                </c:pt>
                <c:pt idx="131">
                  <c:v>0.65</c:v>
                </c:pt>
                <c:pt idx="132">
                  <c:v>0.65</c:v>
                </c:pt>
                <c:pt idx="133">
                  <c:v>0.65</c:v>
                </c:pt>
                <c:pt idx="134">
                  <c:v>0.7</c:v>
                </c:pt>
                <c:pt idx="135">
                  <c:v>0.7</c:v>
                </c:pt>
                <c:pt idx="136">
                  <c:v>0.7</c:v>
                </c:pt>
                <c:pt idx="137">
                  <c:v>0.7</c:v>
                </c:pt>
                <c:pt idx="138">
                  <c:v>0.7</c:v>
                </c:pt>
                <c:pt idx="139">
                  <c:v>0.7</c:v>
                </c:pt>
                <c:pt idx="140">
                  <c:v>0.65</c:v>
                </c:pt>
                <c:pt idx="141">
                  <c:v>0.65</c:v>
                </c:pt>
                <c:pt idx="142">
                  <c:v>0.65</c:v>
                </c:pt>
                <c:pt idx="143">
                  <c:v>0.65</c:v>
                </c:pt>
                <c:pt idx="144">
                  <c:v>0.65</c:v>
                </c:pt>
                <c:pt idx="145">
                  <c:v>0.65</c:v>
                </c:pt>
                <c:pt idx="146">
                  <c:v>0.65</c:v>
                </c:pt>
                <c:pt idx="147">
                  <c:v>0.65</c:v>
                </c:pt>
                <c:pt idx="148">
                  <c:v>0.65</c:v>
                </c:pt>
                <c:pt idx="149">
                  <c:v>0.6</c:v>
                </c:pt>
                <c:pt idx="150">
                  <c:v>0.7</c:v>
                </c:pt>
                <c:pt idx="151">
                  <c:v>0.7</c:v>
                </c:pt>
                <c:pt idx="152">
                  <c:v>0.7</c:v>
                </c:pt>
                <c:pt idx="153">
                  <c:v>0.7</c:v>
                </c:pt>
                <c:pt idx="154">
                  <c:v>0.7</c:v>
                </c:pt>
                <c:pt idx="155">
                  <c:v>0.7</c:v>
                </c:pt>
                <c:pt idx="156">
                  <c:v>0.7</c:v>
                </c:pt>
                <c:pt idx="157">
                  <c:v>0.7</c:v>
                </c:pt>
                <c:pt idx="158">
                  <c:v>0.7</c:v>
                </c:pt>
                <c:pt idx="159">
                  <c:v>0.7</c:v>
                </c:pt>
                <c:pt idx="160">
                  <c:v>0.7</c:v>
                </c:pt>
                <c:pt idx="161">
                  <c:v>0.7</c:v>
                </c:pt>
                <c:pt idx="162">
                  <c:v>0.7</c:v>
                </c:pt>
                <c:pt idx="163">
                  <c:v>0.7</c:v>
                </c:pt>
                <c:pt idx="164">
                  <c:v>0.7</c:v>
                </c:pt>
                <c:pt idx="165">
                  <c:v>0.7</c:v>
                </c:pt>
                <c:pt idx="166">
                  <c:v>0.7</c:v>
                </c:pt>
                <c:pt idx="167">
                  <c:v>0.7</c:v>
                </c:pt>
                <c:pt idx="168">
                  <c:v>0.7</c:v>
                </c:pt>
                <c:pt idx="169">
                  <c:v>0.7</c:v>
                </c:pt>
                <c:pt idx="170">
                  <c:v>0.65139999999999998</c:v>
                </c:pt>
                <c:pt idx="171">
                  <c:v>0.65139999999999998</c:v>
                </c:pt>
                <c:pt idx="172">
                  <c:v>0.65139999999999998</c:v>
                </c:pt>
                <c:pt idx="173">
                  <c:v>0.8</c:v>
                </c:pt>
                <c:pt idx="174">
                  <c:v>0.8</c:v>
                </c:pt>
                <c:pt idx="175">
                  <c:v>0.8</c:v>
                </c:pt>
                <c:pt idx="176">
                  <c:v>0.8</c:v>
                </c:pt>
                <c:pt idx="177">
                  <c:v>0.8</c:v>
                </c:pt>
                <c:pt idx="178">
                  <c:v>0.7</c:v>
                </c:pt>
                <c:pt idx="179">
                  <c:v>0.7</c:v>
                </c:pt>
                <c:pt idx="180">
                  <c:v>0.7</c:v>
                </c:pt>
                <c:pt idx="181">
                  <c:v>0.68</c:v>
                </c:pt>
                <c:pt idx="182">
                  <c:v>0.8</c:v>
                </c:pt>
                <c:pt idx="183">
                  <c:v>0.7</c:v>
                </c:pt>
                <c:pt idx="184">
                  <c:v>0.7</c:v>
                </c:pt>
                <c:pt idx="185">
                  <c:v>0.7</c:v>
                </c:pt>
                <c:pt idx="186">
                  <c:v>0.67</c:v>
                </c:pt>
                <c:pt idx="187">
                  <c:v>0.67</c:v>
                </c:pt>
                <c:pt idx="188">
                  <c:v>0.6</c:v>
                </c:pt>
                <c:pt idx="189">
                  <c:v>0.6</c:v>
                </c:pt>
                <c:pt idx="190">
                  <c:v>0.6</c:v>
                </c:pt>
                <c:pt idx="191">
                  <c:v>0.6</c:v>
                </c:pt>
                <c:pt idx="192">
                  <c:v>0.6</c:v>
                </c:pt>
                <c:pt idx="193">
                  <c:v>0.75039999999999996</c:v>
                </c:pt>
                <c:pt idx="194">
                  <c:v>0.75039999999999996</c:v>
                </c:pt>
                <c:pt idx="195">
                  <c:v>0.78</c:v>
                </c:pt>
                <c:pt idx="196">
                  <c:v>0.78</c:v>
                </c:pt>
                <c:pt idx="197">
                  <c:v>0.78</c:v>
                </c:pt>
                <c:pt idx="198">
                  <c:v>0.78</c:v>
                </c:pt>
                <c:pt idx="199">
                  <c:v>0.78</c:v>
                </c:pt>
                <c:pt idx="200">
                  <c:v>0.78</c:v>
                </c:pt>
                <c:pt idx="201">
                  <c:v>0.78</c:v>
                </c:pt>
                <c:pt idx="202">
                  <c:v>0.81</c:v>
                </c:pt>
                <c:pt idx="203">
                  <c:v>0.81</c:v>
                </c:pt>
                <c:pt idx="204">
                  <c:v>0.81</c:v>
                </c:pt>
                <c:pt idx="205">
                  <c:v>0.81</c:v>
                </c:pt>
                <c:pt idx="206">
                  <c:v>0.81</c:v>
                </c:pt>
                <c:pt idx="207">
                  <c:v>0.78</c:v>
                </c:pt>
                <c:pt idx="208">
                  <c:v>0.78</c:v>
                </c:pt>
                <c:pt idx="209">
                  <c:v>0.78</c:v>
                </c:pt>
                <c:pt idx="210">
                  <c:v>0.78</c:v>
                </c:pt>
                <c:pt idx="211">
                  <c:v>0.78</c:v>
                </c:pt>
                <c:pt idx="212">
                  <c:v>0.81</c:v>
                </c:pt>
                <c:pt idx="213">
                  <c:v>0.81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0.87609999999999999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0.8</c:v>
                </c:pt>
                <c:pt idx="226">
                  <c:v>0.9</c:v>
                </c:pt>
                <c:pt idx="227">
                  <c:v>0.9</c:v>
                </c:pt>
                <c:pt idx="228">
                  <c:v>0.9</c:v>
                </c:pt>
                <c:pt idx="229">
                  <c:v>0.9</c:v>
                </c:pt>
                <c:pt idx="230">
                  <c:v>0.9</c:v>
                </c:pt>
                <c:pt idx="231">
                  <c:v>0.87609999999999999</c:v>
                </c:pt>
                <c:pt idx="232">
                  <c:v>0.87609999999999999</c:v>
                </c:pt>
                <c:pt idx="233">
                  <c:v>0.87609999999999999</c:v>
                </c:pt>
                <c:pt idx="234">
                  <c:v>0.87609999999999999</c:v>
                </c:pt>
                <c:pt idx="235">
                  <c:v>0.87609999999999999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D6-4F8A-9664-282BF69C6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catAx>
        <c:axId val="9901735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Algn val="ctr"/>
        <c:lblOffset val="100"/>
        <c:noMultiLvlLbl val="1"/>
      </c:cat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'Exp Quarterly'!$J$1:$P$1</c:f>
          <c:strCache>
            <c:ptCount val="7"/>
            <c:pt idx="0">
              <c:v>FOCUS forecast for PIB Total of Q4/2021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'Exp Quarterly'!$E$3</c:f>
              <c:strCache>
                <c:ptCount val="1"/>
                <c:pt idx="0">
                  <c:v>Minimo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'Exp Quarterly'!$D$4:$D$189</c:f>
              <c:numCache>
                <c:formatCode>m/d/yyyy</c:formatCode>
                <c:ptCount val="186"/>
                <c:pt idx="0">
                  <c:v>43894</c:v>
                </c:pt>
                <c:pt idx="1">
                  <c:v>43895</c:v>
                </c:pt>
                <c:pt idx="2">
                  <c:v>43896</c:v>
                </c:pt>
                <c:pt idx="3">
                  <c:v>43899</c:v>
                </c:pt>
                <c:pt idx="4">
                  <c:v>43900</c:v>
                </c:pt>
                <c:pt idx="5">
                  <c:v>43901</c:v>
                </c:pt>
                <c:pt idx="6">
                  <c:v>43902</c:v>
                </c:pt>
                <c:pt idx="7">
                  <c:v>43903</c:v>
                </c:pt>
                <c:pt idx="8">
                  <c:v>43906</c:v>
                </c:pt>
                <c:pt idx="9">
                  <c:v>43907</c:v>
                </c:pt>
                <c:pt idx="10">
                  <c:v>43908</c:v>
                </c:pt>
                <c:pt idx="11">
                  <c:v>43909</c:v>
                </c:pt>
                <c:pt idx="12">
                  <c:v>43910</c:v>
                </c:pt>
                <c:pt idx="13">
                  <c:v>43913</c:v>
                </c:pt>
                <c:pt idx="14">
                  <c:v>43914</c:v>
                </c:pt>
                <c:pt idx="15">
                  <c:v>43915</c:v>
                </c:pt>
                <c:pt idx="16">
                  <c:v>43916</c:v>
                </c:pt>
                <c:pt idx="17">
                  <c:v>43917</c:v>
                </c:pt>
                <c:pt idx="18">
                  <c:v>43920</c:v>
                </c:pt>
                <c:pt idx="19">
                  <c:v>43921</c:v>
                </c:pt>
                <c:pt idx="20">
                  <c:v>43922</c:v>
                </c:pt>
                <c:pt idx="21">
                  <c:v>43923</c:v>
                </c:pt>
                <c:pt idx="22">
                  <c:v>43924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43941</c:v>
                </c:pt>
                <c:pt idx="33">
                  <c:v>43943</c:v>
                </c:pt>
                <c:pt idx="34">
                  <c:v>43944</c:v>
                </c:pt>
                <c:pt idx="35">
                  <c:v>43945</c:v>
                </c:pt>
                <c:pt idx="36">
                  <c:v>43948</c:v>
                </c:pt>
                <c:pt idx="37">
                  <c:v>43949</c:v>
                </c:pt>
                <c:pt idx="38">
                  <c:v>43950</c:v>
                </c:pt>
                <c:pt idx="39">
                  <c:v>43951</c:v>
                </c:pt>
                <c:pt idx="40">
                  <c:v>43955</c:v>
                </c:pt>
                <c:pt idx="41">
                  <c:v>43956</c:v>
                </c:pt>
                <c:pt idx="42">
                  <c:v>43957</c:v>
                </c:pt>
                <c:pt idx="43">
                  <c:v>43958</c:v>
                </c:pt>
                <c:pt idx="44">
                  <c:v>43959</c:v>
                </c:pt>
                <c:pt idx="45">
                  <c:v>43962</c:v>
                </c:pt>
                <c:pt idx="46">
                  <c:v>43963</c:v>
                </c:pt>
                <c:pt idx="47">
                  <c:v>43964</c:v>
                </c:pt>
                <c:pt idx="48">
                  <c:v>43965</c:v>
                </c:pt>
                <c:pt idx="49">
                  <c:v>43966</c:v>
                </c:pt>
                <c:pt idx="50">
                  <c:v>43969</c:v>
                </c:pt>
                <c:pt idx="51">
                  <c:v>43970</c:v>
                </c:pt>
                <c:pt idx="52">
                  <c:v>43971</c:v>
                </c:pt>
                <c:pt idx="53">
                  <c:v>43972</c:v>
                </c:pt>
                <c:pt idx="54">
                  <c:v>43973</c:v>
                </c:pt>
                <c:pt idx="55">
                  <c:v>43976</c:v>
                </c:pt>
                <c:pt idx="56">
                  <c:v>43977</c:v>
                </c:pt>
                <c:pt idx="57">
                  <c:v>43978</c:v>
                </c:pt>
                <c:pt idx="58">
                  <c:v>43979</c:v>
                </c:pt>
                <c:pt idx="59">
                  <c:v>43980</c:v>
                </c:pt>
                <c:pt idx="60">
                  <c:v>43983</c:v>
                </c:pt>
                <c:pt idx="61">
                  <c:v>43984</c:v>
                </c:pt>
                <c:pt idx="62">
                  <c:v>43985</c:v>
                </c:pt>
                <c:pt idx="63">
                  <c:v>43986</c:v>
                </c:pt>
                <c:pt idx="64">
                  <c:v>43987</c:v>
                </c:pt>
                <c:pt idx="65">
                  <c:v>43990</c:v>
                </c:pt>
                <c:pt idx="66">
                  <c:v>43991</c:v>
                </c:pt>
                <c:pt idx="67">
                  <c:v>43992</c:v>
                </c:pt>
                <c:pt idx="68">
                  <c:v>43994</c:v>
                </c:pt>
                <c:pt idx="69">
                  <c:v>43997</c:v>
                </c:pt>
                <c:pt idx="70">
                  <c:v>43998</c:v>
                </c:pt>
                <c:pt idx="71">
                  <c:v>43999</c:v>
                </c:pt>
                <c:pt idx="72">
                  <c:v>44000</c:v>
                </c:pt>
                <c:pt idx="73">
                  <c:v>44001</c:v>
                </c:pt>
                <c:pt idx="74">
                  <c:v>44004</c:v>
                </c:pt>
                <c:pt idx="75">
                  <c:v>44005</c:v>
                </c:pt>
                <c:pt idx="76">
                  <c:v>44006</c:v>
                </c:pt>
                <c:pt idx="77">
                  <c:v>44007</c:v>
                </c:pt>
                <c:pt idx="78">
                  <c:v>44008</c:v>
                </c:pt>
                <c:pt idx="79">
                  <c:v>44011</c:v>
                </c:pt>
                <c:pt idx="80">
                  <c:v>44012</c:v>
                </c:pt>
                <c:pt idx="81">
                  <c:v>44013</c:v>
                </c:pt>
                <c:pt idx="82">
                  <c:v>44014</c:v>
                </c:pt>
                <c:pt idx="83">
                  <c:v>44015</c:v>
                </c:pt>
                <c:pt idx="84">
                  <c:v>44018</c:v>
                </c:pt>
                <c:pt idx="85">
                  <c:v>44019</c:v>
                </c:pt>
                <c:pt idx="86">
                  <c:v>44020</c:v>
                </c:pt>
                <c:pt idx="87">
                  <c:v>44021</c:v>
                </c:pt>
                <c:pt idx="88">
                  <c:v>44022</c:v>
                </c:pt>
                <c:pt idx="89">
                  <c:v>44025</c:v>
                </c:pt>
                <c:pt idx="90">
                  <c:v>44026</c:v>
                </c:pt>
                <c:pt idx="91">
                  <c:v>44027</c:v>
                </c:pt>
                <c:pt idx="92">
                  <c:v>44028</c:v>
                </c:pt>
                <c:pt idx="93">
                  <c:v>44029</c:v>
                </c:pt>
                <c:pt idx="94">
                  <c:v>44032</c:v>
                </c:pt>
                <c:pt idx="95">
                  <c:v>44033</c:v>
                </c:pt>
                <c:pt idx="96">
                  <c:v>44034</c:v>
                </c:pt>
                <c:pt idx="97">
                  <c:v>44035</c:v>
                </c:pt>
                <c:pt idx="98">
                  <c:v>44036</c:v>
                </c:pt>
                <c:pt idx="99">
                  <c:v>44039</c:v>
                </c:pt>
                <c:pt idx="100">
                  <c:v>44040</c:v>
                </c:pt>
                <c:pt idx="101">
                  <c:v>44041</c:v>
                </c:pt>
                <c:pt idx="102">
                  <c:v>44042</c:v>
                </c:pt>
                <c:pt idx="103">
                  <c:v>44043</c:v>
                </c:pt>
                <c:pt idx="104">
                  <c:v>44046</c:v>
                </c:pt>
                <c:pt idx="105">
                  <c:v>44047</c:v>
                </c:pt>
                <c:pt idx="106">
                  <c:v>44048</c:v>
                </c:pt>
                <c:pt idx="107">
                  <c:v>44049</c:v>
                </c:pt>
                <c:pt idx="108">
                  <c:v>44050</c:v>
                </c:pt>
                <c:pt idx="109">
                  <c:v>44053</c:v>
                </c:pt>
                <c:pt idx="110">
                  <c:v>44054</c:v>
                </c:pt>
                <c:pt idx="111">
                  <c:v>44055</c:v>
                </c:pt>
                <c:pt idx="112">
                  <c:v>44056</c:v>
                </c:pt>
                <c:pt idx="113">
                  <c:v>44057</c:v>
                </c:pt>
                <c:pt idx="114">
                  <c:v>44060</c:v>
                </c:pt>
                <c:pt idx="115">
                  <c:v>44061</c:v>
                </c:pt>
                <c:pt idx="116">
                  <c:v>44062</c:v>
                </c:pt>
                <c:pt idx="117">
                  <c:v>44063</c:v>
                </c:pt>
                <c:pt idx="118">
                  <c:v>44064</c:v>
                </c:pt>
                <c:pt idx="119">
                  <c:v>44067</c:v>
                </c:pt>
                <c:pt idx="120">
                  <c:v>44068</c:v>
                </c:pt>
                <c:pt idx="121">
                  <c:v>44069</c:v>
                </c:pt>
                <c:pt idx="122">
                  <c:v>44070</c:v>
                </c:pt>
                <c:pt idx="123">
                  <c:v>44071</c:v>
                </c:pt>
                <c:pt idx="124">
                  <c:v>44074</c:v>
                </c:pt>
                <c:pt idx="125">
                  <c:v>44075</c:v>
                </c:pt>
                <c:pt idx="126">
                  <c:v>44076</c:v>
                </c:pt>
                <c:pt idx="127">
                  <c:v>44077</c:v>
                </c:pt>
                <c:pt idx="128">
                  <c:v>44078</c:v>
                </c:pt>
                <c:pt idx="129">
                  <c:v>44082</c:v>
                </c:pt>
                <c:pt idx="130">
                  <c:v>44083</c:v>
                </c:pt>
                <c:pt idx="131">
                  <c:v>44084</c:v>
                </c:pt>
                <c:pt idx="132">
                  <c:v>44085</c:v>
                </c:pt>
                <c:pt idx="133">
                  <c:v>44088</c:v>
                </c:pt>
                <c:pt idx="134">
                  <c:v>44089</c:v>
                </c:pt>
                <c:pt idx="135">
                  <c:v>44090</c:v>
                </c:pt>
                <c:pt idx="136">
                  <c:v>44091</c:v>
                </c:pt>
                <c:pt idx="137">
                  <c:v>44092</c:v>
                </c:pt>
                <c:pt idx="138">
                  <c:v>44095</c:v>
                </c:pt>
                <c:pt idx="139">
                  <c:v>44096</c:v>
                </c:pt>
                <c:pt idx="140">
                  <c:v>44097</c:v>
                </c:pt>
                <c:pt idx="141">
                  <c:v>44098</c:v>
                </c:pt>
                <c:pt idx="142">
                  <c:v>44099</c:v>
                </c:pt>
                <c:pt idx="143">
                  <c:v>44102</c:v>
                </c:pt>
                <c:pt idx="144">
                  <c:v>44103</c:v>
                </c:pt>
                <c:pt idx="145">
                  <c:v>44104</c:v>
                </c:pt>
                <c:pt idx="146">
                  <c:v>44105</c:v>
                </c:pt>
                <c:pt idx="147">
                  <c:v>44106</c:v>
                </c:pt>
                <c:pt idx="148">
                  <c:v>44109</c:v>
                </c:pt>
                <c:pt idx="149">
                  <c:v>44110</c:v>
                </c:pt>
                <c:pt idx="150">
                  <c:v>44111</c:v>
                </c:pt>
                <c:pt idx="151">
                  <c:v>44112</c:v>
                </c:pt>
                <c:pt idx="152">
                  <c:v>44113</c:v>
                </c:pt>
                <c:pt idx="153">
                  <c:v>44117</c:v>
                </c:pt>
                <c:pt idx="154">
                  <c:v>44118</c:v>
                </c:pt>
                <c:pt idx="155">
                  <c:v>44119</c:v>
                </c:pt>
                <c:pt idx="156">
                  <c:v>44120</c:v>
                </c:pt>
                <c:pt idx="157">
                  <c:v>44123</c:v>
                </c:pt>
                <c:pt idx="158">
                  <c:v>44124</c:v>
                </c:pt>
                <c:pt idx="159">
                  <c:v>44125</c:v>
                </c:pt>
                <c:pt idx="160">
                  <c:v>44126</c:v>
                </c:pt>
                <c:pt idx="161">
                  <c:v>44127</c:v>
                </c:pt>
                <c:pt idx="162">
                  <c:v>44130</c:v>
                </c:pt>
                <c:pt idx="163">
                  <c:v>44131</c:v>
                </c:pt>
                <c:pt idx="164">
                  <c:v>44132</c:v>
                </c:pt>
                <c:pt idx="165">
                  <c:v>44133</c:v>
                </c:pt>
                <c:pt idx="166">
                  <c:v>44134</c:v>
                </c:pt>
                <c:pt idx="167">
                  <c:v>44138</c:v>
                </c:pt>
                <c:pt idx="168">
                  <c:v>44139</c:v>
                </c:pt>
                <c:pt idx="169">
                  <c:v>44140</c:v>
                </c:pt>
                <c:pt idx="170">
                  <c:v>44141</c:v>
                </c:pt>
                <c:pt idx="171">
                  <c:v>44144</c:v>
                </c:pt>
                <c:pt idx="172">
                  <c:v>44145</c:v>
                </c:pt>
                <c:pt idx="173">
                  <c:v>44146</c:v>
                </c:pt>
                <c:pt idx="174">
                  <c:v>44147</c:v>
                </c:pt>
                <c:pt idx="175">
                  <c:v>44148</c:v>
                </c:pt>
                <c:pt idx="176">
                  <c:v>44151</c:v>
                </c:pt>
                <c:pt idx="177">
                  <c:v>44152</c:v>
                </c:pt>
                <c:pt idx="178">
                  <c:v>44153</c:v>
                </c:pt>
                <c:pt idx="179">
                  <c:v>44154</c:v>
                </c:pt>
                <c:pt idx="180">
                  <c:v>44155</c:v>
                </c:pt>
                <c:pt idx="181">
                  <c:v>44158</c:v>
                </c:pt>
                <c:pt idx="182">
                  <c:v>44159</c:v>
                </c:pt>
                <c:pt idx="183">
                  <c:v>44160</c:v>
                </c:pt>
                <c:pt idx="184">
                  <c:v>44161</c:v>
                </c:pt>
                <c:pt idx="185">
                  <c:v>44162</c:v>
                </c:pt>
              </c:numCache>
            </c:numRef>
          </c:cat>
          <c:val>
            <c:numRef>
              <c:f>'Exp Quarterly'!$E$4:$E$189</c:f>
              <c:numCache>
                <c:formatCode>General</c:formatCode>
                <c:ptCount val="186"/>
                <c:pt idx="0">
                  <c:v>1.7</c:v>
                </c:pt>
                <c:pt idx="1">
                  <c:v>1.7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2">
                  <c:v>-3.5</c:v>
                </c:pt>
                <c:pt idx="13">
                  <c:v>-3.5</c:v>
                </c:pt>
                <c:pt idx="14">
                  <c:v>-3.5</c:v>
                </c:pt>
                <c:pt idx="15">
                  <c:v>-3.5</c:v>
                </c:pt>
                <c:pt idx="16">
                  <c:v>-3.5</c:v>
                </c:pt>
                <c:pt idx="17">
                  <c:v>-3.5</c:v>
                </c:pt>
                <c:pt idx="18">
                  <c:v>-3.5</c:v>
                </c:pt>
                <c:pt idx="19">
                  <c:v>-3.5</c:v>
                </c:pt>
                <c:pt idx="20">
                  <c:v>-3.5</c:v>
                </c:pt>
                <c:pt idx="21">
                  <c:v>-3.5</c:v>
                </c:pt>
                <c:pt idx="22">
                  <c:v>-4</c:v>
                </c:pt>
                <c:pt idx="23">
                  <c:v>-4</c:v>
                </c:pt>
                <c:pt idx="24">
                  <c:v>-4</c:v>
                </c:pt>
                <c:pt idx="25">
                  <c:v>-4</c:v>
                </c:pt>
                <c:pt idx="26">
                  <c:v>-4</c:v>
                </c:pt>
                <c:pt idx="27">
                  <c:v>-4</c:v>
                </c:pt>
                <c:pt idx="28">
                  <c:v>-4</c:v>
                </c:pt>
                <c:pt idx="29">
                  <c:v>-4</c:v>
                </c:pt>
                <c:pt idx="30">
                  <c:v>-4</c:v>
                </c:pt>
                <c:pt idx="31">
                  <c:v>-4</c:v>
                </c:pt>
                <c:pt idx="32">
                  <c:v>-4</c:v>
                </c:pt>
                <c:pt idx="33">
                  <c:v>-4</c:v>
                </c:pt>
                <c:pt idx="34">
                  <c:v>-4</c:v>
                </c:pt>
                <c:pt idx="35">
                  <c:v>-4</c:v>
                </c:pt>
                <c:pt idx="36">
                  <c:v>-4</c:v>
                </c:pt>
                <c:pt idx="37">
                  <c:v>-4</c:v>
                </c:pt>
                <c:pt idx="38">
                  <c:v>-4</c:v>
                </c:pt>
                <c:pt idx="39">
                  <c:v>-4</c:v>
                </c:pt>
                <c:pt idx="40">
                  <c:v>0.5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-4</c:v>
                </c:pt>
                <c:pt idx="45">
                  <c:v>-4</c:v>
                </c:pt>
                <c:pt idx="46">
                  <c:v>-4</c:v>
                </c:pt>
                <c:pt idx="47">
                  <c:v>-4</c:v>
                </c:pt>
                <c:pt idx="48">
                  <c:v>-4</c:v>
                </c:pt>
                <c:pt idx="49">
                  <c:v>-4</c:v>
                </c:pt>
                <c:pt idx="50">
                  <c:v>-4</c:v>
                </c:pt>
                <c:pt idx="51">
                  <c:v>-4</c:v>
                </c:pt>
                <c:pt idx="52">
                  <c:v>-4</c:v>
                </c:pt>
                <c:pt idx="53">
                  <c:v>-4</c:v>
                </c:pt>
                <c:pt idx="54">
                  <c:v>-3.1</c:v>
                </c:pt>
                <c:pt idx="55">
                  <c:v>-3.1</c:v>
                </c:pt>
                <c:pt idx="56">
                  <c:v>-3.1</c:v>
                </c:pt>
                <c:pt idx="57">
                  <c:v>-3.1</c:v>
                </c:pt>
                <c:pt idx="58">
                  <c:v>-3.1</c:v>
                </c:pt>
                <c:pt idx="59">
                  <c:v>-3.1</c:v>
                </c:pt>
                <c:pt idx="60">
                  <c:v>-3.1</c:v>
                </c:pt>
                <c:pt idx="61">
                  <c:v>-3.1</c:v>
                </c:pt>
                <c:pt idx="62">
                  <c:v>-3.1</c:v>
                </c:pt>
                <c:pt idx="63">
                  <c:v>-3.1</c:v>
                </c:pt>
                <c:pt idx="64">
                  <c:v>-3.1</c:v>
                </c:pt>
                <c:pt idx="65">
                  <c:v>-2.7</c:v>
                </c:pt>
                <c:pt idx="66">
                  <c:v>-2.7</c:v>
                </c:pt>
                <c:pt idx="67">
                  <c:v>-2.7</c:v>
                </c:pt>
                <c:pt idx="68">
                  <c:v>-2.7</c:v>
                </c:pt>
                <c:pt idx="69">
                  <c:v>-2.7</c:v>
                </c:pt>
                <c:pt idx="70">
                  <c:v>-2.7</c:v>
                </c:pt>
                <c:pt idx="71">
                  <c:v>-2.7</c:v>
                </c:pt>
                <c:pt idx="72">
                  <c:v>-2.7</c:v>
                </c:pt>
                <c:pt idx="73">
                  <c:v>-2.7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-2.7</c:v>
                </c:pt>
                <c:pt idx="89">
                  <c:v>-2.7</c:v>
                </c:pt>
                <c:pt idx="90">
                  <c:v>-2.7</c:v>
                </c:pt>
                <c:pt idx="91">
                  <c:v>-2.7</c:v>
                </c:pt>
                <c:pt idx="92">
                  <c:v>-2.7</c:v>
                </c:pt>
                <c:pt idx="93">
                  <c:v>-2.7</c:v>
                </c:pt>
                <c:pt idx="94">
                  <c:v>-2.7</c:v>
                </c:pt>
                <c:pt idx="95">
                  <c:v>-2.7</c:v>
                </c:pt>
                <c:pt idx="96">
                  <c:v>-2.7</c:v>
                </c:pt>
                <c:pt idx="97">
                  <c:v>-2.7</c:v>
                </c:pt>
                <c:pt idx="98">
                  <c:v>-2.7</c:v>
                </c:pt>
                <c:pt idx="99">
                  <c:v>-2.7</c:v>
                </c:pt>
                <c:pt idx="100">
                  <c:v>-2.7</c:v>
                </c:pt>
                <c:pt idx="101">
                  <c:v>-2.7</c:v>
                </c:pt>
                <c:pt idx="102">
                  <c:v>-2.7</c:v>
                </c:pt>
                <c:pt idx="103">
                  <c:v>-2.7</c:v>
                </c:pt>
                <c:pt idx="104">
                  <c:v>-2.7</c:v>
                </c:pt>
                <c:pt idx="105">
                  <c:v>-2.7</c:v>
                </c:pt>
                <c:pt idx="106">
                  <c:v>-2.7</c:v>
                </c:pt>
                <c:pt idx="107">
                  <c:v>-2.7</c:v>
                </c:pt>
                <c:pt idx="108">
                  <c:v>-2.7</c:v>
                </c:pt>
                <c:pt idx="109">
                  <c:v>-1</c:v>
                </c:pt>
                <c:pt idx="110">
                  <c:v>-2.7</c:v>
                </c:pt>
                <c:pt idx="111">
                  <c:v>-2.7</c:v>
                </c:pt>
                <c:pt idx="112">
                  <c:v>-2.7</c:v>
                </c:pt>
                <c:pt idx="113">
                  <c:v>-2.7</c:v>
                </c:pt>
                <c:pt idx="114">
                  <c:v>-2.7</c:v>
                </c:pt>
                <c:pt idx="115">
                  <c:v>-2.7</c:v>
                </c:pt>
                <c:pt idx="116">
                  <c:v>-2.7</c:v>
                </c:pt>
                <c:pt idx="117">
                  <c:v>-2.7</c:v>
                </c:pt>
                <c:pt idx="118">
                  <c:v>-2.7</c:v>
                </c:pt>
                <c:pt idx="119">
                  <c:v>-2.7</c:v>
                </c:pt>
                <c:pt idx="120">
                  <c:v>-2.7</c:v>
                </c:pt>
                <c:pt idx="121">
                  <c:v>-2.7</c:v>
                </c:pt>
                <c:pt idx="122">
                  <c:v>-2.7</c:v>
                </c:pt>
                <c:pt idx="123">
                  <c:v>-2.7</c:v>
                </c:pt>
                <c:pt idx="124">
                  <c:v>-2.7</c:v>
                </c:pt>
                <c:pt idx="125">
                  <c:v>-2.7</c:v>
                </c:pt>
                <c:pt idx="126">
                  <c:v>-2.7</c:v>
                </c:pt>
                <c:pt idx="127">
                  <c:v>-2.7</c:v>
                </c:pt>
                <c:pt idx="128">
                  <c:v>-2.7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-1</c:v>
                </c:pt>
                <c:pt idx="138">
                  <c:v>-1</c:v>
                </c:pt>
                <c:pt idx="139">
                  <c:v>-1</c:v>
                </c:pt>
                <c:pt idx="140">
                  <c:v>-1</c:v>
                </c:pt>
                <c:pt idx="141">
                  <c:v>-1</c:v>
                </c:pt>
                <c:pt idx="142">
                  <c:v>-1</c:v>
                </c:pt>
                <c:pt idx="143">
                  <c:v>-1</c:v>
                </c:pt>
                <c:pt idx="144">
                  <c:v>-1</c:v>
                </c:pt>
                <c:pt idx="145">
                  <c:v>-1</c:v>
                </c:pt>
                <c:pt idx="146">
                  <c:v>-1</c:v>
                </c:pt>
                <c:pt idx="147">
                  <c:v>-1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3.5</c:v>
                </c:pt>
                <c:pt idx="177">
                  <c:v>3.5</c:v>
                </c:pt>
                <c:pt idx="178">
                  <c:v>3.5</c:v>
                </c:pt>
                <c:pt idx="179">
                  <c:v>3.5</c:v>
                </c:pt>
                <c:pt idx="180">
                  <c:v>3.5</c:v>
                </c:pt>
                <c:pt idx="181">
                  <c:v>3.5</c:v>
                </c:pt>
                <c:pt idx="182">
                  <c:v>3.5</c:v>
                </c:pt>
                <c:pt idx="183">
                  <c:v>3.5</c:v>
                </c:pt>
                <c:pt idx="184">
                  <c:v>3.5</c:v>
                </c:pt>
                <c:pt idx="185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CB-44D3-BA86-81320F0B368B}"/>
            </c:ext>
          </c:extLst>
        </c:ser>
        <c:ser>
          <c:idx val="2"/>
          <c:order val="1"/>
          <c:tx>
            <c:strRef>
              <c:f>'Exp Quarterly'!$F$3</c:f>
              <c:strCache>
                <c:ptCount val="1"/>
                <c:pt idx="0">
                  <c:v>Mediana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'Exp Quarterly'!$D$4:$D$189</c:f>
              <c:numCache>
                <c:formatCode>m/d/yyyy</c:formatCode>
                <c:ptCount val="186"/>
                <c:pt idx="0">
                  <c:v>43894</c:v>
                </c:pt>
                <c:pt idx="1">
                  <c:v>43895</c:v>
                </c:pt>
                <c:pt idx="2">
                  <c:v>43896</c:v>
                </c:pt>
                <c:pt idx="3">
                  <c:v>43899</c:v>
                </c:pt>
                <c:pt idx="4">
                  <c:v>43900</c:v>
                </c:pt>
                <c:pt idx="5">
                  <c:v>43901</c:v>
                </c:pt>
                <c:pt idx="6">
                  <c:v>43902</c:v>
                </c:pt>
                <c:pt idx="7">
                  <c:v>43903</c:v>
                </c:pt>
                <c:pt idx="8">
                  <c:v>43906</c:v>
                </c:pt>
                <c:pt idx="9">
                  <c:v>43907</c:v>
                </c:pt>
                <c:pt idx="10">
                  <c:v>43908</c:v>
                </c:pt>
                <c:pt idx="11">
                  <c:v>43909</c:v>
                </c:pt>
                <c:pt idx="12">
                  <c:v>43910</c:v>
                </c:pt>
                <c:pt idx="13">
                  <c:v>43913</c:v>
                </c:pt>
                <c:pt idx="14">
                  <c:v>43914</c:v>
                </c:pt>
                <c:pt idx="15">
                  <c:v>43915</c:v>
                </c:pt>
                <c:pt idx="16">
                  <c:v>43916</c:v>
                </c:pt>
                <c:pt idx="17">
                  <c:v>43917</c:v>
                </c:pt>
                <c:pt idx="18">
                  <c:v>43920</c:v>
                </c:pt>
                <c:pt idx="19">
                  <c:v>43921</c:v>
                </c:pt>
                <c:pt idx="20">
                  <c:v>43922</c:v>
                </c:pt>
                <c:pt idx="21">
                  <c:v>43923</c:v>
                </c:pt>
                <c:pt idx="22">
                  <c:v>43924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43941</c:v>
                </c:pt>
                <c:pt idx="33">
                  <c:v>43943</c:v>
                </c:pt>
                <c:pt idx="34">
                  <c:v>43944</c:v>
                </c:pt>
                <c:pt idx="35">
                  <c:v>43945</c:v>
                </c:pt>
                <c:pt idx="36">
                  <c:v>43948</c:v>
                </c:pt>
                <c:pt idx="37">
                  <c:v>43949</c:v>
                </c:pt>
                <c:pt idx="38">
                  <c:v>43950</c:v>
                </c:pt>
                <c:pt idx="39">
                  <c:v>43951</c:v>
                </c:pt>
                <c:pt idx="40">
                  <c:v>43955</c:v>
                </c:pt>
                <c:pt idx="41">
                  <c:v>43956</c:v>
                </c:pt>
                <c:pt idx="42">
                  <c:v>43957</c:v>
                </c:pt>
                <c:pt idx="43">
                  <c:v>43958</c:v>
                </c:pt>
                <c:pt idx="44">
                  <c:v>43959</c:v>
                </c:pt>
                <c:pt idx="45">
                  <c:v>43962</c:v>
                </c:pt>
                <c:pt idx="46">
                  <c:v>43963</c:v>
                </c:pt>
                <c:pt idx="47">
                  <c:v>43964</c:v>
                </c:pt>
                <c:pt idx="48">
                  <c:v>43965</c:v>
                </c:pt>
                <c:pt idx="49">
                  <c:v>43966</c:v>
                </c:pt>
                <c:pt idx="50">
                  <c:v>43969</c:v>
                </c:pt>
                <c:pt idx="51">
                  <c:v>43970</c:v>
                </c:pt>
                <c:pt idx="52">
                  <c:v>43971</c:v>
                </c:pt>
                <c:pt idx="53">
                  <c:v>43972</c:v>
                </c:pt>
                <c:pt idx="54">
                  <c:v>43973</c:v>
                </c:pt>
                <c:pt idx="55">
                  <c:v>43976</c:v>
                </c:pt>
                <c:pt idx="56">
                  <c:v>43977</c:v>
                </c:pt>
                <c:pt idx="57">
                  <c:v>43978</c:v>
                </c:pt>
                <c:pt idx="58">
                  <c:v>43979</c:v>
                </c:pt>
                <c:pt idx="59">
                  <c:v>43980</c:v>
                </c:pt>
                <c:pt idx="60">
                  <c:v>43983</c:v>
                </c:pt>
                <c:pt idx="61">
                  <c:v>43984</c:v>
                </c:pt>
                <c:pt idx="62">
                  <c:v>43985</c:v>
                </c:pt>
                <c:pt idx="63">
                  <c:v>43986</c:v>
                </c:pt>
                <c:pt idx="64">
                  <c:v>43987</c:v>
                </c:pt>
                <c:pt idx="65">
                  <c:v>43990</c:v>
                </c:pt>
                <c:pt idx="66">
                  <c:v>43991</c:v>
                </c:pt>
                <c:pt idx="67">
                  <c:v>43992</c:v>
                </c:pt>
                <c:pt idx="68">
                  <c:v>43994</c:v>
                </c:pt>
                <c:pt idx="69">
                  <c:v>43997</c:v>
                </c:pt>
                <c:pt idx="70">
                  <c:v>43998</c:v>
                </c:pt>
                <c:pt idx="71">
                  <c:v>43999</c:v>
                </c:pt>
                <c:pt idx="72">
                  <c:v>44000</c:v>
                </c:pt>
                <c:pt idx="73">
                  <c:v>44001</c:v>
                </c:pt>
                <c:pt idx="74">
                  <c:v>44004</c:v>
                </c:pt>
                <c:pt idx="75">
                  <c:v>44005</c:v>
                </c:pt>
                <c:pt idx="76">
                  <c:v>44006</c:v>
                </c:pt>
                <c:pt idx="77">
                  <c:v>44007</c:v>
                </c:pt>
                <c:pt idx="78">
                  <c:v>44008</c:v>
                </c:pt>
                <c:pt idx="79">
                  <c:v>44011</c:v>
                </c:pt>
                <c:pt idx="80">
                  <c:v>44012</c:v>
                </c:pt>
                <c:pt idx="81">
                  <c:v>44013</c:v>
                </c:pt>
                <c:pt idx="82">
                  <c:v>44014</c:v>
                </c:pt>
                <c:pt idx="83">
                  <c:v>44015</c:v>
                </c:pt>
                <c:pt idx="84">
                  <c:v>44018</c:v>
                </c:pt>
                <c:pt idx="85">
                  <c:v>44019</c:v>
                </c:pt>
                <c:pt idx="86">
                  <c:v>44020</c:v>
                </c:pt>
                <c:pt idx="87">
                  <c:v>44021</c:v>
                </c:pt>
                <c:pt idx="88">
                  <c:v>44022</c:v>
                </c:pt>
                <c:pt idx="89">
                  <c:v>44025</c:v>
                </c:pt>
                <c:pt idx="90">
                  <c:v>44026</c:v>
                </c:pt>
                <c:pt idx="91">
                  <c:v>44027</c:v>
                </c:pt>
                <c:pt idx="92">
                  <c:v>44028</c:v>
                </c:pt>
                <c:pt idx="93">
                  <c:v>44029</c:v>
                </c:pt>
                <c:pt idx="94">
                  <c:v>44032</c:v>
                </c:pt>
                <c:pt idx="95">
                  <c:v>44033</c:v>
                </c:pt>
                <c:pt idx="96">
                  <c:v>44034</c:v>
                </c:pt>
                <c:pt idx="97">
                  <c:v>44035</c:v>
                </c:pt>
                <c:pt idx="98">
                  <c:v>44036</c:v>
                </c:pt>
                <c:pt idx="99">
                  <c:v>44039</c:v>
                </c:pt>
                <c:pt idx="100">
                  <c:v>44040</c:v>
                </c:pt>
                <c:pt idx="101">
                  <c:v>44041</c:v>
                </c:pt>
                <c:pt idx="102">
                  <c:v>44042</c:v>
                </c:pt>
                <c:pt idx="103">
                  <c:v>44043</c:v>
                </c:pt>
                <c:pt idx="104">
                  <c:v>44046</c:v>
                </c:pt>
                <c:pt idx="105">
                  <c:v>44047</c:v>
                </c:pt>
                <c:pt idx="106">
                  <c:v>44048</c:v>
                </c:pt>
                <c:pt idx="107">
                  <c:v>44049</c:v>
                </c:pt>
                <c:pt idx="108">
                  <c:v>44050</c:v>
                </c:pt>
                <c:pt idx="109">
                  <c:v>44053</c:v>
                </c:pt>
                <c:pt idx="110">
                  <c:v>44054</c:v>
                </c:pt>
                <c:pt idx="111">
                  <c:v>44055</c:v>
                </c:pt>
                <c:pt idx="112">
                  <c:v>44056</c:v>
                </c:pt>
                <c:pt idx="113">
                  <c:v>44057</c:v>
                </c:pt>
                <c:pt idx="114">
                  <c:v>44060</c:v>
                </c:pt>
                <c:pt idx="115">
                  <c:v>44061</c:v>
                </c:pt>
                <c:pt idx="116">
                  <c:v>44062</c:v>
                </c:pt>
                <c:pt idx="117">
                  <c:v>44063</c:v>
                </c:pt>
                <c:pt idx="118">
                  <c:v>44064</c:v>
                </c:pt>
                <c:pt idx="119">
                  <c:v>44067</c:v>
                </c:pt>
                <c:pt idx="120">
                  <c:v>44068</c:v>
                </c:pt>
                <c:pt idx="121">
                  <c:v>44069</c:v>
                </c:pt>
                <c:pt idx="122">
                  <c:v>44070</c:v>
                </c:pt>
                <c:pt idx="123">
                  <c:v>44071</c:v>
                </c:pt>
                <c:pt idx="124">
                  <c:v>44074</c:v>
                </c:pt>
                <c:pt idx="125">
                  <c:v>44075</c:v>
                </c:pt>
                <c:pt idx="126">
                  <c:v>44076</c:v>
                </c:pt>
                <c:pt idx="127">
                  <c:v>44077</c:v>
                </c:pt>
                <c:pt idx="128">
                  <c:v>44078</c:v>
                </c:pt>
                <c:pt idx="129">
                  <c:v>44082</c:v>
                </c:pt>
                <c:pt idx="130">
                  <c:v>44083</c:v>
                </c:pt>
                <c:pt idx="131">
                  <c:v>44084</c:v>
                </c:pt>
                <c:pt idx="132">
                  <c:v>44085</c:v>
                </c:pt>
                <c:pt idx="133">
                  <c:v>44088</c:v>
                </c:pt>
                <c:pt idx="134">
                  <c:v>44089</c:v>
                </c:pt>
                <c:pt idx="135">
                  <c:v>44090</c:v>
                </c:pt>
                <c:pt idx="136">
                  <c:v>44091</c:v>
                </c:pt>
                <c:pt idx="137">
                  <c:v>44092</c:v>
                </c:pt>
                <c:pt idx="138">
                  <c:v>44095</c:v>
                </c:pt>
                <c:pt idx="139">
                  <c:v>44096</c:v>
                </c:pt>
                <c:pt idx="140">
                  <c:v>44097</c:v>
                </c:pt>
                <c:pt idx="141">
                  <c:v>44098</c:v>
                </c:pt>
                <c:pt idx="142">
                  <c:v>44099</c:v>
                </c:pt>
                <c:pt idx="143">
                  <c:v>44102</c:v>
                </c:pt>
                <c:pt idx="144">
                  <c:v>44103</c:v>
                </c:pt>
                <c:pt idx="145">
                  <c:v>44104</c:v>
                </c:pt>
                <c:pt idx="146">
                  <c:v>44105</c:v>
                </c:pt>
                <c:pt idx="147">
                  <c:v>44106</c:v>
                </c:pt>
                <c:pt idx="148">
                  <c:v>44109</c:v>
                </c:pt>
                <c:pt idx="149">
                  <c:v>44110</c:v>
                </c:pt>
                <c:pt idx="150">
                  <c:v>44111</c:v>
                </c:pt>
                <c:pt idx="151">
                  <c:v>44112</c:v>
                </c:pt>
                <c:pt idx="152">
                  <c:v>44113</c:v>
                </c:pt>
                <c:pt idx="153">
                  <c:v>44117</c:v>
                </c:pt>
                <c:pt idx="154">
                  <c:v>44118</c:v>
                </c:pt>
                <c:pt idx="155">
                  <c:v>44119</c:v>
                </c:pt>
                <c:pt idx="156">
                  <c:v>44120</c:v>
                </c:pt>
                <c:pt idx="157">
                  <c:v>44123</c:v>
                </c:pt>
                <c:pt idx="158">
                  <c:v>44124</c:v>
                </c:pt>
                <c:pt idx="159">
                  <c:v>44125</c:v>
                </c:pt>
                <c:pt idx="160">
                  <c:v>44126</c:v>
                </c:pt>
                <c:pt idx="161">
                  <c:v>44127</c:v>
                </c:pt>
                <c:pt idx="162">
                  <c:v>44130</c:v>
                </c:pt>
                <c:pt idx="163">
                  <c:v>44131</c:v>
                </c:pt>
                <c:pt idx="164">
                  <c:v>44132</c:v>
                </c:pt>
                <c:pt idx="165">
                  <c:v>44133</c:v>
                </c:pt>
                <c:pt idx="166">
                  <c:v>44134</c:v>
                </c:pt>
                <c:pt idx="167">
                  <c:v>44138</c:v>
                </c:pt>
                <c:pt idx="168">
                  <c:v>44139</c:v>
                </c:pt>
                <c:pt idx="169">
                  <c:v>44140</c:v>
                </c:pt>
                <c:pt idx="170">
                  <c:v>44141</c:v>
                </c:pt>
                <c:pt idx="171">
                  <c:v>44144</c:v>
                </c:pt>
                <c:pt idx="172">
                  <c:v>44145</c:v>
                </c:pt>
                <c:pt idx="173">
                  <c:v>44146</c:v>
                </c:pt>
                <c:pt idx="174">
                  <c:v>44147</c:v>
                </c:pt>
                <c:pt idx="175">
                  <c:v>44148</c:v>
                </c:pt>
                <c:pt idx="176">
                  <c:v>44151</c:v>
                </c:pt>
                <c:pt idx="177">
                  <c:v>44152</c:v>
                </c:pt>
                <c:pt idx="178">
                  <c:v>44153</c:v>
                </c:pt>
                <c:pt idx="179">
                  <c:v>44154</c:v>
                </c:pt>
                <c:pt idx="180">
                  <c:v>44155</c:v>
                </c:pt>
                <c:pt idx="181">
                  <c:v>44158</c:v>
                </c:pt>
                <c:pt idx="182">
                  <c:v>44159</c:v>
                </c:pt>
                <c:pt idx="183">
                  <c:v>44160</c:v>
                </c:pt>
                <c:pt idx="184">
                  <c:v>44161</c:v>
                </c:pt>
                <c:pt idx="185">
                  <c:v>44162</c:v>
                </c:pt>
              </c:numCache>
            </c:numRef>
          </c:cat>
          <c:val>
            <c:numRef>
              <c:f>'Exp Quarterly'!$F$4:$F$189</c:f>
              <c:numCache>
                <c:formatCode>General</c:formatCode>
                <c:ptCount val="186"/>
                <c:pt idx="0">
                  <c:v>2.5099999999999998</c:v>
                </c:pt>
                <c:pt idx="1">
                  <c:v>2.5</c:v>
                </c:pt>
                <c:pt idx="2">
                  <c:v>2.37</c:v>
                </c:pt>
                <c:pt idx="3">
                  <c:v>2.37</c:v>
                </c:pt>
                <c:pt idx="4">
                  <c:v>2.29</c:v>
                </c:pt>
                <c:pt idx="5">
                  <c:v>2.21</c:v>
                </c:pt>
                <c:pt idx="6">
                  <c:v>2.21</c:v>
                </c:pt>
                <c:pt idx="7">
                  <c:v>2.25</c:v>
                </c:pt>
                <c:pt idx="8">
                  <c:v>2.27</c:v>
                </c:pt>
                <c:pt idx="9">
                  <c:v>2.23</c:v>
                </c:pt>
                <c:pt idx="10">
                  <c:v>2.23</c:v>
                </c:pt>
                <c:pt idx="11">
                  <c:v>2.25</c:v>
                </c:pt>
                <c:pt idx="12">
                  <c:v>2.37</c:v>
                </c:pt>
                <c:pt idx="13">
                  <c:v>2.37</c:v>
                </c:pt>
                <c:pt idx="14">
                  <c:v>2.37</c:v>
                </c:pt>
                <c:pt idx="15">
                  <c:v>2.38</c:v>
                </c:pt>
                <c:pt idx="16">
                  <c:v>2.38</c:v>
                </c:pt>
                <c:pt idx="17">
                  <c:v>2.5</c:v>
                </c:pt>
                <c:pt idx="18">
                  <c:v>2.7</c:v>
                </c:pt>
                <c:pt idx="19">
                  <c:v>2.8</c:v>
                </c:pt>
                <c:pt idx="20">
                  <c:v>2.8</c:v>
                </c:pt>
                <c:pt idx="21">
                  <c:v>3</c:v>
                </c:pt>
                <c:pt idx="22">
                  <c:v>2.9</c:v>
                </c:pt>
                <c:pt idx="23">
                  <c:v>3.91</c:v>
                </c:pt>
                <c:pt idx="24">
                  <c:v>4.0999999999999996</c:v>
                </c:pt>
                <c:pt idx="25">
                  <c:v>4.2300000000000004</c:v>
                </c:pt>
                <c:pt idx="26">
                  <c:v>4.0999999999999996</c:v>
                </c:pt>
                <c:pt idx="27">
                  <c:v>4.8600000000000003</c:v>
                </c:pt>
                <c:pt idx="28">
                  <c:v>4.8</c:v>
                </c:pt>
                <c:pt idx="29">
                  <c:v>4.91</c:v>
                </c:pt>
                <c:pt idx="30">
                  <c:v>4.91</c:v>
                </c:pt>
                <c:pt idx="31">
                  <c:v>5</c:v>
                </c:pt>
                <c:pt idx="32">
                  <c:v>5</c:v>
                </c:pt>
                <c:pt idx="33">
                  <c:v>5.0999999999999996</c:v>
                </c:pt>
                <c:pt idx="34">
                  <c:v>6</c:v>
                </c:pt>
                <c:pt idx="35">
                  <c:v>6</c:v>
                </c:pt>
                <c:pt idx="36">
                  <c:v>6.5</c:v>
                </c:pt>
                <c:pt idx="37">
                  <c:v>6.58</c:v>
                </c:pt>
                <c:pt idx="38">
                  <c:v>6.5</c:v>
                </c:pt>
                <c:pt idx="39">
                  <c:v>6.58</c:v>
                </c:pt>
                <c:pt idx="40">
                  <c:v>6.83</c:v>
                </c:pt>
                <c:pt idx="41">
                  <c:v>6.65</c:v>
                </c:pt>
                <c:pt idx="42">
                  <c:v>6.65</c:v>
                </c:pt>
                <c:pt idx="43">
                  <c:v>7</c:v>
                </c:pt>
                <c:pt idx="44">
                  <c:v>6.65</c:v>
                </c:pt>
                <c:pt idx="45">
                  <c:v>6.65</c:v>
                </c:pt>
                <c:pt idx="46">
                  <c:v>6.65</c:v>
                </c:pt>
                <c:pt idx="47">
                  <c:v>6.65</c:v>
                </c:pt>
                <c:pt idx="48">
                  <c:v>6.58</c:v>
                </c:pt>
                <c:pt idx="49">
                  <c:v>6.78</c:v>
                </c:pt>
                <c:pt idx="50">
                  <c:v>6.78</c:v>
                </c:pt>
                <c:pt idx="51">
                  <c:v>6.9</c:v>
                </c:pt>
                <c:pt idx="52">
                  <c:v>6.95</c:v>
                </c:pt>
                <c:pt idx="53">
                  <c:v>6.95</c:v>
                </c:pt>
                <c:pt idx="54">
                  <c:v>7.16</c:v>
                </c:pt>
                <c:pt idx="55">
                  <c:v>7.28</c:v>
                </c:pt>
                <c:pt idx="56">
                  <c:v>7.4</c:v>
                </c:pt>
                <c:pt idx="57">
                  <c:v>7.4</c:v>
                </c:pt>
                <c:pt idx="58">
                  <c:v>7.4</c:v>
                </c:pt>
                <c:pt idx="59">
                  <c:v>7.28</c:v>
                </c:pt>
                <c:pt idx="60">
                  <c:v>7.5</c:v>
                </c:pt>
                <c:pt idx="61">
                  <c:v>7.5</c:v>
                </c:pt>
                <c:pt idx="62">
                  <c:v>7.6</c:v>
                </c:pt>
                <c:pt idx="63">
                  <c:v>7.8</c:v>
                </c:pt>
                <c:pt idx="64">
                  <c:v>8</c:v>
                </c:pt>
                <c:pt idx="65">
                  <c:v>8.5500000000000007</c:v>
                </c:pt>
                <c:pt idx="66">
                  <c:v>8.5500000000000007</c:v>
                </c:pt>
                <c:pt idx="67">
                  <c:v>8.5500000000000007</c:v>
                </c:pt>
                <c:pt idx="68">
                  <c:v>8.4</c:v>
                </c:pt>
                <c:pt idx="69">
                  <c:v>8.4</c:v>
                </c:pt>
                <c:pt idx="70">
                  <c:v>8.4</c:v>
                </c:pt>
                <c:pt idx="71">
                  <c:v>8.1999999999999993</c:v>
                </c:pt>
                <c:pt idx="72">
                  <c:v>8.1999999999999993</c:v>
                </c:pt>
                <c:pt idx="73">
                  <c:v>8.1999999999999993</c:v>
                </c:pt>
                <c:pt idx="74">
                  <c:v>8.59</c:v>
                </c:pt>
                <c:pt idx="75">
                  <c:v>8.59</c:v>
                </c:pt>
                <c:pt idx="76">
                  <c:v>8.59</c:v>
                </c:pt>
                <c:pt idx="77">
                  <c:v>8.7799999999999994</c:v>
                </c:pt>
                <c:pt idx="78">
                  <c:v>8.7899999999999991</c:v>
                </c:pt>
                <c:pt idx="79">
                  <c:v>8.8000000000000007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9.1999999999999993</c:v>
                </c:pt>
                <c:pt idx="85">
                  <c:v>9.1999999999999993</c:v>
                </c:pt>
                <c:pt idx="86">
                  <c:v>9.1999999999999993</c:v>
                </c:pt>
                <c:pt idx="87">
                  <c:v>8.7899999999999991</c:v>
                </c:pt>
                <c:pt idx="88">
                  <c:v>8.7799999999999994</c:v>
                </c:pt>
                <c:pt idx="89">
                  <c:v>8.7799999999999994</c:v>
                </c:pt>
                <c:pt idx="90">
                  <c:v>8.7799999999999994</c:v>
                </c:pt>
                <c:pt idx="91">
                  <c:v>8.74</c:v>
                </c:pt>
                <c:pt idx="92">
                  <c:v>8.74</c:v>
                </c:pt>
                <c:pt idx="93">
                  <c:v>8.61</c:v>
                </c:pt>
                <c:pt idx="94">
                  <c:v>8.51</c:v>
                </c:pt>
                <c:pt idx="95">
                  <c:v>8.5</c:v>
                </c:pt>
                <c:pt idx="96">
                  <c:v>8.5</c:v>
                </c:pt>
                <c:pt idx="97">
                  <c:v>8.51</c:v>
                </c:pt>
                <c:pt idx="98">
                  <c:v>8.5</c:v>
                </c:pt>
                <c:pt idx="99">
                  <c:v>8.4</c:v>
                </c:pt>
                <c:pt idx="100">
                  <c:v>8.4</c:v>
                </c:pt>
                <c:pt idx="101">
                  <c:v>8.1999999999999993</c:v>
                </c:pt>
                <c:pt idx="102">
                  <c:v>8.1999999999999993</c:v>
                </c:pt>
                <c:pt idx="103">
                  <c:v>8.1999999999999993</c:v>
                </c:pt>
                <c:pt idx="104">
                  <c:v>8.15</c:v>
                </c:pt>
                <c:pt idx="105">
                  <c:v>8.15</c:v>
                </c:pt>
                <c:pt idx="106">
                  <c:v>8.15</c:v>
                </c:pt>
                <c:pt idx="107">
                  <c:v>8.0500000000000007</c:v>
                </c:pt>
                <c:pt idx="108">
                  <c:v>8</c:v>
                </c:pt>
                <c:pt idx="109">
                  <c:v>8.1</c:v>
                </c:pt>
                <c:pt idx="110">
                  <c:v>8.1</c:v>
                </c:pt>
                <c:pt idx="111">
                  <c:v>8.1</c:v>
                </c:pt>
                <c:pt idx="112">
                  <c:v>8.15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8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8.02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8.6</c:v>
                </c:pt>
                <c:pt idx="131">
                  <c:v>8.6999999999999993</c:v>
                </c:pt>
                <c:pt idx="132">
                  <c:v>8.74</c:v>
                </c:pt>
                <c:pt idx="133">
                  <c:v>8.6999999999999993</c:v>
                </c:pt>
                <c:pt idx="134">
                  <c:v>8.6999999999999993</c:v>
                </c:pt>
                <c:pt idx="135">
                  <c:v>8.6999999999999993</c:v>
                </c:pt>
                <c:pt idx="136">
                  <c:v>8.74</c:v>
                </c:pt>
                <c:pt idx="137">
                  <c:v>8.7799999999999994</c:v>
                </c:pt>
                <c:pt idx="138">
                  <c:v>8.8000000000000007</c:v>
                </c:pt>
                <c:pt idx="139">
                  <c:v>8.8000000000000007</c:v>
                </c:pt>
                <c:pt idx="140">
                  <c:v>8.9499999999999993</c:v>
                </c:pt>
                <c:pt idx="141">
                  <c:v>8.9499999999999993</c:v>
                </c:pt>
                <c:pt idx="142">
                  <c:v>9.1</c:v>
                </c:pt>
                <c:pt idx="143">
                  <c:v>9.39</c:v>
                </c:pt>
                <c:pt idx="144">
                  <c:v>9.39</c:v>
                </c:pt>
                <c:pt idx="145">
                  <c:v>9.39</c:v>
                </c:pt>
                <c:pt idx="146">
                  <c:v>9.39</c:v>
                </c:pt>
                <c:pt idx="147">
                  <c:v>9.1999999999999993</c:v>
                </c:pt>
                <c:pt idx="148">
                  <c:v>9.34</c:v>
                </c:pt>
                <c:pt idx="149">
                  <c:v>9.34</c:v>
                </c:pt>
                <c:pt idx="150">
                  <c:v>9.34</c:v>
                </c:pt>
                <c:pt idx="151">
                  <c:v>9.34</c:v>
                </c:pt>
                <c:pt idx="152">
                  <c:v>9.43</c:v>
                </c:pt>
                <c:pt idx="153">
                  <c:v>9.49</c:v>
                </c:pt>
                <c:pt idx="154">
                  <c:v>9.39</c:v>
                </c:pt>
                <c:pt idx="155">
                  <c:v>9.39</c:v>
                </c:pt>
                <c:pt idx="156">
                  <c:v>9.34</c:v>
                </c:pt>
                <c:pt idx="157">
                  <c:v>9.3000000000000007</c:v>
                </c:pt>
                <c:pt idx="158">
                  <c:v>9.3000000000000007</c:v>
                </c:pt>
                <c:pt idx="159">
                  <c:v>9.3000000000000007</c:v>
                </c:pt>
                <c:pt idx="160">
                  <c:v>9.3000000000000007</c:v>
                </c:pt>
                <c:pt idx="161">
                  <c:v>9.4</c:v>
                </c:pt>
                <c:pt idx="162">
                  <c:v>9.3000000000000007</c:v>
                </c:pt>
                <c:pt idx="163">
                  <c:v>9.3000000000000007</c:v>
                </c:pt>
                <c:pt idx="164">
                  <c:v>9.3000000000000007</c:v>
                </c:pt>
                <c:pt idx="165">
                  <c:v>9.3000000000000007</c:v>
                </c:pt>
                <c:pt idx="166">
                  <c:v>9.3000000000000007</c:v>
                </c:pt>
                <c:pt idx="167">
                  <c:v>9.3000000000000007</c:v>
                </c:pt>
                <c:pt idx="168">
                  <c:v>9.3000000000000007</c:v>
                </c:pt>
                <c:pt idx="169">
                  <c:v>9.1999999999999993</c:v>
                </c:pt>
                <c:pt idx="170">
                  <c:v>9.3000000000000007</c:v>
                </c:pt>
                <c:pt idx="171">
                  <c:v>9.35</c:v>
                </c:pt>
                <c:pt idx="172">
                  <c:v>9.4</c:v>
                </c:pt>
                <c:pt idx="173">
                  <c:v>9.4</c:v>
                </c:pt>
                <c:pt idx="174">
                  <c:v>9.35</c:v>
                </c:pt>
                <c:pt idx="175">
                  <c:v>9.5</c:v>
                </c:pt>
                <c:pt idx="176">
                  <c:v>9.75</c:v>
                </c:pt>
                <c:pt idx="177">
                  <c:v>9.75</c:v>
                </c:pt>
                <c:pt idx="178">
                  <c:v>10</c:v>
                </c:pt>
                <c:pt idx="179">
                  <c:v>10</c:v>
                </c:pt>
                <c:pt idx="180">
                  <c:v>10.1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10.11</c:v>
                </c:pt>
                <c:pt idx="184">
                  <c:v>10.11</c:v>
                </c:pt>
                <c:pt idx="185">
                  <c:v>10.1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CB-44D3-BA86-81320F0B368B}"/>
            </c:ext>
          </c:extLst>
        </c:ser>
        <c:ser>
          <c:idx val="3"/>
          <c:order val="2"/>
          <c:tx>
            <c:strRef>
              <c:f>'Exp Quarterly'!$G$3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'Exp Quarterly'!$D$4:$D$189</c:f>
              <c:numCache>
                <c:formatCode>m/d/yyyy</c:formatCode>
                <c:ptCount val="186"/>
                <c:pt idx="0">
                  <c:v>43894</c:v>
                </c:pt>
                <c:pt idx="1">
                  <c:v>43895</c:v>
                </c:pt>
                <c:pt idx="2">
                  <c:v>43896</c:v>
                </c:pt>
                <c:pt idx="3">
                  <c:v>43899</c:v>
                </c:pt>
                <c:pt idx="4">
                  <c:v>43900</c:v>
                </c:pt>
                <c:pt idx="5">
                  <c:v>43901</c:v>
                </c:pt>
                <c:pt idx="6">
                  <c:v>43902</c:v>
                </c:pt>
                <c:pt idx="7">
                  <c:v>43903</c:v>
                </c:pt>
                <c:pt idx="8">
                  <c:v>43906</c:v>
                </c:pt>
                <c:pt idx="9">
                  <c:v>43907</c:v>
                </c:pt>
                <c:pt idx="10">
                  <c:v>43908</c:v>
                </c:pt>
                <c:pt idx="11">
                  <c:v>43909</c:v>
                </c:pt>
                <c:pt idx="12">
                  <c:v>43910</c:v>
                </c:pt>
                <c:pt idx="13">
                  <c:v>43913</c:v>
                </c:pt>
                <c:pt idx="14">
                  <c:v>43914</c:v>
                </c:pt>
                <c:pt idx="15">
                  <c:v>43915</c:v>
                </c:pt>
                <c:pt idx="16">
                  <c:v>43916</c:v>
                </c:pt>
                <c:pt idx="17">
                  <c:v>43917</c:v>
                </c:pt>
                <c:pt idx="18">
                  <c:v>43920</c:v>
                </c:pt>
                <c:pt idx="19">
                  <c:v>43921</c:v>
                </c:pt>
                <c:pt idx="20">
                  <c:v>43922</c:v>
                </c:pt>
                <c:pt idx="21">
                  <c:v>43923</c:v>
                </c:pt>
                <c:pt idx="22">
                  <c:v>43924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43941</c:v>
                </c:pt>
                <c:pt idx="33">
                  <c:v>43943</c:v>
                </c:pt>
                <c:pt idx="34">
                  <c:v>43944</c:v>
                </c:pt>
                <c:pt idx="35">
                  <c:v>43945</c:v>
                </c:pt>
                <c:pt idx="36">
                  <c:v>43948</c:v>
                </c:pt>
                <c:pt idx="37">
                  <c:v>43949</c:v>
                </c:pt>
                <c:pt idx="38">
                  <c:v>43950</c:v>
                </c:pt>
                <c:pt idx="39">
                  <c:v>43951</c:v>
                </c:pt>
                <c:pt idx="40">
                  <c:v>43955</c:v>
                </c:pt>
                <c:pt idx="41">
                  <c:v>43956</c:v>
                </c:pt>
                <c:pt idx="42">
                  <c:v>43957</c:v>
                </c:pt>
                <c:pt idx="43">
                  <c:v>43958</c:v>
                </c:pt>
                <c:pt idx="44">
                  <c:v>43959</c:v>
                </c:pt>
                <c:pt idx="45">
                  <c:v>43962</c:v>
                </c:pt>
                <c:pt idx="46">
                  <c:v>43963</c:v>
                </c:pt>
                <c:pt idx="47">
                  <c:v>43964</c:v>
                </c:pt>
                <c:pt idx="48">
                  <c:v>43965</c:v>
                </c:pt>
                <c:pt idx="49">
                  <c:v>43966</c:v>
                </c:pt>
                <c:pt idx="50">
                  <c:v>43969</c:v>
                </c:pt>
                <c:pt idx="51">
                  <c:v>43970</c:v>
                </c:pt>
                <c:pt idx="52">
                  <c:v>43971</c:v>
                </c:pt>
                <c:pt idx="53">
                  <c:v>43972</c:v>
                </c:pt>
                <c:pt idx="54">
                  <c:v>43973</c:v>
                </c:pt>
                <c:pt idx="55">
                  <c:v>43976</c:v>
                </c:pt>
                <c:pt idx="56">
                  <c:v>43977</c:v>
                </c:pt>
                <c:pt idx="57">
                  <c:v>43978</c:v>
                </c:pt>
                <c:pt idx="58">
                  <c:v>43979</c:v>
                </c:pt>
                <c:pt idx="59">
                  <c:v>43980</c:v>
                </c:pt>
                <c:pt idx="60">
                  <c:v>43983</c:v>
                </c:pt>
                <c:pt idx="61">
                  <c:v>43984</c:v>
                </c:pt>
                <c:pt idx="62">
                  <c:v>43985</c:v>
                </c:pt>
                <c:pt idx="63">
                  <c:v>43986</c:v>
                </c:pt>
                <c:pt idx="64">
                  <c:v>43987</c:v>
                </c:pt>
                <c:pt idx="65">
                  <c:v>43990</c:v>
                </c:pt>
                <c:pt idx="66">
                  <c:v>43991</c:v>
                </c:pt>
                <c:pt idx="67">
                  <c:v>43992</c:v>
                </c:pt>
                <c:pt idx="68">
                  <c:v>43994</c:v>
                </c:pt>
                <c:pt idx="69">
                  <c:v>43997</c:v>
                </c:pt>
                <c:pt idx="70">
                  <c:v>43998</c:v>
                </c:pt>
                <c:pt idx="71">
                  <c:v>43999</c:v>
                </c:pt>
                <c:pt idx="72">
                  <c:v>44000</c:v>
                </c:pt>
                <c:pt idx="73">
                  <c:v>44001</c:v>
                </c:pt>
                <c:pt idx="74">
                  <c:v>44004</c:v>
                </c:pt>
                <c:pt idx="75">
                  <c:v>44005</c:v>
                </c:pt>
                <c:pt idx="76">
                  <c:v>44006</c:v>
                </c:pt>
                <c:pt idx="77">
                  <c:v>44007</c:v>
                </c:pt>
                <c:pt idx="78">
                  <c:v>44008</c:v>
                </c:pt>
                <c:pt idx="79">
                  <c:v>44011</c:v>
                </c:pt>
                <c:pt idx="80">
                  <c:v>44012</c:v>
                </c:pt>
                <c:pt idx="81">
                  <c:v>44013</c:v>
                </c:pt>
                <c:pt idx="82">
                  <c:v>44014</c:v>
                </c:pt>
                <c:pt idx="83">
                  <c:v>44015</c:v>
                </c:pt>
                <c:pt idx="84">
                  <c:v>44018</c:v>
                </c:pt>
                <c:pt idx="85">
                  <c:v>44019</c:v>
                </c:pt>
                <c:pt idx="86">
                  <c:v>44020</c:v>
                </c:pt>
                <c:pt idx="87">
                  <c:v>44021</c:v>
                </c:pt>
                <c:pt idx="88">
                  <c:v>44022</c:v>
                </c:pt>
                <c:pt idx="89">
                  <c:v>44025</c:v>
                </c:pt>
                <c:pt idx="90">
                  <c:v>44026</c:v>
                </c:pt>
                <c:pt idx="91">
                  <c:v>44027</c:v>
                </c:pt>
                <c:pt idx="92">
                  <c:v>44028</c:v>
                </c:pt>
                <c:pt idx="93">
                  <c:v>44029</c:v>
                </c:pt>
                <c:pt idx="94">
                  <c:v>44032</c:v>
                </c:pt>
                <c:pt idx="95">
                  <c:v>44033</c:v>
                </c:pt>
                <c:pt idx="96">
                  <c:v>44034</c:v>
                </c:pt>
                <c:pt idx="97">
                  <c:v>44035</c:v>
                </c:pt>
                <c:pt idx="98">
                  <c:v>44036</c:v>
                </c:pt>
                <c:pt idx="99">
                  <c:v>44039</c:v>
                </c:pt>
                <c:pt idx="100">
                  <c:v>44040</c:v>
                </c:pt>
                <c:pt idx="101">
                  <c:v>44041</c:v>
                </c:pt>
                <c:pt idx="102">
                  <c:v>44042</c:v>
                </c:pt>
                <c:pt idx="103">
                  <c:v>44043</c:v>
                </c:pt>
                <c:pt idx="104">
                  <c:v>44046</c:v>
                </c:pt>
                <c:pt idx="105">
                  <c:v>44047</c:v>
                </c:pt>
                <c:pt idx="106">
                  <c:v>44048</c:v>
                </c:pt>
                <c:pt idx="107">
                  <c:v>44049</c:v>
                </c:pt>
                <c:pt idx="108">
                  <c:v>44050</c:v>
                </c:pt>
                <c:pt idx="109">
                  <c:v>44053</c:v>
                </c:pt>
                <c:pt idx="110">
                  <c:v>44054</c:v>
                </c:pt>
                <c:pt idx="111">
                  <c:v>44055</c:v>
                </c:pt>
                <c:pt idx="112">
                  <c:v>44056</c:v>
                </c:pt>
                <c:pt idx="113">
                  <c:v>44057</c:v>
                </c:pt>
                <c:pt idx="114">
                  <c:v>44060</c:v>
                </c:pt>
                <c:pt idx="115">
                  <c:v>44061</c:v>
                </c:pt>
                <c:pt idx="116">
                  <c:v>44062</c:v>
                </c:pt>
                <c:pt idx="117">
                  <c:v>44063</c:v>
                </c:pt>
                <c:pt idx="118">
                  <c:v>44064</c:v>
                </c:pt>
                <c:pt idx="119">
                  <c:v>44067</c:v>
                </c:pt>
                <c:pt idx="120">
                  <c:v>44068</c:v>
                </c:pt>
                <c:pt idx="121">
                  <c:v>44069</c:v>
                </c:pt>
                <c:pt idx="122">
                  <c:v>44070</c:v>
                </c:pt>
                <c:pt idx="123">
                  <c:v>44071</c:v>
                </c:pt>
                <c:pt idx="124">
                  <c:v>44074</c:v>
                </c:pt>
                <c:pt idx="125">
                  <c:v>44075</c:v>
                </c:pt>
                <c:pt idx="126">
                  <c:v>44076</c:v>
                </c:pt>
                <c:pt idx="127">
                  <c:v>44077</c:v>
                </c:pt>
                <c:pt idx="128">
                  <c:v>44078</c:v>
                </c:pt>
                <c:pt idx="129">
                  <c:v>44082</c:v>
                </c:pt>
                <c:pt idx="130">
                  <c:v>44083</c:v>
                </c:pt>
                <c:pt idx="131">
                  <c:v>44084</c:v>
                </c:pt>
                <c:pt idx="132">
                  <c:v>44085</c:v>
                </c:pt>
                <c:pt idx="133">
                  <c:v>44088</c:v>
                </c:pt>
                <c:pt idx="134">
                  <c:v>44089</c:v>
                </c:pt>
                <c:pt idx="135">
                  <c:v>44090</c:v>
                </c:pt>
                <c:pt idx="136">
                  <c:v>44091</c:v>
                </c:pt>
                <c:pt idx="137">
                  <c:v>44092</c:v>
                </c:pt>
                <c:pt idx="138">
                  <c:v>44095</c:v>
                </c:pt>
                <c:pt idx="139">
                  <c:v>44096</c:v>
                </c:pt>
                <c:pt idx="140">
                  <c:v>44097</c:v>
                </c:pt>
                <c:pt idx="141">
                  <c:v>44098</c:v>
                </c:pt>
                <c:pt idx="142">
                  <c:v>44099</c:v>
                </c:pt>
                <c:pt idx="143">
                  <c:v>44102</c:v>
                </c:pt>
                <c:pt idx="144">
                  <c:v>44103</c:v>
                </c:pt>
                <c:pt idx="145">
                  <c:v>44104</c:v>
                </c:pt>
                <c:pt idx="146">
                  <c:v>44105</c:v>
                </c:pt>
                <c:pt idx="147">
                  <c:v>44106</c:v>
                </c:pt>
                <c:pt idx="148">
                  <c:v>44109</c:v>
                </c:pt>
                <c:pt idx="149">
                  <c:v>44110</c:v>
                </c:pt>
                <c:pt idx="150">
                  <c:v>44111</c:v>
                </c:pt>
                <c:pt idx="151">
                  <c:v>44112</c:v>
                </c:pt>
                <c:pt idx="152">
                  <c:v>44113</c:v>
                </c:pt>
                <c:pt idx="153">
                  <c:v>44117</c:v>
                </c:pt>
                <c:pt idx="154">
                  <c:v>44118</c:v>
                </c:pt>
                <c:pt idx="155">
                  <c:v>44119</c:v>
                </c:pt>
                <c:pt idx="156">
                  <c:v>44120</c:v>
                </c:pt>
                <c:pt idx="157">
                  <c:v>44123</c:v>
                </c:pt>
                <c:pt idx="158">
                  <c:v>44124</c:v>
                </c:pt>
                <c:pt idx="159">
                  <c:v>44125</c:v>
                </c:pt>
                <c:pt idx="160">
                  <c:v>44126</c:v>
                </c:pt>
                <c:pt idx="161">
                  <c:v>44127</c:v>
                </c:pt>
                <c:pt idx="162">
                  <c:v>44130</c:v>
                </c:pt>
                <c:pt idx="163">
                  <c:v>44131</c:v>
                </c:pt>
                <c:pt idx="164">
                  <c:v>44132</c:v>
                </c:pt>
                <c:pt idx="165">
                  <c:v>44133</c:v>
                </c:pt>
                <c:pt idx="166">
                  <c:v>44134</c:v>
                </c:pt>
                <c:pt idx="167">
                  <c:v>44138</c:v>
                </c:pt>
                <c:pt idx="168">
                  <c:v>44139</c:v>
                </c:pt>
                <c:pt idx="169">
                  <c:v>44140</c:v>
                </c:pt>
                <c:pt idx="170">
                  <c:v>44141</c:v>
                </c:pt>
                <c:pt idx="171">
                  <c:v>44144</c:v>
                </c:pt>
                <c:pt idx="172">
                  <c:v>44145</c:v>
                </c:pt>
                <c:pt idx="173">
                  <c:v>44146</c:v>
                </c:pt>
                <c:pt idx="174">
                  <c:v>44147</c:v>
                </c:pt>
                <c:pt idx="175">
                  <c:v>44148</c:v>
                </c:pt>
                <c:pt idx="176">
                  <c:v>44151</c:v>
                </c:pt>
                <c:pt idx="177">
                  <c:v>44152</c:v>
                </c:pt>
                <c:pt idx="178">
                  <c:v>44153</c:v>
                </c:pt>
                <c:pt idx="179">
                  <c:v>44154</c:v>
                </c:pt>
                <c:pt idx="180">
                  <c:v>44155</c:v>
                </c:pt>
                <c:pt idx="181">
                  <c:v>44158</c:v>
                </c:pt>
                <c:pt idx="182">
                  <c:v>44159</c:v>
                </c:pt>
                <c:pt idx="183">
                  <c:v>44160</c:v>
                </c:pt>
                <c:pt idx="184">
                  <c:v>44161</c:v>
                </c:pt>
                <c:pt idx="185">
                  <c:v>44162</c:v>
                </c:pt>
              </c:numCache>
            </c:numRef>
          </c:cat>
          <c:val>
            <c:numRef>
              <c:f>'Exp Quarterly'!$G$4:$G$189</c:f>
              <c:numCache>
                <c:formatCode>General</c:formatCode>
                <c:ptCount val="186"/>
                <c:pt idx="0">
                  <c:v>2.6</c:v>
                </c:pt>
                <c:pt idx="1">
                  <c:v>2.6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  <c:pt idx="5">
                  <c:v>2.8</c:v>
                </c:pt>
                <c:pt idx="6">
                  <c:v>2.8</c:v>
                </c:pt>
                <c:pt idx="7">
                  <c:v>3.4</c:v>
                </c:pt>
                <c:pt idx="8">
                  <c:v>3.4</c:v>
                </c:pt>
                <c:pt idx="9">
                  <c:v>3.4</c:v>
                </c:pt>
                <c:pt idx="10">
                  <c:v>3.4</c:v>
                </c:pt>
                <c:pt idx="11">
                  <c:v>3.4</c:v>
                </c:pt>
                <c:pt idx="12">
                  <c:v>5</c:v>
                </c:pt>
                <c:pt idx="13">
                  <c:v>9.93</c:v>
                </c:pt>
                <c:pt idx="14">
                  <c:v>9.93</c:v>
                </c:pt>
                <c:pt idx="15">
                  <c:v>9.93</c:v>
                </c:pt>
                <c:pt idx="16">
                  <c:v>9.93</c:v>
                </c:pt>
                <c:pt idx="17">
                  <c:v>9</c:v>
                </c:pt>
                <c:pt idx="18">
                  <c:v>16.7</c:v>
                </c:pt>
                <c:pt idx="19">
                  <c:v>16.7</c:v>
                </c:pt>
                <c:pt idx="20">
                  <c:v>16.7</c:v>
                </c:pt>
                <c:pt idx="21">
                  <c:v>16.7</c:v>
                </c:pt>
                <c:pt idx="22">
                  <c:v>16.7</c:v>
                </c:pt>
                <c:pt idx="23">
                  <c:v>16.7</c:v>
                </c:pt>
                <c:pt idx="24">
                  <c:v>16.7</c:v>
                </c:pt>
                <c:pt idx="25">
                  <c:v>20.100000000000001</c:v>
                </c:pt>
                <c:pt idx="26">
                  <c:v>20.100000000000001</c:v>
                </c:pt>
                <c:pt idx="27">
                  <c:v>20.100000000000001</c:v>
                </c:pt>
                <c:pt idx="28">
                  <c:v>20.100000000000001</c:v>
                </c:pt>
                <c:pt idx="29">
                  <c:v>20.100000000000001</c:v>
                </c:pt>
                <c:pt idx="30">
                  <c:v>20.100000000000001</c:v>
                </c:pt>
                <c:pt idx="31">
                  <c:v>20.100000000000001</c:v>
                </c:pt>
                <c:pt idx="32">
                  <c:v>20.100000000000001</c:v>
                </c:pt>
                <c:pt idx="33">
                  <c:v>20.100000000000001</c:v>
                </c:pt>
                <c:pt idx="34">
                  <c:v>20.100000000000001</c:v>
                </c:pt>
                <c:pt idx="35">
                  <c:v>20.100000000000001</c:v>
                </c:pt>
                <c:pt idx="36">
                  <c:v>20.100000000000001</c:v>
                </c:pt>
                <c:pt idx="37">
                  <c:v>20.2</c:v>
                </c:pt>
                <c:pt idx="38">
                  <c:v>20.2</c:v>
                </c:pt>
                <c:pt idx="39">
                  <c:v>20.2</c:v>
                </c:pt>
                <c:pt idx="40">
                  <c:v>20.2</c:v>
                </c:pt>
                <c:pt idx="41">
                  <c:v>20.2</c:v>
                </c:pt>
                <c:pt idx="42">
                  <c:v>20.2</c:v>
                </c:pt>
                <c:pt idx="43">
                  <c:v>20.2</c:v>
                </c:pt>
                <c:pt idx="44">
                  <c:v>20.2</c:v>
                </c:pt>
                <c:pt idx="45">
                  <c:v>20.2</c:v>
                </c:pt>
                <c:pt idx="46">
                  <c:v>20.2</c:v>
                </c:pt>
                <c:pt idx="47">
                  <c:v>20.2</c:v>
                </c:pt>
                <c:pt idx="48">
                  <c:v>20.2</c:v>
                </c:pt>
                <c:pt idx="49">
                  <c:v>20.2</c:v>
                </c:pt>
                <c:pt idx="50">
                  <c:v>20.2</c:v>
                </c:pt>
                <c:pt idx="51">
                  <c:v>20.2</c:v>
                </c:pt>
                <c:pt idx="52">
                  <c:v>20.2</c:v>
                </c:pt>
                <c:pt idx="53">
                  <c:v>20.2</c:v>
                </c:pt>
                <c:pt idx="54">
                  <c:v>20.2</c:v>
                </c:pt>
                <c:pt idx="55">
                  <c:v>20.2</c:v>
                </c:pt>
                <c:pt idx="56">
                  <c:v>20.2</c:v>
                </c:pt>
                <c:pt idx="57">
                  <c:v>20.2</c:v>
                </c:pt>
                <c:pt idx="58">
                  <c:v>20.2</c:v>
                </c:pt>
                <c:pt idx="59">
                  <c:v>20.2</c:v>
                </c:pt>
                <c:pt idx="60">
                  <c:v>20.2</c:v>
                </c:pt>
                <c:pt idx="61">
                  <c:v>16.100000000000001</c:v>
                </c:pt>
                <c:pt idx="62">
                  <c:v>16.100000000000001</c:v>
                </c:pt>
                <c:pt idx="63">
                  <c:v>16.100000000000001</c:v>
                </c:pt>
                <c:pt idx="64">
                  <c:v>16.100000000000001</c:v>
                </c:pt>
                <c:pt idx="65">
                  <c:v>16.100000000000001</c:v>
                </c:pt>
                <c:pt idx="66">
                  <c:v>16.100000000000001</c:v>
                </c:pt>
                <c:pt idx="67">
                  <c:v>16.100000000000001</c:v>
                </c:pt>
                <c:pt idx="68">
                  <c:v>16.100000000000001</c:v>
                </c:pt>
                <c:pt idx="69">
                  <c:v>16.100000000000001</c:v>
                </c:pt>
                <c:pt idx="70">
                  <c:v>16.100000000000001</c:v>
                </c:pt>
                <c:pt idx="71">
                  <c:v>16.100000000000001</c:v>
                </c:pt>
                <c:pt idx="72">
                  <c:v>16.100000000000001</c:v>
                </c:pt>
                <c:pt idx="73">
                  <c:v>16.100000000000001</c:v>
                </c:pt>
                <c:pt idx="74">
                  <c:v>16.100000000000001</c:v>
                </c:pt>
                <c:pt idx="75">
                  <c:v>16.100000000000001</c:v>
                </c:pt>
                <c:pt idx="76">
                  <c:v>16.100000000000001</c:v>
                </c:pt>
                <c:pt idx="77">
                  <c:v>16.100000000000001</c:v>
                </c:pt>
                <c:pt idx="78">
                  <c:v>16.100000000000001</c:v>
                </c:pt>
                <c:pt idx="79">
                  <c:v>16.100000000000001</c:v>
                </c:pt>
                <c:pt idx="80">
                  <c:v>16.100000000000001</c:v>
                </c:pt>
                <c:pt idx="81">
                  <c:v>16.100000000000001</c:v>
                </c:pt>
                <c:pt idx="82">
                  <c:v>16.100000000000001</c:v>
                </c:pt>
                <c:pt idx="83">
                  <c:v>16.100000000000001</c:v>
                </c:pt>
                <c:pt idx="84">
                  <c:v>16.100000000000001</c:v>
                </c:pt>
                <c:pt idx="85">
                  <c:v>16.100000000000001</c:v>
                </c:pt>
                <c:pt idx="86">
                  <c:v>16.100000000000001</c:v>
                </c:pt>
                <c:pt idx="87">
                  <c:v>16.100000000000001</c:v>
                </c:pt>
                <c:pt idx="88">
                  <c:v>16.100000000000001</c:v>
                </c:pt>
                <c:pt idx="89">
                  <c:v>14.11</c:v>
                </c:pt>
                <c:pt idx="90">
                  <c:v>13.9</c:v>
                </c:pt>
                <c:pt idx="91">
                  <c:v>13.9</c:v>
                </c:pt>
                <c:pt idx="92">
                  <c:v>13.9</c:v>
                </c:pt>
                <c:pt idx="93">
                  <c:v>13.9</c:v>
                </c:pt>
                <c:pt idx="94">
                  <c:v>13.9</c:v>
                </c:pt>
                <c:pt idx="95">
                  <c:v>13.9</c:v>
                </c:pt>
                <c:pt idx="96">
                  <c:v>13.9</c:v>
                </c:pt>
                <c:pt idx="97">
                  <c:v>13.9</c:v>
                </c:pt>
                <c:pt idx="98">
                  <c:v>13.2</c:v>
                </c:pt>
                <c:pt idx="99">
                  <c:v>13.2</c:v>
                </c:pt>
                <c:pt idx="100">
                  <c:v>13.2</c:v>
                </c:pt>
                <c:pt idx="101">
                  <c:v>13.2</c:v>
                </c:pt>
                <c:pt idx="102">
                  <c:v>13.2</c:v>
                </c:pt>
                <c:pt idx="103">
                  <c:v>13.2</c:v>
                </c:pt>
                <c:pt idx="104">
                  <c:v>13.2</c:v>
                </c:pt>
                <c:pt idx="105">
                  <c:v>13.2</c:v>
                </c:pt>
                <c:pt idx="106">
                  <c:v>13.2</c:v>
                </c:pt>
                <c:pt idx="107">
                  <c:v>13.2</c:v>
                </c:pt>
                <c:pt idx="108">
                  <c:v>13.2</c:v>
                </c:pt>
                <c:pt idx="109">
                  <c:v>13.2</c:v>
                </c:pt>
                <c:pt idx="110">
                  <c:v>13.2</c:v>
                </c:pt>
                <c:pt idx="111">
                  <c:v>13.2</c:v>
                </c:pt>
                <c:pt idx="112">
                  <c:v>13.2</c:v>
                </c:pt>
                <c:pt idx="113">
                  <c:v>13.2</c:v>
                </c:pt>
                <c:pt idx="114">
                  <c:v>12.3</c:v>
                </c:pt>
                <c:pt idx="115">
                  <c:v>12.3</c:v>
                </c:pt>
                <c:pt idx="116">
                  <c:v>12.3</c:v>
                </c:pt>
                <c:pt idx="117">
                  <c:v>12.3</c:v>
                </c:pt>
                <c:pt idx="118">
                  <c:v>12.3</c:v>
                </c:pt>
                <c:pt idx="119">
                  <c:v>12.3</c:v>
                </c:pt>
                <c:pt idx="120">
                  <c:v>12.3</c:v>
                </c:pt>
                <c:pt idx="121">
                  <c:v>12.3</c:v>
                </c:pt>
                <c:pt idx="122">
                  <c:v>12.3</c:v>
                </c:pt>
                <c:pt idx="123">
                  <c:v>12</c:v>
                </c:pt>
                <c:pt idx="124">
                  <c:v>12</c:v>
                </c:pt>
                <c:pt idx="125">
                  <c:v>12</c:v>
                </c:pt>
                <c:pt idx="126">
                  <c:v>12</c:v>
                </c:pt>
                <c:pt idx="127">
                  <c:v>12</c:v>
                </c:pt>
                <c:pt idx="128">
                  <c:v>12</c:v>
                </c:pt>
                <c:pt idx="129">
                  <c:v>12</c:v>
                </c:pt>
                <c:pt idx="130">
                  <c:v>12.6</c:v>
                </c:pt>
                <c:pt idx="131">
                  <c:v>12.6</c:v>
                </c:pt>
                <c:pt idx="132">
                  <c:v>12.6</c:v>
                </c:pt>
                <c:pt idx="133">
                  <c:v>12.6</c:v>
                </c:pt>
                <c:pt idx="134">
                  <c:v>12.6</c:v>
                </c:pt>
                <c:pt idx="135">
                  <c:v>12.6</c:v>
                </c:pt>
                <c:pt idx="136">
                  <c:v>12.6</c:v>
                </c:pt>
                <c:pt idx="137">
                  <c:v>12.6</c:v>
                </c:pt>
                <c:pt idx="138">
                  <c:v>12.6</c:v>
                </c:pt>
                <c:pt idx="139">
                  <c:v>12.6</c:v>
                </c:pt>
                <c:pt idx="140">
                  <c:v>12.6</c:v>
                </c:pt>
                <c:pt idx="141">
                  <c:v>12.6</c:v>
                </c:pt>
                <c:pt idx="142">
                  <c:v>12.6</c:v>
                </c:pt>
                <c:pt idx="143">
                  <c:v>12.6</c:v>
                </c:pt>
                <c:pt idx="144">
                  <c:v>12.6</c:v>
                </c:pt>
                <c:pt idx="145">
                  <c:v>12.6</c:v>
                </c:pt>
                <c:pt idx="146">
                  <c:v>12.6</c:v>
                </c:pt>
                <c:pt idx="147">
                  <c:v>12.6</c:v>
                </c:pt>
                <c:pt idx="148">
                  <c:v>12</c:v>
                </c:pt>
                <c:pt idx="149">
                  <c:v>12</c:v>
                </c:pt>
                <c:pt idx="150">
                  <c:v>12</c:v>
                </c:pt>
                <c:pt idx="151">
                  <c:v>12</c:v>
                </c:pt>
                <c:pt idx="152">
                  <c:v>12</c:v>
                </c:pt>
                <c:pt idx="153">
                  <c:v>12</c:v>
                </c:pt>
                <c:pt idx="154">
                  <c:v>12</c:v>
                </c:pt>
                <c:pt idx="155">
                  <c:v>12</c:v>
                </c:pt>
                <c:pt idx="156">
                  <c:v>12</c:v>
                </c:pt>
                <c:pt idx="157">
                  <c:v>12</c:v>
                </c:pt>
                <c:pt idx="158">
                  <c:v>12</c:v>
                </c:pt>
                <c:pt idx="159">
                  <c:v>12</c:v>
                </c:pt>
                <c:pt idx="160">
                  <c:v>12</c:v>
                </c:pt>
                <c:pt idx="161">
                  <c:v>12</c:v>
                </c:pt>
                <c:pt idx="162">
                  <c:v>12</c:v>
                </c:pt>
                <c:pt idx="163">
                  <c:v>12</c:v>
                </c:pt>
                <c:pt idx="164">
                  <c:v>12</c:v>
                </c:pt>
                <c:pt idx="165">
                  <c:v>12</c:v>
                </c:pt>
                <c:pt idx="166">
                  <c:v>12.09</c:v>
                </c:pt>
                <c:pt idx="167">
                  <c:v>12.09</c:v>
                </c:pt>
                <c:pt idx="168">
                  <c:v>12.09</c:v>
                </c:pt>
                <c:pt idx="169">
                  <c:v>12.09</c:v>
                </c:pt>
                <c:pt idx="170">
                  <c:v>12.09</c:v>
                </c:pt>
                <c:pt idx="171">
                  <c:v>12.09</c:v>
                </c:pt>
                <c:pt idx="172">
                  <c:v>12.09</c:v>
                </c:pt>
                <c:pt idx="173">
                  <c:v>12.09</c:v>
                </c:pt>
                <c:pt idx="174">
                  <c:v>12.09</c:v>
                </c:pt>
                <c:pt idx="175">
                  <c:v>12.09</c:v>
                </c:pt>
                <c:pt idx="176">
                  <c:v>12.45</c:v>
                </c:pt>
                <c:pt idx="177">
                  <c:v>12.45</c:v>
                </c:pt>
                <c:pt idx="178">
                  <c:v>12.45</c:v>
                </c:pt>
                <c:pt idx="179">
                  <c:v>12.45</c:v>
                </c:pt>
                <c:pt idx="180">
                  <c:v>12.45</c:v>
                </c:pt>
                <c:pt idx="181">
                  <c:v>12.45</c:v>
                </c:pt>
                <c:pt idx="182">
                  <c:v>12.45</c:v>
                </c:pt>
                <c:pt idx="183">
                  <c:v>12.45</c:v>
                </c:pt>
                <c:pt idx="184">
                  <c:v>12.45</c:v>
                </c:pt>
                <c:pt idx="185">
                  <c:v>12.45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CB-44D3-BA86-81320F0B3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dateAx>
        <c:axId val="9901735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Offset val="100"/>
        <c:baseTimeUnit val="days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'Exp Annual'!$J$1:$P$1</c:f>
          <c:strCache>
            <c:ptCount val="7"/>
            <c:pt idx="0">
              <c:v>FOCUS forecast for IPCA of 2021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'Exp Annual'!$E$3</c:f>
              <c:strCache>
                <c:ptCount val="1"/>
                <c:pt idx="0">
                  <c:v>Minimo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'Exp Annual'!$D$4:$D$461</c:f>
              <c:numCache>
                <c:formatCode>m/d/yyyy</c:formatCode>
                <c:ptCount val="458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44018</c:v>
                </c:pt>
                <c:pt idx="4">
                  <c:v>44019</c:v>
                </c:pt>
                <c:pt idx="5">
                  <c:v>44020</c:v>
                </c:pt>
                <c:pt idx="6">
                  <c:v>44021</c:v>
                </c:pt>
                <c:pt idx="7">
                  <c:v>44022</c:v>
                </c:pt>
                <c:pt idx="8">
                  <c:v>44025</c:v>
                </c:pt>
                <c:pt idx="9">
                  <c:v>44026</c:v>
                </c:pt>
                <c:pt idx="10">
                  <c:v>44027</c:v>
                </c:pt>
                <c:pt idx="11">
                  <c:v>44028</c:v>
                </c:pt>
                <c:pt idx="12">
                  <c:v>44029</c:v>
                </c:pt>
                <c:pt idx="13">
                  <c:v>44032</c:v>
                </c:pt>
                <c:pt idx="14">
                  <c:v>44033</c:v>
                </c:pt>
                <c:pt idx="15">
                  <c:v>44034</c:v>
                </c:pt>
                <c:pt idx="16">
                  <c:v>44035</c:v>
                </c:pt>
                <c:pt idx="17">
                  <c:v>44036</c:v>
                </c:pt>
                <c:pt idx="18">
                  <c:v>44039</c:v>
                </c:pt>
                <c:pt idx="19">
                  <c:v>44040</c:v>
                </c:pt>
                <c:pt idx="20">
                  <c:v>44041</c:v>
                </c:pt>
                <c:pt idx="21">
                  <c:v>44042</c:v>
                </c:pt>
                <c:pt idx="22">
                  <c:v>44043</c:v>
                </c:pt>
                <c:pt idx="23">
                  <c:v>44046</c:v>
                </c:pt>
                <c:pt idx="24">
                  <c:v>44047</c:v>
                </c:pt>
                <c:pt idx="25">
                  <c:v>44048</c:v>
                </c:pt>
                <c:pt idx="26">
                  <c:v>44049</c:v>
                </c:pt>
                <c:pt idx="27">
                  <c:v>44050</c:v>
                </c:pt>
                <c:pt idx="28">
                  <c:v>44053</c:v>
                </c:pt>
                <c:pt idx="29">
                  <c:v>44054</c:v>
                </c:pt>
                <c:pt idx="30">
                  <c:v>44055</c:v>
                </c:pt>
                <c:pt idx="31">
                  <c:v>44056</c:v>
                </c:pt>
                <c:pt idx="32">
                  <c:v>44057</c:v>
                </c:pt>
                <c:pt idx="33">
                  <c:v>44060</c:v>
                </c:pt>
                <c:pt idx="34">
                  <c:v>44061</c:v>
                </c:pt>
                <c:pt idx="35">
                  <c:v>44062</c:v>
                </c:pt>
                <c:pt idx="36">
                  <c:v>44063</c:v>
                </c:pt>
                <c:pt idx="37">
                  <c:v>44064</c:v>
                </c:pt>
                <c:pt idx="38">
                  <c:v>44067</c:v>
                </c:pt>
                <c:pt idx="39">
                  <c:v>44068</c:v>
                </c:pt>
                <c:pt idx="40">
                  <c:v>44069</c:v>
                </c:pt>
                <c:pt idx="41">
                  <c:v>44070</c:v>
                </c:pt>
                <c:pt idx="42">
                  <c:v>44071</c:v>
                </c:pt>
                <c:pt idx="43">
                  <c:v>44074</c:v>
                </c:pt>
                <c:pt idx="44">
                  <c:v>44075</c:v>
                </c:pt>
                <c:pt idx="45">
                  <c:v>44076</c:v>
                </c:pt>
                <c:pt idx="46">
                  <c:v>44077</c:v>
                </c:pt>
                <c:pt idx="47">
                  <c:v>44078</c:v>
                </c:pt>
                <c:pt idx="48">
                  <c:v>44082</c:v>
                </c:pt>
                <c:pt idx="49">
                  <c:v>44083</c:v>
                </c:pt>
                <c:pt idx="50">
                  <c:v>44084</c:v>
                </c:pt>
                <c:pt idx="51">
                  <c:v>44085</c:v>
                </c:pt>
                <c:pt idx="52">
                  <c:v>44088</c:v>
                </c:pt>
                <c:pt idx="53">
                  <c:v>44089</c:v>
                </c:pt>
                <c:pt idx="54">
                  <c:v>44090</c:v>
                </c:pt>
                <c:pt idx="55">
                  <c:v>44091</c:v>
                </c:pt>
                <c:pt idx="56">
                  <c:v>44092</c:v>
                </c:pt>
                <c:pt idx="57">
                  <c:v>44095</c:v>
                </c:pt>
                <c:pt idx="58">
                  <c:v>44096</c:v>
                </c:pt>
                <c:pt idx="59">
                  <c:v>44097</c:v>
                </c:pt>
                <c:pt idx="60">
                  <c:v>44098</c:v>
                </c:pt>
                <c:pt idx="61">
                  <c:v>44099</c:v>
                </c:pt>
                <c:pt idx="62">
                  <c:v>44102</c:v>
                </c:pt>
                <c:pt idx="63">
                  <c:v>44103</c:v>
                </c:pt>
                <c:pt idx="64">
                  <c:v>44104</c:v>
                </c:pt>
                <c:pt idx="65">
                  <c:v>44105</c:v>
                </c:pt>
                <c:pt idx="66">
                  <c:v>44106</c:v>
                </c:pt>
                <c:pt idx="67">
                  <c:v>44109</c:v>
                </c:pt>
                <c:pt idx="68">
                  <c:v>44110</c:v>
                </c:pt>
                <c:pt idx="69">
                  <c:v>44111</c:v>
                </c:pt>
                <c:pt idx="70">
                  <c:v>44112</c:v>
                </c:pt>
                <c:pt idx="71">
                  <c:v>44113</c:v>
                </c:pt>
                <c:pt idx="72">
                  <c:v>44117</c:v>
                </c:pt>
                <c:pt idx="73">
                  <c:v>44118</c:v>
                </c:pt>
                <c:pt idx="74">
                  <c:v>44119</c:v>
                </c:pt>
                <c:pt idx="75">
                  <c:v>44120</c:v>
                </c:pt>
                <c:pt idx="76">
                  <c:v>44123</c:v>
                </c:pt>
                <c:pt idx="77">
                  <c:v>44124</c:v>
                </c:pt>
                <c:pt idx="78">
                  <c:v>44125</c:v>
                </c:pt>
                <c:pt idx="79">
                  <c:v>44126</c:v>
                </c:pt>
                <c:pt idx="80">
                  <c:v>44127</c:v>
                </c:pt>
                <c:pt idx="81">
                  <c:v>44130</c:v>
                </c:pt>
                <c:pt idx="82">
                  <c:v>44131</c:v>
                </c:pt>
                <c:pt idx="83">
                  <c:v>44132</c:v>
                </c:pt>
                <c:pt idx="84">
                  <c:v>44133</c:v>
                </c:pt>
                <c:pt idx="85">
                  <c:v>44134</c:v>
                </c:pt>
                <c:pt idx="86">
                  <c:v>44138</c:v>
                </c:pt>
                <c:pt idx="87">
                  <c:v>44139</c:v>
                </c:pt>
                <c:pt idx="88">
                  <c:v>44140</c:v>
                </c:pt>
                <c:pt idx="89">
                  <c:v>44141</c:v>
                </c:pt>
                <c:pt idx="90">
                  <c:v>44144</c:v>
                </c:pt>
                <c:pt idx="91">
                  <c:v>44145</c:v>
                </c:pt>
                <c:pt idx="92">
                  <c:v>44146</c:v>
                </c:pt>
                <c:pt idx="93">
                  <c:v>44147</c:v>
                </c:pt>
                <c:pt idx="94">
                  <c:v>44148</c:v>
                </c:pt>
                <c:pt idx="95">
                  <c:v>44151</c:v>
                </c:pt>
                <c:pt idx="96">
                  <c:v>44152</c:v>
                </c:pt>
                <c:pt idx="97">
                  <c:v>44153</c:v>
                </c:pt>
                <c:pt idx="98">
                  <c:v>44154</c:v>
                </c:pt>
                <c:pt idx="99">
                  <c:v>44155</c:v>
                </c:pt>
                <c:pt idx="100">
                  <c:v>44158</c:v>
                </c:pt>
                <c:pt idx="101">
                  <c:v>44159</c:v>
                </c:pt>
                <c:pt idx="102">
                  <c:v>44160</c:v>
                </c:pt>
                <c:pt idx="103">
                  <c:v>44161</c:v>
                </c:pt>
                <c:pt idx="104">
                  <c:v>44162</c:v>
                </c:pt>
                <c:pt idx="105">
                  <c:v>44165</c:v>
                </c:pt>
                <c:pt idx="106">
                  <c:v>44166</c:v>
                </c:pt>
                <c:pt idx="107">
                  <c:v>44167</c:v>
                </c:pt>
                <c:pt idx="108">
                  <c:v>44168</c:v>
                </c:pt>
                <c:pt idx="109">
                  <c:v>44169</c:v>
                </c:pt>
                <c:pt idx="110">
                  <c:v>44172</c:v>
                </c:pt>
                <c:pt idx="111">
                  <c:v>44173</c:v>
                </c:pt>
                <c:pt idx="112">
                  <c:v>44174</c:v>
                </c:pt>
                <c:pt idx="113">
                  <c:v>44175</c:v>
                </c:pt>
                <c:pt idx="114">
                  <c:v>44176</c:v>
                </c:pt>
                <c:pt idx="115">
                  <c:v>44179</c:v>
                </c:pt>
                <c:pt idx="116">
                  <c:v>44180</c:v>
                </c:pt>
                <c:pt idx="117">
                  <c:v>44181</c:v>
                </c:pt>
                <c:pt idx="118">
                  <c:v>44182</c:v>
                </c:pt>
                <c:pt idx="119">
                  <c:v>44183</c:v>
                </c:pt>
                <c:pt idx="120">
                  <c:v>44186</c:v>
                </c:pt>
                <c:pt idx="121">
                  <c:v>44187</c:v>
                </c:pt>
                <c:pt idx="122">
                  <c:v>44188</c:v>
                </c:pt>
                <c:pt idx="123">
                  <c:v>44189</c:v>
                </c:pt>
                <c:pt idx="124">
                  <c:v>44193</c:v>
                </c:pt>
                <c:pt idx="125">
                  <c:v>44194</c:v>
                </c:pt>
                <c:pt idx="126">
                  <c:v>44195</c:v>
                </c:pt>
                <c:pt idx="127">
                  <c:v>44196</c:v>
                </c:pt>
                <c:pt idx="128">
                  <c:v>44200</c:v>
                </c:pt>
                <c:pt idx="129">
                  <c:v>44201</c:v>
                </c:pt>
                <c:pt idx="130">
                  <c:v>44202</c:v>
                </c:pt>
                <c:pt idx="131">
                  <c:v>44203</c:v>
                </c:pt>
                <c:pt idx="132">
                  <c:v>44204</c:v>
                </c:pt>
                <c:pt idx="133">
                  <c:v>44207</c:v>
                </c:pt>
                <c:pt idx="134">
                  <c:v>44208</c:v>
                </c:pt>
                <c:pt idx="135">
                  <c:v>44209</c:v>
                </c:pt>
                <c:pt idx="136">
                  <c:v>44210</c:v>
                </c:pt>
                <c:pt idx="137">
                  <c:v>44211</c:v>
                </c:pt>
                <c:pt idx="138">
                  <c:v>44214</c:v>
                </c:pt>
                <c:pt idx="139">
                  <c:v>44215</c:v>
                </c:pt>
                <c:pt idx="140">
                  <c:v>44216</c:v>
                </c:pt>
                <c:pt idx="141">
                  <c:v>44217</c:v>
                </c:pt>
                <c:pt idx="142">
                  <c:v>44218</c:v>
                </c:pt>
                <c:pt idx="143">
                  <c:v>44221</c:v>
                </c:pt>
                <c:pt idx="144">
                  <c:v>44222</c:v>
                </c:pt>
                <c:pt idx="145">
                  <c:v>44223</c:v>
                </c:pt>
                <c:pt idx="146">
                  <c:v>44224</c:v>
                </c:pt>
                <c:pt idx="147">
                  <c:v>44225</c:v>
                </c:pt>
                <c:pt idx="148">
                  <c:v>44228</c:v>
                </c:pt>
                <c:pt idx="149">
                  <c:v>44229</c:v>
                </c:pt>
                <c:pt idx="150">
                  <c:v>44230</c:v>
                </c:pt>
                <c:pt idx="151">
                  <c:v>44231</c:v>
                </c:pt>
                <c:pt idx="152">
                  <c:v>44232</c:v>
                </c:pt>
                <c:pt idx="153">
                  <c:v>44235</c:v>
                </c:pt>
                <c:pt idx="154">
                  <c:v>44236</c:v>
                </c:pt>
                <c:pt idx="155">
                  <c:v>44237</c:v>
                </c:pt>
                <c:pt idx="156">
                  <c:v>44238</c:v>
                </c:pt>
                <c:pt idx="157">
                  <c:v>44239</c:v>
                </c:pt>
                <c:pt idx="158">
                  <c:v>44244</c:v>
                </c:pt>
                <c:pt idx="159">
                  <c:v>44245</c:v>
                </c:pt>
                <c:pt idx="160">
                  <c:v>44246</c:v>
                </c:pt>
                <c:pt idx="161">
                  <c:v>44249</c:v>
                </c:pt>
                <c:pt idx="162">
                  <c:v>44250</c:v>
                </c:pt>
                <c:pt idx="163">
                  <c:v>44251</c:v>
                </c:pt>
                <c:pt idx="164">
                  <c:v>44252</c:v>
                </c:pt>
                <c:pt idx="165">
                  <c:v>44253</c:v>
                </c:pt>
                <c:pt idx="166">
                  <c:v>44256</c:v>
                </c:pt>
                <c:pt idx="167">
                  <c:v>44257</c:v>
                </c:pt>
                <c:pt idx="168">
                  <c:v>44258</c:v>
                </c:pt>
                <c:pt idx="169">
                  <c:v>44259</c:v>
                </c:pt>
                <c:pt idx="170">
                  <c:v>44260</c:v>
                </c:pt>
                <c:pt idx="171">
                  <c:v>44263</c:v>
                </c:pt>
                <c:pt idx="172">
                  <c:v>44264</c:v>
                </c:pt>
                <c:pt idx="173">
                  <c:v>44265</c:v>
                </c:pt>
                <c:pt idx="174">
                  <c:v>44266</c:v>
                </c:pt>
                <c:pt idx="175">
                  <c:v>44267</c:v>
                </c:pt>
                <c:pt idx="176">
                  <c:v>44270</c:v>
                </c:pt>
                <c:pt idx="177">
                  <c:v>44271</c:v>
                </c:pt>
                <c:pt idx="178">
                  <c:v>44272</c:v>
                </c:pt>
                <c:pt idx="179">
                  <c:v>44273</c:v>
                </c:pt>
                <c:pt idx="180">
                  <c:v>44274</c:v>
                </c:pt>
                <c:pt idx="181">
                  <c:v>44277</c:v>
                </c:pt>
                <c:pt idx="182">
                  <c:v>44278</c:v>
                </c:pt>
                <c:pt idx="183">
                  <c:v>44279</c:v>
                </c:pt>
                <c:pt idx="184">
                  <c:v>44280</c:v>
                </c:pt>
                <c:pt idx="185">
                  <c:v>44281</c:v>
                </c:pt>
                <c:pt idx="186">
                  <c:v>44284</c:v>
                </c:pt>
                <c:pt idx="187">
                  <c:v>44285</c:v>
                </c:pt>
                <c:pt idx="188">
                  <c:v>44286</c:v>
                </c:pt>
                <c:pt idx="189">
                  <c:v>44287</c:v>
                </c:pt>
                <c:pt idx="190">
                  <c:v>44291</c:v>
                </c:pt>
                <c:pt idx="191">
                  <c:v>44292</c:v>
                </c:pt>
                <c:pt idx="192">
                  <c:v>44293</c:v>
                </c:pt>
                <c:pt idx="193">
                  <c:v>44294</c:v>
                </c:pt>
                <c:pt idx="194">
                  <c:v>44295</c:v>
                </c:pt>
                <c:pt idx="195">
                  <c:v>44298</c:v>
                </c:pt>
                <c:pt idx="196">
                  <c:v>44299</c:v>
                </c:pt>
                <c:pt idx="197">
                  <c:v>44300</c:v>
                </c:pt>
                <c:pt idx="198">
                  <c:v>44301</c:v>
                </c:pt>
                <c:pt idx="199">
                  <c:v>44302</c:v>
                </c:pt>
                <c:pt idx="200">
                  <c:v>44305</c:v>
                </c:pt>
                <c:pt idx="201">
                  <c:v>44306</c:v>
                </c:pt>
                <c:pt idx="202">
                  <c:v>44308</c:v>
                </c:pt>
                <c:pt idx="203">
                  <c:v>44309</c:v>
                </c:pt>
                <c:pt idx="204">
                  <c:v>44312</c:v>
                </c:pt>
                <c:pt idx="205">
                  <c:v>44313</c:v>
                </c:pt>
                <c:pt idx="206">
                  <c:v>44314</c:v>
                </c:pt>
                <c:pt idx="207">
                  <c:v>44315</c:v>
                </c:pt>
                <c:pt idx="208">
                  <c:v>44316</c:v>
                </c:pt>
                <c:pt idx="209">
                  <c:v>44319</c:v>
                </c:pt>
                <c:pt idx="210">
                  <c:v>44320</c:v>
                </c:pt>
                <c:pt idx="211">
                  <c:v>44321</c:v>
                </c:pt>
                <c:pt idx="212">
                  <c:v>44322</c:v>
                </c:pt>
                <c:pt idx="213">
                  <c:v>44323</c:v>
                </c:pt>
                <c:pt idx="214">
                  <c:v>44326</c:v>
                </c:pt>
                <c:pt idx="215">
                  <c:v>44327</c:v>
                </c:pt>
                <c:pt idx="216">
                  <c:v>44328</c:v>
                </c:pt>
                <c:pt idx="217">
                  <c:v>44329</c:v>
                </c:pt>
                <c:pt idx="218">
                  <c:v>44330</c:v>
                </c:pt>
                <c:pt idx="219">
                  <c:v>44333</c:v>
                </c:pt>
                <c:pt idx="220">
                  <c:v>44334</c:v>
                </c:pt>
                <c:pt idx="221">
                  <c:v>44335</c:v>
                </c:pt>
                <c:pt idx="222">
                  <c:v>44336</c:v>
                </c:pt>
                <c:pt idx="223">
                  <c:v>44337</c:v>
                </c:pt>
                <c:pt idx="224">
                  <c:v>44340</c:v>
                </c:pt>
                <c:pt idx="225">
                  <c:v>44341</c:v>
                </c:pt>
                <c:pt idx="226">
                  <c:v>44342</c:v>
                </c:pt>
                <c:pt idx="227">
                  <c:v>44343</c:v>
                </c:pt>
                <c:pt idx="228">
                  <c:v>44344</c:v>
                </c:pt>
                <c:pt idx="229">
                  <c:v>44347</c:v>
                </c:pt>
                <c:pt idx="230">
                  <c:v>44348</c:v>
                </c:pt>
                <c:pt idx="231">
                  <c:v>44349</c:v>
                </c:pt>
                <c:pt idx="232">
                  <c:v>44351</c:v>
                </c:pt>
                <c:pt idx="233">
                  <c:v>44354</c:v>
                </c:pt>
                <c:pt idx="234">
                  <c:v>44355</c:v>
                </c:pt>
                <c:pt idx="235">
                  <c:v>44356</c:v>
                </c:pt>
                <c:pt idx="236">
                  <c:v>44357</c:v>
                </c:pt>
                <c:pt idx="237">
                  <c:v>44358</c:v>
                </c:pt>
                <c:pt idx="238">
                  <c:v>44361</c:v>
                </c:pt>
                <c:pt idx="239">
                  <c:v>44362</c:v>
                </c:pt>
                <c:pt idx="240">
                  <c:v>44363</c:v>
                </c:pt>
                <c:pt idx="241">
                  <c:v>44364</c:v>
                </c:pt>
                <c:pt idx="242">
                  <c:v>44365</c:v>
                </c:pt>
                <c:pt idx="243">
                  <c:v>44368</c:v>
                </c:pt>
                <c:pt idx="244">
                  <c:v>44369</c:v>
                </c:pt>
                <c:pt idx="245">
                  <c:v>44370</c:v>
                </c:pt>
                <c:pt idx="246">
                  <c:v>44371</c:v>
                </c:pt>
                <c:pt idx="247">
                  <c:v>44372</c:v>
                </c:pt>
                <c:pt idx="248">
                  <c:v>44375</c:v>
                </c:pt>
                <c:pt idx="249">
                  <c:v>44376</c:v>
                </c:pt>
                <c:pt idx="250">
                  <c:v>44377</c:v>
                </c:pt>
                <c:pt idx="251">
                  <c:v>44378</c:v>
                </c:pt>
                <c:pt idx="252">
                  <c:v>44379</c:v>
                </c:pt>
                <c:pt idx="253">
                  <c:v>44382</c:v>
                </c:pt>
                <c:pt idx="254">
                  <c:v>44383</c:v>
                </c:pt>
                <c:pt idx="255">
                  <c:v>44384</c:v>
                </c:pt>
                <c:pt idx="256">
                  <c:v>44385</c:v>
                </c:pt>
                <c:pt idx="257">
                  <c:v>44386</c:v>
                </c:pt>
                <c:pt idx="258">
                  <c:v>44389</c:v>
                </c:pt>
                <c:pt idx="259">
                  <c:v>44390</c:v>
                </c:pt>
                <c:pt idx="260">
                  <c:v>44391</c:v>
                </c:pt>
                <c:pt idx="261">
                  <c:v>44392</c:v>
                </c:pt>
                <c:pt idx="262">
                  <c:v>44393</c:v>
                </c:pt>
                <c:pt idx="263">
                  <c:v>44396</c:v>
                </c:pt>
                <c:pt idx="264">
                  <c:v>44397</c:v>
                </c:pt>
                <c:pt idx="265">
                  <c:v>44398</c:v>
                </c:pt>
                <c:pt idx="266">
                  <c:v>44399</c:v>
                </c:pt>
                <c:pt idx="267">
                  <c:v>44400</c:v>
                </c:pt>
                <c:pt idx="268">
                  <c:v>44403</c:v>
                </c:pt>
                <c:pt idx="269">
                  <c:v>44404</c:v>
                </c:pt>
                <c:pt idx="270">
                  <c:v>44405</c:v>
                </c:pt>
                <c:pt idx="271">
                  <c:v>44406</c:v>
                </c:pt>
                <c:pt idx="272">
                  <c:v>44407</c:v>
                </c:pt>
                <c:pt idx="273">
                  <c:v>44410</c:v>
                </c:pt>
                <c:pt idx="274">
                  <c:v>44411</c:v>
                </c:pt>
                <c:pt idx="275">
                  <c:v>44412</c:v>
                </c:pt>
                <c:pt idx="276">
                  <c:v>44413</c:v>
                </c:pt>
                <c:pt idx="277">
                  <c:v>44414</c:v>
                </c:pt>
                <c:pt idx="278">
                  <c:v>44417</c:v>
                </c:pt>
                <c:pt idx="279">
                  <c:v>44418</c:v>
                </c:pt>
                <c:pt idx="280">
                  <c:v>44419</c:v>
                </c:pt>
                <c:pt idx="281">
                  <c:v>44420</c:v>
                </c:pt>
                <c:pt idx="282">
                  <c:v>44421</c:v>
                </c:pt>
                <c:pt idx="283">
                  <c:v>44424</c:v>
                </c:pt>
                <c:pt idx="284">
                  <c:v>44425</c:v>
                </c:pt>
                <c:pt idx="285">
                  <c:v>44426</c:v>
                </c:pt>
                <c:pt idx="286">
                  <c:v>44427</c:v>
                </c:pt>
                <c:pt idx="287">
                  <c:v>44428</c:v>
                </c:pt>
                <c:pt idx="288">
                  <c:v>44431</c:v>
                </c:pt>
                <c:pt idx="289">
                  <c:v>44432</c:v>
                </c:pt>
                <c:pt idx="290">
                  <c:v>44433</c:v>
                </c:pt>
                <c:pt idx="291">
                  <c:v>44434</c:v>
                </c:pt>
                <c:pt idx="292">
                  <c:v>44435</c:v>
                </c:pt>
                <c:pt idx="293">
                  <c:v>44438</c:v>
                </c:pt>
                <c:pt idx="294">
                  <c:v>44439</c:v>
                </c:pt>
                <c:pt idx="295">
                  <c:v>44440</c:v>
                </c:pt>
                <c:pt idx="296">
                  <c:v>44441</c:v>
                </c:pt>
                <c:pt idx="297">
                  <c:v>44442</c:v>
                </c:pt>
                <c:pt idx="298">
                  <c:v>44445</c:v>
                </c:pt>
                <c:pt idx="299">
                  <c:v>44447</c:v>
                </c:pt>
                <c:pt idx="300">
                  <c:v>44448</c:v>
                </c:pt>
                <c:pt idx="301">
                  <c:v>44449</c:v>
                </c:pt>
                <c:pt idx="302">
                  <c:v>44452</c:v>
                </c:pt>
                <c:pt idx="303">
                  <c:v>44453</c:v>
                </c:pt>
                <c:pt idx="304">
                  <c:v>44454</c:v>
                </c:pt>
                <c:pt idx="305">
                  <c:v>44455</c:v>
                </c:pt>
                <c:pt idx="306">
                  <c:v>44456</c:v>
                </c:pt>
                <c:pt idx="307">
                  <c:v>44459</c:v>
                </c:pt>
                <c:pt idx="308">
                  <c:v>44460</c:v>
                </c:pt>
                <c:pt idx="309">
                  <c:v>44461</c:v>
                </c:pt>
                <c:pt idx="310">
                  <c:v>44462</c:v>
                </c:pt>
                <c:pt idx="311">
                  <c:v>44463</c:v>
                </c:pt>
                <c:pt idx="312">
                  <c:v>44466</c:v>
                </c:pt>
                <c:pt idx="313">
                  <c:v>44467</c:v>
                </c:pt>
                <c:pt idx="314">
                  <c:v>44468</c:v>
                </c:pt>
                <c:pt idx="315">
                  <c:v>44469</c:v>
                </c:pt>
                <c:pt idx="316">
                  <c:v>44470</c:v>
                </c:pt>
                <c:pt idx="317">
                  <c:v>44473</c:v>
                </c:pt>
                <c:pt idx="318">
                  <c:v>44474</c:v>
                </c:pt>
                <c:pt idx="319">
                  <c:v>44475</c:v>
                </c:pt>
                <c:pt idx="320">
                  <c:v>44476</c:v>
                </c:pt>
                <c:pt idx="321">
                  <c:v>44477</c:v>
                </c:pt>
                <c:pt idx="322">
                  <c:v>44480</c:v>
                </c:pt>
                <c:pt idx="323">
                  <c:v>44482</c:v>
                </c:pt>
                <c:pt idx="324">
                  <c:v>44483</c:v>
                </c:pt>
                <c:pt idx="325">
                  <c:v>44484</c:v>
                </c:pt>
                <c:pt idx="326">
                  <c:v>44487</c:v>
                </c:pt>
                <c:pt idx="327">
                  <c:v>44488</c:v>
                </c:pt>
                <c:pt idx="328">
                  <c:v>44489</c:v>
                </c:pt>
                <c:pt idx="329">
                  <c:v>44490</c:v>
                </c:pt>
                <c:pt idx="330">
                  <c:v>44491</c:v>
                </c:pt>
                <c:pt idx="331">
                  <c:v>44494</c:v>
                </c:pt>
                <c:pt idx="332">
                  <c:v>44495</c:v>
                </c:pt>
                <c:pt idx="333">
                  <c:v>44496</c:v>
                </c:pt>
                <c:pt idx="334">
                  <c:v>44497</c:v>
                </c:pt>
                <c:pt idx="335">
                  <c:v>44498</c:v>
                </c:pt>
                <c:pt idx="336">
                  <c:v>44501</c:v>
                </c:pt>
                <c:pt idx="337">
                  <c:v>44503</c:v>
                </c:pt>
                <c:pt idx="338">
                  <c:v>44504</c:v>
                </c:pt>
                <c:pt idx="339">
                  <c:v>44505</c:v>
                </c:pt>
                <c:pt idx="340">
                  <c:v>44508</c:v>
                </c:pt>
                <c:pt idx="341">
                  <c:v>44509</c:v>
                </c:pt>
                <c:pt idx="342">
                  <c:v>44510</c:v>
                </c:pt>
                <c:pt idx="343">
                  <c:v>44511</c:v>
                </c:pt>
                <c:pt idx="344">
                  <c:v>44512</c:v>
                </c:pt>
                <c:pt idx="345">
                  <c:v>44516</c:v>
                </c:pt>
                <c:pt idx="346">
                  <c:v>44517</c:v>
                </c:pt>
                <c:pt idx="347">
                  <c:v>44518</c:v>
                </c:pt>
                <c:pt idx="348">
                  <c:v>44519</c:v>
                </c:pt>
                <c:pt idx="349">
                  <c:v>44522</c:v>
                </c:pt>
                <c:pt idx="350">
                  <c:v>44523</c:v>
                </c:pt>
                <c:pt idx="351">
                  <c:v>44524</c:v>
                </c:pt>
                <c:pt idx="352">
                  <c:v>44525</c:v>
                </c:pt>
                <c:pt idx="353">
                  <c:v>44526</c:v>
                </c:pt>
                <c:pt idx="354">
                  <c:v>44529</c:v>
                </c:pt>
                <c:pt idx="355">
                  <c:v>44530</c:v>
                </c:pt>
                <c:pt idx="356">
                  <c:v>44531</c:v>
                </c:pt>
              </c:numCache>
            </c:numRef>
          </c:cat>
          <c:val>
            <c:numRef>
              <c:f>'Exp Annual'!$E$4:$E$461</c:f>
              <c:numCache>
                <c:formatCode>General</c:formatCode>
                <c:ptCount val="458"/>
                <c:pt idx="0">
                  <c:v>2.4700000000000002</c:v>
                </c:pt>
                <c:pt idx="1">
                  <c:v>2.4700000000000002</c:v>
                </c:pt>
                <c:pt idx="2">
                  <c:v>2.2999999999999998</c:v>
                </c:pt>
                <c:pt idx="3">
                  <c:v>2.2999999999999998</c:v>
                </c:pt>
                <c:pt idx="4">
                  <c:v>2.2999999999999998</c:v>
                </c:pt>
                <c:pt idx="5">
                  <c:v>2.09</c:v>
                </c:pt>
                <c:pt idx="6">
                  <c:v>2.09</c:v>
                </c:pt>
                <c:pt idx="7">
                  <c:v>2.09</c:v>
                </c:pt>
                <c:pt idx="8">
                  <c:v>2.09</c:v>
                </c:pt>
                <c:pt idx="9">
                  <c:v>2.09</c:v>
                </c:pt>
                <c:pt idx="10">
                  <c:v>2.09</c:v>
                </c:pt>
                <c:pt idx="11">
                  <c:v>2.09</c:v>
                </c:pt>
                <c:pt idx="12">
                  <c:v>2.44</c:v>
                </c:pt>
                <c:pt idx="13">
                  <c:v>2.09</c:v>
                </c:pt>
                <c:pt idx="14">
                  <c:v>2.09</c:v>
                </c:pt>
                <c:pt idx="15">
                  <c:v>2.09</c:v>
                </c:pt>
                <c:pt idx="16">
                  <c:v>2.09</c:v>
                </c:pt>
                <c:pt idx="17">
                  <c:v>2.2799999999999998</c:v>
                </c:pt>
                <c:pt idx="18">
                  <c:v>2.2799999999999998</c:v>
                </c:pt>
                <c:pt idx="19">
                  <c:v>2.2799999999999998</c:v>
                </c:pt>
                <c:pt idx="20">
                  <c:v>2.2799999999999998</c:v>
                </c:pt>
                <c:pt idx="21">
                  <c:v>2.2799999999999998</c:v>
                </c:pt>
                <c:pt idx="22">
                  <c:v>2.44</c:v>
                </c:pt>
                <c:pt idx="23">
                  <c:v>2.44</c:v>
                </c:pt>
                <c:pt idx="24">
                  <c:v>2.44</c:v>
                </c:pt>
                <c:pt idx="25">
                  <c:v>2.44</c:v>
                </c:pt>
                <c:pt idx="26">
                  <c:v>2.5</c:v>
                </c:pt>
                <c:pt idx="27">
                  <c:v>2.11</c:v>
                </c:pt>
                <c:pt idx="28">
                  <c:v>2.11</c:v>
                </c:pt>
                <c:pt idx="29">
                  <c:v>2.11</c:v>
                </c:pt>
                <c:pt idx="30">
                  <c:v>2.11</c:v>
                </c:pt>
                <c:pt idx="31">
                  <c:v>2.11</c:v>
                </c:pt>
                <c:pt idx="32">
                  <c:v>2.08</c:v>
                </c:pt>
                <c:pt idx="33">
                  <c:v>2.08</c:v>
                </c:pt>
                <c:pt idx="34">
                  <c:v>2.08</c:v>
                </c:pt>
                <c:pt idx="35">
                  <c:v>2.08</c:v>
                </c:pt>
                <c:pt idx="36">
                  <c:v>2.08</c:v>
                </c:pt>
                <c:pt idx="37">
                  <c:v>2.4300000000000002</c:v>
                </c:pt>
                <c:pt idx="38">
                  <c:v>2.4300000000000002</c:v>
                </c:pt>
                <c:pt idx="39">
                  <c:v>2.4300000000000002</c:v>
                </c:pt>
                <c:pt idx="40">
                  <c:v>2.4300000000000002</c:v>
                </c:pt>
                <c:pt idx="41">
                  <c:v>2.4300000000000002</c:v>
                </c:pt>
                <c:pt idx="42">
                  <c:v>2.2599999999999998</c:v>
                </c:pt>
                <c:pt idx="43">
                  <c:v>2.2599999999999998</c:v>
                </c:pt>
                <c:pt idx="44">
                  <c:v>2.02</c:v>
                </c:pt>
                <c:pt idx="45">
                  <c:v>2.02</c:v>
                </c:pt>
                <c:pt idx="46">
                  <c:v>2.02</c:v>
                </c:pt>
                <c:pt idx="47">
                  <c:v>2.02</c:v>
                </c:pt>
                <c:pt idx="48">
                  <c:v>2.02</c:v>
                </c:pt>
                <c:pt idx="49">
                  <c:v>2.2599999999999998</c:v>
                </c:pt>
                <c:pt idx="50">
                  <c:v>2.2599999999999998</c:v>
                </c:pt>
                <c:pt idx="51">
                  <c:v>2.2599999999999998</c:v>
                </c:pt>
                <c:pt idx="52">
                  <c:v>2.2999999999999998</c:v>
                </c:pt>
                <c:pt idx="53">
                  <c:v>2.2999999999999998</c:v>
                </c:pt>
                <c:pt idx="54">
                  <c:v>2.2999999999999998</c:v>
                </c:pt>
                <c:pt idx="55">
                  <c:v>2.2999999999999998</c:v>
                </c:pt>
                <c:pt idx="56">
                  <c:v>2.2599999999999998</c:v>
                </c:pt>
                <c:pt idx="57">
                  <c:v>2.2599999999999998</c:v>
                </c:pt>
                <c:pt idx="58">
                  <c:v>2.2599999999999998</c:v>
                </c:pt>
                <c:pt idx="59">
                  <c:v>2.2400000000000002</c:v>
                </c:pt>
                <c:pt idx="60">
                  <c:v>2.2400000000000002</c:v>
                </c:pt>
                <c:pt idx="61">
                  <c:v>2.2400000000000002</c:v>
                </c:pt>
                <c:pt idx="62">
                  <c:v>2.2400000000000002</c:v>
                </c:pt>
                <c:pt idx="63">
                  <c:v>2.2400000000000002</c:v>
                </c:pt>
                <c:pt idx="64">
                  <c:v>2.2400000000000002</c:v>
                </c:pt>
                <c:pt idx="65">
                  <c:v>2.2400000000000002</c:v>
                </c:pt>
                <c:pt idx="66">
                  <c:v>2.2799999999999998</c:v>
                </c:pt>
                <c:pt idx="67">
                  <c:v>2.2799999999999998</c:v>
                </c:pt>
                <c:pt idx="68">
                  <c:v>2.2799999999999998</c:v>
                </c:pt>
                <c:pt idx="69">
                  <c:v>2.2799999999999998</c:v>
                </c:pt>
                <c:pt idx="70">
                  <c:v>2.2799999999999998</c:v>
                </c:pt>
                <c:pt idx="71">
                  <c:v>2.2200000000000002</c:v>
                </c:pt>
                <c:pt idx="72">
                  <c:v>2.2200000000000002</c:v>
                </c:pt>
                <c:pt idx="73">
                  <c:v>2.2200000000000002</c:v>
                </c:pt>
                <c:pt idx="74">
                  <c:v>2.2200000000000002</c:v>
                </c:pt>
                <c:pt idx="75">
                  <c:v>2.36</c:v>
                </c:pt>
                <c:pt idx="76">
                  <c:v>2.36</c:v>
                </c:pt>
                <c:pt idx="77">
                  <c:v>2.36</c:v>
                </c:pt>
                <c:pt idx="78">
                  <c:v>2.36</c:v>
                </c:pt>
                <c:pt idx="79">
                  <c:v>2.36</c:v>
                </c:pt>
                <c:pt idx="80">
                  <c:v>2.2999999999999998</c:v>
                </c:pt>
                <c:pt idx="81">
                  <c:v>2.2999999999999998</c:v>
                </c:pt>
                <c:pt idx="82">
                  <c:v>2.2999999999999998</c:v>
                </c:pt>
                <c:pt idx="83">
                  <c:v>2.2999999999999998</c:v>
                </c:pt>
                <c:pt idx="84">
                  <c:v>2.2999999999999998</c:v>
                </c:pt>
                <c:pt idx="85">
                  <c:v>2.67</c:v>
                </c:pt>
                <c:pt idx="86">
                  <c:v>2.2999999999999998</c:v>
                </c:pt>
                <c:pt idx="87">
                  <c:v>2.2999999999999998</c:v>
                </c:pt>
                <c:pt idx="88">
                  <c:v>2.2999999999999998</c:v>
                </c:pt>
                <c:pt idx="89">
                  <c:v>2.29</c:v>
                </c:pt>
                <c:pt idx="90">
                  <c:v>2.29</c:v>
                </c:pt>
                <c:pt idx="91">
                  <c:v>2.29</c:v>
                </c:pt>
                <c:pt idx="92">
                  <c:v>2.29</c:v>
                </c:pt>
                <c:pt idx="93">
                  <c:v>2.29</c:v>
                </c:pt>
                <c:pt idx="94">
                  <c:v>2.68</c:v>
                </c:pt>
                <c:pt idx="95">
                  <c:v>2.68</c:v>
                </c:pt>
                <c:pt idx="96">
                  <c:v>2.68</c:v>
                </c:pt>
                <c:pt idx="97">
                  <c:v>2.54</c:v>
                </c:pt>
                <c:pt idx="98">
                  <c:v>2.4900000000000002</c:v>
                </c:pt>
                <c:pt idx="99">
                  <c:v>2.4900000000000002</c:v>
                </c:pt>
                <c:pt idx="100">
                  <c:v>2.4900000000000002</c:v>
                </c:pt>
                <c:pt idx="101">
                  <c:v>2.4900000000000002</c:v>
                </c:pt>
                <c:pt idx="102">
                  <c:v>2.4900000000000002</c:v>
                </c:pt>
                <c:pt idx="103">
                  <c:v>2.8</c:v>
                </c:pt>
                <c:pt idx="104">
                  <c:v>2.8</c:v>
                </c:pt>
                <c:pt idx="105">
                  <c:v>2.97</c:v>
                </c:pt>
                <c:pt idx="106">
                  <c:v>2.85</c:v>
                </c:pt>
                <c:pt idx="107">
                  <c:v>2.6</c:v>
                </c:pt>
                <c:pt idx="108">
                  <c:v>2.6</c:v>
                </c:pt>
                <c:pt idx="109">
                  <c:v>2.4900000000000002</c:v>
                </c:pt>
                <c:pt idx="110">
                  <c:v>2.36</c:v>
                </c:pt>
                <c:pt idx="111">
                  <c:v>2.36</c:v>
                </c:pt>
                <c:pt idx="112">
                  <c:v>2.36</c:v>
                </c:pt>
                <c:pt idx="113">
                  <c:v>2.36</c:v>
                </c:pt>
                <c:pt idx="114">
                  <c:v>2.36</c:v>
                </c:pt>
                <c:pt idx="115">
                  <c:v>2.4900000000000002</c:v>
                </c:pt>
                <c:pt idx="116">
                  <c:v>2.4900000000000002</c:v>
                </c:pt>
                <c:pt idx="117">
                  <c:v>2.89</c:v>
                </c:pt>
                <c:pt idx="118">
                  <c:v>2.89</c:v>
                </c:pt>
                <c:pt idx="119">
                  <c:v>2.4300000000000002</c:v>
                </c:pt>
                <c:pt idx="120">
                  <c:v>2.4300000000000002</c:v>
                </c:pt>
                <c:pt idx="121">
                  <c:v>2.4300000000000002</c:v>
                </c:pt>
                <c:pt idx="122">
                  <c:v>2.4300000000000002</c:v>
                </c:pt>
                <c:pt idx="123">
                  <c:v>2.4300000000000002</c:v>
                </c:pt>
                <c:pt idx="124">
                  <c:v>2.5</c:v>
                </c:pt>
                <c:pt idx="125">
                  <c:v>2.5</c:v>
                </c:pt>
                <c:pt idx="126">
                  <c:v>2.5</c:v>
                </c:pt>
                <c:pt idx="127">
                  <c:v>2.5</c:v>
                </c:pt>
                <c:pt idx="128">
                  <c:v>2.5</c:v>
                </c:pt>
                <c:pt idx="129">
                  <c:v>2.5299999999999998</c:v>
                </c:pt>
                <c:pt idx="130">
                  <c:v>2.5299999999999998</c:v>
                </c:pt>
                <c:pt idx="131">
                  <c:v>2.5299999999999998</c:v>
                </c:pt>
                <c:pt idx="132">
                  <c:v>2.48</c:v>
                </c:pt>
                <c:pt idx="133">
                  <c:v>2.48</c:v>
                </c:pt>
                <c:pt idx="134">
                  <c:v>2.48</c:v>
                </c:pt>
                <c:pt idx="135">
                  <c:v>2.48</c:v>
                </c:pt>
                <c:pt idx="136">
                  <c:v>2.48</c:v>
                </c:pt>
                <c:pt idx="137">
                  <c:v>2.89</c:v>
                </c:pt>
                <c:pt idx="138">
                  <c:v>2.4900000000000002</c:v>
                </c:pt>
                <c:pt idx="139">
                  <c:v>2.4900000000000002</c:v>
                </c:pt>
                <c:pt idx="140">
                  <c:v>2.4900000000000002</c:v>
                </c:pt>
                <c:pt idx="141">
                  <c:v>2.5</c:v>
                </c:pt>
                <c:pt idx="142">
                  <c:v>2.5</c:v>
                </c:pt>
                <c:pt idx="143">
                  <c:v>2.5</c:v>
                </c:pt>
                <c:pt idx="144">
                  <c:v>2.5</c:v>
                </c:pt>
                <c:pt idx="145">
                  <c:v>2.5</c:v>
                </c:pt>
                <c:pt idx="146">
                  <c:v>3.04</c:v>
                </c:pt>
                <c:pt idx="147">
                  <c:v>3.04</c:v>
                </c:pt>
                <c:pt idx="148">
                  <c:v>3.04</c:v>
                </c:pt>
                <c:pt idx="149">
                  <c:v>3.04</c:v>
                </c:pt>
                <c:pt idx="150">
                  <c:v>2.93</c:v>
                </c:pt>
                <c:pt idx="151">
                  <c:v>2.93</c:v>
                </c:pt>
                <c:pt idx="152">
                  <c:v>2.93</c:v>
                </c:pt>
                <c:pt idx="153">
                  <c:v>2.93</c:v>
                </c:pt>
                <c:pt idx="154">
                  <c:v>2.85</c:v>
                </c:pt>
                <c:pt idx="155">
                  <c:v>2.96</c:v>
                </c:pt>
                <c:pt idx="156">
                  <c:v>2.96</c:v>
                </c:pt>
                <c:pt idx="157">
                  <c:v>2.46</c:v>
                </c:pt>
                <c:pt idx="158">
                  <c:v>2.46</c:v>
                </c:pt>
                <c:pt idx="159">
                  <c:v>2.46</c:v>
                </c:pt>
                <c:pt idx="160">
                  <c:v>2.46</c:v>
                </c:pt>
                <c:pt idx="161">
                  <c:v>2.46</c:v>
                </c:pt>
                <c:pt idx="162">
                  <c:v>2.86</c:v>
                </c:pt>
                <c:pt idx="163">
                  <c:v>2.86</c:v>
                </c:pt>
                <c:pt idx="164">
                  <c:v>2.86</c:v>
                </c:pt>
                <c:pt idx="165">
                  <c:v>3.33</c:v>
                </c:pt>
                <c:pt idx="166">
                  <c:v>3.33</c:v>
                </c:pt>
                <c:pt idx="167">
                  <c:v>3.33</c:v>
                </c:pt>
                <c:pt idx="168">
                  <c:v>3.33</c:v>
                </c:pt>
                <c:pt idx="169">
                  <c:v>3.33</c:v>
                </c:pt>
                <c:pt idx="170">
                  <c:v>3.39</c:v>
                </c:pt>
                <c:pt idx="171">
                  <c:v>3.39</c:v>
                </c:pt>
                <c:pt idx="172">
                  <c:v>3.39</c:v>
                </c:pt>
                <c:pt idx="173">
                  <c:v>3.39</c:v>
                </c:pt>
                <c:pt idx="174">
                  <c:v>3.8</c:v>
                </c:pt>
                <c:pt idx="175">
                  <c:v>3.43</c:v>
                </c:pt>
                <c:pt idx="176">
                  <c:v>3.43</c:v>
                </c:pt>
                <c:pt idx="177">
                  <c:v>3.43</c:v>
                </c:pt>
                <c:pt idx="178">
                  <c:v>3.43</c:v>
                </c:pt>
                <c:pt idx="179">
                  <c:v>3.43</c:v>
                </c:pt>
                <c:pt idx="180">
                  <c:v>3.76</c:v>
                </c:pt>
                <c:pt idx="181">
                  <c:v>3.76</c:v>
                </c:pt>
                <c:pt idx="182">
                  <c:v>3.76</c:v>
                </c:pt>
                <c:pt idx="183">
                  <c:v>3.76</c:v>
                </c:pt>
                <c:pt idx="184">
                  <c:v>3.76</c:v>
                </c:pt>
                <c:pt idx="185">
                  <c:v>4.0199999999999996</c:v>
                </c:pt>
                <c:pt idx="186">
                  <c:v>4.05</c:v>
                </c:pt>
                <c:pt idx="187">
                  <c:v>4.05</c:v>
                </c:pt>
                <c:pt idx="188">
                  <c:v>4.0488</c:v>
                </c:pt>
                <c:pt idx="189">
                  <c:v>3.9340000000000002</c:v>
                </c:pt>
                <c:pt idx="190">
                  <c:v>3.9340000000000002</c:v>
                </c:pt>
                <c:pt idx="191">
                  <c:v>3.9340000000000002</c:v>
                </c:pt>
                <c:pt idx="192">
                  <c:v>3.9340000000000002</c:v>
                </c:pt>
                <c:pt idx="193">
                  <c:v>3.9340000000000002</c:v>
                </c:pt>
                <c:pt idx="194">
                  <c:v>4.0590999999999999</c:v>
                </c:pt>
                <c:pt idx="195">
                  <c:v>4.0590999999999999</c:v>
                </c:pt>
                <c:pt idx="196">
                  <c:v>4.1002999999999998</c:v>
                </c:pt>
                <c:pt idx="197">
                  <c:v>4.1002999999999998</c:v>
                </c:pt>
                <c:pt idx="198">
                  <c:v>4.2049000000000003</c:v>
                </c:pt>
                <c:pt idx="199">
                  <c:v>4.05</c:v>
                </c:pt>
                <c:pt idx="200">
                  <c:v>4.05</c:v>
                </c:pt>
                <c:pt idx="201">
                  <c:v>4.05</c:v>
                </c:pt>
                <c:pt idx="202">
                  <c:v>4.05</c:v>
                </c:pt>
                <c:pt idx="203">
                  <c:v>4.2152000000000003</c:v>
                </c:pt>
                <c:pt idx="204">
                  <c:v>4.2152000000000003</c:v>
                </c:pt>
                <c:pt idx="205">
                  <c:v>4.2152000000000003</c:v>
                </c:pt>
                <c:pt idx="206">
                  <c:v>4.2152000000000003</c:v>
                </c:pt>
                <c:pt idx="207">
                  <c:v>4.2152000000000003</c:v>
                </c:pt>
                <c:pt idx="208">
                  <c:v>4.2255000000000003</c:v>
                </c:pt>
                <c:pt idx="209">
                  <c:v>4.2255000000000003</c:v>
                </c:pt>
                <c:pt idx="210">
                  <c:v>4.2255000000000003</c:v>
                </c:pt>
                <c:pt idx="211">
                  <c:v>4.2255000000000003</c:v>
                </c:pt>
                <c:pt idx="212">
                  <c:v>4.2255000000000003</c:v>
                </c:pt>
                <c:pt idx="213">
                  <c:v>4.0274999999999999</c:v>
                </c:pt>
                <c:pt idx="214">
                  <c:v>4.0274999999999999</c:v>
                </c:pt>
                <c:pt idx="215">
                  <c:v>4.0898000000000003</c:v>
                </c:pt>
                <c:pt idx="216">
                  <c:v>4.0898000000000003</c:v>
                </c:pt>
                <c:pt idx="217">
                  <c:v>4.0898000000000003</c:v>
                </c:pt>
                <c:pt idx="218">
                  <c:v>4.1821999999999999</c:v>
                </c:pt>
                <c:pt idx="219">
                  <c:v>4.1821999999999999</c:v>
                </c:pt>
                <c:pt idx="220">
                  <c:v>4.1821999999999999</c:v>
                </c:pt>
                <c:pt idx="221">
                  <c:v>4.1821999999999999</c:v>
                </c:pt>
                <c:pt idx="222">
                  <c:v>4.1821999999999999</c:v>
                </c:pt>
                <c:pt idx="223">
                  <c:v>4.2866999999999997</c:v>
                </c:pt>
                <c:pt idx="224">
                  <c:v>4.2866999999999997</c:v>
                </c:pt>
                <c:pt idx="225">
                  <c:v>4.2866999999999997</c:v>
                </c:pt>
                <c:pt idx="226">
                  <c:v>4.2866999999999997</c:v>
                </c:pt>
                <c:pt idx="227">
                  <c:v>4.2866999999999997</c:v>
                </c:pt>
                <c:pt idx="228">
                  <c:v>4.6094999999999997</c:v>
                </c:pt>
                <c:pt idx="229">
                  <c:v>4.6094999999999997</c:v>
                </c:pt>
                <c:pt idx="230">
                  <c:v>4.8503999999999996</c:v>
                </c:pt>
                <c:pt idx="231">
                  <c:v>4.8503999999999996</c:v>
                </c:pt>
                <c:pt idx="232">
                  <c:v>4.8503999999999996</c:v>
                </c:pt>
                <c:pt idx="233">
                  <c:v>5.0484999999999998</c:v>
                </c:pt>
                <c:pt idx="234">
                  <c:v>5.0484999999999998</c:v>
                </c:pt>
                <c:pt idx="235">
                  <c:v>5.1632999999999996</c:v>
                </c:pt>
                <c:pt idx="236">
                  <c:v>5.0168999999999997</c:v>
                </c:pt>
                <c:pt idx="237">
                  <c:v>5.0168999999999997</c:v>
                </c:pt>
                <c:pt idx="238">
                  <c:v>5.0168999999999997</c:v>
                </c:pt>
                <c:pt idx="239">
                  <c:v>5.0168999999999997</c:v>
                </c:pt>
                <c:pt idx="240">
                  <c:v>5.0168999999999997</c:v>
                </c:pt>
                <c:pt idx="241">
                  <c:v>5.1234000000000002</c:v>
                </c:pt>
                <c:pt idx="242">
                  <c:v>5.0168999999999997</c:v>
                </c:pt>
                <c:pt idx="243">
                  <c:v>5.0168999999999997</c:v>
                </c:pt>
                <c:pt idx="244">
                  <c:v>5.0168999999999997</c:v>
                </c:pt>
                <c:pt idx="245">
                  <c:v>5.0168999999999997</c:v>
                </c:pt>
                <c:pt idx="246">
                  <c:v>5.0168999999999997</c:v>
                </c:pt>
                <c:pt idx="247">
                  <c:v>5.3842999999999996</c:v>
                </c:pt>
                <c:pt idx="248">
                  <c:v>5.0168999999999997</c:v>
                </c:pt>
                <c:pt idx="249">
                  <c:v>5.0168999999999997</c:v>
                </c:pt>
                <c:pt idx="250">
                  <c:v>5.0168999999999997</c:v>
                </c:pt>
                <c:pt idx="251">
                  <c:v>5.3</c:v>
                </c:pt>
                <c:pt idx="252">
                  <c:v>5.3</c:v>
                </c:pt>
                <c:pt idx="253">
                  <c:v>5.5946999999999996</c:v>
                </c:pt>
                <c:pt idx="254">
                  <c:v>5.5946999999999996</c:v>
                </c:pt>
                <c:pt idx="255">
                  <c:v>5.5946999999999996</c:v>
                </c:pt>
                <c:pt idx="256">
                  <c:v>5.7949000000000002</c:v>
                </c:pt>
                <c:pt idx="257">
                  <c:v>5.7949000000000002</c:v>
                </c:pt>
                <c:pt idx="258">
                  <c:v>5.7949000000000002</c:v>
                </c:pt>
                <c:pt idx="259">
                  <c:v>5.9653</c:v>
                </c:pt>
                <c:pt idx="260">
                  <c:v>5.8578000000000001</c:v>
                </c:pt>
                <c:pt idx="261">
                  <c:v>5.8578000000000001</c:v>
                </c:pt>
                <c:pt idx="262">
                  <c:v>5.8578000000000001</c:v>
                </c:pt>
                <c:pt idx="263">
                  <c:v>5.7104999999999997</c:v>
                </c:pt>
                <c:pt idx="264">
                  <c:v>5.7096</c:v>
                </c:pt>
                <c:pt idx="265">
                  <c:v>5.7096</c:v>
                </c:pt>
                <c:pt idx="266">
                  <c:v>5.7096</c:v>
                </c:pt>
                <c:pt idx="267">
                  <c:v>5.7104999999999997</c:v>
                </c:pt>
                <c:pt idx="268">
                  <c:v>5.9934000000000003</c:v>
                </c:pt>
                <c:pt idx="269">
                  <c:v>5.9934000000000003</c:v>
                </c:pt>
                <c:pt idx="270">
                  <c:v>6.0056000000000003</c:v>
                </c:pt>
                <c:pt idx="271">
                  <c:v>6.0056000000000003</c:v>
                </c:pt>
                <c:pt idx="272">
                  <c:v>6.17</c:v>
                </c:pt>
                <c:pt idx="273">
                  <c:v>6.17</c:v>
                </c:pt>
                <c:pt idx="274">
                  <c:v>6.17</c:v>
                </c:pt>
                <c:pt idx="275">
                  <c:v>6.17</c:v>
                </c:pt>
                <c:pt idx="276">
                  <c:v>6.17</c:v>
                </c:pt>
                <c:pt idx="277">
                  <c:v>6.2676999999999996</c:v>
                </c:pt>
                <c:pt idx="278">
                  <c:v>6.2676999999999996</c:v>
                </c:pt>
                <c:pt idx="279">
                  <c:v>6.1940999999999997</c:v>
                </c:pt>
                <c:pt idx="280">
                  <c:v>6.1940999999999997</c:v>
                </c:pt>
                <c:pt idx="281">
                  <c:v>6.1940999999999997</c:v>
                </c:pt>
                <c:pt idx="282">
                  <c:v>6.4805000000000001</c:v>
                </c:pt>
                <c:pt idx="283">
                  <c:v>6.4805000000000001</c:v>
                </c:pt>
                <c:pt idx="284">
                  <c:v>6.4805000000000001</c:v>
                </c:pt>
                <c:pt idx="285">
                  <c:v>6.4805000000000001</c:v>
                </c:pt>
                <c:pt idx="286">
                  <c:v>6.5439999999999996</c:v>
                </c:pt>
                <c:pt idx="287">
                  <c:v>6.5541999999999998</c:v>
                </c:pt>
                <c:pt idx="288">
                  <c:v>6.5541999999999998</c:v>
                </c:pt>
                <c:pt idx="289">
                  <c:v>6.5541999999999998</c:v>
                </c:pt>
                <c:pt idx="290">
                  <c:v>6.5541999999999998</c:v>
                </c:pt>
                <c:pt idx="291">
                  <c:v>6.5541999999999998</c:v>
                </c:pt>
                <c:pt idx="292">
                  <c:v>6.6681999999999997</c:v>
                </c:pt>
                <c:pt idx="293">
                  <c:v>6.7350000000000003</c:v>
                </c:pt>
                <c:pt idx="294">
                  <c:v>6.7350000000000003</c:v>
                </c:pt>
                <c:pt idx="295">
                  <c:v>6.7350000000000003</c:v>
                </c:pt>
                <c:pt idx="296">
                  <c:v>6.7350000000000003</c:v>
                </c:pt>
                <c:pt idx="297">
                  <c:v>7.0221</c:v>
                </c:pt>
                <c:pt idx="298">
                  <c:v>7.0221</c:v>
                </c:pt>
                <c:pt idx="299">
                  <c:v>7.0221</c:v>
                </c:pt>
                <c:pt idx="300">
                  <c:v>7.3093000000000004</c:v>
                </c:pt>
                <c:pt idx="301">
                  <c:v>7.4916999999999998</c:v>
                </c:pt>
                <c:pt idx="302">
                  <c:v>7.1</c:v>
                </c:pt>
                <c:pt idx="303">
                  <c:v>7.1</c:v>
                </c:pt>
                <c:pt idx="304">
                  <c:v>7.1</c:v>
                </c:pt>
                <c:pt idx="305">
                  <c:v>7.1</c:v>
                </c:pt>
                <c:pt idx="306">
                  <c:v>7.1</c:v>
                </c:pt>
                <c:pt idx="307">
                  <c:v>7.7270000000000003</c:v>
                </c:pt>
                <c:pt idx="308">
                  <c:v>7.7270000000000003</c:v>
                </c:pt>
                <c:pt idx="309">
                  <c:v>7.6417000000000002</c:v>
                </c:pt>
                <c:pt idx="310">
                  <c:v>7.6417000000000002</c:v>
                </c:pt>
                <c:pt idx="311">
                  <c:v>7.7270000000000003</c:v>
                </c:pt>
                <c:pt idx="312">
                  <c:v>7.4916999999999998</c:v>
                </c:pt>
                <c:pt idx="313">
                  <c:v>7.4916999999999998</c:v>
                </c:pt>
                <c:pt idx="314">
                  <c:v>7.4916999999999998</c:v>
                </c:pt>
                <c:pt idx="315">
                  <c:v>7.4916999999999998</c:v>
                </c:pt>
                <c:pt idx="316">
                  <c:v>7.9954000000000001</c:v>
                </c:pt>
                <c:pt idx="317">
                  <c:v>7.9954000000000001</c:v>
                </c:pt>
                <c:pt idx="318">
                  <c:v>7.9954000000000001</c:v>
                </c:pt>
                <c:pt idx="319">
                  <c:v>7.9954000000000001</c:v>
                </c:pt>
                <c:pt idx="320">
                  <c:v>7.9954000000000001</c:v>
                </c:pt>
                <c:pt idx="321">
                  <c:v>8.1434999999999995</c:v>
                </c:pt>
                <c:pt idx="322">
                  <c:v>8.1434999999999995</c:v>
                </c:pt>
                <c:pt idx="323">
                  <c:v>8.1434999999999995</c:v>
                </c:pt>
                <c:pt idx="324">
                  <c:v>8.1434999999999995</c:v>
                </c:pt>
                <c:pt idx="325">
                  <c:v>8.2081999999999997</c:v>
                </c:pt>
                <c:pt idx="326">
                  <c:v>8.2081999999999997</c:v>
                </c:pt>
                <c:pt idx="327">
                  <c:v>8.2081999999999997</c:v>
                </c:pt>
                <c:pt idx="328">
                  <c:v>8.2081999999999997</c:v>
                </c:pt>
                <c:pt idx="329">
                  <c:v>8.2081999999999997</c:v>
                </c:pt>
                <c:pt idx="330">
                  <c:v>8.2327999999999992</c:v>
                </c:pt>
                <c:pt idx="331">
                  <c:v>8.2327999999999992</c:v>
                </c:pt>
                <c:pt idx="332">
                  <c:v>8.2327999999999992</c:v>
                </c:pt>
                <c:pt idx="333">
                  <c:v>8.2327999999999992</c:v>
                </c:pt>
                <c:pt idx="334">
                  <c:v>8.2327999999999992</c:v>
                </c:pt>
                <c:pt idx="335">
                  <c:v>8.7263000000000002</c:v>
                </c:pt>
                <c:pt idx="336">
                  <c:v>8.9640000000000004</c:v>
                </c:pt>
                <c:pt idx="337">
                  <c:v>8.9425000000000008</c:v>
                </c:pt>
                <c:pt idx="338">
                  <c:v>8.6609999999999996</c:v>
                </c:pt>
                <c:pt idx="339">
                  <c:v>8.6609999999999996</c:v>
                </c:pt>
                <c:pt idx="340">
                  <c:v>8.7370999999999999</c:v>
                </c:pt>
                <c:pt idx="341">
                  <c:v>8.7370999999999999</c:v>
                </c:pt>
                <c:pt idx="342">
                  <c:v>8.9</c:v>
                </c:pt>
                <c:pt idx="343">
                  <c:v>8.9</c:v>
                </c:pt>
                <c:pt idx="344">
                  <c:v>8.9</c:v>
                </c:pt>
                <c:pt idx="345">
                  <c:v>8.9</c:v>
                </c:pt>
                <c:pt idx="346">
                  <c:v>9.5376999999999992</c:v>
                </c:pt>
                <c:pt idx="347">
                  <c:v>9.5378000000000007</c:v>
                </c:pt>
                <c:pt idx="348">
                  <c:v>9.5378000000000007</c:v>
                </c:pt>
                <c:pt idx="349">
                  <c:v>9.5698000000000008</c:v>
                </c:pt>
                <c:pt idx="350">
                  <c:v>9.7555999999999994</c:v>
                </c:pt>
                <c:pt idx="351">
                  <c:v>9.7555999999999994</c:v>
                </c:pt>
                <c:pt idx="352">
                  <c:v>9.7555999999999994</c:v>
                </c:pt>
                <c:pt idx="353">
                  <c:v>9.7555999999999994</c:v>
                </c:pt>
                <c:pt idx="354">
                  <c:v>9.8643000000000001</c:v>
                </c:pt>
                <c:pt idx="355">
                  <c:v>9.8643000000000001</c:v>
                </c:pt>
                <c:pt idx="356">
                  <c:v>9.8643000000000001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DD-4CDB-B67A-07656B5110EF}"/>
            </c:ext>
          </c:extLst>
        </c:ser>
        <c:ser>
          <c:idx val="2"/>
          <c:order val="1"/>
          <c:tx>
            <c:strRef>
              <c:f>'Exp Annual'!$F$3</c:f>
              <c:strCache>
                <c:ptCount val="1"/>
                <c:pt idx="0">
                  <c:v>Mediana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'Exp Annual'!$D$4:$D$461</c:f>
              <c:numCache>
                <c:formatCode>m/d/yyyy</c:formatCode>
                <c:ptCount val="458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44018</c:v>
                </c:pt>
                <c:pt idx="4">
                  <c:v>44019</c:v>
                </c:pt>
                <c:pt idx="5">
                  <c:v>44020</c:v>
                </c:pt>
                <c:pt idx="6">
                  <c:v>44021</c:v>
                </c:pt>
                <c:pt idx="7">
                  <c:v>44022</c:v>
                </c:pt>
                <c:pt idx="8">
                  <c:v>44025</c:v>
                </c:pt>
                <c:pt idx="9">
                  <c:v>44026</c:v>
                </c:pt>
                <c:pt idx="10">
                  <c:v>44027</c:v>
                </c:pt>
                <c:pt idx="11">
                  <c:v>44028</c:v>
                </c:pt>
                <c:pt idx="12">
                  <c:v>44029</c:v>
                </c:pt>
                <c:pt idx="13">
                  <c:v>44032</c:v>
                </c:pt>
                <c:pt idx="14">
                  <c:v>44033</c:v>
                </c:pt>
                <c:pt idx="15">
                  <c:v>44034</c:v>
                </c:pt>
                <c:pt idx="16">
                  <c:v>44035</c:v>
                </c:pt>
                <c:pt idx="17">
                  <c:v>44036</c:v>
                </c:pt>
                <c:pt idx="18">
                  <c:v>44039</c:v>
                </c:pt>
                <c:pt idx="19">
                  <c:v>44040</c:v>
                </c:pt>
                <c:pt idx="20">
                  <c:v>44041</c:v>
                </c:pt>
                <c:pt idx="21">
                  <c:v>44042</c:v>
                </c:pt>
                <c:pt idx="22">
                  <c:v>44043</c:v>
                </c:pt>
                <c:pt idx="23">
                  <c:v>44046</c:v>
                </c:pt>
                <c:pt idx="24">
                  <c:v>44047</c:v>
                </c:pt>
                <c:pt idx="25">
                  <c:v>44048</c:v>
                </c:pt>
                <c:pt idx="26">
                  <c:v>44049</c:v>
                </c:pt>
                <c:pt idx="27">
                  <c:v>44050</c:v>
                </c:pt>
                <c:pt idx="28">
                  <c:v>44053</c:v>
                </c:pt>
                <c:pt idx="29">
                  <c:v>44054</c:v>
                </c:pt>
                <c:pt idx="30">
                  <c:v>44055</c:v>
                </c:pt>
                <c:pt idx="31">
                  <c:v>44056</c:v>
                </c:pt>
                <c:pt idx="32">
                  <c:v>44057</c:v>
                </c:pt>
                <c:pt idx="33">
                  <c:v>44060</c:v>
                </c:pt>
                <c:pt idx="34">
                  <c:v>44061</c:v>
                </c:pt>
                <c:pt idx="35">
                  <c:v>44062</c:v>
                </c:pt>
                <c:pt idx="36">
                  <c:v>44063</c:v>
                </c:pt>
                <c:pt idx="37">
                  <c:v>44064</c:v>
                </c:pt>
                <c:pt idx="38">
                  <c:v>44067</c:v>
                </c:pt>
                <c:pt idx="39">
                  <c:v>44068</c:v>
                </c:pt>
                <c:pt idx="40">
                  <c:v>44069</c:v>
                </c:pt>
                <c:pt idx="41">
                  <c:v>44070</c:v>
                </c:pt>
                <c:pt idx="42">
                  <c:v>44071</c:v>
                </c:pt>
                <c:pt idx="43">
                  <c:v>44074</c:v>
                </c:pt>
                <c:pt idx="44">
                  <c:v>44075</c:v>
                </c:pt>
                <c:pt idx="45">
                  <c:v>44076</c:v>
                </c:pt>
                <c:pt idx="46">
                  <c:v>44077</c:v>
                </c:pt>
                <c:pt idx="47">
                  <c:v>44078</c:v>
                </c:pt>
                <c:pt idx="48">
                  <c:v>44082</c:v>
                </c:pt>
                <c:pt idx="49">
                  <c:v>44083</c:v>
                </c:pt>
                <c:pt idx="50">
                  <c:v>44084</c:v>
                </c:pt>
                <c:pt idx="51">
                  <c:v>44085</c:v>
                </c:pt>
                <c:pt idx="52">
                  <c:v>44088</c:v>
                </c:pt>
                <c:pt idx="53">
                  <c:v>44089</c:v>
                </c:pt>
                <c:pt idx="54">
                  <c:v>44090</c:v>
                </c:pt>
                <c:pt idx="55">
                  <c:v>44091</c:v>
                </c:pt>
                <c:pt idx="56">
                  <c:v>44092</c:v>
                </c:pt>
                <c:pt idx="57">
                  <c:v>44095</c:v>
                </c:pt>
                <c:pt idx="58">
                  <c:v>44096</c:v>
                </c:pt>
                <c:pt idx="59">
                  <c:v>44097</c:v>
                </c:pt>
                <c:pt idx="60">
                  <c:v>44098</c:v>
                </c:pt>
                <c:pt idx="61">
                  <c:v>44099</c:v>
                </c:pt>
                <c:pt idx="62">
                  <c:v>44102</c:v>
                </c:pt>
                <c:pt idx="63">
                  <c:v>44103</c:v>
                </c:pt>
                <c:pt idx="64">
                  <c:v>44104</c:v>
                </c:pt>
                <c:pt idx="65">
                  <c:v>44105</c:v>
                </c:pt>
                <c:pt idx="66">
                  <c:v>44106</c:v>
                </c:pt>
                <c:pt idx="67">
                  <c:v>44109</c:v>
                </c:pt>
                <c:pt idx="68">
                  <c:v>44110</c:v>
                </c:pt>
                <c:pt idx="69">
                  <c:v>44111</c:v>
                </c:pt>
                <c:pt idx="70">
                  <c:v>44112</c:v>
                </c:pt>
                <c:pt idx="71">
                  <c:v>44113</c:v>
                </c:pt>
                <c:pt idx="72">
                  <c:v>44117</c:v>
                </c:pt>
                <c:pt idx="73">
                  <c:v>44118</c:v>
                </c:pt>
                <c:pt idx="74">
                  <c:v>44119</c:v>
                </c:pt>
                <c:pt idx="75">
                  <c:v>44120</c:v>
                </c:pt>
                <c:pt idx="76">
                  <c:v>44123</c:v>
                </c:pt>
                <c:pt idx="77">
                  <c:v>44124</c:v>
                </c:pt>
                <c:pt idx="78">
                  <c:v>44125</c:v>
                </c:pt>
                <c:pt idx="79">
                  <c:v>44126</c:v>
                </c:pt>
                <c:pt idx="80">
                  <c:v>44127</c:v>
                </c:pt>
                <c:pt idx="81">
                  <c:v>44130</c:v>
                </c:pt>
                <c:pt idx="82">
                  <c:v>44131</c:v>
                </c:pt>
                <c:pt idx="83">
                  <c:v>44132</c:v>
                </c:pt>
                <c:pt idx="84">
                  <c:v>44133</c:v>
                </c:pt>
                <c:pt idx="85">
                  <c:v>44134</c:v>
                </c:pt>
                <c:pt idx="86">
                  <c:v>44138</c:v>
                </c:pt>
                <c:pt idx="87">
                  <c:v>44139</c:v>
                </c:pt>
                <c:pt idx="88">
                  <c:v>44140</c:v>
                </c:pt>
                <c:pt idx="89">
                  <c:v>44141</c:v>
                </c:pt>
                <c:pt idx="90">
                  <c:v>44144</c:v>
                </c:pt>
                <c:pt idx="91">
                  <c:v>44145</c:v>
                </c:pt>
                <c:pt idx="92">
                  <c:v>44146</c:v>
                </c:pt>
                <c:pt idx="93">
                  <c:v>44147</c:v>
                </c:pt>
                <c:pt idx="94">
                  <c:v>44148</c:v>
                </c:pt>
                <c:pt idx="95">
                  <c:v>44151</c:v>
                </c:pt>
                <c:pt idx="96">
                  <c:v>44152</c:v>
                </c:pt>
                <c:pt idx="97">
                  <c:v>44153</c:v>
                </c:pt>
                <c:pt idx="98">
                  <c:v>44154</c:v>
                </c:pt>
                <c:pt idx="99">
                  <c:v>44155</c:v>
                </c:pt>
                <c:pt idx="100">
                  <c:v>44158</c:v>
                </c:pt>
                <c:pt idx="101">
                  <c:v>44159</c:v>
                </c:pt>
                <c:pt idx="102">
                  <c:v>44160</c:v>
                </c:pt>
                <c:pt idx="103">
                  <c:v>44161</c:v>
                </c:pt>
                <c:pt idx="104">
                  <c:v>44162</c:v>
                </c:pt>
                <c:pt idx="105">
                  <c:v>44165</c:v>
                </c:pt>
                <c:pt idx="106">
                  <c:v>44166</c:v>
                </c:pt>
                <c:pt idx="107">
                  <c:v>44167</c:v>
                </c:pt>
                <c:pt idx="108">
                  <c:v>44168</c:v>
                </c:pt>
                <c:pt idx="109">
                  <c:v>44169</c:v>
                </c:pt>
                <c:pt idx="110">
                  <c:v>44172</c:v>
                </c:pt>
                <c:pt idx="111">
                  <c:v>44173</c:v>
                </c:pt>
                <c:pt idx="112">
                  <c:v>44174</c:v>
                </c:pt>
                <c:pt idx="113">
                  <c:v>44175</c:v>
                </c:pt>
                <c:pt idx="114">
                  <c:v>44176</c:v>
                </c:pt>
                <c:pt idx="115">
                  <c:v>44179</c:v>
                </c:pt>
                <c:pt idx="116">
                  <c:v>44180</c:v>
                </c:pt>
                <c:pt idx="117">
                  <c:v>44181</c:v>
                </c:pt>
                <c:pt idx="118">
                  <c:v>44182</c:v>
                </c:pt>
                <c:pt idx="119">
                  <c:v>44183</c:v>
                </c:pt>
                <c:pt idx="120">
                  <c:v>44186</c:v>
                </c:pt>
                <c:pt idx="121">
                  <c:v>44187</c:v>
                </c:pt>
                <c:pt idx="122">
                  <c:v>44188</c:v>
                </c:pt>
                <c:pt idx="123">
                  <c:v>44189</c:v>
                </c:pt>
                <c:pt idx="124">
                  <c:v>44193</c:v>
                </c:pt>
                <c:pt idx="125">
                  <c:v>44194</c:v>
                </c:pt>
                <c:pt idx="126">
                  <c:v>44195</c:v>
                </c:pt>
                <c:pt idx="127">
                  <c:v>44196</c:v>
                </c:pt>
                <c:pt idx="128">
                  <c:v>44200</c:v>
                </c:pt>
                <c:pt idx="129">
                  <c:v>44201</c:v>
                </c:pt>
                <c:pt idx="130">
                  <c:v>44202</c:v>
                </c:pt>
                <c:pt idx="131">
                  <c:v>44203</c:v>
                </c:pt>
                <c:pt idx="132">
                  <c:v>44204</c:v>
                </c:pt>
                <c:pt idx="133">
                  <c:v>44207</c:v>
                </c:pt>
                <c:pt idx="134">
                  <c:v>44208</c:v>
                </c:pt>
                <c:pt idx="135">
                  <c:v>44209</c:v>
                </c:pt>
                <c:pt idx="136">
                  <c:v>44210</c:v>
                </c:pt>
                <c:pt idx="137">
                  <c:v>44211</c:v>
                </c:pt>
                <c:pt idx="138">
                  <c:v>44214</c:v>
                </c:pt>
                <c:pt idx="139">
                  <c:v>44215</c:v>
                </c:pt>
                <c:pt idx="140">
                  <c:v>44216</c:v>
                </c:pt>
                <c:pt idx="141">
                  <c:v>44217</c:v>
                </c:pt>
                <c:pt idx="142">
                  <c:v>44218</c:v>
                </c:pt>
                <c:pt idx="143">
                  <c:v>44221</c:v>
                </c:pt>
                <c:pt idx="144">
                  <c:v>44222</c:v>
                </c:pt>
                <c:pt idx="145">
                  <c:v>44223</c:v>
                </c:pt>
                <c:pt idx="146">
                  <c:v>44224</c:v>
                </c:pt>
                <c:pt idx="147">
                  <c:v>44225</c:v>
                </c:pt>
                <c:pt idx="148">
                  <c:v>44228</c:v>
                </c:pt>
                <c:pt idx="149">
                  <c:v>44229</c:v>
                </c:pt>
                <c:pt idx="150">
                  <c:v>44230</c:v>
                </c:pt>
                <c:pt idx="151">
                  <c:v>44231</c:v>
                </c:pt>
                <c:pt idx="152">
                  <c:v>44232</c:v>
                </c:pt>
                <c:pt idx="153">
                  <c:v>44235</c:v>
                </c:pt>
                <c:pt idx="154">
                  <c:v>44236</c:v>
                </c:pt>
                <c:pt idx="155">
                  <c:v>44237</c:v>
                </c:pt>
                <c:pt idx="156">
                  <c:v>44238</c:v>
                </c:pt>
                <c:pt idx="157">
                  <c:v>44239</c:v>
                </c:pt>
                <c:pt idx="158">
                  <c:v>44244</c:v>
                </c:pt>
                <c:pt idx="159">
                  <c:v>44245</c:v>
                </c:pt>
                <c:pt idx="160">
                  <c:v>44246</c:v>
                </c:pt>
                <c:pt idx="161">
                  <c:v>44249</c:v>
                </c:pt>
                <c:pt idx="162">
                  <c:v>44250</c:v>
                </c:pt>
                <c:pt idx="163">
                  <c:v>44251</c:v>
                </c:pt>
                <c:pt idx="164">
                  <c:v>44252</c:v>
                </c:pt>
                <c:pt idx="165">
                  <c:v>44253</c:v>
                </c:pt>
                <c:pt idx="166">
                  <c:v>44256</c:v>
                </c:pt>
                <c:pt idx="167">
                  <c:v>44257</c:v>
                </c:pt>
                <c:pt idx="168">
                  <c:v>44258</c:v>
                </c:pt>
                <c:pt idx="169">
                  <c:v>44259</c:v>
                </c:pt>
                <c:pt idx="170">
                  <c:v>44260</c:v>
                </c:pt>
                <c:pt idx="171">
                  <c:v>44263</c:v>
                </c:pt>
                <c:pt idx="172">
                  <c:v>44264</c:v>
                </c:pt>
                <c:pt idx="173">
                  <c:v>44265</c:v>
                </c:pt>
                <c:pt idx="174">
                  <c:v>44266</c:v>
                </c:pt>
                <c:pt idx="175">
                  <c:v>44267</c:v>
                </c:pt>
                <c:pt idx="176">
                  <c:v>44270</c:v>
                </c:pt>
                <c:pt idx="177">
                  <c:v>44271</c:v>
                </c:pt>
                <c:pt idx="178">
                  <c:v>44272</c:v>
                </c:pt>
                <c:pt idx="179">
                  <c:v>44273</c:v>
                </c:pt>
                <c:pt idx="180">
                  <c:v>44274</c:v>
                </c:pt>
                <c:pt idx="181">
                  <c:v>44277</c:v>
                </c:pt>
                <c:pt idx="182">
                  <c:v>44278</c:v>
                </c:pt>
                <c:pt idx="183">
                  <c:v>44279</c:v>
                </c:pt>
                <c:pt idx="184">
                  <c:v>44280</c:v>
                </c:pt>
                <c:pt idx="185">
                  <c:v>44281</c:v>
                </c:pt>
                <c:pt idx="186">
                  <c:v>44284</c:v>
                </c:pt>
                <c:pt idx="187">
                  <c:v>44285</c:v>
                </c:pt>
                <c:pt idx="188">
                  <c:v>44286</c:v>
                </c:pt>
                <c:pt idx="189">
                  <c:v>44287</c:v>
                </c:pt>
                <c:pt idx="190">
                  <c:v>44291</c:v>
                </c:pt>
                <c:pt idx="191">
                  <c:v>44292</c:v>
                </c:pt>
                <c:pt idx="192">
                  <c:v>44293</c:v>
                </c:pt>
                <c:pt idx="193">
                  <c:v>44294</c:v>
                </c:pt>
                <c:pt idx="194">
                  <c:v>44295</c:v>
                </c:pt>
                <c:pt idx="195">
                  <c:v>44298</c:v>
                </c:pt>
                <c:pt idx="196">
                  <c:v>44299</c:v>
                </c:pt>
                <c:pt idx="197">
                  <c:v>44300</c:v>
                </c:pt>
                <c:pt idx="198">
                  <c:v>44301</c:v>
                </c:pt>
                <c:pt idx="199">
                  <c:v>44302</c:v>
                </c:pt>
                <c:pt idx="200">
                  <c:v>44305</c:v>
                </c:pt>
                <c:pt idx="201">
                  <c:v>44306</c:v>
                </c:pt>
                <c:pt idx="202">
                  <c:v>44308</c:v>
                </c:pt>
                <c:pt idx="203">
                  <c:v>44309</c:v>
                </c:pt>
                <c:pt idx="204">
                  <c:v>44312</c:v>
                </c:pt>
                <c:pt idx="205">
                  <c:v>44313</c:v>
                </c:pt>
                <c:pt idx="206">
                  <c:v>44314</c:v>
                </c:pt>
                <c:pt idx="207">
                  <c:v>44315</c:v>
                </c:pt>
                <c:pt idx="208">
                  <c:v>44316</c:v>
                </c:pt>
                <c:pt idx="209">
                  <c:v>44319</c:v>
                </c:pt>
                <c:pt idx="210">
                  <c:v>44320</c:v>
                </c:pt>
                <c:pt idx="211">
                  <c:v>44321</c:v>
                </c:pt>
                <c:pt idx="212">
                  <c:v>44322</c:v>
                </c:pt>
                <c:pt idx="213">
                  <c:v>44323</c:v>
                </c:pt>
                <c:pt idx="214">
                  <c:v>44326</c:v>
                </c:pt>
                <c:pt idx="215">
                  <c:v>44327</c:v>
                </c:pt>
                <c:pt idx="216">
                  <c:v>44328</c:v>
                </c:pt>
                <c:pt idx="217">
                  <c:v>44329</c:v>
                </c:pt>
                <c:pt idx="218">
                  <c:v>44330</c:v>
                </c:pt>
                <c:pt idx="219">
                  <c:v>44333</c:v>
                </c:pt>
                <c:pt idx="220">
                  <c:v>44334</c:v>
                </c:pt>
                <c:pt idx="221">
                  <c:v>44335</c:v>
                </c:pt>
                <c:pt idx="222">
                  <c:v>44336</c:v>
                </c:pt>
                <c:pt idx="223">
                  <c:v>44337</c:v>
                </c:pt>
                <c:pt idx="224">
                  <c:v>44340</c:v>
                </c:pt>
                <c:pt idx="225">
                  <c:v>44341</c:v>
                </c:pt>
                <c:pt idx="226">
                  <c:v>44342</c:v>
                </c:pt>
                <c:pt idx="227">
                  <c:v>44343</c:v>
                </c:pt>
                <c:pt idx="228">
                  <c:v>44344</c:v>
                </c:pt>
                <c:pt idx="229">
                  <c:v>44347</c:v>
                </c:pt>
                <c:pt idx="230">
                  <c:v>44348</c:v>
                </c:pt>
                <c:pt idx="231">
                  <c:v>44349</c:v>
                </c:pt>
                <c:pt idx="232">
                  <c:v>44351</c:v>
                </c:pt>
                <c:pt idx="233">
                  <c:v>44354</c:v>
                </c:pt>
                <c:pt idx="234">
                  <c:v>44355</c:v>
                </c:pt>
                <c:pt idx="235">
                  <c:v>44356</c:v>
                </c:pt>
                <c:pt idx="236">
                  <c:v>44357</c:v>
                </c:pt>
                <c:pt idx="237">
                  <c:v>44358</c:v>
                </c:pt>
                <c:pt idx="238">
                  <c:v>44361</c:v>
                </c:pt>
                <c:pt idx="239">
                  <c:v>44362</c:v>
                </c:pt>
                <c:pt idx="240">
                  <c:v>44363</c:v>
                </c:pt>
                <c:pt idx="241">
                  <c:v>44364</c:v>
                </c:pt>
                <c:pt idx="242">
                  <c:v>44365</c:v>
                </c:pt>
                <c:pt idx="243">
                  <c:v>44368</c:v>
                </c:pt>
                <c:pt idx="244">
                  <c:v>44369</c:v>
                </c:pt>
                <c:pt idx="245">
                  <c:v>44370</c:v>
                </c:pt>
                <c:pt idx="246">
                  <c:v>44371</c:v>
                </c:pt>
                <c:pt idx="247">
                  <c:v>44372</c:v>
                </c:pt>
                <c:pt idx="248">
                  <c:v>44375</c:v>
                </c:pt>
                <c:pt idx="249">
                  <c:v>44376</c:v>
                </c:pt>
                <c:pt idx="250">
                  <c:v>44377</c:v>
                </c:pt>
                <c:pt idx="251">
                  <c:v>44378</c:v>
                </c:pt>
                <c:pt idx="252">
                  <c:v>44379</c:v>
                </c:pt>
                <c:pt idx="253">
                  <c:v>44382</c:v>
                </c:pt>
                <c:pt idx="254">
                  <c:v>44383</c:v>
                </c:pt>
                <c:pt idx="255">
                  <c:v>44384</c:v>
                </c:pt>
                <c:pt idx="256">
                  <c:v>44385</c:v>
                </c:pt>
                <c:pt idx="257">
                  <c:v>44386</c:v>
                </c:pt>
                <c:pt idx="258">
                  <c:v>44389</c:v>
                </c:pt>
                <c:pt idx="259">
                  <c:v>44390</c:v>
                </c:pt>
                <c:pt idx="260">
                  <c:v>44391</c:v>
                </c:pt>
                <c:pt idx="261">
                  <c:v>44392</c:v>
                </c:pt>
                <c:pt idx="262">
                  <c:v>44393</c:v>
                </c:pt>
                <c:pt idx="263">
                  <c:v>44396</c:v>
                </c:pt>
                <c:pt idx="264">
                  <c:v>44397</c:v>
                </c:pt>
                <c:pt idx="265">
                  <c:v>44398</c:v>
                </c:pt>
                <c:pt idx="266">
                  <c:v>44399</c:v>
                </c:pt>
                <c:pt idx="267">
                  <c:v>44400</c:v>
                </c:pt>
                <c:pt idx="268">
                  <c:v>44403</c:v>
                </c:pt>
                <c:pt idx="269">
                  <c:v>44404</c:v>
                </c:pt>
                <c:pt idx="270">
                  <c:v>44405</c:v>
                </c:pt>
                <c:pt idx="271">
                  <c:v>44406</c:v>
                </c:pt>
                <c:pt idx="272">
                  <c:v>44407</c:v>
                </c:pt>
                <c:pt idx="273">
                  <c:v>44410</c:v>
                </c:pt>
                <c:pt idx="274">
                  <c:v>44411</c:v>
                </c:pt>
                <c:pt idx="275">
                  <c:v>44412</c:v>
                </c:pt>
                <c:pt idx="276">
                  <c:v>44413</c:v>
                </c:pt>
                <c:pt idx="277">
                  <c:v>44414</c:v>
                </c:pt>
                <c:pt idx="278">
                  <c:v>44417</c:v>
                </c:pt>
                <c:pt idx="279">
                  <c:v>44418</c:v>
                </c:pt>
                <c:pt idx="280">
                  <c:v>44419</c:v>
                </c:pt>
                <c:pt idx="281">
                  <c:v>44420</c:v>
                </c:pt>
                <c:pt idx="282">
                  <c:v>44421</c:v>
                </c:pt>
                <c:pt idx="283">
                  <c:v>44424</c:v>
                </c:pt>
                <c:pt idx="284">
                  <c:v>44425</c:v>
                </c:pt>
                <c:pt idx="285">
                  <c:v>44426</c:v>
                </c:pt>
                <c:pt idx="286">
                  <c:v>44427</c:v>
                </c:pt>
                <c:pt idx="287">
                  <c:v>44428</c:v>
                </c:pt>
                <c:pt idx="288">
                  <c:v>44431</c:v>
                </c:pt>
                <c:pt idx="289">
                  <c:v>44432</c:v>
                </c:pt>
                <c:pt idx="290">
                  <c:v>44433</c:v>
                </c:pt>
                <c:pt idx="291">
                  <c:v>44434</c:v>
                </c:pt>
                <c:pt idx="292">
                  <c:v>44435</c:v>
                </c:pt>
                <c:pt idx="293">
                  <c:v>44438</c:v>
                </c:pt>
                <c:pt idx="294">
                  <c:v>44439</c:v>
                </c:pt>
                <c:pt idx="295">
                  <c:v>44440</c:v>
                </c:pt>
                <c:pt idx="296">
                  <c:v>44441</c:v>
                </c:pt>
                <c:pt idx="297">
                  <c:v>44442</c:v>
                </c:pt>
                <c:pt idx="298">
                  <c:v>44445</c:v>
                </c:pt>
                <c:pt idx="299">
                  <c:v>44447</c:v>
                </c:pt>
                <c:pt idx="300">
                  <c:v>44448</c:v>
                </c:pt>
                <c:pt idx="301">
                  <c:v>44449</c:v>
                </c:pt>
                <c:pt idx="302">
                  <c:v>44452</c:v>
                </c:pt>
                <c:pt idx="303">
                  <c:v>44453</c:v>
                </c:pt>
                <c:pt idx="304">
                  <c:v>44454</c:v>
                </c:pt>
                <c:pt idx="305">
                  <c:v>44455</c:v>
                </c:pt>
                <c:pt idx="306">
                  <c:v>44456</c:v>
                </c:pt>
                <c:pt idx="307">
                  <c:v>44459</c:v>
                </c:pt>
                <c:pt idx="308">
                  <c:v>44460</c:v>
                </c:pt>
                <c:pt idx="309">
                  <c:v>44461</c:v>
                </c:pt>
                <c:pt idx="310">
                  <c:v>44462</c:v>
                </c:pt>
                <c:pt idx="311">
                  <c:v>44463</c:v>
                </c:pt>
                <c:pt idx="312">
                  <c:v>44466</c:v>
                </c:pt>
                <c:pt idx="313">
                  <c:v>44467</c:v>
                </c:pt>
                <c:pt idx="314">
                  <c:v>44468</c:v>
                </c:pt>
                <c:pt idx="315">
                  <c:v>44469</c:v>
                </c:pt>
                <c:pt idx="316">
                  <c:v>44470</c:v>
                </c:pt>
                <c:pt idx="317">
                  <c:v>44473</c:v>
                </c:pt>
                <c:pt idx="318">
                  <c:v>44474</c:v>
                </c:pt>
                <c:pt idx="319">
                  <c:v>44475</c:v>
                </c:pt>
                <c:pt idx="320">
                  <c:v>44476</c:v>
                </c:pt>
                <c:pt idx="321">
                  <c:v>44477</c:v>
                </c:pt>
                <c:pt idx="322">
                  <c:v>44480</c:v>
                </c:pt>
                <c:pt idx="323">
                  <c:v>44482</c:v>
                </c:pt>
                <c:pt idx="324">
                  <c:v>44483</c:v>
                </c:pt>
                <c:pt idx="325">
                  <c:v>44484</c:v>
                </c:pt>
                <c:pt idx="326">
                  <c:v>44487</c:v>
                </c:pt>
                <c:pt idx="327">
                  <c:v>44488</c:v>
                </c:pt>
                <c:pt idx="328">
                  <c:v>44489</c:v>
                </c:pt>
                <c:pt idx="329">
                  <c:v>44490</c:v>
                </c:pt>
                <c:pt idx="330">
                  <c:v>44491</c:v>
                </c:pt>
                <c:pt idx="331">
                  <c:v>44494</c:v>
                </c:pt>
                <c:pt idx="332">
                  <c:v>44495</c:v>
                </c:pt>
                <c:pt idx="333">
                  <c:v>44496</c:v>
                </c:pt>
                <c:pt idx="334">
                  <c:v>44497</c:v>
                </c:pt>
                <c:pt idx="335">
                  <c:v>44498</c:v>
                </c:pt>
                <c:pt idx="336">
                  <c:v>44501</c:v>
                </c:pt>
                <c:pt idx="337">
                  <c:v>44503</c:v>
                </c:pt>
                <c:pt idx="338">
                  <c:v>44504</c:v>
                </c:pt>
                <c:pt idx="339">
                  <c:v>44505</c:v>
                </c:pt>
                <c:pt idx="340">
                  <c:v>44508</c:v>
                </c:pt>
                <c:pt idx="341">
                  <c:v>44509</c:v>
                </c:pt>
                <c:pt idx="342">
                  <c:v>44510</c:v>
                </c:pt>
                <c:pt idx="343">
                  <c:v>44511</c:v>
                </c:pt>
                <c:pt idx="344">
                  <c:v>44512</c:v>
                </c:pt>
                <c:pt idx="345">
                  <c:v>44516</c:v>
                </c:pt>
                <c:pt idx="346">
                  <c:v>44517</c:v>
                </c:pt>
                <c:pt idx="347">
                  <c:v>44518</c:v>
                </c:pt>
                <c:pt idx="348">
                  <c:v>44519</c:v>
                </c:pt>
                <c:pt idx="349">
                  <c:v>44522</c:v>
                </c:pt>
                <c:pt idx="350">
                  <c:v>44523</c:v>
                </c:pt>
                <c:pt idx="351">
                  <c:v>44524</c:v>
                </c:pt>
                <c:pt idx="352">
                  <c:v>44525</c:v>
                </c:pt>
                <c:pt idx="353">
                  <c:v>44526</c:v>
                </c:pt>
                <c:pt idx="354">
                  <c:v>44529</c:v>
                </c:pt>
                <c:pt idx="355">
                  <c:v>44530</c:v>
                </c:pt>
                <c:pt idx="356">
                  <c:v>44531</c:v>
                </c:pt>
              </c:numCache>
            </c:numRef>
          </c:cat>
          <c:val>
            <c:numRef>
              <c:f>'Exp Annual'!$F$4:$F$461</c:f>
              <c:numCache>
                <c:formatCode>General</c:formatCode>
                <c:ptCount val="458"/>
                <c:pt idx="0">
                  <c:v>3.07</c:v>
                </c:pt>
                <c:pt idx="1">
                  <c:v>3</c:v>
                </c:pt>
                <c:pt idx="2">
                  <c:v>3.05</c:v>
                </c:pt>
                <c:pt idx="3">
                  <c:v>3.07</c:v>
                </c:pt>
                <c:pt idx="4">
                  <c:v>3.07</c:v>
                </c:pt>
                <c:pt idx="5">
                  <c:v>3.09</c:v>
                </c:pt>
                <c:pt idx="6">
                  <c:v>3.12</c:v>
                </c:pt>
                <c:pt idx="7">
                  <c:v>3.01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3.01</c:v>
                </c:pt>
                <c:pt idx="13">
                  <c:v>3.07</c:v>
                </c:pt>
                <c:pt idx="14">
                  <c:v>3.08</c:v>
                </c:pt>
                <c:pt idx="15">
                  <c:v>3.08</c:v>
                </c:pt>
                <c:pt idx="16">
                  <c:v>3</c:v>
                </c:pt>
                <c:pt idx="17">
                  <c:v>2.99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2.99</c:v>
                </c:pt>
                <c:pt idx="23">
                  <c:v>2.98</c:v>
                </c:pt>
                <c:pt idx="24">
                  <c:v>2.98</c:v>
                </c:pt>
                <c:pt idx="25">
                  <c:v>2.98</c:v>
                </c:pt>
                <c:pt idx="26">
                  <c:v>2.99</c:v>
                </c:pt>
                <c:pt idx="27">
                  <c:v>2.99</c:v>
                </c:pt>
                <c:pt idx="28">
                  <c:v>2.99</c:v>
                </c:pt>
                <c:pt idx="29">
                  <c:v>2.96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3.02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3.01</c:v>
                </c:pt>
                <c:pt idx="45">
                  <c:v>3.02</c:v>
                </c:pt>
                <c:pt idx="46">
                  <c:v>3.01</c:v>
                </c:pt>
                <c:pt idx="47">
                  <c:v>2.99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3.01</c:v>
                </c:pt>
                <c:pt idx="53">
                  <c:v>3.01</c:v>
                </c:pt>
                <c:pt idx="54">
                  <c:v>3.01</c:v>
                </c:pt>
                <c:pt idx="55">
                  <c:v>3.01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3.01</c:v>
                </c:pt>
                <c:pt idx="60">
                  <c:v>3.01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3.01</c:v>
                </c:pt>
                <c:pt idx="66">
                  <c:v>3.02</c:v>
                </c:pt>
                <c:pt idx="67">
                  <c:v>3.03</c:v>
                </c:pt>
                <c:pt idx="68">
                  <c:v>3.02</c:v>
                </c:pt>
                <c:pt idx="69">
                  <c:v>3.01</c:v>
                </c:pt>
                <c:pt idx="70">
                  <c:v>3.01</c:v>
                </c:pt>
                <c:pt idx="71">
                  <c:v>3.08</c:v>
                </c:pt>
                <c:pt idx="72">
                  <c:v>3.1</c:v>
                </c:pt>
                <c:pt idx="73">
                  <c:v>3.11</c:v>
                </c:pt>
                <c:pt idx="74">
                  <c:v>3.11</c:v>
                </c:pt>
                <c:pt idx="75">
                  <c:v>3.1</c:v>
                </c:pt>
                <c:pt idx="76">
                  <c:v>3.1</c:v>
                </c:pt>
                <c:pt idx="77">
                  <c:v>3.09</c:v>
                </c:pt>
                <c:pt idx="78">
                  <c:v>3.09</c:v>
                </c:pt>
                <c:pt idx="79">
                  <c:v>3.04</c:v>
                </c:pt>
                <c:pt idx="80">
                  <c:v>3.08</c:v>
                </c:pt>
                <c:pt idx="81">
                  <c:v>3.09</c:v>
                </c:pt>
                <c:pt idx="82">
                  <c:v>3.09</c:v>
                </c:pt>
                <c:pt idx="83">
                  <c:v>3.1</c:v>
                </c:pt>
                <c:pt idx="84">
                  <c:v>3.13</c:v>
                </c:pt>
                <c:pt idx="85">
                  <c:v>3.3</c:v>
                </c:pt>
                <c:pt idx="86">
                  <c:v>3.3</c:v>
                </c:pt>
                <c:pt idx="87">
                  <c:v>3.32</c:v>
                </c:pt>
                <c:pt idx="88">
                  <c:v>3.3</c:v>
                </c:pt>
                <c:pt idx="89">
                  <c:v>3.27</c:v>
                </c:pt>
                <c:pt idx="90">
                  <c:v>3.27</c:v>
                </c:pt>
                <c:pt idx="91">
                  <c:v>3.3</c:v>
                </c:pt>
                <c:pt idx="92">
                  <c:v>3.27</c:v>
                </c:pt>
                <c:pt idx="93">
                  <c:v>3.31</c:v>
                </c:pt>
                <c:pt idx="94">
                  <c:v>3.38</c:v>
                </c:pt>
                <c:pt idx="95">
                  <c:v>3.32</c:v>
                </c:pt>
                <c:pt idx="96">
                  <c:v>3.31</c:v>
                </c:pt>
                <c:pt idx="97">
                  <c:v>3.31</c:v>
                </c:pt>
                <c:pt idx="98">
                  <c:v>3.31</c:v>
                </c:pt>
                <c:pt idx="99">
                  <c:v>3.47</c:v>
                </c:pt>
                <c:pt idx="100">
                  <c:v>3.48</c:v>
                </c:pt>
                <c:pt idx="101">
                  <c:v>3.48</c:v>
                </c:pt>
                <c:pt idx="102">
                  <c:v>3.5</c:v>
                </c:pt>
                <c:pt idx="103">
                  <c:v>3.5</c:v>
                </c:pt>
                <c:pt idx="104">
                  <c:v>3.56</c:v>
                </c:pt>
                <c:pt idx="105">
                  <c:v>3.58</c:v>
                </c:pt>
                <c:pt idx="106">
                  <c:v>3.45</c:v>
                </c:pt>
                <c:pt idx="107">
                  <c:v>3.43</c:v>
                </c:pt>
                <c:pt idx="108">
                  <c:v>3.42</c:v>
                </c:pt>
                <c:pt idx="109">
                  <c:v>3.33</c:v>
                </c:pt>
                <c:pt idx="110">
                  <c:v>3.31</c:v>
                </c:pt>
                <c:pt idx="111">
                  <c:v>3.31</c:v>
                </c:pt>
                <c:pt idx="112">
                  <c:v>3.3</c:v>
                </c:pt>
                <c:pt idx="113">
                  <c:v>3.3</c:v>
                </c:pt>
                <c:pt idx="114">
                  <c:v>3.34</c:v>
                </c:pt>
                <c:pt idx="115">
                  <c:v>3.34</c:v>
                </c:pt>
                <c:pt idx="116">
                  <c:v>3.34</c:v>
                </c:pt>
                <c:pt idx="117">
                  <c:v>3.35</c:v>
                </c:pt>
                <c:pt idx="118">
                  <c:v>3.33</c:v>
                </c:pt>
                <c:pt idx="119">
                  <c:v>3.35</c:v>
                </c:pt>
                <c:pt idx="120">
                  <c:v>3.34</c:v>
                </c:pt>
                <c:pt idx="121">
                  <c:v>3.3</c:v>
                </c:pt>
                <c:pt idx="122">
                  <c:v>3.3</c:v>
                </c:pt>
                <c:pt idx="123">
                  <c:v>3.34</c:v>
                </c:pt>
                <c:pt idx="124">
                  <c:v>3.28</c:v>
                </c:pt>
                <c:pt idx="125">
                  <c:v>3.3</c:v>
                </c:pt>
                <c:pt idx="126">
                  <c:v>3.34</c:v>
                </c:pt>
                <c:pt idx="127">
                  <c:v>3.34</c:v>
                </c:pt>
                <c:pt idx="128">
                  <c:v>3.32</c:v>
                </c:pt>
                <c:pt idx="129">
                  <c:v>3.3</c:v>
                </c:pt>
                <c:pt idx="130">
                  <c:v>3.29</c:v>
                </c:pt>
                <c:pt idx="131">
                  <c:v>3.28</c:v>
                </c:pt>
                <c:pt idx="132">
                  <c:v>3.35</c:v>
                </c:pt>
                <c:pt idx="133">
                  <c:v>3.4</c:v>
                </c:pt>
                <c:pt idx="134">
                  <c:v>3.4</c:v>
                </c:pt>
                <c:pt idx="135">
                  <c:v>3.44</c:v>
                </c:pt>
                <c:pt idx="136">
                  <c:v>3.49</c:v>
                </c:pt>
                <c:pt idx="137">
                  <c:v>3.47</c:v>
                </c:pt>
                <c:pt idx="138">
                  <c:v>3.49</c:v>
                </c:pt>
                <c:pt idx="139">
                  <c:v>3.46</c:v>
                </c:pt>
                <c:pt idx="140">
                  <c:v>3.45</c:v>
                </c:pt>
                <c:pt idx="141">
                  <c:v>3.43</c:v>
                </c:pt>
                <c:pt idx="142">
                  <c:v>3.6</c:v>
                </c:pt>
                <c:pt idx="143">
                  <c:v>3.61</c:v>
                </c:pt>
                <c:pt idx="144">
                  <c:v>3.66</c:v>
                </c:pt>
                <c:pt idx="145">
                  <c:v>3.64</c:v>
                </c:pt>
                <c:pt idx="146">
                  <c:v>3.64</c:v>
                </c:pt>
                <c:pt idx="147">
                  <c:v>3.6</c:v>
                </c:pt>
                <c:pt idx="148">
                  <c:v>3.62</c:v>
                </c:pt>
                <c:pt idx="149">
                  <c:v>3.64</c:v>
                </c:pt>
                <c:pt idx="150">
                  <c:v>3.64</c:v>
                </c:pt>
                <c:pt idx="151">
                  <c:v>3.64</c:v>
                </c:pt>
                <c:pt idx="152">
                  <c:v>3.66</c:v>
                </c:pt>
                <c:pt idx="153">
                  <c:v>3.63</c:v>
                </c:pt>
                <c:pt idx="154">
                  <c:v>3.61</c:v>
                </c:pt>
                <c:pt idx="155">
                  <c:v>3.65</c:v>
                </c:pt>
                <c:pt idx="156">
                  <c:v>3.65</c:v>
                </c:pt>
                <c:pt idx="157">
                  <c:v>3.72</c:v>
                </c:pt>
                <c:pt idx="158">
                  <c:v>3.8</c:v>
                </c:pt>
                <c:pt idx="159">
                  <c:v>3.79</c:v>
                </c:pt>
                <c:pt idx="160">
                  <c:v>3.85</c:v>
                </c:pt>
                <c:pt idx="161">
                  <c:v>3.89</c:v>
                </c:pt>
                <c:pt idx="162">
                  <c:v>3.89</c:v>
                </c:pt>
                <c:pt idx="163">
                  <c:v>3.89</c:v>
                </c:pt>
                <c:pt idx="164">
                  <c:v>3.9</c:v>
                </c:pt>
                <c:pt idx="165">
                  <c:v>3.99</c:v>
                </c:pt>
                <c:pt idx="166">
                  <c:v>3.97</c:v>
                </c:pt>
                <c:pt idx="167">
                  <c:v>4.01</c:v>
                </c:pt>
                <c:pt idx="168">
                  <c:v>4.0199999999999996</c:v>
                </c:pt>
                <c:pt idx="169">
                  <c:v>4.0199999999999996</c:v>
                </c:pt>
                <c:pt idx="170">
                  <c:v>4.0999999999999996</c:v>
                </c:pt>
                <c:pt idx="171">
                  <c:v>4.29</c:v>
                </c:pt>
                <c:pt idx="172">
                  <c:v>4.3</c:v>
                </c:pt>
                <c:pt idx="173">
                  <c:v>4.3499999999999996</c:v>
                </c:pt>
                <c:pt idx="174">
                  <c:v>4.6500000000000004</c:v>
                </c:pt>
                <c:pt idx="175">
                  <c:v>4.72</c:v>
                </c:pt>
                <c:pt idx="176">
                  <c:v>4.72</c:v>
                </c:pt>
                <c:pt idx="177">
                  <c:v>4.72</c:v>
                </c:pt>
                <c:pt idx="178">
                  <c:v>4.72</c:v>
                </c:pt>
                <c:pt idx="179">
                  <c:v>4.72</c:v>
                </c:pt>
                <c:pt idx="180">
                  <c:v>4.75</c:v>
                </c:pt>
                <c:pt idx="181">
                  <c:v>4.8099999999999996</c:v>
                </c:pt>
                <c:pt idx="182">
                  <c:v>4.8499999999999996</c:v>
                </c:pt>
                <c:pt idx="183">
                  <c:v>4.91</c:v>
                </c:pt>
                <c:pt idx="184">
                  <c:v>4.91</c:v>
                </c:pt>
                <c:pt idx="185">
                  <c:v>4.9000000000000004</c:v>
                </c:pt>
                <c:pt idx="186">
                  <c:v>4.92</c:v>
                </c:pt>
                <c:pt idx="187">
                  <c:v>4.91</c:v>
                </c:pt>
                <c:pt idx="188">
                  <c:v>4.8710000000000004</c:v>
                </c:pt>
                <c:pt idx="189">
                  <c:v>4.8612000000000002</c:v>
                </c:pt>
                <c:pt idx="190">
                  <c:v>4.8604000000000003</c:v>
                </c:pt>
                <c:pt idx="191">
                  <c:v>4.8304999999999998</c:v>
                </c:pt>
                <c:pt idx="192">
                  <c:v>4.8097000000000003</c:v>
                </c:pt>
                <c:pt idx="193">
                  <c:v>4.8513000000000002</c:v>
                </c:pt>
                <c:pt idx="194">
                  <c:v>4.9244000000000003</c:v>
                </c:pt>
                <c:pt idx="195">
                  <c:v>4.9713000000000003</c:v>
                </c:pt>
                <c:pt idx="196">
                  <c:v>4.9713000000000003</c:v>
                </c:pt>
                <c:pt idx="197">
                  <c:v>4.9607999999999999</c:v>
                </c:pt>
                <c:pt idx="198">
                  <c:v>4.9610000000000003</c:v>
                </c:pt>
                <c:pt idx="199">
                  <c:v>4.9817999999999998</c:v>
                </c:pt>
                <c:pt idx="200">
                  <c:v>5</c:v>
                </c:pt>
                <c:pt idx="201">
                  <c:v>4.9987000000000004</c:v>
                </c:pt>
                <c:pt idx="202">
                  <c:v>5.0175000000000001</c:v>
                </c:pt>
                <c:pt idx="203">
                  <c:v>5.0392000000000001</c:v>
                </c:pt>
                <c:pt idx="204">
                  <c:v>5.0392000000000001</c:v>
                </c:pt>
                <c:pt idx="205">
                  <c:v>5.0495000000000001</c:v>
                </c:pt>
                <c:pt idx="206">
                  <c:v>5.0495999999999999</c:v>
                </c:pt>
                <c:pt idx="207">
                  <c:v>5.0545999999999998</c:v>
                </c:pt>
                <c:pt idx="208">
                  <c:v>5.1021000000000001</c:v>
                </c:pt>
                <c:pt idx="209">
                  <c:v>5.1071</c:v>
                </c:pt>
                <c:pt idx="210">
                  <c:v>5.1071</c:v>
                </c:pt>
                <c:pt idx="211">
                  <c:v>5.1185999999999998</c:v>
                </c:pt>
                <c:pt idx="212">
                  <c:v>5.1334</c:v>
                </c:pt>
                <c:pt idx="213">
                  <c:v>5.1543999999999999</c:v>
                </c:pt>
                <c:pt idx="214">
                  <c:v>5.1654</c:v>
                </c:pt>
                <c:pt idx="215">
                  <c:v>5.1859999999999999</c:v>
                </c:pt>
                <c:pt idx="216">
                  <c:v>5.2172000000000001</c:v>
                </c:pt>
                <c:pt idx="217">
                  <c:v>5.2380000000000004</c:v>
                </c:pt>
                <c:pt idx="218">
                  <c:v>5.2485999999999997</c:v>
                </c:pt>
                <c:pt idx="219">
                  <c:v>5.3110999999999997</c:v>
                </c:pt>
                <c:pt idx="220">
                  <c:v>5.2586000000000004</c:v>
                </c:pt>
                <c:pt idx="221">
                  <c:v>5.2176</c:v>
                </c:pt>
                <c:pt idx="222">
                  <c:v>5.3380000000000001</c:v>
                </c:pt>
                <c:pt idx="223">
                  <c:v>5.3570000000000002</c:v>
                </c:pt>
                <c:pt idx="224">
                  <c:v>5.3947000000000003</c:v>
                </c:pt>
                <c:pt idx="225">
                  <c:v>5.3941999999999997</c:v>
                </c:pt>
                <c:pt idx="226">
                  <c:v>5.3948</c:v>
                </c:pt>
                <c:pt idx="227">
                  <c:v>5.3944000000000001</c:v>
                </c:pt>
                <c:pt idx="228">
                  <c:v>5.4904000000000002</c:v>
                </c:pt>
                <c:pt idx="229">
                  <c:v>5.5</c:v>
                </c:pt>
                <c:pt idx="230">
                  <c:v>5.5015999999999998</c:v>
                </c:pt>
                <c:pt idx="231">
                  <c:v>5.5015999999999998</c:v>
                </c:pt>
                <c:pt idx="232">
                  <c:v>5.5111999999999997</c:v>
                </c:pt>
                <c:pt idx="233">
                  <c:v>5.5151000000000003</c:v>
                </c:pt>
                <c:pt idx="234">
                  <c:v>5.5266000000000002</c:v>
                </c:pt>
                <c:pt idx="235">
                  <c:v>5.718</c:v>
                </c:pt>
                <c:pt idx="236">
                  <c:v>5.8160999999999996</c:v>
                </c:pt>
                <c:pt idx="237">
                  <c:v>5.8505000000000003</c:v>
                </c:pt>
                <c:pt idx="238">
                  <c:v>5.8894000000000002</c:v>
                </c:pt>
                <c:pt idx="239">
                  <c:v>5.9105999999999996</c:v>
                </c:pt>
                <c:pt idx="240">
                  <c:v>5.9108000000000001</c:v>
                </c:pt>
                <c:pt idx="241">
                  <c:v>5.9372999999999996</c:v>
                </c:pt>
                <c:pt idx="242">
                  <c:v>5.9318999999999997</c:v>
                </c:pt>
                <c:pt idx="243">
                  <c:v>5.9527000000000001</c:v>
                </c:pt>
                <c:pt idx="244">
                  <c:v>5.9634999999999998</c:v>
                </c:pt>
                <c:pt idx="245">
                  <c:v>5.9743000000000004</c:v>
                </c:pt>
                <c:pt idx="246">
                  <c:v>5.9839000000000002</c:v>
                </c:pt>
                <c:pt idx="247">
                  <c:v>6</c:v>
                </c:pt>
                <c:pt idx="248">
                  <c:v>6.0153999999999996</c:v>
                </c:pt>
                <c:pt idx="249">
                  <c:v>6.0472999999999999</c:v>
                </c:pt>
                <c:pt idx="250">
                  <c:v>6</c:v>
                </c:pt>
                <c:pt idx="251">
                  <c:v>6</c:v>
                </c:pt>
                <c:pt idx="252">
                  <c:v>6.1003999999999996</c:v>
                </c:pt>
                <c:pt idx="253">
                  <c:v>6.2042000000000002</c:v>
                </c:pt>
                <c:pt idx="254">
                  <c:v>6.2911999999999999</c:v>
                </c:pt>
                <c:pt idx="255">
                  <c:v>6.3048000000000002</c:v>
                </c:pt>
                <c:pt idx="256">
                  <c:v>6.3228999999999997</c:v>
                </c:pt>
                <c:pt idx="257">
                  <c:v>6.3228</c:v>
                </c:pt>
                <c:pt idx="258">
                  <c:v>6.3224</c:v>
                </c:pt>
                <c:pt idx="259">
                  <c:v>6.3914999999999997</c:v>
                </c:pt>
                <c:pt idx="260">
                  <c:v>6.4286000000000003</c:v>
                </c:pt>
                <c:pt idx="261">
                  <c:v>6.4260000000000002</c:v>
                </c:pt>
                <c:pt idx="262">
                  <c:v>6.4347000000000003</c:v>
                </c:pt>
                <c:pt idx="263">
                  <c:v>6.4001000000000001</c:v>
                </c:pt>
                <c:pt idx="264">
                  <c:v>6.3804999999999996</c:v>
                </c:pt>
                <c:pt idx="265">
                  <c:v>6.4001000000000001</c:v>
                </c:pt>
                <c:pt idx="266">
                  <c:v>6.4477000000000002</c:v>
                </c:pt>
                <c:pt idx="267">
                  <c:v>6.6718999999999999</c:v>
                </c:pt>
                <c:pt idx="268">
                  <c:v>6.7305999999999999</c:v>
                </c:pt>
                <c:pt idx="269">
                  <c:v>6.7539999999999996</c:v>
                </c:pt>
                <c:pt idx="270">
                  <c:v>6.7674000000000003</c:v>
                </c:pt>
                <c:pt idx="271">
                  <c:v>6.7784000000000004</c:v>
                </c:pt>
                <c:pt idx="272">
                  <c:v>6.8845000000000001</c:v>
                </c:pt>
                <c:pt idx="273">
                  <c:v>6.8845999999999998</c:v>
                </c:pt>
                <c:pt idx="274">
                  <c:v>6.8845999999999998</c:v>
                </c:pt>
                <c:pt idx="275">
                  <c:v>6.9028999999999998</c:v>
                </c:pt>
                <c:pt idx="276">
                  <c:v>6.9279000000000002</c:v>
                </c:pt>
                <c:pt idx="277">
                  <c:v>6.9431000000000003</c:v>
                </c:pt>
                <c:pt idx="278">
                  <c:v>6.9903000000000004</c:v>
                </c:pt>
                <c:pt idx="279">
                  <c:v>7.0172999999999996</c:v>
                </c:pt>
                <c:pt idx="280">
                  <c:v>7.0404</c:v>
                </c:pt>
                <c:pt idx="281">
                  <c:v>7.0472999999999999</c:v>
                </c:pt>
                <c:pt idx="282">
                  <c:v>7.1185</c:v>
                </c:pt>
                <c:pt idx="283">
                  <c:v>7.1185</c:v>
                </c:pt>
                <c:pt idx="284">
                  <c:v>7.14</c:v>
                </c:pt>
                <c:pt idx="285">
                  <c:v>7.1401000000000003</c:v>
                </c:pt>
                <c:pt idx="286">
                  <c:v>7.1589999999999998</c:v>
                </c:pt>
                <c:pt idx="287">
                  <c:v>7.1761999999999997</c:v>
                </c:pt>
                <c:pt idx="288">
                  <c:v>7.2394999999999996</c:v>
                </c:pt>
                <c:pt idx="289">
                  <c:v>7.2732999999999999</c:v>
                </c:pt>
                <c:pt idx="290">
                  <c:v>7.3320999999999996</c:v>
                </c:pt>
                <c:pt idx="291">
                  <c:v>7.3536000000000001</c:v>
                </c:pt>
                <c:pt idx="292">
                  <c:v>7.4603000000000002</c:v>
                </c:pt>
                <c:pt idx="293">
                  <c:v>7.5136000000000003</c:v>
                </c:pt>
                <c:pt idx="294">
                  <c:v>7.5777999999999999</c:v>
                </c:pt>
                <c:pt idx="295">
                  <c:v>7.6794000000000002</c:v>
                </c:pt>
                <c:pt idx="296">
                  <c:v>7.7169999999999996</c:v>
                </c:pt>
                <c:pt idx="297">
                  <c:v>7.7596999999999996</c:v>
                </c:pt>
                <c:pt idx="298">
                  <c:v>7.7594000000000003</c:v>
                </c:pt>
                <c:pt idx="299">
                  <c:v>7.7590000000000003</c:v>
                </c:pt>
                <c:pt idx="300">
                  <c:v>8.0596999999999994</c:v>
                </c:pt>
                <c:pt idx="301">
                  <c:v>8.1983999999999995</c:v>
                </c:pt>
                <c:pt idx="302">
                  <c:v>8.2635000000000005</c:v>
                </c:pt>
                <c:pt idx="303">
                  <c:v>8.2743000000000002</c:v>
                </c:pt>
                <c:pt idx="304">
                  <c:v>8.2843999999999998</c:v>
                </c:pt>
                <c:pt idx="305">
                  <c:v>8.2847000000000008</c:v>
                </c:pt>
                <c:pt idx="306">
                  <c:v>8.4030000000000005</c:v>
                </c:pt>
                <c:pt idx="307">
                  <c:v>8.4243000000000006</c:v>
                </c:pt>
                <c:pt idx="308">
                  <c:v>8.4351000000000003</c:v>
                </c:pt>
                <c:pt idx="309">
                  <c:v>8.4404000000000003</c:v>
                </c:pt>
                <c:pt idx="310">
                  <c:v>8.4431999999999992</c:v>
                </c:pt>
                <c:pt idx="311">
                  <c:v>8.5170999999999992</c:v>
                </c:pt>
                <c:pt idx="312">
                  <c:v>8.5968</c:v>
                </c:pt>
                <c:pt idx="313">
                  <c:v>8.609</c:v>
                </c:pt>
                <c:pt idx="314">
                  <c:v>8.6448</c:v>
                </c:pt>
                <c:pt idx="315">
                  <c:v>8.6611999999999991</c:v>
                </c:pt>
                <c:pt idx="316">
                  <c:v>8.6999999999999993</c:v>
                </c:pt>
                <c:pt idx="317">
                  <c:v>8.7136999999999993</c:v>
                </c:pt>
                <c:pt idx="318">
                  <c:v>8.7040000000000006</c:v>
                </c:pt>
                <c:pt idx="319">
                  <c:v>8.6929999999999996</c:v>
                </c:pt>
                <c:pt idx="320">
                  <c:v>8.7143999999999995</c:v>
                </c:pt>
                <c:pt idx="321">
                  <c:v>8.7123000000000008</c:v>
                </c:pt>
                <c:pt idx="322">
                  <c:v>8.7759</c:v>
                </c:pt>
                <c:pt idx="323">
                  <c:v>8.7713999999999999</c:v>
                </c:pt>
                <c:pt idx="324">
                  <c:v>8.7803000000000004</c:v>
                </c:pt>
                <c:pt idx="325">
                  <c:v>8.7911999999999999</c:v>
                </c:pt>
                <c:pt idx="326">
                  <c:v>8.8018999999999998</c:v>
                </c:pt>
                <c:pt idx="327">
                  <c:v>8.8019999999999996</c:v>
                </c:pt>
                <c:pt idx="328">
                  <c:v>8.8344000000000005</c:v>
                </c:pt>
                <c:pt idx="329">
                  <c:v>8.8453999999999997</c:v>
                </c:pt>
                <c:pt idx="330">
                  <c:v>9.0510000000000002</c:v>
                </c:pt>
                <c:pt idx="331">
                  <c:v>9.0996000000000006</c:v>
                </c:pt>
                <c:pt idx="332">
                  <c:v>9.1158999999999999</c:v>
                </c:pt>
                <c:pt idx="333">
                  <c:v>9.1539000000000001</c:v>
                </c:pt>
                <c:pt idx="334">
                  <c:v>9.1701999999999995</c:v>
                </c:pt>
                <c:pt idx="335">
                  <c:v>9.4032</c:v>
                </c:pt>
                <c:pt idx="336">
                  <c:v>9.4461999999999993</c:v>
                </c:pt>
                <c:pt idx="337">
                  <c:v>9.4406999999999996</c:v>
                </c:pt>
                <c:pt idx="338">
                  <c:v>9.4300999999999995</c:v>
                </c:pt>
                <c:pt idx="339">
                  <c:v>9.4626000000000001</c:v>
                </c:pt>
                <c:pt idx="340">
                  <c:v>9.4736999999999991</c:v>
                </c:pt>
                <c:pt idx="341">
                  <c:v>9.4841999999999995</c:v>
                </c:pt>
                <c:pt idx="342">
                  <c:v>9.7807999999999993</c:v>
                </c:pt>
                <c:pt idx="343">
                  <c:v>9.8375000000000004</c:v>
                </c:pt>
                <c:pt idx="344">
                  <c:v>10.1043</c:v>
                </c:pt>
                <c:pt idx="345">
                  <c:v>10.115600000000001</c:v>
                </c:pt>
                <c:pt idx="346">
                  <c:v>10.115600000000001</c:v>
                </c:pt>
                <c:pt idx="347">
                  <c:v>10.1264</c:v>
                </c:pt>
                <c:pt idx="348">
                  <c:v>10.159000000000001</c:v>
                </c:pt>
                <c:pt idx="349">
                  <c:v>10.1701</c:v>
                </c:pt>
                <c:pt idx="350">
                  <c:v>10.1919</c:v>
                </c:pt>
                <c:pt idx="351">
                  <c:v>10.192</c:v>
                </c:pt>
                <c:pt idx="352">
                  <c:v>10.1919</c:v>
                </c:pt>
                <c:pt idx="353">
                  <c:v>10.1914</c:v>
                </c:pt>
                <c:pt idx="354">
                  <c:v>10.1911</c:v>
                </c:pt>
                <c:pt idx="355">
                  <c:v>10.1911</c:v>
                </c:pt>
                <c:pt idx="356">
                  <c:v>10.1701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DD-4CDB-B67A-07656B5110EF}"/>
            </c:ext>
          </c:extLst>
        </c:ser>
        <c:ser>
          <c:idx val="3"/>
          <c:order val="2"/>
          <c:tx>
            <c:strRef>
              <c:f>'Exp Annual'!$G$3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'Exp Annual'!$D$4:$D$461</c:f>
              <c:numCache>
                <c:formatCode>m/d/yyyy</c:formatCode>
                <c:ptCount val="458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44018</c:v>
                </c:pt>
                <c:pt idx="4">
                  <c:v>44019</c:v>
                </c:pt>
                <c:pt idx="5">
                  <c:v>44020</c:v>
                </c:pt>
                <c:pt idx="6">
                  <c:v>44021</c:v>
                </c:pt>
                <c:pt idx="7">
                  <c:v>44022</c:v>
                </c:pt>
                <c:pt idx="8">
                  <c:v>44025</c:v>
                </c:pt>
                <c:pt idx="9">
                  <c:v>44026</c:v>
                </c:pt>
                <c:pt idx="10">
                  <c:v>44027</c:v>
                </c:pt>
                <c:pt idx="11">
                  <c:v>44028</c:v>
                </c:pt>
                <c:pt idx="12">
                  <c:v>44029</c:v>
                </c:pt>
                <c:pt idx="13">
                  <c:v>44032</c:v>
                </c:pt>
                <c:pt idx="14">
                  <c:v>44033</c:v>
                </c:pt>
                <c:pt idx="15">
                  <c:v>44034</c:v>
                </c:pt>
                <c:pt idx="16">
                  <c:v>44035</c:v>
                </c:pt>
                <c:pt idx="17">
                  <c:v>44036</c:v>
                </c:pt>
                <c:pt idx="18">
                  <c:v>44039</c:v>
                </c:pt>
                <c:pt idx="19">
                  <c:v>44040</c:v>
                </c:pt>
                <c:pt idx="20">
                  <c:v>44041</c:v>
                </c:pt>
                <c:pt idx="21">
                  <c:v>44042</c:v>
                </c:pt>
                <c:pt idx="22">
                  <c:v>44043</c:v>
                </c:pt>
                <c:pt idx="23">
                  <c:v>44046</c:v>
                </c:pt>
                <c:pt idx="24">
                  <c:v>44047</c:v>
                </c:pt>
                <c:pt idx="25">
                  <c:v>44048</c:v>
                </c:pt>
                <c:pt idx="26">
                  <c:v>44049</c:v>
                </c:pt>
                <c:pt idx="27">
                  <c:v>44050</c:v>
                </c:pt>
                <c:pt idx="28">
                  <c:v>44053</c:v>
                </c:pt>
                <c:pt idx="29">
                  <c:v>44054</c:v>
                </c:pt>
                <c:pt idx="30">
                  <c:v>44055</c:v>
                </c:pt>
                <c:pt idx="31">
                  <c:v>44056</c:v>
                </c:pt>
                <c:pt idx="32">
                  <c:v>44057</c:v>
                </c:pt>
                <c:pt idx="33">
                  <c:v>44060</c:v>
                </c:pt>
                <c:pt idx="34">
                  <c:v>44061</c:v>
                </c:pt>
                <c:pt idx="35">
                  <c:v>44062</c:v>
                </c:pt>
                <c:pt idx="36">
                  <c:v>44063</c:v>
                </c:pt>
                <c:pt idx="37">
                  <c:v>44064</c:v>
                </c:pt>
                <c:pt idx="38">
                  <c:v>44067</c:v>
                </c:pt>
                <c:pt idx="39">
                  <c:v>44068</c:v>
                </c:pt>
                <c:pt idx="40">
                  <c:v>44069</c:v>
                </c:pt>
                <c:pt idx="41">
                  <c:v>44070</c:v>
                </c:pt>
                <c:pt idx="42">
                  <c:v>44071</c:v>
                </c:pt>
                <c:pt idx="43">
                  <c:v>44074</c:v>
                </c:pt>
                <c:pt idx="44">
                  <c:v>44075</c:v>
                </c:pt>
                <c:pt idx="45">
                  <c:v>44076</c:v>
                </c:pt>
                <c:pt idx="46">
                  <c:v>44077</c:v>
                </c:pt>
                <c:pt idx="47">
                  <c:v>44078</c:v>
                </c:pt>
                <c:pt idx="48">
                  <c:v>44082</c:v>
                </c:pt>
                <c:pt idx="49">
                  <c:v>44083</c:v>
                </c:pt>
                <c:pt idx="50">
                  <c:v>44084</c:v>
                </c:pt>
                <c:pt idx="51">
                  <c:v>44085</c:v>
                </c:pt>
                <c:pt idx="52">
                  <c:v>44088</c:v>
                </c:pt>
                <c:pt idx="53">
                  <c:v>44089</c:v>
                </c:pt>
                <c:pt idx="54">
                  <c:v>44090</c:v>
                </c:pt>
                <c:pt idx="55">
                  <c:v>44091</c:v>
                </c:pt>
                <c:pt idx="56">
                  <c:v>44092</c:v>
                </c:pt>
                <c:pt idx="57">
                  <c:v>44095</c:v>
                </c:pt>
                <c:pt idx="58">
                  <c:v>44096</c:v>
                </c:pt>
                <c:pt idx="59">
                  <c:v>44097</c:v>
                </c:pt>
                <c:pt idx="60">
                  <c:v>44098</c:v>
                </c:pt>
                <c:pt idx="61">
                  <c:v>44099</c:v>
                </c:pt>
                <c:pt idx="62">
                  <c:v>44102</c:v>
                </c:pt>
                <c:pt idx="63">
                  <c:v>44103</c:v>
                </c:pt>
                <c:pt idx="64">
                  <c:v>44104</c:v>
                </c:pt>
                <c:pt idx="65">
                  <c:v>44105</c:v>
                </c:pt>
                <c:pt idx="66">
                  <c:v>44106</c:v>
                </c:pt>
                <c:pt idx="67">
                  <c:v>44109</c:v>
                </c:pt>
                <c:pt idx="68">
                  <c:v>44110</c:v>
                </c:pt>
                <c:pt idx="69">
                  <c:v>44111</c:v>
                </c:pt>
                <c:pt idx="70">
                  <c:v>44112</c:v>
                </c:pt>
                <c:pt idx="71">
                  <c:v>44113</c:v>
                </c:pt>
                <c:pt idx="72">
                  <c:v>44117</c:v>
                </c:pt>
                <c:pt idx="73">
                  <c:v>44118</c:v>
                </c:pt>
                <c:pt idx="74">
                  <c:v>44119</c:v>
                </c:pt>
                <c:pt idx="75">
                  <c:v>44120</c:v>
                </c:pt>
                <c:pt idx="76">
                  <c:v>44123</c:v>
                </c:pt>
                <c:pt idx="77">
                  <c:v>44124</c:v>
                </c:pt>
                <c:pt idx="78">
                  <c:v>44125</c:v>
                </c:pt>
                <c:pt idx="79">
                  <c:v>44126</c:v>
                </c:pt>
                <c:pt idx="80">
                  <c:v>44127</c:v>
                </c:pt>
                <c:pt idx="81">
                  <c:v>44130</c:v>
                </c:pt>
                <c:pt idx="82">
                  <c:v>44131</c:v>
                </c:pt>
                <c:pt idx="83">
                  <c:v>44132</c:v>
                </c:pt>
                <c:pt idx="84">
                  <c:v>44133</c:v>
                </c:pt>
                <c:pt idx="85">
                  <c:v>44134</c:v>
                </c:pt>
                <c:pt idx="86">
                  <c:v>44138</c:v>
                </c:pt>
                <c:pt idx="87">
                  <c:v>44139</c:v>
                </c:pt>
                <c:pt idx="88">
                  <c:v>44140</c:v>
                </c:pt>
                <c:pt idx="89">
                  <c:v>44141</c:v>
                </c:pt>
                <c:pt idx="90">
                  <c:v>44144</c:v>
                </c:pt>
                <c:pt idx="91">
                  <c:v>44145</c:v>
                </c:pt>
                <c:pt idx="92">
                  <c:v>44146</c:v>
                </c:pt>
                <c:pt idx="93">
                  <c:v>44147</c:v>
                </c:pt>
                <c:pt idx="94">
                  <c:v>44148</c:v>
                </c:pt>
                <c:pt idx="95">
                  <c:v>44151</c:v>
                </c:pt>
                <c:pt idx="96">
                  <c:v>44152</c:v>
                </c:pt>
                <c:pt idx="97">
                  <c:v>44153</c:v>
                </c:pt>
                <c:pt idx="98">
                  <c:v>44154</c:v>
                </c:pt>
                <c:pt idx="99">
                  <c:v>44155</c:v>
                </c:pt>
                <c:pt idx="100">
                  <c:v>44158</c:v>
                </c:pt>
                <c:pt idx="101">
                  <c:v>44159</c:v>
                </c:pt>
                <c:pt idx="102">
                  <c:v>44160</c:v>
                </c:pt>
                <c:pt idx="103">
                  <c:v>44161</c:v>
                </c:pt>
                <c:pt idx="104">
                  <c:v>44162</c:v>
                </c:pt>
                <c:pt idx="105">
                  <c:v>44165</c:v>
                </c:pt>
                <c:pt idx="106">
                  <c:v>44166</c:v>
                </c:pt>
                <c:pt idx="107">
                  <c:v>44167</c:v>
                </c:pt>
                <c:pt idx="108">
                  <c:v>44168</c:v>
                </c:pt>
                <c:pt idx="109">
                  <c:v>44169</c:v>
                </c:pt>
                <c:pt idx="110">
                  <c:v>44172</c:v>
                </c:pt>
                <c:pt idx="111">
                  <c:v>44173</c:v>
                </c:pt>
                <c:pt idx="112">
                  <c:v>44174</c:v>
                </c:pt>
                <c:pt idx="113">
                  <c:v>44175</c:v>
                </c:pt>
                <c:pt idx="114">
                  <c:v>44176</c:v>
                </c:pt>
                <c:pt idx="115">
                  <c:v>44179</c:v>
                </c:pt>
                <c:pt idx="116">
                  <c:v>44180</c:v>
                </c:pt>
                <c:pt idx="117">
                  <c:v>44181</c:v>
                </c:pt>
                <c:pt idx="118">
                  <c:v>44182</c:v>
                </c:pt>
                <c:pt idx="119">
                  <c:v>44183</c:v>
                </c:pt>
                <c:pt idx="120">
                  <c:v>44186</c:v>
                </c:pt>
                <c:pt idx="121">
                  <c:v>44187</c:v>
                </c:pt>
                <c:pt idx="122">
                  <c:v>44188</c:v>
                </c:pt>
                <c:pt idx="123">
                  <c:v>44189</c:v>
                </c:pt>
                <c:pt idx="124">
                  <c:v>44193</c:v>
                </c:pt>
                <c:pt idx="125">
                  <c:v>44194</c:v>
                </c:pt>
                <c:pt idx="126">
                  <c:v>44195</c:v>
                </c:pt>
                <c:pt idx="127">
                  <c:v>44196</c:v>
                </c:pt>
                <c:pt idx="128">
                  <c:v>44200</c:v>
                </c:pt>
                <c:pt idx="129">
                  <c:v>44201</c:v>
                </c:pt>
                <c:pt idx="130">
                  <c:v>44202</c:v>
                </c:pt>
                <c:pt idx="131">
                  <c:v>44203</c:v>
                </c:pt>
                <c:pt idx="132">
                  <c:v>44204</c:v>
                </c:pt>
                <c:pt idx="133">
                  <c:v>44207</c:v>
                </c:pt>
                <c:pt idx="134">
                  <c:v>44208</c:v>
                </c:pt>
                <c:pt idx="135">
                  <c:v>44209</c:v>
                </c:pt>
                <c:pt idx="136">
                  <c:v>44210</c:v>
                </c:pt>
                <c:pt idx="137">
                  <c:v>44211</c:v>
                </c:pt>
                <c:pt idx="138">
                  <c:v>44214</c:v>
                </c:pt>
                <c:pt idx="139">
                  <c:v>44215</c:v>
                </c:pt>
                <c:pt idx="140">
                  <c:v>44216</c:v>
                </c:pt>
                <c:pt idx="141">
                  <c:v>44217</c:v>
                </c:pt>
                <c:pt idx="142">
                  <c:v>44218</c:v>
                </c:pt>
                <c:pt idx="143">
                  <c:v>44221</c:v>
                </c:pt>
                <c:pt idx="144">
                  <c:v>44222</c:v>
                </c:pt>
                <c:pt idx="145">
                  <c:v>44223</c:v>
                </c:pt>
                <c:pt idx="146">
                  <c:v>44224</c:v>
                </c:pt>
                <c:pt idx="147">
                  <c:v>44225</c:v>
                </c:pt>
                <c:pt idx="148">
                  <c:v>44228</c:v>
                </c:pt>
                <c:pt idx="149">
                  <c:v>44229</c:v>
                </c:pt>
                <c:pt idx="150">
                  <c:v>44230</c:v>
                </c:pt>
                <c:pt idx="151">
                  <c:v>44231</c:v>
                </c:pt>
                <c:pt idx="152">
                  <c:v>44232</c:v>
                </c:pt>
                <c:pt idx="153">
                  <c:v>44235</c:v>
                </c:pt>
                <c:pt idx="154">
                  <c:v>44236</c:v>
                </c:pt>
                <c:pt idx="155">
                  <c:v>44237</c:v>
                </c:pt>
                <c:pt idx="156">
                  <c:v>44238</c:v>
                </c:pt>
                <c:pt idx="157">
                  <c:v>44239</c:v>
                </c:pt>
                <c:pt idx="158">
                  <c:v>44244</c:v>
                </c:pt>
                <c:pt idx="159">
                  <c:v>44245</c:v>
                </c:pt>
                <c:pt idx="160">
                  <c:v>44246</c:v>
                </c:pt>
                <c:pt idx="161">
                  <c:v>44249</c:v>
                </c:pt>
                <c:pt idx="162">
                  <c:v>44250</c:v>
                </c:pt>
                <c:pt idx="163">
                  <c:v>44251</c:v>
                </c:pt>
                <c:pt idx="164">
                  <c:v>44252</c:v>
                </c:pt>
                <c:pt idx="165">
                  <c:v>44253</c:v>
                </c:pt>
                <c:pt idx="166">
                  <c:v>44256</c:v>
                </c:pt>
                <c:pt idx="167">
                  <c:v>44257</c:v>
                </c:pt>
                <c:pt idx="168">
                  <c:v>44258</c:v>
                </c:pt>
                <c:pt idx="169">
                  <c:v>44259</c:v>
                </c:pt>
                <c:pt idx="170">
                  <c:v>44260</c:v>
                </c:pt>
                <c:pt idx="171">
                  <c:v>44263</c:v>
                </c:pt>
                <c:pt idx="172">
                  <c:v>44264</c:v>
                </c:pt>
                <c:pt idx="173">
                  <c:v>44265</c:v>
                </c:pt>
                <c:pt idx="174">
                  <c:v>44266</c:v>
                </c:pt>
                <c:pt idx="175">
                  <c:v>44267</c:v>
                </c:pt>
                <c:pt idx="176">
                  <c:v>44270</c:v>
                </c:pt>
                <c:pt idx="177">
                  <c:v>44271</c:v>
                </c:pt>
                <c:pt idx="178">
                  <c:v>44272</c:v>
                </c:pt>
                <c:pt idx="179">
                  <c:v>44273</c:v>
                </c:pt>
                <c:pt idx="180">
                  <c:v>44274</c:v>
                </c:pt>
                <c:pt idx="181">
                  <c:v>44277</c:v>
                </c:pt>
                <c:pt idx="182">
                  <c:v>44278</c:v>
                </c:pt>
                <c:pt idx="183">
                  <c:v>44279</c:v>
                </c:pt>
                <c:pt idx="184">
                  <c:v>44280</c:v>
                </c:pt>
                <c:pt idx="185">
                  <c:v>44281</c:v>
                </c:pt>
                <c:pt idx="186">
                  <c:v>44284</c:v>
                </c:pt>
                <c:pt idx="187">
                  <c:v>44285</c:v>
                </c:pt>
                <c:pt idx="188">
                  <c:v>44286</c:v>
                </c:pt>
                <c:pt idx="189">
                  <c:v>44287</c:v>
                </c:pt>
                <c:pt idx="190">
                  <c:v>44291</c:v>
                </c:pt>
                <c:pt idx="191">
                  <c:v>44292</c:v>
                </c:pt>
                <c:pt idx="192">
                  <c:v>44293</c:v>
                </c:pt>
                <c:pt idx="193">
                  <c:v>44294</c:v>
                </c:pt>
                <c:pt idx="194">
                  <c:v>44295</c:v>
                </c:pt>
                <c:pt idx="195">
                  <c:v>44298</c:v>
                </c:pt>
                <c:pt idx="196">
                  <c:v>44299</c:v>
                </c:pt>
                <c:pt idx="197">
                  <c:v>44300</c:v>
                </c:pt>
                <c:pt idx="198">
                  <c:v>44301</c:v>
                </c:pt>
                <c:pt idx="199">
                  <c:v>44302</c:v>
                </c:pt>
                <c:pt idx="200">
                  <c:v>44305</c:v>
                </c:pt>
                <c:pt idx="201">
                  <c:v>44306</c:v>
                </c:pt>
                <c:pt idx="202">
                  <c:v>44308</c:v>
                </c:pt>
                <c:pt idx="203">
                  <c:v>44309</c:v>
                </c:pt>
                <c:pt idx="204">
                  <c:v>44312</c:v>
                </c:pt>
                <c:pt idx="205">
                  <c:v>44313</c:v>
                </c:pt>
                <c:pt idx="206">
                  <c:v>44314</c:v>
                </c:pt>
                <c:pt idx="207">
                  <c:v>44315</c:v>
                </c:pt>
                <c:pt idx="208">
                  <c:v>44316</c:v>
                </c:pt>
                <c:pt idx="209">
                  <c:v>44319</c:v>
                </c:pt>
                <c:pt idx="210">
                  <c:v>44320</c:v>
                </c:pt>
                <c:pt idx="211">
                  <c:v>44321</c:v>
                </c:pt>
                <c:pt idx="212">
                  <c:v>44322</c:v>
                </c:pt>
                <c:pt idx="213">
                  <c:v>44323</c:v>
                </c:pt>
                <c:pt idx="214">
                  <c:v>44326</c:v>
                </c:pt>
                <c:pt idx="215">
                  <c:v>44327</c:v>
                </c:pt>
                <c:pt idx="216">
                  <c:v>44328</c:v>
                </c:pt>
                <c:pt idx="217">
                  <c:v>44329</c:v>
                </c:pt>
                <c:pt idx="218">
                  <c:v>44330</c:v>
                </c:pt>
                <c:pt idx="219">
                  <c:v>44333</c:v>
                </c:pt>
                <c:pt idx="220">
                  <c:v>44334</c:v>
                </c:pt>
                <c:pt idx="221">
                  <c:v>44335</c:v>
                </c:pt>
                <c:pt idx="222">
                  <c:v>44336</c:v>
                </c:pt>
                <c:pt idx="223">
                  <c:v>44337</c:v>
                </c:pt>
                <c:pt idx="224">
                  <c:v>44340</c:v>
                </c:pt>
                <c:pt idx="225">
                  <c:v>44341</c:v>
                </c:pt>
                <c:pt idx="226">
                  <c:v>44342</c:v>
                </c:pt>
                <c:pt idx="227">
                  <c:v>44343</c:v>
                </c:pt>
                <c:pt idx="228">
                  <c:v>44344</c:v>
                </c:pt>
                <c:pt idx="229">
                  <c:v>44347</c:v>
                </c:pt>
                <c:pt idx="230">
                  <c:v>44348</c:v>
                </c:pt>
                <c:pt idx="231">
                  <c:v>44349</c:v>
                </c:pt>
                <c:pt idx="232">
                  <c:v>44351</c:v>
                </c:pt>
                <c:pt idx="233">
                  <c:v>44354</c:v>
                </c:pt>
                <c:pt idx="234">
                  <c:v>44355</c:v>
                </c:pt>
                <c:pt idx="235">
                  <c:v>44356</c:v>
                </c:pt>
                <c:pt idx="236">
                  <c:v>44357</c:v>
                </c:pt>
                <c:pt idx="237">
                  <c:v>44358</c:v>
                </c:pt>
                <c:pt idx="238">
                  <c:v>44361</c:v>
                </c:pt>
                <c:pt idx="239">
                  <c:v>44362</c:v>
                </c:pt>
                <c:pt idx="240">
                  <c:v>44363</c:v>
                </c:pt>
                <c:pt idx="241">
                  <c:v>44364</c:v>
                </c:pt>
                <c:pt idx="242">
                  <c:v>44365</c:v>
                </c:pt>
                <c:pt idx="243">
                  <c:v>44368</c:v>
                </c:pt>
                <c:pt idx="244">
                  <c:v>44369</c:v>
                </c:pt>
                <c:pt idx="245">
                  <c:v>44370</c:v>
                </c:pt>
                <c:pt idx="246">
                  <c:v>44371</c:v>
                </c:pt>
                <c:pt idx="247">
                  <c:v>44372</c:v>
                </c:pt>
                <c:pt idx="248">
                  <c:v>44375</c:v>
                </c:pt>
                <c:pt idx="249">
                  <c:v>44376</c:v>
                </c:pt>
                <c:pt idx="250">
                  <c:v>44377</c:v>
                </c:pt>
                <c:pt idx="251">
                  <c:v>44378</c:v>
                </c:pt>
                <c:pt idx="252">
                  <c:v>44379</c:v>
                </c:pt>
                <c:pt idx="253">
                  <c:v>44382</c:v>
                </c:pt>
                <c:pt idx="254">
                  <c:v>44383</c:v>
                </c:pt>
                <c:pt idx="255">
                  <c:v>44384</c:v>
                </c:pt>
                <c:pt idx="256">
                  <c:v>44385</c:v>
                </c:pt>
                <c:pt idx="257">
                  <c:v>44386</c:v>
                </c:pt>
                <c:pt idx="258">
                  <c:v>44389</c:v>
                </c:pt>
                <c:pt idx="259">
                  <c:v>44390</c:v>
                </c:pt>
                <c:pt idx="260">
                  <c:v>44391</c:v>
                </c:pt>
                <c:pt idx="261">
                  <c:v>44392</c:v>
                </c:pt>
                <c:pt idx="262">
                  <c:v>44393</c:v>
                </c:pt>
                <c:pt idx="263">
                  <c:v>44396</c:v>
                </c:pt>
                <c:pt idx="264">
                  <c:v>44397</c:v>
                </c:pt>
                <c:pt idx="265">
                  <c:v>44398</c:v>
                </c:pt>
                <c:pt idx="266">
                  <c:v>44399</c:v>
                </c:pt>
                <c:pt idx="267">
                  <c:v>44400</c:v>
                </c:pt>
                <c:pt idx="268">
                  <c:v>44403</c:v>
                </c:pt>
                <c:pt idx="269">
                  <c:v>44404</c:v>
                </c:pt>
                <c:pt idx="270">
                  <c:v>44405</c:v>
                </c:pt>
                <c:pt idx="271">
                  <c:v>44406</c:v>
                </c:pt>
                <c:pt idx="272">
                  <c:v>44407</c:v>
                </c:pt>
                <c:pt idx="273">
                  <c:v>44410</c:v>
                </c:pt>
                <c:pt idx="274">
                  <c:v>44411</c:v>
                </c:pt>
                <c:pt idx="275">
                  <c:v>44412</c:v>
                </c:pt>
                <c:pt idx="276">
                  <c:v>44413</c:v>
                </c:pt>
                <c:pt idx="277">
                  <c:v>44414</c:v>
                </c:pt>
                <c:pt idx="278">
                  <c:v>44417</c:v>
                </c:pt>
                <c:pt idx="279">
                  <c:v>44418</c:v>
                </c:pt>
                <c:pt idx="280">
                  <c:v>44419</c:v>
                </c:pt>
                <c:pt idx="281">
                  <c:v>44420</c:v>
                </c:pt>
                <c:pt idx="282">
                  <c:v>44421</c:v>
                </c:pt>
                <c:pt idx="283">
                  <c:v>44424</c:v>
                </c:pt>
                <c:pt idx="284">
                  <c:v>44425</c:v>
                </c:pt>
                <c:pt idx="285">
                  <c:v>44426</c:v>
                </c:pt>
                <c:pt idx="286">
                  <c:v>44427</c:v>
                </c:pt>
                <c:pt idx="287">
                  <c:v>44428</c:v>
                </c:pt>
                <c:pt idx="288">
                  <c:v>44431</c:v>
                </c:pt>
                <c:pt idx="289">
                  <c:v>44432</c:v>
                </c:pt>
                <c:pt idx="290">
                  <c:v>44433</c:v>
                </c:pt>
                <c:pt idx="291">
                  <c:v>44434</c:v>
                </c:pt>
                <c:pt idx="292">
                  <c:v>44435</c:v>
                </c:pt>
                <c:pt idx="293">
                  <c:v>44438</c:v>
                </c:pt>
                <c:pt idx="294">
                  <c:v>44439</c:v>
                </c:pt>
                <c:pt idx="295">
                  <c:v>44440</c:v>
                </c:pt>
                <c:pt idx="296">
                  <c:v>44441</c:v>
                </c:pt>
                <c:pt idx="297">
                  <c:v>44442</c:v>
                </c:pt>
                <c:pt idx="298">
                  <c:v>44445</c:v>
                </c:pt>
                <c:pt idx="299">
                  <c:v>44447</c:v>
                </c:pt>
                <c:pt idx="300">
                  <c:v>44448</c:v>
                </c:pt>
                <c:pt idx="301">
                  <c:v>44449</c:v>
                </c:pt>
                <c:pt idx="302">
                  <c:v>44452</c:v>
                </c:pt>
                <c:pt idx="303">
                  <c:v>44453</c:v>
                </c:pt>
                <c:pt idx="304">
                  <c:v>44454</c:v>
                </c:pt>
                <c:pt idx="305">
                  <c:v>44455</c:v>
                </c:pt>
                <c:pt idx="306">
                  <c:v>44456</c:v>
                </c:pt>
                <c:pt idx="307">
                  <c:v>44459</c:v>
                </c:pt>
                <c:pt idx="308">
                  <c:v>44460</c:v>
                </c:pt>
                <c:pt idx="309">
                  <c:v>44461</c:v>
                </c:pt>
                <c:pt idx="310">
                  <c:v>44462</c:v>
                </c:pt>
                <c:pt idx="311">
                  <c:v>44463</c:v>
                </c:pt>
                <c:pt idx="312">
                  <c:v>44466</c:v>
                </c:pt>
                <c:pt idx="313">
                  <c:v>44467</c:v>
                </c:pt>
                <c:pt idx="314">
                  <c:v>44468</c:v>
                </c:pt>
                <c:pt idx="315">
                  <c:v>44469</c:v>
                </c:pt>
                <c:pt idx="316">
                  <c:v>44470</c:v>
                </c:pt>
                <c:pt idx="317">
                  <c:v>44473</c:v>
                </c:pt>
                <c:pt idx="318">
                  <c:v>44474</c:v>
                </c:pt>
                <c:pt idx="319">
                  <c:v>44475</c:v>
                </c:pt>
                <c:pt idx="320">
                  <c:v>44476</c:v>
                </c:pt>
                <c:pt idx="321">
                  <c:v>44477</c:v>
                </c:pt>
                <c:pt idx="322">
                  <c:v>44480</c:v>
                </c:pt>
                <c:pt idx="323">
                  <c:v>44482</c:v>
                </c:pt>
                <c:pt idx="324">
                  <c:v>44483</c:v>
                </c:pt>
                <c:pt idx="325">
                  <c:v>44484</c:v>
                </c:pt>
                <c:pt idx="326">
                  <c:v>44487</c:v>
                </c:pt>
                <c:pt idx="327">
                  <c:v>44488</c:v>
                </c:pt>
                <c:pt idx="328">
                  <c:v>44489</c:v>
                </c:pt>
                <c:pt idx="329">
                  <c:v>44490</c:v>
                </c:pt>
                <c:pt idx="330">
                  <c:v>44491</c:v>
                </c:pt>
                <c:pt idx="331">
                  <c:v>44494</c:v>
                </c:pt>
                <c:pt idx="332">
                  <c:v>44495</c:v>
                </c:pt>
                <c:pt idx="333">
                  <c:v>44496</c:v>
                </c:pt>
                <c:pt idx="334">
                  <c:v>44497</c:v>
                </c:pt>
                <c:pt idx="335">
                  <c:v>44498</c:v>
                </c:pt>
                <c:pt idx="336">
                  <c:v>44501</c:v>
                </c:pt>
                <c:pt idx="337">
                  <c:v>44503</c:v>
                </c:pt>
                <c:pt idx="338">
                  <c:v>44504</c:v>
                </c:pt>
                <c:pt idx="339">
                  <c:v>44505</c:v>
                </c:pt>
                <c:pt idx="340">
                  <c:v>44508</c:v>
                </c:pt>
                <c:pt idx="341">
                  <c:v>44509</c:v>
                </c:pt>
                <c:pt idx="342">
                  <c:v>44510</c:v>
                </c:pt>
                <c:pt idx="343">
                  <c:v>44511</c:v>
                </c:pt>
                <c:pt idx="344">
                  <c:v>44512</c:v>
                </c:pt>
                <c:pt idx="345">
                  <c:v>44516</c:v>
                </c:pt>
                <c:pt idx="346">
                  <c:v>44517</c:v>
                </c:pt>
                <c:pt idx="347">
                  <c:v>44518</c:v>
                </c:pt>
                <c:pt idx="348">
                  <c:v>44519</c:v>
                </c:pt>
                <c:pt idx="349">
                  <c:v>44522</c:v>
                </c:pt>
                <c:pt idx="350">
                  <c:v>44523</c:v>
                </c:pt>
                <c:pt idx="351">
                  <c:v>44524</c:v>
                </c:pt>
                <c:pt idx="352">
                  <c:v>44525</c:v>
                </c:pt>
                <c:pt idx="353">
                  <c:v>44526</c:v>
                </c:pt>
                <c:pt idx="354">
                  <c:v>44529</c:v>
                </c:pt>
                <c:pt idx="355">
                  <c:v>44530</c:v>
                </c:pt>
                <c:pt idx="356">
                  <c:v>44531</c:v>
                </c:pt>
              </c:numCache>
            </c:numRef>
          </c:cat>
          <c:val>
            <c:numRef>
              <c:f>'Exp Annual'!$G$4:$G$461</c:f>
              <c:numCache>
                <c:formatCode>General</c:formatCode>
                <c:ptCount val="458"/>
                <c:pt idx="0">
                  <c:v>4.1500000000000004</c:v>
                </c:pt>
                <c:pt idx="1">
                  <c:v>4.1500000000000004</c:v>
                </c:pt>
                <c:pt idx="2">
                  <c:v>4.1500000000000004</c:v>
                </c:pt>
                <c:pt idx="3">
                  <c:v>4.1500000000000004</c:v>
                </c:pt>
                <c:pt idx="4">
                  <c:v>4.0599999999999996</c:v>
                </c:pt>
                <c:pt idx="5">
                  <c:v>4.0599999999999996</c:v>
                </c:pt>
                <c:pt idx="6">
                  <c:v>4.0599999999999996</c:v>
                </c:pt>
                <c:pt idx="7">
                  <c:v>4.4400000000000004</c:v>
                </c:pt>
                <c:pt idx="8">
                  <c:v>4.4400000000000004</c:v>
                </c:pt>
                <c:pt idx="9">
                  <c:v>4.4400000000000004</c:v>
                </c:pt>
                <c:pt idx="10">
                  <c:v>4.4400000000000004</c:v>
                </c:pt>
                <c:pt idx="11">
                  <c:v>4.4400000000000004</c:v>
                </c:pt>
                <c:pt idx="12">
                  <c:v>4.0599999999999996</c:v>
                </c:pt>
                <c:pt idx="13">
                  <c:v>4.0599999999999996</c:v>
                </c:pt>
                <c:pt idx="14">
                  <c:v>4.0599999999999996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3.75</c:v>
                </c:pt>
                <c:pt idx="27">
                  <c:v>3.96</c:v>
                </c:pt>
                <c:pt idx="28">
                  <c:v>4.4400000000000004</c:v>
                </c:pt>
                <c:pt idx="29">
                  <c:v>4.4400000000000004</c:v>
                </c:pt>
                <c:pt idx="30">
                  <c:v>4.4400000000000004</c:v>
                </c:pt>
                <c:pt idx="31">
                  <c:v>4.4400000000000004</c:v>
                </c:pt>
                <c:pt idx="32">
                  <c:v>4.4400000000000004</c:v>
                </c:pt>
                <c:pt idx="33">
                  <c:v>4.4400000000000004</c:v>
                </c:pt>
                <c:pt idx="34">
                  <c:v>4.4400000000000004</c:v>
                </c:pt>
                <c:pt idx="35">
                  <c:v>4.4400000000000004</c:v>
                </c:pt>
                <c:pt idx="36">
                  <c:v>4.4400000000000004</c:v>
                </c:pt>
                <c:pt idx="37">
                  <c:v>4.4400000000000004</c:v>
                </c:pt>
                <c:pt idx="38">
                  <c:v>4.4400000000000004</c:v>
                </c:pt>
                <c:pt idx="39">
                  <c:v>4.4400000000000004</c:v>
                </c:pt>
                <c:pt idx="40">
                  <c:v>4.4400000000000004</c:v>
                </c:pt>
                <c:pt idx="41">
                  <c:v>4.4400000000000004</c:v>
                </c:pt>
                <c:pt idx="42">
                  <c:v>4.4400000000000004</c:v>
                </c:pt>
                <c:pt idx="43">
                  <c:v>4.58</c:v>
                </c:pt>
                <c:pt idx="44">
                  <c:v>4.58</c:v>
                </c:pt>
                <c:pt idx="45">
                  <c:v>4.58</c:v>
                </c:pt>
                <c:pt idx="46">
                  <c:v>4.58</c:v>
                </c:pt>
                <c:pt idx="47">
                  <c:v>4.58</c:v>
                </c:pt>
                <c:pt idx="48">
                  <c:v>3.96</c:v>
                </c:pt>
                <c:pt idx="49">
                  <c:v>4.4400000000000004</c:v>
                </c:pt>
                <c:pt idx="50">
                  <c:v>4.4400000000000004</c:v>
                </c:pt>
                <c:pt idx="51">
                  <c:v>4.4400000000000004</c:v>
                </c:pt>
                <c:pt idx="52">
                  <c:v>4.4400000000000004</c:v>
                </c:pt>
                <c:pt idx="53">
                  <c:v>4.4400000000000004</c:v>
                </c:pt>
                <c:pt idx="54">
                  <c:v>4.4400000000000004</c:v>
                </c:pt>
                <c:pt idx="55">
                  <c:v>4.4400000000000004</c:v>
                </c:pt>
                <c:pt idx="56">
                  <c:v>4.58</c:v>
                </c:pt>
                <c:pt idx="57">
                  <c:v>4.58</c:v>
                </c:pt>
                <c:pt idx="58">
                  <c:v>4.58</c:v>
                </c:pt>
                <c:pt idx="59">
                  <c:v>4.58</c:v>
                </c:pt>
                <c:pt idx="60">
                  <c:v>4.58</c:v>
                </c:pt>
                <c:pt idx="61">
                  <c:v>4.4400000000000004</c:v>
                </c:pt>
                <c:pt idx="62">
                  <c:v>4.4400000000000004</c:v>
                </c:pt>
                <c:pt idx="63">
                  <c:v>4.4400000000000004</c:v>
                </c:pt>
                <c:pt idx="64">
                  <c:v>3.97</c:v>
                </c:pt>
                <c:pt idx="65">
                  <c:v>3.97</c:v>
                </c:pt>
                <c:pt idx="66">
                  <c:v>3.75</c:v>
                </c:pt>
                <c:pt idx="67">
                  <c:v>3.75</c:v>
                </c:pt>
                <c:pt idx="68">
                  <c:v>3.75</c:v>
                </c:pt>
                <c:pt idx="69">
                  <c:v>3.75</c:v>
                </c:pt>
                <c:pt idx="70">
                  <c:v>3.75</c:v>
                </c:pt>
                <c:pt idx="71">
                  <c:v>4.1500000000000004</c:v>
                </c:pt>
                <c:pt idx="72">
                  <c:v>4.1500000000000004</c:v>
                </c:pt>
                <c:pt idx="73">
                  <c:v>4.1500000000000004</c:v>
                </c:pt>
                <c:pt idx="74">
                  <c:v>4.1500000000000004</c:v>
                </c:pt>
                <c:pt idx="75">
                  <c:v>4.58</c:v>
                </c:pt>
                <c:pt idx="76">
                  <c:v>4.58</c:v>
                </c:pt>
                <c:pt idx="77">
                  <c:v>4.58</c:v>
                </c:pt>
                <c:pt idx="78">
                  <c:v>4.58</c:v>
                </c:pt>
                <c:pt idx="79">
                  <c:v>4.58</c:v>
                </c:pt>
                <c:pt idx="80">
                  <c:v>4.1399999999999997</c:v>
                </c:pt>
                <c:pt idx="81">
                  <c:v>4.1399999999999997</c:v>
                </c:pt>
                <c:pt idx="82">
                  <c:v>4.1399999999999997</c:v>
                </c:pt>
                <c:pt idx="83">
                  <c:v>4.1399999999999997</c:v>
                </c:pt>
                <c:pt idx="84">
                  <c:v>4.1399999999999997</c:v>
                </c:pt>
                <c:pt idx="85">
                  <c:v>4.8099999999999996</c:v>
                </c:pt>
                <c:pt idx="86">
                  <c:v>4.8099999999999996</c:v>
                </c:pt>
                <c:pt idx="87">
                  <c:v>4.8099999999999996</c:v>
                </c:pt>
                <c:pt idx="88">
                  <c:v>4.8099999999999996</c:v>
                </c:pt>
                <c:pt idx="89">
                  <c:v>4.8099999999999996</c:v>
                </c:pt>
                <c:pt idx="90">
                  <c:v>4.2</c:v>
                </c:pt>
                <c:pt idx="91">
                  <c:v>4.2</c:v>
                </c:pt>
                <c:pt idx="92">
                  <c:v>4.2</c:v>
                </c:pt>
                <c:pt idx="93">
                  <c:v>4.2</c:v>
                </c:pt>
                <c:pt idx="94">
                  <c:v>4.26</c:v>
                </c:pt>
                <c:pt idx="95">
                  <c:v>4.26</c:v>
                </c:pt>
                <c:pt idx="96">
                  <c:v>4.26</c:v>
                </c:pt>
                <c:pt idx="97">
                  <c:v>4.26</c:v>
                </c:pt>
                <c:pt idx="98">
                  <c:v>4.26</c:v>
                </c:pt>
                <c:pt idx="99">
                  <c:v>4.12</c:v>
                </c:pt>
                <c:pt idx="100">
                  <c:v>4.12</c:v>
                </c:pt>
                <c:pt idx="101">
                  <c:v>4.12</c:v>
                </c:pt>
                <c:pt idx="102">
                  <c:v>4.12</c:v>
                </c:pt>
                <c:pt idx="103">
                  <c:v>4.12</c:v>
                </c:pt>
                <c:pt idx="104">
                  <c:v>4.1100000000000003</c:v>
                </c:pt>
                <c:pt idx="105">
                  <c:v>4.1100000000000003</c:v>
                </c:pt>
                <c:pt idx="106">
                  <c:v>4.1100000000000003</c:v>
                </c:pt>
                <c:pt idx="107">
                  <c:v>4.1100000000000003</c:v>
                </c:pt>
                <c:pt idx="108">
                  <c:v>4.1100000000000003</c:v>
                </c:pt>
                <c:pt idx="109">
                  <c:v>4.1100000000000003</c:v>
                </c:pt>
                <c:pt idx="110">
                  <c:v>4.1100000000000003</c:v>
                </c:pt>
                <c:pt idx="111">
                  <c:v>4.18</c:v>
                </c:pt>
                <c:pt idx="112">
                  <c:v>4.18</c:v>
                </c:pt>
                <c:pt idx="113">
                  <c:v>4.18</c:v>
                </c:pt>
                <c:pt idx="114">
                  <c:v>4.18</c:v>
                </c:pt>
                <c:pt idx="115">
                  <c:v>4.18</c:v>
                </c:pt>
                <c:pt idx="116">
                  <c:v>4.01</c:v>
                </c:pt>
                <c:pt idx="117">
                  <c:v>4.01</c:v>
                </c:pt>
                <c:pt idx="118">
                  <c:v>4.01</c:v>
                </c:pt>
                <c:pt idx="119">
                  <c:v>4.05</c:v>
                </c:pt>
                <c:pt idx="120">
                  <c:v>4.05</c:v>
                </c:pt>
                <c:pt idx="121">
                  <c:v>4.05</c:v>
                </c:pt>
                <c:pt idx="122">
                  <c:v>4.18</c:v>
                </c:pt>
                <c:pt idx="123">
                  <c:v>4.18</c:v>
                </c:pt>
                <c:pt idx="124">
                  <c:v>4.18</c:v>
                </c:pt>
                <c:pt idx="125">
                  <c:v>4.18</c:v>
                </c:pt>
                <c:pt idx="126">
                  <c:v>4.18</c:v>
                </c:pt>
                <c:pt idx="127">
                  <c:v>4.18</c:v>
                </c:pt>
                <c:pt idx="128">
                  <c:v>4.18</c:v>
                </c:pt>
                <c:pt idx="129">
                  <c:v>4.18</c:v>
                </c:pt>
                <c:pt idx="130">
                  <c:v>4.18</c:v>
                </c:pt>
                <c:pt idx="131">
                  <c:v>4.18</c:v>
                </c:pt>
                <c:pt idx="132">
                  <c:v>4.18</c:v>
                </c:pt>
                <c:pt idx="133">
                  <c:v>4.18</c:v>
                </c:pt>
                <c:pt idx="134">
                  <c:v>4.13</c:v>
                </c:pt>
                <c:pt idx="135">
                  <c:v>4.24</c:v>
                </c:pt>
                <c:pt idx="136">
                  <c:v>4.24</c:v>
                </c:pt>
                <c:pt idx="137">
                  <c:v>4.26</c:v>
                </c:pt>
                <c:pt idx="138">
                  <c:v>4.26</c:v>
                </c:pt>
                <c:pt idx="139">
                  <c:v>4.26</c:v>
                </c:pt>
                <c:pt idx="140">
                  <c:v>4.26</c:v>
                </c:pt>
                <c:pt idx="141">
                  <c:v>4.26</c:v>
                </c:pt>
                <c:pt idx="142">
                  <c:v>4.24</c:v>
                </c:pt>
                <c:pt idx="143">
                  <c:v>4.24</c:v>
                </c:pt>
                <c:pt idx="144">
                  <c:v>4.24</c:v>
                </c:pt>
                <c:pt idx="145">
                  <c:v>4.24</c:v>
                </c:pt>
                <c:pt idx="146">
                  <c:v>4.24</c:v>
                </c:pt>
                <c:pt idx="147">
                  <c:v>4.1900000000000004</c:v>
                </c:pt>
                <c:pt idx="148">
                  <c:v>4.22</c:v>
                </c:pt>
                <c:pt idx="149">
                  <c:v>4.22</c:v>
                </c:pt>
                <c:pt idx="150">
                  <c:v>4.22</c:v>
                </c:pt>
                <c:pt idx="151">
                  <c:v>4.22</c:v>
                </c:pt>
                <c:pt idx="152">
                  <c:v>4.25</c:v>
                </c:pt>
                <c:pt idx="153">
                  <c:v>4.25</c:v>
                </c:pt>
                <c:pt idx="154">
                  <c:v>4.18</c:v>
                </c:pt>
                <c:pt idx="155">
                  <c:v>4.2699999999999996</c:v>
                </c:pt>
                <c:pt idx="156">
                  <c:v>4.2699999999999996</c:v>
                </c:pt>
                <c:pt idx="157">
                  <c:v>4.3</c:v>
                </c:pt>
                <c:pt idx="158">
                  <c:v>4.37</c:v>
                </c:pt>
                <c:pt idx="159">
                  <c:v>4.47</c:v>
                </c:pt>
                <c:pt idx="160">
                  <c:v>4.6100000000000003</c:v>
                </c:pt>
                <c:pt idx="161">
                  <c:v>4.6100000000000003</c:v>
                </c:pt>
                <c:pt idx="162">
                  <c:v>4.6100000000000003</c:v>
                </c:pt>
                <c:pt idx="163">
                  <c:v>4.6100000000000003</c:v>
                </c:pt>
                <c:pt idx="164">
                  <c:v>4.6100000000000003</c:v>
                </c:pt>
                <c:pt idx="165">
                  <c:v>4.6100000000000003</c:v>
                </c:pt>
                <c:pt idx="166">
                  <c:v>4.6100000000000003</c:v>
                </c:pt>
                <c:pt idx="167">
                  <c:v>4.6100000000000003</c:v>
                </c:pt>
                <c:pt idx="168">
                  <c:v>4.6900000000000004</c:v>
                </c:pt>
                <c:pt idx="169">
                  <c:v>4.6900000000000004</c:v>
                </c:pt>
                <c:pt idx="170">
                  <c:v>4.74</c:v>
                </c:pt>
                <c:pt idx="171">
                  <c:v>5.0999999999999996</c:v>
                </c:pt>
                <c:pt idx="172">
                  <c:v>5.0999999999999996</c:v>
                </c:pt>
                <c:pt idx="173">
                  <c:v>5.0999999999999996</c:v>
                </c:pt>
                <c:pt idx="174">
                  <c:v>5.45</c:v>
                </c:pt>
                <c:pt idx="175">
                  <c:v>5.54</c:v>
                </c:pt>
                <c:pt idx="176">
                  <c:v>5.54</c:v>
                </c:pt>
                <c:pt idx="177">
                  <c:v>5.54</c:v>
                </c:pt>
                <c:pt idx="178">
                  <c:v>5.54</c:v>
                </c:pt>
                <c:pt idx="179">
                  <c:v>5.74</c:v>
                </c:pt>
                <c:pt idx="180">
                  <c:v>5.74</c:v>
                </c:pt>
                <c:pt idx="181">
                  <c:v>5.74</c:v>
                </c:pt>
                <c:pt idx="182">
                  <c:v>5.74</c:v>
                </c:pt>
                <c:pt idx="183">
                  <c:v>5.74</c:v>
                </c:pt>
                <c:pt idx="184">
                  <c:v>5.71</c:v>
                </c:pt>
                <c:pt idx="185">
                  <c:v>5.71</c:v>
                </c:pt>
                <c:pt idx="186">
                  <c:v>6.26</c:v>
                </c:pt>
                <c:pt idx="187">
                  <c:v>6.26</c:v>
                </c:pt>
                <c:pt idx="188">
                  <c:v>6.2591999999999999</c:v>
                </c:pt>
                <c:pt idx="189">
                  <c:v>6.2591999999999999</c:v>
                </c:pt>
                <c:pt idx="190">
                  <c:v>6.2591999999999999</c:v>
                </c:pt>
                <c:pt idx="191">
                  <c:v>5.383</c:v>
                </c:pt>
                <c:pt idx="192">
                  <c:v>5.383</c:v>
                </c:pt>
                <c:pt idx="193">
                  <c:v>5.5204000000000004</c:v>
                </c:pt>
                <c:pt idx="194">
                  <c:v>5.8482000000000003</c:v>
                </c:pt>
                <c:pt idx="195">
                  <c:v>5.8482000000000003</c:v>
                </c:pt>
                <c:pt idx="196">
                  <c:v>5.8482000000000003</c:v>
                </c:pt>
                <c:pt idx="197">
                  <c:v>5.8482000000000003</c:v>
                </c:pt>
                <c:pt idx="198">
                  <c:v>5.8482000000000003</c:v>
                </c:pt>
                <c:pt idx="199">
                  <c:v>5.6479999999999997</c:v>
                </c:pt>
                <c:pt idx="200">
                  <c:v>6.5140000000000002</c:v>
                </c:pt>
                <c:pt idx="201">
                  <c:v>6.5140000000000002</c:v>
                </c:pt>
                <c:pt idx="202">
                  <c:v>6.4391999999999996</c:v>
                </c:pt>
                <c:pt idx="203">
                  <c:v>6.9390999999999998</c:v>
                </c:pt>
                <c:pt idx="204">
                  <c:v>6.9390999999999998</c:v>
                </c:pt>
                <c:pt idx="205">
                  <c:v>6.9390999999999998</c:v>
                </c:pt>
                <c:pt idx="206">
                  <c:v>6.9390999999999998</c:v>
                </c:pt>
                <c:pt idx="207">
                  <c:v>6.9390999999999998</c:v>
                </c:pt>
                <c:pt idx="208">
                  <c:v>6.4286000000000003</c:v>
                </c:pt>
                <c:pt idx="209">
                  <c:v>6.4286000000000003</c:v>
                </c:pt>
                <c:pt idx="210">
                  <c:v>6.4286000000000003</c:v>
                </c:pt>
                <c:pt idx="211">
                  <c:v>6.4286000000000003</c:v>
                </c:pt>
                <c:pt idx="212">
                  <c:v>6.4286000000000003</c:v>
                </c:pt>
                <c:pt idx="213">
                  <c:v>5.6894</c:v>
                </c:pt>
                <c:pt idx="214">
                  <c:v>5.6894</c:v>
                </c:pt>
                <c:pt idx="215">
                  <c:v>5.8792</c:v>
                </c:pt>
                <c:pt idx="216">
                  <c:v>6.5448000000000004</c:v>
                </c:pt>
                <c:pt idx="217">
                  <c:v>6.5448000000000004</c:v>
                </c:pt>
                <c:pt idx="218">
                  <c:v>6.5448000000000004</c:v>
                </c:pt>
                <c:pt idx="219">
                  <c:v>6.5448000000000004</c:v>
                </c:pt>
                <c:pt idx="220">
                  <c:v>6.5448000000000004</c:v>
                </c:pt>
                <c:pt idx="221">
                  <c:v>6.0587999999999997</c:v>
                </c:pt>
                <c:pt idx="222">
                  <c:v>6.0587999999999997</c:v>
                </c:pt>
                <c:pt idx="223">
                  <c:v>6.1115000000000004</c:v>
                </c:pt>
                <c:pt idx="224">
                  <c:v>6.1115000000000004</c:v>
                </c:pt>
                <c:pt idx="225">
                  <c:v>6.2066999999999997</c:v>
                </c:pt>
                <c:pt idx="226">
                  <c:v>6.2066999999999997</c:v>
                </c:pt>
                <c:pt idx="227">
                  <c:v>6.2066999999999997</c:v>
                </c:pt>
                <c:pt idx="228">
                  <c:v>6.2380000000000004</c:v>
                </c:pt>
                <c:pt idx="229">
                  <c:v>6.2380000000000004</c:v>
                </c:pt>
                <c:pt idx="230">
                  <c:v>6.2380000000000004</c:v>
                </c:pt>
                <c:pt idx="231">
                  <c:v>6.2380000000000004</c:v>
                </c:pt>
                <c:pt idx="232">
                  <c:v>6.2066999999999997</c:v>
                </c:pt>
                <c:pt idx="233">
                  <c:v>6.2066999999999997</c:v>
                </c:pt>
                <c:pt idx="234">
                  <c:v>6.3337000000000003</c:v>
                </c:pt>
                <c:pt idx="235">
                  <c:v>6.6938000000000004</c:v>
                </c:pt>
                <c:pt idx="236">
                  <c:v>6.9922000000000004</c:v>
                </c:pt>
                <c:pt idx="237">
                  <c:v>7.0022000000000002</c:v>
                </c:pt>
                <c:pt idx="238">
                  <c:v>7.0022000000000002</c:v>
                </c:pt>
                <c:pt idx="239">
                  <c:v>7.0022000000000002</c:v>
                </c:pt>
                <c:pt idx="240">
                  <c:v>7.0022000000000002</c:v>
                </c:pt>
                <c:pt idx="241">
                  <c:v>7.0022000000000002</c:v>
                </c:pt>
                <c:pt idx="242">
                  <c:v>6.9922000000000004</c:v>
                </c:pt>
                <c:pt idx="243">
                  <c:v>6.9922000000000004</c:v>
                </c:pt>
                <c:pt idx="244">
                  <c:v>6.9390000000000001</c:v>
                </c:pt>
                <c:pt idx="245">
                  <c:v>6.9490999999999996</c:v>
                </c:pt>
                <c:pt idx="246">
                  <c:v>6.9490999999999996</c:v>
                </c:pt>
                <c:pt idx="247">
                  <c:v>6.9490999999999996</c:v>
                </c:pt>
                <c:pt idx="248">
                  <c:v>6.9490999999999996</c:v>
                </c:pt>
                <c:pt idx="249">
                  <c:v>7.0986000000000002</c:v>
                </c:pt>
                <c:pt idx="250">
                  <c:v>7.0986000000000002</c:v>
                </c:pt>
                <c:pt idx="251">
                  <c:v>7.2584999999999997</c:v>
                </c:pt>
                <c:pt idx="252">
                  <c:v>7.2584999999999997</c:v>
                </c:pt>
                <c:pt idx="253">
                  <c:v>7.2584999999999997</c:v>
                </c:pt>
                <c:pt idx="254">
                  <c:v>7.2584999999999997</c:v>
                </c:pt>
                <c:pt idx="255">
                  <c:v>7.3541999999999996</c:v>
                </c:pt>
                <c:pt idx="256">
                  <c:v>7.2794999999999996</c:v>
                </c:pt>
                <c:pt idx="257">
                  <c:v>7.2794999999999996</c:v>
                </c:pt>
                <c:pt idx="258">
                  <c:v>7.6315999999999997</c:v>
                </c:pt>
                <c:pt idx="259">
                  <c:v>7.6315999999999997</c:v>
                </c:pt>
                <c:pt idx="260">
                  <c:v>7.6315999999999997</c:v>
                </c:pt>
                <c:pt idx="261">
                  <c:v>7.6315999999999997</c:v>
                </c:pt>
                <c:pt idx="262">
                  <c:v>7.7382999999999997</c:v>
                </c:pt>
                <c:pt idx="263">
                  <c:v>7.7382999999999997</c:v>
                </c:pt>
                <c:pt idx="264">
                  <c:v>7.7382999999999997</c:v>
                </c:pt>
                <c:pt idx="265">
                  <c:v>7.7382999999999997</c:v>
                </c:pt>
                <c:pt idx="266">
                  <c:v>7.7382999999999997</c:v>
                </c:pt>
                <c:pt idx="267">
                  <c:v>7.8879000000000001</c:v>
                </c:pt>
                <c:pt idx="268">
                  <c:v>7.8879000000000001</c:v>
                </c:pt>
                <c:pt idx="269">
                  <c:v>7.8879000000000001</c:v>
                </c:pt>
                <c:pt idx="270">
                  <c:v>7.8879000000000001</c:v>
                </c:pt>
                <c:pt idx="271">
                  <c:v>7.8879000000000001</c:v>
                </c:pt>
                <c:pt idx="272">
                  <c:v>8.1891999999999996</c:v>
                </c:pt>
                <c:pt idx="273">
                  <c:v>8.1891999999999996</c:v>
                </c:pt>
                <c:pt idx="274">
                  <c:v>8.1891999999999996</c:v>
                </c:pt>
                <c:pt idx="275">
                  <c:v>8.1891999999999996</c:v>
                </c:pt>
                <c:pt idx="276">
                  <c:v>8.1891999999999996</c:v>
                </c:pt>
                <c:pt idx="277">
                  <c:v>7.6307</c:v>
                </c:pt>
                <c:pt idx="278">
                  <c:v>7.6307</c:v>
                </c:pt>
                <c:pt idx="279">
                  <c:v>7.6257000000000001</c:v>
                </c:pt>
                <c:pt idx="280">
                  <c:v>7.6257000000000001</c:v>
                </c:pt>
                <c:pt idx="281">
                  <c:v>7.6257000000000001</c:v>
                </c:pt>
                <c:pt idx="282">
                  <c:v>7.8994999999999997</c:v>
                </c:pt>
                <c:pt idx="283">
                  <c:v>7.8994999999999997</c:v>
                </c:pt>
                <c:pt idx="284">
                  <c:v>7.8994999999999997</c:v>
                </c:pt>
                <c:pt idx="285">
                  <c:v>7.8994999999999997</c:v>
                </c:pt>
                <c:pt idx="286">
                  <c:v>8.4906000000000006</c:v>
                </c:pt>
                <c:pt idx="287">
                  <c:v>8.4906000000000006</c:v>
                </c:pt>
                <c:pt idx="288">
                  <c:v>8.4906000000000006</c:v>
                </c:pt>
                <c:pt idx="289">
                  <c:v>8.4906000000000006</c:v>
                </c:pt>
                <c:pt idx="290">
                  <c:v>8.4906000000000006</c:v>
                </c:pt>
                <c:pt idx="291">
                  <c:v>8.0966000000000005</c:v>
                </c:pt>
                <c:pt idx="292">
                  <c:v>8.35</c:v>
                </c:pt>
                <c:pt idx="293">
                  <c:v>8.4896999999999991</c:v>
                </c:pt>
                <c:pt idx="294">
                  <c:v>8.4896999999999991</c:v>
                </c:pt>
                <c:pt idx="295">
                  <c:v>8.4896999999999991</c:v>
                </c:pt>
                <c:pt idx="296">
                  <c:v>8.4896999999999991</c:v>
                </c:pt>
                <c:pt idx="297">
                  <c:v>8.6405999999999992</c:v>
                </c:pt>
                <c:pt idx="298">
                  <c:v>8.6405999999999992</c:v>
                </c:pt>
                <c:pt idx="299">
                  <c:v>8.6405999999999992</c:v>
                </c:pt>
                <c:pt idx="300">
                  <c:v>8.7698999999999998</c:v>
                </c:pt>
                <c:pt idx="301">
                  <c:v>8.7698999999999998</c:v>
                </c:pt>
                <c:pt idx="302">
                  <c:v>8.7698999999999998</c:v>
                </c:pt>
                <c:pt idx="303">
                  <c:v>8.7170000000000005</c:v>
                </c:pt>
                <c:pt idx="304">
                  <c:v>8.7675999999999998</c:v>
                </c:pt>
                <c:pt idx="305">
                  <c:v>9.2025000000000006</c:v>
                </c:pt>
                <c:pt idx="306">
                  <c:v>9.1918000000000006</c:v>
                </c:pt>
                <c:pt idx="307">
                  <c:v>9.1918000000000006</c:v>
                </c:pt>
                <c:pt idx="308">
                  <c:v>9.1918000000000006</c:v>
                </c:pt>
                <c:pt idx="309">
                  <c:v>9.1918000000000006</c:v>
                </c:pt>
                <c:pt idx="310">
                  <c:v>9.1918000000000006</c:v>
                </c:pt>
                <c:pt idx="311">
                  <c:v>9.2022999999999993</c:v>
                </c:pt>
                <c:pt idx="312">
                  <c:v>9.2022999999999993</c:v>
                </c:pt>
                <c:pt idx="313">
                  <c:v>9.2022999999999993</c:v>
                </c:pt>
                <c:pt idx="314">
                  <c:v>9.2022999999999993</c:v>
                </c:pt>
                <c:pt idx="315">
                  <c:v>9.2022999999999993</c:v>
                </c:pt>
                <c:pt idx="316">
                  <c:v>9.3756000000000004</c:v>
                </c:pt>
                <c:pt idx="317">
                  <c:v>9.3756000000000004</c:v>
                </c:pt>
                <c:pt idx="318">
                  <c:v>9.3756000000000004</c:v>
                </c:pt>
                <c:pt idx="319">
                  <c:v>9.3756000000000004</c:v>
                </c:pt>
                <c:pt idx="320">
                  <c:v>9.3756000000000004</c:v>
                </c:pt>
                <c:pt idx="321">
                  <c:v>9.1160999999999994</c:v>
                </c:pt>
                <c:pt idx="322">
                  <c:v>9.5393000000000008</c:v>
                </c:pt>
                <c:pt idx="323">
                  <c:v>9.5393000000000008</c:v>
                </c:pt>
                <c:pt idx="324">
                  <c:v>9.4740000000000002</c:v>
                </c:pt>
                <c:pt idx="325">
                  <c:v>9.4981000000000009</c:v>
                </c:pt>
                <c:pt idx="326">
                  <c:v>9.4981000000000009</c:v>
                </c:pt>
                <c:pt idx="327">
                  <c:v>9.4740000000000002</c:v>
                </c:pt>
                <c:pt idx="328">
                  <c:v>9.4740000000000002</c:v>
                </c:pt>
                <c:pt idx="329">
                  <c:v>9.4740000000000002</c:v>
                </c:pt>
                <c:pt idx="330">
                  <c:v>9.6588999999999992</c:v>
                </c:pt>
                <c:pt idx="331">
                  <c:v>9.6588999999999992</c:v>
                </c:pt>
                <c:pt idx="332">
                  <c:v>9.8323</c:v>
                </c:pt>
                <c:pt idx="333">
                  <c:v>10.014799999999999</c:v>
                </c:pt>
                <c:pt idx="334">
                  <c:v>10.014799999999999</c:v>
                </c:pt>
                <c:pt idx="335">
                  <c:v>9.8652999999999995</c:v>
                </c:pt>
                <c:pt idx="336">
                  <c:v>9.8652999999999995</c:v>
                </c:pt>
                <c:pt idx="337">
                  <c:v>9.9743999999999993</c:v>
                </c:pt>
                <c:pt idx="338">
                  <c:v>9.9743999999999993</c:v>
                </c:pt>
                <c:pt idx="339">
                  <c:v>9.9743999999999993</c:v>
                </c:pt>
                <c:pt idx="340">
                  <c:v>10.1271</c:v>
                </c:pt>
                <c:pt idx="341">
                  <c:v>10.1271</c:v>
                </c:pt>
                <c:pt idx="342">
                  <c:v>10.52</c:v>
                </c:pt>
                <c:pt idx="343">
                  <c:v>10.52</c:v>
                </c:pt>
                <c:pt idx="344">
                  <c:v>10.5307</c:v>
                </c:pt>
                <c:pt idx="345">
                  <c:v>10.5307</c:v>
                </c:pt>
                <c:pt idx="346">
                  <c:v>10.5307</c:v>
                </c:pt>
                <c:pt idx="347">
                  <c:v>10.5746</c:v>
                </c:pt>
                <c:pt idx="348">
                  <c:v>10.5747</c:v>
                </c:pt>
                <c:pt idx="349">
                  <c:v>10.5747</c:v>
                </c:pt>
                <c:pt idx="350">
                  <c:v>10.5747</c:v>
                </c:pt>
                <c:pt idx="351">
                  <c:v>10.5747</c:v>
                </c:pt>
                <c:pt idx="352">
                  <c:v>10.5747</c:v>
                </c:pt>
                <c:pt idx="353">
                  <c:v>10.563499999999999</c:v>
                </c:pt>
                <c:pt idx="354">
                  <c:v>10.563499999999999</c:v>
                </c:pt>
                <c:pt idx="355">
                  <c:v>10.563499999999999</c:v>
                </c:pt>
                <c:pt idx="356">
                  <c:v>10.563499999999999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DD-4CDB-B67A-07656B511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dateAx>
        <c:axId val="9901735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Offset val="100"/>
        <c:baseTimeUnit val="days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'Exp 12 Months'!$J$1:$P$1</c:f>
          <c:strCache>
            <c:ptCount val="7"/>
            <c:pt idx="0">
              <c:v>FOCUS forecast for IGP-DI 12 months ahead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'Exp 12 Months'!$E$3</c:f>
              <c:strCache>
                <c:ptCount val="1"/>
                <c:pt idx="0">
                  <c:v>Minimo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'Exp 12 Months'!$D$4:$D$189</c:f>
              <c:numCache>
                <c:formatCode>m/d/yyyy</c:formatCode>
                <c:ptCount val="186"/>
                <c:pt idx="0">
                  <c:v>43861</c:v>
                </c:pt>
                <c:pt idx="1">
                  <c:v>43864</c:v>
                </c:pt>
                <c:pt idx="2">
                  <c:v>43865</c:v>
                </c:pt>
                <c:pt idx="3">
                  <c:v>43866</c:v>
                </c:pt>
                <c:pt idx="4">
                  <c:v>43867</c:v>
                </c:pt>
                <c:pt idx="5">
                  <c:v>43868</c:v>
                </c:pt>
                <c:pt idx="6">
                  <c:v>43871</c:v>
                </c:pt>
                <c:pt idx="7">
                  <c:v>43872</c:v>
                </c:pt>
                <c:pt idx="8">
                  <c:v>43873</c:v>
                </c:pt>
                <c:pt idx="9">
                  <c:v>43874</c:v>
                </c:pt>
                <c:pt idx="10">
                  <c:v>43875</c:v>
                </c:pt>
                <c:pt idx="11">
                  <c:v>43878</c:v>
                </c:pt>
                <c:pt idx="12">
                  <c:v>43879</c:v>
                </c:pt>
                <c:pt idx="13">
                  <c:v>43880</c:v>
                </c:pt>
                <c:pt idx="14">
                  <c:v>43881</c:v>
                </c:pt>
                <c:pt idx="15">
                  <c:v>43882</c:v>
                </c:pt>
                <c:pt idx="16">
                  <c:v>43887</c:v>
                </c:pt>
                <c:pt idx="17">
                  <c:v>43888</c:v>
                </c:pt>
                <c:pt idx="18">
                  <c:v>43889</c:v>
                </c:pt>
                <c:pt idx="19">
                  <c:v>43892</c:v>
                </c:pt>
                <c:pt idx="20">
                  <c:v>43893</c:v>
                </c:pt>
                <c:pt idx="21">
                  <c:v>43894</c:v>
                </c:pt>
                <c:pt idx="22">
                  <c:v>43895</c:v>
                </c:pt>
                <c:pt idx="23">
                  <c:v>43896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43906</c:v>
                </c:pt>
                <c:pt idx="30">
                  <c:v>43907</c:v>
                </c:pt>
                <c:pt idx="31">
                  <c:v>43908</c:v>
                </c:pt>
                <c:pt idx="32">
                  <c:v>43909</c:v>
                </c:pt>
                <c:pt idx="33">
                  <c:v>43910</c:v>
                </c:pt>
                <c:pt idx="34">
                  <c:v>43913</c:v>
                </c:pt>
                <c:pt idx="35">
                  <c:v>43914</c:v>
                </c:pt>
                <c:pt idx="36">
                  <c:v>43915</c:v>
                </c:pt>
                <c:pt idx="37">
                  <c:v>43916</c:v>
                </c:pt>
                <c:pt idx="38">
                  <c:v>43917</c:v>
                </c:pt>
                <c:pt idx="39">
                  <c:v>43920</c:v>
                </c:pt>
                <c:pt idx="40">
                  <c:v>43921</c:v>
                </c:pt>
                <c:pt idx="41">
                  <c:v>43922</c:v>
                </c:pt>
                <c:pt idx="42">
                  <c:v>43923</c:v>
                </c:pt>
                <c:pt idx="43">
                  <c:v>43924</c:v>
                </c:pt>
                <c:pt idx="44">
                  <c:v>43929</c:v>
                </c:pt>
                <c:pt idx="45">
                  <c:v>43928</c:v>
                </c:pt>
                <c:pt idx="46">
                  <c:v>43927</c:v>
                </c:pt>
                <c:pt idx="47">
                  <c:v>43930</c:v>
                </c:pt>
                <c:pt idx="48">
                  <c:v>43934</c:v>
                </c:pt>
                <c:pt idx="49">
                  <c:v>43935</c:v>
                </c:pt>
                <c:pt idx="50">
                  <c:v>43936</c:v>
                </c:pt>
                <c:pt idx="51">
                  <c:v>43937</c:v>
                </c:pt>
                <c:pt idx="52">
                  <c:v>43938</c:v>
                </c:pt>
                <c:pt idx="53">
                  <c:v>43941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43955</c:v>
                </c:pt>
                <c:pt idx="62">
                  <c:v>43956</c:v>
                </c:pt>
                <c:pt idx="63">
                  <c:v>43957</c:v>
                </c:pt>
                <c:pt idx="64">
                  <c:v>43958</c:v>
                </c:pt>
                <c:pt idx="65">
                  <c:v>43959</c:v>
                </c:pt>
                <c:pt idx="66">
                  <c:v>43962</c:v>
                </c:pt>
                <c:pt idx="67">
                  <c:v>43963</c:v>
                </c:pt>
                <c:pt idx="68">
                  <c:v>43964</c:v>
                </c:pt>
                <c:pt idx="69">
                  <c:v>43965</c:v>
                </c:pt>
                <c:pt idx="70">
                  <c:v>43966</c:v>
                </c:pt>
                <c:pt idx="71">
                  <c:v>43969</c:v>
                </c:pt>
                <c:pt idx="72">
                  <c:v>43970</c:v>
                </c:pt>
                <c:pt idx="73">
                  <c:v>43971</c:v>
                </c:pt>
                <c:pt idx="74">
                  <c:v>43972</c:v>
                </c:pt>
                <c:pt idx="75">
                  <c:v>43973</c:v>
                </c:pt>
                <c:pt idx="76">
                  <c:v>43976</c:v>
                </c:pt>
                <c:pt idx="77">
                  <c:v>43977</c:v>
                </c:pt>
                <c:pt idx="78">
                  <c:v>43978</c:v>
                </c:pt>
                <c:pt idx="79">
                  <c:v>43979</c:v>
                </c:pt>
                <c:pt idx="80">
                  <c:v>43980</c:v>
                </c:pt>
                <c:pt idx="81">
                  <c:v>43983</c:v>
                </c:pt>
                <c:pt idx="82">
                  <c:v>43984</c:v>
                </c:pt>
                <c:pt idx="83">
                  <c:v>43985</c:v>
                </c:pt>
                <c:pt idx="84">
                  <c:v>43986</c:v>
                </c:pt>
                <c:pt idx="85">
                  <c:v>43987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43994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44008</c:v>
                </c:pt>
                <c:pt idx="94">
                  <c:v>44007</c:v>
                </c:pt>
                <c:pt idx="95">
                  <c:v>44006</c:v>
                </c:pt>
                <c:pt idx="96">
                  <c:v>44005</c:v>
                </c:pt>
                <c:pt idx="97">
                  <c:v>44004</c:v>
                </c:pt>
                <c:pt idx="98">
                  <c:v>44001</c:v>
                </c:pt>
                <c:pt idx="99">
                  <c:v>44000</c:v>
                </c:pt>
                <c:pt idx="100">
                  <c:v>44011</c:v>
                </c:pt>
                <c:pt idx="101">
                  <c:v>44013</c:v>
                </c:pt>
                <c:pt idx="102">
                  <c:v>44012</c:v>
                </c:pt>
                <c:pt idx="103">
                  <c:v>44014</c:v>
                </c:pt>
                <c:pt idx="104">
                  <c:v>44015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44025</c:v>
                </c:pt>
                <c:pt idx="111">
                  <c:v>44026</c:v>
                </c:pt>
                <c:pt idx="112">
                  <c:v>44028</c:v>
                </c:pt>
                <c:pt idx="113">
                  <c:v>44027</c:v>
                </c:pt>
                <c:pt idx="114">
                  <c:v>44029</c:v>
                </c:pt>
                <c:pt idx="115">
                  <c:v>44032</c:v>
                </c:pt>
                <c:pt idx="116">
                  <c:v>44033</c:v>
                </c:pt>
                <c:pt idx="117">
                  <c:v>44034</c:v>
                </c:pt>
                <c:pt idx="118">
                  <c:v>44035</c:v>
                </c:pt>
                <c:pt idx="119">
                  <c:v>44036</c:v>
                </c:pt>
                <c:pt idx="120">
                  <c:v>44039</c:v>
                </c:pt>
                <c:pt idx="121">
                  <c:v>44040</c:v>
                </c:pt>
                <c:pt idx="122">
                  <c:v>44041</c:v>
                </c:pt>
                <c:pt idx="123">
                  <c:v>44042</c:v>
                </c:pt>
                <c:pt idx="124">
                  <c:v>44043</c:v>
                </c:pt>
                <c:pt idx="125">
                  <c:v>44046</c:v>
                </c:pt>
                <c:pt idx="126">
                  <c:v>44047</c:v>
                </c:pt>
                <c:pt idx="127">
                  <c:v>44048</c:v>
                </c:pt>
                <c:pt idx="128">
                  <c:v>44049</c:v>
                </c:pt>
                <c:pt idx="129">
                  <c:v>44050</c:v>
                </c:pt>
                <c:pt idx="130">
                  <c:v>44053</c:v>
                </c:pt>
                <c:pt idx="131">
                  <c:v>44054</c:v>
                </c:pt>
                <c:pt idx="132">
                  <c:v>44055</c:v>
                </c:pt>
                <c:pt idx="133">
                  <c:v>44056</c:v>
                </c:pt>
                <c:pt idx="134">
                  <c:v>44057</c:v>
                </c:pt>
                <c:pt idx="135">
                  <c:v>44060</c:v>
                </c:pt>
                <c:pt idx="136">
                  <c:v>44061</c:v>
                </c:pt>
                <c:pt idx="137">
                  <c:v>44062</c:v>
                </c:pt>
                <c:pt idx="138">
                  <c:v>44063</c:v>
                </c:pt>
                <c:pt idx="139">
                  <c:v>44064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44074</c:v>
                </c:pt>
                <c:pt idx="146">
                  <c:v>44075</c:v>
                </c:pt>
                <c:pt idx="147">
                  <c:v>44076</c:v>
                </c:pt>
                <c:pt idx="148">
                  <c:v>44077</c:v>
                </c:pt>
                <c:pt idx="149">
                  <c:v>44078</c:v>
                </c:pt>
                <c:pt idx="150">
                  <c:v>44082</c:v>
                </c:pt>
                <c:pt idx="151">
                  <c:v>44083</c:v>
                </c:pt>
                <c:pt idx="152">
                  <c:v>44084</c:v>
                </c:pt>
                <c:pt idx="153">
                  <c:v>44085</c:v>
                </c:pt>
                <c:pt idx="154">
                  <c:v>44088</c:v>
                </c:pt>
                <c:pt idx="155">
                  <c:v>44089</c:v>
                </c:pt>
                <c:pt idx="156">
                  <c:v>44090</c:v>
                </c:pt>
                <c:pt idx="157">
                  <c:v>44091</c:v>
                </c:pt>
                <c:pt idx="158">
                  <c:v>44092</c:v>
                </c:pt>
                <c:pt idx="159">
                  <c:v>44095</c:v>
                </c:pt>
                <c:pt idx="160">
                  <c:v>44096</c:v>
                </c:pt>
                <c:pt idx="161">
                  <c:v>44097</c:v>
                </c:pt>
                <c:pt idx="162">
                  <c:v>44098</c:v>
                </c:pt>
                <c:pt idx="163">
                  <c:v>44099</c:v>
                </c:pt>
                <c:pt idx="164">
                  <c:v>44102</c:v>
                </c:pt>
                <c:pt idx="165">
                  <c:v>44103</c:v>
                </c:pt>
                <c:pt idx="166">
                  <c:v>44104</c:v>
                </c:pt>
                <c:pt idx="167">
                  <c:v>44105</c:v>
                </c:pt>
                <c:pt idx="168">
                  <c:v>44106</c:v>
                </c:pt>
                <c:pt idx="169">
                  <c:v>44109</c:v>
                </c:pt>
                <c:pt idx="170">
                  <c:v>44110</c:v>
                </c:pt>
                <c:pt idx="171">
                  <c:v>44111</c:v>
                </c:pt>
                <c:pt idx="172">
                  <c:v>44112</c:v>
                </c:pt>
                <c:pt idx="173">
                  <c:v>44113</c:v>
                </c:pt>
                <c:pt idx="174">
                  <c:v>44117</c:v>
                </c:pt>
                <c:pt idx="175">
                  <c:v>44118</c:v>
                </c:pt>
                <c:pt idx="176">
                  <c:v>44119</c:v>
                </c:pt>
                <c:pt idx="177">
                  <c:v>44120</c:v>
                </c:pt>
                <c:pt idx="178">
                  <c:v>44123</c:v>
                </c:pt>
                <c:pt idx="179">
                  <c:v>44124</c:v>
                </c:pt>
                <c:pt idx="180">
                  <c:v>44125</c:v>
                </c:pt>
                <c:pt idx="181">
                  <c:v>44126</c:v>
                </c:pt>
                <c:pt idx="182">
                  <c:v>44127</c:v>
                </c:pt>
                <c:pt idx="183">
                  <c:v>44130</c:v>
                </c:pt>
                <c:pt idx="184">
                  <c:v>44131</c:v>
                </c:pt>
                <c:pt idx="185">
                  <c:v>44132</c:v>
                </c:pt>
              </c:numCache>
            </c:numRef>
          </c:cat>
          <c:val>
            <c:numRef>
              <c:f>'Exp 12 Months'!$E$4:$E$189</c:f>
              <c:numCache>
                <c:formatCode>General</c:formatCode>
                <c:ptCount val="186"/>
                <c:pt idx="0">
                  <c:v>1.41</c:v>
                </c:pt>
                <c:pt idx="1">
                  <c:v>1.41</c:v>
                </c:pt>
                <c:pt idx="2">
                  <c:v>1.41</c:v>
                </c:pt>
                <c:pt idx="3">
                  <c:v>1.41</c:v>
                </c:pt>
                <c:pt idx="4">
                  <c:v>1.41</c:v>
                </c:pt>
                <c:pt idx="5">
                  <c:v>1.41</c:v>
                </c:pt>
                <c:pt idx="6">
                  <c:v>1.41</c:v>
                </c:pt>
                <c:pt idx="7">
                  <c:v>1.41</c:v>
                </c:pt>
                <c:pt idx="8">
                  <c:v>1.41</c:v>
                </c:pt>
                <c:pt idx="9">
                  <c:v>1.41</c:v>
                </c:pt>
                <c:pt idx="10">
                  <c:v>1.41</c:v>
                </c:pt>
                <c:pt idx="11">
                  <c:v>1.41</c:v>
                </c:pt>
                <c:pt idx="12">
                  <c:v>1.41</c:v>
                </c:pt>
                <c:pt idx="13">
                  <c:v>1.41</c:v>
                </c:pt>
                <c:pt idx="14">
                  <c:v>1.41</c:v>
                </c:pt>
                <c:pt idx="15">
                  <c:v>1.41</c:v>
                </c:pt>
                <c:pt idx="16">
                  <c:v>2.8</c:v>
                </c:pt>
                <c:pt idx="17">
                  <c:v>2.8</c:v>
                </c:pt>
                <c:pt idx="18">
                  <c:v>1.41</c:v>
                </c:pt>
                <c:pt idx="19">
                  <c:v>1.41</c:v>
                </c:pt>
                <c:pt idx="20">
                  <c:v>1.41</c:v>
                </c:pt>
                <c:pt idx="21">
                  <c:v>1.41</c:v>
                </c:pt>
                <c:pt idx="22">
                  <c:v>1.41</c:v>
                </c:pt>
                <c:pt idx="23">
                  <c:v>1.41</c:v>
                </c:pt>
                <c:pt idx="24">
                  <c:v>1.41</c:v>
                </c:pt>
                <c:pt idx="25">
                  <c:v>1.41</c:v>
                </c:pt>
                <c:pt idx="26">
                  <c:v>1.41</c:v>
                </c:pt>
                <c:pt idx="27">
                  <c:v>1.41</c:v>
                </c:pt>
                <c:pt idx="28">
                  <c:v>1.41</c:v>
                </c:pt>
                <c:pt idx="29">
                  <c:v>1.41</c:v>
                </c:pt>
                <c:pt idx="30">
                  <c:v>1.41</c:v>
                </c:pt>
                <c:pt idx="31">
                  <c:v>1.41</c:v>
                </c:pt>
                <c:pt idx="32">
                  <c:v>1.41</c:v>
                </c:pt>
                <c:pt idx="33">
                  <c:v>1.41</c:v>
                </c:pt>
                <c:pt idx="34">
                  <c:v>1.41</c:v>
                </c:pt>
                <c:pt idx="35">
                  <c:v>1.41</c:v>
                </c:pt>
                <c:pt idx="36">
                  <c:v>1.41</c:v>
                </c:pt>
                <c:pt idx="37">
                  <c:v>1.41</c:v>
                </c:pt>
                <c:pt idx="38">
                  <c:v>1.41</c:v>
                </c:pt>
                <c:pt idx="39">
                  <c:v>3.06</c:v>
                </c:pt>
                <c:pt idx="40">
                  <c:v>3.06</c:v>
                </c:pt>
                <c:pt idx="41">
                  <c:v>3.06</c:v>
                </c:pt>
                <c:pt idx="42">
                  <c:v>3.06</c:v>
                </c:pt>
                <c:pt idx="43">
                  <c:v>3.06</c:v>
                </c:pt>
                <c:pt idx="44">
                  <c:v>3.28</c:v>
                </c:pt>
                <c:pt idx="45">
                  <c:v>3.34</c:v>
                </c:pt>
                <c:pt idx="46">
                  <c:v>3.34</c:v>
                </c:pt>
                <c:pt idx="47">
                  <c:v>3.28</c:v>
                </c:pt>
                <c:pt idx="48">
                  <c:v>2.77</c:v>
                </c:pt>
                <c:pt idx="49">
                  <c:v>2.77</c:v>
                </c:pt>
                <c:pt idx="50">
                  <c:v>2.77</c:v>
                </c:pt>
                <c:pt idx="51">
                  <c:v>2.77</c:v>
                </c:pt>
                <c:pt idx="52">
                  <c:v>2.77</c:v>
                </c:pt>
                <c:pt idx="53">
                  <c:v>2.82</c:v>
                </c:pt>
                <c:pt idx="54">
                  <c:v>2.82</c:v>
                </c:pt>
                <c:pt idx="55">
                  <c:v>2.82</c:v>
                </c:pt>
                <c:pt idx="56">
                  <c:v>2.82</c:v>
                </c:pt>
                <c:pt idx="57">
                  <c:v>2.82</c:v>
                </c:pt>
                <c:pt idx="58">
                  <c:v>2.82</c:v>
                </c:pt>
                <c:pt idx="59">
                  <c:v>2.17</c:v>
                </c:pt>
                <c:pt idx="60">
                  <c:v>2.17</c:v>
                </c:pt>
                <c:pt idx="61">
                  <c:v>2.17</c:v>
                </c:pt>
                <c:pt idx="62">
                  <c:v>2.17</c:v>
                </c:pt>
                <c:pt idx="63">
                  <c:v>2.17</c:v>
                </c:pt>
                <c:pt idx="64">
                  <c:v>2.17</c:v>
                </c:pt>
                <c:pt idx="65">
                  <c:v>2.12</c:v>
                </c:pt>
                <c:pt idx="66">
                  <c:v>2.12</c:v>
                </c:pt>
                <c:pt idx="67">
                  <c:v>2.12</c:v>
                </c:pt>
                <c:pt idx="68">
                  <c:v>1.61</c:v>
                </c:pt>
                <c:pt idx="69">
                  <c:v>1.61</c:v>
                </c:pt>
                <c:pt idx="70">
                  <c:v>1.61</c:v>
                </c:pt>
                <c:pt idx="71">
                  <c:v>1.61</c:v>
                </c:pt>
                <c:pt idx="72">
                  <c:v>1.61</c:v>
                </c:pt>
                <c:pt idx="73">
                  <c:v>1.61</c:v>
                </c:pt>
                <c:pt idx="74">
                  <c:v>1.61</c:v>
                </c:pt>
                <c:pt idx="75">
                  <c:v>1.61</c:v>
                </c:pt>
                <c:pt idx="76">
                  <c:v>1.61</c:v>
                </c:pt>
                <c:pt idx="77">
                  <c:v>1.61</c:v>
                </c:pt>
                <c:pt idx="78">
                  <c:v>1.61</c:v>
                </c:pt>
                <c:pt idx="79">
                  <c:v>1.61</c:v>
                </c:pt>
                <c:pt idx="80">
                  <c:v>1.61</c:v>
                </c:pt>
                <c:pt idx="81">
                  <c:v>1.61</c:v>
                </c:pt>
                <c:pt idx="82">
                  <c:v>1.61</c:v>
                </c:pt>
                <c:pt idx="83">
                  <c:v>1.61</c:v>
                </c:pt>
                <c:pt idx="84">
                  <c:v>1.61</c:v>
                </c:pt>
                <c:pt idx="85">
                  <c:v>1.61</c:v>
                </c:pt>
                <c:pt idx="86">
                  <c:v>1.61</c:v>
                </c:pt>
                <c:pt idx="87">
                  <c:v>1.61</c:v>
                </c:pt>
                <c:pt idx="88">
                  <c:v>1.61</c:v>
                </c:pt>
                <c:pt idx="89">
                  <c:v>1.61</c:v>
                </c:pt>
                <c:pt idx="90">
                  <c:v>2.4700000000000002</c:v>
                </c:pt>
                <c:pt idx="91">
                  <c:v>2.4700000000000002</c:v>
                </c:pt>
                <c:pt idx="92">
                  <c:v>2.44</c:v>
                </c:pt>
                <c:pt idx="93">
                  <c:v>2.44</c:v>
                </c:pt>
                <c:pt idx="94">
                  <c:v>2.44</c:v>
                </c:pt>
                <c:pt idx="95">
                  <c:v>2.44</c:v>
                </c:pt>
                <c:pt idx="96">
                  <c:v>2.44</c:v>
                </c:pt>
                <c:pt idx="97">
                  <c:v>2.44</c:v>
                </c:pt>
                <c:pt idx="98">
                  <c:v>2.44</c:v>
                </c:pt>
                <c:pt idx="99">
                  <c:v>2.44</c:v>
                </c:pt>
                <c:pt idx="100">
                  <c:v>2.4700000000000002</c:v>
                </c:pt>
                <c:pt idx="101">
                  <c:v>2.4700000000000002</c:v>
                </c:pt>
                <c:pt idx="102">
                  <c:v>2.4700000000000002</c:v>
                </c:pt>
                <c:pt idx="103">
                  <c:v>2.4700000000000002</c:v>
                </c:pt>
                <c:pt idx="104">
                  <c:v>2.4700000000000002</c:v>
                </c:pt>
                <c:pt idx="105">
                  <c:v>2.4700000000000002</c:v>
                </c:pt>
                <c:pt idx="106">
                  <c:v>2.4700000000000002</c:v>
                </c:pt>
                <c:pt idx="107">
                  <c:v>2.02</c:v>
                </c:pt>
                <c:pt idx="108">
                  <c:v>2.02</c:v>
                </c:pt>
                <c:pt idx="109">
                  <c:v>2.02</c:v>
                </c:pt>
                <c:pt idx="110">
                  <c:v>3.03</c:v>
                </c:pt>
                <c:pt idx="111">
                  <c:v>3.03</c:v>
                </c:pt>
                <c:pt idx="112">
                  <c:v>3.03</c:v>
                </c:pt>
                <c:pt idx="113">
                  <c:v>3.03</c:v>
                </c:pt>
                <c:pt idx="114">
                  <c:v>3.03</c:v>
                </c:pt>
                <c:pt idx="115">
                  <c:v>3.03</c:v>
                </c:pt>
                <c:pt idx="116">
                  <c:v>3.03</c:v>
                </c:pt>
                <c:pt idx="117">
                  <c:v>3.04</c:v>
                </c:pt>
                <c:pt idx="118">
                  <c:v>3.04</c:v>
                </c:pt>
                <c:pt idx="119">
                  <c:v>3.04</c:v>
                </c:pt>
                <c:pt idx="120">
                  <c:v>3.04</c:v>
                </c:pt>
                <c:pt idx="121">
                  <c:v>3.04</c:v>
                </c:pt>
                <c:pt idx="122">
                  <c:v>3.04</c:v>
                </c:pt>
                <c:pt idx="123">
                  <c:v>3.04</c:v>
                </c:pt>
                <c:pt idx="124">
                  <c:v>3.38</c:v>
                </c:pt>
                <c:pt idx="125">
                  <c:v>3.38</c:v>
                </c:pt>
                <c:pt idx="126">
                  <c:v>3.38</c:v>
                </c:pt>
                <c:pt idx="127">
                  <c:v>3.38</c:v>
                </c:pt>
                <c:pt idx="128">
                  <c:v>1.34</c:v>
                </c:pt>
                <c:pt idx="129">
                  <c:v>1.34</c:v>
                </c:pt>
                <c:pt idx="130">
                  <c:v>1.34</c:v>
                </c:pt>
                <c:pt idx="131">
                  <c:v>1.34</c:v>
                </c:pt>
                <c:pt idx="132">
                  <c:v>1.34</c:v>
                </c:pt>
                <c:pt idx="133">
                  <c:v>1.34</c:v>
                </c:pt>
                <c:pt idx="134">
                  <c:v>2.4500000000000002</c:v>
                </c:pt>
                <c:pt idx="135">
                  <c:v>2.4500000000000002</c:v>
                </c:pt>
                <c:pt idx="136">
                  <c:v>2.4500000000000002</c:v>
                </c:pt>
                <c:pt idx="137">
                  <c:v>2.4500000000000002</c:v>
                </c:pt>
                <c:pt idx="138">
                  <c:v>2.4500000000000002</c:v>
                </c:pt>
                <c:pt idx="139">
                  <c:v>2.4500000000000002</c:v>
                </c:pt>
                <c:pt idx="140">
                  <c:v>2.5299999999999998</c:v>
                </c:pt>
                <c:pt idx="141">
                  <c:v>2.5299999999999998</c:v>
                </c:pt>
                <c:pt idx="142">
                  <c:v>2.5299999999999998</c:v>
                </c:pt>
                <c:pt idx="143">
                  <c:v>2.5299999999999998</c:v>
                </c:pt>
                <c:pt idx="144">
                  <c:v>3.43</c:v>
                </c:pt>
                <c:pt idx="145">
                  <c:v>3.43</c:v>
                </c:pt>
                <c:pt idx="146">
                  <c:v>2.4300000000000002</c:v>
                </c:pt>
                <c:pt idx="147">
                  <c:v>2.4300000000000002</c:v>
                </c:pt>
                <c:pt idx="148">
                  <c:v>2.4300000000000002</c:v>
                </c:pt>
                <c:pt idx="149">
                  <c:v>2.4300000000000002</c:v>
                </c:pt>
                <c:pt idx="150">
                  <c:v>2.5299999999999998</c:v>
                </c:pt>
                <c:pt idx="151">
                  <c:v>2.5299999999999998</c:v>
                </c:pt>
                <c:pt idx="152">
                  <c:v>2.5299999999999998</c:v>
                </c:pt>
                <c:pt idx="153">
                  <c:v>2.5299999999999998</c:v>
                </c:pt>
                <c:pt idx="154">
                  <c:v>2.5299999999999998</c:v>
                </c:pt>
                <c:pt idx="155">
                  <c:v>2.5299999999999998</c:v>
                </c:pt>
                <c:pt idx="156">
                  <c:v>2.5299999999999998</c:v>
                </c:pt>
                <c:pt idx="157">
                  <c:v>2.5299999999999998</c:v>
                </c:pt>
                <c:pt idx="158">
                  <c:v>2.5299999999999998</c:v>
                </c:pt>
                <c:pt idx="159">
                  <c:v>2.5299999999999998</c:v>
                </c:pt>
                <c:pt idx="160">
                  <c:v>2.5299999999999998</c:v>
                </c:pt>
                <c:pt idx="161">
                  <c:v>2.5299999999999998</c:v>
                </c:pt>
                <c:pt idx="162">
                  <c:v>2.5299999999999998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2.2000000000000002</c:v>
                </c:pt>
                <c:pt idx="166">
                  <c:v>2.2000000000000002</c:v>
                </c:pt>
                <c:pt idx="167">
                  <c:v>2.2000000000000002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2.2000000000000002</c:v>
                </c:pt>
                <c:pt idx="171">
                  <c:v>0.99</c:v>
                </c:pt>
                <c:pt idx="172">
                  <c:v>0.99</c:v>
                </c:pt>
                <c:pt idx="173">
                  <c:v>0.99</c:v>
                </c:pt>
                <c:pt idx="174">
                  <c:v>0.99</c:v>
                </c:pt>
                <c:pt idx="175">
                  <c:v>0.99</c:v>
                </c:pt>
                <c:pt idx="176">
                  <c:v>0.99</c:v>
                </c:pt>
                <c:pt idx="177">
                  <c:v>0.99</c:v>
                </c:pt>
                <c:pt idx="178">
                  <c:v>0.99</c:v>
                </c:pt>
                <c:pt idx="179">
                  <c:v>0.99</c:v>
                </c:pt>
                <c:pt idx="180">
                  <c:v>0.99</c:v>
                </c:pt>
                <c:pt idx="181">
                  <c:v>0.99</c:v>
                </c:pt>
                <c:pt idx="182">
                  <c:v>0.99</c:v>
                </c:pt>
                <c:pt idx="183">
                  <c:v>0.99</c:v>
                </c:pt>
                <c:pt idx="184">
                  <c:v>0.99</c:v>
                </c:pt>
                <c:pt idx="185">
                  <c:v>0.99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97-4A74-A1EC-7FDE743632F3}"/>
            </c:ext>
          </c:extLst>
        </c:ser>
        <c:ser>
          <c:idx val="2"/>
          <c:order val="1"/>
          <c:tx>
            <c:strRef>
              <c:f>'Exp 12 Months'!$F$3</c:f>
              <c:strCache>
                <c:ptCount val="1"/>
                <c:pt idx="0">
                  <c:v>Mediana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'Exp 12 Months'!$D$4:$D$189</c:f>
              <c:numCache>
                <c:formatCode>m/d/yyyy</c:formatCode>
                <c:ptCount val="186"/>
                <c:pt idx="0">
                  <c:v>43861</c:v>
                </c:pt>
                <c:pt idx="1">
                  <c:v>43864</c:v>
                </c:pt>
                <c:pt idx="2">
                  <c:v>43865</c:v>
                </c:pt>
                <c:pt idx="3">
                  <c:v>43866</c:v>
                </c:pt>
                <c:pt idx="4">
                  <c:v>43867</c:v>
                </c:pt>
                <c:pt idx="5">
                  <c:v>43868</c:v>
                </c:pt>
                <c:pt idx="6">
                  <c:v>43871</c:v>
                </c:pt>
                <c:pt idx="7">
                  <c:v>43872</c:v>
                </c:pt>
                <c:pt idx="8">
                  <c:v>43873</c:v>
                </c:pt>
                <c:pt idx="9">
                  <c:v>43874</c:v>
                </c:pt>
                <c:pt idx="10">
                  <c:v>43875</c:v>
                </c:pt>
                <c:pt idx="11">
                  <c:v>43878</c:v>
                </c:pt>
                <c:pt idx="12">
                  <c:v>43879</c:v>
                </c:pt>
                <c:pt idx="13">
                  <c:v>43880</c:v>
                </c:pt>
                <c:pt idx="14">
                  <c:v>43881</c:v>
                </c:pt>
                <c:pt idx="15">
                  <c:v>43882</c:v>
                </c:pt>
                <c:pt idx="16">
                  <c:v>43887</c:v>
                </c:pt>
                <c:pt idx="17">
                  <c:v>43888</c:v>
                </c:pt>
                <c:pt idx="18">
                  <c:v>43889</c:v>
                </c:pt>
                <c:pt idx="19">
                  <c:v>43892</c:v>
                </c:pt>
                <c:pt idx="20">
                  <c:v>43893</c:v>
                </c:pt>
                <c:pt idx="21">
                  <c:v>43894</c:v>
                </c:pt>
                <c:pt idx="22">
                  <c:v>43895</c:v>
                </c:pt>
                <c:pt idx="23">
                  <c:v>43896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43906</c:v>
                </c:pt>
                <c:pt idx="30">
                  <c:v>43907</c:v>
                </c:pt>
                <c:pt idx="31">
                  <c:v>43908</c:v>
                </c:pt>
                <c:pt idx="32">
                  <c:v>43909</c:v>
                </c:pt>
                <c:pt idx="33">
                  <c:v>43910</c:v>
                </c:pt>
                <c:pt idx="34">
                  <c:v>43913</c:v>
                </c:pt>
                <c:pt idx="35">
                  <c:v>43914</c:v>
                </c:pt>
                <c:pt idx="36">
                  <c:v>43915</c:v>
                </c:pt>
                <c:pt idx="37">
                  <c:v>43916</c:v>
                </c:pt>
                <c:pt idx="38">
                  <c:v>43917</c:v>
                </c:pt>
                <c:pt idx="39">
                  <c:v>43920</c:v>
                </c:pt>
                <c:pt idx="40">
                  <c:v>43921</c:v>
                </c:pt>
                <c:pt idx="41">
                  <c:v>43922</c:v>
                </c:pt>
                <c:pt idx="42">
                  <c:v>43923</c:v>
                </c:pt>
                <c:pt idx="43">
                  <c:v>43924</c:v>
                </c:pt>
                <c:pt idx="44">
                  <c:v>43929</c:v>
                </c:pt>
                <c:pt idx="45">
                  <c:v>43928</c:v>
                </c:pt>
                <c:pt idx="46">
                  <c:v>43927</c:v>
                </c:pt>
                <c:pt idx="47">
                  <c:v>43930</c:v>
                </c:pt>
                <c:pt idx="48">
                  <c:v>43934</c:v>
                </c:pt>
                <c:pt idx="49">
                  <c:v>43935</c:v>
                </c:pt>
                <c:pt idx="50">
                  <c:v>43936</c:v>
                </c:pt>
                <c:pt idx="51">
                  <c:v>43937</c:v>
                </c:pt>
                <c:pt idx="52">
                  <c:v>43938</c:v>
                </c:pt>
                <c:pt idx="53">
                  <c:v>43941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43955</c:v>
                </c:pt>
                <c:pt idx="62">
                  <c:v>43956</c:v>
                </c:pt>
                <c:pt idx="63">
                  <c:v>43957</c:v>
                </c:pt>
                <c:pt idx="64">
                  <c:v>43958</c:v>
                </c:pt>
                <c:pt idx="65">
                  <c:v>43959</c:v>
                </c:pt>
                <c:pt idx="66">
                  <c:v>43962</c:v>
                </c:pt>
                <c:pt idx="67">
                  <c:v>43963</c:v>
                </c:pt>
                <c:pt idx="68">
                  <c:v>43964</c:v>
                </c:pt>
                <c:pt idx="69">
                  <c:v>43965</c:v>
                </c:pt>
                <c:pt idx="70">
                  <c:v>43966</c:v>
                </c:pt>
                <c:pt idx="71">
                  <c:v>43969</c:v>
                </c:pt>
                <c:pt idx="72">
                  <c:v>43970</c:v>
                </c:pt>
                <c:pt idx="73">
                  <c:v>43971</c:v>
                </c:pt>
                <c:pt idx="74">
                  <c:v>43972</c:v>
                </c:pt>
                <c:pt idx="75">
                  <c:v>43973</c:v>
                </c:pt>
                <c:pt idx="76">
                  <c:v>43976</c:v>
                </c:pt>
                <c:pt idx="77">
                  <c:v>43977</c:v>
                </c:pt>
                <c:pt idx="78">
                  <c:v>43978</c:v>
                </c:pt>
                <c:pt idx="79">
                  <c:v>43979</c:v>
                </c:pt>
                <c:pt idx="80">
                  <c:v>43980</c:v>
                </c:pt>
                <c:pt idx="81">
                  <c:v>43983</c:v>
                </c:pt>
                <c:pt idx="82">
                  <c:v>43984</c:v>
                </c:pt>
                <c:pt idx="83">
                  <c:v>43985</c:v>
                </c:pt>
                <c:pt idx="84">
                  <c:v>43986</c:v>
                </c:pt>
                <c:pt idx="85">
                  <c:v>43987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43994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44008</c:v>
                </c:pt>
                <c:pt idx="94">
                  <c:v>44007</c:v>
                </c:pt>
                <c:pt idx="95">
                  <c:v>44006</c:v>
                </c:pt>
                <c:pt idx="96">
                  <c:v>44005</c:v>
                </c:pt>
                <c:pt idx="97">
                  <c:v>44004</c:v>
                </c:pt>
                <c:pt idx="98">
                  <c:v>44001</c:v>
                </c:pt>
                <c:pt idx="99">
                  <c:v>44000</c:v>
                </c:pt>
                <c:pt idx="100">
                  <c:v>44011</c:v>
                </c:pt>
                <c:pt idx="101">
                  <c:v>44013</c:v>
                </c:pt>
                <c:pt idx="102">
                  <c:v>44012</c:v>
                </c:pt>
                <c:pt idx="103">
                  <c:v>44014</c:v>
                </c:pt>
                <c:pt idx="104">
                  <c:v>44015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44025</c:v>
                </c:pt>
                <c:pt idx="111">
                  <c:v>44026</c:v>
                </c:pt>
                <c:pt idx="112">
                  <c:v>44028</c:v>
                </c:pt>
                <c:pt idx="113">
                  <c:v>44027</c:v>
                </c:pt>
                <c:pt idx="114">
                  <c:v>44029</c:v>
                </c:pt>
                <c:pt idx="115">
                  <c:v>44032</c:v>
                </c:pt>
                <c:pt idx="116">
                  <c:v>44033</c:v>
                </c:pt>
                <c:pt idx="117">
                  <c:v>44034</c:v>
                </c:pt>
                <c:pt idx="118">
                  <c:v>44035</c:v>
                </c:pt>
                <c:pt idx="119">
                  <c:v>44036</c:v>
                </c:pt>
                <c:pt idx="120">
                  <c:v>44039</c:v>
                </c:pt>
                <c:pt idx="121">
                  <c:v>44040</c:v>
                </c:pt>
                <c:pt idx="122">
                  <c:v>44041</c:v>
                </c:pt>
                <c:pt idx="123">
                  <c:v>44042</c:v>
                </c:pt>
                <c:pt idx="124">
                  <c:v>44043</c:v>
                </c:pt>
                <c:pt idx="125">
                  <c:v>44046</c:v>
                </c:pt>
                <c:pt idx="126">
                  <c:v>44047</c:v>
                </c:pt>
                <c:pt idx="127">
                  <c:v>44048</c:v>
                </c:pt>
                <c:pt idx="128">
                  <c:v>44049</c:v>
                </c:pt>
                <c:pt idx="129">
                  <c:v>44050</c:v>
                </c:pt>
                <c:pt idx="130">
                  <c:v>44053</c:v>
                </c:pt>
                <c:pt idx="131">
                  <c:v>44054</c:v>
                </c:pt>
                <c:pt idx="132">
                  <c:v>44055</c:v>
                </c:pt>
                <c:pt idx="133">
                  <c:v>44056</c:v>
                </c:pt>
                <c:pt idx="134">
                  <c:v>44057</c:v>
                </c:pt>
                <c:pt idx="135">
                  <c:v>44060</c:v>
                </c:pt>
                <c:pt idx="136">
                  <c:v>44061</c:v>
                </c:pt>
                <c:pt idx="137">
                  <c:v>44062</c:v>
                </c:pt>
                <c:pt idx="138">
                  <c:v>44063</c:v>
                </c:pt>
                <c:pt idx="139">
                  <c:v>44064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44074</c:v>
                </c:pt>
                <c:pt idx="146">
                  <c:v>44075</c:v>
                </c:pt>
                <c:pt idx="147">
                  <c:v>44076</c:v>
                </c:pt>
                <c:pt idx="148">
                  <c:v>44077</c:v>
                </c:pt>
                <c:pt idx="149">
                  <c:v>44078</c:v>
                </c:pt>
                <c:pt idx="150">
                  <c:v>44082</c:v>
                </c:pt>
                <c:pt idx="151">
                  <c:v>44083</c:v>
                </c:pt>
                <c:pt idx="152">
                  <c:v>44084</c:v>
                </c:pt>
                <c:pt idx="153">
                  <c:v>44085</c:v>
                </c:pt>
                <c:pt idx="154">
                  <c:v>44088</c:v>
                </c:pt>
                <c:pt idx="155">
                  <c:v>44089</c:v>
                </c:pt>
                <c:pt idx="156">
                  <c:v>44090</c:v>
                </c:pt>
                <c:pt idx="157">
                  <c:v>44091</c:v>
                </c:pt>
                <c:pt idx="158">
                  <c:v>44092</c:v>
                </c:pt>
                <c:pt idx="159">
                  <c:v>44095</c:v>
                </c:pt>
                <c:pt idx="160">
                  <c:v>44096</c:v>
                </c:pt>
                <c:pt idx="161">
                  <c:v>44097</c:v>
                </c:pt>
                <c:pt idx="162">
                  <c:v>44098</c:v>
                </c:pt>
                <c:pt idx="163">
                  <c:v>44099</c:v>
                </c:pt>
                <c:pt idx="164">
                  <c:v>44102</c:v>
                </c:pt>
                <c:pt idx="165">
                  <c:v>44103</c:v>
                </c:pt>
                <c:pt idx="166">
                  <c:v>44104</c:v>
                </c:pt>
                <c:pt idx="167">
                  <c:v>44105</c:v>
                </c:pt>
                <c:pt idx="168">
                  <c:v>44106</c:v>
                </c:pt>
                <c:pt idx="169">
                  <c:v>44109</c:v>
                </c:pt>
                <c:pt idx="170">
                  <c:v>44110</c:v>
                </c:pt>
                <c:pt idx="171">
                  <c:v>44111</c:v>
                </c:pt>
                <c:pt idx="172">
                  <c:v>44112</c:v>
                </c:pt>
                <c:pt idx="173">
                  <c:v>44113</c:v>
                </c:pt>
                <c:pt idx="174">
                  <c:v>44117</c:v>
                </c:pt>
                <c:pt idx="175">
                  <c:v>44118</c:v>
                </c:pt>
                <c:pt idx="176">
                  <c:v>44119</c:v>
                </c:pt>
                <c:pt idx="177">
                  <c:v>44120</c:v>
                </c:pt>
                <c:pt idx="178">
                  <c:v>44123</c:v>
                </c:pt>
                <c:pt idx="179">
                  <c:v>44124</c:v>
                </c:pt>
                <c:pt idx="180">
                  <c:v>44125</c:v>
                </c:pt>
                <c:pt idx="181">
                  <c:v>44126</c:v>
                </c:pt>
                <c:pt idx="182">
                  <c:v>44127</c:v>
                </c:pt>
                <c:pt idx="183">
                  <c:v>44130</c:v>
                </c:pt>
                <c:pt idx="184">
                  <c:v>44131</c:v>
                </c:pt>
                <c:pt idx="185">
                  <c:v>44132</c:v>
                </c:pt>
              </c:numCache>
            </c:numRef>
          </c:cat>
          <c:val>
            <c:numRef>
              <c:f>'Exp 12 Months'!$F$4:$F$189</c:f>
              <c:numCache>
                <c:formatCode>General</c:formatCode>
                <c:ptCount val="18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3.99</c:v>
                </c:pt>
                <c:pt idx="7">
                  <c:v>3.99</c:v>
                </c:pt>
                <c:pt idx="8">
                  <c:v>3.99</c:v>
                </c:pt>
                <c:pt idx="9">
                  <c:v>3.99</c:v>
                </c:pt>
                <c:pt idx="10">
                  <c:v>3.99</c:v>
                </c:pt>
                <c:pt idx="11">
                  <c:v>3.92</c:v>
                </c:pt>
                <c:pt idx="12">
                  <c:v>3.97</c:v>
                </c:pt>
                <c:pt idx="13">
                  <c:v>3.97</c:v>
                </c:pt>
                <c:pt idx="14">
                  <c:v>3.92</c:v>
                </c:pt>
                <c:pt idx="15">
                  <c:v>3.92</c:v>
                </c:pt>
                <c:pt idx="16">
                  <c:v>4.0199999999999996</c:v>
                </c:pt>
                <c:pt idx="17">
                  <c:v>3.99</c:v>
                </c:pt>
                <c:pt idx="18">
                  <c:v>3.97</c:v>
                </c:pt>
                <c:pt idx="19">
                  <c:v>3.96</c:v>
                </c:pt>
                <c:pt idx="20">
                  <c:v>3.95</c:v>
                </c:pt>
                <c:pt idx="21">
                  <c:v>3.94</c:v>
                </c:pt>
                <c:pt idx="22">
                  <c:v>3.94</c:v>
                </c:pt>
                <c:pt idx="23">
                  <c:v>3.79</c:v>
                </c:pt>
                <c:pt idx="24">
                  <c:v>4.25</c:v>
                </c:pt>
                <c:pt idx="25">
                  <c:v>4.25</c:v>
                </c:pt>
                <c:pt idx="26">
                  <c:v>4.25</c:v>
                </c:pt>
                <c:pt idx="27">
                  <c:v>4.24</c:v>
                </c:pt>
                <c:pt idx="28">
                  <c:v>4.2300000000000004</c:v>
                </c:pt>
                <c:pt idx="29">
                  <c:v>4.24</c:v>
                </c:pt>
                <c:pt idx="30">
                  <c:v>4.24</c:v>
                </c:pt>
                <c:pt idx="31">
                  <c:v>4.24</c:v>
                </c:pt>
                <c:pt idx="32">
                  <c:v>4.24</c:v>
                </c:pt>
                <c:pt idx="33">
                  <c:v>4.3099999999999996</c:v>
                </c:pt>
                <c:pt idx="34">
                  <c:v>4.4400000000000004</c:v>
                </c:pt>
                <c:pt idx="35">
                  <c:v>4.4400000000000004</c:v>
                </c:pt>
                <c:pt idx="36">
                  <c:v>4.45</c:v>
                </c:pt>
                <c:pt idx="37">
                  <c:v>4.45</c:v>
                </c:pt>
                <c:pt idx="38">
                  <c:v>4.4400000000000004</c:v>
                </c:pt>
                <c:pt idx="39">
                  <c:v>4.45</c:v>
                </c:pt>
                <c:pt idx="40">
                  <c:v>4.45</c:v>
                </c:pt>
                <c:pt idx="41">
                  <c:v>4.45</c:v>
                </c:pt>
                <c:pt idx="42">
                  <c:v>4.45</c:v>
                </c:pt>
                <c:pt idx="43">
                  <c:v>4.74</c:v>
                </c:pt>
                <c:pt idx="44">
                  <c:v>4.24</c:v>
                </c:pt>
                <c:pt idx="45">
                  <c:v>4.2300000000000004</c:v>
                </c:pt>
                <c:pt idx="46">
                  <c:v>4.2300000000000004</c:v>
                </c:pt>
                <c:pt idx="47">
                  <c:v>4.24</c:v>
                </c:pt>
                <c:pt idx="48">
                  <c:v>4.2300000000000004</c:v>
                </c:pt>
                <c:pt idx="49">
                  <c:v>4.2300000000000004</c:v>
                </c:pt>
                <c:pt idx="50">
                  <c:v>4.2300000000000004</c:v>
                </c:pt>
                <c:pt idx="51">
                  <c:v>4.2300000000000004</c:v>
                </c:pt>
                <c:pt idx="52">
                  <c:v>4.1399999999999997</c:v>
                </c:pt>
                <c:pt idx="53">
                  <c:v>4.12</c:v>
                </c:pt>
                <c:pt idx="54">
                  <c:v>4.12</c:v>
                </c:pt>
                <c:pt idx="55">
                  <c:v>4.12</c:v>
                </c:pt>
                <c:pt idx="56">
                  <c:v>4.12</c:v>
                </c:pt>
                <c:pt idx="57">
                  <c:v>4.12</c:v>
                </c:pt>
                <c:pt idx="58">
                  <c:v>4.12</c:v>
                </c:pt>
                <c:pt idx="59">
                  <c:v>4.12</c:v>
                </c:pt>
                <c:pt idx="60">
                  <c:v>4.12</c:v>
                </c:pt>
                <c:pt idx="61">
                  <c:v>4.12</c:v>
                </c:pt>
                <c:pt idx="62">
                  <c:v>4.12</c:v>
                </c:pt>
                <c:pt idx="63">
                  <c:v>4.12</c:v>
                </c:pt>
                <c:pt idx="64">
                  <c:v>4.12</c:v>
                </c:pt>
                <c:pt idx="65">
                  <c:v>3.96</c:v>
                </c:pt>
                <c:pt idx="66">
                  <c:v>3.75</c:v>
                </c:pt>
                <c:pt idx="67">
                  <c:v>3.81</c:v>
                </c:pt>
                <c:pt idx="68">
                  <c:v>3.78</c:v>
                </c:pt>
                <c:pt idx="69">
                  <c:v>3.78</c:v>
                </c:pt>
                <c:pt idx="70">
                  <c:v>3.76</c:v>
                </c:pt>
                <c:pt idx="71">
                  <c:v>3.78</c:v>
                </c:pt>
                <c:pt idx="72">
                  <c:v>3.78</c:v>
                </c:pt>
                <c:pt idx="73">
                  <c:v>3.78</c:v>
                </c:pt>
                <c:pt idx="74">
                  <c:v>3.78</c:v>
                </c:pt>
                <c:pt idx="75">
                  <c:v>3.76</c:v>
                </c:pt>
                <c:pt idx="76">
                  <c:v>3.83</c:v>
                </c:pt>
                <c:pt idx="77">
                  <c:v>3.9</c:v>
                </c:pt>
                <c:pt idx="78">
                  <c:v>3.9</c:v>
                </c:pt>
                <c:pt idx="79">
                  <c:v>3.9</c:v>
                </c:pt>
                <c:pt idx="80">
                  <c:v>3.98</c:v>
                </c:pt>
                <c:pt idx="81">
                  <c:v>4.12</c:v>
                </c:pt>
                <c:pt idx="82">
                  <c:v>4.1100000000000003</c:v>
                </c:pt>
                <c:pt idx="83">
                  <c:v>4.1100000000000003</c:v>
                </c:pt>
                <c:pt idx="84">
                  <c:v>4.1100000000000003</c:v>
                </c:pt>
                <c:pt idx="85">
                  <c:v>4.07</c:v>
                </c:pt>
                <c:pt idx="86">
                  <c:v>4.1500000000000004</c:v>
                </c:pt>
                <c:pt idx="87">
                  <c:v>4.1500000000000004</c:v>
                </c:pt>
                <c:pt idx="88">
                  <c:v>4.1500000000000004</c:v>
                </c:pt>
                <c:pt idx="89">
                  <c:v>4.0599999999999996</c:v>
                </c:pt>
                <c:pt idx="90">
                  <c:v>4.21</c:v>
                </c:pt>
                <c:pt idx="91">
                  <c:v>4.13</c:v>
                </c:pt>
                <c:pt idx="92">
                  <c:v>4.13</c:v>
                </c:pt>
                <c:pt idx="93">
                  <c:v>4.21</c:v>
                </c:pt>
                <c:pt idx="94">
                  <c:v>4.13</c:v>
                </c:pt>
                <c:pt idx="95">
                  <c:v>4.13</c:v>
                </c:pt>
                <c:pt idx="96">
                  <c:v>4.13</c:v>
                </c:pt>
                <c:pt idx="97">
                  <c:v>4.13</c:v>
                </c:pt>
                <c:pt idx="98">
                  <c:v>4.13</c:v>
                </c:pt>
                <c:pt idx="99">
                  <c:v>4.13</c:v>
                </c:pt>
                <c:pt idx="100">
                  <c:v>4.21</c:v>
                </c:pt>
                <c:pt idx="101">
                  <c:v>4.37</c:v>
                </c:pt>
                <c:pt idx="102">
                  <c:v>4.37</c:v>
                </c:pt>
                <c:pt idx="103">
                  <c:v>4.37</c:v>
                </c:pt>
                <c:pt idx="104">
                  <c:v>4.29</c:v>
                </c:pt>
                <c:pt idx="105">
                  <c:v>4.7</c:v>
                </c:pt>
                <c:pt idx="106">
                  <c:v>4.7</c:v>
                </c:pt>
                <c:pt idx="107">
                  <c:v>3.99</c:v>
                </c:pt>
                <c:pt idx="108">
                  <c:v>3.99</c:v>
                </c:pt>
                <c:pt idx="109">
                  <c:v>3.99</c:v>
                </c:pt>
                <c:pt idx="110">
                  <c:v>3.95</c:v>
                </c:pt>
                <c:pt idx="111">
                  <c:v>3.95</c:v>
                </c:pt>
                <c:pt idx="112">
                  <c:v>4.03</c:v>
                </c:pt>
                <c:pt idx="113">
                  <c:v>3.97</c:v>
                </c:pt>
                <c:pt idx="114">
                  <c:v>4.24</c:v>
                </c:pt>
                <c:pt idx="115">
                  <c:v>4.38</c:v>
                </c:pt>
                <c:pt idx="116">
                  <c:v>4.38</c:v>
                </c:pt>
                <c:pt idx="117">
                  <c:v>4.4400000000000004</c:v>
                </c:pt>
                <c:pt idx="118">
                  <c:v>4.38</c:v>
                </c:pt>
                <c:pt idx="119">
                  <c:v>4.38</c:v>
                </c:pt>
                <c:pt idx="120">
                  <c:v>4.38</c:v>
                </c:pt>
                <c:pt idx="121">
                  <c:v>4.38</c:v>
                </c:pt>
                <c:pt idx="122">
                  <c:v>4.38</c:v>
                </c:pt>
                <c:pt idx="123">
                  <c:v>4.38</c:v>
                </c:pt>
                <c:pt idx="124">
                  <c:v>4.9000000000000004</c:v>
                </c:pt>
                <c:pt idx="125">
                  <c:v>4.9000000000000004</c:v>
                </c:pt>
                <c:pt idx="126">
                  <c:v>4.9000000000000004</c:v>
                </c:pt>
                <c:pt idx="127">
                  <c:v>5.04</c:v>
                </c:pt>
                <c:pt idx="128">
                  <c:v>3.94</c:v>
                </c:pt>
                <c:pt idx="129">
                  <c:v>4.13</c:v>
                </c:pt>
                <c:pt idx="130">
                  <c:v>4.13</c:v>
                </c:pt>
                <c:pt idx="131">
                  <c:v>4.13</c:v>
                </c:pt>
                <c:pt idx="132">
                  <c:v>4.13</c:v>
                </c:pt>
                <c:pt idx="133">
                  <c:v>4.13</c:v>
                </c:pt>
                <c:pt idx="134">
                  <c:v>4.13</c:v>
                </c:pt>
                <c:pt idx="135">
                  <c:v>4.13</c:v>
                </c:pt>
                <c:pt idx="136">
                  <c:v>4.13</c:v>
                </c:pt>
                <c:pt idx="137">
                  <c:v>4.3</c:v>
                </c:pt>
                <c:pt idx="138">
                  <c:v>4.3</c:v>
                </c:pt>
                <c:pt idx="139">
                  <c:v>4.51</c:v>
                </c:pt>
                <c:pt idx="140">
                  <c:v>5.34</c:v>
                </c:pt>
                <c:pt idx="141">
                  <c:v>5.0599999999999996</c:v>
                </c:pt>
                <c:pt idx="142">
                  <c:v>5.0599999999999996</c:v>
                </c:pt>
                <c:pt idx="143">
                  <c:v>5.61</c:v>
                </c:pt>
                <c:pt idx="144">
                  <c:v>5.64</c:v>
                </c:pt>
                <c:pt idx="145">
                  <c:v>5.76</c:v>
                </c:pt>
                <c:pt idx="146">
                  <c:v>5.68</c:v>
                </c:pt>
                <c:pt idx="147">
                  <c:v>5.68</c:v>
                </c:pt>
                <c:pt idx="148">
                  <c:v>5.94</c:v>
                </c:pt>
                <c:pt idx="149">
                  <c:v>6.14</c:v>
                </c:pt>
                <c:pt idx="150">
                  <c:v>4.76</c:v>
                </c:pt>
                <c:pt idx="151">
                  <c:v>4.76</c:v>
                </c:pt>
                <c:pt idx="152">
                  <c:v>5.07</c:v>
                </c:pt>
                <c:pt idx="153">
                  <c:v>5.9</c:v>
                </c:pt>
                <c:pt idx="154">
                  <c:v>5.9</c:v>
                </c:pt>
                <c:pt idx="155">
                  <c:v>5.9</c:v>
                </c:pt>
                <c:pt idx="156">
                  <c:v>6.1</c:v>
                </c:pt>
                <c:pt idx="157">
                  <c:v>6.1</c:v>
                </c:pt>
                <c:pt idx="158">
                  <c:v>6.51</c:v>
                </c:pt>
                <c:pt idx="159">
                  <c:v>6.51</c:v>
                </c:pt>
                <c:pt idx="160">
                  <c:v>6.51</c:v>
                </c:pt>
                <c:pt idx="161">
                  <c:v>6.51</c:v>
                </c:pt>
                <c:pt idx="162">
                  <c:v>6.51</c:v>
                </c:pt>
                <c:pt idx="163">
                  <c:v>6.57</c:v>
                </c:pt>
                <c:pt idx="164">
                  <c:v>6.52</c:v>
                </c:pt>
                <c:pt idx="165">
                  <c:v>6.62</c:v>
                </c:pt>
                <c:pt idx="166">
                  <c:v>6.62</c:v>
                </c:pt>
                <c:pt idx="167">
                  <c:v>6.75</c:v>
                </c:pt>
                <c:pt idx="168">
                  <c:v>7.33</c:v>
                </c:pt>
                <c:pt idx="169">
                  <c:v>7.89</c:v>
                </c:pt>
                <c:pt idx="170">
                  <c:v>8.3000000000000007</c:v>
                </c:pt>
                <c:pt idx="171">
                  <c:v>4.8499999999999996</c:v>
                </c:pt>
                <c:pt idx="172">
                  <c:v>4.8499999999999996</c:v>
                </c:pt>
                <c:pt idx="173">
                  <c:v>5.6</c:v>
                </c:pt>
                <c:pt idx="174">
                  <c:v>5.65</c:v>
                </c:pt>
                <c:pt idx="175">
                  <c:v>5.65</c:v>
                </c:pt>
                <c:pt idx="176">
                  <c:v>5.6</c:v>
                </c:pt>
                <c:pt idx="177">
                  <c:v>5.6</c:v>
                </c:pt>
                <c:pt idx="178">
                  <c:v>5.6</c:v>
                </c:pt>
                <c:pt idx="179">
                  <c:v>6.94</c:v>
                </c:pt>
                <c:pt idx="180">
                  <c:v>6.94</c:v>
                </c:pt>
                <c:pt idx="181">
                  <c:v>6.94</c:v>
                </c:pt>
                <c:pt idx="182">
                  <c:v>7.34</c:v>
                </c:pt>
                <c:pt idx="183">
                  <c:v>7.34</c:v>
                </c:pt>
                <c:pt idx="184">
                  <c:v>7.34</c:v>
                </c:pt>
                <c:pt idx="185">
                  <c:v>7.34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97-4A74-A1EC-7FDE743632F3}"/>
            </c:ext>
          </c:extLst>
        </c:ser>
        <c:ser>
          <c:idx val="3"/>
          <c:order val="2"/>
          <c:tx>
            <c:strRef>
              <c:f>'Exp 12 Months'!$G$3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'Exp 12 Months'!$D$4:$D$189</c:f>
              <c:numCache>
                <c:formatCode>m/d/yyyy</c:formatCode>
                <c:ptCount val="186"/>
                <c:pt idx="0">
                  <c:v>43861</c:v>
                </c:pt>
                <c:pt idx="1">
                  <c:v>43864</c:v>
                </c:pt>
                <c:pt idx="2">
                  <c:v>43865</c:v>
                </c:pt>
                <c:pt idx="3">
                  <c:v>43866</c:v>
                </c:pt>
                <c:pt idx="4">
                  <c:v>43867</c:v>
                </c:pt>
                <c:pt idx="5">
                  <c:v>43868</c:v>
                </c:pt>
                <c:pt idx="6">
                  <c:v>43871</c:v>
                </c:pt>
                <c:pt idx="7">
                  <c:v>43872</c:v>
                </c:pt>
                <c:pt idx="8">
                  <c:v>43873</c:v>
                </c:pt>
                <c:pt idx="9">
                  <c:v>43874</c:v>
                </c:pt>
                <c:pt idx="10">
                  <c:v>43875</c:v>
                </c:pt>
                <c:pt idx="11">
                  <c:v>43878</c:v>
                </c:pt>
                <c:pt idx="12">
                  <c:v>43879</c:v>
                </c:pt>
                <c:pt idx="13">
                  <c:v>43880</c:v>
                </c:pt>
                <c:pt idx="14">
                  <c:v>43881</c:v>
                </c:pt>
                <c:pt idx="15">
                  <c:v>43882</c:v>
                </c:pt>
                <c:pt idx="16">
                  <c:v>43887</c:v>
                </c:pt>
                <c:pt idx="17">
                  <c:v>43888</c:v>
                </c:pt>
                <c:pt idx="18">
                  <c:v>43889</c:v>
                </c:pt>
                <c:pt idx="19">
                  <c:v>43892</c:v>
                </c:pt>
                <c:pt idx="20">
                  <c:v>43893</c:v>
                </c:pt>
                <c:pt idx="21">
                  <c:v>43894</c:v>
                </c:pt>
                <c:pt idx="22">
                  <c:v>43895</c:v>
                </c:pt>
                <c:pt idx="23">
                  <c:v>43896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43906</c:v>
                </c:pt>
                <c:pt idx="30">
                  <c:v>43907</c:v>
                </c:pt>
                <c:pt idx="31">
                  <c:v>43908</c:v>
                </c:pt>
                <c:pt idx="32">
                  <c:v>43909</c:v>
                </c:pt>
                <c:pt idx="33">
                  <c:v>43910</c:v>
                </c:pt>
                <c:pt idx="34">
                  <c:v>43913</c:v>
                </c:pt>
                <c:pt idx="35">
                  <c:v>43914</c:v>
                </c:pt>
                <c:pt idx="36">
                  <c:v>43915</c:v>
                </c:pt>
                <c:pt idx="37">
                  <c:v>43916</c:v>
                </c:pt>
                <c:pt idx="38">
                  <c:v>43917</c:v>
                </c:pt>
                <c:pt idx="39">
                  <c:v>43920</c:v>
                </c:pt>
                <c:pt idx="40">
                  <c:v>43921</c:v>
                </c:pt>
                <c:pt idx="41">
                  <c:v>43922</c:v>
                </c:pt>
                <c:pt idx="42">
                  <c:v>43923</c:v>
                </c:pt>
                <c:pt idx="43">
                  <c:v>43924</c:v>
                </c:pt>
                <c:pt idx="44">
                  <c:v>43929</c:v>
                </c:pt>
                <c:pt idx="45">
                  <c:v>43928</c:v>
                </c:pt>
                <c:pt idx="46">
                  <c:v>43927</c:v>
                </c:pt>
                <c:pt idx="47">
                  <c:v>43930</c:v>
                </c:pt>
                <c:pt idx="48">
                  <c:v>43934</c:v>
                </c:pt>
                <c:pt idx="49">
                  <c:v>43935</c:v>
                </c:pt>
                <c:pt idx="50">
                  <c:v>43936</c:v>
                </c:pt>
                <c:pt idx="51">
                  <c:v>43937</c:v>
                </c:pt>
                <c:pt idx="52">
                  <c:v>43938</c:v>
                </c:pt>
                <c:pt idx="53">
                  <c:v>43941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43955</c:v>
                </c:pt>
                <c:pt idx="62">
                  <c:v>43956</c:v>
                </c:pt>
                <c:pt idx="63">
                  <c:v>43957</c:v>
                </c:pt>
                <c:pt idx="64">
                  <c:v>43958</c:v>
                </c:pt>
                <c:pt idx="65">
                  <c:v>43959</c:v>
                </c:pt>
                <c:pt idx="66">
                  <c:v>43962</c:v>
                </c:pt>
                <c:pt idx="67">
                  <c:v>43963</c:v>
                </c:pt>
                <c:pt idx="68">
                  <c:v>43964</c:v>
                </c:pt>
                <c:pt idx="69">
                  <c:v>43965</c:v>
                </c:pt>
                <c:pt idx="70">
                  <c:v>43966</c:v>
                </c:pt>
                <c:pt idx="71">
                  <c:v>43969</c:v>
                </c:pt>
                <c:pt idx="72">
                  <c:v>43970</c:v>
                </c:pt>
                <c:pt idx="73">
                  <c:v>43971</c:v>
                </c:pt>
                <c:pt idx="74">
                  <c:v>43972</c:v>
                </c:pt>
                <c:pt idx="75">
                  <c:v>43973</c:v>
                </c:pt>
                <c:pt idx="76">
                  <c:v>43976</c:v>
                </c:pt>
                <c:pt idx="77">
                  <c:v>43977</c:v>
                </c:pt>
                <c:pt idx="78">
                  <c:v>43978</c:v>
                </c:pt>
                <c:pt idx="79">
                  <c:v>43979</c:v>
                </c:pt>
                <c:pt idx="80">
                  <c:v>43980</c:v>
                </c:pt>
                <c:pt idx="81">
                  <c:v>43983</c:v>
                </c:pt>
                <c:pt idx="82">
                  <c:v>43984</c:v>
                </c:pt>
                <c:pt idx="83">
                  <c:v>43985</c:v>
                </c:pt>
                <c:pt idx="84">
                  <c:v>43986</c:v>
                </c:pt>
                <c:pt idx="85">
                  <c:v>43987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43994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44008</c:v>
                </c:pt>
                <c:pt idx="94">
                  <c:v>44007</c:v>
                </c:pt>
                <c:pt idx="95">
                  <c:v>44006</c:v>
                </c:pt>
                <c:pt idx="96">
                  <c:v>44005</c:v>
                </c:pt>
                <c:pt idx="97">
                  <c:v>44004</c:v>
                </c:pt>
                <c:pt idx="98">
                  <c:v>44001</c:v>
                </c:pt>
                <c:pt idx="99">
                  <c:v>44000</c:v>
                </c:pt>
                <c:pt idx="100">
                  <c:v>44011</c:v>
                </c:pt>
                <c:pt idx="101">
                  <c:v>44013</c:v>
                </c:pt>
                <c:pt idx="102">
                  <c:v>44012</c:v>
                </c:pt>
                <c:pt idx="103">
                  <c:v>44014</c:v>
                </c:pt>
                <c:pt idx="104">
                  <c:v>44015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44025</c:v>
                </c:pt>
                <c:pt idx="111">
                  <c:v>44026</c:v>
                </c:pt>
                <c:pt idx="112">
                  <c:v>44028</c:v>
                </c:pt>
                <c:pt idx="113">
                  <c:v>44027</c:v>
                </c:pt>
                <c:pt idx="114">
                  <c:v>44029</c:v>
                </c:pt>
                <c:pt idx="115">
                  <c:v>44032</c:v>
                </c:pt>
                <c:pt idx="116">
                  <c:v>44033</c:v>
                </c:pt>
                <c:pt idx="117">
                  <c:v>44034</c:v>
                </c:pt>
                <c:pt idx="118">
                  <c:v>44035</c:v>
                </c:pt>
                <c:pt idx="119">
                  <c:v>44036</c:v>
                </c:pt>
                <c:pt idx="120">
                  <c:v>44039</c:v>
                </c:pt>
                <c:pt idx="121">
                  <c:v>44040</c:v>
                </c:pt>
                <c:pt idx="122">
                  <c:v>44041</c:v>
                </c:pt>
                <c:pt idx="123">
                  <c:v>44042</c:v>
                </c:pt>
                <c:pt idx="124">
                  <c:v>44043</c:v>
                </c:pt>
                <c:pt idx="125">
                  <c:v>44046</c:v>
                </c:pt>
                <c:pt idx="126">
                  <c:v>44047</c:v>
                </c:pt>
                <c:pt idx="127">
                  <c:v>44048</c:v>
                </c:pt>
                <c:pt idx="128">
                  <c:v>44049</c:v>
                </c:pt>
                <c:pt idx="129">
                  <c:v>44050</c:v>
                </c:pt>
                <c:pt idx="130">
                  <c:v>44053</c:v>
                </c:pt>
                <c:pt idx="131">
                  <c:v>44054</c:v>
                </c:pt>
                <c:pt idx="132">
                  <c:v>44055</c:v>
                </c:pt>
                <c:pt idx="133">
                  <c:v>44056</c:v>
                </c:pt>
                <c:pt idx="134">
                  <c:v>44057</c:v>
                </c:pt>
                <c:pt idx="135">
                  <c:v>44060</c:v>
                </c:pt>
                <c:pt idx="136">
                  <c:v>44061</c:v>
                </c:pt>
                <c:pt idx="137">
                  <c:v>44062</c:v>
                </c:pt>
                <c:pt idx="138">
                  <c:v>44063</c:v>
                </c:pt>
                <c:pt idx="139">
                  <c:v>44064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44074</c:v>
                </c:pt>
                <c:pt idx="146">
                  <c:v>44075</c:v>
                </c:pt>
                <c:pt idx="147">
                  <c:v>44076</c:v>
                </c:pt>
                <c:pt idx="148">
                  <c:v>44077</c:v>
                </c:pt>
                <c:pt idx="149">
                  <c:v>44078</c:v>
                </c:pt>
                <c:pt idx="150">
                  <c:v>44082</c:v>
                </c:pt>
                <c:pt idx="151">
                  <c:v>44083</c:v>
                </c:pt>
                <c:pt idx="152">
                  <c:v>44084</c:v>
                </c:pt>
                <c:pt idx="153">
                  <c:v>44085</c:v>
                </c:pt>
                <c:pt idx="154">
                  <c:v>44088</c:v>
                </c:pt>
                <c:pt idx="155">
                  <c:v>44089</c:v>
                </c:pt>
                <c:pt idx="156">
                  <c:v>44090</c:v>
                </c:pt>
                <c:pt idx="157">
                  <c:v>44091</c:v>
                </c:pt>
                <c:pt idx="158">
                  <c:v>44092</c:v>
                </c:pt>
                <c:pt idx="159">
                  <c:v>44095</c:v>
                </c:pt>
                <c:pt idx="160">
                  <c:v>44096</c:v>
                </c:pt>
                <c:pt idx="161">
                  <c:v>44097</c:v>
                </c:pt>
                <c:pt idx="162">
                  <c:v>44098</c:v>
                </c:pt>
                <c:pt idx="163">
                  <c:v>44099</c:v>
                </c:pt>
                <c:pt idx="164">
                  <c:v>44102</c:v>
                </c:pt>
                <c:pt idx="165">
                  <c:v>44103</c:v>
                </c:pt>
                <c:pt idx="166">
                  <c:v>44104</c:v>
                </c:pt>
                <c:pt idx="167">
                  <c:v>44105</c:v>
                </c:pt>
                <c:pt idx="168">
                  <c:v>44106</c:v>
                </c:pt>
                <c:pt idx="169">
                  <c:v>44109</c:v>
                </c:pt>
                <c:pt idx="170">
                  <c:v>44110</c:v>
                </c:pt>
                <c:pt idx="171">
                  <c:v>44111</c:v>
                </c:pt>
                <c:pt idx="172">
                  <c:v>44112</c:v>
                </c:pt>
                <c:pt idx="173">
                  <c:v>44113</c:v>
                </c:pt>
                <c:pt idx="174">
                  <c:v>44117</c:v>
                </c:pt>
                <c:pt idx="175">
                  <c:v>44118</c:v>
                </c:pt>
                <c:pt idx="176">
                  <c:v>44119</c:v>
                </c:pt>
                <c:pt idx="177">
                  <c:v>44120</c:v>
                </c:pt>
                <c:pt idx="178">
                  <c:v>44123</c:v>
                </c:pt>
                <c:pt idx="179">
                  <c:v>44124</c:v>
                </c:pt>
                <c:pt idx="180">
                  <c:v>44125</c:v>
                </c:pt>
                <c:pt idx="181">
                  <c:v>44126</c:v>
                </c:pt>
                <c:pt idx="182">
                  <c:v>44127</c:v>
                </c:pt>
                <c:pt idx="183">
                  <c:v>44130</c:v>
                </c:pt>
                <c:pt idx="184">
                  <c:v>44131</c:v>
                </c:pt>
                <c:pt idx="185">
                  <c:v>44132</c:v>
                </c:pt>
              </c:numCache>
            </c:numRef>
          </c:cat>
          <c:val>
            <c:numRef>
              <c:f>'Exp 12 Months'!$G$4:$G$189</c:f>
              <c:numCache>
                <c:formatCode>General</c:formatCode>
                <c:ptCount val="186"/>
                <c:pt idx="0">
                  <c:v>6.17</c:v>
                </c:pt>
                <c:pt idx="1">
                  <c:v>6.17</c:v>
                </c:pt>
                <c:pt idx="2">
                  <c:v>6.17</c:v>
                </c:pt>
                <c:pt idx="3">
                  <c:v>6.17</c:v>
                </c:pt>
                <c:pt idx="4">
                  <c:v>6.17</c:v>
                </c:pt>
                <c:pt idx="5">
                  <c:v>6.27</c:v>
                </c:pt>
                <c:pt idx="6">
                  <c:v>6.27</c:v>
                </c:pt>
                <c:pt idx="7">
                  <c:v>6.27</c:v>
                </c:pt>
                <c:pt idx="8">
                  <c:v>6.27</c:v>
                </c:pt>
                <c:pt idx="9">
                  <c:v>6.27</c:v>
                </c:pt>
                <c:pt idx="10">
                  <c:v>6.27</c:v>
                </c:pt>
                <c:pt idx="11">
                  <c:v>6.27</c:v>
                </c:pt>
                <c:pt idx="12">
                  <c:v>6.27</c:v>
                </c:pt>
                <c:pt idx="13">
                  <c:v>6.27</c:v>
                </c:pt>
                <c:pt idx="14">
                  <c:v>6.27</c:v>
                </c:pt>
                <c:pt idx="15">
                  <c:v>6.27</c:v>
                </c:pt>
                <c:pt idx="16">
                  <c:v>6.27</c:v>
                </c:pt>
                <c:pt idx="17">
                  <c:v>6.27</c:v>
                </c:pt>
                <c:pt idx="18">
                  <c:v>6.27</c:v>
                </c:pt>
                <c:pt idx="19">
                  <c:v>6.27</c:v>
                </c:pt>
                <c:pt idx="20">
                  <c:v>6.27</c:v>
                </c:pt>
                <c:pt idx="21">
                  <c:v>6.27</c:v>
                </c:pt>
                <c:pt idx="22">
                  <c:v>6.27</c:v>
                </c:pt>
                <c:pt idx="23">
                  <c:v>6.27</c:v>
                </c:pt>
                <c:pt idx="24">
                  <c:v>6.17</c:v>
                </c:pt>
                <c:pt idx="25">
                  <c:v>6.17</c:v>
                </c:pt>
                <c:pt idx="26">
                  <c:v>6.17</c:v>
                </c:pt>
                <c:pt idx="27">
                  <c:v>6.17</c:v>
                </c:pt>
                <c:pt idx="28">
                  <c:v>6.17</c:v>
                </c:pt>
                <c:pt idx="29">
                  <c:v>6.17</c:v>
                </c:pt>
                <c:pt idx="30">
                  <c:v>6.17</c:v>
                </c:pt>
                <c:pt idx="31">
                  <c:v>6.17</c:v>
                </c:pt>
                <c:pt idx="32">
                  <c:v>6.18</c:v>
                </c:pt>
                <c:pt idx="33">
                  <c:v>6.18</c:v>
                </c:pt>
                <c:pt idx="34">
                  <c:v>6.18</c:v>
                </c:pt>
                <c:pt idx="35">
                  <c:v>6.18</c:v>
                </c:pt>
                <c:pt idx="36">
                  <c:v>6.18</c:v>
                </c:pt>
                <c:pt idx="37">
                  <c:v>6.18</c:v>
                </c:pt>
                <c:pt idx="38">
                  <c:v>6.01</c:v>
                </c:pt>
                <c:pt idx="39">
                  <c:v>6.01</c:v>
                </c:pt>
                <c:pt idx="40">
                  <c:v>6.01</c:v>
                </c:pt>
                <c:pt idx="41">
                  <c:v>6.01</c:v>
                </c:pt>
                <c:pt idx="42">
                  <c:v>6.01</c:v>
                </c:pt>
                <c:pt idx="43">
                  <c:v>6.01</c:v>
                </c:pt>
                <c:pt idx="44">
                  <c:v>7.15</c:v>
                </c:pt>
                <c:pt idx="45">
                  <c:v>5.2</c:v>
                </c:pt>
                <c:pt idx="46">
                  <c:v>5.2</c:v>
                </c:pt>
                <c:pt idx="47">
                  <c:v>7.15</c:v>
                </c:pt>
                <c:pt idx="48">
                  <c:v>7.15</c:v>
                </c:pt>
                <c:pt idx="49">
                  <c:v>7.15</c:v>
                </c:pt>
                <c:pt idx="50">
                  <c:v>7.15</c:v>
                </c:pt>
                <c:pt idx="51">
                  <c:v>7.15</c:v>
                </c:pt>
                <c:pt idx="52">
                  <c:v>7.15</c:v>
                </c:pt>
                <c:pt idx="53">
                  <c:v>7.15</c:v>
                </c:pt>
                <c:pt idx="54">
                  <c:v>7.15</c:v>
                </c:pt>
                <c:pt idx="55">
                  <c:v>7.15</c:v>
                </c:pt>
                <c:pt idx="56">
                  <c:v>7.15</c:v>
                </c:pt>
                <c:pt idx="57">
                  <c:v>7.15</c:v>
                </c:pt>
                <c:pt idx="58">
                  <c:v>7.15</c:v>
                </c:pt>
                <c:pt idx="59">
                  <c:v>7.15</c:v>
                </c:pt>
                <c:pt idx="60">
                  <c:v>7.15</c:v>
                </c:pt>
                <c:pt idx="61">
                  <c:v>7.15</c:v>
                </c:pt>
                <c:pt idx="62">
                  <c:v>7.15</c:v>
                </c:pt>
                <c:pt idx="63">
                  <c:v>7.15</c:v>
                </c:pt>
                <c:pt idx="64">
                  <c:v>7.15</c:v>
                </c:pt>
                <c:pt idx="65">
                  <c:v>5.95</c:v>
                </c:pt>
                <c:pt idx="66">
                  <c:v>5.95</c:v>
                </c:pt>
                <c:pt idx="67">
                  <c:v>5.95</c:v>
                </c:pt>
                <c:pt idx="68">
                  <c:v>5.95</c:v>
                </c:pt>
                <c:pt idx="69">
                  <c:v>5.95</c:v>
                </c:pt>
                <c:pt idx="70">
                  <c:v>5.95</c:v>
                </c:pt>
                <c:pt idx="71">
                  <c:v>5.95</c:v>
                </c:pt>
                <c:pt idx="72">
                  <c:v>5.95</c:v>
                </c:pt>
                <c:pt idx="73">
                  <c:v>5.95</c:v>
                </c:pt>
                <c:pt idx="74">
                  <c:v>5.95</c:v>
                </c:pt>
                <c:pt idx="75">
                  <c:v>5.95</c:v>
                </c:pt>
                <c:pt idx="76">
                  <c:v>5.36</c:v>
                </c:pt>
                <c:pt idx="77">
                  <c:v>5.36</c:v>
                </c:pt>
                <c:pt idx="78">
                  <c:v>5.36</c:v>
                </c:pt>
                <c:pt idx="79">
                  <c:v>5.36</c:v>
                </c:pt>
                <c:pt idx="80">
                  <c:v>5.36</c:v>
                </c:pt>
                <c:pt idx="81">
                  <c:v>5.36</c:v>
                </c:pt>
                <c:pt idx="82">
                  <c:v>5.36</c:v>
                </c:pt>
                <c:pt idx="83">
                  <c:v>5.36</c:v>
                </c:pt>
                <c:pt idx="84">
                  <c:v>5.36</c:v>
                </c:pt>
                <c:pt idx="85">
                  <c:v>5.38</c:v>
                </c:pt>
                <c:pt idx="86">
                  <c:v>5.38</c:v>
                </c:pt>
                <c:pt idx="87">
                  <c:v>5.38</c:v>
                </c:pt>
                <c:pt idx="88">
                  <c:v>5.38</c:v>
                </c:pt>
                <c:pt idx="89">
                  <c:v>5.81</c:v>
                </c:pt>
                <c:pt idx="90">
                  <c:v>5.81</c:v>
                </c:pt>
                <c:pt idx="91">
                  <c:v>5.81</c:v>
                </c:pt>
                <c:pt idx="92">
                  <c:v>5.81</c:v>
                </c:pt>
                <c:pt idx="93">
                  <c:v>5.81</c:v>
                </c:pt>
                <c:pt idx="94">
                  <c:v>5.81</c:v>
                </c:pt>
                <c:pt idx="95">
                  <c:v>5.81</c:v>
                </c:pt>
                <c:pt idx="96">
                  <c:v>5.81</c:v>
                </c:pt>
                <c:pt idx="97">
                  <c:v>5.81</c:v>
                </c:pt>
                <c:pt idx="98">
                  <c:v>5.81</c:v>
                </c:pt>
                <c:pt idx="99">
                  <c:v>5.81</c:v>
                </c:pt>
                <c:pt idx="100">
                  <c:v>5.81</c:v>
                </c:pt>
                <c:pt idx="101">
                  <c:v>5.81</c:v>
                </c:pt>
                <c:pt idx="102">
                  <c:v>5.81</c:v>
                </c:pt>
                <c:pt idx="103">
                  <c:v>5.81</c:v>
                </c:pt>
                <c:pt idx="104">
                  <c:v>5.81</c:v>
                </c:pt>
                <c:pt idx="105">
                  <c:v>5.81</c:v>
                </c:pt>
                <c:pt idx="106">
                  <c:v>5.81</c:v>
                </c:pt>
                <c:pt idx="107">
                  <c:v>4.75</c:v>
                </c:pt>
                <c:pt idx="108">
                  <c:v>4.75</c:v>
                </c:pt>
                <c:pt idx="109">
                  <c:v>4.75</c:v>
                </c:pt>
                <c:pt idx="110">
                  <c:v>4.75</c:v>
                </c:pt>
                <c:pt idx="111">
                  <c:v>4.75</c:v>
                </c:pt>
                <c:pt idx="112">
                  <c:v>6.52</c:v>
                </c:pt>
                <c:pt idx="113">
                  <c:v>6.52</c:v>
                </c:pt>
                <c:pt idx="114">
                  <c:v>6.52</c:v>
                </c:pt>
                <c:pt idx="115">
                  <c:v>6.52</c:v>
                </c:pt>
                <c:pt idx="116">
                  <c:v>6.52</c:v>
                </c:pt>
                <c:pt idx="117">
                  <c:v>6.52</c:v>
                </c:pt>
                <c:pt idx="118">
                  <c:v>6.52</c:v>
                </c:pt>
                <c:pt idx="119">
                  <c:v>6.52</c:v>
                </c:pt>
                <c:pt idx="120">
                  <c:v>6.52</c:v>
                </c:pt>
                <c:pt idx="121">
                  <c:v>6.52</c:v>
                </c:pt>
                <c:pt idx="122">
                  <c:v>6.52</c:v>
                </c:pt>
                <c:pt idx="123">
                  <c:v>6.52</c:v>
                </c:pt>
                <c:pt idx="124">
                  <c:v>6.89</c:v>
                </c:pt>
                <c:pt idx="125">
                  <c:v>6.89</c:v>
                </c:pt>
                <c:pt idx="126">
                  <c:v>6.89</c:v>
                </c:pt>
                <c:pt idx="127">
                  <c:v>6.89</c:v>
                </c:pt>
                <c:pt idx="128">
                  <c:v>6.13</c:v>
                </c:pt>
                <c:pt idx="129">
                  <c:v>6.13</c:v>
                </c:pt>
                <c:pt idx="130">
                  <c:v>6.13</c:v>
                </c:pt>
                <c:pt idx="131">
                  <c:v>6.13</c:v>
                </c:pt>
                <c:pt idx="132">
                  <c:v>6.13</c:v>
                </c:pt>
                <c:pt idx="133">
                  <c:v>6.13</c:v>
                </c:pt>
                <c:pt idx="134">
                  <c:v>6.56</c:v>
                </c:pt>
                <c:pt idx="135">
                  <c:v>6.56</c:v>
                </c:pt>
                <c:pt idx="136">
                  <c:v>7.25</c:v>
                </c:pt>
                <c:pt idx="137">
                  <c:v>7.25</c:v>
                </c:pt>
                <c:pt idx="138">
                  <c:v>7.25</c:v>
                </c:pt>
                <c:pt idx="139">
                  <c:v>7.25</c:v>
                </c:pt>
                <c:pt idx="140">
                  <c:v>8.16</c:v>
                </c:pt>
                <c:pt idx="141">
                  <c:v>8.16</c:v>
                </c:pt>
                <c:pt idx="142">
                  <c:v>8.16</c:v>
                </c:pt>
                <c:pt idx="143">
                  <c:v>8.16</c:v>
                </c:pt>
                <c:pt idx="144">
                  <c:v>11.59</c:v>
                </c:pt>
                <c:pt idx="145">
                  <c:v>11.59</c:v>
                </c:pt>
                <c:pt idx="146">
                  <c:v>11.59</c:v>
                </c:pt>
                <c:pt idx="147">
                  <c:v>11.59</c:v>
                </c:pt>
                <c:pt idx="148">
                  <c:v>11.59</c:v>
                </c:pt>
                <c:pt idx="149">
                  <c:v>11.59</c:v>
                </c:pt>
                <c:pt idx="150">
                  <c:v>8.93</c:v>
                </c:pt>
                <c:pt idx="151">
                  <c:v>8.93</c:v>
                </c:pt>
                <c:pt idx="152">
                  <c:v>8.93</c:v>
                </c:pt>
                <c:pt idx="153">
                  <c:v>8.93</c:v>
                </c:pt>
                <c:pt idx="154">
                  <c:v>8.93</c:v>
                </c:pt>
                <c:pt idx="155">
                  <c:v>8.93</c:v>
                </c:pt>
                <c:pt idx="156">
                  <c:v>8.93</c:v>
                </c:pt>
                <c:pt idx="157">
                  <c:v>8.93</c:v>
                </c:pt>
                <c:pt idx="158">
                  <c:v>9.61</c:v>
                </c:pt>
                <c:pt idx="159">
                  <c:v>9.61</c:v>
                </c:pt>
                <c:pt idx="160">
                  <c:v>9.61</c:v>
                </c:pt>
                <c:pt idx="161">
                  <c:v>9.61</c:v>
                </c:pt>
                <c:pt idx="162">
                  <c:v>9.61</c:v>
                </c:pt>
                <c:pt idx="163">
                  <c:v>10.87</c:v>
                </c:pt>
                <c:pt idx="164">
                  <c:v>10.87</c:v>
                </c:pt>
                <c:pt idx="165">
                  <c:v>10.99</c:v>
                </c:pt>
                <c:pt idx="166">
                  <c:v>10.99</c:v>
                </c:pt>
                <c:pt idx="167">
                  <c:v>10.99</c:v>
                </c:pt>
                <c:pt idx="168">
                  <c:v>12.73</c:v>
                </c:pt>
                <c:pt idx="169">
                  <c:v>12.73</c:v>
                </c:pt>
                <c:pt idx="170">
                  <c:v>12.73</c:v>
                </c:pt>
                <c:pt idx="171">
                  <c:v>8.7200000000000006</c:v>
                </c:pt>
                <c:pt idx="172">
                  <c:v>8.7200000000000006</c:v>
                </c:pt>
                <c:pt idx="173">
                  <c:v>8.7200000000000006</c:v>
                </c:pt>
                <c:pt idx="174">
                  <c:v>8.7200000000000006</c:v>
                </c:pt>
                <c:pt idx="175">
                  <c:v>8.7200000000000006</c:v>
                </c:pt>
                <c:pt idx="176">
                  <c:v>8.7200000000000006</c:v>
                </c:pt>
                <c:pt idx="177">
                  <c:v>9.25</c:v>
                </c:pt>
                <c:pt idx="178">
                  <c:v>9.25</c:v>
                </c:pt>
                <c:pt idx="179">
                  <c:v>9.25</c:v>
                </c:pt>
                <c:pt idx="180">
                  <c:v>9.25</c:v>
                </c:pt>
                <c:pt idx="181">
                  <c:v>9.25</c:v>
                </c:pt>
                <c:pt idx="182">
                  <c:v>9.25</c:v>
                </c:pt>
                <c:pt idx="183">
                  <c:v>9.25</c:v>
                </c:pt>
                <c:pt idx="184">
                  <c:v>9.25</c:v>
                </c:pt>
                <c:pt idx="185">
                  <c:v>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97-4A74-A1EC-7FDE743632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dateAx>
        <c:axId val="9901735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Offset val="100"/>
        <c:baseTimeUnit val="days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'Top5 Monthly'!$J$1:$P$1</c:f>
          <c:strCache>
            <c:ptCount val="7"/>
            <c:pt idx="0">
              <c:v>FOCUS TOP 5 forecast for IPCA of Oct/21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'Top5 Monthly'!$E$3</c:f>
              <c:strCache>
                <c:ptCount val="1"/>
                <c:pt idx="0">
                  <c:v>Minimum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'Top5 Monthly'!$D$4:$D$189</c:f>
              <c:numCache>
                <c:formatCode>m/d/yyyy</c:formatCode>
                <c:ptCount val="186"/>
                <c:pt idx="0">
                  <c:v>44378</c:v>
                </c:pt>
                <c:pt idx="1">
                  <c:v>44379</c:v>
                </c:pt>
                <c:pt idx="2">
                  <c:v>44382</c:v>
                </c:pt>
                <c:pt idx="3">
                  <c:v>44383</c:v>
                </c:pt>
                <c:pt idx="4">
                  <c:v>44384</c:v>
                </c:pt>
                <c:pt idx="5">
                  <c:v>44385</c:v>
                </c:pt>
                <c:pt idx="6">
                  <c:v>44386</c:v>
                </c:pt>
                <c:pt idx="7">
                  <c:v>44389</c:v>
                </c:pt>
                <c:pt idx="8">
                  <c:v>44390</c:v>
                </c:pt>
                <c:pt idx="9">
                  <c:v>44391</c:v>
                </c:pt>
                <c:pt idx="10">
                  <c:v>44392</c:v>
                </c:pt>
                <c:pt idx="11">
                  <c:v>44393</c:v>
                </c:pt>
                <c:pt idx="12">
                  <c:v>44396</c:v>
                </c:pt>
                <c:pt idx="13">
                  <c:v>44397</c:v>
                </c:pt>
                <c:pt idx="14">
                  <c:v>44398</c:v>
                </c:pt>
                <c:pt idx="15">
                  <c:v>44399</c:v>
                </c:pt>
                <c:pt idx="16">
                  <c:v>44400</c:v>
                </c:pt>
                <c:pt idx="17">
                  <c:v>44403</c:v>
                </c:pt>
                <c:pt idx="18">
                  <c:v>44404</c:v>
                </c:pt>
                <c:pt idx="19">
                  <c:v>44405</c:v>
                </c:pt>
                <c:pt idx="20">
                  <c:v>44406</c:v>
                </c:pt>
                <c:pt idx="21">
                  <c:v>44407</c:v>
                </c:pt>
                <c:pt idx="22">
                  <c:v>44410</c:v>
                </c:pt>
                <c:pt idx="23">
                  <c:v>44411</c:v>
                </c:pt>
                <c:pt idx="24">
                  <c:v>44412</c:v>
                </c:pt>
                <c:pt idx="25">
                  <c:v>44413</c:v>
                </c:pt>
                <c:pt idx="26">
                  <c:v>44414</c:v>
                </c:pt>
                <c:pt idx="27">
                  <c:v>44417</c:v>
                </c:pt>
                <c:pt idx="28">
                  <c:v>44418</c:v>
                </c:pt>
                <c:pt idx="29">
                  <c:v>44419</c:v>
                </c:pt>
                <c:pt idx="30">
                  <c:v>44420</c:v>
                </c:pt>
                <c:pt idx="31">
                  <c:v>44421</c:v>
                </c:pt>
                <c:pt idx="32">
                  <c:v>44424</c:v>
                </c:pt>
                <c:pt idx="33">
                  <c:v>44425</c:v>
                </c:pt>
                <c:pt idx="34">
                  <c:v>44426</c:v>
                </c:pt>
                <c:pt idx="35">
                  <c:v>44427</c:v>
                </c:pt>
                <c:pt idx="36">
                  <c:v>44428</c:v>
                </c:pt>
                <c:pt idx="37">
                  <c:v>44431</c:v>
                </c:pt>
                <c:pt idx="38">
                  <c:v>44432</c:v>
                </c:pt>
                <c:pt idx="39">
                  <c:v>44433</c:v>
                </c:pt>
                <c:pt idx="40">
                  <c:v>44434</c:v>
                </c:pt>
                <c:pt idx="41">
                  <c:v>44435</c:v>
                </c:pt>
                <c:pt idx="42">
                  <c:v>44438</c:v>
                </c:pt>
                <c:pt idx="43">
                  <c:v>44447</c:v>
                </c:pt>
                <c:pt idx="44">
                  <c:v>44439</c:v>
                </c:pt>
                <c:pt idx="45">
                  <c:v>44440</c:v>
                </c:pt>
                <c:pt idx="46">
                  <c:v>44441</c:v>
                </c:pt>
                <c:pt idx="47">
                  <c:v>44442</c:v>
                </c:pt>
                <c:pt idx="48">
                  <c:v>44445</c:v>
                </c:pt>
                <c:pt idx="49">
                  <c:v>44448</c:v>
                </c:pt>
                <c:pt idx="50">
                  <c:v>44449</c:v>
                </c:pt>
                <c:pt idx="51">
                  <c:v>44452</c:v>
                </c:pt>
                <c:pt idx="52">
                  <c:v>44453</c:v>
                </c:pt>
                <c:pt idx="53">
                  <c:v>44454</c:v>
                </c:pt>
                <c:pt idx="54">
                  <c:v>44455</c:v>
                </c:pt>
                <c:pt idx="55">
                  <c:v>44456</c:v>
                </c:pt>
                <c:pt idx="56">
                  <c:v>44459</c:v>
                </c:pt>
                <c:pt idx="57">
                  <c:v>44460</c:v>
                </c:pt>
                <c:pt idx="58">
                  <c:v>44461</c:v>
                </c:pt>
                <c:pt idx="59">
                  <c:v>44462</c:v>
                </c:pt>
                <c:pt idx="60">
                  <c:v>44463</c:v>
                </c:pt>
                <c:pt idx="61">
                  <c:v>44466</c:v>
                </c:pt>
                <c:pt idx="62">
                  <c:v>44467</c:v>
                </c:pt>
                <c:pt idx="63">
                  <c:v>44468</c:v>
                </c:pt>
                <c:pt idx="64">
                  <c:v>44469</c:v>
                </c:pt>
                <c:pt idx="65">
                  <c:v>44470</c:v>
                </c:pt>
                <c:pt idx="66">
                  <c:v>44473</c:v>
                </c:pt>
                <c:pt idx="67">
                  <c:v>44474</c:v>
                </c:pt>
                <c:pt idx="68">
                  <c:v>44475</c:v>
                </c:pt>
                <c:pt idx="69">
                  <c:v>44476</c:v>
                </c:pt>
                <c:pt idx="70">
                  <c:v>44477</c:v>
                </c:pt>
                <c:pt idx="71">
                  <c:v>44480</c:v>
                </c:pt>
                <c:pt idx="72">
                  <c:v>44482</c:v>
                </c:pt>
                <c:pt idx="73">
                  <c:v>44483</c:v>
                </c:pt>
                <c:pt idx="74">
                  <c:v>44484</c:v>
                </c:pt>
                <c:pt idx="75">
                  <c:v>44487</c:v>
                </c:pt>
                <c:pt idx="76">
                  <c:v>44488</c:v>
                </c:pt>
                <c:pt idx="77">
                  <c:v>44489</c:v>
                </c:pt>
                <c:pt idx="78">
                  <c:v>44490</c:v>
                </c:pt>
                <c:pt idx="79">
                  <c:v>44491</c:v>
                </c:pt>
                <c:pt idx="80">
                  <c:v>44494</c:v>
                </c:pt>
                <c:pt idx="81">
                  <c:v>44495</c:v>
                </c:pt>
                <c:pt idx="82">
                  <c:v>44496</c:v>
                </c:pt>
                <c:pt idx="83">
                  <c:v>44497</c:v>
                </c:pt>
                <c:pt idx="84">
                  <c:v>44498</c:v>
                </c:pt>
                <c:pt idx="85">
                  <c:v>44501</c:v>
                </c:pt>
                <c:pt idx="86">
                  <c:v>44503</c:v>
                </c:pt>
                <c:pt idx="87">
                  <c:v>44504</c:v>
                </c:pt>
                <c:pt idx="88">
                  <c:v>44505</c:v>
                </c:pt>
                <c:pt idx="89">
                  <c:v>44508</c:v>
                </c:pt>
                <c:pt idx="90">
                  <c:v>44509</c:v>
                </c:pt>
              </c:numCache>
            </c:numRef>
          </c:cat>
          <c:val>
            <c:numRef>
              <c:f>'Top5 Monthly'!$E$4:$E$189</c:f>
              <c:numCache>
                <c:formatCode>General</c:formatCode>
                <c:ptCount val="186"/>
                <c:pt idx="0">
                  <c:v>0.14000000000000001</c:v>
                </c:pt>
                <c:pt idx="1">
                  <c:v>0.14000000000000001</c:v>
                </c:pt>
                <c:pt idx="2">
                  <c:v>0.14000000000000001</c:v>
                </c:pt>
                <c:pt idx="3">
                  <c:v>0.14000000000000001</c:v>
                </c:pt>
                <c:pt idx="4">
                  <c:v>0.14000000000000001</c:v>
                </c:pt>
                <c:pt idx="5">
                  <c:v>0.34</c:v>
                </c:pt>
                <c:pt idx="6">
                  <c:v>0.34</c:v>
                </c:pt>
                <c:pt idx="7">
                  <c:v>0.34</c:v>
                </c:pt>
                <c:pt idx="8">
                  <c:v>0.34</c:v>
                </c:pt>
                <c:pt idx="9">
                  <c:v>0.34</c:v>
                </c:pt>
                <c:pt idx="10">
                  <c:v>0.34</c:v>
                </c:pt>
                <c:pt idx="11">
                  <c:v>0.34</c:v>
                </c:pt>
                <c:pt idx="12">
                  <c:v>0.34</c:v>
                </c:pt>
                <c:pt idx="13">
                  <c:v>0.34</c:v>
                </c:pt>
                <c:pt idx="14">
                  <c:v>0.32</c:v>
                </c:pt>
                <c:pt idx="15">
                  <c:v>0.32</c:v>
                </c:pt>
                <c:pt idx="16">
                  <c:v>0.34</c:v>
                </c:pt>
                <c:pt idx="17">
                  <c:v>0.34</c:v>
                </c:pt>
                <c:pt idx="18">
                  <c:v>0.34</c:v>
                </c:pt>
                <c:pt idx="19">
                  <c:v>0.34</c:v>
                </c:pt>
                <c:pt idx="20">
                  <c:v>0.34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  <c:pt idx="24">
                  <c:v>0.3</c:v>
                </c:pt>
                <c:pt idx="25">
                  <c:v>0.3</c:v>
                </c:pt>
                <c:pt idx="26">
                  <c:v>0.3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0.3</c:v>
                </c:pt>
                <c:pt idx="39">
                  <c:v>0.3</c:v>
                </c:pt>
                <c:pt idx="40">
                  <c:v>0.3</c:v>
                </c:pt>
                <c:pt idx="41">
                  <c:v>0.3</c:v>
                </c:pt>
                <c:pt idx="42">
                  <c:v>0.4</c:v>
                </c:pt>
                <c:pt idx="43">
                  <c:v>0.41</c:v>
                </c:pt>
                <c:pt idx="44">
                  <c:v>0.4</c:v>
                </c:pt>
                <c:pt idx="45">
                  <c:v>0.4</c:v>
                </c:pt>
                <c:pt idx="46">
                  <c:v>0.41</c:v>
                </c:pt>
                <c:pt idx="47">
                  <c:v>0.41</c:v>
                </c:pt>
                <c:pt idx="48">
                  <c:v>0.41</c:v>
                </c:pt>
                <c:pt idx="49">
                  <c:v>0.41</c:v>
                </c:pt>
                <c:pt idx="50">
                  <c:v>0.41</c:v>
                </c:pt>
                <c:pt idx="51">
                  <c:v>0.41</c:v>
                </c:pt>
                <c:pt idx="52">
                  <c:v>0.41</c:v>
                </c:pt>
                <c:pt idx="53">
                  <c:v>0.41</c:v>
                </c:pt>
                <c:pt idx="54">
                  <c:v>0.41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0.4</c:v>
                </c:pt>
                <c:pt idx="71">
                  <c:v>0.4</c:v>
                </c:pt>
                <c:pt idx="72">
                  <c:v>0.61</c:v>
                </c:pt>
                <c:pt idx="73">
                  <c:v>0.61</c:v>
                </c:pt>
                <c:pt idx="74">
                  <c:v>0.61</c:v>
                </c:pt>
                <c:pt idx="75">
                  <c:v>0.61</c:v>
                </c:pt>
                <c:pt idx="76">
                  <c:v>0.61</c:v>
                </c:pt>
                <c:pt idx="77">
                  <c:v>0.61</c:v>
                </c:pt>
                <c:pt idx="78">
                  <c:v>0.61</c:v>
                </c:pt>
                <c:pt idx="79">
                  <c:v>0.84</c:v>
                </c:pt>
                <c:pt idx="80">
                  <c:v>0.84</c:v>
                </c:pt>
                <c:pt idx="81">
                  <c:v>0.84</c:v>
                </c:pt>
                <c:pt idx="82">
                  <c:v>0.84</c:v>
                </c:pt>
                <c:pt idx="83">
                  <c:v>0.84</c:v>
                </c:pt>
                <c:pt idx="84">
                  <c:v>0.84</c:v>
                </c:pt>
                <c:pt idx="85">
                  <c:v>0.84</c:v>
                </c:pt>
                <c:pt idx="86">
                  <c:v>0.84</c:v>
                </c:pt>
                <c:pt idx="87">
                  <c:v>0.84</c:v>
                </c:pt>
                <c:pt idx="88">
                  <c:v>0.84</c:v>
                </c:pt>
                <c:pt idx="89">
                  <c:v>0.95</c:v>
                </c:pt>
                <c:pt idx="90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64-4161-B0CB-F2AA374369F8}"/>
            </c:ext>
          </c:extLst>
        </c:ser>
        <c:ser>
          <c:idx val="2"/>
          <c:order val="1"/>
          <c:tx>
            <c:strRef>
              <c:f>'Top5 Monthly'!$F$3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'Top5 Monthly'!$D$4:$D$189</c:f>
              <c:numCache>
                <c:formatCode>m/d/yyyy</c:formatCode>
                <c:ptCount val="186"/>
                <c:pt idx="0">
                  <c:v>44378</c:v>
                </c:pt>
                <c:pt idx="1">
                  <c:v>44379</c:v>
                </c:pt>
                <c:pt idx="2">
                  <c:v>44382</c:v>
                </c:pt>
                <c:pt idx="3">
                  <c:v>44383</c:v>
                </c:pt>
                <c:pt idx="4">
                  <c:v>44384</c:v>
                </c:pt>
                <c:pt idx="5">
                  <c:v>44385</c:v>
                </c:pt>
                <c:pt idx="6">
                  <c:v>44386</c:v>
                </c:pt>
                <c:pt idx="7">
                  <c:v>44389</c:v>
                </c:pt>
                <c:pt idx="8">
                  <c:v>44390</c:v>
                </c:pt>
                <c:pt idx="9">
                  <c:v>44391</c:v>
                </c:pt>
                <c:pt idx="10">
                  <c:v>44392</c:v>
                </c:pt>
                <c:pt idx="11">
                  <c:v>44393</c:v>
                </c:pt>
                <c:pt idx="12">
                  <c:v>44396</c:v>
                </c:pt>
                <c:pt idx="13">
                  <c:v>44397</c:v>
                </c:pt>
                <c:pt idx="14">
                  <c:v>44398</c:v>
                </c:pt>
                <c:pt idx="15">
                  <c:v>44399</c:v>
                </c:pt>
                <c:pt idx="16">
                  <c:v>44400</c:v>
                </c:pt>
                <c:pt idx="17">
                  <c:v>44403</c:v>
                </c:pt>
                <c:pt idx="18">
                  <c:v>44404</c:v>
                </c:pt>
                <c:pt idx="19">
                  <c:v>44405</c:v>
                </c:pt>
                <c:pt idx="20">
                  <c:v>44406</c:v>
                </c:pt>
                <c:pt idx="21">
                  <c:v>44407</c:v>
                </c:pt>
                <c:pt idx="22">
                  <c:v>44410</c:v>
                </c:pt>
                <c:pt idx="23">
                  <c:v>44411</c:v>
                </c:pt>
                <c:pt idx="24">
                  <c:v>44412</c:v>
                </c:pt>
                <c:pt idx="25">
                  <c:v>44413</c:v>
                </c:pt>
                <c:pt idx="26">
                  <c:v>44414</c:v>
                </c:pt>
                <c:pt idx="27">
                  <c:v>44417</c:v>
                </c:pt>
                <c:pt idx="28">
                  <c:v>44418</c:v>
                </c:pt>
                <c:pt idx="29">
                  <c:v>44419</c:v>
                </c:pt>
                <c:pt idx="30">
                  <c:v>44420</c:v>
                </c:pt>
                <c:pt idx="31">
                  <c:v>44421</c:v>
                </c:pt>
                <c:pt idx="32">
                  <c:v>44424</c:v>
                </c:pt>
                <c:pt idx="33">
                  <c:v>44425</c:v>
                </c:pt>
                <c:pt idx="34">
                  <c:v>44426</c:v>
                </c:pt>
                <c:pt idx="35">
                  <c:v>44427</c:v>
                </c:pt>
                <c:pt idx="36">
                  <c:v>44428</c:v>
                </c:pt>
                <c:pt idx="37">
                  <c:v>44431</c:v>
                </c:pt>
                <c:pt idx="38">
                  <c:v>44432</c:v>
                </c:pt>
                <c:pt idx="39">
                  <c:v>44433</c:v>
                </c:pt>
                <c:pt idx="40">
                  <c:v>44434</c:v>
                </c:pt>
                <c:pt idx="41">
                  <c:v>44435</c:v>
                </c:pt>
                <c:pt idx="42">
                  <c:v>44438</c:v>
                </c:pt>
                <c:pt idx="43">
                  <c:v>44447</c:v>
                </c:pt>
                <c:pt idx="44">
                  <c:v>44439</c:v>
                </c:pt>
                <c:pt idx="45">
                  <c:v>44440</c:v>
                </c:pt>
                <c:pt idx="46">
                  <c:v>44441</c:v>
                </c:pt>
                <c:pt idx="47">
                  <c:v>44442</c:v>
                </c:pt>
                <c:pt idx="48">
                  <c:v>44445</c:v>
                </c:pt>
                <c:pt idx="49">
                  <c:v>44448</c:v>
                </c:pt>
                <c:pt idx="50">
                  <c:v>44449</c:v>
                </c:pt>
                <c:pt idx="51">
                  <c:v>44452</c:v>
                </c:pt>
                <c:pt idx="52">
                  <c:v>44453</c:v>
                </c:pt>
                <c:pt idx="53">
                  <c:v>44454</c:v>
                </c:pt>
                <c:pt idx="54">
                  <c:v>44455</c:v>
                </c:pt>
                <c:pt idx="55">
                  <c:v>44456</c:v>
                </c:pt>
                <c:pt idx="56">
                  <c:v>44459</c:v>
                </c:pt>
                <c:pt idx="57">
                  <c:v>44460</c:v>
                </c:pt>
                <c:pt idx="58">
                  <c:v>44461</c:v>
                </c:pt>
                <c:pt idx="59">
                  <c:v>44462</c:v>
                </c:pt>
                <c:pt idx="60">
                  <c:v>44463</c:v>
                </c:pt>
                <c:pt idx="61">
                  <c:v>44466</c:v>
                </c:pt>
                <c:pt idx="62">
                  <c:v>44467</c:v>
                </c:pt>
                <c:pt idx="63">
                  <c:v>44468</c:v>
                </c:pt>
                <c:pt idx="64">
                  <c:v>44469</c:v>
                </c:pt>
                <c:pt idx="65">
                  <c:v>44470</c:v>
                </c:pt>
                <c:pt idx="66">
                  <c:v>44473</c:v>
                </c:pt>
                <c:pt idx="67">
                  <c:v>44474</c:v>
                </c:pt>
                <c:pt idx="68">
                  <c:v>44475</c:v>
                </c:pt>
                <c:pt idx="69">
                  <c:v>44476</c:v>
                </c:pt>
                <c:pt idx="70">
                  <c:v>44477</c:v>
                </c:pt>
                <c:pt idx="71">
                  <c:v>44480</c:v>
                </c:pt>
                <c:pt idx="72">
                  <c:v>44482</c:v>
                </c:pt>
                <c:pt idx="73">
                  <c:v>44483</c:v>
                </c:pt>
                <c:pt idx="74">
                  <c:v>44484</c:v>
                </c:pt>
                <c:pt idx="75">
                  <c:v>44487</c:v>
                </c:pt>
                <c:pt idx="76">
                  <c:v>44488</c:v>
                </c:pt>
                <c:pt idx="77">
                  <c:v>44489</c:v>
                </c:pt>
                <c:pt idx="78">
                  <c:v>44490</c:v>
                </c:pt>
                <c:pt idx="79">
                  <c:v>44491</c:v>
                </c:pt>
                <c:pt idx="80">
                  <c:v>44494</c:v>
                </c:pt>
                <c:pt idx="81">
                  <c:v>44495</c:v>
                </c:pt>
                <c:pt idx="82">
                  <c:v>44496</c:v>
                </c:pt>
                <c:pt idx="83">
                  <c:v>44497</c:v>
                </c:pt>
                <c:pt idx="84">
                  <c:v>44498</c:v>
                </c:pt>
                <c:pt idx="85">
                  <c:v>44501</c:v>
                </c:pt>
                <c:pt idx="86">
                  <c:v>44503</c:v>
                </c:pt>
                <c:pt idx="87">
                  <c:v>44504</c:v>
                </c:pt>
                <c:pt idx="88">
                  <c:v>44505</c:v>
                </c:pt>
                <c:pt idx="89">
                  <c:v>44508</c:v>
                </c:pt>
                <c:pt idx="90">
                  <c:v>44509</c:v>
                </c:pt>
              </c:numCache>
            </c:numRef>
          </c:cat>
          <c:val>
            <c:numRef>
              <c:f>'Top5 Monthly'!$F$4:$F$189</c:f>
              <c:numCache>
                <c:formatCode>General</c:formatCode>
                <c:ptCount val="186"/>
                <c:pt idx="0">
                  <c:v>0.35499999999999998</c:v>
                </c:pt>
                <c:pt idx="1">
                  <c:v>0.35499999999999998</c:v>
                </c:pt>
                <c:pt idx="2">
                  <c:v>0.35499999999999998</c:v>
                </c:pt>
                <c:pt idx="3">
                  <c:v>0.35499999999999998</c:v>
                </c:pt>
                <c:pt idx="4">
                  <c:v>0.35499999999999998</c:v>
                </c:pt>
                <c:pt idx="5">
                  <c:v>0.375</c:v>
                </c:pt>
                <c:pt idx="6">
                  <c:v>0.36499999999999999</c:v>
                </c:pt>
                <c:pt idx="7">
                  <c:v>0.36</c:v>
                </c:pt>
                <c:pt idx="8">
                  <c:v>0.36</c:v>
                </c:pt>
                <c:pt idx="9">
                  <c:v>0.36</c:v>
                </c:pt>
                <c:pt idx="10">
                  <c:v>0.36</c:v>
                </c:pt>
                <c:pt idx="11">
                  <c:v>0.36</c:v>
                </c:pt>
                <c:pt idx="12">
                  <c:v>0.36</c:v>
                </c:pt>
                <c:pt idx="13">
                  <c:v>0.36</c:v>
                </c:pt>
                <c:pt idx="14">
                  <c:v>0.35</c:v>
                </c:pt>
                <c:pt idx="15">
                  <c:v>0.35</c:v>
                </c:pt>
                <c:pt idx="16">
                  <c:v>0.36</c:v>
                </c:pt>
                <c:pt idx="17">
                  <c:v>0.36</c:v>
                </c:pt>
                <c:pt idx="18">
                  <c:v>0.36</c:v>
                </c:pt>
                <c:pt idx="19">
                  <c:v>0.36</c:v>
                </c:pt>
                <c:pt idx="20">
                  <c:v>0.36</c:v>
                </c:pt>
                <c:pt idx="21">
                  <c:v>0.35</c:v>
                </c:pt>
                <c:pt idx="22">
                  <c:v>0.35</c:v>
                </c:pt>
                <c:pt idx="23">
                  <c:v>0.37</c:v>
                </c:pt>
                <c:pt idx="24">
                  <c:v>0.37</c:v>
                </c:pt>
                <c:pt idx="25">
                  <c:v>0.37</c:v>
                </c:pt>
                <c:pt idx="26">
                  <c:v>0.38500000000000001</c:v>
                </c:pt>
                <c:pt idx="27">
                  <c:v>0.38500000000000001</c:v>
                </c:pt>
                <c:pt idx="28">
                  <c:v>0.37</c:v>
                </c:pt>
                <c:pt idx="29">
                  <c:v>0.37</c:v>
                </c:pt>
                <c:pt idx="30">
                  <c:v>0.37</c:v>
                </c:pt>
                <c:pt idx="31">
                  <c:v>0.4</c:v>
                </c:pt>
                <c:pt idx="32">
                  <c:v>0.4</c:v>
                </c:pt>
                <c:pt idx="33">
                  <c:v>0.4</c:v>
                </c:pt>
                <c:pt idx="34">
                  <c:v>0.4</c:v>
                </c:pt>
                <c:pt idx="35">
                  <c:v>0.4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0.47</c:v>
                </c:pt>
                <c:pt idx="43">
                  <c:v>0.55000000000000004</c:v>
                </c:pt>
                <c:pt idx="44">
                  <c:v>0.47</c:v>
                </c:pt>
                <c:pt idx="45">
                  <c:v>0.47</c:v>
                </c:pt>
                <c:pt idx="46">
                  <c:v>0.53</c:v>
                </c:pt>
                <c:pt idx="47">
                  <c:v>0.55000000000000004</c:v>
                </c:pt>
                <c:pt idx="48">
                  <c:v>0.55000000000000004</c:v>
                </c:pt>
                <c:pt idx="49">
                  <c:v>0.53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0.57999999999999996</c:v>
                </c:pt>
                <c:pt idx="54">
                  <c:v>0.57999999999999996</c:v>
                </c:pt>
                <c:pt idx="55">
                  <c:v>0.59</c:v>
                </c:pt>
                <c:pt idx="56">
                  <c:v>0.59</c:v>
                </c:pt>
                <c:pt idx="57">
                  <c:v>0.59</c:v>
                </c:pt>
                <c:pt idx="58">
                  <c:v>0.59</c:v>
                </c:pt>
                <c:pt idx="59">
                  <c:v>0.59</c:v>
                </c:pt>
                <c:pt idx="60">
                  <c:v>0.61</c:v>
                </c:pt>
                <c:pt idx="61">
                  <c:v>0.61</c:v>
                </c:pt>
                <c:pt idx="62">
                  <c:v>0.61</c:v>
                </c:pt>
                <c:pt idx="63">
                  <c:v>0.61</c:v>
                </c:pt>
                <c:pt idx="64">
                  <c:v>0.61</c:v>
                </c:pt>
                <c:pt idx="65">
                  <c:v>0.61</c:v>
                </c:pt>
                <c:pt idx="66">
                  <c:v>0.61</c:v>
                </c:pt>
                <c:pt idx="67">
                  <c:v>0.61</c:v>
                </c:pt>
                <c:pt idx="68">
                  <c:v>0.61</c:v>
                </c:pt>
                <c:pt idx="69">
                  <c:v>0.61</c:v>
                </c:pt>
                <c:pt idx="70">
                  <c:v>0.65</c:v>
                </c:pt>
                <c:pt idx="71">
                  <c:v>0.65</c:v>
                </c:pt>
                <c:pt idx="72">
                  <c:v>0.65</c:v>
                </c:pt>
                <c:pt idx="73">
                  <c:v>0.65</c:v>
                </c:pt>
                <c:pt idx="74">
                  <c:v>0.68</c:v>
                </c:pt>
                <c:pt idx="75">
                  <c:v>0.71499999999999997</c:v>
                </c:pt>
                <c:pt idx="76">
                  <c:v>0.71499999999999997</c:v>
                </c:pt>
                <c:pt idx="77">
                  <c:v>0.71499999999999997</c:v>
                </c:pt>
                <c:pt idx="78">
                  <c:v>0.71499999999999997</c:v>
                </c:pt>
                <c:pt idx="79">
                  <c:v>0.88</c:v>
                </c:pt>
                <c:pt idx="80">
                  <c:v>0.88</c:v>
                </c:pt>
                <c:pt idx="81">
                  <c:v>0.9</c:v>
                </c:pt>
                <c:pt idx="82">
                  <c:v>0.9</c:v>
                </c:pt>
                <c:pt idx="83">
                  <c:v>0.9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1.08</c:v>
                </c:pt>
                <c:pt idx="90">
                  <c:v>1.08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64-4161-B0CB-F2AA374369F8}"/>
            </c:ext>
          </c:extLst>
        </c:ser>
        <c:ser>
          <c:idx val="3"/>
          <c:order val="2"/>
          <c:tx>
            <c:strRef>
              <c:f>'Top5 Monthly'!$G$3</c:f>
              <c:strCache>
                <c:ptCount val="1"/>
                <c:pt idx="0">
                  <c:v>Maximum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'Top5 Monthly'!$D$4:$D$189</c:f>
              <c:numCache>
                <c:formatCode>m/d/yyyy</c:formatCode>
                <c:ptCount val="186"/>
                <c:pt idx="0">
                  <c:v>44378</c:v>
                </c:pt>
                <c:pt idx="1">
                  <c:v>44379</c:v>
                </c:pt>
                <c:pt idx="2">
                  <c:v>44382</c:v>
                </c:pt>
                <c:pt idx="3">
                  <c:v>44383</c:v>
                </c:pt>
                <c:pt idx="4">
                  <c:v>44384</c:v>
                </c:pt>
                <c:pt idx="5">
                  <c:v>44385</c:v>
                </c:pt>
                <c:pt idx="6">
                  <c:v>44386</c:v>
                </c:pt>
                <c:pt idx="7">
                  <c:v>44389</c:v>
                </c:pt>
                <c:pt idx="8">
                  <c:v>44390</c:v>
                </c:pt>
                <c:pt idx="9">
                  <c:v>44391</c:v>
                </c:pt>
                <c:pt idx="10">
                  <c:v>44392</c:v>
                </c:pt>
                <c:pt idx="11">
                  <c:v>44393</c:v>
                </c:pt>
                <c:pt idx="12">
                  <c:v>44396</c:v>
                </c:pt>
                <c:pt idx="13">
                  <c:v>44397</c:v>
                </c:pt>
                <c:pt idx="14">
                  <c:v>44398</c:v>
                </c:pt>
                <c:pt idx="15">
                  <c:v>44399</c:v>
                </c:pt>
                <c:pt idx="16">
                  <c:v>44400</c:v>
                </c:pt>
                <c:pt idx="17">
                  <c:v>44403</c:v>
                </c:pt>
                <c:pt idx="18">
                  <c:v>44404</c:v>
                </c:pt>
                <c:pt idx="19">
                  <c:v>44405</c:v>
                </c:pt>
                <c:pt idx="20">
                  <c:v>44406</c:v>
                </c:pt>
                <c:pt idx="21">
                  <c:v>44407</c:v>
                </c:pt>
                <c:pt idx="22">
                  <c:v>44410</c:v>
                </c:pt>
                <c:pt idx="23">
                  <c:v>44411</c:v>
                </c:pt>
                <c:pt idx="24">
                  <c:v>44412</c:v>
                </c:pt>
                <c:pt idx="25">
                  <c:v>44413</c:v>
                </c:pt>
                <c:pt idx="26">
                  <c:v>44414</c:v>
                </c:pt>
                <c:pt idx="27">
                  <c:v>44417</c:v>
                </c:pt>
                <c:pt idx="28">
                  <c:v>44418</c:v>
                </c:pt>
                <c:pt idx="29">
                  <c:v>44419</c:v>
                </c:pt>
                <c:pt idx="30">
                  <c:v>44420</c:v>
                </c:pt>
                <c:pt idx="31">
                  <c:v>44421</c:v>
                </c:pt>
                <c:pt idx="32">
                  <c:v>44424</c:v>
                </c:pt>
                <c:pt idx="33">
                  <c:v>44425</c:v>
                </c:pt>
                <c:pt idx="34">
                  <c:v>44426</c:v>
                </c:pt>
                <c:pt idx="35">
                  <c:v>44427</c:v>
                </c:pt>
                <c:pt idx="36">
                  <c:v>44428</c:v>
                </c:pt>
                <c:pt idx="37">
                  <c:v>44431</c:v>
                </c:pt>
                <c:pt idx="38">
                  <c:v>44432</c:v>
                </c:pt>
                <c:pt idx="39">
                  <c:v>44433</c:v>
                </c:pt>
                <c:pt idx="40">
                  <c:v>44434</c:v>
                </c:pt>
                <c:pt idx="41">
                  <c:v>44435</c:v>
                </c:pt>
                <c:pt idx="42">
                  <c:v>44438</c:v>
                </c:pt>
                <c:pt idx="43">
                  <c:v>44447</c:v>
                </c:pt>
                <c:pt idx="44">
                  <c:v>44439</c:v>
                </c:pt>
                <c:pt idx="45">
                  <c:v>44440</c:v>
                </c:pt>
                <c:pt idx="46">
                  <c:v>44441</c:v>
                </c:pt>
                <c:pt idx="47">
                  <c:v>44442</c:v>
                </c:pt>
                <c:pt idx="48">
                  <c:v>44445</c:v>
                </c:pt>
                <c:pt idx="49">
                  <c:v>44448</c:v>
                </c:pt>
                <c:pt idx="50">
                  <c:v>44449</c:v>
                </c:pt>
                <c:pt idx="51">
                  <c:v>44452</c:v>
                </c:pt>
                <c:pt idx="52">
                  <c:v>44453</c:v>
                </c:pt>
                <c:pt idx="53">
                  <c:v>44454</c:v>
                </c:pt>
                <c:pt idx="54">
                  <c:v>44455</c:v>
                </c:pt>
                <c:pt idx="55">
                  <c:v>44456</c:v>
                </c:pt>
                <c:pt idx="56">
                  <c:v>44459</c:v>
                </c:pt>
                <c:pt idx="57">
                  <c:v>44460</c:v>
                </c:pt>
                <c:pt idx="58">
                  <c:v>44461</c:v>
                </c:pt>
                <c:pt idx="59">
                  <c:v>44462</c:v>
                </c:pt>
                <c:pt idx="60">
                  <c:v>44463</c:v>
                </c:pt>
                <c:pt idx="61">
                  <c:v>44466</c:v>
                </c:pt>
                <c:pt idx="62">
                  <c:v>44467</c:v>
                </c:pt>
                <c:pt idx="63">
                  <c:v>44468</c:v>
                </c:pt>
                <c:pt idx="64">
                  <c:v>44469</c:v>
                </c:pt>
                <c:pt idx="65">
                  <c:v>44470</c:v>
                </c:pt>
                <c:pt idx="66">
                  <c:v>44473</c:v>
                </c:pt>
                <c:pt idx="67">
                  <c:v>44474</c:v>
                </c:pt>
                <c:pt idx="68">
                  <c:v>44475</c:v>
                </c:pt>
                <c:pt idx="69">
                  <c:v>44476</c:v>
                </c:pt>
                <c:pt idx="70">
                  <c:v>44477</c:v>
                </c:pt>
                <c:pt idx="71">
                  <c:v>44480</c:v>
                </c:pt>
                <c:pt idx="72">
                  <c:v>44482</c:v>
                </c:pt>
                <c:pt idx="73">
                  <c:v>44483</c:v>
                </c:pt>
                <c:pt idx="74">
                  <c:v>44484</c:v>
                </c:pt>
                <c:pt idx="75">
                  <c:v>44487</c:v>
                </c:pt>
                <c:pt idx="76">
                  <c:v>44488</c:v>
                </c:pt>
                <c:pt idx="77">
                  <c:v>44489</c:v>
                </c:pt>
                <c:pt idx="78">
                  <c:v>44490</c:v>
                </c:pt>
                <c:pt idx="79">
                  <c:v>44491</c:v>
                </c:pt>
                <c:pt idx="80">
                  <c:v>44494</c:v>
                </c:pt>
                <c:pt idx="81">
                  <c:v>44495</c:v>
                </c:pt>
                <c:pt idx="82">
                  <c:v>44496</c:v>
                </c:pt>
                <c:pt idx="83">
                  <c:v>44497</c:v>
                </c:pt>
                <c:pt idx="84">
                  <c:v>44498</c:v>
                </c:pt>
                <c:pt idx="85">
                  <c:v>44501</c:v>
                </c:pt>
                <c:pt idx="86">
                  <c:v>44503</c:v>
                </c:pt>
                <c:pt idx="87">
                  <c:v>44504</c:v>
                </c:pt>
                <c:pt idx="88">
                  <c:v>44505</c:v>
                </c:pt>
                <c:pt idx="89">
                  <c:v>44508</c:v>
                </c:pt>
                <c:pt idx="90">
                  <c:v>44509</c:v>
                </c:pt>
              </c:numCache>
            </c:numRef>
          </c:cat>
          <c:val>
            <c:numRef>
              <c:f>'Top5 Monthly'!$G$4:$G$189</c:f>
              <c:numCache>
                <c:formatCode>General</c:formatCode>
                <c:ptCount val="186"/>
                <c:pt idx="0">
                  <c:v>0.39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0.64</c:v>
                </c:pt>
                <c:pt idx="17">
                  <c:v>0.64</c:v>
                </c:pt>
                <c:pt idx="18">
                  <c:v>0.64</c:v>
                </c:pt>
                <c:pt idx="19">
                  <c:v>0.64</c:v>
                </c:pt>
                <c:pt idx="20">
                  <c:v>0.64</c:v>
                </c:pt>
                <c:pt idx="21">
                  <c:v>0.6</c:v>
                </c:pt>
                <c:pt idx="22">
                  <c:v>0.6</c:v>
                </c:pt>
                <c:pt idx="23">
                  <c:v>0.6</c:v>
                </c:pt>
                <c:pt idx="24">
                  <c:v>0.6</c:v>
                </c:pt>
                <c:pt idx="25">
                  <c:v>0.6</c:v>
                </c:pt>
                <c:pt idx="26">
                  <c:v>0.6</c:v>
                </c:pt>
                <c:pt idx="27">
                  <c:v>0.6</c:v>
                </c:pt>
                <c:pt idx="28">
                  <c:v>0.42</c:v>
                </c:pt>
                <c:pt idx="29">
                  <c:v>0.42</c:v>
                </c:pt>
                <c:pt idx="30">
                  <c:v>0.42</c:v>
                </c:pt>
                <c:pt idx="31">
                  <c:v>0.52</c:v>
                </c:pt>
                <c:pt idx="32">
                  <c:v>0.52</c:v>
                </c:pt>
                <c:pt idx="33">
                  <c:v>0.52</c:v>
                </c:pt>
                <c:pt idx="34">
                  <c:v>0.52</c:v>
                </c:pt>
                <c:pt idx="35">
                  <c:v>0.52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0.65</c:v>
                </c:pt>
                <c:pt idx="42">
                  <c:v>0.65</c:v>
                </c:pt>
                <c:pt idx="43">
                  <c:v>0.65</c:v>
                </c:pt>
                <c:pt idx="44">
                  <c:v>0.65</c:v>
                </c:pt>
                <c:pt idx="45">
                  <c:v>0.65</c:v>
                </c:pt>
                <c:pt idx="46">
                  <c:v>0.65</c:v>
                </c:pt>
                <c:pt idx="47">
                  <c:v>0.65</c:v>
                </c:pt>
                <c:pt idx="48">
                  <c:v>0.65</c:v>
                </c:pt>
                <c:pt idx="49">
                  <c:v>0.61</c:v>
                </c:pt>
                <c:pt idx="50">
                  <c:v>0.61</c:v>
                </c:pt>
                <c:pt idx="51">
                  <c:v>0.64</c:v>
                </c:pt>
                <c:pt idx="52">
                  <c:v>0.64</c:v>
                </c:pt>
                <c:pt idx="53">
                  <c:v>0.65</c:v>
                </c:pt>
                <c:pt idx="54">
                  <c:v>0.73</c:v>
                </c:pt>
                <c:pt idx="55">
                  <c:v>0.73</c:v>
                </c:pt>
                <c:pt idx="56">
                  <c:v>0.73</c:v>
                </c:pt>
                <c:pt idx="57">
                  <c:v>0.73</c:v>
                </c:pt>
                <c:pt idx="58">
                  <c:v>0.73</c:v>
                </c:pt>
                <c:pt idx="59">
                  <c:v>0.73</c:v>
                </c:pt>
                <c:pt idx="60">
                  <c:v>0.73</c:v>
                </c:pt>
                <c:pt idx="61">
                  <c:v>0.73</c:v>
                </c:pt>
                <c:pt idx="62">
                  <c:v>0.73</c:v>
                </c:pt>
                <c:pt idx="63">
                  <c:v>0.73</c:v>
                </c:pt>
                <c:pt idx="64">
                  <c:v>0.73</c:v>
                </c:pt>
                <c:pt idx="65">
                  <c:v>0.77</c:v>
                </c:pt>
                <c:pt idx="66">
                  <c:v>0.77</c:v>
                </c:pt>
                <c:pt idx="67">
                  <c:v>0.77</c:v>
                </c:pt>
                <c:pt idx="68">
                  <c:v>0.77</c:v>
                </c:pt>
                <c:pt idx="69">
                  <c:v>0.77</c:v>
                </c:pt>
                <c:pt idx="70">
                  <c:v>0.68</c:v>
                </c:pt>
                <c:pt idx="71">
                  <c:v>0.68</c:v>
                </c:pt>
                <c:pt idx="72">
                  <c:v>0.78</c:v>
                </c:pt>
                <c:pt idx="73">
                  <c:v>0.78</c:v>
                </c:pt>
                <c:pt idx="74">
                  <c:v>0.82</c:v>
                </c:pt>
                <c:pt idx="75">
                  <c:v>0.82</c:v>
                </c:pt>
                <c:pt idx="76">
                  <c:v>0.82</c:v>
                </c:pt>
                <c:pt idx="77">
                  <c:v>0.86</c:v>
                </c:pt>
                <c:pt idx="78">
                  <c:v>0.86</c:v>
                </c:pt>
                <c:pt idx="79">
                  <c:v>0.95</c:v>
                </c:pt>
                <c:pt idx="80">
                  <c:v>0.95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1.08</c:v>
                </c:pt>
                <c:pt idx="85">
                  <c:v>1.08</c:v>
                </c:pt>
                <c:pt idx="86">
                  <c:v>1.08</c:v>
                </c:pt>
                <c:pt idx="87">
                  <c:v>1.08</c:v>
                </c:pt>
                <c:pt idx="88">
                  <c:v>1.08</c:v>
                </c:pt>
                <c:pt idx="89">
                  <c:v>1.0900000000000001</c:v>
                </c:pt>
                <c:pt idx="90">
                  <c:v>1.0900000000000001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64-4161-B0CB-F2AA37436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dateAx>
        <c:axId val="9901735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Offset val="100"/>
        <c:baseTimeUnit val="days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'Top5 Annual'!$J$1:$P$1</c:f>
          <c:strCache>
            <c:ptCount val="7"/>
            <c:pt idx="0">
              <c:v>FOCUS TOP 5 forecast for IPCA of 2021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'Top5 Annual'!$E$3</c:f>
              <c:strCache>
                <c:ptCount val="1"/>
                <c:pt idx="0">
                  <c:v>Minimo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'Top5 Annual'!$D$4:$D$461</c:f>
              <c:numCache>
                <c:formatCode>m/d/yyyy</c:formatCode>
                <c:ptCount val="458"/>
                <c:pt idx="0">
                  <c:v>44203</c:v>
                </c:pt>
                <c:pt idx="1">
                  <c:v>44202</c:v>
                </c:pt>
                <c:pt idx="2">
                  <c:v>44201</c:v>
                </c:pt>
                <c:pt idx="3">
                  <c:v>44200</c:v>
                </c:pt>
                <c:pt idx="4">
                  <c:v>44204</c:v>
                </c:pt>
                <c:pt idx="5">
                  <c:v>44207</c:v>
                </c:pt>
                <c:pt idx="6">
                  <c:v>44208</c:v>
                </c:pt>
                <c:pt idx="7">
                  <c:v>44211</c:v>
                </c:pt>
                <c:pt idx="8">
                  <c:v>44210</c:v>
                </c:pt>
                <c:pt idx="9">
                  <c:v>44209</c:v>
                </c:pt>
                <c:pt idx="10">
                  <c:v>44214</c:v>
                </c:pt>
                <c:pt idx="11">
                  <c:v>44215</c:v>
                </c:pt>
                <c:pt idx="12">
                  <c:v>44216</c:v>
                </c:pt>
                <c:pt idx="13">
                  <c:v>44217</c:v>
                </c:pt>
                <c:pt idx="14">
                  <c:v>44218</c:v>
                </c:pt>
                <c:pt idx="15">
                  <c:v>44221</c:v>
                </c:pt>
                <c:pt idx="16">
                  <c:v>44222</c:v>
                </c:pt>
                <c:pt idx="17">
                  <c:v>44223</c:v>
                </c:pt>
                <c:pt idx="18">
                  <c:v>44224</c:v>
                </c:pt>
                <c:pt idx="19">
                  <c:v>44225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44235</c:v>
                </c:pt>
                <c:pt idx="26">
                  <c:v>44236</c:v>
                </c:pt>
                <c:pt idx="27">
                  <c:v>44237</c:v>
                </c:pt>
                <c:pt idx="28">
                  <c:v>44238</c:v>
                </c:pt>
                <c:pt idx="29">
                  <c:v>44239</c:v>
                </c:pt>
                <c:pt idx="30">
                  <c:v>44244</c:v>
                </c:pt>
                <c:pt idx="31">
                  <c:v>44245</c:v>
                </c:pt>
                <c:pt idx="32">
                  <c:v>44246</c:v>
                </c:pt>
                <c:pt idx="33">
                  <c:v>44249</c:v>
                </c:pt>
                <c:pt idx="34">
                  <c:v>44250</c:v>
                </c:pt>
                <c:pt idx="35">
                  <c:v>44251</c:v>
                </c:pt>
                <c:pt idx="36">
                  <c:v>44252</c:v>
                </c:pt>
                <c:pt idx="37">
                  <c:v>44253</c:v>
                </c:pt>
                <c:pt idx="38">
                  <c:v>44256</c:v>
                </c:pt>
                <c:pt idx="39">
                  <c:v>44257</c:v>
                </c:pt>
                <c:pt idx="40">
                  <c:v>44258</c:v>
                </c:pt>
                <c:pt idx="41">
                  <c:v>44259</c:v>
                </c:pt>
                <c:pt idx="42">
                  <c:v>44260</c:v>
                </c:pt>
                <c:pt idx="43">
                  <c:v>44263</c:v>
                </c:pt>
                <c:pt idx="44">
                  <c:v>44264</c:v>
                </c:pt>
                <c:pt idx="45">
                  <c:v>44265</c:v>
                </c:pt>
                <c:pt idx="46">
                  <c:v>44266</c:v>
                </c:pt>
                <c:pt idx="47">
                  <c:v>44267</c:v>
                </c:pt>
                <c:pt idx="48">
                  <c:v>44270</c:v>
                </c:pt>
                <c:pt idx="49">
                  <c:v>44272</c:v>
                </c:pt>
                <c:pt idx="50">
                  <c:v>44271</c:v>
                </c:pt>
                <c:pt idx="51">
                  <c:v>44273</c:v>
                </c:pt>
                <c:pt idx="52">
                  <c:v>44274</c:v>
                </c:pt>
                <c:pt idx="53">
                  <c:v>44277</c:v>
                </c:pt>
                <c:pt idx="54">
                  <c:v>44278</c:v>
                </c:pt>
                <c:pt idx="55">
                  <c:v>44279</c:v>
                </c:pt>
                <c:pt idx="56">
                  <c:v>44280</c:v>
                </c:pt>
                <c:pt idx="57">
                  <c:v>44281</c:v>
                </c:pt>
                <c:pt idx="58">
                  <c:v>44284</c:v>
                </c:pt>
                <c:pt idx="59">
                  <c:v>44286</c:v>
                </c:pt>
                <c:pt idx="60">
                  <c:v>44287</c:v>
                </c:pt>
                <c:pt idx="61">
                  <c:v>44291</c:v>
                </c:pt>
                <c:pt idx="62">
                  <c:v>44292</c:v>
                </c:pt>
                <c:pt idx="63">
                  <c:v>44293</c:v>
                </c:pt>
                <c:pt idx="64">
                  <c:v>44294</c:v>
                </c:pt>
                <c:pt idx="65">
                  <c:v>44295</c:v>
                </c:pt>
                <c:pt idx="66">
                  <c:v>44298</c:v>
                </c:pt>
                <c:pt idx="67">
                  <c:v>44299</c:v>
                </c:pt>
                <c:pt idx="68">
                  <c:v>44300</c:v>
                </c:pt>
                <c:pt idx="69">
                  <c:v>44301</c:v>
                </c:pt>
                <c:pt idx="70">
                  <c:v>44302</c:v>
                </c:pt>
                <c:pt idx="71">
                  <c:v>44305</c:v>
                </c:pt>
                <c:pt idx="72">
                  <c:v>44306</c:v>
                </c:pt>
                <c:pt idx="73">
                  <c:v>44308</c:v>
                </c:pt>
                <c:pt idx="74">
                  <c:v>44309</c:v>
                </c:pt>
                <c:pt idx="75">
                  <c:v>44312</c:v>
                </c:pt>
                <c:pt idx="76">
                  <c:v>44313</c:v>
                </c:pt>
                <c:pt idx="77">
                  <c:v>44314</c:v>
                </c:pt>
                <c:pt idx="78">
                  <c:v>44315</c:v>
                </c:pt>
                <c:pt idx="79">
                  <c:v>44316</c:v>
                </c:pt>
                <c:pt idx="80">
                  <c:v>44319</c:v>
                </c:pt>
                <c:pt idx="81">
                  <c:v>44320</c:v>
                </c:pt>
                <c:pt idx="82">
                  <c:v>44321</c:v>
                </c:pt>
                <c:pt idx="83">
                  <c:v>44322</c:v>
                </c:pt>
                <c:pt idx="84">
                  <c:v>44323</c:v>
                </c:pt>
                <c:pt idx="85">
                  <c:v>44326</c:v>
                </c:pt>
                <c:pt idx="86">
                  <c:v>44327</c:v>
                </c:pt>
                <c:pt idx="87">
                  <c:v>44328</c:v>
                </c:pt>
                <c:pt idx="88">
                  <c:v>44329</c:v>
                </c:pt>
                <c:pt idx="89">
                  <c:v>44330</c:v>
                </c:pt>
                <c:pt idx="90">
                  <c:v>44333</c:v>
                </c:pt>
                <c:pt idx="91">
                  <c:v>44334</c:v>
                </c:pt>
                <c:pt idx="92">
                  <c:v>44335</c:v>
                </c:pt>
                <c:pt idx="93">
                  <c:v>44336</c:v>
                </c:pt>
                <c:pt idx="94">
                  <c:v>44337</c:v>
                </c:pt>
                <c:pt idx="95">
                  <c:v>44340</c:v>
                </c:pt>
                <c:pt idx="96">
                  <c:v>44341</c:v>
                </c:pt>
                <c:pt idx="97">
                  <c:v>44342</c:v>
                </c:pt>
                <c:pt idx="98">
                  <c:v>44343</c:v>
                </c:pt>
                <c:pt idx="99">
                  <c:v>44344</c:v>
                </c:pt>
                <c:pt idx="100">
                  <c:v>44347</c:v>
                </c:pt>
                <c:pt idx="101">
                  <c:v>44285</c:v>
                </c:pt>
                <c:pt idx="102">
                  <c:v>44348</c:v>
                </c:pt>
                <c:pt idx="103">
                  <c:v>44349</c:v>
                </c:pt>
                <c:pt idx="104">
                  <c:v>44351</c:v>
                </c:pt>
                <c:pt idx="105">
                  <c:v>44354</c:v>
                </c:pt>
                <c:pt idx="106">
                  <c:v>44355</c:v>
                </c:pt>
                <c:pt idx="107">
                  <c:v>44356</c:v>
                </c:pt>
                <c:pt idx="108">
                  <c:v>44357</c:v>
                </c:pt>
                <c:pt idx="109">
                  <c:v>44358</c:v>
                </c:pt>
                <c:pt idx="110">
                  <c:v>44361</c:v>
                </c:pt>
                <c:pt idx="111">
                  <c:v>44362</c:v>
                </c:pt>
                <c:pt idx="112">
                  <c:v>44363</c:v>
                </c:pt>
                <c:pt idx="113">
                  <c:v>44364</c:v>
                </c:pt>
                <c:pt idx="114">
                  <c:v>44365</c:v>
                </c:pt>
                <c:pt idx="115">
                  <c:v>44368</c:v>
                </c:pt>
                <c:pt idx="116">
                  <c:v>44369</c:v>
                </c:pt>
                <c:pt idx="117">
                  <c:v>44370</c:v>
                </c:pt>
                <c:pt idx="118">
                  <c:v>44371</c:v>
                </c:pt>
                <c:pt idx="119">
                  <c:v>44372</c:v>
                </c:pt>
                <c:pt idx="120">
                  <c:v>44375</c:v>
                </c:pt>
                <c:pt idx="121">
                  <c:v>44376</c:v>
                </c:pt>
                <c:pt idx="122">
                  <c:v>44377</c:v>
                </c:pt>
                <c:pt idx="123">
                  <c:v>44378</c:v>
                </c:pt>
                <c:pt idx="124">
                  <c:v>44379</c:v>
                </c:pt>
                <c:pt idx="125">
                  <c:v>44382</c:v>
                </c:pt>
                <c:pt idx="126">
                  <c:v>44383</c:v>
                </c:pt>
                <c:pt idx="127">
                  <c:v>44384</c:v>
                </c:pt>
                <c:pt idx="128">
                  <c:v>44385</c:v>
                </c:pt>
                <c:pt idx="129">
                  <c:v>44386</c:v>
                </c:pt>
                <c:pt idx="130">
                  <c:v>44389</c:v>
                </c:pt>
                <c:pt idx="131">
                  <c:v>44390</c:v>
                </c:pt>
                <c:pt idx="132">
                  <c:v>44391</c:v>
                </c:pt>
                <c:pt idx="133">
                  <c:v>44392</c:v>
                </c:pt>
                <c:pt idx="134">
                  <c:v>44393</c:v>
                </c:pt>
                <c:pt idx="135">
                  <c:v>44396</c:v>
                </c:pt>
                <c:pt idx="136">
                  <c:v>44397</c:v>
                </c:pt>
                <c:pt idx="137">
                  <c:v>44398</c:v>
                </c:pt>
                <c:pt idx="138">
                  <c:v>44399</c:v>
                </c:pt>
                <c:pt idx="139">
                  <c:v>44400</c:v>
                </c:pt>
                <c:pt idx="140">
                  <c:v>44403</c:v>
                </c:pt>
                <c:pt idx="141">
                  <c:v>44404</c:v>
                </c:pt>
                <c:pt idx="142">
                  <c:v>44405</c:v>
                </c:pt>
                <c:pt idx="143">
                  <c:v>44406</c:v>
                </c:pt>
                <c:pt idx="144">
                  <c:v>44407</c:v>
                </c:pt>
                <c:pt idx="145">
                  <c:v>44410</c:v>
                </c:pt>
                <c:pt idx="146">
                  <c:v>44411</c:v>
                </c:pt>
                <c:pt idx="147">
                  <c:v>44412</c:v>
                </c:pt>
                <c:pt idx="148">
                  <c:v>44413</c:v>
                </c:pt>
                <c:pt idx="149">
                  <c:v>44414</c:v>
                </c:pt>
                <c:pt idx="150">
                  <c:v>44417</c:v>
                </c:pt>
                <c:pt idx="151">
                  <c:v>44418</c:v>
                </c:pt>
                <c:pt idx="152">
                  <c:v>44419</c:v>
                </c:pt>
                <c:pt idx="153">
                  <c:v>44420</c:v>
                </c:pt>
                <c:pt idx="154">
                  <c:v>44421</c:v>
                </c:pt>
                <c:pt idx="155">
                  <c:v>44424</c:v>
                </c:pt>
                <c:pt idx="156">
                  <c:v>44425</c:v>
                </c:pt>
                <c:pt idx="157">
                  <c:v>44426</c:v>
                </c:pt>
                <c:pt idx="158">
                  <c:v>44427</c:v>
                </c:pt>
                <c:pt idx="159">
                  <c:v>44428</c:v>
                </c:pt>
                <c:pt idx="160">
                  <c:v>44431</c:v>
                </c:pt>
                <c:pt idx="161">
                  <c:v>44432</c:v>
                </c:pt>
                <c:pt idx="162">
                  <c:v>44433</c:v>
                </c:pt>
                <c:pt idx="163">
                  <c:v>44434</c:v>
                </c:pt>
                <c:pt idx="164">
                  <c:v>44435</c:v>
                </c:pt>
                <c:pt idx="165">
                  <c:v>44438</c:v>
                </c:pt>
                <c:pt idx="166">
                  <c:v>44447</c:v>
                </c:pt>
                <c:pt idx="167">
                  <c:v>44439</c:v>
                </c:pt>
                <c:pt idx="168">
                  <c:v>44440</c:v>
                </c:pt>
                <c:pt idx="169">
                  <c:v>44441</c:v>
                </c:pt>
                <c:pt idx="170">
                  <c:v>44442</c:v>
                </c:pt>
                <c:pt idx="171">
                  <c:v>44445</c:v>
                </c:pt>
                <c:pt idx="172">
                  <c:v>44448</c:v>
                </c:pt>
                <c:pt idx="173">
                  <c:v>44449</c:v>
                </c:pt>
                <c:pt idx="174">
                  <c:v>44452</c:v>
                </c:pt>
                <c:pt idx="175">
                  <c:v>44453</c:v>
                </c:pt>
                <c:pt idx="176">
                  <c:v>44454</c:v>
                </c:pt>
                <c:pt idx="177">
                  <c:v>44455</c:v>
                </c:pt>
                <c:pt idx="178">
                  <c:v>44456</c:v>
                </c:pt>
                <c:pt idx="179">
                  <c:v>44459</c:v>
                </c:pt>
                <c:pt idx="180">
                  <c:v>44460</c:v>
                </c:pt>
                <c:pt idx="181">
                  <c:v>44461</c:v>
                </c:pt>
                <c:pt idx="182">
                  <c:v>44462</c:v>
                </c:pt>
                <c:pt idx="183">
                  <c:v>44463</c:v>
                </c:pt>
                <c:pt idx="184">
                  <c:v>44466</c:v>
                </c:pt>
                <c:pt idx="185">
                  <c:v>44467</c:v>
                </c:pt>
                <c:pt idx="186">
                  <c:v>44468</c:v>
                </c:pt>
                <c:pt idx="187">
                  <c:v>44469</c:v>
                </c:pt>
                <c:pt idx="188">
                  <c:v>44470</c:v>
                </c:pt>
                <c:pt idx="189">
                  <c:v>44473</c:v>
                </c:pt>
                <c:pt idx="190">
                  <c:v>44474</c:v>
                </c:pt>
                <c:pt idx="191">
                  <c:v>44475</c:v>
                </c:pt>
                <c:pt idx="192">
                  <c:v>44476</c:v>
                </c:pt>
                <c:pt idx="193">
                  <c:v>44477</c:v>
                </c:pt>
                <c:pt idx="194">
                  <c:v>44480</c:v>
                </c:pt>
                <c:pt idx="195">
                  <c:v>44482</c:v>
                </c:pt>
                <c:pt idx="196">
                  <c:v>44483</c:v>
                </c:pt>
                <c:pt idx="197">
                  <c:v>44484</c:v>
                </c:pt>
                <c:pt idx="198">
                  <c:v>44487</c:v>
                </c:pt>
                <c:pt idx="199">
                  <c:v>44488</c:v>
                </c:pt>
                <c:pt idx="200">
                  <c:v>44489</c:v>
                </c:pt>
                <c:pt idx="201">
                  <c:v>44490</c:v>
                </c:pt>
                <c:pt idx="202">
                  <c:v>44491</c:v>
                </c:pt>
                <c:pt idx="203">
                  <c:v>44494</c:v>
                </c:pt>
                <c:pt idx="204">
                  <c:v>44495</c:v>
                </c:pt>
                <c:pt idx="205">
                  <c:v>44496</c:v>
                </c:pt>
                <c:pt idx="206">
                  <c:v>44497</c:v>
                </c:pt>
                <c:pt idx="207">
                  <c:v>44498</c:v>
                </c:pt>
                <c:pt idx="208">
                  <c:v>44501</c:v>
                </c:pt>
                <c:pt idx="209">
                  <c:v>44503</c:v>
                </c:pt>
                <c:pt idx="210">
                  <c:v>44504</c:v>
                </c:pt>
                <c:pt idx="211">
                  <c:v>44505</c:v>
                </c:pt>
                <c:pt idx="212">
                  <c:v>44508</c:v>
                </c:pt>
                <c:pt idx="213">
                  <c:v>44509</c:v>
                </c:pt>
                <c:pt idx="214">
                  <c:v>44510</c:v>
                </c:pt>
                <c:pt idx="215">
                  <c:v>44511</c:v>
                </c:pt>
                <c:pt idx="216">
                  <c:v>44512</c:v>
                </c:pt>
                <c:pt idx="217">
                  <c:v>44516</c:v>
                </c:pt>
                <c:pt idx="218">
                  <c:v>44517</c:v>
                </c:pt>
                <c:pt idx="219">
                  <c:v>44518</c:v>
                </c:pt>
                <c:pt idx="220">
                  <c:v>44519</c:v>
                </c:pt>
                <c:pt idx="221">
                  <c:v>44522</c:v>
                </c:pt>
                <c:pt idx="222">
                  <c:v>44523</c:v>
                </c:pt>
                <c:pt idx="223">
                  <c:v>44524</c:v>
                </c:pt>
                <c:pt idx="224">
                  <c:v>44525</c:v>
                </c:pt>
                <c:pt idx="225">
                  <c:v>44526</c:v>
                </c:pt>
                <c:pt idx="226">
                  <c:v>44529</c:v>
                </c:pt>
                <c:pt idx="227">
                  <c:v>44530</c:v>
                </c:pt>
                <c:pt idx="228">
                  <c:v>44531</c:v>
                </c:pt>
              </c:numCache>
            </c:numRef>
          </c:cat>
          <c:val>
            <c:numRef>
              <c:f>'Top5 Annual'!$E$4:$E$461</c:f>
              <c:numCache>
                <c:formatCode>General</c:formatCode>
                <c:ptCount val="458"/>
                <c:pt idx="0">
                  <c:v>2.99</c:v>
                </c:pt>
                <c:pt idx="1">
                  <c:v>2.99</c:v>
                </c:pt>
                <c:pt idx="2">
                  <c:v>2.99</c:v>
                </c:pt>
                <c:pt idx="3">
                  <c:v>2.99</c:v>
                </c:pt>
                <c:pt idx="4">
                  <c:v>2.99</c:v>
                </c:pt>
                <c:pt idx="5">
                  <c:v>2.99</c:v>
                </c:pt>
                <c:pt idx="6">
                  <c:v>2.99</c:v>
                </c:pt>
                <c:pt idx="7">
                  <c:v>3.36</c:v>
                </c:pt>
                <c:pt idx="8">
                  <c:v>2.99</c:v>
                </c:pt>
                <c:pt idx="9">
                  <c:v>2.99</c:v>
                </c:pt>
                <c:pt idx="10">
                  <c:v>3.36</c:v>
                </c:pt>
                <c:pt idx="11">
                  <c:v>3.36</c:v>
                </c:pt>
                <c:pt idx="12">
                  <c:v>3.36</c:v>
                </c:pt>
                <c:pt idx="13">
                  <c:v>3.36</c:v>
                </c:pt>
                <c:pt idx="14">
                  <c:v>3.5</c:v>
                </c:pt>
                <c:pt idx="15">
                  <c:v>3.5</c:v>
                </c:pt>
                <c:pt idx="16">
                  <c:v>3.55</c:v>
                </c:pt>
                <c:pt idx="17">
                  <c:v>3.55</c:v>
                </c:pt>
                <c:pt idx="18">
                  <c:v>3.55</c:v>
                </c:pt>
                <c:pt idx="19">
                  <c:v>3.55</c:v>
                </c:pt>
                <c:pt idx="20">
                  <c:v>3.55</c:v>
                </c:pt>
                <c:pt idx="21">
                  <c:v>3.55</c:v>
                </c:pt>
                <c:pt idx="22">
                  <c:v>3.55</c:v>
                </c:pt>
                <c:pt idx="23">
                  <c:v>3.55</c:v>
                </c:pt>
                <c:pt idx="24">
                  <c:v>3.55</c:v>
                </c:pt>
                <c:pt idx="25">
                  <c:v>3.55</c:v>
                </c:pt>
                <c:pt idx="26">
                  <c:v>3.45</c:v>
                </c:pt>
                <c:pt idx="27">
                  <c:v>3.45</c:v>
                </c:pt>
                <c:pt idx="28">
                  <c:v>3.45</c:v>
                </c:pt>
                <c:pt idx="29">
                  <c:v>3.67</c:v>
                </c:pt>
                <c:pt idx="30">
                  <c:v>3.77</c:v>
                </c:pt>
                <c:pt idx="31">
                  <c:v>3.77</c:v>
                </c:pt>
                <c:pt idx="32">
                  <c:v>3.87</c:v>
                </c:pt>
                <c:pt idx="33">
                  <c:v>3.87</c:v>
                </c:pt>
                <c:pt idx="34">
                  <c:v>3.87</c:v>
                </c:pt>
                <c:pt idx="35">
                  <c:v>3.87</c:v>
                </c:pt>
                <c:pt idx="36">
                  <c:v>3.87</c:v>
                </c:pt>
                <c:pt idx="37">
                  <c:v>3.87</c:v>
                </c:pt>
                <c:pt idx="38">
                  <c:v>3.87</c:v>
                </c:pt>
                <c:pt idx="39">
                  <c:v>3.87</c:v>
                </c:pt>
                <c:pt idx="40">
                  <c:v>3.87</c:v>
                </c:pt>
                <c:pt idx="41">
                  <c:v>3.87</c:v>
                </c:pt>
                <c:pt idx="42">
                  <c:v>3.87</c:v>
                </c:pt>
                <c:pt idx="43">
                  <c:v>3.87</c:v>
                </c:pt>
                <c:pt idx="44">
                  <c:v>3.87</c:v>
                </c:pt>
                <c:pt idx="45">
                  <c:v>3.87</c:v>
                </c:pt>
                <c:pt idx="46">
                  <c:v>4.33</c:v>
                </c:pt>
                <c:pt idx="47">
                  <c:v>4.92</c:v>
                </c:pt>
                <c:pt idx="48">
                  <c:v>4.92</c:v>
                </c:pt>
                <c:pt idx="49">
                  <c:v>4.92</c:v>
                </c:pt>
                <c:pt idx="50">
                  <c:v>4.92</c:v>
                </c:pt>
                <c:pt idx="51">
                  <c:v>4.92</c:v>
                </c:pt>
                <c:pt idx="52">
                  <c:v>4.92</c:v>
                </c:pt>
                <c:pt idx="53">
                  <c:v>4.92</c:v>
                </c:pt>
                <c:pt idx="54">
                  <c:v>4.92</c:v>
                </c:pt>
                <c:pt idx="55">
                  <c:v>4.92</c:v>
                </c:pt>
                <c:pt idx="56">
                  <c:v>4.92</c:v>
                </c:pt>
                <c:pt idx="57">
                  <c:v>4.92</c:v>
                </c:pt>
                <c:pt idx="58">
                  <c:v>4.92</c:v>
                </c:pt>
                <c:pt idx="59">
                  <c:v>4.9241999999999999</c:v>
                </c:pt>
                <c:pt idx="60">
                  <c:v>4.9241999999999999</c:v>
                </c:pt>
                <c:pt idx="61">
                  <c:v>4.9241999999999999</c:v>
                </c:pt>
                <c:pt idx="62">
                  <c:v>4.9241999999999999</c:v>
                </c:pt>
                <c:pt idx="63">
                  <c:v>4.9241999999999999</c:v>
                </c:pt>
                <c:pt idx="64">
                  <c:v>4.9241999999999999</c:v>
                </c:pt>
                <c:pt idx="65">
                  <c:v>4.6939000000000002</c:v>
                </c:pt>
                <c:pt idx="66">
                  <c:v>4.6939000000000002</c:v>
                </c:pt>
                <c:pt idx="67">
                  <c:v>4.6939000000000002</c:v>
                </c:pt>
                <c:pt idx="68">
                  <c:v>4.6939000000000002</c:v>
                </c:pt>
                <c:pt idx="69">
                  <c:v>4.8196000000000003</c:v>
                </c:pt>
                <c:pt idx="70">
                  <c:v>5.1018999999999997</c:v>
                </c:pt>
                <c:pt idx="71">
                  <c:v>5.1018999999999997</c:v>
                </c:pt>
                <c:pt idx="72">
                  <c:v>5.1018999999999997</c:v>
                </c:pt>
                <c:pt idx="73">
                  <c:v>5.1018999999999997</c:v>
                </c:pt>
                <c:pt idx="74">
                  <c:v>4.9341999999999997</c:v>
                </c:pt>
                <c:pt idx="75">
                  <c:v>4.9341999999999997</c:v>
                </c:pt>
                <c:pt idx="76">
                  <c:v>4.9341999999999997</c:v>
                </c:pt>
                <c:pt idx="77">
                  <c:v>4.9341999999999997</c:v>
                </c:pt>
                <c:pt idx="78">
                  <c:v>4.9341999999999997</c:v>
                </c:pt>
                <c:pt idx="79">
                  <c:v>4.9341999999999997</c:v>
                </c:pt>
                <c:pt idx="80">
                  <c:v>4.9341999999999997</c:v>
                </c:pt>
                <c:pt idx="81">
                  <c:v>4.9341999999999997</c:v>
                </c:pt>
                <c:pt idx="82">
                  <c:v>4.9341999999999997</c:v>
                </c:pt>
                <c:pt idx="83">
                  <c:v>4.9341999999999997</c:v>
                </c:pt>
                <c:pt idx="84">
                  <c:v>4.9341999999999997</c:v>
                </c:pt>
                <c:pt idx="85">
                  <c:v>4.9341999999999997</c:v>
                </c:pt>
                <c:pt idx="86">
                  <c:v>5.1230000000000002</c:v>
                </c:pt>
                <c:pt idx="87">
                  <c:v>5.1230000000000002</c:v>
                </c:pt>
                <c:pt idx="88">
                  <c:v>5.1230000000000002</c:v>
                </c:pt>
                <c:pt idx="89">
                  <c:v>5.2804000000000002</c:v>
                </c:pt>
                <c:pt idx="90">
                  <c:v>5.2804000000000002</c:v>
                </c:pt>
                <c:pt idx="91">
                  <c:v>5.2804000000000002</c:v>
                </c:pt>
                <c:pt idx="92">
                  <c:v>5.2804000000000002</c:v>
                </c:pt>
                <c:pt idx="93">
                  <c:v>5.2804000000000002</c:v>
                </c:pt>
                <c:pt idx="94">
                  <c:v>5.2804000000000002</c:v>
                </c:pt>
                <c:pt idx="95">
                  <c:v>5.2804000000000002</c:v>
                </c:pt>
                <c:pt idx="96">
                  <c:v>5.2804000000000002</c:v>
                </c:pt>
                <c:pt idx="97">
                  <c:v>5.2804000000000002</c:v>
                </c:pt>
                <c:pt idx="98">
                  <c:v>5.2804000000000002</c:v>
                </c:pt>
                <c:pt idx="99">
                  <c:v>5.2804000000000002</c:v>
                </c:pt>
                <c:pt idx="100">
                  <c:v>5.4367000000000001</c:v>
                </c:pt>
                <c:pt idx="101">
                  <c:v>4.92</c:v>
                </c:pt>
                <c:pt idx="102">
                  <c:v>5.4367000000000001</c:v>
                </c:pt>
                <c:pt idx="103">
                  <c:v>5.9318</c:v>
                </c:pt>
                <c:pt idx="104">
                  <c:v>5.6692</c:v>
                </c:pt>
                <c:pt idx="105">
                  <c:v>5.6692</c:v>
                </c:pt>
                <c:pt idx="106">
                  <c:v>5.6692</c:v>
                </c:pt>
                <c:pt idx="107">
                  <c:v>5.1632999999999996</c:v>
                </c:pt>
                <c:pt idx="108">
                  <c:v>5.1632999999999996</c:v>
                </c:pt>
                <c:pt idx="109">
                  <c:v>5.1632999999999996</c:v>
                </c:pt>
                <c:pt idx="110">
                  <c:v>5.3204000000000002</c:v>
                </c:pt>
                <c:pt idx="111">
                  <c:v>5.3204000000000002</c:v>
                </c:pt>
                <c:pt idx="112">
                  <c:v>5.3204000000000002</c:v>
                </c:pt>
                <c:pt idx="113">
                  <c:v>5.2889999999999997</c:v>
                </c:pt>
                <c:pt idx="114">
                  <c:v>5.2889999999999997</c:v>
                </c:pt>
                <c:pt idx="115">
                  <c:v>5.2889999999999997</c:v>
                </c:pt>
                <c:pt idx="116">
                  <c:v>5.6470000000000002</c:v>
                </c:pt>
                <c:pt idx="117">
                  <c:v>5.6470000000000002</c:v>
                </c:pt>
                <c:pt idx="118">
                  <c:v>5.6470000000000002</c:v>
                </c:pt>
                <c:pt idx="119">
                  <c:v>5.6470000000000002</c:v>
                </c:pt>
                <c:pt idx="120">
                  <c:v>5.6470000000000002</c:v>
                </c:pt>
                <c:pt idx="121">
                  <c:v>5.6470000000000002</c:v>
                </c:pt>
                <c:pt idx="122">
                  <c:v>5.6470000000000002</c:v>
                </c:pt>
                <c:pt idx="123">
                  <c:v>5.6470000000000002</c:v>
                </c:pt>
                <c:pt idx="124">
                  <c:v>5.6470000000000002</c:v>
                </c:pt>
                <c:pt idx="125">
                  <c:v>5.6470000000000002</c:v>
                </c:pt>
                <c:pt idx="126">
                  <c:v>5.6470000000000002</c:v>
                </c:pt>
                <c:pt idx="127">
                  <c:v>5.6470000000000002</c:v>
                </c:pt>
                <c:pt idx="128">
                  <c:v>6.3883999999999999</c:v>
                </c:pt>
                <c:pt idx="129">
                  <c:v>6.3883999999999999</c:v>
                </c:pt>
                <c:pt idx="130">
                  <c:v>6.3883999999999999</c:v>
                </c:pt>
                <c:pt idx="131">
                  <c:v>6.3883999999999999</c:v>
                </c:pt>
                <c:pt idx="132">
                  <c:v>6.3883999999999999</c:v>
                </c:pt>
                <c:pt idx="133">
                  <c:v>6.3883999999999999</c:v>
                </c:pt>
                <c:pt idx="134">
                  <c:v>6.3883999999999999</c:v>
                </c:pt>
                <c:pt idx="135">
                  <c:v>6.3883999999999999</c:v>
                </c:pt>
                <c:pt idx="136">
                  <c:v>6.3883999999999999</c:v>
                </c:pt>
                <c:pt idx="137">
                  <c:v>6.3883999999999999</c:v>
                </c:pt>
                <c:pt idx="138">
                  <c:v>6.3883999999999999</c:v>
                </c:pt>
                <c:pt idx="139">
                  <c:v>6.9638999999999998</c:v>
                </c:pt>
                <c:pt idx="140">
                  <c:v>6.9638999999999998</c:v>
                </c:pt>
                <c:pt idx="141">
                  <c:v>6.9638999999999998</c:v>
                </c:pt>
                <c:pt idx="142">
                  <c:v>6.9638999999999998</c:v>
                </c:pt>
                <c:pt idx="143">
                  <c:v>6.9638999999999998</c:v>
                </c:pt>
                <c:pt idx="144">
                  <c:v>7.0327000000000002</c:v>
                </c:pt>
                <c:pt idx="145">
                  <c:v>7.0327000000000002</c:v>
                </c:pt>
                <c:pt idx="146">
                  <c:v>7.0327000000000002</c:v>
                </c:pt>
                <c:pt idx="147">
                  <c:v>7.0327000000000002</c:v>
                </c:pt>
                <c:pt idx="148">
                  <c:v>7.0327000000000002</c:v>
                </c:pt>
                <c:pt idx="149">
                  <c:v>7.0327000000000002</c:v>
                </c:pt>
                <c:pt idx="150">
                  <c:v>7.0327000000000002</c:v>
                </c:pt>
                <c:pt idx="151">
                  <c:v>7.0221</c:v>
                </c:pt>
                <c:pt idx="152">
                  <c:v>7.0221</c:v>
                </c:pt>
                <c:pt idx="153">
                  <c:v>7.0221</c:v>
                </c:pt>
                <c:pt idx="154">
                  <c:v>7.0221</c:v>
                </c:pt>
                <c:pt idx="155">
                  <c:v>7.0221</c:v>
                </c:pt>
                <c:pt idx="156">
                  <c:v>7.0221</c:v>
                </c:pt>
                <c:pt idx="157">
                  <c:v>7.0221</c:v>
                </c:pt>
                <c:pt idx="158">
                  <c:v>7.0221</c:v>
                </c:pt>
                <c:pt idx="159">
                  <c:v>7.0221</c:v>
                </c:pt>
                <c:pt idx="160">
                  <c:v>7.0221</c:v>
                </c:pt>
                <c:pt idx="161">
                  <c:v>7.0221</c:v>
                </c:pt>
                <c:pt idx="162">
                  <c:v>7.0221</c:v>
                </c:pt>
                <c:pt idx="163">
                  <c:v>7.0221</c:v>
                </c:pt>
                <c:pt idx="164">
                  <c:v>7.0221</c:v>
                </c:pt>
                <c:pt idx="165">
                  <c:v>7.1721000000000004</c:v>
                </c:pt>
                <c:pt idx="166">
                  <c:v>8.0595999999999997</c:v>
                </c:pt>
                <c:pt idx="167">
                  <c:v>7.1721000000000004</c:v>
                </c:pt>
                <c:pt idx="168">
                  <c:v>7.1721000000000004</c:v>
                </c:pt>
                <c:pt idx="169">
                  <c:v>7.7384000000000004</c:v>
                </c:pt>
                <c:pt idx="170">
                  <c:v>8.0595999999999997</c:v>
                </c:pt>
                <c:pt idx="171">
                  <c:v>8.0595999999999997</c:v>
                </c:pt>
                <c:pt idx="172">
                  <c:v>8.1245999999999992</c:v>
                </c:pt>
                <c:pt idx="173">
                  <c:v>8.1245999999999992</c:v>
                </c:pt>
                <c:pt idx="174">
                  <c:v>8.3385999999999996</c:v>
                </c:pt>
                <c:pt idx="175">
                  <c:v>8.3385999999999996</c:v>
                </c:pt>
                <c:pt idx="176">
                  <c:v>8.3385999999999996</c:v>
                </c:pt>
                <c:pt idx="177">
                  <c:v>8.3385999999999996</c:v>
                </c:pt>
                <c:pt idx="178">
                  <c:v>8.5211000000000006</c:v>
                </c:pt>
                <c:pt idx="179">
                  <c:v>8.5211000000000006</c:v>
                </c:pt>
                <c:pt idx="180">
                  <c:v>8.5211000000000006</c:v>
                </c:pt>
                <c:pt idx="181">
                  <c:v>8.5211000000000006</c:v>
                </c:pt>
                <c:pt idx="182">
                  <c:v>8.5211000000000006</c:v>
                </c:pt>
                <c:pt idx="183">
                  <c:v>8.5211000000000006</c:v>
                </c:pt>
                <c:pt idx="184">
                  <c:v>8.5211000000000006</c:v>
                </c:pt>
                <c:pt idx="185">
                  <c:v>8.5211000000000006</c:v>
                </c:pt>
                <c:pt idx="186">
                  <c:v>8.5211000000000006</c:v>
                </c:pt>
                <c:pt idx="187">
                  <c:v>8.5211000000000006</c:v>
                </c:pt>
                <c:pt idx="188">
                  <c:v>8.5211000000000006</c:v>
                </c:pt>
                <c:pt idx="189">
                  <c:v>8.5211000000000006</c:v>
                </c:pt>
                <c:pt idx="190">
                  <c:v>8.5211000000000006</c:v>
                </c:pt>
                <c:pt idx="191">
                  <c:v>8.5211000000000006</c:v>
                </c:pt>
                <c:pt idx="192">
                  <c:v>8.5211000000000006</c:v>
                </c:pt>
                <c:pt idx="193">
                  <c:v>8.7805</c:v>
                </c:pt>
                <c:pt idx="194">
                  <c:v>8.7805</c:v>
                </c:pt>
                <c:pt idx="195">
                  <c:v>8.7805</c:v>
                </c:pt>
                <c:pt idx="196">
                  <c:v>8.7805</c:v>
                </c:pt>
                <c:pt idx="197">
                  <c:v>8.7802000000000007</c:v>
                </c:pt>
                <c:pt idx="198">
                  <c:v>8.7802000000000007</c:v>
                </c:pt>
                <c:pt idx="199">
                  <c:v>8.7802000000000007</c:v>
                </c:pt>
                <c:pt idx="200">
                  <c:v>8.7802000000000007</c:v>
                </c:pt>
                <c:pt idx="201">
                  <c:v>8.7802000000000007</c:v>
                </c:pt>
                <c:pt idx="202">
                  <c:v>9.0075000000000003</c:v>
                </c:pt>
                <c:pt idx="203">
                  <c:v>9.0075000000000003</c:v>
                </c:pt>
                <c:pt idx="204">
                  <c:v>9.3221000000000007</c:v>
                </c:pt>
                <c:pt idx="205">
                  <c:v>9.3221000000000007</c:v>
                </c:pt>
                <c:pt idx="206">
                  <c:v>9.3221000000000007</c:v>
                </c:pt>
                <c:pt idx="207">
                  <c:v>9.4519000000000002</c:v>
                </c:pt>
                <c:pt idx="208">
                  <c:v>9.4519000000000002</c:v>
                </c:pt>
                <c:pt idx="209">
                  <c:v>9.4519000000000002</c:v>
                </c:pt>
                <c:pt idx="210">
                  <c:v>9.4519000000000002</c:v>
                </c:pt>
                <c:pt idx="211">
                  <c:v>9.4519000000000002</c:v>
                </c:pt>
                <c:pt idx="212">
                  <c:v>9.6476000000000006</c:v>
                </c:pt>
                <c:pt idx="213">
                  <c:v>9.6476000000000006</c:v>
                </c:pt>
                <c:pt idx="214">
                  <c:v>9.9192</c:v>
                </c:pt>
                <c:pt idx="215">
                  <c:v>9.9192</c:v>
                </c:pt>
                <c:pt idx="216">
                  <c:v>9.9192</c:v>
                </c:pt>
                <c:pt idx="217">
                  <c:v>9.9192</c:v>
                </c:pt>
                <c:pt idx="218">
                  <c:v>9.9192</c:v>
                </c:pt>
                <c:pt idx="219">
                  <c:v>9.9192</c:v>
                </c:pt>
                <c:pt idx="220">
                  <c:v>10.060499999999999</c:v>
                </c:pt>
                <c:pt idx="221">
                  <c:v>10.060499999999999</c:v>
                </c:pt>
                <c:pt idx="222">
                  <c:v>10.060499999999999</c:v>
                </c:pt>
                <c:pt idx="223">
                  <c:v>10.060499999999999</c:v>
                </c:pt>
                <c:pt idx="224">
                  <c:v>10.060499999999999</c:v>
                </c:pt>
                <c:pt idx="225">
                  <c:v>10.0822</c:v>
                </c:pt>
                <c:pt idx="226">
                  <c:v>10.0822</c:v>
                </c:pt>
                <c:pt idx="227">
                  <c:v>10.0822</c:v>
                </c:pt>
                <c:pt idx="228">
                  <c:v>10.0822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A7-4BCD-BF38-417EDA9D17ED}"/>
            </c:ext>
          </c:extLst>
        </c:ser>
        <c:ser>
          <c:idx val="2"/>
          <c:order val="1"/>
          <c:tx>
            <c:strRef>
              <c:f>'Top5 Annual'!$F$3</c:f>
              <c:strCache>
                <c:ptCount val="1"/>
                <c:pt idx="0">
                  <c:v>Mediana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'Top5 Annual'!$D$4:$D$461</c:f>
              <c:numCache>
                <c:formatCode>m/d/yyyy</c:formatCode>
                <c:ptCount val="458"/>
                <c:pt idx="0">
                  <c:v>44203</c:v>
                </c:pt>
                <c:pt idx="1">
                  <c:v>44202</c:v>
                </c:pt>
                <c:pt idx="2">
                  <c:v>44201</c:v>
                </c:pt>
                <c:pt idx="3">
                  <c:v>44200</c:v>
                </c:pt>
                <c:pt idx="4">
                  <c:v>44204</c:v>
                </c:pt>
                <c:pt idx="5">
                  <c:v>44207</c:v>
                </c:pt>
                <c:pt idx="6">
                  <c:v>44208</c:v>
                </c:pt>
                <c:pt idx="7">
                  <c:v>44211</c:v>
                </c:pt>
                <c:pt idx="8">
                  <c:v>44210</c:v>
                </c:pt>
                <c:pt idx="9">
                  <c:v>44209</c:v>
                </c:pt>
                <c:pt idx="10">
                  <c:v>44214</c:v>
                </c:pt>
                <c:pt idx="11">
                  <c:v>44215</c:v>
                </c:pt>
                <c:pt idx="12">
                  <c:v>44216</c:v>
                </c:pt>
                <c:pt idx="13">
                  <c:v>44217</c:v>
                </c:pt>
                <c:pt idx="14">
                  <c:v>44218</c:v>
                </c:pt>
                <c:pt idx="15">
                  <c:v>44221</c:v>
                </c:pt>
                <c:pt idx="16">
                  <c:v>44222</c:v>
                </c:pt>
                <c:pt idx="17">
                  <c:v>44223</c:v>
                </c:pt>
                <c:pt idx="18">
                  <c:v>44224</c:v>
                </c:pt>
                <c:pt idx="19">
                  <c:v>44225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44235</c:v>
                </c:pt>
                <c:pt idx="26">
                  <c:v>44236</c:v>
                </c:pt>
                <c:pt idx="27">
                  <c:v>44237</c:v>
                </c:pt>
                <c:pt idx="28">
                  <c:v>44238</c:v>
                </c:pt>
                <c:pt idx="29">
                  <c:v>44239</c:v>
                </c:pt>
                <c:pt idx="30">
                  <c:v>44244</c:v>
                </c:pt>
                <c:pt idx="31">
                  <c:v>44245</c:v>
                </c:pt>
                <c:pt idx="32">
                  <c:v>44246</c:v>
                </c:pt>
                <c:pt idx="33">
                  <c:v>44249</c:v>
                </c:pt>
                <c:pt idx="34">
                  <c:v>44250</c:v>
                </c:pt>
                <c:pt idx="35">
                  <c:v>44251</c:v>
                </c:pt>
                <c:pt idx="36">
                  <c:v>44252</c:v>
                </c:pt>
                <c:pt idx="37">
                  <c:v>44253</c:v>
                </c:pt>
                <c:pt idx="38">
                  <c:v>44256</c:v>
                </c:pt>
                <c:pt idx="39">
                  <c:v>44257</c:v>
                </c:pt>
                <c:pt idx="40">
                  <c:v>44258</c:v>
                </c:pt>
                <c:pt idx="41">
                  <c:v>44259</c:v>
                </c:pt>
                <c:pt idx="42">
                  <c:v>44260</c:v>
                </c:pt>
                <c:pt idx="43">
                  <c:v>44263</c:v>
                </c:pt>
                <c:pt idx="44">
                  <c:v>44264</c:v>
                </c:pt>
                <c:pt idx="45">
                  <c:v>44265</c:v>
                </c:pt>
                <c:pt idx="46">
                  <c:v>44266</c:v>
                </c:pt>
                <c:pt idx="47">
                  <c:v>44267</c:v>
                </c:pt>
                <c:pt idx="48">
                  <c:v>44270</c:v>
                </c:pt>
                <c:pt idx="49">
                  <c:v>44272</c:v>
                </c:pt>
                <c:pt idx="50">
                  <c:v>44271</c:v>
                </c:pt>
                <c:pt idx="51">
                  <c:v>44273</c:v>
                </c:pt>
                <c:pt idx="52">
                  <c:v>44274</c:v>
                </c:pt>
                <c:pt idx="53">
                  <c:v>44277</c:v>
                </c:pt>
                <c:pt idx="54">
                  <c:v>44278</c:v>
                </c:pt>
                <c:pt idx="55">
                  <c:v>44279</c:v>
                </c:pt>
                <c:pt idx="56">
                  <c:v>44280</c:v>
                </c:pt>
                <c:pt idx="57">
                  <c:v>44281</c:v>
                </c:pt>
                <c:pt idx="58">
                  <c:v>44284</c:v>
                </c:pt>
                <c:pt idx="59">
                  <c:v>44286</c:v>
                </c:pt>
                <c:pt idx="60">
                  <c:v>44287</c:v>
                </c:pt>
                <c:pt idx="61">
                  <c:v>44291</c:v>
                </c:pt>
                <c:pt idx="62">
                  <c:v>44292</c:v>
                </c:pt>
                <c:pt idx="63">
                  <c:v>44293</c:v>
                </c:pt>
                <c:pt idx="64">
                  <c:v>44294</c:v>
                </c:pt>
                <c:pt idx="65">
                  <c:v>44295</c:v>
                </c:pt>
                <c:pt idx="66">
                  <c:v>44298</c:v>
                </c:pt>
                <c:pt idx="67">
                  <c:v>44299</c:v>
                </c:pt>
                <c:pt idx="68">
                  <c:v>44300</c:v>
                </c:pt>
                <c:pt idx="69">
                  <c:v>44301</c:v>
                </c:pt>
                <c:pt idx="70">
                  <c:v>44302</c:v>
                </c:pt>
                <c:pt idx="71">
                  <c:v>44305</c:v>
                </c:pt>
                <c:pt idx="72">
                  <c:v>44306</c:v>
                </c:pt>
                <c:pt idx="73">
                  <c:v>44308</c:v>
                </c:pt>
                <c:pt idx="74">
                  <c:v>44309</c:v>
                </c:pt>
                <c:pt idx="75">
                  <c:v>44312</c:v>
                </c:pt>
                <c:pt idx="76">
                  <c:v>44313</c:v>
                </c:pt>
                <c:pt idx="77">
                  <c:v>44314</c:v>
                </c:pt>
                <c:pt idx="78">
                  <c:v>44315</c:v>
                </c:pt>
                <c:pt idx="79">
                  <c:v>44316</c:v>
                </c:pt>
                <c:pt idx="80">
                  <c:v>44319</c:v>
                </c:pt>
                <c:pt idx="81">
                  <c:v>44320</c:v>
                </c:pt>
                <c:pt idx="82">
                  <c:v>44321</c:v>
                </c:pt>
                <c:pt idx="83">
                  <c:v>44322</c:v>
                </c:pt>
                <c:pt idx="84">
                  <c:v>44323</c:v>
                </c:pt>
                <c:pt idx="85">
                  <c:v>44326</c:v>
                </c:pt>
                <c:pt idx="86">
                  <c:v>44327</c:v>
                </c:pt>
                <c:pt idx="87">
                  <c:v>44328</c:v>
                </c:pt>
                <c:pt idx="88">
                  <c:v>44329</c:v>
                </c:pt>
                <c:pt idx="89">
                  <c:v>44330</c:v>
                </c:pt>
                <c:pt idx="90">
                  <c:v>44333</c:v>
                </c:pt>
                <c:pt idx="91">
                  <c:v>44334</c:v>
                </c:pt>
                <c:pt idx="92">
                  <c:v>44335</c:v>
                </c:pt>
                <c:pt idx="93">
                  <c:v>44336</c:v>
                </c:pt>
                <c:pt idx="94">
                  <c:v>44337</c:v>
                </c:pt>
                <c:pt idx="95">
                  <c:v>44340</c:v>
                </c:pt>
                <c:pt idx="96">
                  <c:v>44341</c:v>
                </c:pt>
                <c:pt idx="97">
                  <c:v>44342</c:v>
                </c:pt>
                <c:pt idx="98">
                  <c:v>44343</c:v>
                </c:pt>
                <c:pt idx="99">
                  <c:v>44344</c:v>
                </c:pt>
                <c:pt idx="100">
                  <c:v>44347</c:v>
                </c:pt>
                <c:pt idx="101">
                  <c:v>44285</c:v>
                </c:pt>
                <c:pt idx="102">
                  <c:v>44348</c:v>
                </c:pt>
                <c:pt idx="103">
                  <c:v>44349</c:v>
                </c:pt>
                <c:pt idx="104">
                  <c:v>44351</c:v>
                </c:pt>
                <c:pt idx="105">
                  <c:v>44354</c:v>
                </c:pt>
                <c:pt idx="106">
                  <c:v>44355</c:v>
                </c:pt>
                <c:pt idx="107">
                  <c:v>44356</c:v>
                </c:pt>
                <c:pt idx="108">
                  <c:v>44357</c:v>
                </c:pt>
                <c:pt idx="109">
                  <c:v>44358</c:v>
                </c:pt>
                <c:pt idx="110">
                  <c:v>44361</c:v>
                </c:pt>
                <c:pt idx="111">
                  <c:v>44362</c:v>
                </c:pt>
                <c:pt idx="112">
                  <c:v>44363</c:v>
                </c:pt>
                <c:pt idx="113">
                  <c:v>44364</c:v>
                </c:pt>
                <c:pt idx="114">
                  <c:v>44365</c:v>
                </c:pt>
                <c:pt idx="115">
                  <c:v>44368</c:v>
                </c:pt>
                <c:pt idx="116">
                  <c:v>44369</c:v>
                </c:pt>
                <c:pt idx="117">
                  <c:v>44370</c:v>
                </c:pt>
                <c:pt idx="118">
                  <c:v>44371</c:v>
                </c:pt>
                <c:pt idx="119">
                  <c:v>44372</c:v>
                </c:pt>
                <c:pt idx="120">
                  <c:v>44375</c:v>
                </c:pt>
                <c:pt idx="121">
                  <c:v>44376</c:v>
                </c:pt>
                <c:pt idx="122">
                  <c:v>44377</c:v>
                </c:pt>
                <c:pt idx="123">
                  <c:v>44378</c:v>
                </c:pt>
                <c:pt idx="124">
                  <c:v>44379</c:v>
                </c:pt>
                <c:pt idx="125">
                  <c:v>44382</c:v>
                </c:pt>
                <c:pt idx="126">
                  <c:v>44383</c:v>
                </c:pt>
                <c:pt idx="127">
                  <c:v>44384</c:v>
                </c:pt>
                <c:pt idx="128">
                  <c:v>44385</c:v>
                </c:pt>
                <c:pt idx="129">
                  <c:v>44386</c:v>
                </c:pt>
                <c:pt idx="130">
                  <c:v>44389</c:v>
                </c:pt>
                <c:pt idx="131">
                  <c:v>44390</c:v>
                </c:pt>
                <c:pt idx="132">
                  <c:v>44391</c:v>
                </c:pt>
                <c:pt idx="133">
                  <c:v>44392</c:v>
                </c:pt>
                <c:pt idx="134">
                  <c:v>44393</c:v>
                </c:pt>
                <c:pt idx="135">
                  <c:v>44396</c:v>
                </c:pt>
                <c:pt idx="136">
                  <c:v>44397</c:v>
                </c:pt>
                <c:pt idx="137">
                  <c:v>44398</c:v>
                </c:pt>
                <c:pt idx="138">
                  <c:v>44399</c:v>
                </c:pt>
                <c:pt idx="139">
                  <c:v>44400</c:v>
                </c:pt>
                <c:pt idx="140">
                  <c:v>44403</c:v>
                </c:pt>
                <c:pt idx="141">
                  <c:v>44404</c:v>
                </c:pt>
                <c:pt idx="142">
                  <c:v>44405</c:v>
                </c:pt>
                <c:pt idx="143">
                  <c:v>44406</c:v>
                </c:pt>
                <c:pt idx="144">
                  <c:v>44407</c:v>
                </c:pt>
                <c:pt idx="145">
                  <c:v>44410</c:v>
                </c:pt>
                <c:pt idx="146">
                  <c:v>44411</c:v>
                </c:pt>
                <c:pt idx="147">
                  <c:v>44412</c:v>
                </c:pt>
                <c:pt idx="148">
                  <c:v>44413</c:v>
                </c:pt>
                <c:pt idx="149">
                  <c:v>44414</c:v>
                </c:pt>
                <c:pt idx="150">
                  <c:v>44417</c:v>
                </c:pt>
                <c:pt idx="151">
                  <c:v>44418</c:v>
                </c:pt>
                <c:pt idx="152">
                  <c:v>44419</c:v>
                </c:pt>
                <c:pt idx="153">
                  <c:v>44420</c:v>
                </c:pt>
                <c:pt idx="154">
                  <c:v>44421</c:v>
                </c:pt>
                <c:pt idx="155">
                  <c:v>44424</c:v>
                </c:pt>
                <c:pt idx="156">
                  <c:v>44425</c:v>
                </c:pt>
                <c:pt idx="157">
                  <c:v>44426</c:v>
                </c:pt>
                <c:pt idx="158">
                  <c:v>44427</c:v>
                </c:pt>
                <c:pt idx="159">
                  <c:v>44428</c:v>
                </c:pt>
                <c:pt idx="160">
                  <c:v>44431</c:v>
                </c:pt>
                <c:pt idx="161">
                  <c:v>44432</c:v>
                </c:pt>
                <c:pt idx="162">
                  <c:v>44433</c:v>
                </c:pt>
                <c:pt idx="163">
                  <c:v>44434</c:v>
                </c:pt>
                <c:pt idx="164">
                  <c:v>44435</c:v>
                </c:pt>
                <c:pt idx="165">
                  <c:v>44438</c:v>
                </c:pt>
                <c:pt idx="166">
                  <c:v>44447</c:v>
                </c:pt>
                <c:pt idx="167">
                  <c:v>44439</c:v>
                </c:pt>
                <c:pt idx="168">
                  <c:v>44440</c:v>
                </c:pt>
                <c:pt idx="169">
                  <c:v>44441</c:v>
                </c:pt>
                <c:pt idx="170">
                  <c:v>44442</c:v>
                </c:pt>
                <c:pt idx="171">
                  <c:v>44445</c:v>
                </c:pt>
                <c:pt idx="172">
                  <c:v>44448</c:v>
                </c:pt>
                <c:pt idx="173">
                  <c:v>44449</c:v>
                </c:pt>
                <c:pt idx="174">
                  <c:v>44452</c:v>
                </c:pt>
                <c:pt idx="175">
                  <c:v>44453</c:v>
                </c:pt>
                <c:pt idx="176">
                  <c:v>44454</c:v>
                </c:pt>
                <c:pt idx="177">
                  <c:v>44455</c:v>
                </c:pt>
                <c:pt idx="178">
                  <c:v>44456</c:v>
                </c:pt>
                <c:pt idx="179">
                  <c:v>44459</c:v>
                </c:pt>
                <c:pt idx="180">
                  <c:v>44460</c:v>
                </c:pt>
                <c:pt idx="181">
                  <c:v>44461</c:v>
                </c:pt>
                <c:pt idx="182">
                  <c:v>44462</c:v>
                </c:pt>
                <c:pt idx="183">
                  <c:v>44463</c:v>
                </c:pt>
                <c:pt idx="184">
                  <c:v>44466</c:v>
                </c:pt>
                <c:pt idx="185">
                  <c:v>44467</c:v>
                </c:pt>
                <c:pt idx="186">
                  <c:v>44468</c:v>
                </c:pt>
                <c:pt idx="187">
                  <c:v>44469</c:v>
                </c:pt>
                <c:pt idx="188">
                  <c:v>44470</c:v>
                </c:pt>
                <c:pt idx="189">
                  <c:v>44473</c:v>
                </c:pt>
                <c:pt idx="190">
                  <c:v>44474</c:v>
                </c:pt>
                <c:pt idx="191">
                  <c:v>44475</c:v>
                </c:pt>
                <c:pt idx="192">
                  <c:v>44476</c:v>
                </c:pt>
                <c:pt idx="193">
                  <c:v>44477</c:v>
                </c:pt>
                <c:pt idx="194">
                  <c:v>44480</c:v>
                </c:pt>
                <c:pt idx="195">
                  <c:v>44482</c:v>
                </c:pt>
                <c:pt idx="196">
                  <c:v>44483</c:v>
                </c:pt>
                <c:pt idx="197">
                  <c:v>44484</c:v>
                </c:pt>
                <c:pt idx="198">
                  <c:v>44487</c:v>
                </c:pt>
                <c:pt idx="199">
                  <c:v>44488</c:v>
                </c:pt>
                <c:pt idx="200">
                  <c:v>44489</c:v>
                </c:pt>
                <c:pt idx="201">
                  <c:v>44490</c:v>
                </c:pt>
                <c:pt idx="202">
                  <c:v>44491</c:v>
                </c:pt>
                <c:pt idx="203">
                  <c:v>44494</c:v>
                </c:pt>
                <c:pt idx="204">
                  <c:v>44495</c:v>
                </c:pt>
                <c:pt idx="205">
                  <c:v>44496</c:v>
                </c:pt>
                <c:pt idx="206">
                  <c:v>44497</c:v>
                </c:pt>
                <c:pt idx="207">
                  <c:v>44498</c:v>
                </c:pt>
                <c:pt idx="208">
                  <c:v>44501</c:v>
                </c:pt>
                <c:pt idx="209">
                  <c:v>44503</c:v>
                </c:pt>
                <c:pt idx="210">
                  <c:v>44504</c:v>
                </c:pt>
                <c:pt idx="211">
                  <c:v>44505</c:v>
                </c:pt>
                <c:pt idx="212">
                  <c:v>44508</c:v>
                </c:pt>
                <c:pt idx="213">
                  <c:v>44509</c:v>
                </c:pt>
                <c:pt idx="214">
                  <c:v>44510</c:v>
                </c:pt>
                <c:pt idx="215">
                  <c:v>44511</c:v>
                </c:pt>
                <c:pt idx="216">
                  <c:v>44512</c:v>
                </c:pt>
                <c:pt idx="217">
                  <c:v>44516</c:v>
                </c:pt>
                <c:pt idx="218">
                  <c:v>44517</c:v>
                </c:pt>
                <c:pt idx="219">
                  <c:v>44518</c:v>
                </c:pt>
                <c:pt idx="220">
                  <c:v>44519</c:v>
                </c:pt>
                <c:pt idx="221">
                  <c:v>44522</c:v>
                </c:pt>
                <c:pt idx="222">
                  <c:v>44523</c:v>
                </c:pt>
                <c:pt idx="223">
                  <c:v>44524</c:v>
                </c:pt>
                <c:pt idx="224">
                  <c:v>44525</c:v>
                </c:pt>
                <c:pt idx="225">
                  <c:v>44526</c:v>
                </c:pt>
                <c:pt idx="226">
                  <c:v>44529</c:v>
                </c:pt>
                <c:pt idx="227">
                  <c:v>44530</c:v>
                </c:pt>
                <c:pt idx="228">
                  <c:v>44531</c:v>
                </c:pt>
              </c:numCache>
            </c:numRef>
          </c:cat>
          <c:val>
            <c:numRef>
              <c:f>'Top5 Annual'!$F$4:$F$461</c:f>
              <c:numCache>
                <c:formatCode>General</c:formatCode>
                <c:ptCount val="458"/>
                <c:pt idx="0">
                  <c:v>3.33</c:v>
                </c:pt>
                <c:pt idx="1">
                  <c:v>3.25</c:v>
                </c:pt>
                <c:pt idx="2">
                  <c:v>3.25</c:v>
                </c:pt>
                <c:pt idx="3">
                  <c:v>3.25</c:v>
                </c:pt>
                <c:pt idx="4">
                  <c:v>3.33</c:v>
                </c:pt>
                <c:pt idx="5">
                  <c:v>3.33</c:v>
                </c:pt>
                <c:pt idx="6">
                  <c:v>3.32</c:v>
                </c:pt>
                <c:pt idx="7">
                  <c:v>3.75</c:v>
                </c:pt>
                <c:pt idx="8">
                  <c:v>3.43</c:v>
                </c:pt>
                <c:pt idx="9">
                  <c:v>3.33</c:v>
                </c:pt>
                <c:pt idx="10">
                  <c:v>3.75</c:v>
                </c:pt>
                <c:pt idx="11">
                  <c:v>3.75</c:v>
                </c:pt>
                <c:pt idx="12">
                  <c:v>3.75</c:v>
                </c:pt>
                <c:pt idx="13">
                  <c:v>3.75</c:v>
                </c:pt>
                <c:pt idx="14">
                  <c:v>3.75</c:v>
                </c:pt>
                <c:pt idx="15">
                  <c:v>3.75</c:v>
                </c:pt>
                <c:pt idx="16">
                  <c:v>3.75</c:v>
                </c:pt>
                <c:pt idx="17">
                  <c:v>3.75</c:v>
                </c:pt>
                <c:pt idx="18">
                  <c:v>3.75</c:v>
                </c:pt>
                <c:pt idx="19">
                  <c:v>3.75</c:v>
                </c:pt>
                <c:pt idx="20">
                  <c:v>3.75</c:v>
                </c:pt>
                <c:pt idx="21">
                  <c:v>3.75</c:v>
                </c:pt>
                <c:pt idx="22">
                  <c:v>3.75</c:v>
                </c:pt>
                <c:pt idx="23">
                  <c:v>3.75</c:v>
                </c:pt>
                <c:pt idx="24">
                  <c:v>3.75</c:v>
                </c:pt>
                <c:pt idx="25">
                  <c:v>3.75</c:v>
                </c:pt>
                <c:pt idx="26">
                  <c:v>3.76</c:v>
                </c:pt>
                <c:pt idx="27">
                  <c:v>3.76</c:v>
                </c:pt>
                <c:pt idx="28">
                  <c:v>3.76</c:v>
                </c:pt>
                <c:pt idx="29">
                  <c:v>3.78</c:v>
                </c:pt>
                <c:pt idx="30">
                  <c:v>3.83</c:v>
                </c:pt>
                <c:pt idx="31">
                  <c:v>3.83</c:v>
                </c:pt>
                <c:pt idx="32">
                  <c:v>4.18</c:v>
                </c:pt>
                <c:pt idx="33">
                  <c:v>4.18</c:v>
                </c:pt>
                <c:pt idx="34">
                  <c:v>4.18</c:v>
                </c:pt>
                <c:pt idx="35">
                  <c:v>4.18</c:v>
                </c:pt>
                <c:pt idx="36">
                  <c:v>4.18</c:v>
                </c:pt>
                <c:pt idx="37">
                  <c:v>4.18</c:v>
                </c:pt>
                <c:pt idx="38">
                  <c:v>4.18</c:v>
                </c:pt>
                <c:pt idx="39">
                  <c:v>4.18</c:v>
                </c:pt>
                <c:pt idx="40">
                  <c:v>4.18</c:v>
                </c:pt>
                <c:pt idx="41">
                  <c:v>4.18</c:v>
                </c:pt>
                <c:pt idx="42">
                  <c:v>4.18</c:v>
                </c:pt>
                <c:pt idx="43">
                  <c:v>4.3099999999999996</c:v>
                </c:pt>
                <c:pt idx="44">
                  <c:v>4.3099999999999996</c:v>
                </c:pt>
                <c:pt idx="45">
                  <c:v>4.3099999999999996</c:v>
                </c:pt>
                <c:pt idx="46">
                  <c:v>4.8499999999999996</c:v>
                </c:pt>
                <c:pt idx="47">
                  <c:v>5.12</c:v>
                </c:pt>
                <c:pt idx="48">
                  <c:v>5.12</c:v>
                </c:pt>
                <c:pt idx="49">
                  <c:v>5.12</c:v>
                </c:pt>
                <c:pt idx="50">
                  <c:v>5.12</c:v>
                </c:pt>
                <c:pt idx="51">
                  <c:v>5.12</c:v>
                </c:pt>
                <c:pt idx="52">
                  <c:v>5.15</c:v>
                </c:pt>
                <c:pt idx="53">
                  <c:v>5.15</c:v>
                </c:pt>
                <c:pt idx="54">
                  <c:v>5.15</c:v>
                </c:pt>
                <c:pt idx="55">
                  <c:v>5.15</c:v>
                </c:pt>
                <c:pt idx="56">
                  <c:v>5.15</c:v>
                </c:pt>
                <c:pt idx="57">
                  <c:v>5.15</c:v>
                </c:pt>
                <c:pt idx="58">
                  <c:v>5.15</c:v>
                </c:pt>
                <c:pt idx="59">
                  <c:v>5.1481000000000003</c:v>
                </c:pt>
                <c:pt idx="60">
                  <c:v>5.1378000000000004</c:v>
                </c:pt>
                <c:pt idx="61">
                  <c:v>5.1378000000000004</c:v>
                </c:pt>
                <c:pt idx="62">
                  <c:v>5.1378000000000004</c:v>
                </c:pt>
                <c:pt idx="63">
                  <c:v>5.1378000000000004</c:v>
                </c:pt>
                <c:pt idx="64">
                  <c:v>5.1378000000000004</c:v>
                </c:pt>
                <c:pt idx="65">
                  <c:v>4.9866999999999999</c:v>
                </c:pt>
                <c:pt idx="66">
                  <c:v>5.1028000000000002</c:v>
                </c:pt>
                <c:pt idx="67">
                  <c:v>5.1028000000000002</c:v>
                </c:pt>
                <c:pt idx="68">
                  <c:v>5.1028000000000002</c:v>
                </c:pt>
                <c:pt idx="69">
                  <c:v>5.1657000000000002</c:v>
                </c:pt>
                <c:pt idx="70">
                  <c:v>5.2595000000000001</c:v>
                </c:pt>
                <c:pt idx="71">
                  <c:v>5.2595000000000001</c:v>
                </c:pt>
                <c:pt idx="72">
                  <c:v>5.2595000000000001</c:v>
                </c:pt>
                <c:pt idx="73">
                  <c:v>5.2595000000000001</c:v>
                </c:pt>
                <c:pt idx="74">
                  <c:v>5.2492000000000001</c:v>
                </c:pt>
                <c:pt idx="75">
                  <c:v>5.2492000000000001</c:v>
                </c:pt>
                <c:pt idx="76">
                  <c:v>5.2492000000000001</c:v>
                </c:pt>
                <c:pt idx="77">
                  <c:v>5.2492000000000001</c:v>
                </c:pt>
                <c:pt idx="78">
                  <c:v>5.2492000000000001</c:v>
                </c:pt>
                <c:pt idx="79">
                  <c:v>5.2766999999999999</c:v>
                </c:pt>
                <c:pt idx="80">
                  <c:v>5.2766999999999999</c:v>
                </c:pt>
                <c:pt idx="81">
                  <c:v>5.2766999999999999</c:v>
                </c:pt>
                <c:pt idx="82">
                  <c:v>5.2766999999999999</c:v>
                </c:pt>
                <c:pt idx="83">
                  <c:v>5.2766999999999999</c:v>
                </c:pt>
                <c:pt idx="84">
                  <c:v>5.2766999999999999</c:v>
                </c:pt>
                <c:pt idx="85">
                  <c:v>5.2766999999999999</c:v>
                </c:pt>
                <c:pt idx="86">
                  <c:v>5.3236999999999997</c:v>
                </c:pt>
                <c:pt idx="87">
                  <c:v>5.3236999999999997</c:v>
                </c:pt>
                <c:pt idx="88">
                  <c:v>5.3236999999999997</c:v>
                </c:pt>
                <c:pt idx="89">
                  <c:v>5.4268999999999998</c:v>
                </c:pt>
                <c:pt idx="90">
                  <c:v>5.4268999999999998</c:v>
                </c:pt>
                <c:pt idx="91">
                  <c:v>5.4268999999999998</c:v>
                </c:pt>
                <c:pt idx="92">
                  <c:v>5.4268999999999998</c:v>
                </c:pt>
                <c:pt idx="93">
                  <c:v>5.4268999999999998</c:v>
                </c:pt>
                <c:pt idx="94">
                  <c:v>5.4268999999999998</c:v>
                </c:pt>
                <c:pt idx="95">
                  <c:v>5.4268999999999998</c:v>
                </c:pt>
                <c:pt idx="96">
                  <c:v>5.4268999999999998</c:v>
                </c:pt>
                <c:pt idx="97">
                  <c:v>5.4268999999999998</c:v>
                </c:pt>
                <c:pt idx="98">
                  <c:v>5.4268999999999998</c:v>
                </c:pt>
                <c:pt idx="99">
                  <c:v>5.4268999999999998</c:v>
                </c:pt>
                <c:pt idx="100">
                  <c:v>5.9847000000000001</c:v>
                </c:pt>
                <c:pt idx="101">
                  <c:v>5.15</c:v>
                </c:pt>
                <c:pt idx="102">
                  <c:v>5.9847000000000001</c:v>
                </c:pt>
                <c:pt idx="103">
                  <c:v>5.9847000000000001</c:v>
                </c:pt>
                <c:pt idx="104">
                  <c:v>5.9844999999999997</c:v>
                </c:pt>
                <c:pt idx="105">
                  <c:v>5.9844999999999997</c:v>
                </c:pt>
                <c:pt idx="106">
                  <c:v>5.9844999999999997</c:v>
                </c:pt>
                <c:pt idx="107">
                  <c:v>5.9631999999999996</c:v>
                </c:pt>
                <c:pt idx="108">
                  <c:v>6.0316999999999998</c:v>
                </c:pt>
                <c:pt idx="109">
                  <c:v>6.3018000000000001</c:v>
                </c:pt>
                <c:pt idx="110">
                  <c:v>6.3018000000000001</c:v>
                </c:pt>
                <c:pt idx="111">
                  <c:v>6.3018000000000001</c:v>
                </c:pt>
                <c:pt idx="112">
                  <c:v>6.3018000000000001</c:v>
                </c:pt>
                <c:pt idx="113">
                  <c:v>6.3018000000000001</c:v>
                </c:pt>
                <c:pt idx="114">
                  <c:v>6.2329999999999997</c:v>
                </c:pt>
                <c:pt idx="115">
                  <c:v>6.2329999999999997</c:v>
                </c:pt>
                <c:pt idx="116">
                  <c:v>6.2329999999999997</c:v>
                </c:pt>
                <c:pt idx="117">
                  <c:v>6.2329999999999997</c:v>
                </c:pt>
                <c:pt idx="118">
                  <c:v>6.2329999999999997</c:v>
                </c:pt>
                <c:pt idx="119">
                  <c:v>6.3440000000000003</c:v>
                </c:pt>
                <c:pt idx="120">
                  <c:v>6.3440000000000003</c:v>
                </c:pt>
                <c:pt idx="121">
                  <c:v>6.3440000000000003</c:v>
                </c:pt>
                <c:pt idx="122">
                  <c:v>6.3440000000000003</c:v>
                </c:pt>
                <c:pt idx="123">
                  <c:v>6.3440000000000003</c:v>
                </c:pt>
                <c:pt idx="124">
                  <c:v>6.4981999999999998</c:v>
                </c:pt>
                <c:pt idx="125">
                  <c:v>6.4981999999999998</c:v>
                </c:pt>
                <c:pt idx="126">
                  <c:v>6.4981999999999998</c:v>
                </c:pt>
                <c:pt idx="127">
                  <c:v>6.4981999999999998</c:v>
                </c:pt>
                <c:pt idx="128">
                  <c:v>6.7203999999999997</c:v>
                </c:pt>
                <c:pt idx="129">
                  <c:v>6.7415000000000003</c:v>
                </c:pt>
                <c:pt idx="130">
                  <c:v>6.7678000000000003</c:v>
                </c:pt>
                <c:pt idx="131">
                  <c:v>6.7678000000000003</c:v>
                </c:pt>
                <c:pt idx="132">
                  <c:v>6.7678000000000003</c:v>
                </c:pt>
                <c:pt idx="133">
                  <c:v>6.7678000000000003</c:v>
                </c:pt>
                <c:pt idx="134">
                  <c:v>6.7678000000000003</c:v>
                </c:pt>
                <c:pt idx="135">
                  <c:v>6.7678000000000003</c:v>
                </c:pt>
                <c:pt idx="136">
                  <c:v>6.7678000000000003</c:v>
                </c:pt>
                <c:pt idx="137">
                  <c:v>6.7462</c:v>
                </c:pt>
                <c:pt idx="138">
                  <c:v>6.8048000000000002</c:v>
                </c:pt>
                <c:pt idx="139">
                  <c:v>7.1401000000000003</c:v>
                </c:pt>
                <c:pt idx="140">
                  <c:v>7.1401000000000003</c:v>
                </c:pt>
                <c:pt idx="141">
                  <c:v>7.1401000000000003</c:v>
                </c:pt>
                <c:pt idx="142">
                  <c:v>7.1401000000000003</c:v>
                </c:pt>
                <c:pt idx="143">
                  <c:v>7.1401000000000003</c:v>
                </c:pt>
                <c:pt idx="144">
                  <c:v>7.22</c:v>
                </c:pt>
                <c:pt idx="145">
                  <c:v>7.22</c:v>
                </c:pt>
                <c:pt idx="146">
                  <c:v>7.2201000000000004</c:v>
                </c:pt>
                <c:pt idx="147">
                  <c:v>7.2201000000000004</c:v>
                </c:pt>
                <c:pt idx="148">
                  <c:v>7.2201000000000004</c:v>
                </c:pt>
                <c:pt idx="149">
                  <c:v>7.2952000000000004</c:v>
                </c:pt>
                <c:pt idx="150">
                  <c:v>7.2952000000000004</c:v>
                </c:pt>
                <c:pt idx="151">
                  <c:v>7.3</c:v>
                </c:pt>
                <c:pt idx="152">
                  <c:v>7.3</c:v>
                </c:pt>
                <c:pt idx="153">
                  <c:v>7.3</c:v>
                </c:pt>
                <c:pt idx="154">
                  <c:v>7.3</c:v>
                </c:pt>
                <c:pt idx="155">
                  <c:v>7.3</c:v>
                </c:pt>
                <c:pt idx="156">
                  <c:v>7.3</c:v>
                </c:pt>
                <c:pt idx="157">
                  <c:v>7.3</c:v>
                </c:pt>
                <c:pt idx="158">
                  <c:v>7.3</c:v>
                </c:pt>
                <c:pt idx="159">
                  <c:v>7.3</c:v>
                </c:pt>
                <c:pt idx="160">
                  <c:v>7.3</c:v>
                </c:pt>
                <c:pt idx="161">
                  <c:v>7.3</c:v>
                </c:pt>
                <c:pt idx="162">
                  <c:v>7.3</c:v>
                </c:pt>
                <c:pt idx="163">
                  <c:v>7.3</c:v>
                </c:pt>
                <c:pt idx="164">
                  <c:v>7.3</c:v>
                </c:pt>
                <c:pt idx="165">
                  <c:v>7.7384000000000004</c:v>
                </c:pt>
                <c:pt idx="166">
                  <c:v>8.1887000000000008</c:v>
                </c:pt>
                <c:pt idx="167">
                  <c:v>7.7384000000000004</c:v>
                </c:pt>
                <c:pt idx="168">
                  <c:v>7.7384000000000004</c:v>
                </c:pt>
                <c:pt idx="169">
                  <c:v>8.1564999999999994</c:v>
                </c:pt>
                <c:pt idx="170">
                  <c:v>8.1887000000000008</c:v>
                </c:pt>
                <c:pt idx="171">
                  <c:v>8.1887000000000008</c:v>
                </c:pt>
                <c:pt idx="172">
                  <c:v>8.3712</c:v>
                </c:pt>
                <c:pt idx="173">
                  <c:v>8.3712</c:v>
                </c:pt>
                <c:pt idx="174">
                  <c:v>8.4463000000000008</c:v>
                </c:pt>
                <c:pt idx="175">
                  <c:v>8.4463000000000008</c:v>
                </c:pt>
                <c:pt idx="176">
                  <c:v>8.6402000000000001</c:v>
                </c:pt>
                <c:pt idx="177">
                  <c:v>8.6402000000000001</c:v>
                </c:pt>
                <c:pt idx="178">
                  <c:v>8.5968</c:v>
                </c:pt>
                <c:pt idx="179">
                  <c:v>8.6077999999999992</c:v>
                </c:pt>
                <c:pt idx="180">
                  <c:v>8.6077999999999992</c:v>
                </c:pt>
                <c:pt idx="181">
                  <c:v>8.6077999999999992</c:v>
                </c:pt>
                <c:pt idx="182">
                  <c:v>8.6077999999999992</c:v>
                </c:pt>
                <c:pt idx="183">
                  <c:v>8.8338999999999999</c:v>
                </c:pt>
                <c:pt idx="184">
                  <c:v>8.8338999999999999</c:v>
                </c:pt>
                <c:pt idx="185">
                  <c:v>8.8338999999999999</c:v>
                </c:pt>
                <c:pt idx="186">
                  <c:v>8.8338999999999999</c:v>
                </c:pt>
                <c:pt idx="187">
                  <c:v>8.8338999999999999</c:v>
                </c:pt>
                <c:pt idx="188">
                  <c:v>8.9095999999999993</c:v>
                </c:pt>
                <c:pt idx="189">
                  <c:v>8.9095999999999993</c:v>
                </c:pt>
                <c:pt idx="190">
                  <c:v>8.9095999999999993</c:v>
                </c:pt>
                <c:pt idx="191">
                  <c:v>8.9095999999999993</c:v>
                </c:pt>
                <c:pt idx="192">
                  <c:v>8.9095999999999993</c:v>
                </c:pt>
                <c:pt idx="193">
                  <c:v>8.8343000000000007</c:v>
                </c:pt>
                <c:pt idx="194">
                  <c:v>8.8343000000000007</c:v>
                </c:pt>
                <c:pt idx="195">
                  <c:v>8.8451000000000004</c:v>
                </c:pt>
                <c:pt idx="196">
                  <c:v>8.8451000000000004</c:v>
                </c:pt>
                <c:pt idx="197">
                  <c:v>8.8451000000000004</c:v>
                </c:pt>
                <c:pt idx="198">
                  <c:v>8.8397000000000006</c:v>
                </c:pt>
                <c:pt idx="199">
                  <c:v>8.8397000000000006</c:v>
                </c:pt>
                <c:pt idx="200">
                  <c:v>8.8397000000000006</c:v>
                </c:pt>
                <c:pt idx="201">
                  <c:v>8.8397000000000006</c:v>
                </c:pt>
                <c:pt idx="202">
                  <c:v>9.4519000000000002</c:v>
                </c:pt>
                <c:pt idx="203">
                  <c:v>9.4519000000000002</c:v>
                </c:pt>
                <c:pt idx="204">
                  <c:v>9.5066000000000006</c:v>
                </c:pt>
                <c:pt idx="205">
                  <c:v>9.5066000000000006</c:v>
                </c:pt>
                <c:pt idx="206">
                  <c:v>9.5066000000000006</c:v>
                </c:pt>
                <c:pt idx="207">
                  <c:v>9.6478000000000002</c:v>
                </c:pt>
                <c:pt idx="208">
                  <c:v>9.6478000000000002</c:v>
                </c:pt>
                <c:pt idx="209">
                  <c:v>9.6478000000000002</c:v>
                </c:pt>
                <c:pt idx="210">
                  <c:v>9.6478000000000002</c:v>
                </c:pt>
                <c:pt idx="211">
                  <c:v>9.6478000000000002</c:v>
                </c:pt>
                <c:pt idx="212">
                  <c:v>9.6588999999999992</c:v>
                </c:pt>
                <c:pt idx="213">
                  <c:v>9.6588999999999992</c:v>
                </c:pt>
                <c:pt idx="214">
                  <c:v>10.148099999999999</c:v>
                </c:pt>
                <c:pt idx="215">
                  <c:v>10.148099999999999</c:v>
                </c:pt>
                <c:pt idx="216">
                  <c:v>10.148099999999999</c:v>
                </c:pt>
                <c:pt idx="217">
                  <c:v>10.2681</c:v>
                </c:pt>
                <c:pt idx="218">
                  <c:v>10.2681</c:v>
                </c:pt>
                <c:pt idx="219">
                  <c:v>10.2681</c:v>
                </c:pt>
                <c:pt idx="220">
                  <c:v>10.388400000000001</c:v>
                </c:pt>
                <c:pt idx="221">
                  <c:v>10.388400000000001</c:v>
                </c:pt>
                <c:pt idx="222">
                  <c:v>10.388400000000001</c:v>
                </c:pt>
                <c:pt idx="223">
                  <c:v>10.388400000000001</c:v>
                </c:pt>
                <c:pt idx="224">
                  <c:v>10.388400000000001</c:v>
                </c:pt>
                <c:pt idx="225">
                  <c:v>10.388400000000001</c:v>
                </c:pt>
                <c:pt idx="226">
                  <c:v>10.388400000000001</c:v>
                </c:pt>
                <c:pt idx="227">
                  <c:v>10.388400000000001</c:v>
                </c:pt>
                <c:pt idx="228">
                  <c:v>10.388400000000001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A7-4BCD-BF38-417EDA9D17ED}"/>
            </c:ext>
          </c:extLst>
        </c:ser>
        <c:ser>
          <c:idx val="3"/>
          <c:order val="2"/>
          <c:tx>
            <c:strRef>
              <c:f>'Top5 Annual'!$G$3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'Top5 Annual'!$D$4:$D$461</c:f>
              <c:numCache>
                <c:formatCode>m/d/yyyy</c:formatCode>
                <c:ptCount val="458"/>
                <c:pt idx="0">
                  <c:v>44203</c:v>
                </c:pt>
                <c:pt idx="1">
                  <c:v>44202</c:v>
                </c:pt>
                <c:pt idx="2">
                  <c:v>44201</c:v>
                </c:pt>
                <c:pt idx="3">
                  <c:v>44200</c:v>
                </c:pt>
                <c:pt idx="4">
                  <c:v>44204</c:v>
                </c:pt>
                <c:pt idx="5">
                  <c:v>44207</c:v>
                </c:pt>
                <c:pt idx="6">
                  <c:v>44208</c:v>
                </c:pt>
                <c:pt idx="7">
                  <c:v>44211</c:v>
                </c:pt>
                <c:pt idx="8">
                  <c:v>44210</c:v>
                </c:pt>
                <c:pt idx="9">
                  <c:v>44209</c:v>
                </c:pt>
                <c:pt idx="10">
                  <c:v>44214</c:v>
                </c:pt>
                <c:pt idx="11">
                  <c:v>44215</c:v>
                </c:pt>
                <c:pt idx="12">
                  <c:v>44216</c:v>
                </c:pt>
                <c:pt idx="13">
                  <c:v>44217</c:v>
                </c:pt>
                <c:pt idx="14">
                  <c:v>44218</c:v>
                </c:pt>
                <c:pt idx="15">
                  <c:v>44221</c:v>
                </c:pt>
                <c:pt idx="16">
                  <c:v>44222</c:v>
                </c:pt>
                <c:pt idx="17">
                  <c:v>44223</c:v>
                </c:pt>
                <c:pt idx="18">
                  <c:v>44224</c:v>
                </c:pt>
                <c:pt idx="19">
                  <c:v>44225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44235</c:v>
                </c:pt>
                <c:pt idx="26">
                  <c:v>44236</c:v>
                </c:pt>
                <c:pt idx="27">
                  <c:v>44237</c:v>
                </c:pt>
                <c:pt idx="28">
                  <c:v>44238</c:v>
                </c:pt>
                <c:pt idx="29">
                  <c:v>44239</c:v>
                </c:pt>
                <c:pt idx="30">
                  <c:v>44244</c:v>
                </c:pt>
                <c:pt idx="31">
                  <c:v>44245</c:v>
                </c:pt>
                <c:pt idx="32">
                  <c:v>44246</c:v>
                </c:pt>
                <c:pt idx="33">
                  <c:v>44249</c:v>
                </c:pt>
                <c:pt idx="34">
                  <c:v>44250</c:v>
                </c:pt>
                <c:pt idx="35">
                  <c:v>44251</c:v>
                </c:pt>
                <c:pt idx="36">
                  <c:v>44252</c:v>
                </c:pt>
                <c:pt idx="37">
                  <c:v>44253</c:v>
                </c:pt>
                <c:pt idx="38">
                  <c:v>44256</c:v>
                </c:pt>
                <c:pt idx="39">
                  <c:v>44257</c:v>
                </c:pt>
                <c:pt idx="40">
                  <c:v>44258</c:v>
                </c:pt>
                <c:pt idx="41">
                  <c:v>44259</c:v>
                </c:pt>
                <c:pt idx="42">
                  <c:v>44260</c:v>
                </c:pt>
                <c:pt idx="43">
                  <c:v>44263</c:v>
                </c:pt>
                <c:pt idx="44">
                  <c:v>44264</c:v>
                </c:pt>
                <c:pt idx="45">
                  <c:v>44265</c:v>
                </c:pt>
                <c:pt idx="46">
                  <c:v>44266</c:v>
                </c:pt>
                <c:pt idx="47">
                  <c:v>44267</c:v>
                </c:pt>
                <c:pt idx="48">
                  <c:v>44270</c:v>
                </c:pt>
                <c:pt idx="49">
                  <c:v>44272</c:v>
                </c:pt>
                <c:pt idx="50">
                  <c:v>44271</c:v>
                </c:pt>
                <c:pt idx="51">
                  <c:v>44273</c:v>
                </c:pt>
                <c:pt idx="52">
                  <c:v>44274</c:v>
                </c:pt>
                <c:pt idx="53">
                  <c:v>44277</c:v>
                </c:pt>
                <c:pt idx="54">
                  <c:v>44278</c:v>
                </c:pt>
                <c:pt idx="55">
                  <c:v>44279</c:v>
                </c:pt>
                <c:pt idx="56">
                  <c:v>44280</c:v>
                </c:pt>
                <c:pt idx="57">
                  <c:v>44281</c:v>
                </c:pt>
                <c:pt idx="58">
                  <c:v>44284</c:v>
                </c:pt>
                <c:pt idx="59">
                  <c:v>44286</c:v>
                </c:pt>
                <c:pt idx="60">
                  <c:v>44287</c:v>
                </c:pt>
                <c:pt idx="61">
                  <c:v>44291</c:v>
                </c:pt>
                <c:pt idx="62">
                  <c:v>44292</c:v>
                </c:pt>
                <c:pt idx="63">
                  <c:v>44293</c:v>
                </c:pt>
                <c:pt idx="64">
                  <c:v>44294</c:v>
                </c:pt>
                <c:pt idx="65">
                  <c:v>44295</c:v>
                </c:pt>
                <c:pt idx="66">
                  <c:v>44298</c:v>
                </c:pt>
                <c:pt idx="67">
                  <c:v>44299</c:v>
                </c:pt>
                <c:pt idx="68">
                  <c:v>44300</c:v>
                </c:pt>
                <c:pt idx="69">
                  <c:v>44301</c:v>
                </c:pt>
                <c:pt idx="70">
                  <c:v>44302</c:v>
                </c:pt>
                <c:pt idx="71">
                  <c:v>44305</c:v>
                </c:pt>
                <c:pt idx="72">
                  <c:v>44306</c:v>
                </c:pt>
                <c:pt idx="73">
                  <c:v>44308</c:v>
                </c:pt>
                <c:pt idx="74">
                  <c:v>44309</c:v>
                </c:pt>
                <c:pt idx="75">
                  <c:v>44312</c:v>
                </c:pt>
                <c:pt idx="76">
                  <c:v>44313</c:v>
                </c:pt>
                <c:pt idx="77">
                  <c:v>44314</c:v>
                </c:pt>
                <c:pt idx="78">
                  <c:v>44315</c:v>
                </c:pt>
                <c:pt idx="79">
                  <c:v>44316</c:v>
                </c:pt>
                <c:pt idx="80">
                  <c:v>44319</c:v>
                </c:pt>
                <c:pt idx="81">
                  <c:v>44320</c:v>
                </c:pt>
                <c:pt idx="82">
                  <c:v>44321</c:v>
                </c:pt>
                <c:pt idx="83">
                  <c:v>44322</c:v>
                </c:pt>
                <c:pt idx="84">
                  <c:v>44323</c:v>
                </c:pt>
                <c:pt idx="85">
                  <c:v>44326</c:v>
                </c:pt>
                <c:pt idx="86">
                  <c:v>44327</c:v>
                </c:pt>
                <c:pt idx="87">
                  <c:v>44328</c:v>
                </c:pt>
                <c:pt idx="88">
                  <c:v>44329</c:v>
                </c:pt>
                <c:pt idx="89">
                  <c:v>44330</c:v>
                </c:pt>
                <c:pt idx="90">
                  <c:v>44333</c:v>
                </c:pt>
                <c:pt idx="91">
                  <c:v>44334</c:v>
                </c:pt>
                <c:pt idx="92">
                  <c:v>44335</c:v>
                </c:pt>
                <c:pt idx="93">
                  <c:v>44336</c:v>
                </c:pt>
                <c:pt idx="94">
                  <c:v>44337</c:v>
                </c:pt>
                <c:pt idx="95">
                  <c:v>44340</c:v>
                </c:pt>
                <c:pt idx="96">
                  <c:v>44341</c:v>
                </c:pt>
                <c:pt idx="97">
                  <c:v>44342</c:v>
                </c:pt>
                <c:pt idx="98">
                  <c:v>44343</c:v>
                </c:pt>
                <c:pt idx="99">
                  <c:v>44344</c:v>
                </c:pt>
                <c:pt idx="100">
                  <c:v>44347</c:v>
                </c:pt>
                <c:pt idx="101">
                  <c:v>44285</c:v>
                </c:pt>
                <c:pt idx="102">
                  <c:v>44348</c:v>
                </c:pt>
                <c:pt idx="103">
                  <c:v>44349</c:v>
                </c:pt>
                <c:pt idx="104">
                  <c:v>44351</c:v>
                </c:pt>
                <c:pt idx="105">
                  <c:v>44354</c:v>
                </c:pt>
                <c:pt idx="106">
                  <c:v>44355</c:v>
                </c:pt>
                <c:pt idx="107">
                  <c:v>44356</c:v>
                </c:pt>
                <c:pt idx="108">
                  <c:v>44357</c:v>
                </c:pt>
                <c:pt idx="109">
                  <c:v>44358</c:v>
                </c:pt>
                <c:pt idx="110">
                  <c:v>44361</c:v>
                </c:pt>
                <c:pt idx="111">
                  <c:v>44362</c:v>
                </c:pt>
                <c:pt idx="112">
                  <c:v>44363</c:v>
                </c:pt>
                <c:pt idx="113">
                  <c:v>44364</c:v>
                </c:pt>
                <c:pt idx="114">
                  <c:v>44365</c:v>
                </c:pt>
                <c:pt idx="115">
                  <c:v>44368</c:v>
                </c:pt>
                <c:pt idx="116">
                  <c:v>44369</c:v>
                </c:pt>
                <c:pt idx="117">
                  <c:v>44370</c:v>
                </c:pt>
                <c:pt idx="118">
                  <c:v>44371</c:v>
                </c:pt>
                <c:pt idx="119">
                  <c:v>44372</c:v>
                </c:pt>
                <c:pt idx="120">
                  <c:v>44375</c:v>
                </c:pt>
                <c:pt idx="121">
                  <c:v>44376</c:v>
                </c:pt>
                <c:pt idx="122">
                  <c:v>44377</c:v>
                </c:pt>
                <c:pt idx="123">
                  <c:v>44378</c:v>
                </c:pt>
                <c:pt idx="124">
                  <c:v>44379</c:v>
                </c:pt>
                <c:pt idx="125">
                  <c:v>44382</c:v>
                </c:pt>
                <c:pt idx="126">
                  <c:v>44383</c:v>
                </c:pt>
                <c:pt idx="127">
                  <c:v>44384</c:v>
                </c:pt>
                <c:pt idx="128">
                  <c:v>44385</c:v>
                </c:pt>
                <c:pt idx="129">
                  <c:v>44386</c:v>
                </c:pt>
                <c:pt idx="130">
                  <c:v>44389</c:v>
                </c:pt>
                <c:pt idx="131">
                  <c:v>44390</c:v>
                </c:pt>
                <c:pt idx="132">
                  <c:v>44391</c:v>
                </c:pt>
                <c:pt idx="133">
                  <c:v>44392</c:v>
                </c:pt>
                <c:pt idx="134">
                  <c:v>44393</c:v>
                </c:pt>
                <c:pt idx="135">
                  <c:v>44396</c:v>
                </c:pt>
                <c:pt idx="136">
                  <c:v>44397</c:v>
                </c:pt>
                <c:pt idx="137">
                  <c:v>44398</c:v>
                </c:pt>
                <c:pt idx="138">
                  <c:v>44399</c:v>
                </c:pt>
                <c:pt idx="139">
                  <c:v>44400</c:v>
                </c:pt>
                <c:pt idx="140">
                  <c:v>44403</c:v>
                </c:pt>
                <c:pt idx="141">
                  <c:v>44404</c:v>
                </c:pt>
                <c:pt idx="142">
                  <c:v>44405</c:v>
                </c:pt>
                <c:pt idx="143">
                  <c:v>44406</c:v>
                </c:pt>
                <c:pt idx="144">
                  <c:v>44407</c:v>
                </c:pt>
                <c:pt idx="145">
                  <c:v>44410</c:v>
                </c:pt>
                <c:pt idx="146">
                  <c:v>44411</c:v>
                </c:pt>
                <c:pt idx="147">
                  <c:v>44412</c:v>
                </c:pt>
                <c:pt idx="148">
                  <c:v>44413</c:v>
                </c:pt>
                <c:pt idx="149">
                  <c:v>44414</c:v>
                </c:pt>
                <c:pt idx="150">
                  <c:v>44417</c:v>
                </c:pt>
                <c:pt idx="151">
                  <c:v>44418</c:v>
                </c:pt>
                <c:pt idx="152">
                  <c:v>44419</c:v>
                </c:pt>
                <c:pt idx="153">
                  <c:v>44420</c:v>
                </c:pt>
                <c:pt idx="154">
                  <c:v>44421</c:v>
                </c:pt>
                <c:pt idx="155">
                  <c:v>44424</c:v>
                </c:pt>
                <c:pt idx="156">
                  <c:v>44425</c:v>
                </c:pt>
                <c:pt idx="157">
                  <c:v>44426</c:v>
                </c:pt>
                <c:pt idx="158">
                  <c:v>44427</c:v>
                </c:pt>
                <c:pt idx="159">
                  <c:v>44428</c:v>
                </c:pt>
                <c:pt idx="160">
                  <c:v>44431</c:v>
                </c:pt>
                <c:pt idx="161">
                  <c:v>44432</c:v>
                </c:pt>
                <c:pt idx="162">
                  <c:v>44433</c:v>
                </c:pt>
                <c:pt idx="163">
                  <c:v>44434</c:v>
                </c:pt>
                <c:pt idx="164">
                  <c:v>44435</c:v>
                </c:pt>
                <c:pt idx="165">
                  <c:v>44438</c:v>
                </c:pt>
                <c:pt idx="166">
                  <c:v>44447</c:v>
                </c:pt>
                <c:pt idx="167">
                  <c:v>44439</c:v>
                </c:pt>
                <c:pt idx="168">
                  <c:v>44440</c:v>
                </c:pt>
                <c:pt idx="169">
                  <c:v>44441</c:v>
                </c:pt>
                <c:pt idx="170">
                  <c:v>44442</c:v>
                </c:pt>
                <c:pt idx="171">
                  <c:v>44445</c:v>
                </c:pt>
                <c:pt idx="172">
                  <c:v>44448</c:v>
                </c:pt>
                <c:pt idx="173">
                  <c:v>44449</c:v>
                </c:pt>
                <c:pt idx="174">
                  <c:v>44452</c:v>
                </c:pt>
                <c:pt idx="175">
                  <c:v>44453</c:v>
                </c:pt>
                <c:pt idx="176">
                  <c:v>44454</c:v>
                </c:pt>
                <c:pt idx="177">
                  <c:v>44455</c:v>
                </c:pt>
                <c:pt idx="178">
                  <c:v>44456</c:v>
                </c:pt>
                <c:pt idx="179">
                  <c:v>44459</c:v>
                </c:pt>
                <c:pt idx="180">
                  <c:v>44460</c:v>
                </c:pt>
                <c:pt idx="181">
                  <c:v>44461</c:v>
                </c:pt>
                <c:pt idx="182">
                  <c:v>44462</c:v>
                </c:pt>
                <c:pt idx="183">
                  <c:v>44463</c:v>
                </c:pt>
                <c:pt idx="184">
                  <c:v>44466</c:v>
                </c:pt>
                <c:pt idx="185">
                  <c:v>44467</c:v>
                </c:pt>
                <c:pt idx="186">
                  <c:v>44468</c:v>
                </c:pt>
                <c:pt idx="187">
                  <c:v>44469</c:v>
                </c:pt>
                <c:pt idx="188">
                  <c:v>44470</c:v>
                </c:pt>
                <c:pt idx="189">
                  <c:v>44473</c:v>
                </c:pt>
                <c:pt idx="190">
                  <c:v>44474</c:v>
                </c:pt>
                <c:pt idx="191">
                  <c:v>44475</c:v>
                </c:pt>
                <c:pt idx="192">
                  <c:v>44476</c:v>
                </c:pt>
                <c:pt idx="193">
                  <c:v>44477</c:v>
                </c:pt>
                <c:pt idx="194">
                  <c:v>44480</c:v>
                </c:pt>
                <c:pt idx="195">
                  <c:v>44482</c:v>
                </c:pt>
                <c:pt idx="196">
                  <c:v>44483</c:v>
                </c:pt>
                <c:pt idx="197">
                  <c:v>44484</c:v>
                </c:pt>
                <c:pt idx="198">
                  <c:v>44487</c:v>
                </c:pt>
                <c:pt idx="199">
                  <c:v>44488</c:v>
                </c:pt>
                <c:pt idx="200">
                  <c:v>44489</c:v>
                </c:pt>
                <c:pt idx="201">
                  <c:v>44490</c:v>
                </c:pt>
                <c:pt idx="202">
                  <c:v>44491</c:v>
                </c:pt>
                <c:pt idx="203">
                  <c:v>44494</c:v>
                </c:pt>
                <c:pt idx="204">
                  <c:v>44495</c:v>
                </c:pt>
                <c:pt idx="205">
                  <c:v>44496</c:v>
                </c:pt>
                <c:pt idx="206">
                  <c:v>44497</c:v>
                </c:pt>
                <c:pt idx="207">
                  <c:v>44498</c:v>
                </c:pt>
                <c:pt idx="208">
                  <c:v>44501</c:v>
                </c:pt>
                <c:pt idx="209">
                  <c:v>44503</c:v>
                </c:pt>
                <c:pt idx="210">
                  <c:v>44504</c:v>
                </c:pt>
                <c:pt idx="211">
                  <c:v>44505</c:v>
                </c:pt>
                <c:pt idx="212">
                  <c:v>44508</c:v>
                </c:pt>
                <c:pt idx="213">
                  <c:v>44509</c:v>
                </c:pt>
                <c:pt idx="214">
                  <c:v>44510</c:v>
                </c:pt>
                <c:pt idx="215">
                  <c:v>44511</c:v>
                </c:pt>
                <c:pt idx="216">
                  <c:v>44512</c:v>
                </c:pt>
                <c:pt idx="217">
                  <c:v>44516</c:v>
                </c:pt>
                <c:pt idx="218">
                  <c:v>44517</c:v>
                </c:pt>
                <c:pt idx="219">
                  <c:v>44518</c:v>
                </c:pt>
                <c:pt idx="220">
                  <c:v>44519</c:v>
                </c:pt>
                <c:pt idx="221">
                  <c:v>44522</c:v>
                </c:pt>
                <c:pt idx="222">
                  <c:v>44523</c:v>
                </c:pt>
                <c:pt idx="223">
                  <c:v>44524</c:v>
                </c:pt>
                <c:pt idx="224">
                  <c:v>44525</c:v>
                </c:pt>
                <c:pt idx="225">
                  <c:v>44526</c:v>
                </c:pt>
                <c:pt idx="226">
                  <c:v>44529</c:v>
                </c:pt>
                <c:pt idx="227">
                  <c:v>44530</c:v>
                </c:pt>
                <c:pt idx="228">
                  <c:v>44531</c:v>
                </c:pt>
              </c:numCache>
            </c:numRef>
          </c:cat>
          <c:val>
            <c:numRef>
              <c:f>'Top5 Annual'!$G$4:$G$461</c:f>
              <c:numCache>
                <c:formatCode>General</c:formatCode>
                <c:ptCount val="458"/>
                <c:pt idx="0">
                  <c:v>3.38</c:v>
                </c:pt>
                <c:pt idx="1">
                  <c:v>3.38</c:v>
                </c:pt>
                <c:pt idx="2">
                  <c:v>3.38</c:v>
                </c:pt>
                <c:pt idx="3">
                  <c:v>3.38</c:v>
                </c:pt>
                <c:pt idx="4">
                  <c:v>3.7</c:v>
                </c:pt>
                <c:pt idx="5">
                  <c:v>3.7</c:v>
                </c:pt>
                <c:pt idx="6">
                  <c:v>3.7</c:v>
                </c:pt>
                <c:pt idx="7">
                  <c:v>3.89</c:v>
                </c:pt>
                <c:pt idx="8">
                  <c:v>3.7</c:v>
                </c:pt>
                <c:pt idx="9">
                  <c:v>3.7</c:v>
                </c:pt>
                <c:pt idx="10">
                  <c:v>3.89</c:v>
                </c:pt>
                <c:pt idx="11">
                  <c:v>3.89</c:v>
                </c:pt>
                <c:pt idx="12">
                  <c:v>3.89</c:v>
                </c:pt>
                <c:pt idx="13">
                  <c:v>3.89</c:v>
                </c:pt>
                <c:pt idx="14">
                  <c:v>3.97</c:v>
                </c:pt>
                <c:pt idx="15">
                  <c:v>3.97</c:v>
                </c:pt>
                <c:pt idx="16">
                  <c:v>3.97</c:v>
                </c:pt>
                <c:pt idx="17">
                  <c:v>3.97</c:v>
                </c:pt>
                <c:pt idx="18">
                  <c:v>3.97</c:v>
                </c:pt>
                <c:pt idx="19">
                  <c:v>3.96</c:v>
                </c:pt>
                <c:pt idx="20">
                  <c:v>3.96</c:v>
                </c:pt>
                <c:pt idx="21">
                  <c:v>3.96</c:v>
                </c:pt>
                <c:pt idx="22">
                  <c:v>3.96</c:v>
                </c:pt>
                <c:pt idx="23">
                  <c:v>3.96</c:v>
                </c:pt>
                <c:pt idx="24">
                  <c:v>4.21</c:v>
                </c:pt>
                <c:pt idx="25">
                  <c:v>4.21</c:v>
                </c:pt>
                <c:pt idx="26">
                  <c:v>4.1399999999999997</c:v>
                </c:pt>
                <c:pt idx="27">
                  <c:v>4.1399999999999997</c:v>
                </c:pt>
                <c:pt idx="28">
                  <c:v>4.1399999999999997</c:v>
                </c:pt>
                <c:pt idx="29">
                  <c:v>4.03</c:v>
                </c:pt>
                <c:pt idx="30">
                  <c:v>4.03</c:v>
                </c:pt>
                <c:pt idx="31">
                  <c:v>4.03</c:v>
                </c:pt>
                <c:pt idx="32">
                  <c:v>4.3099999999999996</c:v>
                </c:pt>
                <c:pt idx="33">
                  <c:v>4.3099999999999996</c:v>
                </c:pt>
                <c:pt idx="34">
                  <c:v>4.3099999999999996</c:v>
                </c:pt>
                <c:pt idx="35">
                  <c:v>4.3099999999999996</c:v>
                </c:pt>
                <c:pt idx="36">
                  <c:v>4.3099999999999996</c:v>
                </c:pt>
                <c:pt idx="37">
                  <c:v>4.3099999999999996</c:v>
                </c:pt>
                <c:pt idx="38">
                  <c:v>4.3099999999999996</c:v>
                </c:pt>
                <c:pt idx="39">
                  <c:v>4.3099999999999996</c:v>
                </c:pt>
                <c:pt idx="40">
                  <c:v>4.3099999999999996</c:v>
                </c:pt>
                <c:pt idx="41">
                  <c:v>4.3099999999999996</c:v>
                </c:pt>
                <c:pt idx="42">
                  <c:v>4.5199999999999996</c:v>
                </c:pt>
                <c:pt idx="43">
                  <c:v>4.63</c:v>
                </c:pt>
                <c:pt idx="44">
                  <c:v>4.63</c:v>
                </c:pt>
                <c:pt idx="45">
                  <c:v>4.63</c:v>
                </c:pt>
                <c:pt idx="46">
                  <c:v>5.42</c:v>
                </c:pt>
                <c:pt idx="47">
                  <c:v>5.54</c:v>
                </c:pt>
                <c:pt idx="48">
                  <c:v>5.54</c:v>
                </c:pt>
                <c:pt idx="49">
                  <c:v>5.54</c:v>
                </c:pt>
                <c:pt idx="50">
                  <c:v>5.54</c:v>
                </c:pt>
                <c:pt idx="51">
                  <c:v>5.54</c:v>
                </c:pt>
                <c:pt idx="52">
                  <c:v>5.54</c:v>
                </c:pt>
                <c:pt idx="53">
                  <c:v>5.54</c:v>
                </c:pt>
                <c:pt idx="54">
                  <c:v>5.54</c:v>
                </c:pt>
                <c:pt idx="55">
                  <c:v>5.54</c:v>
                </c:pt>
                <c:pt idx="56">
                  <c:v>5.54</c:v>
                </c:pt>
                <c:pt idx="57">
                  <c:v>5.54</c:v>
                </c:pt>
                <c:pt idx="58">
                  <c:v>5.54</c:v>
                </c:pt>
                <c:pt idx="59">
                  <c:v>5.5382999999999996</c:v>
                </c:pt>
                <c:pt idx="60">
                  <c:v>5.5382999999999996</c:v>
                </c:pt>
                <c:pt idx="61">
                  <c:v>5.5382999999999996</c:v>
                </c:pt>
                <c:pt idx="62">
                  <c:v>5.5382999999999996</c:v>
                </c:pt>
                <c:pt idx="63">
                  <c:v>5.5382999999999996</c:v>
                </c:pt>
                <c:pt idx="64">
                  <c:v>5.5382999999999996</c:v>
                </c:pt>
                <c:pt idx="65">
                  <c:v>5.5317999999999996</c:v>
                </c:pt>
                <c:pt idx="66">
                  <c:v>5.5117000000000003</c:v>
                </c:pt>
                <c:pt idx="67">
                  <c:v>5.5117000000000003</c:v>
                </c:pt>
                <c:pt idx="68">
                  <c:v>5.5117000000000003</c:v>
                </c:pt>
                <c:pt idx="69">
                  <c:v>5.5117000000000003</c:v>
                </c:pt>
                <c:pt idx="70">
                  <c:v>5.4169999999999998</c:v>
                </c:pt>
                <c:pt idx="71">
                  <c:v>5.4169999999999998</c:v>
                </c:pt>
                <c:pt idx="72">
                  <c:v>5.4169999999999998</c:v>
                </c:pt>
                <c:pt idx="73">
                  <c:v>5.4169999999999998</c:v>
                </c:pt>
                <c:pt idx="74">
                  <c:v>5.4897</c:v>
                </c:pt>
                <c:pt idx="75">
                  <c:v>5.4897</c:v>
                </c:pt>
                <c:pt idx="76">
                  <c:v>5.4897</c:v>
                </c:pt>
                <c:pt idx="77">
                  <c:v>5.4897</c:v>
                </c:pt>
                <c:pt idx="78">
                  <c:v>5.4897</c:v>
                </c:pt>
                <c:pt idx="79">
                  <c:v>5.3745000000000003</c:v>
                </c:pt>
                <c:pt idx="80">
                  <c:v>5.3745000000000003</c:v>
                </c:pt>
                <c:pt idx="81">
                  <c:v>5.3745000000000003</c:v>
                </c:pt>
                <c:pt idx="82">
                  <c:v>5.3745000000000003</c:v>
                </c:pt>
                <c:pt idx="83">
                  <c:v>5.3745000000000003</c:v>
                </c:pt>
                <c:pt idx="84">
                  <c:v>5.4374000000000002</c:v>
                </c:pt>
                <c:pt idx="85">
                  <c:v>5.4374000000000002</c:v>
                </c:pt>
                <c:pt idx="86">
                  <c:v>5.6680999999999999</c:v>
                </c:pt>
                <c:pt idx="87">
                  <c:v>5.6680999999999999</c:v>
                </c:pt>
                <c:pt idx="88">
                  <c:v>5.6680999999999999</c:v>
                </c:pt>
                <c:pt idx="89">
                  <c:v>5.6680999999999999</c:v>
                </c:pt>
                <c:pt idx="90">
                  <c:v>5.6680999999999999</c:v>
                </c:pt>
                <c:pt idx="91">
                  <c:v>5.6680999999999999</c:v>
                </c:pt>
                <c:pt idx="92">
                  <c:v>5.6680999999999999</c:v>
                </c:pt>
                <c:pt idx="93">
                  <c:v>5.6680999999999999</c:v>
                </c:pt>
                <c:pt idx="94">
                  <c:v>5.9424000000000001</c:v>
                </c:pt>
                <c:pt idx="95">
                  <c:v>5.9424000000000001</c:v>
                </c:pt>
                <c:pt idx="96">
                  <c:v>5.9424000000000001</c:v>
                </c:pt>
                <c:pt idx="97">
                  <c:v>5.9424000000000001</c:v>
                </c:pt>
                <c:pt idx="98">
                  <c:v>5.9424000000000001</c:v>
                </c:pt>
                <c:pt idx="99">
                  <c:v>6.0907</c:v>
                </c:pt>
                <c:pt idx="100">
                  <c:v>6.0907</c:v>
                </c:pt>
                <c:pt idx="101">
                  <c:v>5.54</c:v>
                </c:pt>
                <c:pt idx="102">
                  <c:v>6.0907</c:v>
                </c:pt>
                <c:pt idx="103">
                  <c:v>6.0907</c:v>
                </c:pt>
                <c:pt idx="104">
                  <c:v>6.1645000000000003</c:v>
                </c:pt>
                <c:pt idx="105">
                  <c:v>6.1645000000000003</c:v>
                </c:pt>
                <c:pt idx="106">
                  <c:v>6.1645000000000003</c:v>
                </c:pt>
                <c:pt idx="107">
                  <c:v>6.2381000000000002</c:v>
                </c:pt>
                <c:pt idx="108">
                  <c:v>6.5029000000000003</c:v>
                </c:pt>
                <c:pt idx="109">
                  <c:v>6.5015999999999998</c:v>
                </c:pt>
                <c:pt idx="110">
                  <c:v>6.5349000000000004</c:v>
                </c:pt>
                <c:pt idx="111">
                  <c:v>6.5349000000000004</c:v>
                </c:pt>
                <c:pt idx="112">
                  <c:v>6.5349000000000004</c:v>
                </c:pt>
                <c:pt idx="113">
                  <c:v>6.5349000000000004</c:v>
                </c:pt>
                <c:pt idx="114">
                  <c:v>6.5015999999999998</c:v>
                </c:pt>
                <c:pt idx="115">
                  <c:v>6.5015999999999998</c:v>
                </c:pt>
                <c:pt idx="116">
                  <c:v>6.5015999999999998</c:v>
                </c:pt>
                <c:pt idx="117">
                  <c:v>6.5015999999999998</c:v>
                </c:pt>
                <c:pt idx="118">
                  <c:v>6.5015999999999998</c:v>
                </c:pt>
                <c:pt idx="119">
                  <c:v>6.6618000000000004</c:v>
                </c:pt>
                <c:pt idx="120">
                  <c:v>6.6618000000000004</c:v>
                </c:pt>
                <c:pt idx="121">
                  <c:v>6.6618000000000004</c:v>
                </c:pt>
                <c:pt idx="122">
                  <c:v>6.6618000000000004</c:v>
                </c:pt>
                <c:pt idx="123">
                  <c:v>6.6618000000000004</c:v>
                </c:pt>
                <c:pt idx="124">
                  <c:v>6.8</c:v>
                </c:pt>
                <c:pt idx="125">
                  <c:v>6.8</c:v>
                </c:pt>
                <c:pt idx="126">
                  <c:v>6.8</c:v>
                </c:pt>
                <c:pt idx="127">
                  <c:v>6.8</c:v>
                </c:pt>
                <c:pt idx="128">
                  <c:v>6.8102999999999998</c:v>
                </c:pt>
                <c:pt idx="129">
                  <c:v>6.8531000000000004</c:v>
                </c:pt>
                <c:pt idx="130">
                  <c:v>6.8531000000000004</c:v>
                </c:pt>
                <c:pt idx="131">
                  <c:v>6.8531000000000004</c:v>
                </c:pt>
                <c:pt idx="132">
                  <c:v>6.8531000000000004</c:v>
                </c:pt>
                <c:pt idx="133">
                  <c:v>6.8531000000000004</c:v>
                </c:pt>
                <c:pt idx="134">
                  <c:v>6.9593999999999996</c:v>
                </c:pt>
                <c:pt idx="135">
                  <c:v>6.9593999999999996</c:v>
                </c:pt>
                <c:pt idx="136">
                  <c:v>6.9593999999999996</c:v>
                </c:pt>
                <c:pt idx="137">
                  <c:v>6.9593999999999996</c:v>
                </c:pt>
                <c:pt idx="138">
                  <c:v>6.9593999999999996</c:v>
                </c:pt>
                <c:pt idx="139">
                  <c:v>7.7961999999999998</c:v>
                </c:pt>
                <c:pt idx="140">
                  <c:v>7.7961999999999998</c:v>
                </c:pt>
                <c:pt idx="141">
                  <c:v>7.7961999999999998</c:v>
                </c:pt>
                <c:pt idx="142">
                  <c:v>7.7961999999999998</c:v>
                </c:pt>
                <c:pt idx="143">
                  <c:v>7.7961999999999998</c:v>
                </c:pt>
                <c:pt idx="144">
                  <c:v>7.8051000000000004</c:v>
                </c:pt>
                <c:pt idx="145">
                  <c:v>7.8051000000000004</c:v>
                </c:pt>
                <c:pt idx="146">
                  <c:v>7.8051000000000004</c:v>
                </c:pt>
                <c:pt idx="147">
                  <c:v>7.8051000000000004</c:v>
                </c:pt>
                <c:pt idx="148">
                  <c:v>7.8051000000000004</c:v>
                </c:pt>
                <c:pt idx="149">
                  <c:v>7.8051000000000004</c:v>
                </c:pt>
                <c:pt idx="150">
                  <c:v>7.8051000000000004</c:v>
                </c:pt>
                <c:pt idx="151">
                  <c:v>7.5246000000000004</c:v>
                </c:pt>
                <c:pt idx="152">
                  <c:v>7.5246000000000004</c:v>
                </c:pt>
                <c:pt idx="153">
                  <c:v>7.5246000000000004</c:v>
                </c:pt>
                <c:pt idx="154">
                  <c:v>7.8994999999999997</c:v>
                </c:pt>
                <c:pt idx="155">
                  <c:v>7.8994999999999997</c:v>
                </c:pt>
                <c:pt idx="156">
                  <c:v>7.8994999999999997</c:v>
                </c:pt>
                <c:pt idx="157">
                  <c:v>7.8994999999999997</c:v>
                </c:pt>
                <c:pt idx="158">
                  <c:v>7.8994999999999997</c:v>
                </c:pt>
                <c:pt idx="159">
                  <c:v>7.8350999999999997</c:v>
                </c:pt>
                <c:pt idx="160">
                  <c:v>7.8350999999999997</c:v>
                </c:pt>
                <c:pt idx="161">
                  <c:v>7.8350999999999997</c:v>
                </c:pt>
                <c:pt idx="162">
                  <c:v>7.8350999999999997</c:v>
                </c:pt>
                <c:pt idx="163">
                  <c:v>7.8350999999999997</c:v>
                </c:pt>
                <c:pt idx="164">
                  <c:v>8.1463000000000001</c:v>
                </c:pt>
                <c:pt idx="165">
                  <c:v>8.1463000000000001</c:v>
                </c:pt>
                <c:pt idx="166">
                  <c:v>8.3190000000000008</c:v>
                </c:pt>
                <c:pt idx="167">
                  <c:v>8.1463000000000001</c:v>
                </c:pt>
                <c:pt idx="168">
                  <c:v>8.1463000000000001</c:v>
                </c:pt>
                <c:pt idx="169">
                  <c:v>8.3190000000000008</c:v>
                </c:pt>
                <c:pt idx="170">
                  <c:v>8.3190000000000008</c:v>
                </c:pt>
                <c:pt idx="171">
                  <c:v>8.3190000000000008</c:v>
                </c:pt>
                <c:pt idx="172">
                  <c:v>8.577</c:v>
                </c:pt>
                <c:pt idx="173">
                  <c:v>8.577</c:v>
                </c:pt>
                <c:pt idx="174">
                  <c:v>8.6834000000000007</c:v>
                </c:pt>
                <c:pt idx="175">
                  <c:v>8.6834000000000007</c:v>
                </c:pt>
                <c:pt idx="176">
                  <c:v>8.6834000000000007</c:v>
                </c:pt>
                <c:pt idx="177">
                  <c:v>9.2025000000000006</c:v>
                </c:pt>
                <c:pt idx="178">
                  <c:v>9.1918000000000006</c:v>
                </c:pt>
                <c:pt idx="179">
                  <c:v>9.1918000000000006</c:v>
                </c:pt>
                <c:pt idx="180">
                  <c:v>9.1918000000000006</c:v>
                </c:pt>
                <c:pt idx="181">
                  <c:v>9.1918000000000006</c:v>
                </c:pt>
                <c:pt idx="182">
                  <c:v>9.1918000000000006</c:v>
                </c:pt>
                <c:pt idx="183">
                  <c:v>9.1918000000000006</c:v>
                </c:pt>
                <c:pt idx="184">
                  <c:v>9.1918000000000006</c:v>
                </c:pt>
                <c:pt idx="185">
                  <c:v>9.1918000000000006</c:v>
                </c:pt>
                <c:pt idx="186">
                  <c:v>9.1918000000000006</c:v>
                </c:pt>
                <c:pt idx="187">
                  <c:v>9.1918000000000006</c:v>
                </c:pt>
                <c:pt idx="188">
                  <c:v>9.3756000000000004</c:v>
                </c:pt>
                <c:pt idx="189">
                  <c:v>9.3756000000000004</c:v>
                </c:pt>
                <c:pt idx="190">
                  <c:v>9.3756000000000004</c:v>
                </c:pt>
                <c:pt idx="191">
                  <c:v>9.3756000000000004</c:v>
                </c:pt>
                <c:pt idx="192">
                  <c:v>9.3756000000000004</c:v>
                </c:pt>
                <c:pt idx="193">
                  <c:v>8.9212000000000007</c:v>
                </c:pt>
                <c:pt idx="194">
                  <c:v>8.9212000000000007</c:v>
                </c:pt>
                <c:pt idx="195">
                  <c:v>9.3976000000000006</c:v>
                </c:pt>
                <c:pt idx="196">
                  <c:v>9.3976000000000006</c:v>
                </c:pt>
                <c:pt idx="197">
                  <c:v>9.4519000000000002</c:v>
                </c:pt>
                <c:pt idx="198">
                  <c:v>9.4519000000000002</c:v>
                </c:pt>
                <c:pt idx="199">
                  <c:v>9.4519000000000002</c:v>
                </c:pt>
                <c:pt idx="200">
                  <c:v>9.4626999999999999</c:v>
                </c:pt>
                <c:pt idx="201">
                  <c:v>9.4626999999999999</c:v>
                </c:pt>
                <c:pt idx="202">
                  <c:v>9.6588999999999992</c:v>
                </c:pt>
                <c:pt idx="203">
                  <c:v>9.6588999999999992</c:v>
                </c:pt>
                <c:pt idx="204">
                  <c:v>9.6588999999999992</c:v>
                </c:pt>
                <c:pt idx="205">
                  <c:v>9.6588999999999992</c:v>
                </c:pt>
                <c:pt idx="206">
                  <c:v>9.6588999999999992</c:v>
                </c:pt>
                <c:pt idx="207">
                  <c:v>9.8652999999999995</c:v>
                </c:pt>
                <c:pt idx="208">
                  <c:v>9.8652999999999995</c:v>
                </c:pt>
                <c:pt idx="209">
                  <c:v>9.8652999999999995</c:v>
                </c:pt>
                <c:pt idx="210">
                  <c:v>9.8652999999999995</c:v>
                </c:pt>
                <c:pt idx="211">
                  <c:v>9.8652999999999995</c:v>
                </c:pt>
                <c:pt idx="212">
                  <c:v>10.1271</c:v>
                </c:pt>
                <c:pt idx="213">
                  <c:v>10.1271</c:v>
                </c:pt>
                <c:pt idx="214">
                  <c:v>10.410600000000001</c:v>
                </c:pt>
                <c:pt idx="215">
                  <c:v>10.410600000000001</c:v>
                </c:pt>
                <c:pt idx="216">
                  <c:v>10.410600000000001</c:v>
                </c:pt>
                <c:pt idx="217">
                  <c:v>10.465199999999999</c:v>
                </c:pt>
                <c:pt idx="218">
                  <c:v>10.465199999999999</c:v>
                </c:pt>
                <c:pt idx="219">
                  <c:v>10.465199999999999</c:v>
                </c:pt>
                <c:pt idx="220">
                  <c:v>10.5527</c:v>
                </c:pt>
                <c:pt idx="221">
                  <c:v>10.5527</c:v>
                </c:pt>
                <c:pt idx="222">
                  <c:v>10.5527</c:v>
                </c:pt>
                <c:pt idx="223">
                  <c:v>10.5527</c:v>
                </c:pt>
                <c:pt idx="224">
                  <c:v>10.5527</c:v>
                </c:pt>
                <c:pt idx="225">
                  <c:v>10.5527</c:v>
                </c:pt>
                <c:pt idx="226">
                  <c:v>10.5527</c:v>
                </c:pt>
                <c:pt idx="227">
                  <c:v>10.5527</c:v>
                </c:pt>
                <c:pt idx="228">
                  <c:v>10.5527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A7-4BCD-BF38-417EDA9D1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dateAx>
        <c:axId val="9901735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Offset val="100"/>
        <c:baseTimeUnit val="days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'Exp Institutions'!$J$1:$P$1</c:f>
          <c:strCache>
            <c:ptCount val="7"/>
            <c:pt idx="0">
              <c:v>FOCUS forecast by Institution 16 for IPCA of 2020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'Exp Institutions'!$F$3</c:f>
              <c:strCache>
                <c:ptCount val="1"/>
                <c:pt idx="0">
                  <c:v>Valor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'Exp Institutions'!$D$4:$D$461</c:f>
              <c:numCache>
                <c:formatCode>m/d/yyyy</c:formatCode>
                <c:ptCount val="458"/>
                <c:pt idx="0">
                  <c:v>43804</c:v>
                </c:pt>
                <c:pt idx="1">
                  <c:v>43812</c:v>
                </c:pt>
                <c:pt idx="2">
                  <c:v>43819</c:v>
                </c:pt>
                <c:pt idx="3">
                  <c:v>43826</c:v>
                </c:pt>
                <c:pt idx="4">
                  <c:v>43833</c:v>
                </c:pt>
                <c:pt idx="5">
                  <c:v>43840</c:v>
                </c:pt>
                <c:pt idx="6">
                  <c:v>43847</c:v>
                </c:pt>
                <c:pt idx="7">
                  <c:v>43854</c:v>
                </c:pt>
                <c:pt idx="8">
                  <c:v>43861</c:v>
                </c:pt>
                <c:pt idx="9">
                  <c:v>43868</c:v>
                </c:pt>
                <c:pt idx="10">
                  <c:v>43875</c:v>
                </c:pt>
                <c:pt idx="11">
                  <c:v>43882</c:v>
                </c:pt>
                <c:pt idx="12">
                  <c:v>43889</c:v>
                </c:pt>
                <c:pt idx="13">
                  <c:v>43903</c:v>
                </c:pt>
                <c:pt idx="14">
                  <c:v>43917</c:v>
                </c:pt>
                <c:pt idx="15">
                  <c:v>43928</c:v>
                </c:pt>
                <c:pt idx="16">
                  <c:v>43938</c:v>
                </c:pt>
                <c:pt idx="17">
                  <c:v>43945</c:v>
                </c:pt>
                <c:pt idx="18">
                  <c:v>43962</c:v>
                </c:pt>
                <c:pt idx="19">
                  <c:v>43966</c:v>
                </c:pt>
                <c:pt idx="20">
                  <c:v>43973</c:v>
                </c:pt>
                <c:pt idx="21">
                  <c:v>43980</c:v>
                </c:pt>
                <c:pt idx="22">
                  <c:v>43987</c:v>
                </c:pt>
                <c:pt idx="23">
                  <c:v>43994</c:v>
                </c:pt>
                <c:pt idx="24">
                  <c:v>44001</c:v>
                </c:pt>
                <c:pt idx="25">
                  <c:v>44008</c:v>
                </c:pt>
                <c:pt idx="26">
                  <c:v>44015</c:v>
                </c:pt>
                <c:pt idx="27">
                  <c:v>44050</c:v>
                </c:pt>
                <c:pt idx="28">
                  <c:v>44057</c:v>
                </c:pt>
                <c:pt idx="29">
                  <c:v>44064</c:v>
                </c:pt>
                <c:pt idx="30">
                  <c:v>44071</c:v>
                </c:pt>
                <c:pt idx="31">
                  <c:v>44078</c:v>
                </c:pt>
                <c:pt idx="32">
                  <c:v>44085</c:v>
                </c:pt>
                <c:pt idx="33">
                  <c:v>44092</c:v>
                </c:pt>
                <c:pt idx="34">
                  <c:v>44106</c:v>
                </c:pt>
                <c:pt idx="35">
                  <c:v>44113</c:v>
                </c:pt>
                <c:pt idx="36">
                  <c:v>44120</c:v>
                </c:pt>
                <c:pt idx="37">
                  <c:v>44127</c:v>
                </c:pt>
                <c:pt idx="38">
                  <c:v>44134</c:v>
                </c:pt>
                <c:pt idx="39">
                  <c:v>44141</c:v>
                </c:pt>
                <c:pt idx="40">
                  <c:v>44147</c:v>
                </c:pt>
                <c:pt idx="41">
                  <c:v>44155</c:v>
                </c:pt>
                <c:pt idx="42">
                  <c:v>44162</c:v>
                </c:pt>
              </c:numCache>
            </c:numRef>
          </c:cat>
          <c:val>
            <c:numRef>
              <c:f>'Exp Institutions'!$F$4:$F$461</c:f>
              <c:numCache>
                <c:formatCode>General</c:formatCode>
                <c:ptCount val="458"/>
                <c:pt idx="0">
                  <c:v>3.39</c:v>
                </c:pt>
                <c:pt idx="1">
                  <c:v>3.39</c:v>
                </c:pt>
                <c:pt idx="2">
                  <c:v>3.39</c:v>
                </c:pt>
                <c:pt idx="3">
                  <c:v>3.39</c:v>
                </c:pt>
                <c:pt idx="4">
                  <c:v>3.39</c:v>
                </c:pt>
                <c:pt idx="5">
                  <c:v>3.39</c:v>
                </c:pt>
                <c:pt idx="6">
                  <c:v>3.39</c:v>
                </c:pt>
                <c:pt idx="7">
                  <c:v>3.39</c:v>
                </c:pt>
                <c:pt idx="8">
                  <c:v>3.39</c:v>
                </c:pt>
                <c:pt idx="9">
                  <c:v>3.2149000000000001</c:v>
                </c:pt>
                <c:pt idx="10">
                  <c:v>3.2149000000000001</c:v>
                </c:pt>
                <c:pt idx="11">
                  <c:v>3.2149000000000001</c:v>
                </c:pt>
                <c:pt idx="12">
                  <c:v>3.2149000000000001</c:v>
                </c:pt>
                <c:pt idx="13">
                  <c:v>3.3393999999999999</c:v>
                </c:pt>
                <c:pt idx="14">
                  <c:v>3.3393999999999999</c:v>
                </c:pt>
                <c:pt idx="15">
                  <c:v>2.8149000000000002</c:v>
                </c:pt>
                <c:pt idx="16">
                  <c:v>2.5893000000000002</c:v>
                </c:pt>
                <c:pt idx="17">
                  <c:v>2.5893000000000002</c:v>
                </c:pt>
                <c:pt idx="18">
                  <c:v>1.3873</c:v>
                </c:pt>
                <c:pt idx="19">
                  <c:v>1.3873</c:v>
                </c:pt>
                <c:pt idx="20">
                  <c:v>1.3873</c:v>
                </c:pt>
                <c:pt idx="21">
                  <c:v>1.3873</c:v>
                </c:pt>
                <c:pt idx="22">
                  <c:v>2.1082999999999998</c:v>
                </c:pt>
                <c:pt idx="23">
                  <c:v>1.5578000000000001</c:v>
                </c:pt>
                <c:pt idx="24">
                  <c:v>1.3858999999999999</c:v>
                </c:pt>
                <c:pt idx="25">
                  <c:v>1.3858999999999999</c:v>
                </c:pt>
                <c:pt idx="26">
                  <c:v>1.3858999999999999</c:v>
                </c:pt>
                <c:pt idx="27">
                  <c:v>1.3853</c:v>
                </c:pt>
                <c:pt idx="28">
                  <c:v>1.4259999999999999</c:v>
                </c:pt>
                <c:pt idx="29">
                  <c:v>1.4259999999999999</c:v>
                </c:pt>
                <c:pt idx="30">
                  <c:v>1.4259999999999999</c:v>
                </c:pt>
                <c:pt idx="31">
                  <c:v>1.4259999999999999</c:v>
                </c:pt>
                <c:pt idx="32">
                  <c:v>1.6288</c:v>
                </c:pt>
                <c:pt idx="33">
                  <c:v>1.6288</c:v>
                </c:pt>
                <c:pt idx="34">
                  <c:v>1.6288</c:v>
                </c:pt>
                <c:pt idx="35">
                  <c:v>1.6288</c:v>
                </c:pt>
                <c:pt idx="36">
                  <c:v>2.8201000000000001</c:v>
                </c:pt>
                <c:pt idx="37">
                  <c:v>2.8201000000000001</c:v>
                </c:pt>
                <c:pt idx="38">
                  <c:v>2.8201000000000001</c:v>
                </c:pt>
                <c:pt idx="39">
                  <c:v>3.4146999999999998</c:v>
                </c:pt>
                <c:pt idx="40">
                  <c:v>3.4146999999999998</c:v>
                </c:pt>
                <c:pt idx="41">
                  <c:v>3.4146999999999998</c:v>
                </c:pt>
                <c:pt idx="42">
                  <c:v>3.4146999999999998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2E-42D4-87AF-0D7B5F71F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dateAx>
        <c:axId val="9901735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Offset val="100"/>
        <c:baseTimeUnit val="days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26</xdr:row>
      <xdr:rowOff>95249</xdr:rowOff>
    </xdr:from>
    <xdr:to>
      <xdr:col>10</xdr:col>
      <xdr:colOff>595916</xdr:colOff>
      <xdr:row>26</xdr:row>
      <xdr:rowOff>1238474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1C41F04-3850-4991-8691-C4202B0128C5}"/>
            </a:ext>
          </a:extLst>
        </xdr:cNvPr>
        <xdr:cNvGrpSpPr/>
      </xdr:nvGrpSpPr>
      <xdr:grpSpPr>
        <a:xfrm>
          <a:off x="952500" y="4791074"/>
          <a:ext cx="5310791" cy="1143225"/>
          <a:chOff x="161925" y="3752849"/>
          <a:chExt cx="5310791" cy="1143225"/>
        </a:xfrm>
      </xdr:grpSpPr>
      <xdr:pic>
        <xdr:nvPicPr>
          <xdr:cNvPr id="2" name="Imagem 1">
            <a:extLst>
              <a:ext uri="{FF2B5EF4-FFF2-40B4-BE49-F238E27FC236}">
                <a16:creationId xmlns:a16="http://schemas.microsoft.com/office/drawing/2014/main" id="{07373140-21AD-43FF-A60F-25A0D1810A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57176" y="3752849"/>
            <a:ext cx="5215540" cy="1143225"/>
          </a:xfrm>
          <a:prstGeom prst="rect">
            <a:avLst/>
          </a:prstGeom>
        </xdr:spPr>
      </xdr:pic>
      <xdr:sp macro="" textlink="">
        <xdr:nvSpPr>
          <xdr:cNvPr id="3" name="Elipse 2">
            <a:extLst>
              <a:ext uri="{FF2B5EF4-FFF2-40B4-BE49-F238E27FC236}">
                <a16:creationId xmlns:a16="http://schemas.microsoft.com/office/drawing/2014/main" id="{637F658B-73E5-40AB-BD91-2D877B915B7F}"/>
              </a:ext>
            </a:extLst>
          </xdr:cNvPr>
          <xdr:cNvSpPr/>
        </xdr:nvSpPr>
        <xdr:spPr>
          <a:xfrm>
            <a:off x="161925" y="4086225"/>
            <a:ext cx="657225" cy="742950"/>
          </a:xfrm>
          <a:prstGeom prst="ellipse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2</xdr:col>
      <xdr:colOff>161925</xdr:colOff>
      <xdr:row>28</xdr:row>
      <xdr:rowOff>38101</xdr:rowOff>
    </xdr:from>
    <xdr:to>
      <xdr:col>10</xdr:col>
      <xdr:colOff>247650</xdr:colOff>
      <xdr:row>29</xdr:row>
      <xdr:rowOff>50217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F1B4F6D9-0580-45CC-9F44-F78EF60C3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00" y="5800726"/>
          <a:ext cx="4962525" cy="1564691"/>
        </a:xfrm>
        <a:prstGeom prst="rect">
          <a:avLst/>
        </a:prstGeom>
      </xdr:spPr>
    </xdr:pic>
    <xdr:clientData/>
  </xdr:twoCellAnchor>
  <xdr:twoCellAnchor>
    <xdr:from>
      <xdr:col>2</xdr:col>
      <xdr:colOff>238125</xdr:colOff>
      <xdr:row>31</xdr:row>
      <xdr:rowOff>95250</xdr:rowOff>
    </xdr:from>
    <xdr:to>
      <xdr:col>5</xdr:col>
      <xdr:colOff>75706</xdr:colOff>
      <xdr:row>31</xdr:row>
      <xdr:rowOff>2952750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981BE3ED-5CF0-425D-8FA9-BC801FDB3AE3}"/>
            </a:ext>
          </a:extLst>
        </xdr:cNvPr>
        <xdr:cNvGrpSpPr/>
      </xdr:nvGrpSpPr>
      <xdr:grpSpPr>
        <a:xfrm>
          <a:off x="1028700" y="8324850"/>
          <a:ext cx="1666381" cy="2857500"/>
          <a:chOff x="1028700" y="7781925"/>
          <a:chExt cx="1666381" cy="2857500"/>
        </a:xfrm>
      </xdr:grpSpPr>
      <xdr:pic>
        <xdr:nvPicPr>
          <xdr:cNvPr id="9" name="Imagem 8">
            <a:extLst>
              <a:ext uri="{FF2B5EF4-FFF2-40B4-BE49-F238E27FC236}">
                <a16:creationId xmlns:a16="http://schemas.microsoft.com/office/drawing/2014/main" id="{65BC5962-AA84-4338-AA1F-E6AC7FC34A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076325" y="7781925"/>
            <a:ext cx="1618756" cy="2857500"/>
          </a:xfrm>
          <a:prstGeom prst="rect">
            <a:avLst/>
          </a:prstGeom>
        </xdr:spPr>
      </xdr:pic>
      <xdr:sp macro="" textlink="">
        <xdr:nvSpPr>
          <xdr:cNvPr id="10" name="Elipse 9">
            <a:extLst>
              <a:ext uri="{FF2B5EF4-FFF2-40B4-BE49-F238E27FC236}">
                <a16:creationId xmlns:a16="http://schemas.microsoft.com/office/drawing/2014/main" id="{94B37906-EE6E-47A1-9756-C2A227A81BA9}"/>
              </a:ext>
            </a:extLst>
          </xdr:cNvPr>
          <xdr:cNvSpPr/>
        </xdr:nvSpPr>
        <xdr:spPr>
          <a:xfrm>
            <a:off x="1028700" y="8924925"/>
            <a:ext cx="885825" cy="390525"/>
          </a:xfrm>
          <a:prstGeom prst="ellipse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Elipse 10">
            <a:extLst>
              <a:ext uri="{FF2B5EF4-FFF2-40B4-BE49-F238E27FC236}">
                <a16:creationId xmlns:a16="http://schemas.microsoft.com/office/drawing/2014/main" id="{33436466-059E-49CB-8534-A180D4FC7FD8}"/>
              </a:ext>
            </a:extLst>
          </xdr:cNvPr>
          <xdr:cNvSpPr/>
        </xdr:nvSpPr>
        <xdr:spPr>
          <a:xfrm>
            <a:off x="1038225" y="10125075"/>
            <a:ext cx="1028700" cy="390525"/>
          </a:xfrm>
          <a:prstGeom prst="ellipse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388620</xdr:colOff>
      <xdr:row>2</xdr:row>
      <xdr:rowOff>129540</xdr:rowOff>
    </xdr:from>
    <xdr:to>
      <xdr:col>17</xdr:col>
      <xdr:colOff>495300</xdr:colOff>
      <xdr:row>27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CC3F89D-4442-4CA7-88F0-7F3FEA00EF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388620</xdr:colOff>
      <xdr:row>2</xdr:row>
      <xdr:rowOff>129540</xdr:rowOff>
    </xdr:from>
    <xdr:to>
      <xdr:col>17</xdr:col>
      <xdr:colOff>495300</xdr:colOff>
      <xdr:row>27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FA24985-0E13-471E-A0CA-D686D1BE5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388620</xdr:colOff>
      <xdr:row>2</xdr:row>
      <xdr:rowOff>129540</xdr:rowOff>
    </xdr:from>
    <xdr:to>
      <xdr:col>17</xdr:col>
      <xdr:colOff>495300</xdr:colOff>
      <xdr:row>27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4A55784-2649-471B-8EC1-914C15D04D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388620</xdr:colOff>
      <xdr:row>2</xdr:row>
      <xdr:rowOff>129540</xdr:rowOff>
    </xdr:from>
    <xdr:to>
      <xdr:col>17</xdr:col>
      <xdr:colOff>495300</xdr:colOff>
      <xdr:row>27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86E6266-B258-489C-9658-052FC2347B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388620</xdr:colOff>
      <xdr:row>2</xdr:row>
      <xdr:rowOff>129540</xdr:rowOff>
    </xdr:from>
    <xdr:to>
      <xdr:col>17</xdr:col>
      <xdr:colOff>495300</xdr:colOff>
      <xdr:row>27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A1DEA8E-7BCE-480D-9C60-D0E22C2DF6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388620</xdr:colOff>
      <xdr:row>2</xdr:row>
      <xdr:rowOff>129540</xdr:rowOff>
    </xdr:from>
    <xdr:to>
      <xdr:col>17</xdr:col>
      <xdr:colOff>495300</xdr:colOff>
      <xdr:row>27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F5F4EB6-E043-4FEA-A030-51C6DE39F6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388620</xdr:colOff>
      <xdr:row>2</xdr:row>
      <xdr:rowOff>129540</xdr:rowOff>
    </xdr:from>
    <xdr:to>
      <xdr:col>17</xdr:col>
      <xdr:colOff>495300</xdr:colOff>
      <xdr:row>27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251708-DFC4-441A-BAD1-D50B33D301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edugca/xlFOCUS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github.com/VBA-tools/VBA-JSON" TargetMode="External"/><Relationship Id="rId1" Type="http://schemas.openxmlformats.org/officeDocument/2006/relationships/hyperlink" Target="https://olinda.bcb.gov.br/olinda/servico/Expectativas/versao/v1/aplicacao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support.microsoft.com/en-us/office/enable-or-disable-macros-in-office-files-12b036fd-d140-4e74-b45e-16fed1a7e5c6" TargetMode="External"/><Relationship Id="rId4" Type="http://schemas.openxmlformats.org/officeDocument/2006/relationships/hyperlink" Target="https://support.microsoft.com/en-us/topic/show-the-developer-tab-e1192344-5e56-4d45-931b-e5fd9bea2d45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olinda.bcb.gov.br/olinda/servico/Expectativas/versao/v1/odata/ExpectativaMercadoMensais?$top=10000&amp;$filter=Indicador%20eq%20'IPCA'%20and%20DataReferencia%20eq%20'04%2F2000'&amp;$format=jso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6C8AC-BFA0-4617-AA84-0A03ACEC0EBE}">
  <sheetPr codeName="Planilha9">
    <tabColor theme="9" tint="0.39997558519241921"/>
  </sheetPr>
  <dimension ref="B2:T90"/>
  <sheetViews>
    <sheetView showGridLines="0" tabSelected="1" workbookViewId="0">
      <selection activeCell="L8" sqref="L8"/>
    </sheetView>
  </sheetViews>
  <sheetFormatPr defaultRowHeight="12.75" x14ac:dyDescent="0.2"/>
  <cols>
    <col min="1" max="1" width="2.7109375" style="1" customWidth="1"/>
    <col min="2" max="10" width="9.140625" style="1"/>
    <col min="11" max="17" width="13.7109375" style="1" customWidth="1"/>
    <col min="18" max="16384" width="9.140625" style="1"/>
  </cols>
  <sheetData>
    <row r="2" spans="2:20" ht="18" x14ac:dyDescent="0.25">
      <c r="B2" s="56" t="s">
        <v>147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</row>
    <row r="4" spans="2:20" ht="14.25" x14ac:dyDescent="0.2">
      <c r="B4" s="2" t="s">
        <v>0</v>
      </c>
    </row>
    <row r="5" spans="2:20" ht="15" x14ac:dyDescent="0.25">
      <c r="B5" s="2" t="s">
        <v>117</v>
      </c>
    </row>
    <row r="6" spans="2:20" ht="14.25" x14ac:dyDescent="0.2">
      <c r="B6" s="2" t="s">
        <v>118</v>
      </c>
    </row>
    <row r="8" spans="2:20" x14ac:dyDescent="0.2">
      <c r="B8" s="3" t="s">
        <v>115</v>
      </c>
    </row>
    <row r="9" spans="2:20" x14ac:dyDescent="0.2">
      <c r="B9" s="3"/>
    </row>
    <row r="10" spans="2:20" ht="15" x14ac:dyDescent="0.25">
      <c r="B10" s="52" t="s">
        <v>126</v>
      </c>
    </row>
    <row r="11" spans="2:20" ht="15" x14ac:dyDescent="0.25">
      <c r="B11" s="20" t="s">
        <v>125</v>
      </c>
    </row>
    <row r="12" spans="2:20" x14ac:dyDescent="0.2">
      <c r="B12" s="3"/>
    </row>
    <row r="13" spans="2:20" ht="15" x14ac:dyDescent="0.25">
      <c r="B13" s="52" t="s">
        <v>160</v>
      </c>
    </row>
    <row r="14" spans="2:20" ht="15" x14ac:dyDescent="0.25">
      <c r="B14" s="52" t="s">
        <v>161</v>
      </c>
    </row>
    <row r="15" spans="2:20" x14ac:dyDescent="0.2">
      <c r="B15" s="3"/>
    </row>
    <row r="16" spans="2:20" ht="15" x14ac:dyDescent="0.25">
      <c r="B16" s="52" t="s">
        <v>166</v>
      </c>
    </row>
    <row r="17" spans="2:4" ht="15" x14ac:dyDescent="0.25">
      <c r="B17" s="52" t="s">
        <v>143</v>
      </c>
    </row>
    <row r="18" spans="2:4" ht="15" x14ac:dyDescent="0.25">
      <c r="B18" s="52" t="s">
        <v>123</v>
      </c>
    </row>
    <row r="19" spans="2:4" ht="15" x14ac:dyDescent="0.25">
      <c r="B19" s="20" t="s">
        <v>122</v>
      </c>
    </row>
    <row r="20" spans="2:4" ht="15" x14ac:dyDescent="0.25">
      <c r="B20" s="20"/>
    </row>
    <row r="21" spans="2:4" ht="14.25" x14ac:dyDescent="0.2">
      <c r="C21" s="2" t="s">
        <v>146</v>
      </c>
    </row>
    <row r="22" spans="2:4" ht="10.5" customHeight="1" x14ac:dyDescent="0.2">
      <c r="C22" s="2"/>
    </row>
    <row r="23" spans="2:4" ht="15" customHeight="1" x14ac:dyDescent="0.25">
      <c r="C23" s="20" t="s">
        <v>145</v>
      </c>
    </row>
    <row r="24" spans="2:4" ht="15" customHeight="1" x14ac:dyDescent="0.25">
      <c r="C24" s="20" t="s">
        <v>144</v>
      </c>
    </row>
    <row r="25" spans="2:4" ht="15" x14ac:dyDescent="0.25">
      <c r="C25" s="2"/>
      <c r="D25" s="20"/>
    </row>
    <row r="26" spans="2:4" ht="14.25" x14ac:dyDescent="0.2">
      <c r="C26" s="2" t="s">
        <v>153</v>
      </c>
    </row>
    <row r="27" spans="2:4" ht="112.5" customHeight="1" x14ac:dyDescent="0.25">
      <c r="C27" s="20"/>
    </row>
    <row r="28" spans="2:4" ht="14.25" x14ac:dyDescent="0.2">
      <c r="C28" s="2" t="s">
        <v>151</v>
      </c>
    </row>
    <row r="29" spans="2:4" ht="122.25" customHeight="1" x14ac:dyDescent="0.25">
      <c r="C29" s="20"/>
    </row>
    <row r="30" spans="2:4" ht="15" x14ac:dyDescent="0.25">
      <c r="B30" s="20"/>
    </row>
    <row r="31" spans="2:4" ht="14.25" x14ac:dyDescent="0.2">
      <c r="C31" s="2" t="s">
        <v>152</v>
      </c>
    </row>
    <row r="32" spans="2:4" ht="235.5" customHeight="1" x14ac:dyDescent="0.25">
      <c r="C32" s="20"/>
    </row>
    <row r="33" spans="2:3" ht="15" x14ac:dyDescent="0.25">
      <c r="B33" s="20"/>
    </row>
    <row r="34" spans="2:3" ht="15" x14ac:dyDescent="0.25">
      <c r="B34" s="52" t="s">
        <v>124</v>
      </c>
    </row>
    <row r="35" spans="2:3" ht="15" x14ac:dyDescent="0.25">
      <c r="B35" s="52"/>
      <c r="C35" s="58" t="s">
        <v>119</v>
      </c>
    </row>
    <row r="36" spans="2:3" ht="15" x14ac:dyDescent="0.25">
      <c r="B36" s="52" t="s">
        <v>116</v>
      </c>
    </row>
    <row r="37" spans="2:3" ht="15" x14ac:dyDescent="0.25">
      <c r="B37" s="20" t="s">
        <v>1</v>
      </c>
    </row>
    <row r="39" spans="2:3" ht="15" x14ac:dyDescent="0.25">
      <c r="B39" s="52" t="s">
        <v>137</v>
      </c>
    </row>
    <row r="41" spans="2:3" ht="15" x14ac:dyDescent="0.25">
      <c r="B41" s="52" t="s">
        <v>138</v>
      </c>
    </row>
    <row r="43" spans="2:3" ht="15" x14ac:dyDescent="0.25">
      <c r="B43" s="52" t="s">
        <v>162</v>
      </c>
    </row>
    <row r="45" spans="2:3" ht="15" x14ac:dyDescent="0.25">
      <c r="B45" s="52" t="s">
        <v>159</v>
      </c>
    </row>
    <row r="46" spans="2:3" ht="14.25" x14ac:dyDescent="0.2">
      <c r="C46" s="2" t="s">
        <v>142</v>
      </c>
    </row>
    <row r="47" spans="2:3" ht="14.25" x14ac:dyDescent="0.2">
      <c r="C47" s="2" t="s">
        <v>120</v>
      </c>
    </row>
    <row r="48" spans="2:3" ht="14.25" x14ac:dyDescent="0.2">
      <c r="C48" s="2" t="s">
        <v>121</v>
      </c>
    </row>
    <row r="50" spans="2:17" ht="15" x14ac:dyDescent="0.25">
      <c r="B50" s="52" t="s">
        <v>139</v>
      </c>
    </row>
    <row r="52" spans="2:17" x14ac:dyDescent="0.2">
      <c r="C52" s="3" t="s">
        <v>2</v>
      </c>
      <c r="D52" s="3"/>
      <c r="E52" s="3"/>
      <c r="F52" s="3"/>
      <c r="G52" s="24" t="s">
        <v>3</v>
      </c>
      <c r="H52" s="24"/>
      <c r="I52" s="15"/>
      <c r="J52" s="15"/>
      <c r="K52" s="15"/>
      <c r="L52" s="15"/>
      <c r="M52" s="15"/>
    </row>
    <row r="53" spans="2:17" x14ac:dyDescent="0.2">
      <c r="B53" s="3">
        <v>1</v>
      </c>
      <c r="C53" s="4" t="s">
        <v>127</v>
      </c>
      <c r="D53" s="5"/>
      <c r="E53" s="5"/>
      <c r="F53" s="5"/>
      <c r="G53" s="23" t="s">
        <v>157</v>
      </c>
      <c r="H53" s="23"/>
    </row>
    <row r="54" spans="2:17" x14ac:dyDescent="0.2">
      <c r="B54" s="3">
        <v>2</v>
      </c>
      <c r="C54" s="6" t="s">
        <v>156</v>
      </c>
      <c r="D54" s="23"/>
      <c r="E54" s="23"/>
      <c r="F54" s="23"/>
      <c r="G54" s="23" t="s">
        <v>158</v>
      </c>
      <c r="H54" s="23"/>
    </row>
    <row r="55" spans="2:17" x14ac:dyDescent="0.2">
      <c r="B55" s="3">
        <v>3</v>
      </c>
      <c r="C55" s="6" t="s">
        <v>135</v>
      </c>
      <c r="D55" s="23"/>
      <c r="E55" s="23"/>
      <c r="F55" s="23"/>
      <c r="G55" s="23" t="s">
        <v>136</v>
      </c>
      <c r="H55" s="23"/>
    </row>
    <row r="56" spans="2:17" x14ac:dyDescent="0.2">
      <c r="B56" s="3">
        <v>4</v>
      </c>
      <c r="C56" s="6" t="s">
        <v>128</v>
      </c>
      <c r="D56" s="23"/>
      <c r="E56" s="23"/>
      <c r="F56" s="23"/>
      <c r="G56" s="23" t="s">
        <v>4</v>
      </c>
      <c r="H56" s="23"/>
    </row>
    <row r="57" spans="2:17" x14ac:dyDescent="0.2">
      <c r="B57" s="3">
        <v>5</v>
      </c>
      <c r="C57" s="6" t="s">
        <v>129</v>
      </c>
      <c r="G57" s="1" t="s">
        <v>5</v>
      </c>
    </row>
    <row r="58" spans="2:17" x14ac:dyDescent="0.2">
      <c r="B58" s="3">
        <v>6</v>
      </c>
      <c r="C58" s="6" t="s">
        <v>130</v>
      </c>
      <c r="G58" s="1" t="s">
        <v>6</v>
      </c>
    </row>
    <row r="59" spans="2:17" x14ac:dyDescent="0.2">
      <c r="B59" s="3">
        <v>7</v>
      </c>
      <c r="C59" s="6" t="s">
        <v>131</v>
      </c>
      <c r="G59" s="1" t="s">
        <v>7</v>
      </c>
    </row>
    <row r="60" spans="2:17" x14ac:dyDescent="0.2">
      <c r="B60" s="3">
        <v>8</v>
      </c>
      <c r="C60" s="6" t="s">
        <v>132</v>
      </c>
      <c r="G60" s="1" t="s">
        <v>8</v>
      </c>
    </row>
    <row r="61" spans="2:17" x14ac:dyDescent="0.2">
      <c r="B61" s="3">
        <v>9</v>
      </c>
      <c r="C61" s="6" t="s">
        <v>133</v>
      </c>
      <c r="G61" s="1" t="s">
        <v>9</v>
      </c>
    </row>
    <row r="62" spans="2:17" x14ac:dyDescent="0.2">
      <c r="B62" s="3">
        <v>10</v>
      </c>
      <c r="C62" s="51" t="s">
        <v>134</v>
      </c>
      <c r="D62" s="15"/>
      <c r="E62" s="15"/>
      <c r="F62" s="15"/>
      <c r="G62" s="15" t="s">
        <v>10</v>
      </c>
      <c r="H62" s="15"/>
      <c r="I62" s="15"/>
      <c r="J62" s="15"/>
      <c r="K62" s="15"/>
      <c r="L62" s="15"/>
      <c r="M62" s="15"/>
    </row>
    <row r="64" spans="2:17" x14ac:dyDescent="0.2">
      <c r="C64" s="3" t="s">
        <v>83</v>
      </c>
      <c r="D64" s="3"/>
      <c r="E64" s="3"/>
      <c r="F64" s="3"/>
      <c r="G64" s="24" t="s">
        <v>3</v>
      </c>
      <c r="H64" s="24"/>
      <c r="I64" s="15"/>
      <c r="J64" s="15"/>
      <c r="K64" s="49" t="s">
        <v>98</v>
      </c>
      <c r="L64" s="49" t="s">
        <v>100</v>
      </c>
      <c r="M64" s="49" t="s">
        <v>101</v>
      </c>
      <c r="N64" s="49" t="s">
        <v>104</v>
      </c>
      <c r="O64" s="49" t="s">
        <v>107</v>
      </c>
      <c r="P64" s="49" t="s">
        <v>108</v>
      </c>
      <c r="Q64" s="49" t="s">
        <v>109</v>
      </c>
    </row>
    <row r="65" spans="2:17" x14ac:dyDescent="0.2">
      <c r="B65" s="3">
        <v>1</v>
      </c>
      <c r="C65" s="4" t="s">
        <v>11</v>
      </c>
      <c r="D65" s="5"/>
      <c r="E65" s="5"/>
      <c r="F65" s="5"/>
      <c r="G65" s="23" t="s">
        <v>12</v>
      </c>
      <c r="H65" s="23"/>
      <c r="K65" s="53" t="s">
        <v>99</v>
      </c>
      <c r="L65" s="53" t="s">
        <v>99</v>
      </c>
      <c r="M65" s="53" t="s">
        <v>99</v>
      </c>
      <c r="N65" s="53" t="s">
        <v>99</v>
      </c>
      <c r="O65" s="53" t="s">
        <v>99</v>
      </c>
      <c r="P65" s="53" t="s">
        <v>99</v>
      </c>
      <c r="Q65" s="53" t="s">
        <v>99</v>
      </c>
    </row>
    <row r="66" spans="2:17" x14ac:dyDescent="0.2">
      <c r="B66" s="3">
        <v>2</v>
      </c>
      <c r="C66" s="6" t="s">
        <v>102</v>
      </c>
      <c r="D66" s="23"/>
      <c r="E66" s="23"/>
      <c r="F66" s="23"/>
      <c r="G66" s="23" t="s">
        <v>103</v>
      </c>
      <c r="H66" s="23"/>
      <c r="K66" s="55"/>
      <c r="L66" s="55"/>
      <c r="M66" s="55" t="s">
        <v>99</v>
      </c>
      <c r="N66" s="55"/>
      <c r="O66" s="55"/>
      <c r="P66" s="55"/>
      <c r="Q66" s="55" t="s">
        <v>99</v>
      </c>
    </row>
    <row r="67" spans="2:17" x14ac:dyDescent="0.2">
      <c r="B67" s="3">
        <v>3</v>
      </c>
      <c r="C67" s="6" t="s">
        <v>13</v>
      </c>
      <c r="G67" s="1" t="s">
        <v>14</v>
      </c>
      <c r="K67" s="53" t="s">
        <v>99</v>
      </c>
      <c r="L67" s="53" t="s">
        <v>99</v>
      </c>
      <c r="M67" s="53" t="s">
        <v>99</v>
      </c>
      <c r="N67" s="53" t="s">
        <v>99</v>
      </c>
      <c r="O67" s="53" t="s">
        <v>99</v>
      </c>
      <c r="P67" s="53" t="s">
        <v>99</v>
      </c>
      <c r="Q67" s="53" t="s">
        <v>99</v>
      </c>
    </row>
    <row r="68" spans="2:17" x14ac:dyDescent="0.2">
      <c r="B68" s="3">
        <v>4</v>
      </c>
      <c r="C68" s="6" t="s">
        <v>94</v>
      </c>
      <c r="G68" s="1" t="s">
        <v>95</v>
      </c>
      <c r="K68" s="53" t="s">
        <v>99</v>
      </c>
      <c r="L68" s="53" t="s">
        <v>99</v>
      </c>
      <c r="M68" s="53" t="s">
        <v>99</v>
      </c>
      <c r="N68" s="53"/>
      <c r="O68" s="53" t="s">
        <v>99</v>
      </c>
      <c r="P68" s="53" t="s">
        <v>99</v>
      </c>
      <c r="Q68" s="53" t="s">
        <v>99</v>
      </c>
    </row>
    <row r="69" spans="2:17" x14ac:dyDescent="0.2">
      <c r="B69" s="3">
        <v>5</v>
      </c>
      <c r="C69" s="6" t="s">
        <v>19</v>
      </c>
      <c r="G69" s="1" t="s">
        <v>20</v>
      </c>
      <c r="K69" s="53" t="s">
        <v>99</v>
      </c>
      <c r="L69" s="53" t="s">
        <v>99</v>
      </c>
      <c r="M69" s="53" t="s">
        <v>99</v>
      </c>
      <c r="N69" s="53" t="s">
        <v>99</v>
      </c>
      <c r="O69" s="53" t="s">
        <v>99</v>
      </c>
      <c r="P69" s="53" t="s">
        <v>99</v>
      </c>
      <c r="Q69" s="53"/>
    </row>
    <row r="70" spans="2:17" x14ac:dyDescent="0.2">
      <c r="B70" s="3">
        <v>6</v>
      </c>
      <c r="C70" s="6" t="s">
        <v>17</v>
      </c>
      <c r="G70" s="1" t="s">
        <v>18</v>
      </c>
      <c r="K70" s="53" t="s">
        <v>99</v>
      </c>
      <c r="L70" s="53" t="s">
        <v>99</v>
      </c>
      <c r="M70" s="53" t="s">
        <v>99</v>
      </c>
      <c r="N70" s="53" t="s">
        <v>99</v>
      </c>
      <c r="O70" s="53" t="s">
        <v>99</v>
      </c>
      <c r="P70" s="53" t="s">
        <v>99</v>
      </c>
      <c r="Q70" s="53"/>
    </row>
    <row r="71" spans="2:17" x14ac:dyDescent="0.2">
      <c r="B71" s="3">
        <v>7</v>
      </c>
      <c r="C71" s="6" t="s">
        <v>22</v>
      </c>
      <c r="G71" s="1" t="s">
        <v>23</v>
      </c>
      <c r="K71" s="53" t="s">
        <v>99</v>
      </c>
      <c r="L71" s="53" t="s">
        <v>99</v>
      </c>
      <c r="M71" s="53" t="s">
        <v>99</v>
      </c>
      <c r="N71" s="53" t="s">
        <v>99</v>
      </c>
      <c r="O71" s="53" t="s">
        <v>99</v>
      </c>
      <c r="P71" s="53" t="s">
        <v>99</v>
      </c>
      <c r="Q71" s="53"/>
    </row>
    <row r="72" spans="2:17" x14ac:dyDescent="0.2">
      <c r="B72" s="3">
        <v>8</v>
      </c>
      <c r="C72" s="6" t="s">
        <v>15</v>
      </c>
      <c r="G72" s="1" t="s">
        <v>16</v>
      </c>
      <c r="K72" s="53" t="s">
        <v>99</v>
      </c>
      <c r="L72" s="53" t="s">
        <v>99</v>
      </c>
      <c r="M72" s="53" t="s">
        <v>99</v>
      </c>
      <c r="N72" s="53" t="s">
        <v>99</v>
      </c>
      <c r="O72" s="53" t="s">
        <v>99</v>
      </c>
      <c r="P72" s="53" t="s">
        <v>99</v>
      </c>
      <c r="Q72" s="53"/>
    </row>
    <row r="73" spans="2:17" x14ac:dyDescent="0.2">
      <c r="B73" s="3">
        <v>9</v>
      </c>
      <c r="C73" s="6" t="s">
        <v>21</v>
      </c>
      <c r="G73" s="1" t="s">
        <v>93</v>
      </c>
      <c r="K73" s="53" t="s">
        <v>99</v>
      </c>
      <c r="L73" s="53" t="s">
        <v>99</v>
      </c>
      <c r="M73" s="53" t="s">
        <v>99</v>
      </c>
      <c r="N73" s="53" t="s">
        <v>99</v>
      </c>
      <c r="O73" s="53" t="s">
        <v>99</v>
      </c>
      <c r="P73" s="53" t="s">
        <v>99</v>
      </c>
      <c r="Q73" s="53"/>
    </row>
    <row r="74" spans="2:17" x14ac:dyDescent="0.2">
      <c r="B74" s="3">
        <v>10</v>
      </c>
      <c r="C74" s="6" t="s">
        <v>96</v>
      </c>
      <c r="G74" s="1" t="s">
        <v>97</v>
      </c>
      <c r="K74" s="53" t="s">
        <v>99</v>
      </c>
      <c r="L74" s="53" t="s">
        <v>99</v>
      </c>
      <c r="M74" s="53" t="s">
        <v>99</v>
      </c>
      <c r="N74" s="53" t="s">
        <v>99</v>
      </c>
      <c r="O74" s="53" t="s">
        <v>99</v>
      </c>
      <c r="P74" s="53" t="s">
        <v>99</v>
      </c>
      <c r="Q74" s="53"/>
    </row>
    <row r="75" spans="2:17" x14ac:dyDescent="0.2">
      <c r="B75" s="3">
        <v>11</v>
      </c>
      <c r="C75" s="6" t="s">
        <v>84</v>
      </c>
      <c r="G75" s="1" t="s">
        <v>86</v>
      </c>
      <c r="K75" s="53" t="s">
        <v>99</v>
      </c>
      <c r="L75" s="53" t="s">
        <v>99</v>
      </c>
      <c r="M75" s="53" t="s">
        <v>99</v>
      </c>
      <c r="N75" s="53" t="s">
        <v>99</v>
      </c>
      <c r="O75" s="53"/>
      <c r="P75" s="53"/>
      <c r="Q75" s="53"/>
    </row>
    <row r="76" spans="2:17" x14ac:dyDescent="0.2">
      <c r="B76" s="3">
        <v>12</v>
      </c>
      <c r="C76" s="6" t="s">
        <v>85</v>
      </c>
      <c r="G76" s="1" t="s">
        <v>87</v>
      </c>
      <c r="K76" s="53"/>
      <c r="L76" s="53"/>
      <c r="M76" s="53"/>
      <c r="N76" s="53"/>
      <c r="O76" s="53" t="s">
        <v>99</v>
      </c>
      <c r="P76" s="53" t="s">
        <v>99</v>
      </c>
      <c r="Q76" s="53"/>
    </row>
    <row r="77" spans="2:17" x14ac:dyDescent="0.2">
      <c r="B77" s="3">
        <v>13</v>
      </c>
      <c r="C77" s="6" t="s">
        <v>105</v>
      </c>
      <c r="G77" s="1" t="s">
        <v>106</v>
      </c>
      <c r="K77" s="53"/>
      <c r="L77" s="53"/>
      <c r="M77" s="53"/>
      <c r="N77" s="53" t="s">
        <v>99</v>
      </c>
      <c r="O77" s="53"/>
      <c r="P77" s="53"/>
      <c r="Q77" s="53"/>
    </row>
    <row r="78" spans="2:17" x14ac:dyDescent="0.2">
      <c r="B78" s="3">
        <v>14</v>
      </c>
      <c r="C78" s="6" t="s">
        <v>76</v>
      </c>
      <c r="G78" s="1" t="s">
        <v>110</v>
      </c>
      <c r="K78" s="53"/>
      <c r="L78" s="53"/>
      <c r="M78" s="53"/>
      <c r="N78" s="53" t="s">
        <v>99</v>
      </c>
      <c r="O78" s="53"/>
      <c r="P78" s="53"/>
      <c r="Q78" s="53" t="s">
        <v>99</v>
      </c>
    </row>
    <row r="79" spans="2:17" x14ac:dyDescent="0.2">
      <c r="B79" s="3">
        <v>15</v>
      </c>
      <c r="C79" s="6" t="s">
        <v>111</v>
      </c>
      <c r="G79" s="1" t="s">
        <v>112</v>
      </c>
      <c r="K79" s="53"/>
      <c r="L79" s="53"/>
      <c r="M79" s="53"/>
      <c r="N79" s="53" t="s">
        <v>99</v>
      </c>
      <c r="O79" s="53"/>
      <c r="P79" s="53"/>
      <c r="Q79" s="53" t="s">
        <v>99</v>
      </c>
    </row>
    <row r="80" spans="2:17" x14ac:dyDescent="0.2">
      <c r="B80" s="3">
        <v>16</v>
      </c>
      <c r="C80" s="51" t="s">
        <v>77</v>
      </c>
      <c r="D80" s="15"/>
      <c r="E80" s="15"/>
      <c r="F80" s="15"/>
      <c r="G80" s="15" t="s">
        <v>113</v>
      </c>
      <c r="H80" s="15"/>
      <c r="I80" s="15"/>
      <c r="J80" s="15"/>
      <c r="K80" s="54"/>
      <c r="L80" s="54"/>
      <c r="M80" s="54"/>
      <c r="N80" s="54"/>
      <c r="O80" s="54"/>
      <c r="P80" s="54"/>
      <c r="Q80" s="54" t="s">
        <v>99</v>
      </c>
    </row>
    <row r="81" spans="2:17" x14ac:dyDescent="0.2">
      <c r="K81" s="50"/>
      <c r="L81" s="50"/>
      <c r="M81" s="50"/>
      <c r="N81" s="50"/>
      <c r="O81" s="50"/>
      <c r="P81" s="50"/>
      <c r="Q81" s="50"/>
    </row>
    <row r="83" spans="2:17" ht="15" x14ac:dyDescent="0.25">
      <c r="B83" s="52" t="s">
        <v>148</v>
      </c>
    </row>
    <row r="85" spans="2:17" x14ac:dyDescent="0.2">
      <c r="B85" s="1" t="s">
        <v>164</v>
      </c>
    </row>
    <row r="86" spans="2:17" x14ac:dyDescent="0.2">
      <c r="B86" s="1" t="s">
        <v>149</v>
      </c>
    </row>
    <row r="88" spans="2:17" x14ac:dyDescent="0.2">
      <c r="B88" s="1" t="s">
        <v>165</v>
      </c>
    </row>
    <row r="89" spans="2:17" x14ac:dyDescent="0.2">
      <c r="B89" s="1" t="s">
        <v>150</v>
      </c>
    </row>
    <row r="90" spans="2:17" x14ac:dyDescent="0.2">
      <c r="B90" s="1" t="s">
        <v>163</v>
      </c>
    </row>
  </sheetData>
  <hyperlinks>
    <hyperlink ref="B37" r:id="rId1" location="!/recursos" xr:uid="{DA1103D1-9D1F-4D87-9202-F9DA2AE670CE}"/>
    <hyperlink ref="B19" r:id="rId2" xr:uid="{7839D278-2CAE-4EBD-922D-881BD8BD2FFA}"/>
    <hyperlink ref="B11" r:id="rId3" xr:uid="{0CA12136-B78A-4FD3-8A9B-DB9EB625EAE0}"/>
    <hyperlink ref="C24" r:id="rId4" xr:uid="{051EBEE5-2901-4F57-93F9-55C6FC17D3D2}"/>
    <hyperlink ref="C23" r:id="rId5" xr:uid="{4AFAA2F9-CA0D-43BC-B68F-998AB7EFBD94}"/>
  </hyperlinks>
  <pageMargins left="0.511811024" right="0.511811024" top="0.78740157499999996" bottom="0.78740157499999996" header="0.31496062000000002" footer="0.31496062000000002"/>
  <pageSetup paperSize="9"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526E9-3825-4911-B348-967FB4300425}">
  <sheetPr codeName="Planilha10"/>
  <dimension ref="A1:AC461"/>
  <sheetViews>
    <sheetView showGridLines="0" workbookViewId="0"/>
  </sheetViews>
  <sheetFormatPr defaultRowHeight="12.75" x14ac:dyDescent="0.2"/>
  <cols>
    <col min="1" max="1" width="16" style="1" customWidth="1"/>
    <col min="2" max="3" width="10.140625" style="1" bestFit="1" customWidth="1"/>
    <col min="4" max="4" width="29.42578125" style="1" customWidth="1"/>
    <col min="5" max="6" width="10.140625" style="1" hidden="1" customWidth="1"/>
    <col min="7" max="7" width="12" style="1" hidden="1" customWidth="1"/>
    <col min="8" max="8" width="1.7109375" style="1" customWidth="1"/>
    <col min="9" max="14" width="9.85546875" style="1" customWidth="1"/>
    <col min="15" max="15" width="1.7109375" style="1" customWidth="1"/>
    <col min="16" max="21" width="9.85546875" style="1" customWidth="1"/>
    <col min="22" max="16384" width="9.140625" style="1"/>
  </cols>
  <sheetData>
    <row r="1" spans="1:29" ht="15.75" x14ac:dyDescent="0.25">
      <c r="A1" s="9" t="s">
        <v>80</v>
      </c>
      <c r="E1" s="10"/>
      <c r="F1" s="10"/>
      <c r="G1" s="11"/>
      <c r="H1" s="11"/>
    </row>
    <row r="2" spans="1:29" x14ac:dyDescent="0.2">
      <c r="D2" s="12" t="s">
        <v>26</v>
      </c>
      <c r="E2" s="25" t="s">
        <v>11</v>
      </c>
      <c r="F2" s="25" t="s">
        <v>27</v>
      </c>
      <c r="G2" s="25" t="s">
        <v>28</v>
      </c>
      <c r="H2" s="25"/>
      <c r="I2" s="13">
        <f>DATE(YEAR($B$3),1,1)</f>
        <v>44197</v>
      </c>
      <c r="J2" s="13"/>
      <c r="K2" s="3"/>
      <c r="L2" s="3"/>
      <c r="M2" s="3"/>
      <c r="N2" s="3"/>
      <c r="O2" s="3"/>
      <c r="P2" s="21">
        <f>DATE(YEAR(I2)+1,1,1)</f>
        <v>44562</v>
      </c>
      <c r="Q2" s="13"/>
      <c r="R2" s="3"/>
      <c r="S2" s="3"/>
      <c r="T2" s="3"/>
      <c r="U2" s="3"/>
    </row>
    <row r="3" spans="1:29" x14ac:dyDescent="0.2">
      <c r="A3" s="3" t="s">
        <v>29</v>
      </c>
      <c r="B3" s="14">
        <v>44540</v>
      </c>
      <c r="I3" s="47" t="s">
        <v>30</v>
      </c>
      <c r="J3" s="47" t="s">
        <v>31</v>
      </c>
      <c r="K3" s="47" t="s">
        <v>32</v>
      </c>
      <c r="L3" s="47" t="s">
        <v>33</v>
      </c>
      <c r="M3" s="47" t="s">
        <v>34</v>
      </c>
      <c r="N3" s="47" t="s">
        <v>33</v>
      </c>
      <c r="O3" s="47"/>
      <c r="P3" s="48" t="s">
        <v>30</v>
      </c>
      <c r="Q3" s="47" t="s">
        <v>31</v>
      </c>
      <c r="R3" s="47" t="s">
        <v>32</v>
      </c>
      <c r="S3" s="47" t="s">
        <v>33</v>
      </c>
      <c r="T3" s="47" t="s">
        <v>34</v>
      </c>
      <c r="U3" s="47" t="s">
        <v>33</v>
      </c>
    </row>
    <row r="4" spans="1:29" x14ac:dyDescent="0.2">
      <c r="D4" s="31" t="s">
        <v>35</v>
      </c>
      <c r="E4" s="31" t="s">
        <v>36</v>
      </c>
      <c r="F4" s="31"/>
      <c r="G4" s="32" t="s">
        <v>17</v>
      </c>
      <c r="H4" s="32"/>
      <c r="I4" s="33" cm="1">
        <f t="array" ref="I4">xlFOCUS_IfError(xlFOCUS_ExpectativasAnuais($E4,$F4,I$2,$B$3-28,$B$3-28,0,$G4),"-")</f>
        <v>9.7736999999999998</v>
      </c>
      <c r="J4" s="33" cm="1">
        <f t="array" ref="J4">xlFOCUS_IfError(xlFOCUS_ExpectativasAnuais($E4,$F4,I$2,$B$3-7,$B$3-7,0,$G4),"-")</f>
        <v>10.180999999999999</v>
      </c>
      <c r="K4" s="33" cm="1">
        <f t="array" ref="K4">xlFOCUS_IfError(xlFOCUS_ExpectativasAnuais($E4,$F4,I$2,$B$3,$B$3,0,$G4),"-")</f>
        <v>10.0501</v>
      </c>
      <c r="L4" s="34" cm="1">
        <f t="array" ref="L4">xlFOCUS_IfError(xlFOCUS_ExpectativasAnuais($E4,$F4,I$2,$B$3,$B$3,0,"numeroRespondentes"),"-")</f>
        <v>135</v>
      </c>
      <c r="M4" s="33" cm="1">
        <f t="array" ref="M4">xlFOCUS_IfError(xlFOCUS_ExpectativasAnuais($E4,$F4,I$2,$B$3,$B$3,1,$G4),"-")</f>
        <v>10.0299</v>
      </c>
      <c r="N4" s="34" cm="1">
        <f t="array" ref="N4">xlFOCUS_IfError(xlFOCUS_ExpectativasAnuais($E4,$F4,I$2,$B$3,$B$3,1,"numeroRespondentes"),"-")</f>
        <v>56</v>
      </c>
      <c r="O4" s="33"/>
      <c r="P4" s="35" cm="1">
        <f t="array" ref="P4">xlFOCUS_IfError(xlFOCUS_ExpectativasAnuais($E4,$F4,P$2,$B$3-28,$B$3-28,0,$G4),"-")</f>
        <v>4.7910000000000004</v>
      </c>
      <c r="Q4" s="33" cm="1">
        <f t="array" ref="Q4">xlFOCUS_IfError(xlFOCUS_ExpectativasAnuais($E4,$F4,P$2,$B$3-7,$B$3-7,0,$G4),"-")</f>
        <v>5.0228999999999999</v>
      </c>
      <c r="R4" s="33" cm="1">
        <f t="array" ref="R4">xlFOCUS_IfError(xlFOCUS_ExpectativasAnuais($E4,$F4,P$2,$B$3,$B$3,0,$G4),"-")</f>
        <v>5.0210999999999997</v>
      </c>
      <c r="S4" s="34" cm="1">
        <f t="array" ref="S4">xlFOCUS_IfError(xlFOCUS_ExpectativasAnuais($E4,$F4,P$2,$B$3,$B$3,0,"numeroRespondentes"),"-")</f>
        <v>135</v>
      </c>
      <c r="T4" s="33" cm="1">
        <f t="array" ref="T4">xlFOCUS_IfError(xlFOCUS_ExpectativasAnuais($E4,$F4,P$2,$B$3,$B$3,1,$G4),"-")</f>
        <v>5.0053999999999998</v>
      </c>
      <c r="U4" s="34" cm="1">
        <f t="array" ref="U4">xlFOCUS_IfError(xlFOCUS_ExpectativasAnuais($E4,$F4,P$2,$B$3,$B$3,1,"numeroRespondentes"),"-")</f>
        <v>56</v>
      </c>
    </row>
    <row r="5" spans="1:29" x14ac:dyDescent="0.2">
      <c r="D5" s="26" t="s">
        <v>37</v>
      </c>
      <c r="E5" s="26" t="s">
        <v>38</v>
      </c>
      <c r="F5" s="26"/>
      <c r="G5" s="27" t="s">
        <v>17</v>
      </c>
      <c r="H5" s="27"/>
      <c r="I5" s="28" cm="1">
        <f t="array" ref="I5">xlFOCUS_IfError(xlFOCUS_ExpectativasAnuais($E5,$F5,I$2,$B$3-28,$B$3-28,0,$G5),"-")</f>
        <v>4.8833000000000002</v>
      </c>
      <c r="J5" s="28" cm="1">
        <f t="array" ref="J5">xlFOCUS_IfError(xlFOCUS_ExpectativasAnuais($E5,$F5,I$2,$B$3-7,$B$3-7,0,$G5),"-")</f>
        <v>4.7107000000000001</v>
      </c>
      <c r="K5" s="28" cm="1">
        <f t="array" ref="K5">xlFOCUS_IfError(xlFOCUS_ExpectativasAnuais($E5,$F5,I$2,$B$3,$B$3,0,$G5),"-")</f>
        <v>4.6483999999999996</v>
      </c>
      <c r="L5" s="29" cm="1">
        <f t="array" ref="L5">xlFOCUS_IfError(xlFOCUS_ExpectativasAnuais($E5,$F5,I$2,$B$3,$B$3,0,"numeroRespondentes"),"-")</f>
        <v>88</v>
      </c>
      <c r="M5" s="28" cm="1">
        <f t="array" ref="M5">xlFOCUS_IfError(xlFOCUS_ExpectativasAnuais($E5,$F5,I$2,$B$3,$B$3,1,$G5),"-")</f>
        <v>4.5602999999999998</v>
      </c>
      <c r="N5" s="29" cm="1">
        <f t="array" ref="N5">xlFOCUS_IfError(xlFOCUS_ExpectativasAnuais($E5,$F5,I$2,$B$3,$B$3,1,"numeroRespondentes"),"-")</f>
        <v>36</v>
      </c>
      <c r="O5" s="28"/>
      <c r="P5" s="30" cm="1">
        <f t="array" ref="P5">xlFOCUS_IfError(xlFOCUS_ExpectativasAnuais($E5,$F5,P$2,$B$3-28,$B$3-28,0,$G5),"-")</f>
        <v>0.92669999999999997</v>
      </c>
      <c r="Q5" s="28" cm="1">
        <f t="array" ref="Q5">xlFOCUS_IfError(xlFOCUS_ExpectativasAnuais($E5,$F5,P$2,$B$3-7,$B$3-7,0,$G5),"-")</f>
        <v>0.51100000000000001</v>
      </c>
      <c r="R5" s="28" cm="1">
        <f t="array" ref="R5">xlFOCUS_IfError(xlFOCUS_ExpectativasAnuais($E5,$F5,P$2,$B$3,$B$3,0,$G5),"-")</f>
        <v>0.5</v>
      </c>
      <c r="S5" s="29" cm="1">
        <f t="array" ref="S5">xlFOCUS_IfError(xlFOCUS_ExpectativasAnuais($E5,$F5,P$2,$B$3,$B$3,0,"numeroRespondentes"),"-")</f>
        <v>86</v>
      </c>
      <c r="T5" s="28" cm="1">
        <f t="array" ref="T5">xlFOCUS_IfError(xlFOCUS_ExpectativasAnuais($E5,$F5,P$2,$B$3,$B$3,1,$G5),"-")</f>
        <v>0.36070000000000002</v>
      </c>
      <c r="U5" s="29" cm="1">
        <f t="array" ref="U5">xlFOCUS_IfError(xlFOCUS_ExpectativasAnuais($E5,$F5,P$2,$B$3,$B$3,1,"numeroRespondentes"),"-")</f>
        <v>35</v>
      </c>
    </row>
    <row r="6" spans="1:29" x14ac:dyDescent="0.2">
      <c r="D6" s="31" t="s">
        <v>39</v>
      </c>
      <c r="E6" s="31" t="s">
        <v>40</v>
      </c>
      <c r="F6" s="31"/>
      <c r="G6" s="32" t="s">
        <v>17</v>
      </c>
      <c r="H6" s="32"/>
      <c r="I6" s="33" cm="1">
        <f t="array" ref="I6">xlFOCUS_IfError(xlFOCUS_ExpectativasAnuais($E6,$F6,I$2,$B$3-28,$B$3-28,0,$G6),"-")</f>
        <v>5.5</v>
      </c>
      <c r="J6" s="33" cm="1">
        <f t="array" ref="J6">xlFOCUS_IfError(xlFOCUS_ExpectativasAnuais($E6,$F6,I$2,$B$3-7,$B$3-7,0,$G6),"-")</f>
        <v>5.5549999999999997</v>
      </c>
      <c r="K6" s="33" cm="1">
        <f t="array" ref="K6">xlFOCUS_IfError(xlFOCUS_ExpectativasAnuais($E6,$F6,I$2,$B$3,$B$3,0,$G6),"-")</f>
        <v>5.5907</v>
      </c>
      <c r="L6" s="34" cm="1">
        <f t="array" ref="L6">xlFOCUS_IfError(xlFOCUS_ExpectativasAnuais($E6,$F6,I$2,$B$3,$B$3,0,"numeroRespondentes"),"-")</f>
        <v>111</v>
      </c>
      <c r="M6" s="33" cm="1">
        <f t="array" ref="M6">xlFOCUS_IfError(xlFOCUS_ExpectativasAnuais($E6,$F6,I$2,$B$3,$B$3,1,$G6),"-")</f>
        <v>5.59</v>
      </c>
      <c r="N6" s="34" cm="1">
        <f t="array" ref="N6">xlFOCUS_IfError(xlFOCUS_ExpectativasAnuais($E6,$F6,I$2,$B$3,$B$3,1,"numeroRespondentes"),"-")</f>
        <v>42</v>
      </c>
      <c r="O6" s="33"/>
      <c r="P6" s="35" cm="1">
        <f t="array" ref="P6">xlFOCUS_IfError(xlFOCUS_ExpectativasAnuais($E6,$F6,P$2,$B$3-28,$B$3-28,0,$G6),"-")</f>
        <v>5.5</v>
      </c>
      <c r="Q6" s="33" cm="1">
        <f t="array" ref="Q6">xlFOCUS_IfError(xlFOCUS_ExpectativasAnuais($E6,$F6,P$2,$B$3-7,$B$3-7,0,$G6),"-")</f>
        <v>5.55</v>
      </c>
      <c r="R6" s="33" cm="1">
        <f t="array" ref="R6">xlFOCUS_IfError(xlFOCUS_ExpectativasAnuais($E6,$F6,P$2,$B$3,$B$3,0,$G6),"-")</f>
        <v>5.55</v>
      </c>
      <c r="S6" s="34" cm="1">
        <f t="array" ref="S6">xlFOCUS_IfError(xlFOCUS_ExpectativasAnuais($E6,$F6,P$2,$B$3,$B$3,0,"numeroRespondentes"),"-")</f>
        <v>110</v>
      </c>
      <c r="T6" s="33" cm="1">
        <f t="array" ref="T6">xlFOCUS_IfError(xlFOCUS_ExpectativasAnuais($E6,$F6,P$2,$B$3,$B$3,1,$G6),"-")</f>
        <v>5.6</v>
      </c>
      <c r="U6" s="34" cm="1">
        <f t="array" ref="U6">xlFOCUS_IfError(xlFOCUS_ExpectativasAnuais($E6,$F6,P$2,$B$3,$B$3,1,"numeroRespondentes"),"-")</f>
        <v>42</v>
      </c>
    </row>
    <row r="7" spans="1:29" x14ac:dyDescent="0.2">
      <c r="D7" s="26" t="s">
        <v>41</v>
      </c>
      <c r="E7" s="26" t="s">
        <v>42</v>
      </c>
      <c r="F7" s="26"/>
      <c r="G7" s="27" t="s">
        <v>17</v>
      </c>
      <c r="H7" s="27"/>
      <c r="I7" s="28" cm="1">
        <f t="array" ref="I7">xlFOCUS_IfError(xlFOCUS_ExpectativasAnuais($E7,$F7,I$2,$B$3-28,$B$3-28,0,$G7),"-")</f>
        <v>9.25</v>
      </c>
      <c r="J7" s="28" cm="1">
        <f t="array" ref="J7">xlFOCUS_IfError(xlFOCUS_ExpectativasAnuais($E7,$F7,I$2,$B$3-7,$B$3-7,0,$G7),"-")</f>
        <v>9.25</v>
      </c>
      <c r="K7" s="28" t="str" cm="1">
        <f t="array" ref="K7">xlFOCUS_IfError(xlFOCUS_ExpectativasAnuais($E7,$F7,I$2,$B$3,$B$3,0,$G7),"-")</f>
        <v>-</v>
      </c>
      <c r="L7" s="29" t="str" cm="1">
        <f t="array" ref="L7">xlFOCUS_IfError(xlFOCUS_ExpectativasAnuais($E7,$F7,I$2,$B$3,$B$3,0,"numeroRespondentes"),"-")</f>
        <v>-</v>
      </c>
      <c r="M7" s="28" t="str" cm="1">
        <f t="array" ref="M7">xlFOCUS_IfError(xlFOCUS_ExpectativasAnuais($E7,$F7,I$2,$B$3,$B$3,1,$G7),"-")</f>
        <v>-</v>
      </c>
      <c r="N7" s="29" t="str" cm="1">
        <f t="array" ref="N7">xlFOCUS_IfError(xlFOCUS_ExpectativasAnuais($E7,$F7,I$2,$B$3,$B$3,1,"numeroRespondentes"),"-")</f>
        <v>-</v>
      </c>
      <c r="O7" s="28"/>
      <c r="P7" s="30" cm="1">
        <f t="array" ref="P7">xlFOCUS_IfError(xlFOCUS_ExpectativasAnuais($E7,$F7,P$2,$B$3-28,$B$3-28,0,$G7),"-")</f>
        <v>11</v>
      </c>
      <c r="Q7" s="28" cm="1">
        <f t="array" ref="Q7">xlFOCUS_IfError(xlFOCUS_ExpectativasAnuais($E7,$F7,P$2,$B$3-7,$B$3-7,0,$G7),"-")</f>
        <v>11.25</v>
      </c>
      <c r="R7" s="28" cm="1">
        <f t="array" ref="R7">xlFOCUS_IfError(xlFOCUS_ExpectativasAnuais($E7,$F7,P$2,$B$3,$B$3,0,$G7),"-")</f>
        <v>11.5</v>
      </c>
      <c r="S7" s="29" cm="1">
        <f t="array" ref="S7">xlFOCUS_IfError(xlFOCUS_ExpectativasAnuais($E7,$F7,P$2,$B$3,$B$3,0,"numeroRespondentes"),"-")</f>
        <v>123</v>
      </c>
      <c r="T7" s="28" cm="1">
        <f t="array" ref="T7">xlFOCUS_IfError(xlFOCUS_ExpectativasAnuais($E7,$F7,P$2,$B$3,$B$3,1,$G7),"-")</f>
        <v>11.5</v>
      </c>
      <c r="U7" s="29" cm="1">
        <f t="array" ref="U7">xlFOCUS_IfError(xlFOCUS_ExpectativasAnuais($E7,$F7,P$2,$B$3,$B$3,1,"numeroRespondentes"),"-")</f>
        <v>48</v>
      </c>
    </row>
    <row r="8" spans="1:29" x14ac:dyDescent="0.2">
      <c r="D8" s="31" t="s">
        <v>43</v>
      </c>
      <c r="E8" s="31" t="s">
        <v>44</v>
      </c>
      <c r="F8" s="31"/>
      <c r="G8" s="32" t="s">
        <v>17</v>
      </c>
      <c r="H8" s="32"/>
      <c r="I8" s="33" cm="1">
        <f t="array" ref="I8">xlFOCUS_IfError(xlFOCUS_ExpectativasAnuais($E8,$F8,I$2,$B$3-28,$B$3-28,0,$G8),"-")</f>
        <v>18.537199999999999</v>
      </c>
      <c r="J8" s="33" cm="1">
        <f t="array" ref="J8">xlFOCUS_IfError(xlFOCUS_ExpectativasAnuais($E8,$F8,I$2,$B$3-7,$B$3-7,0,$G8),"-")</f>
        <v>17.466999999999999</v>
      </c>
      <c r="K8" s="33" cm="1">
        <f t="array" ref="K8">xlFOCUS_IfError(xlFOCUS_ExpectativasAnuais($E8,$F8,I$2,$B$3,$B$3,0,$G8),"-")</f>
        <v>17.466999999999999</v>
      </c>
      <c r="L8" s="34" cm="1">
        <f t="array" ref="L8">xlFOCUS_IfError(xlFOCUS_ExpectativasAnuais($E8,$F8,I$2,$B$3,$B$3,0,"numeroRespondentes"),"-")</f>
        <v>83</v>
      </c>
      <c r="M8" s="33" cm="1">
        <f t="array" ref="M8">xlFOCUS_IfError(xlFOCUS_ExpectativasAnuais($E8,$F8,I$2,$B$3,$B$3,1,$G8),"-")</f>
        <v>17.350200000000001</v>
      </c>
      <c r="N8" s="34" cm="1">
        <f t="array" ref="N8">xlFOCUS_IfError(xlFOCUS_ExpectativasAnuais($E8,$F8,I$2,$B$3,$B$3,1,"numeroRespondentes"),"-")</f>
        <v>25</v>
      </c>
      <c r="O8" s="33"/>
      <c r="P8" s="35" cm="1">
        <f t="array" ref="P8">xlFOCUS_IfError(xlFOCUS_ExpectativasAnuais($E8,$F8,P$2,$B$3-28,$B$3-28,0,$G8),"-")</f>
        <v>5.3777999999999997</v>
      </c>
      <c r="Q8" s="33" cm="1">
        <f t="array" ref="Q8">xlFOCUS_IfError(xlFOCUS_ExpectativasAnuais($E8,$F8,P$2,$B$3-7,$B$3-7,0,$G8),"-")</f>
        <v>5.4</v>
      </c>
      <c r="R8" s="33" cm="1">
        <f t="array" ref="R8">xlFOCUS_IfError(xlFOCUS_ExpectativasAnuais($E8,$F8,P$2,$B$3,$B$3,0,$G8),"-")</f>
        <v>5.4086999999999996</v>
      </c>
      <c r="S8" s="34" cm="1">
        <f t="array" ref="S8">xlFOCUS_IfError(xlFOCUS_ExpectativasAnuais($E8,$F8,P$2,$B$3,$B$3,0,"numeroRespondentes"),"-")</f>
        <v>81</v>
      </c>
      <c r="T8" s="33" cm="1">
        <f t="array" ref="T8">xlFOCUS_IfError(xlFOCUS_ExpectativasAnuais($E8,$F8,P$2,$B$3,$B$3,1,$G8),"-")</f>
        <v>5.0278999999999998</v>
      </c>
      <c r="U8" s="34" cm="1">
        <f t="array" ref="U8">xlFOCUS_IfError(xlFOCUS_ExpectativasAnuais($E8,$F8,P$2,$B$3,$B$3,1,"numeroRespondentes"),"-")</f>
        <v>25</v>
      </c>
    </row>
    <row r="9" spans="1:29" x14ac:dyDescent="0.2">
      <c r="D9" s="26" t="s">
        <v>45</v>
      </c>
      <c r="E9" s="26" t="s">
        <v>46</v>
      </c>
      <c r="F9" s="26"/>
      <c r="G9" s="27" t="s">
        <v>17</v>
      </c>
      <c r="H9" s="27"/>
      <c r="I9" s="28" cm="1">
        <f t="array" ref="I9">xlFOCUS_IfError(xlFOCUS_ExpectativasAnuais($E9,$F9,I$2,$B$3-28,$B$3-28,0,$G9),"-")</f>
        <v>15.7409</v>
      </c>
      <c r="J9" s="28" cm="1">
        <f t="array" ref="J9">xlFOCUS_IfError(xlFOCUS_ExpectativasAnuais($E9,$F9,I$2,$B$3-7,$B$3-7,0,$G9),"-")</f>
        <v>17.027799999999999</v>
      </c>
      <c r="K9" s="28" cm="1">
        <f t="array" ref="K9">xlFOCUS_IfError(xlFOCUS_ExpectativasAnuais($E9,$F9,I$2,$B$3,$B$3,0,$G9),"-")</f>
        <v>17.278500000000001</v>
      </c>
      <c r="L9" s="29" cm="1">
        <f t="array" ref="L9">xlFOCUS_IfError(xlFOCUS_ExpectativasAnuais($E9,$F9,I$2,$B$3,$B$3,0,"numeroRespondentes"),"-")</f>
        <v>67</v>
      </c>
      <c r="M9" s="28" cm="1">
        <f t="array" ref="M9">xlFOCUS_IfError(xlFOCUS_ExpectativasAnuais($E9,$F9,I$2,$B$3,$B$3,1,$G9),"-")</f>
        <v>17.173300000000001</v>
      </c>
      <c r="N9" s="29" cm="1">
        <f t="array" ref="N9">xlFOCUS_IfError(xlFOCUS_ExpectativasAnuais($E9,$F9,I$2,$B$3,$B$3,1,"numeroRespondentes"),"-")</f>
        <v>21</v>
      </c>
      <c r="O9" s="28"/>
      <c r="P9" s="30" cm="1">
        <f t="array" ref="P9">xlFOCUS_IfError(xlFOCUS_ExpectativasAnuais($E9,$F9,P$2,$B$3-28,$B$3-28,0,$G9),"-")</f>
        <v>4.4008000000000003</v>
      </c>
      <c r="Q9" s="28" cm="1">
        <f t="array" ref="Q9">xlFOCUS_IfError(xlFOCUS_ExpectativasAnuais($E9,$F9,P$2,$B$3-7,$B$3-7,0,$G9),"-")</f>
        <v>4.2896999999999998</v>
      </c>
      <c r="R9" s="28" cm="1">
        <f t="array" ref="R9">xlFOCUS_IfError(xlFOCUS_ExpectativasAnuais($E9,$F9,P$2,$B$3,$B$3,0,$G9),"-")</f>
        <v>4.3562000000000003</v>
      </c>
      <c r="S9" s="29" cm="1">
        <f t="array" ref="S9">xlFOCUS_IfError(xlFOCUS_ExpectativasAnuais($E9,$F9,P$2,$B$3,$B$3,0,"numeroRespondentes"),"-")</f>
        <v>65</v>
      </c>
      <c r="T9" s="28" cm="1">
        <f t="array" ref="T9">xlFOCUS_IfError(xlFOCUS_ExpectativasAnuais($E9,$F9,P$2,$B$3,$B$3,1,$G9),"-")</f>
        <v>4.4080000000000004</v>
      </c>
      <c r="U9" s="29" cm="1">
        <f t="array" ref="U9">xlFOCUS_IfError(xlFOCUS_ExpectativasAnuais($E9,$F9,P$2,$B$3,$B$3,1,"numeroRespondentes"),"-")</f>
        <v>20</v>
      </c>
    </row>
    <row r="10" spans="1:29" x14ac:dyDescent="0.2">
      <c r="D10" s="36" t="s">
        <v>47</v>
      </c>
      <c r="E10" s="36" t="s">
        <v>48</v>
      </c>
      <c r="F10" s="36"/>
      <c r="G10" s="37" t="s">
        <v>17</v>
      </c>
      <c r="H10" s="37"/>
      <c r="I10" s="38" cm="1">
        <f t="array" ref="I10">xlFOCUS_IfError(xlFOCUS_ExpectativasAnuais($E10,$F10,I$2,$B$3-28,$B$3-28,0,$G10),"-")</f>
        <v>-10.7859</v>
      </c>
      <c r="J10" s="38" cm="1">
        <f t="array" ref="J10">xlFOCUS_IfError(xlFOCUS_ExpectativasAnuais($E10,$F10,I$2,$B$3-7,$B$3-7,0,$G10),"-")</f>
        <v>-14.5</v>
      </c>
      <c r="K10" s="38" cm="1">
        <f t="array" ref="K10">xlFOCUS_IfError(xlFOCUS_ExpectativasAnuais($E10,$F10,I$2,$B$3,$B$3,0,$G10),"-")</f>
        <v>-19.5</v>
      </c>
      <c r="L10" s="39" cm="1">
        <f t="array" ref="L10">xlFOCUS_IfError(xlFOCUS_ExpectativasAnuais($E10,$F10,I$2,$B$3,$B$3,0,"numeroRespondentes"),"-")</f>
        <v>23</v>
      </c>
      <c r="M10" s="38" cm="1">
        <f t="array" ref="M10">xlFOCUS_IfError(xlFOCUS_ExpectativasAnuais($E10,$F10,I$2,$B$3,$B$3,1,$G10),"-")</f>
        <v>-20.75</v>
      </c>
      <c r="N10" s="39" cm="1">
        <f t="array" ref="N10">xlFOCUS_IfError(xlFOCUS_ExpectativasAnuais($E10,$F10,I$2,$B$3,$B$3,1,"numeroRespondentes"),"-")</f>
        <v>10</v>
      </c>
      <c r="O10" s="38"/>
      <c r="P10" s="40" cm="1">
        <f t="array" ref="P10">xlFOCUS_IfError(xlFOCUS_ExpectativasAnuais($E10,$F10,P$2,$B$3-28,$B$3-28,0,$G10),"-")</f>
        <v>-19</v>
      </c>
      <c r="Q10" s="38" cm="1">
        <f t="array" ref="Q10">xlFOCUS_IfError(xlFOCUS_ExpectativasAnuais($E10,$F10,P$2,$B$3-7,$B$3-7,0,$G10),"-")</f>
        <v>-19</v>
      </c>
      <c r="R10" s="38" cm="1">
        <f t="array" ref="R10">xlFOCUS_IfError(xlFOCUS_ExpectativasAnuais($E10,$F10,P$2,$B$3,$B$3,0,$G10),"-")</f>
        <v>-21.5</v>
      </c>
      <c r="S10" s="39" cm="1">
        <f t="array" ref="S10">xlFOCUS_IfError(xlFOCUS_ExpectativasAnuais($E10,$F10,P$2,$B$3,$B$3,0,"numeroRespondentes"),"-")</f>
        <v>22</v>
      </c>
      <c r="T10" s="38" cm="1">
        <f t="array" ref="T10">xlFOCUS_IfError(xlFOCUS_ExpectativasAnuais($E10,$F10,P$2,$B$3,$B$3,1,$G10),"-")</f>
        <v>-22</v>
      </c>
      <c r="U10" s="39" cm="1">
        <f t="array" ref="U10">xlFOCUS_IfError(xlFOCUS_ExpectativasAnuais($E10,$F10,P$2,$B$3,$B$3,1,"numeroRespondentes"),"-")</f>
        <v>10</v>
      </c>
    </row>
    <row r="11" spans="1:29" x14ac:dyDescent="0.2">
      <c r="D11" s="26" t="s">
        <v>49</v>
      </c>
      <c r="E11" s="26" t="s">
        <v>50</v>
      </c>
      <c r="F11" s="26" t="s">
        <v>51</v>
      </c>
      <c r="G11" s="26" t="s">
        <v>17</v>
      </c>
      <c r="H11" s="26"/>
      <c r="I11" s="28" cm="1">
        <f t="array" ref="I11">xlFOCUS_IfError(xlFOCUS_ExpectativasAnuais($E11,$F11,I$2,$B$3-28,$B$3-28,0,$G11),"-")</f>
        <v>70.3</v>
      </c>
      <c r="J11" s="28" cm="1">
        <f t="array" ref="J11">xlFOCUS_IfError(xlFOCUS_ExpectativasAnuais($E11,$F11,I$2,$B$3-7,$B$3-7,0,$G11),"-")</f>
        <v>60.3</v>
      </c>
      <c r="K11" s="28" cm="1">
        <f t="array" ref="K11">xlFOCUS_IfError(xlFOCUS_ExpectativasAnuais($E11,$F11,I$2,$B$3,$B$3,0,$G11),"-")</f>
        <v>59.9</v>
      </c>
      <c r="L11" s="29" cm="1">
        <f t="array" ref="L11">xlFOCUS_IfError(xlFOCUS_ExpectativasAnuais($E11,$F11,I$2,$B$3,$B$3,0,"numeroRespondentes"),"-")</f>
        <v>22</v>
      </c>
      <c r="M11" s="28" cm="1">
        <f t="array" ref="M11">xlFOCUS_IfError(xlFOCUS_ExpectativasAnuais($E11,$F11,I$2,$B$3,$B$3,1,$G11),"-")</f>
        <v>57</v>
      </c>
      <c r="N11" s="29" cm="1">
        <f t="array" ref="N11">xlFOCUS_IfError(xlFOCUS_ExpectativasAnuais($E11,$F11,I$2,$B$3,$B$3,1,"numeroRespondentes"),"-")</f>
        <v>9</v>
      </c>
      <c r="O11" s="28"/>
      <c r="P11" s="30" cm="1">
        <f t="array" ref="P11">xlFOCUS_IfError(xlFOCUS_ExpectativasAnuais($E11,$F11,P$2,$B$3-28,$B$3-28,0,$G11),"-")</f>
        <v>63</v>
      </c>
      <c r="Q11" s="28" cm="1">
        <f t="array" ref="Q11">xlFOCUS_IfError(xlFOCUS_ExpectativasAnuais($E11,$F11,P$2,$B$3-7,$B$3-7,0,$G11),"-")</f>
        <v>63</v>
      </c>
      <c r="R11" s="28" cm="1">
        <f t="array" ref="R11">xlFOCUS_IfError(xlFOCUS_ExpectativasAnuais($E11,$F11,P$2,$B$3,$B$3,0,$G11),"-")</f>
        <v>55.8</v>
      </c>
      <c r="S11" s="29" cm="1">
        <f t="array" ref="S11">xlFOCUS_IfError(xlFOCUS_ExpectativasAnuais($E11,$F11,P$2,$B$3,$B$3,0,"numeroRespondentes"),"-")</f>
        <v>21</v>
      </c>
      <c r="T11" s="28" cm="1">
        <f t="array" ref="T11">xlFOCUS_IfError(xlFOCUS_ExpectativasAnuais($E11,$F11,P$2,$B$3,$B$3,1,$G11),"-")</f>
        <v>55</v>
      </c>
      <c r="U11" s="29" cm="1">
        <f t="array" ref="U11">xlFOCUS_IfError(xlFOCUS_ExpectativasAnuais($E11,$F11,P$2,$B$3,$B$3,1,"numeroRespondentes"),"-")</f>
        <v>9</v>
      </c>
      <c r="V11" s="10"/>
      <c r="W11" s="10"/>
      <c r="X11" s="10"/>
      <c r="Y11" s="10"/>
      <c r="Z11" s="10"/>
      <c r="AA11" s="10"/>
      <c r="AB11" s="10"/>
      <c r="AC11" s="10"/>
    </row>
    <row r="12" spans="1:29" x14ac:dyDescent="0.2">
      <c r="D12" s="41" t="s">
        <v>52</v>
      </c>
      <c r="E12" s="41" t="s">
        <v>53</v>
      </c>
      <c r="F12" s="41"/>
      <c r="G12" s="41" t="s">
        <v>17</v>
      </c>
      <c r="H12" s="41"/>
      <c r="I12" s="42" cm="1">
        <f t="array" ref="I12">xlFOCUS_IfError(xlFOCUS_ExpectativasAnuais($E12,$F12,I$2,$B$3-28,$B$3-28,0,$G12),"-")</f>
        <v>50</v>
      </c>
      <c r="J12" s="42" cm="1">
        <f t="array" ref="J12">xlFOCUS_IfError(xlFOCUS_ExpectativasAnuais($E12,$F12,I$2,$B$3-7,$B$3-7,0,$G12),"-")</f>
        <v>50</v>
      </c>
      <c r="K12" s="42" cm="1">
        <f t="array" ref="K12">xlFOCUS_IfError(xlFOCUS_ExpectativasAnuais($E12,$F12,I$2,$B$3,$B$3,0,$G12),"-")</f>
        <v>52</v>
      </c>
      <c r="L12" s="43" cm="1">
        <f t="array" ref="L12">xlFOCUS_IfError(xlFOCUS_ExpectativasAnuais($E12,$F12,I$2,$B$3,$B$3,0,"numeroRespondentes"),"-")</f>
        <v>21</v>
      </c>
      <c r="M12" s="42" cm="1">
        <f t="array" ref="M12">xlFOCUS_IfError(xlFOCUS_ExpectativasAnuais($E12,$F12,I$2,$B$3,$B$3,1,$G12),"-")</f>
        <v>50</v>
      </c>
      <c r="N12" s="43" cm="1">
        <f t="array" ref="N12">xlFOCUS_IfError(xlFOCUS_ExpectativasAnuais($E12,$F12,I$2,$B$3,$B$3,1,"numeroRespondentes"),"-")</f>
        <v>10</v>
      </c>
      <c r="O12" s="42"/>
      <c r="P12" s="44" cm="1">
        <f t="array" ref="P12">xlFOCUS_IfError(xlFOCUS_ExpectativasAnuais($E12,$F12,P$2,$B$3-28,$B$3-28,0,$G12),"-")</f>
        <v>60</v>
      </c>
      <c r="Q12" s="42" cm="1">
        <f t="array" ref="Q12">xlFOCUS_IfError(xlFOCUS_ExpectativasAnuais($E12,$F12,P$2,$B$3-7,$B$3-7,0,$G12),"-")</f>
        <v>56.8</v>
      </c>
      <c r="R12" s="42" cm="1">
        <f t="array" ref="R12">xlFOCUS_IfError(xlFOCUS_ExpectativasAnuais($E12,$F12,P$2,$B$3,$B$3,0,$G12),"-")</f>
        <v>58.1</v>
      </c>
      <c r="S12" s="43" cm="1">
        <f t="array" ref="S12">xlFOCUS_IfError(xlFOCUS_ExpectativasAnuais($E12,$F12,P$2,$B$3,$B$3,0,"numeroRespondentes"),"-")</f>
        <v>21</v>
      </c>
      <c r="T12" s="42" cm="1">
        <f t="array" ref="T12">xlFOCUS_IfError(xlFOCUS_ExpectativasAnuais($E12,$F12,P$2,$B$3,$B$3,1,$G12),"-")</f>
        <v>60</v>
      </c>
      <c r="U12" s="43" cm="1">
        <f t="array" ref="U12">xlFOCUS_IfError(xlFOCUS_ExpectativasAnuais($E12,$F12,P$2,$B$3,$B$3,1,"numeroRespondentes"),"-")</f>
        <v>10</v>
      </c>
      <c r="V12" s="10"/>
      <c r="W12" s="10"/>
      <c r="X12" s="10"/>
      <c r="Y12" s="10"/>
      <c r="Z12" s="10"/>
      <c r="AA12" s="10"/>
      <c r="AB12" s="10"/>
      <c r="AC12" s="10"/>
    </row>
    <row r="13" spans="1:29" x14ac:dyDescent="0.2">
      <c r="D13" s="26" t="s">
        <v>54</v>
      </c>
      <c r="E13" s="26" t="s">
        <v>55</v>
      </c>
      <c r="F13" s="45"/>
      <c r="G13" s="45" t="s">
        <v>17</v>
      </c>
      <c r="H13" s="45"/>
      <c r="I13" s="28" cm="1">
        <f t="array" ref="I13">xlFOCUS_IfError(xlFOCUS_ExpectativasAnuais($E13,$F13,I$2,$B$3-28,$B$3-28,0,$G13),"-")</f>
        <v>60</v>
      </c>
      <c r="J13" s="28" cm="1">
        <f t="array" ref="J13">xlFOCUS_IfError(xlFOCUS_ExpectativasAnuais($E13,$F13,I$2,$B$3-7,$B$3-7,0,$G13),"-")</f>
        <v>59.5</v>
      </c>
      <c r="K13" s="28" cm="1">
        <f t="array" ref="K13">xlFOCUS_IfError(xlFOCUS_ExpectativasAnuais($E13,$F13,I$2,$B$3,$B$3,0,$G13),"-")</f>
        <v>58.95</v>
      </c>
      <c r="L13" s="29" cm="1">
        <f t="array" ref="L13">xlFOCUS_IfError(xlFOCUS_ExpectativasAnuais($E13,$F13,I$2,$B$3,$B$3,0,"numeroRespondentes"),"-")</f>
        <v>22</v>
      </c>
      <c r="M13" s="28" cm="1">
        <f t="array" ref="M13">xlFOCUS_IfError(xlFOCUS_ExpectativasAnuais($E13,$F13,I$2,$B$3,$B$3,1,$G13),"-")</f>
        <v>57.8292</v>
      </c>
      <c r="N13" s="29" cm="1">
        <f t="array" ref="N13">xlFOCUS_IfError(xlFOCUS_ExpectativasAnuais($E13,$F13,I$2,$B$3,$B$3,1,"numeroRespondentes"),"-")</f>
        <v>8</v>
      </c>
      <c r="O13" s="28"/>
      <c r="P13" s="30" cm="1">
        <f t="array" ref="P13">xlFOCUS_IfError(xlFOCUS_ExpectativasAnuais($E13,$F13,P$2,$B$3-28,$B$3-28,0,$G13),"-")</f>
        <v>62.990600000000001</v>
      </c>
      <c r="Q13" s="28" cm="1">
        <f t="array" ref="Q13">xlFOCUS_IfError(xlFOCUS_ExpectativasAnuais($E13,$F13,P$2,$B$3-7,$B$3-7,0,$G13),"-")</f>
        <v>63.2</v>
      </c>
      <c r="R13" s="28" cm="1">
        <f t="array" ref="R13">xlFOCUS_IfError(xlFOCUS_ExpectativasAnuais($E13,$F13,P$2,$B$3,$B$3,0,$G13),"-")</f>
        <v>63</v>
      </c>
      <c r="S13" s="29" cm="1">
        <f t="array" ref="S13">xlFOCUS_IfError(xlFOCUS_ExpectativasAnuais($E13,$F13,P$2,$B$3,$B$3,0,"numeroRespondentes"),"-")</f>
        <v>21</v>
      </c>
      <c r="T13" s="28" cm="1">
        <f t="array" ref="T13">xlFOCUS_IfError(xlFOCUS_ExpectativasAnuais($E13,$F13,P$2,$B$3,$B$3,1,$G13),"-")</f>
        <v>62.522300000000001</v>
      </c>
      <c r="U13" s="29" cm="1">
        <f t="array" ref="U13">xlFOCUS_IfError(xlFOCUS_ExpectativasAnuais($E13,$F13,P$2,$B$3,$B$3,1,"numeroRespondentes"),"-")</f>
        <v>8</v>
      </c>
    </row>
    <row r="14" spans="1:29" x14ac:dyDescent="0.2">
      <c r="D14" s="31" t="s">
        <v>56</v>
      </c>
      <c r="E14" s="31" t="s">
        <v>57</v>
      </c>
      <c r="F14" s="46"/>
      <c r="G14" s="46" t="s">
        <v>17</v>
      </c>
      <c r="H14" s="46"/>
      <c r="I14" s="33" cm="1">
        <f t="array" ref="I14">xlFOCUS_IfError(xlFOCUS_ExpectativasAnuais($E14,$F14,I$2,$B$3-28,$B$3-28,0,$G14),"-")</f>
        <v>-0.95</v>
      </c>
      <c r="J14" s="33" cm="1">
        <f t="array" ref="J14">xlFOCUS_IfError(xlFOCUS_ExpectativasAnuais($E14,$F14,I$2,$B$3-7,$B$3-7,0,$G14),"-")</f>
        <v>-0.6</v>
      </c>
      <c r="K14" s="33" cm="1">
        <f t="array" ref="K14">xlFOCUS_IfError(xlFOCUS_ExpectativasAnuais($E14,$F14,I$2,$B$3,$B$3,0,$G14),"-")</f>
        <v>-0.6</v>
      </c>
      <c r="L14" s="34" cm="1">
        <f t="array" ref="L14">xlFOCUS_IfError(xlFOCUS_ExpectativasAnuais($E14,$F14,I$2,$B$3,$B$3,0,"numeroRespondentes"),"-")</f>
        <v>28</v>
      </c>
      <c r="M14" s="33" cm="1">
        <f t="array" ref="M14">xlFOCUS_IfError(xlFOCUS_ExpectativasAnuais($E14,$F14,I$2,$B$3,$B$3,1,$G14),"-")</f>
        <v>-0.6</v>
      </c>
      <c r="N14" s="34" cm="1">
        <f t="array" ref="N14">xlFOCUS_IfError(xlFOCUS_ExpectativasAnuais($E14,$F14,I$2,$B$3,$B$3,1,"numeroRespondentes"),"-")</f>
        <v>12</v>
      </c>
      <c r="O14" s="33"/>
      <c r="P14" s="35" cm="1">
        <f t="array" ref="P14">xlFOCUS_IfError(xlFOCUS_ExpectativasAnuais($E14,$F14,P$2,$B$3-28,$B$3-28,0,$G14),"-")</f>
        <v>-1.175</v>
      </c>
      <c r="Q14" s="33" cm="1">
        <f t="array" ref="Q14">xlFOCUS_IfError(xlFOCUS_ExpectativasAnuais($E14,$F14,P$2,$B$3-7,$B$3-7,0,$G14),"-")</f>
        <v>-1.2</v>
      </c>
      <c r="R14" s="33" cm="1">
        <f t="array" ref="R14">xlFOCUS_IfError(xlFOCUS_ExpectativasAnuais($E14,$F14,P$2,$B$3,$B$3,0,$G14),"-")</f>
        <v>-1.2</v>
      </c>
      <c r="S14" s="34" cm="1">
        <f t="array" ref="S14">xlFOCUS_IfError(xlFOCUS_ExpectativasAnuais($E14,$F14,P$2,$B$3,$B$3,0,"numeroRespondentes"),"-")</f>
        <v>27</v>
      </c>
      <c r="T14" s="33" cm="1">
        <f t="array" ref="T14">xlFOCUS_IfError(xlFOCUS_ExpectativasAnuais($E14,$F14,P$2,$B$3,$B$3,1,$G14),"-")</f>
        <v>-1.0497000000000001</v>
      </c>
      <c r="U14" s="34" cm="1">
        <f t="array" ref="U14">xlFOCUS_IfError(xlFOCUS_ExpectativasAnuais($E14,$F14,P$2,$B$3,$B$3,1,"numeroRespondentes"),"-")</f>
        <v>12</v>
      </c>
    </row>
    <row r="15" spans="1:29" x14ac:dyDescent="0.2">
      <c r="D15" s="26" t="s">
        <v>58</v>
      </c>
      <c r="E15" s="26" t="s">
        <v>59</v>
      </c>
      <c r="F15" s="45"/>
      <c r="G15" s="45" t="s">
        <v>17</v>
      </c>
      <c r="H15" s="45"/>
      <c r="I15" s="28" cm="1">
        <f t="array" ref="I15">xlFOCUS_IfError(xlFOCUS_ExpectativasAnuais($E15,$F15,I$2,$B$3-28,$B$3-28,0,$G15),"-")</f>
        <v>-5.8</v>
      </c>
      <c r="J15" s="28" cm="1">
        <f t="array" ref="J15">xlFOCUS_IfError(xlFOCUS_ExpectativasAnuais($E15,$F15,I$2,$B$3-7,$B$3-7,0,$G15),"-")</f>
        <v>-5.75</v>
      </c>
      <c r="K15" s="28" cm="1">
        <f t="array" ref="K15">xlFOCUS_IfError(xlFOCUS_ExpectativasAnuais($E15,$F15,I$2,$B$3,$B$3,0,$G15),"-")</f>
        <v>-5.7</v>
      </c>
      <c r="L15" s="29" cm="1">
        <f t="array" ref="L15">xlFOCUS_IfError(xlFOCUS_ExpectativasAnuais($E15,$F15,I$2,$B$3,$B$3,0,"numeroRespondentes"),"-")</f>
        <v>23</v>
      </c>
      <c r="M15" s="28" cm="1">
        <f t="array" ref="M15">xlFOCUS_IfError(xlFOCUS_ExpectativasAnuais($E15,$F15,I$2,$B$3,$B$3,1,$G15),"-")</f>
        <v>-5.375</v>
      </c>
      <c r="N15" s="29" cm="1">
        <f t="array" ref="N15">xlFOCUS_IfError(xlFOCUS_ExpectativasAnuais($E15,$F15,I$2,$B$3,$B$3,1,"numeroRespondentes"),"-")</f>
        <v>8</v>
      </c>
      <c r="O15" s="28"/>
      <c r="P15" s="30" cm="1">
        <f t="array" ref="P15">xlFOCUS_IfError(xlFOCUS_ExpectativasAnuais($E15,$F15,P$2,$B$3-28,$B$3-28,0,$G15),"-")</f>
        <v>-6.55</v>
      </c>
      <c r="Q15" s="28" cm="1">
        <f t="array" ref="Q15">xlFOCUS_IfError(xlFOCUS_ExpectativasAnuais($E15,$F15,P$2,$B$3-7,$B$3-7,0,$G15),"-")</f>
        <v>-6.8</v>
      </c>
      <c r="R15" s="28" cm="1">
        <f t="array" ref="R15">xlFOCUS_IfError(xlFOCUS_ExpectativasAnuais($E15,$F15,P$2,$B$3,$B$3,0,$G15),"-")</f>
        <v>-7.1</v>
      </c>
      <c r="S15" s="29" cm="1">
        <f t="array" ref="S15">xlFOCUS_IfError(xlFOCUS_ExpectativasAnuais($E15,$F15,P$2,$B$3,$B$3,0,"numeroRespondentes"),"-")</f>
        <v>22</v>
      </c>
      <c r="T15" s="28" cm="1">
        <f t="array" ref="T15">xlFOCUS_IfError(xlFOCUS_ExpectativasAnuais($E15,$F15,P$2,$B$3,$B$3,1,$G15),"-")</f>
        <v>-7.45</v>
      </c>
      <c r="U15" s="29" cm="1">
        <f t="array" ref="U15">xlFOCUS_IfError(xlFOCUS_ExpectativasAnuais($E15,$F15,P$2,$B$3,$B$3,1,"numeroRespondentes"),"-")</f>
        <v>8</v>
      </c>
    </row>
    <row r="16" spans="1:29" x14ac:dyDescent="0.2">
      <c r="D16" s="15"/>
      <c r="E16" s="15"/>
      <c r="F16" s="15"/>
      <c r="G16" s="15"/>
      <c r="H16" s="15"/>
      <c r="I16" s="16"/>
      <c r="J16" s="16"/>
      <c r="K16" s="16"/>
      <c r="L16" s="16"/>
      <c r="M16" s="16"/>
      <c r="N16" s="16"/>
      <c r="O16" s="16"/>
      <c r="P16" s="22"/>
      <c r="Q16" s="16"/>
      <c r="R16" s="16"/>
      <c r="S16" s="16"/>
      <c r="T16" s="16"/>
      <c r="U16" s="16"/>
    </row>
    <row r="18" spans="5:8" x14ac:dyDescent="0.2">
      <c r="E18" s="10"/>
      <c r="F18" s="10"/>
      <c r="G18" s="11"/>
      <c r="H18" s="11"/>
    </row>
    <row r="19" spans="5:8" x14ac:dyDescent="0.2">
      <c r="E19" s="10"/>
      <c r="F19" s="10"/>
      <c r="G19" s="11"/>
      <c r="H19" s="11"/>
    </row>
    <row r="20" spans="5:8" x14ac:dyDescent="0.2">
      <c r="E20" s="10"/>
      <c r="F20" s="10"/>
      <c r="G20" s="11"/>
      <c r="H20" s="11"/>
    </row>
    <row r="21" spans="5:8" x14ac:dyDescent="0.2">
      <c r="E21" s="10"/>
      <c r="F21" s="10"/>
      <c r="G21" s="11"/>
      <c r="H21" s="11"/>
    </row>
    <row r="22" spans="5:8" x14ac:dyDescent="0.2">
      <c r="E22" s="10"/>
      <c r="F22" s="10"/>
      <c r="G22" s="11"/>
      <c r="H22" s="11"/>
    </row>
    <row r="23" spans="5:8" x14ac:dyDescent="0.2">
      <c r="E23" s="10"/>
      <c r="F23" s="10"/>
      <c r="G23" s="11"/>
      <c r="H23" s="11"/>
    </row>
    <row r="24" spans="5:8" x14ac:dyDescent="0.2">
      <c r="E24" s="10"/>
      <c r="F24" s="10"/>
      <c r="G24" s="11"/>
      <c r="H24" s="11"/>
    </row>
    <row r="25" spans="5:8" x14ac:dyDescent="0.2">
      <c r="E25" s="10"/>
      <c r="F25" s="10"/>
      <c r="G25" s="11"/>
      <c r="H25" s="11"/>
    </row>
    <row r="26" spans="5:8" x14ac:dyDescent="0.2">
      <c r="E26" s="10"/>
      <c r="F26" s="10"/>
      <c r="G26" s="11"/>
      <c r="H26" s="11"/>
    </row>
    <row r="27" spans="5:8" x14ac:dyDescent="0.2">
      <c r="E27" s="10"/>
      <c r="F27" s="10"/>
      <c r="G27" s="11"/>
      <c r="H27" s="11"/>
    </row>
    <row r="28" spans="5:8" x14ac:dyDescent="0.2">
      <c r="E28" s="10"/>
      <c r="F28" s="10"/>
      <c r="G28" s="11"/>
      <c r="H28" s="11"/>
    </row>
    <row r="29" spans="5:8" x14ac:dyDescent="0.2">
      <c r="G29" s="17"/>
      <c r="H29" s="17"/>
    </row>
    <row r="30" spans="5:8" x14ac:dyDescent="0.2">
      <c r="G30" s="17"/>
      <c r="H30" s="17"/>
    </row>
    <row r="31" spans="5:8" x14ac:dyDescent="0.2">
      <c r="G31" s="17"/>
      <c r="H31" s="17"/>
    </row>
    <row r="32" spans="5:8" x14ac:dyDescent="0.2">
      <c r="G32" s="17"/>
      <c r="H32" s="17"/>
    </row>
    <row r="33" spans="7:8" x14ac:dyDescent="0.2">
      <c r="G33" s="17"/>
      <c r="H33" s="17"/>
    </row>
    <row r="34" spans="7:8" x14ac:dyDescent="0.2">
      <c r="G34" s="17"/>
      <c r="H34" s="17"/>
    </row>
    <row r="35" spans="7:8" x14ac:dyDescent="0.2">
      <c r="G35" s="17"/>
      <c r="H35" s="17"/>
    </row>
    <row r="36" spans="7:8" x14ac:dyDescent="0.2">
      <c r="G36" s="17"/>
      <c r="H36" s="17"/>
    </row>
    <row r="37" spans="7:8" x14ac:dyDescent="0.2">
      <c r="G37" s="17"/>
      <c r="H37" s="17"/>
    </row>
    <row r="38" spans="7:8" x14ac:dyDescent="0.2">
      <c r="G38" s="17"/>
      <c r="H38" s="17"/>
    </row>
    <row r="39" spans="7:8" x14ac:dyDescent="0.2">
      <c r="G39" s="17"/>
      <c r="H39" s="17"/>
    </row>
    <row r="40" spans="7:8" x14ac:dyDescent="0.2">
      <c r="G40" s="17"/>
      <c r="H40" s="17"/>
    </row>
    <row r="41" spans="7:8" x14ac:dyDescent="0.2">
      <c r="G41" s="17"/>
      <c r="H41" s="17"/>
    </row>
    <row r="42" spans="7:8" x14ac:dyDescent="0.2">
      <c r="G42" s="17"/>
      <c r="H42" s="17"/>
    </row>
    <row r="43" spans="7:8" x14ac:dyDescent="0.2">
      <c r="G43" s="17"/>
      <c r="H43" s="17"/>
    </row>
    <row r="44" spans="7:8" x14ac:dyDescent="0.2">
      <c r="G44" s="17"/>
      <c r="H44" s="17"/>
    </row>
    <row r="45" spans="7:8" x14ac:dyDescent="0.2">
      <c r="G45" s="17"/>
      <c r="H45" s="17"/>
    </row>
    <row r="46" spans="7:8" x14ac:dyDescent="0.2">
      <c r="G46" s="17"/>
      <c r="H46" s="17"/>
    </row>
    <row r="47" spans="7:8" x14ac:dyDescent="0.2">
      <c r="G47" s="17"/>
      <c r="H47" s="17"/>
    </row>
    <row r="48" spans="7:8" x14ac:dyDescent="0.2">
      <c r="G48" s="17"/>
      <c r="H48" s="17"/>
    </row>
    <row r="49" spans="7:8" x14ac:dyDescent="0.2">
      <c r="G49" s="17"/>
      <c r="H49" s="17"/>
    </row>
    <row r="50" spans="7:8" x14ac:dyDescent="0.2">
      <c r="G50" s="17"/>
      <c r="H50" s="17"/>
    </row>
    <row r="51" spans="7:8" x14ac:dyDescent="0.2">
      <c r="G51" s="17"/>
      <c r="H51" s="17"/>
    </row>
    <row r="52" spans="7:8" x14ac:dyDescent="0.2">
      <c r="G52" s="17"/>
      <c r="H52" s="17"/>
    </row>
    <row r="53" spans="7:8" x14ac:dyDescent="0.2">
      <c r="G53" s="17"/>
      <c r="H53" s="17"/>
    </row>
    <row r="54" spans="7:8" x14ac:dyDescent="0.2">
      <c r="G54" s="17"/>
      <c r="H54" s="17"/>
    </row>
    <row r="55" spans="7:8" x14ac:dyDescent="0.2">
      <c r="G55" s="17"/>
      <c r="H55" s="17"/>
    </row>
    <row r="56" spans="7:8" x14ac:dyDescent="0.2">
      <c r="G56" s="17"/>
      <c r="H56" s="17"/>
    </row>
    <row r="57" spans="7:8" x14ac:dyDescent="0.2">
      <c r="G57" s="17"/>
      <c r="H57" s="17"/>
    </row>
    <row r="58" spans="7:8" x14ac:dyDescent="0.2">
      <c r="G58" s="17"/>
      <c r="H58" s="17"/>
    </row>
    <row r="59" spans="7:8" x14ac:dyDescent="0.2">
      <c r="G59" s="17"/>
      <c r="H59" s="17"/>
    </row>
    <row r="60" spans="7:8" x14ac:dyDescent="0.2">
      <c r="G60" s="17"/>
      <c r="H60" s="17"/>
    </row>
    <row r="61" spans="7:8" x14ac:dyDescent="0.2">
      <c r="G61" s="17"/>
      <c r="H61" s="17"/>
    </row>
    <row r="62" spans="7:8" x14ac:dyDescent="0.2">
      <c r="G62" s="17"/>
      <c r="H62" s="17"/>
    </row>
    <row r="63" spans="7:8" x14ac:dyDescent="0.2">
      <c r="G63" s="17"/>
      <c r="H63" s="17"/>
    </row>
    <row r="64" spans="7:8" x14ac:dyDescent="0.2">
      <c r="G64" s="17"/>
      <c r="H64" s="17"/>
    </row>
    <row r="65" spans="7:8" x14ac:dyDescent="0.2">
      <c r="G65" s="17"/>
      <c r="H65" s="17"/>
    </row>
    <row r="66" spans="7:8" x14ac:dyDescent="0.2">
      <c r="G66" s="17"/>
      <c r="H66" s="17"/>
    </row>
    <row r="67" spans="7:8" x14ac:dyDescent="0.2">
      <c r="G67" s="17"/>
      <c r="H67" s="17"/>
    </row>
    <row r="68" spans="7:8" x14ac:dyDescent="0.2">
      <c r="G68" s="17"/>
      <c r="H68" s="17"/>
    </row>
    <row r="69" spans="7:8" x14ac:dyDescent="0.2">
      <c r="G69" s="17"/>
      <c r="H69" s="17"/>
    </row>
    <row r="70" spans="7:8" x14ac:dyDescent="0.2">
      <c r="G70" s="17"/>
      <c r="H70" s="17"/>
    </row>
    <row r="71" spans="7:8" x14ac:dyDescent="0.2">
      <c r="G71" s="17"/>
      <c r="H71" s="17"/>
    </row>
    <row r="72" spans="7:8" x14ac:dyDescent="0.2">
      <c r="G72" s="17"/>
      <c r="H72" s="17"/>
    </row>
    <row r="73" spans="7:8" x14ac:dyDescent="0.2">
      <c r="G73" s="17"/>
      <c r="H73" s="17"/>
    </row>
    <row r="74" spans="7:8" x14ac:dyDescent="0.2">
      <c r="G74" s="17"/>
      <c r="H74" s="17"/>
    </row>
    <row r="75" spans="7:8" x14ac:dyDescent="0.2">
      <c r="G75" s="17"/>
      <c r="H75" s="17"/>
    </row>
    <row r="76" spans="7:8" x14ac:dyDescent="0.2">
      <c r="G76" s="17"/>
      <c r="H76" s="17"/>
    </row>
    <row r="77" spans="7:8" x14ac:dyDescent="0.2">
      <c r="G77" s="17"/>
      <c r="H77" s="17"/>
    </row>
    <row r="78" spans="7:8" x14ac:dyDescent="0.2">
      <c r="G78" s="17"/>
      <c r="H78" s="17"/>
    </row>
    <row r="79" spans="7:8" x14ac:dyDescent="0.2">
      <c r="G79" s="17"/>
      <c r="H79" s="17"/>
    </row>
    <row r="80" spans="7:8" x14ac:dyDescent="0.2">
      <c r="G80" s="17"/>
      <c r="H80" s="17"/>
    </row>
    <row r="81" spans="7:8" x14ac:dyDescent="0.2">
      <c r="G81" s="17"/>
      <c r="H81" s="17"/>
    </row>
    <row r="82" spans="7:8" x14ac:dyDescent="0.2">
      <c r="G82" s="17"/>
      <c r="H82" s="17"/>
    </row>
    <row r="83" spans="7:8" x14ac:dyDescent="0.2">
      <c r="G83" s="17"/>
      <c r="H83" s="17"/>
    </row>
    <row r="84" spans="7:8" x14ac:dyDescent="0.2">
      <c r="G84" s="17"/>
      <c r="H84" s="17"/>
    </row>
    <row r="85" spans="7:8" x14ac:dyDescent="0.2">
      <c r="G85" s="17"/>
      <c r="H85" s="17"/>
    </row>
    <row r="86" spans="7:8" x14ac:dyDescent="0.2">
      <c r="G86" s="17"/>
      <c r="H86" s="17"/>
    </row>
    <row r="87" spans="7:8" x14ac:dyDescent="0.2">
      <c r="G87" s="17"/>
      <c r="H87" s="17"/>
    </row>
    <row r="88" spans="7:8" x14ac:dyDescent="0.2">
      <c r="G88" s="17"/>
      <c r="H88" s="17"/>
    </row>
    <row r="89" spans="7:8" x14ac:dyDescent="0.2">
      <c r="G89" s="17"/>
      <c r="H89" s="17"/>
    </row>
    <row r="90" spans="7:8" x14ac:dyDescent="0.2">
      <c r="G90" s="17"/>
      <c r="H90" s="17"/>
    </row>
    <row r="91" spans="7:8" x14ac:dyDescent="0.2">
      <c r="G91" s="17"/>
      <c r="H91" s="17"/>
    </row>
    <row r="92" spans="7:8" x14ac:dyDescent="0.2">
      <c r="G92" s="17"/>
      <c r="H92" s="17"/>
    </row>
    <row r="93" spans="7:8" x14ac:dyDescent="0.2">
      <c r="G93" s="17"/>
      <c r="H93" s="17"/>
    </row>
    <row r="94" spans="7:8" x14ac:dyDescent="0.2">
      <c r="G94" s="17"/>
      <c r="H94" s="17"/>
    </row>
    <row r="95" spans="7:8" x14ac:dyDescent="0.2">
      <c r="G95" s="17"/>
      <c r="H95" s="17"/>
    </row>
    <row r="96" spans="7:8" x14ac:dyDescent="0.2">
      <c r="G96" s="17"/>
      <c r="H96" s="17"/>
    </row>
    <row r="97" spans="7:8" x14ac:dyDescent="0.2">
      <c r="G97" s="17"/>
      <c r="H97" s="17"/>
    </row>
    <row r="98" spans="7:8" x14ac:dyDescent="0.2">
      <c r="G98" s="17"/>
      <c r="H98" s="17"/>
    </row>
    <row r="99" spans="7:8" x14ac:dyDescent="0.2">
      <c r="G99" s="17"/>
      <c r="H99" s="17"/>
    </row>
    <row r="100" spans="7:8" x14ac:dyDescent="0.2">
      <c r="G100" s="17"/>
      <c r="H100" s="17"/>
    </row>
    <row r="101" spans="7:8" x14ac:dyDescent="0.2">
      <c r="G101" s="17"/>
      <c r="H101" s="17"/>
    </row>
    <row r="102" spans="7:8" x14ac:dyDescent="0.2">
      <c r="G102" s="17"/>
      <c r="H102" s="17"/>
    </row>
    <row r="103" spans="7:8" x14ac:dyDescent="0.2">
      <c r="G103" s="17"/>
      <c r="H103" s="17"/>
    </row>
    <row r="104" spans="7:8" x14ac:dyDescent="0.2">
      <c r="G104" s="17"/>
      <c r="H104" s="17"/>
    </row>
    <row r="105" spans="7:8" x14ac:dyDescent="0.2">
      <c r="G105" s="17"/>
      <c r="H105" s="17"/>
    </row>
    <row r="106" spans="7:8" x14ac:dyDescent="0.2">
      <c r="G106" s="17"/>
      <c r="H106" s="17"/>
    </row>
    <row r="107" spans="7:8" x14ac:dyDescent="0.2">
      <c r="G107" s="17"/>
      <c r="H107" s="17"/>
    </row>
    <row r="108" spans="7:8" x14ac:dyDescent="0.2">
      <c r="G108" s="17"/>
      <c r="H108" s="17"/>
    </row>
    <row r="109" spans="7:8" x14ac:dyDescent="0.2">
      <c r="G109" s="17"/>
      <c r="H109" s="17"/>
    </row>
    <row r="110" spans="7:8" x14ac:dyDescent="0.2">
      <c r="G110" s="17"/>
      <c r="H110" s="17"/>
    </row>
    <row r="111" spans="7:8" x14ac:dyDescent="0.2">
      <c r="G111" s="17"/>
      <c r="H111" s="17"/>
    </row>
    <row r="112" spans="7:8" x14ac:dyDescent="0.2">
      <c r="G112" s="17"/>
      <c r="H112" s="17"/>
    </row>
    <row r="113" spans="7:8" x14ac:dyDescent="0.2">
      <c r="G113" s="17"/>
      <c r="H113" s="17"/>
    </row>
    <row r="114" spans="7:8" x14ac:dyDescent="0.2">
      <c r="G114" s="17"/>
      <c r="H114" s="17"/>
    </row>
    <row r="115" spans="7:8" x14ac:dyDescent="0.2">
      <c r="G115" s="17"/>
      <c r="H115" s="17"/>
    </row>
    <row r="116" spans="7:8" x14ac:dyDescent="0.2">
      <c r="G116" s="17"/>
      <c r="H116" s="17"/>
    </row>
    <row r="117" spans="7:8" x14ac:dyDescent="0.2">
      <c r="G117" s="17"/>
      <c r="H117" s="17"/>
    </row>
    <row r="118" spans="7:8" x14ac:dyDescent="0.2">
      <c r="G118" s="17"/>
      <c r="H118" s="17"/>
    </row>
    <row r="119" spans="7:8" x14ac:dyDescent="0.2">
      <c r="G119" s="17"/>
      <c r="H119" s="17"/>
    </row>
    <row r="120" spans="7:8" x14ac:dyDescent="0.2">
      <c r="G120" s="17"/>
      <c r="H120" s="17"/>
    </row>
    <row r="121" spans="7:8" x14ac:dyDescent="0.2">
      <c r="G121" s="17"/>
      <c r="H121" s="17"/>
    </row>
    <row r="122" spans="7:8" x14ac:dyDescent="0.2">
      <c r="G122" s="17"/>
      <c r="H122" s="17"/>
    </row>
    <row r="123" spans="7:8" x14ac:dyDescent="0.2">
      <c r="G123" s="17"/>
      <c r="H123" s="17"/>
    </row>
    <row r="124" spans="7:8" x14ac:dyDescent="0.2">
      <c r="G124" s="17"/>
      <c r="H124" s="17"/>
    </row>
    <row r="125" spans="7:8" x14ac:dyDescent="0.2">
      <c r="G125" s="17"/>
      <c r="H125" s="17"/>
    </row>
    <row r="126" spans="7:8" x14ac:dyDescent="0.2">
      <c r="G126" s="17"/>
      <c r="H126" s="17"/>
    </row>
    <row r="127" spans="7:8" x14ac:dyDescent="0.2">
      <c r="G127" s="17"/>
      <c r="H127" s="17"/>
    </row>
    <row r="128" spans="7:8" x14ac:dyDescent="0.2">
      <c r="G128" s="17"/>
      <c r="H128" s="17"/>
    </row>
    <row r="129" spans="7:8" x14ac:dyDescent="0.2">
      <c r="G129" s="17"/>
      <c r="H129" s="17"/>
    </row>
    <row r="130" spans="7:8" x14ac:dyDescent="0.2">
      <c r="G130" s="17"/>
      <c r="H130" s="17"/>
    </row>
    <row r="131" spans="7:8" x14ac:dyDescent="0.2">
      <c r="G131" s="17"/>
      <c r="H131" s="17"/>
    </row>
    <row r="132" spans="7:8" x14ac:dyDescent="0.2">
      <c r="G132" s="17"/>
      <c r="H132" s="17"/>
    </row>
    <row r="133" spans="7:8" x14ac:dyDescent="0.2">
      <c r="G133" s="17"/>
      <c r="H133" s="17"/>
    </row>
    <row r="134" spans="7:8" x14ac:dyDescent="0.2">
      <c r="G134" s="17"/>
      <c r="H134" s="17"/>
    </row>
    <row r="135" spans="7:8" x14ac:dyDescent="0.2">
      <c r="G135" s="17"/>
      <c r="H135" s="17"/>
    </row>
    <row r="136" spans="7:8" x14ac:dyDescent="0.2">
      <c r="G136" s="17"/>
      <c r="H136" s="17"/>
    </row>
    <row r="137" spans="7:8" x14ac:dyDescent="0.2">
      <c r="G137" s="17"/>
      <c r="H137" s="17"/>
    </row>
    <row r="138" spans="7:8" x14ac:dyDescent="0.2">
      <c r="G138" s="17"/>
      <c r="H138" s="17"/>
    </row>
    <row r="139" spans="7:8" x14ac:dyDescent="0.2">
      <c r="G139" s="17"/>
      <c r="H139" s="17"/>
    </row>
    <row r="140" spans="7:8" x14ac:dyDescent="0.2">
      <c r="G140" s="17"/>
      <c r="H140" s="17"/>
    </row>
    <row r="141" spans="7:8" x14ac:dyDescent="0.2">
      <c r="G141" s="17"/>
      <c r="H141" s="17"/>
    </row>
    <row r="142" spans="7:8" x14ac:dyDescent="0.2">
      <c r="G142" s="17"/>
      <c r="H142" s="17"/>
    </row>
    <row r="143" spans="7:8" x14ac:dyDescent="0.2">
      <c r="G143" s="17"/>
      <c r="H143" s="17"/>
    </row>
    <row r="144" spans="7:8" x14ac:dyDescent="0.2">
      <c r="G144" s="17"/>
      <c r="H144" s="17"/>
    </row>
    <row r="145" spans="7:8" x14ac:dyDescent="0.2">
      <c r="G145" s="17"/>
      <c r="H145" s="17"/>
    </row>
    <row r="146" spans="7:8" x14ac:dyDescent="0.2">
      <c r="G146" s="17"/>
      <c r="H146" s="17"/>
    </row>
    <row r="147" spans="7:8" x14ac:dyDescent="0.2">
      <c r="G147" s="17"/>
      <c r="H147" s="17"/>
    </row>
    <row r="148" spans="7:8" x14ac:dyDescent="0.2">
      <c r="G148" s="17"/>
      <c r="H148" s="17"/>
    </row>
    <row r="149" spans="7:8" x14ac:dyDescent="0.2">
      <c r="G149" s="17"/>
      <c r="H149" s="17"/>
    </row>
    <row r="150" spans="7:8" x14ac:dyDescent="0.2">
      <c r="G150" s="17"/>
      <c r="H150" s="17"/>
    </row>
    <row r="151" spans="7:8" x14ac:dyDescent="0.2">
      <c r="G151" s="17"/>
      <c r="H151" s="17"/>
    </row>
    <row r="152" spans="7:8" x14ac:dyDescent="0.2">
      <c r="G152" s="17"/>
      <c r="H152" s="17"/>
    </row>
    <row r="153" spans="7:8" x14ac:dyDescent="0.2">
      <c r="G153" s="17"/>
      <c r="H153" s="17"/>
    </row>
    <row r="154" spans="7:8" x14ac:dyDescent="0.2">
      <c r="G154" s="17"/>
      <c r="H154" s="17"/>
    </row>
    <row r="155" spans="7:8" x14ac:dyDescent="0.2">
      <c r="G155" s="17"/>
      <c r="H155" s="17"/>
    </row>
    <row r="156" spans="7:8" x14ac:dyDescent="0.2">
      <c r="G156" s="17"/>
      <c r="H156" s="17"/>
    </row>
    <row r="157" spans="7:8" x14ac:dyDescent="0.2">
      <c r="G157" s="17"/>
      <c r="H157" s="17"/>
    </row>
    <row r="158" spans="7:8" x14ac:dyDescent="0.2">
      <c r="G158" s="17"/>
      <c r="H158" s="17"/>
    </row>
    <row r="159" spans="7:8" x14ac:dyDescent="0.2">
      <c r="G159" s="17"/>
      <c r="H159" s="17"/>
    </row>
    <row r="160" spans="7:8" x14ac:dyDescent="0.2">
      <c r="G160" s="17"/>
      <c r="H160" s="17"/>
    </row>
    <row r="161" spans="7:8" x14ac:dyDescent="0.2">
      <c r="G161" s="17"/>
      <c r="H161" s="17"/>
    </row>
    <row r="162" spans="7:8" x14ac:dyDescent="0.2">
      <c r="G162" s="17"/>
      <c r="H162" s="17"/>
    </row>
    <row r="163" spans="7:8" x14ac:dyDescent="0.2">
      <c r="G163" s="17"/>
      <c r="H163" s="17"/>
    </row>
    <row r="164" spans="7:8" x14ac:dyDescent="0.2">
      <c r="G164" s="17"/>
      <c r="H164" s="17"/>
    </row>
    <row r="165" spans="7:8" x14ac:dyDescent="0.2">
      <c r="G165" s="17"/>
      <c r="H165" s="17"/>
    </row>
    <row r="166" spans="7:8" x14ac:dyDescent="0.2">
      <c r="G166" s="17"/>
      <c r="H166" s="17"/>
    </row>
    <row r="167" spans="7:8" x14ac:dyDescent="0.2">
      <c r="G167" s="17"/>
      <c r="H167" s="17"/>
    </row>
    <row r="168" spans="7:8" x14ac:dyDescent="0.2">
      <c r="G168" s="17"/>
      <c r="H168" s="17"/>
    </row>
    <row r="169" spans="7:8" x14ac:dyDescent="0.2">
      <c r="G169" s="17"/>
      <c r="H169" s="17"/>
    </row>
    <row r="170" spans="7:8" x14ac:dyDescent="0.2">
      <c r="G170" s="17"/>
      <c r="H170" s="17"/>
    </row>
    <row r="171" spans="7:8" x14ac:dyDescent="0.2">
      <c r="G171" s="17"/>
      <c r="H171" s="17"/>
    </row>
    <row r="172" spans="7:8" x14ac:dyDescent="0.2">
      <c r="G172" s="17"/>
      <c r="H172" s="17"/>
    </row>
    <row r="173" spans="7:8" x14ac:dyDescent="0.2">
      <c r="G173" s="17"/>
      <c r="H173" s="17"/>
    </row>
    <row r="174" spans="7:8" x14ac:dyDescent="0.2">
      <c r="G174" s="17"/>
      <c r="H174" s="17"/>
    </row>
    <row r="175" spans="7:8" x14ac:dyDescent="0.2">
      <c r="G175" s="17"/>
      <c r="H175" s="17"/>
    </row>
    <row r="176" spans="7:8" x14ac:dyDescent="0.2">
      <c r="G176" s="17"/>
      <c r="H176" s="17"/>
    </row>
    <row r="177" spans="7:8" x14ac:dyDescent="0.2">
      <c r="G177" s="17"/>
      <c r="H177" s="17"/>
    </row>
    <row r="178" spans="7:8" x14ac:dyDescent="0.2">
      <c r="G178" s="17"/>
      <c r="H178" s="17"/>
    </row>
    <row r="179" spans="7:8" x14ac:dyDescent="0.2">
      <c r="G179" s="17"/>
      <c r="H179" s="17"/>
    </row>
    <row r="180" spans="7:8" x14ac:dyDescent="0.2">
      <c r="G180" s="17"/>
      <c r="H180" s="17"/>
    </row>
    <row r="181" spans="7:8" x14ac:dyDescent="0.2">
      <c r="G181" s="17"/>
      <c r="H181" s="17"/>
    </row>
    <row r="182" spans="7:8" x14ac:dyDescent="0.2">
      <c r="G182" s="17"/>
      <c r="H182" s="17"/>
    </row>
    <row r="183" spans="7:8" x14ac:dyDescent="0.2">
      <c r="G183" s="17"/>
      <c r="H183" s="17"/>
    </row>
    <row r="184" spans="7:8" x14ac:dyDescent="0.2">
      <c r="G184" s="17"/>
      <c r="H184" s="17"/>
    </row>
    <row r="185" spans="7:8" x14ac:dyDescent="0.2">
      <c r="G185" s="17"/>
      <c r="H185" s="17"/>
    </row>
    <row r="186" spans="7:8" x14ac:dyDescent="0.2">
      <c r="G186" s="17"/>
      <c r="H186" s="17"/>
    </row>
    <row r="187" spans="7:8" x14ac:dyDescent="0.2">
      <c r="G187" s="17"/>
      <c r="H187" s="17"/>
    </row>
    <row r="188" spans="7:8" x14ac:dyDescent="0.2">
      <c r="G188" s="17"/>
      <c r="H188" s="17"/>
    </row>
    <row r="189" spans="7:8" x14ac:dyDescent="0.2">
      <c r="G189" s="17"/>
      <c r="H189" s="17"/>
    </row>
    <row r="190" spans="7:8" x14ac:dyDescent="0.2">
      <c r="G190" s="17"/>
      <c r="H190" s="17"/>
    </row>
    <row r="191" spans="7:8" x14ac:dyDescent="0.2">
      <c r="G191" s="17"/>
      <c r="H191" s="17"/>
    </row>
    <row r="192" spans="7:8" x14ac:dyDescent="0.2">
      <c r="G192" s="17"/>
      <c r="H192" s="17"/>
    </row>
    <row r="193" spans="7:8" x14ac:dyDescent="0.2">
      <c r="G193" s="17"/>
      <c r="H193" s="17"/>
    </row>
    <row r="194" spans="7:8" x14ac:dyDescent="0.2">
      <c r="G194" s="17"/>
      <c r="H194" s="17"/>
    </row>
    <row r="195" spans="7:8" x14ac:dyDescent="0.2">
      <c r="G195" s="17"/>
      <c r="H195" s="17"/>
    </row>
    <row r="196" spans="7:8" x14ac:dyDescent="0.2">
      <c r="G196" s="17"/>
      <c r="H196" s="17"/>
    </row>
    <row r="197" spans="7:8" x14ac:dyDescent="0.2">
      <c r="G197" s="17"/>
      <c r="H197" s="17"/>
    </row>
    <row r="198" spans="7:8" x14ac:dyDescent="0.2">
      <c r="G198" s="17"/>
      <c r="H198" s="17"/>
    </row>
    <row r="199" spans="7:8" x14ac:dyDescent="0.2">
      <c r="G199" s="17"/>
      <c r="H199" s="17"/>
    </row>
    <row r="200" spans="7:8" x14ac:dyDescent="0.2">
      <c r="G200" s="17"/>
      <c r="H200" s="17"/>
    </row>
    <row r="201" spans="7:8" x14ac:dyDescent="0.2">
      <c r="G201" s="17"/>
      <c r="H201" s="17"/>
    </row>
    <row r="202" spans="7:8" x14ac:dyDescent="0.2">
      <c r="G202" s="17"/>
      <c r="H202" s="17"/>
    </row>
    <row r="203" spans="7:8" x14ac:dyDescent="0.2">
      <c r="G203" s="17"/>
      <c r="H203" s="17"/>
    </row>
    <row r="204" spans="7:8" x14ac:dyDescent="0.2">
      <c r="G204" s="17"/>
      <c r="H204" s="17"/>
    </row>
    <row r="205" spans="7:8" x14ac:dyDescent="0.2">
      <c r="G205" s="17"/>
      <c r="H205" s="17"/>
    </row>
    <row r="206" spans="7:8" x14ac:dyDescent="0.2">
      <c r="G206" s="17"/>
      <c r="H206" s="17"/>
    </row>
    <row r="207" spans="7:8" x14ac:dyDescent="0.2">
      <c r="G207" s="17"/>
      <c r="H207" s="17"/>
    </row>
    <row r="208" spans="7:8" x14ac:dyDescent="0.2">
      <c r="G208" s="17"/>
      <c r="H208" s="17"/>
    </row>
    <row r="209" spans="7:8" x14ac:dyDescent="0.2">
      <c r="G209" s="17"/>
      <c r="H209" s="17"/>
    </row>
    <row r="210" spans="7:8" x14ac:dyDescent="0.2">
      <c r="G210" s="17"/>
      <c r="H210" s="17"/>
    </row>
    <row r="211" spans="7:8" x14ac:dyDescent="0.2">
      <c r="G211" s="17"/>
      <c r="H211" s="17"/>
    </row>
    <row r="212" spans="7:8" x14ac:dyDescent="0.2">
      <c r="G212" s="17"/>
      <c r="H212" s="17"/>
    </row>
    <row r="213" spans="7:8" x14ac:dyDescent="0.2">
      <c r="G213" s="17"/>
      <c r="H213" s="17"/>
    </row>
    <row r="214" spans="7:8" x14ac:dyDescent="0.2">
      <c r="G214" s="17"/>
      <c r="H214" s="17"/>
    </row>
    <row r="215" spans="7:8" x14ac:dyDescent="0.2">
      <c r="G215" s="17"/>
      <c r="H215" s="17"/>
    </row>
    <row r="216" spans="7:8" x14ac:dyDescent="0.2">
      <c r="G216" s="17"/>
      <c r="H216" s="17"/>
    </row>
    <row r="217" spans="7:8" x14ac:dyDescent="0.2">
      <c r="G217" s="17"/>
      <c r="H217" s="17"/>
    </row>
    <row r="218" spans="7:8" x14ac:dyDescent="0.2">
      <c r="G218" s="17"/>
      <c r="H218" s="17"/>
    </row>
    <row r="219" spans="7:8" x14ac:dyDescent="0.2">
      <c r="G219" s="17"/>
      <c r="H219" s="17"/>
    </row>
    <row r="220" spans="7:8" x14ac:dyDescent="0.2">
      <c r="G220" s="17"/>
      <c r="H220" s="17"/>
    </row>
    <row r="221" spans="7:8" x14ac:dyDescent="0.2">
      <c r="G221" s="17"/>
      <c r="H221" s="17"/>
    </row>
    <row r="222" spans="7:8" x14ac:dyDescent="0.2">
      <c r="G222" s="17"/>
      <c r="H222" s="17"/>
    </row>
    <row r="223" spans="7:8" x14ac:dyDescent="0.2">
      <c r="G223" s="17"/>
      <c r="H223" s="17"/>
    </row>
    <row r="224" spans="7:8" x14ac:dyDescent="0.2">
      <c r="G224" s="17"/>
      <c r="H224" s="17"/>
    </row>
    <row r="225" spans="7:8" x14ac:dyDescent="0.2">
      <c r="G225" s="17"/>
      <c r="H225" s="17"/>
    </row>
    <row r="226" spans="7:8" x14ac:dyDescent="0.2">
      <c r="G226" s="17"/>
      <c r="H226" s="17"/>
    </row>
    <row r="227" spans="7:8" x14ac:dyDescent="0.2">
      <c r="G227" s="17"/>
      <c r="H227" s="17"/>
    </row>
    <row r="228" spans="7:8" x14ac:dyDescent="0.2">
      <c r="G228" s="17"/>
      <c r="H228" s="17"/>
    </row>
    <row r="229" spans="7:8" x14ac:dyDescent="0.2">
      <c r="G229" s="17"/>
      <c r="H229" s="17"/>
    </row>
    <row r="230" spans="7:8" x14ac:dyDescent="0.2">
      <c r="G230" s="17"/>
      <c r="H230" s="17"/>
    </row>
    <row r="231" spans="7:8" x14ac:dyDescent="0.2">
      <c r="G231" s="17"/>
      <c r="H231" s="17"/>
    </row>
    <row r="232" spans="7:8" x14ac:dyDescent="0.2">
      <c r="G232" s="17"/>
      <c r="H232" s="17"/>
    </row>
    <row r="233" spans="7:8" x14ac:dyDescent="0.2">
      <c r="G233" s="17"/>
      <c r="H233" s="17"/>
    </row>
    <row r="234" spans="7:8" x14ac:dyDescent="0.2">
      <c r="G234" s="17"/>
      <c r="H234" s="17"/>
    </row>
    <row r="235" spans="7:8" x14ac:dyDescent="0.2">
      <c r="G235" s="17"/>
      <c r="H235" s="17"/>
    </row>
    <row r="236" spans="7:8" x14ac:dyDescent="0.2">
      <c r="G236" s="17"/>
      <c r="H236" s="17"/>
    </row>
    <row r="237" spans="7:8" x14ac:dyDescent="0.2">
      <c r="G237" s="17"/>
      <c r="H237" s="17"/>
    </row>
    <row r="238" spans="7:8" x14ac:dyDescent="0.2">
      <c r="G238" s="17"/>
      <c r="H238" s="17"/>
    </row>
    <row r="239" spans="7:8" x14ac:dyDescent="0.2">
      <c r="G239" s="17"/>
      <c r="H239" s="17"/>
    </row>
    <row r="240" spans="7:8" x14ac:dyDescent="0.2">
      <c r="G240" s="17"/>
      <c r="H240" s="17"/>
    </row>
    <row r="241" spans="7:8" x14ac:dyDescent="0.2">
      <c r="G241" s="17"/>
      <c r="H241" s="17"/>
    </row>
    <row r="242" spans="7:8" x14ac:dyDescent="0.2">
      <c r="G242" s="17"/>
      <c r="H242" s="17"/>
    </row>
    <row r="243" spans="7:8" x14ac:dyDescent="0.2">
      <c r="G243" s="17"/>
      <c r="H243" s="17"/>
    </row>
    <row r="244" spans="7:8" x14ac:dyDescent="0.2">
      <c r="G244" s="17"/>
      <c r="H244" s="17"/>
    </row>
    <row r="245" spans="7:8" x14ac:dyDescent="0.2">
      <c r="G245" s="17"/>
      <c r="H245" s="17"/>
    </row>
    <row r="246" spans="7:8" x14ac:dyDescent="0.2">
      <c r="G246" s="17"/>
      <c r="H246" s="17"/>
    </row>
    <row r="247" spans="7:8" x14ac:dyDescent="0.2">
      <c r="G247" s="17"/>
      <c r="H247" s="17"/>
    </row>
    <row r="248" spans="7:8" x14ac:dyDescent="0.2">
      <c r="G248" s="17"/>
      <c r="H248" s="17"/>
    </row>
    <row r="249" spans="7:8" x14ac:dyDescent="0.2">
      <c r="G249" s="17"/>
      <c r="H249" s="17"/>
    </row>
    <row r="250" spans="7:8" x14ac:dyDescent="0.2">
      <c r="G250" s="17"/>
      <c r="H250" s="17"/>
    </row>
    <row r="251" spans="7:8" x14ac:dyDescent="0.2">
      <c r="G251" s="17"/>
      <c r="H251" s="17"/>
    </row>
    <row r="252" spans="7:8" x14ac:dyDescent="0.2">
      <c r="G252" s="17"/>
      <c r="H252" s="17"/>
    </row>
    <row r="253" spans="7:8" x14ac:dyDescent="0.2">
      <c r="G253" s="17"/>
      <c r="H253" s="17"/>
    </row>
    <row r="254" spans="7:8" x14ac:dyDescent="0.2">
      <c r="G254" s="17"/>
      <c r="H254" s="17"/>
    </row>
    <row r="255" spans="7:8" x14ac:dyDescent="0.2">
      <c r="G255" s="17"/>
      <c r="H255" s="17"/>
    </row>
    <row r="256" spans="7:8" x14ac:dyDescent="0.2">
      <c r="G256" s="17"/>
      <c r="H256" s="17"/>
    </row>
    <row r="257" spans="7:8" x14ac:dyDescent="0.2">
      <c r="G257" s="17"/>
      <c r="H257" s="17"/>
    </row>
    <row r="258" spans="7:8" x14ac:dyDescent="0.2">
      <c r="G258" s="17"/>
      <c r="H258" s="17"/>
    </row>
    <row r="259" spans="7:8" x14ac:dyDescent="0.2">
      <c r="G259" s="17"/>
      <c r="H259" s="17"/>
    </row>
    <row r="260" spans="7:8" x14ac:dyDescent="0.2">
      <c r="G260" s="17"/>
      <c r="H260" s="17"/>
    </row>
    <row r="261" spans="7:8" x14ac:dyDescent="0.2">
      <c r="G261" s="17"/>
      <c r="H261" s="17"/>
    </row>
    <row r="262" spans="7:8" x14ac:dyDescent="0.2">
      <c r="G262" s="17"/>
      <c r="H262" s="17"/>
    </row>
    <row r="263" spans="7:8" x14ac:dyDescent="0.2">
      <c r="G263" s="17"/>
      <c r="H263" s="17"/>
    </row>
    <row r="264" spans="7:8" x14ac:dyDescent="0.2">
      <c r="G264" s="17"/>
      <c r="H264" s="17"/>
    </row>
    <row r="265" spans="7:8" x14ac:dyDescent="0.2">
      <c r="G265" s="17"/>
      <c r="H265" s="17"/>
    </row>
    <row r="266" spans="7:8" x14ac:dyDescent="0.2">
      <c r="G266" s="17"/>
      <c r="H266" s="17"/>
    </row>
    <row r="267" spans="7:8" x14ac:dyDescent="0.2">
      <c r="G267" s="17"/>
      <c r="H267" s="17"/>
    </row>
    <row r="268" spans="7:8" x14ac:dyDescent="0.2">
      <c r="G268" s="17"/>
      <c r="H268" s="17"/>
    </row>
    <row r="269" spans="7:8" x14ac:dyDescent="0.2">
      <c r="G269" s="17"/>
      <c r="H269" s="17"/>
    </row>
    <row r="270" spans="7:8" x14ac:dyDescent="0.2">
      <c r="G270" s="17"/>
      <c r="H270" s="17"/>
    </row>
    <row r="271" spans="7:8" x14ac:dyDescent="0.2">
      <c r="G271" s="17"/>
      <c r="H271" s="17"/>
    </row>
    <row r="272" spans="7:8" x14ac:dyDescent="0.2">
      <c r="G272" s="17"/>
      <c r="H272" s="17"/>
    </row>
    <row r="273" spans="7:8" x14ac:dyDescent="0.2">
      <c r="G273" s="17"/>
      <c r="H273" s="17"/>
    </row>
    <row r="274" spans="7:8" x14ac:dyDescent="0.2">
      <c r="G274" s="17"/>
      <c r="H274" s="17"/>
    </row>
    <row r="275" spans="7:8" x14ac:dyDescent="0.2">
      <c r="G275" s="17"/>
      <c r="H275" s="17"/>
    </row>
    <row r="276" spans="7:8" x14ac:dyDescent="0.2">
      <c r="G276" s="17"/>
      <c r="H276" s="17"/>
    </row>
    <row r="277" spans="7:8" x14ac:dyDescent="0.2">
      <c r="G277" s="17"/>
      <c r="H277" s="17"/>
    </row>
    <row r="278" spans="7:8" x14ac:dyDescent="0.2">
      <c r="G278" s="17"/>
      <c r="H278" s="17"/>
    </row>
    <row r="279" spans="7:8" x14ac:dyDescent="0.2">
      <c r="G279" s="17"/>
      <c r="H279" s="17"/>
    </row>
    <row r="280" spans="7:8" x14ac:dyDescent="0.2">
      <c r="G280" s="17"/>
      <c r="H280" s="17"/>
    </row>
    <row r="281" spans="7:8" x14ac:dyDescent="0.2">
      <c r="G281" s="17"/>
      <c r="H281" s="17"/>
    </row>
    <row r="282" spans="7:8" x14ac:dyDescent="0.2">
      <c r="G282" s="17"/>
      <c r="H282" s="17"/>
    </row>
    <row r="283" spans="7:8" x14ac:dyDescent="0.2">
      <c r="G283" s="17"/>
      <c r="H283" s="17"/>
    </row>
    <row r="284" spans="7:8" x14ac:dyDescent="0.2">
      <c r="G284" s="17"/>
      <c r="H284" s="17"/>
    </row>
    <row r="285" spans="7:8" x14ac:dyDescent="0.2">
      <c r="G285" s="17"/>
      <c r="H285" s="17"/>
    </row>
    <row r="286" spans="7:8" x14ac:dyDescent="0.2">
      <c r="G286" s="17"/>
      <c r="H286" s="17"/>
    </row>
    <row r="287" spans="7:8" x14ac:dyDescent="0.2">
      <c r="G287" s="17"/>
      <c r="H287" s="17"/>
    </row>
    <row r="288" spans="7:8" x14ac:dyDescent="0.2">
      <c r="G288" s="17"/>
      <c r="H288" s="17"/>
    </row>
    <row r="289" spans="7:8" x14ac:dyDescent="0.2">
      <c r="G289" s="17"/>
      <c r="H289" s="17"/>
    </row>
    <row r="290" spans="7:8" x14ac:dyDescent="0.2">
      <c r="G290" s="17"/>
      <c r="H290" s="17"/>
    </row>
    <row r="291" spans="7:8" x14ac:dyDescent="0.2">
      <c r="G291" s="17"/>
      <c r="H291" s="17"/>
    </row>
    <row r="292" spans="7:8" x14ac:dyDescent="0.2">
      <c r="G292" s="17"/>
      <c r="H292" s="17"/>
    </row>
    <row r="293" spans="7:8" x14ac:dyDescent="0.2">
      <c r="G293" s="17"/>
      <c r="H293" s="17"/>
    </row>
    <row r="294" spans="7:8" x14ac:dyDescent="0.2">
      <c r="G294" s="17"/>
      <c r="H294" s="17"/>
    </row>
    <row r="295" spans="7:8" x14ac:dyDescent="0.2">
      <c r="G295" s="17"/>
      <c r="H295" s="17"/>
    </row>
    <row r="296" spans="7:8" x14ac:dyDescent="0.2">
      <c r="G296" s="17"/>
      <c r="H296" s="17"/>
    </row>
    <row r="297" spans="7:8" x14ac:dyDescent="0.2">
      <c r="G297" s="17"/>
      <c r="H297" s="17"/>
    </row>
    <row r="298" spans="7:8" x14ac:dyDescent="0.2">
      <c r="G298" s="17"/>
      <c r="H298" s="17"/>
    </row>
    <row r="299" spans="7:8" x14ac:dyDescent="0.2">
      <c r="G299" s="17"/>
      <c r="H299" s="17"/>
    </row>
    <row r="300" spans="7:8" x14ac:dyDescent="0.2">
      <c r="G300" s="17"/>
      <c r="H300" s="17"/>
    </row>
    <row r="301" spans="7:8" x14ac:dyDescent="0.2">
      <c r="G301" s="17"/>
      <c r="H301" s="17"/>
    </row>
    <row r="302" spans="7:8" x14ac:dyDescent="0.2">
      <c r="G302" s="17"/>
      <c r="H302" s="17"/>
    </row>
    <row r="303" spans="7:8" x14ac:dyDescent="0.2">
      <c r="G303" s="17"/>
      <c r="H303" s="17"/>
    </row>
    <row r="304" spans="7:8" x14ac:dyDescent="0.2">
      <c r="G304" s="17"/>
      <c r="H304" s="17"/>
    </row>
    <row r="305" spans="7:8" x14ac:dyDescent="0.2">
      <c r="G305" s="17"/>
      <c r="H305" s="17"/>
    </row>
    <row r="306" spans="7:8" x14ac:dyDescent="0.2">
      <c r="G306" s="17"/>
      <c r="H306" s="17"/>
    </row>
    <row r="307" spans="7:8" x14ac:dyDescent="0.2">
      <c r="G307" s="17"/>
      <c r="H307" s="17"/>
    </row>
    <row r="308" spans="7:8" x14ac:dyDescent="0.2">
      <c r="G308" s="17"/>
      <c r="H308" s="17"/>
    </row>
    <row r="309" spans="7:8" x14ac:dyDescent="0.2">
      <c r="G309" s="17"/>
      <c r="H309" s="17"/>
    </row>
    <row r="310" spans="7:8" x14ac:dyDescent="0.2">
      <c r="G310" s="17"/>
      <c r="H310" s="17"/>
    </row>
    <row r="311" spans="7:8" x14ac:dyDescent="0.2">
      <c r="G311" s="17"/>
      <c r="H311" s="17"/>
    </row>
    <row r="312" spans="7:8" x14ac:dyDescent="0.2">
      <c r="G312" s="17"/>
      <c r="H312" s="17"/>
    </row>
    <row r="313" spans="7:8" x14ac:dyDescent="0.2">
      <c r="G313" s="17"/>
      <c r="H313" s="17"/>
    </row>
    <row r="314" spans="7:8" x14ac:dyDescent="0.2">
      <c r="G314" s="17"/>
      <c r="H314" s="17"/>
    </row>
    <row r="315" spans="7:8" x14ac:dyDescent="0.2">
      <c r="G315" s="17"/>
      <c r="H315" s="17"/>
    </row>
    <row r="316" spans="7:8" x14ac:dyDescent="0.2">
      <c r="G316" s="17"/>
      <c r="H316" s="17"/>
    </row>
    <row r="317" spans="7:8" x14ac:dyDescent="0.2">
      <c r="G317" s="17"/>
      <c r="H317" s="17"/>
    </row>
    <row r="318" spans="7:8" x14ac:dyDescent="0.2">
      <c r="G318" s="17"/>
      <c r="H318" s="17"/>
    </row>
    <row r="319" spans="7:8" x14ac:dyDescent="0.2">
      <c r="G319" s="17"/>
      <c r="H319" s="17"/>
    </row>
    <row r="320" spans="7:8" x14ac:dyDescent="0.2">
      <c r="G320" s="17"/>
      <c r="H320" s="17"/>
    </row>
    <row r="321" spans="7:8" x14ac:dyDescent="0.2">
      <c r="G321" s="17"/>
      <c r="H321" s="17"/>
    </row>
    <row r="322" spans="7:8" x14ac:dyDescent="0.2">
      <c r="G322" s="17"/>
      <c r="H322" s="17"/>
    </row>
    <row r="323" spans="7:8" x14ac:dyDescent="0.2">
      <c r="G323" s="17"/>
      <c r="H323" s="17"/>
    </row>
    <row r="324" spans="7:8" x14ac:dyDescent="0.2">
      <c r="G324" s="17"/>
      <c r="H324" s="17"/>
    </row>
    <row r="325" spans="7:8" x14ac:dyDescent="0.2">
      <c r="G325" s="17"/>
      <c r="H325" s="17"/>
    </row>
    <row r="326" spans="7:8" x14ac:dyDescent="0.2">
      <c r="G326" s="17"/>
      <c r="H326" s="17"/>
    </row>
    <row r="327" spans="7:8" x14ac:dyDescent="0.2">
      <c r="G327" s="17"/>
      <c r="H327" s="17"/>
    </row>
    <row r="328" spans="7:8" x14ac:dyDescent="0.2">
      <c r="G328" s="17"/>
      <c r="H328" s="17"/>
    </row>
    <row r="329" spans="7:8" x14ac:dyDescent="0.2">
      <c r="G329" s="17"/>
      <c r="H329" s="17"/>
    </row>
    <row r="330" spans="7:8" x14ac:dyDescent="0.2">
      <c r="G330" s="17"/>
      <c r="H330" s="17"/>
    </row>
    <row r="331" spans="7:8" x14ac:dyDescent="0.2">
      <c r="G331" s="17"/>
      <c r="H331" s="17"/>
    </row>
    <row r="332" spans="7:8" x14ac:dyDescent="0.2">
      <c r="G332" s="17"/>
      <c r="H332" s="17"/>
    </row>
    <row r="333" spans="7:8" x14ac:dyDescent="0.2">
      <c r="G333" s="17"/>
      <c r="H333" s="17"/>
    </row>
    <row r="334" spans="7:8" x14ac:dyDescent="0.2">
      <c r="G334" s="17"/>
      <c r="H334" s="17"/>
    </row>
    <row r="335" spans="7:8" x14ac:dyDescent="0.2">
      <c r="G335" s="17"/>
      <c r="H335" s="17"/>
    </row>
    <row r="336" spans="7:8" x14ac:dyDescent="0.2">
      <c r="G336" s="17"/>
      <c r="H336" s="17"/>
    </row>
    <row r="337" spans="7:8" x14ac:dyDescent="0.2">
      <c r="G337" s="17"/>
      <c r="H337" s="17"/>
    </row>
    <row r="338" spans="7:8" x14ac:dyDescent="0.2">
      <c r="G338" s="17"/>
      <c r="H338" s="17"/>
    </row>
    <row r="339" spans="7:8" x14ac:dyDescent="0.2">
      <c r="G339" s="17"/>
      <c r="H339" s="17"/>
    </row>
    <row r="340" spans="7:8" x14ac:dyDescent="0.2">
      <c r="G340" s="17"/>
      <c r="H340" s="17"/>
    </row>
    <row r="341" spans="7:8" x14ac:dyDescent="0.2">
      <c r="G341" s="17"/>
      <c r="H341" s="17"/>
    </row>
    <row r="342" spans="7:8" x14ac:dyDescent="0.2">
      <c r="G342" s="17"/>
      <c r="H342" s="17"/>
    </row>
    <row r="343" spans="7:8" x14ac:dyDescent="0.2">
      <c r="G343" s="17"/>
      <c r="H343" s="17"/>
    </row>
    <row r="344" spans="7:8" x14ac:dyDescent="0.2">
      <c r="G344" s="17"/>
      <c r="H344" s="17"/>
    </row>
    <row r="345" spans="7:8" x14ac:dyDescent="0.2">
      <c r="G345" s="17"/>
      <c r="H345" s="17"/>
    </row>
    <row r="346" spans="7:8" x14ac:dyDescent="0.2">
      <c r="G346" s="17"/>
      <c r="H346" s="17"/>
    </row>
    <row r="347" spans="7:8" x14ac:dyDescent="0.2">
      <c r="G347" s="17"/>
      <c r="H347" s="17"/>
    </row>
    <row r="348" spans="7:8" x14ac:dyDescent="0.2">
      <c r="G348" s="17"/>
      <c r="H348" s="17"/>
    </row>
    <row r="349" spans="7:8" x14ac:dyDescent="0.2">
      <c r="G349" s="17"/>
      <c r="H349" s="17"/>
    </row>
    <row r="350" spans="7:8" x14ac:dyDescent="0.2">
      <c r="G350" s="17"/>
      <c r="H350" s="17"/>
    </row>
    <row r="351" spans="7:8" x14ac:dyDescent="0.2">
      <c r="G351" s="17"/>
      <c r="H351" s="17"/>
    </row>
    <row r="352" spans="7:8" x14ac:dyDescent="0.2">
      <c r="G352" s="17"/>
      <c r="H352" s="17"/>
    </row>
    <row r="353" spans="7:8" x14ac:dyDescent="0.2">
      <c r="G353" s="17"/>
      <c r="H353" s="17"/>
    </row>
    <row r="354" spans="7:8" x14ac:dyDescent="0.2">
      <c r="G354" s="17"/>
      <c r="H354" s="17"/>
    </row>
    <row r="355" spans="7:8" x14ac:dyDescent="0.2">
      <c r="G355" s="17"/>
      <c r="H355" s="17"/>
    </row>
    <row r="356" spans="7:8" x14ac:dyDescent="0.2">
      <c r="G356" s="17"/>
      <c r="H356" s="17"/>
    </row>
    <row r="357" spans="7:8" x14ac:dyDescent="0.2">
      <c r="G357" s="17"/>
      <c r="H357" s="17"/>
    </row>
    <row r="358" spans="7:8" x14ac:dyDescent="0.2">
      <c r="G358" s="17"/>
      <c r="H358" s="17"/>
    </row>
    <row r="359" spans="7:8" x14ac:dyDescent="0.2">
      <c r="G359" s="17"/>
      <c r="H359" s="17"/>
    </row>
    <row r="360" spans="7:8" x14ac:dyDescent="0.2">
      <c r="G360" s="17"/>
      <c r="H360" s="17"/>
    </row>
    <row r="361" spans="7:8" x14ac:dyDescent="0.2">
      <c r="G361" s="17"/>
      <c r="H361" s="17"/>
    </row>
    <row r="362" spans="7:8" x14ac:dyDescent="0.2">
      <c r="G362" s="17"/>
      <c r="H362" s="17"/>
    </row>
    <row r="363" spans="7:8" x14ac:dyDescent="0.2">
      <c r="G363" s="17"/>
      <c r="H363" s="17"/>
    </row>
    <row r="364" spans="7:8" x14ac:dyDescent="0.2">
      <c r="G364" s="17"/>
      <c r="H364" s="17"/>
    </row>
    <row r="365" spans="7:8" x14ac:dyDescent="0.2">
      <c r="G365" s="17"/>
      <c r="H365" s="17"/>
    </row>
    <row r="366" spans="7:8" x14ac:dyDescent="0.2">
      <c r="G366" s="17"/>
      <c r="H366" s="17"/>
    </row>
    <row r="367" spans="7:8" x14ac:dyDescent="0.2">
      <c r="G367" s="17"/>
      <c r="H367" s="17"/>
    </row>
    <row r="368" spans="7:8" x14ac:dyDescent="0.2">
      <c r="G368" s="17"/>
      <c r="H368" s="17"/>
    </row>
    <row r="369" spans="7:8" x14ac:dyDescent="0.2">
      <c r="G369" s="17"/>
      <c r="H369" s="17"/>
    </row>
    <row r="370" spans="7:8" x14ac:dyDescent="0.2">
      <c r="G370" s="17"/>
      <c r="H370" s="17"/>
    </row>
    <row r="371" spans="7:8" x14ac:dyDescent="0.2">
      <c r="G371" s="17"/>
      <c r="H371" s="17"/>
    </row>
    <row r="372" spans="7:8" x14ac:dyDescent="0.2">
      <c r="G372" s="17"/>
      <c r="H372" s="17"/>
    </row>
    <row r="373" spans="7:8" x14ac:dyDescent="0.2">
      <c r="G373" s="17"/>
      <c r="H373" s="17"/>
    </row>
    <row r="374" spans="7:8" x14ac:dyDescent="0.2">
      <c r="G374" s="17"/>
      <c r="H374" s="17"/>
    </row>
    <row r="375" spans="7:8" x14ac:dyDescent="0.2">
      <c r="G375" s="17"/>
      <c r="H375" s="17"/>
    </row>
    <row r="376" spans="7:8" x14ac:dyDescent="0.2">
      <c r="G376" s="17"/>
      <c r="H376" s="17"/>
    </row>
    <row r="377" spans="7:8" x14ac:dyDescent="0.2">
      <c r="G377" s="17"/>
      <c r="H377" s="17"/>
    </row>
    <row r="378" spans="7:8" x14ac:dyDescent="0.2">
      <c r="G378" s="17"/>
      <c r="H378" s="17"/>
    </row>
    <row r="379" spans="7:8" x14ac:dyDescent="0.2">
      <c r="G379" s="17"/>
      <c r="H379" s="17"/>
    </row>
    <row r="380" spans="7:8" x14ac:dyDescent="0.2">
      <c r="G380" s="17"/>
      <c r="H380" s="17"/>
    </row>
    <row r="381" spans="7:8" x14ac:dyDescent="0.2">
      <c r="G381" s="17"/>
      <c r="H381" s="17"/>
    </row>
    <row r="382" spans="7:8" x14ac:dyDescent="0.2">
      <c r="G382" s="17"/>
      <c r="H382" s="17"/>
    </row>
    <row r="383" spans="7:8" x14ac:dyDescent="0.2">
      <c r="G383" s="17"/>
      <c r="H383" s="17"/>
    </row>
    <row r="384" spans="7:8" x14ac:dyDescent="0.2">
      <c r="G384" s="17"/>
      <c r="H384" s="17"/>
    </row>
    <row r="385" spans="7:8" x14ac:dyDescent="0.2">
      <c r="G385" s="17"/>
      <c r="H385" s="17"/>
    </row>
    <row r="386" spans="7:8" x14ac:dyDescent="0.2">
      <c r="G386" s="17"/>
      <c r="H386" s="17"/>
    </row>
    <row r="387" spans="7:8" x14ac:dyDescent="0.2">
      <c r="G387" s="17"/>
      <c r="H387" s="17"/>
    </row>
    <row r="388" spans="7:8" x14ac:dyDescent="0.2">
      <c r="G388" s="17"/>
      <c r="H388" s="17"/>
    </row>
    <row r="389" spans="7:8" x14ac:dyDescent="0.2">
      <c r="G389" s="17"/>
      <c r="H389" s="17"/>
    </row>
    <row r="390" spans="7:8" x14ac:dyDescent="0.2">
      <c r="G390" s="17"/>
      <c r="H390" s="17"/>
    </row>
    <row r="391" spans="7:8" x14ac:dyDescent="0.2">
      <c r="G391" s="17"/>
      <c r="H391" s="17"/>
    </row>
    <row r="392" spans="7:8" x14ac:dyDescent="0.2">
      <c r="G392" s="17"/>
      <c r="H392" s="17"/>
    </row>
    <row r="393" spans="7:8" x14ac:dyDescent="0.2">
      <c r="G393" s="17"/>
      <c r="H393" s="17"/>
    </row>
    <row r="394" spans="7:8" x14ac:dyDescent="0.2">
      <c r="G394" s="17"/>
      <c r="H394" s="17"/>
    </row>
    <row r="395" spans="7:8" x14ac:dyDescent="0.2">
      <c r="G395" s="17"/>
      <c r="H395" s="17"/>
    </row>
    <row r="396" spans="7:8" x14ac:dyDescent="0.2">
      <c r="G396" s="17"/>
      <c r="H396" s="17"/>
    </row>
    <row r="397" spans="7:8" x14ac:dyDescent="0.2">
      <c r="G397" s="17"/>
      <c r="H397" s="17"/>
    </row>
    <row r="398" spans="7:8" x14ac:dyDescent="0.2">
      <c r="G398" s="17"/>
      <c r="H398" s="17"/>
    </row>
    <row r="399" spans="7:8" x14ac:dyDescent="0.2">
      <c r="G399" s="17"/>
      <c r="H399" s="17"/>
    </row>
    <row r="400" spans="7:8" x14ac:dyDescent="0.2">
      <c r="G400" s="17"/>
      <c r="H400" s="17"/>
    </row>
    <row r="401" spans="7:8" x14ac:dyDescent="0.2">
      <c r="G401" s="17"/>
      <c r="H401" s="17"/>
    </row>
    <row r="402" spans="7:8" x14ac:dyDescent="0.2">
      <c r="G402" s="17"/>
      <c r="H402" s="17"/>
    </row>
    <row r="403" spans="7:8" x14ac:dyDescent="0.2">
      <c r="G403" s="17"/>
      <c r="H403" s="17"/>
    </row>
    <row r="404" spans="7:8" x14ac:dyDescent="0.2">
      <c r="G404" s="17"/>
      <c r="H404" s="17"/>
    </row>
    <row r="405" spans="7:8" x14ac:dyDescent="0.2">
      <c r="G405" s="17"/>
      <c r="H405" s="17"/>
    </row>
    <row r="406" spans="7:8" x14ac:dyDescent="0.2">
      <c r="G406" s="17"/>
      <c r="H406" s="17"/>
    </row>
    <row r="407" spans="7:8" x14ac:dyDescent="0.2">
      <c r="G407" s="17"/>
      <c r="H407" s="17"/>
    </row>
    <row r="408" spans="7:8" x14ac:dyDescent="0.2">
      <c r="G408" s="17"/>
      <c r="H408" s="17"/>
    </row>
    <row r="409" spans="7:8" x14ac:dyDescent="0.2">
      <c r="G409" s="17"/>
      <c r="H409" s="17"/>
    </row>
    <row r="410" spans="7:8" x14ac:dyDescent="0.2">
      <c r="G410" s="17"/>
      <c r="H410" s="17"/>
    </row>
    <row r="411" spans="7:8" x14ac:dyDescent="0.2">
      <c r="G411" s="17"/>
      <c r="H411" s="17"/>
    </row>
    <row r="412" spans="7:8" x14ac:dyDescent="0.2">
      <c r="G412" s="17"/>
      <c r="H412" s="17"/>
    </row>
    <row r="413" spans="7:8" x14ac:dyDescent="0.2">
      <c r="G413" s="17"/>
      <c r="H413" s="17"/>
    </row>
    <row r="414" spans="7:8" x14ac:dyDescent="0.2">
      <c r="G414" s="17"/>
      <c r="H414" s="17"/>
    </row>
    <row r="415" spans="7:8" x14ac:dyDescent="0.2">
      <c r="G415" s="17"/>
      <c r="H415" s="17"/>
    </row>
    <row r="416" spans="7:8" x14ac:dyDescent="0.2">
      <c r="G416" s="17"/>
      <c r="H416" s="17"/>
    </row>
    <row r="417" spans="7:8" x14ac:dyDescent="0.2">
      <c r="G417" s="17"/>
      <c r="H417" s="17"/>
    </row>
    <row r="418" spans="7:8" x14ac:dyDescent="0.2">
      <c r="G418" s="17"/>
      <c r="H418" s="17"/>
    </row>
    <row r="419" spans="7:8" x14ac:dyDescent="0.2">
      <c r="G419" s="17"/>
      <c r="H419" s="17"/>
    </row>
    <row r="420" spans="7:8" x14ac:dyDescent="0.2">
      <c r="G420" s="17"/>
      <c r="H420" s="17"/>
    </row>
    <row r="421" spans="7:8" x14ac:dyDescent="0.2">
      <c r="G421" s="17"/>
      <c r="H421" s="17"/>
    </row>
    <row r="422" spans="7:8" x14ac:dyDescent="0.2">
      <c r="G422" s="17"/>
      <c r="H422" s="17"/>
    </row>
    <row r="423" spans="7:8" x14ac:dyDescent="0.2">
      <c r="G423" s="17"/>
      <c r="H423" s="17"/>
    </row>
    <row r="424" spans="7:8" x14ac:dyDescent="0.2">
      <c r="G424" s="17"/>
      <c r="H424" s="17"/>
    </row>
    <row r="425" spans="7:8" x14ac:dyDescent="0.2">
      <c r="G425" s="17"/>
      <c r="H425" s="17"/>
    </row>
    <row r="426" spans="7:8" x14ac:dyDescent="0.2">
      <c r="G426" s="17"/>
      <c r="H426" s="17"/>
    </row>
    <row r="427" spans="7:8" x14ac:dyDescent="0.2">
      <c r="G427" s="17"/>
      <c r="H427" s="17"/>
    </row>
    <row r="428" spans="7:8" x14ac:dyDescent="0.2">
      <c r="G428" s="17"/>
      <c r="H428" s="17"/>
    </row>
    <row r="429" spans="7:8" x14ac:dyDescent="0.2">
      <c r="G429" s="17"/>
      <c r="H429" s="17"/>
    </row>
    <row r="430" spans="7:8" x14ac:dyDescent="0.2">
      <c r="G430" s="17"/>
      <c r="H430" s="17"/>
    </row>
    <row r="431" spans="7:8" x14ac:dyDescent="0.2">
      <c r="G431" s="17"/>
      <c r="H431" s="17"/>
    </row>
    <row r="432" spans="7:8" x14ac:dyDescent="0.2">
      <c r="G432" s="17"/>
      <c r="H432" s="17"/>
    </row>
    <row r="433" spans="7:8" x14ac:dyDescent="0.2">
      <c r="G433" s="17"/>
      <c r="H433" s="17"/>
    </row>
    <row r="434" spans="7:8" x14ac:dyDescent="0.2">
      <c r="G434" s="17"/>
      <c r="H434" s="17"/>
    </row>
    <row r="435" spans="7:8" x14ac:dyDescent="0.2">
      <c r="G435" s="17"/>
      <c r="H435" s="17"/>
    </row>
    <row r="436" spans="7:8" x14ac:dyDescent="0.2">
      <c r="G436" s="17"/>
      <c r="H436" s="17"/>
    </row>
    <row r="437" spans="7:8" x14ac:dyDescent="0.2">
      <c r="G437" s="17"/>
      <c r="H437" s="17"/>
    </row>
    <row r="438" spans="7:8" x14ac:dyDescent="0.2">
      <c r="G438" s="17"/>
      <c r="H438" s="17"/>
    </row>
    <row r="439" spans="7:8" x14ac:dyDescent="0.2">
      <c r="G439" s="17"/>
      <c r="H439" s="17"/>
    </row>
    <row r="440" spans="7:8" x14ac:dyDescent="0.2">
      <c r="G440" s="17"/>
      <c r="H440" s="17"/>
    </row>
    <row r="441" spans="7:8" x14ac:dyDescent="0.2">
      <c r="G441" s="17"/>
      <c r="H441" s="17"/>
    </row>
    <row r="442" spans="7:8" x14ac:dyDescent="0.2">
      <c r="G442" s="17"/>
      <c r="H442" s="17"/>
    </row>
    <row r="443" spans="7:8" x14ac:dyDescent="0.2">
      <c r="G443" s="17"/>
      <c r="H443" s="17"/>
    </row>
    <row r="444" spans="7:8" x14ac:dyDescent="0.2">
      <c r="G444" s="17"/>
      <c r="H444" s="17"/>
    </row>
    <row r="445" spans="7:8" x14ac:dyDescent="0.2">
      <c r="G445" s="17"/>
      <c r="H445" s="17"/>
    </row>
    <row r="446" spans="7:8" x14ac:dyDescent="0.2">
      <c r="G446" s="17"/>
      <c r="H446" s="17"/>
    </row>
    <row r="447" spans="7:8" x14ac:dyDescent="0.2">
      <c r="G447" s="17"/>
      <c r="H447" s="17"/>
    </row>
    <row r="448" spans="7:8" x14ac:dyDescent="0.2">
      <c r="G448" s="17"/>
      <c r="H448" s="17"/>
    </row>
    <row r="449" spans="7:8" x14ac:dyDescent="0.2">
      <c r="G449" s="17"/>
      <c r="H449" s="17"/>
    </row>
    <row r="450" spans="7:8" x14ac:dyDescent="0.2">
      <c r="G450" s="17"/>
      <c r="H450" s="17"/>
    </row>
    <row r="451" spans="7:8" x14ac:dyDescent="0.2">
      <c r="G451" s="17"/>
      <c r="H451" s="17"/>
    </row>
    <row r="452" spans="7:8" x14ac:dyDescent="0.2">
      <c r="G452" s="17"/>
      <c r="H452" s="17"/>
    </row>
    <row r="453" spans="7:8" x14ac:dyDescent="0.2">
      <c r="G453" s="17"/>
      <c r="H453" s="17"/>
    </row>
    <row r="454" spans="7:8" x14ac:dyDescent="0.2">
      <c r="G454" s="17"/>
      <c r="H454" s="17"/>
    </row>
    <row r="455" spans="7:8" x14ac:dyDescent="0.2">
      <c r="G455" s="17"/>
      <c r="H455" s="17"/>
    </row>
    <row r="456" spans="7:8" x14ac:dyDescent="0.2">
      <c r="G456" s="17"/>
      <c r="H456" s="17"/>
    </row>
    <row r="457" spans="7:8" x14ac:dyDescent="0.2">
      <c r="G457" s="17"/>
      <c r="H457" s="17"/>
    </row>
    <row r="458" spans="7:8" x14ac:dyDescent="0.2">
      <c r="G458" s="17"/>
      <c r="H458" s="17"/>
    </row>
    <row r="459" spans="7:8" x14ac:dyDescent="0.2">
      <c r="G459" s="17"/>
      <c r="H459" s="17"/>
    </row>
    <row r="460" spans="7:8" x14ac:dyDescent="0.2">
      <c r="G460" s="17"/>
      <c r="H460" s="17"/>
    </row>
    <row r="461" spans="7:8" x14ac:dyDescent="0.2">
      <c r="G461" s="17"/>
      <c r="H461" s="17"/>
    </row>
  </sheetData>
  <dataConsolidate link="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38937-93ED-4A91-B583-09D02A5CA01F}">
  <sheetPr codeName="Planilha2"/>
  <dimension ref="A1:P399"/>
  <sheetViews>
    <sheetView workbookViewId="0">
      <selection activeCell="B12" sqref="B12"/>
    </sheetView>
  </sheetViews>
  <sheetFormatPr defaultRowHeight="12.75" x14ac:dyDescent="0.2"/>
  <cols>
    <col min="1" max="1" width="37.28515625" style="1" customWidth="1"/>
    <col min="2" max="3" width="10.140625" style="1" bestFit="1" customWidth="1"/>
    <col min="4" max="4" width="12" style="1" customWidth="1"/>
    <col min="5" max="8" width="9.140625" style="1"/>
    <col min="9" max="9" width="15.7109375" style="1" bestFit="1" customWidth="1"/>
    <col min="10" max="16384" width="9.140625" style="1"/>
  </cols>
  <sheetData>
    <row r="1" spans="1:16" ht="15.75" x14ac:dyDescent="0.25">
      <c r="A1" s="9" t="s">
        <v>81</v>
      </c>
      <c r="I1" s="3" t="s">
        <v>60</v>
      </c>
      <c r="J1" s="60" t="str">
        <f>"FOCUS forecast for "&amp;$B$3&amp;" of "&amp;PROPER(TEXT($B$5,"[$-409]mmm/aa"))</f>
        <v>FOCUS forecast for IPCA of Jan/22</v>
      </c>
      <c r="K1" s="61"/>
      <c r="L1" s="61"/>
      <c r="M1" s="61"/>
      <c r="N1" s="61"/>
      <c r="O1" s="61"/>
      <c r="P1" s="61"/>
    </row>
    <row r="3" spans="1:16" x14ac:dyDescent="0.2">
      <c r="A3" s="3" t="s">
        <v>61</v>
      </c>
      <c r="B3" s="18" t="s">
        <v>36</v>
      </c>
      <c r="D3" s="1" t="s">
        <v>13</v>
      </c>
      <c r="E3" s="1" t="s">
        <v>15</v>
      </c>
      <c r="F3" s="1" t="s">
        <v>17</v>
      </c>
      <c r="G3" s="1" t="s">
        <v>21</v>
      </c>
    </row>
    <row r="4" spans="1:16" x14ac:dyDescent="0.2">
      <c r="A4" s="3" t="s">
        <v>62</v>
      </c>
      <c r="B4" s="18"/>
      <c r="D4" s="17" cm="1">
        <f t="array" ref="D4:G239">xlFOCUS_ExpectativasMensais($B$3,$B$4,$B$5,$B$6,$B$7,$B$8,$D$3:$G$3)</f>
        <v>44200</v>
      </c>
      <c r="E4" s="1">
        <v>0.2</v>
      </c>
      <c r="F4" s="1">
        <v>0.4</v>
      </c>
      <c r="G4" s="1">
        <v>0.71</v>
      </c>
    </row>
    <row r="5" spans="1:16" x14ac:dyDescent="0.2">
      <c r="A5" s="3" t="s">
        <v>63</v>
      </c>
      <c r="B5" s="14">
        <v>44562</v>
      </c>
      <c r="D5" s="17">
        <v>44201</v>
      </c>
      <c r="E5" s="1">
        <v>0.2</v>
      </c>
      <c r="F5" s="1">
        <v>0.41</v>
      </c>
      <c r="G5" s="1">
        <v>0.71</v>
      </c>
    </row>
    <row r="6" spans="1:16" x14ac:dyDescent="0.2">
      <c r="A6" s="3" t="s">
        <v>64</v>
      </c>
      <c r="B6" s="14">
        <v>44197</v>
      </c>
      <c r="D6" s="17">
        <v>44202</v>
      </c>
      <c r="E6" s="1">
        <v>0.2</v>
      </c>
      <c r="F6" s="1">
        <v>0.4</v>
      </c>
      <c r="G6" s="1">
        <v>0.71</v>
      </c>
    </row>
    <row r="7" spans="1:16" x14ac:dyDescent="0.2">
      <c r="A7" s="3" t="s">
        <v>65</v>
      </c>
      <c r="B7" s="14"/>
      <c r="D7" s="17">
        <v>44203</v>
      </c>
      <c r="E7" s="1">
        <v>0.2</v>
      </c>
      <c r="F7" s="1">
        <v>0.4</v>
      </c>
      <c r="G7" s="1">
        <v>0.71</v>
      </c>
    </row>
    <row r="8" spans="1:16" x14ac:dyDescent="0.2">
      <c r="A8" s="3" t="s">
        <v>66</v>
      </c>
      <c r="B8" s="18">
        <v>1</v>
      </c>
      <c r="D8" s="17">
        <v>44204</v>
      </c>
      <c r="E8" s="1">
        <v>0.1</v>
      </c>
      <c r="F8" s="1">
        <v>0.4</v>
      </c>
      <c r="G8" s="1">
        <v>0.71</v>
      </c>
    </row>
    <row r="9" spans="1:16" x14ac:dyDescent="0.2">
      <c r="D9" s="17">
        <v>44207</v>
      </c>
      <c r="E9" s="1">
        <v>0.1</v>
      </c>
      <c r="F9" s="1">
        <v>0.39</v>
      </c>
      <c r="G9" s="1">
        <v>0.71</v>
      </c>
    </row>
    <row r="10" spans="1:16" x14ac:dyDescent="0.2">
      <c r="D10" s="17">
        <v>44208</v>
      </c>
      <c r="E10" s="1">
        <v>0.1</v>
      </c>
      <c r="F10" s="1">
        <v>0.4</v>
      </c>
      <c r="G10" s="1">
        <v>0.71</v>
      </c>
    </row>
    <row r="11" spans="1:16" x14ac:dyDescent="0.2">
      <c r="D11" s="17">
        <v>44209</v>
      </c>
      <c r="E11" s="1">
        <v>0.1</v>
      </c>
      <c r="F11" s="1">
        <v>0.39</v>
      </c>
      <c r="G11" s="1">
        <v>0.71</v>
      </c>
    </row>
    <row r="12" spans="1:16" x14ac:dyDescent="0.2">
      <c r="D12" s="17">
        <v>44210</v>
      </c>
      <c r="E12" s="1">
        <v>0.1</v>
      </c>
      <c r="F12" s="1">
        <v>0.39</v>
      </c>
      <c r="G12" s="1">
        <v>0.71</v>
      </c>
    </row>
    <row r="13" spans="1:16" x14ac:dyDescent="0.2">
      <c r="D13" s="17">
        <v>44211</v>
      </c>
      <c r="E13" s="1">
        <v>0.18</v>
      </c>
      <c r="F13" s="1">
        <v>0.39</v>
      </c>
      <c r="G13" s="1">
        <v>0.71</v>
      </c>
    </row>
    <row r="14" spans="1:16" x14ac:dyDescent="0.2">
      <c r="D14" s="17">
        <v>44214</v>
      </c>
      <c r="E14" s="1">
        <v>0.18</v>
      </c>
      <c r="F14" s="1">
        <v>0.39</v>
      </c>
      <c r="G14" s="1">
        <v>0.71</v>
      </c>
    </row>
    <row r="15" spans="1:16" x14ac:dyDescent="0.2">
      <c r="D15" s="17">
        <v>44215</v>
      </c>
      <c r="E15" s="1">
        <v>0.18</v>
      </c>
      <c r="F15" s="1">
        <v>0.39</v>
      </c>
      <c r="G15" s="1">
        <v>0.71</v>
      </c>
    </row>
    <row r="16" spans="1:16" x14ac:dyDescent="0.2">
      <c r="D16" s="17">
        <v>44216</v>
      </c>
      <c r="E16" s="1">
        <v>0.18</v>
      </c>
      <c r="F16" s="1">
        <v>0.39</v>
      </c>
      <c r="G16" s="1">
        <v>0.71</v>
      </c>
    </row>
    <row r="17" spans="4:7" x14ac:dyDescent="0.2">
      <c r="D17" s="17">
        <v>44217</v>
      </c>
      <c r="E17" s="1">
        <v>0.18</v>
      </c>
      <c r="F17" s="1">
        <v>0.39</v>
      </c>
      <c r="G17" s="1">
        <v>0.71</v>
      </c>
    </row>
    <row r="18" spans="4:7" x14ac:dyDescent="0.2">
      <c r="D18" s="17">
        <v>44218</v>
      </c>
      <c r="E18" s="1">
        <v>0.2</v>
      </c>
      <c r="F18" s="1">
        <v>0.39</v>
      </c>
      <c r="G18" s="1">
        <v>0.71</v>
      </c>
    </row>
    <row r="19" spans="4:7" x14ac:dyDescent="0.2">
      <c r="D19" s="17">
        <v>44221</v>
      </c>
      <c r="E19" s="1">
        <v>0.2</v>
      </c>
      <c r="F19" s="1">
        <v>0.4</v>
      </c>
      <c r="G19" s="1">
        <v>0.71</v>
      </c>
    </row>
    <row r="20" spans="4:7" x14ac:dyDescent="0.2">
      <c r="D20" s="17">
        <v>44222</v>
      </c>
      <c r="E20" s="1">
        <v>0.2</v>
      </c>
      <c r="F20" s="1">
        <v>0.38</v>
      </c>
      <c r="G20" s="1">
        <v>0.71</v>
      </c>
    </row>
    <row r="21" spans="4:7" x14ac:dyDescent="0.2">
      <c r="D21" s="17">
        <v>44223</v>
      </c>
      <c r="E21" s="1">
        <v>0.2</v>
      </c>
      <c r="F21" s="1">
        <v>0.38</v>
      </c>
      <c r="G21" s="1">
        <v>0.71</v>
      </c>
    </row>
    <row r="22" spans="4:7" x14ac:dyDescent="0.2">
      <c r="D22" s="17">
        <v>44224</v>
      </c>
      <c r="E22" s="1">
        <v>0.2</v>
      </c>
      <c r="F22" s="1">
        <v>0.38</v>
      </c>
      <c r="G22" s="1">
        <v>0.71</v>
      </c>
    </row>
    <row r="23" spans="4:7" x14ac:dyDescent="0.2">
      <c r="D23" s="17">
        <v>44225</v>
      </c>
      <c r="E23" s="1">
        <v>0.24</v>
      </c>
      <c r="F23" s="1">
        <v>0.38</v>
      </c>
      <c r="G23" s="1">
        <v>0.71</v>
      </c>
    </row>
    <row r="24" spans="4:7" x14ac:dyDescent="0.2">
      <c r="D24" s="17">
        <v>44228</v>
      </c>
      <c r="E24" s="1">
        <v>0.2</v>
      </c>
      <c r="F24" s="1">
        <v>0.37</v>
      </c>
      <c r="G24" s="1">
        <v>0.71</v>
      </c>
    </row>
    <row r="25" spans="4:7" x14ac:dyDescent="0.2">
      <c r="D25" s="17">
        <v>44229</v>
      </c>
      <c r="E25" s="1">
        <v>0.2</v>
      </c>
      <c r="F25" s="1">
        <v>0.39</v>
      </c>
      <c r="G25" s="1">
        <v>0.71</v>
      </c>
    </row>
    <row r="26" spans="4:7" x14ac:dyDescent="0.2">
      <c r="D26" s="17">
        <v>44230</v>
      </c>
      <c r="E26" s="1">
        <v>0.2</v>
      </c>
      <c r="F26" s="1">
        <v>0.4</v>
      </c>
      <c r="G26" s="1">
        <v>0.71</v>
      </c>
    </row>
    <row r="27" spans="4:7" x14ac:dyDescent="0.2">
      <c r="D27" s="17">
        <v>44231</v>
      </c>
      <c r="E27" s="1">
        <v>0.2</v>
      </c>
      <c r="F27" s="1">
        <v>0.4</v>
      </c>
      <c r="G27" s="1">
        <v>0.71</v>
      </c>
    </row>
    <row r="28" spans="4:7" x14ac:dyDescent="0.2">
      <c r="D28" s="17">
        <v>44232</v>
      </c>
      <c r="E28" s="1">
        <v>0.2</v>
      </c>
      <c r="F28" s="1">
        <v>0.4</v>
      </c>
      <c r="G28" s="1">
        <v>0.71</v>
      </c>
    </row>
    <row r="29" spans="4:7" x14ac:dyDescent="0.2">
      <c r="D29" s="17">
        <v>44235</v>
      </c>
      <c r="E29" s="1">
        <v>0.25</v>
      </c>
      <c r="F29" s="1">
        <v>0.4</v>
      </c>
      <c r="G29" s="1">
        <v>0.71</v>
      </c>
    </row>
    <row r="30" spans="4:7" x14ac:dyDescent="0.2">
      <c r="D30" s="17">
        <v>44236</v>
      </c>
      <c r="E30" s="1">
        <v>0.2</v>
      </c>
      <c r="F30" s="1">
        <v>0.4</v>
      </c>
      <c r="G30" s="1">
        <v>0.71</v>
      </c>
    </row>
    <row r="31" spans="4:7" x14ac:dyDescent="0.2">
      <c r="D31" s="17">
        <v>44237</v>
      </c>
      <c r="E31" s="1">
        <v>0.2</v>
      </c>
      <c r="F31" s="1">
        <v>0.4</v>
      </c>
      <c r="G31" s="1">
        <v>0.71</v>
      </c>
    </row>
    <row r="32" spans="4:7" x14ac:dyDescent="0.2">
      <c r="D32" s="17">
        <v>44238</v>
      </c>
      <c r="E32" s="1">
        <v>0.2</v>
      </c>
      <c r="F32" s="1">
        <v>0.4</v>
      </c>
      <c r="G32" s="1">
        <v>0.71</v>
      </c>
    </row>
    <row r="33" spans="4:12" x14ac:dyDescent="0.2">
      <c r="D33" s="17">
        <v>44239</v>
      </c>
      <c r="E33" s="1">
        <v>0.2</v>
      </c>
      <c r="F33" s="1">
        <v>0.4</v>
      </c>
      <c r="G33" s="1">
        <v>0.71</v>
      </c>
    </row>
    <row r="34" spans="4:12" x14ac:dyDescent="0.2">
      <c r="D34" s="17">
        <v>44244</v>
      </c>
      <c r="E34" s="1">
        <v>0.2</v>
      </c>
      <c r="F34" s="1">
        <v>0.4</v>
      </c>
      <c r="G34" s="1">
        <v>0.71</v>
      </c>
    </row>
    <row r="35" spans="4:12" x14ac:dyDescent="0.2">
      <c r="D35" s="17">
        <v>44245</v>
      </c>
      <c r="E35" s="1">
        <v>0.22</v>
      </c>
      <c r="F35" s="1">
        <v>0.4</v>
      </c>
      <c r="G35" s="1">
        <v>0.71</v>
      </c>
    </row>
    <row r="36" spans="4:12" x14ac:dyDescent="0.2">
      <c r="D36" s="17">
        <v>44246</v>
      </c>
      <c r="E36" s="1">
        <v>0.1</v>
      </c>
      <c r="F36" s="1">
        <v>0.38</v>
      </c>
      <c r="G36" s="1">
        <v>0.71</v>
      </c>
    </row>
    <row r="37" spans="4:12" x14ac:dyDescent="0.2">
      <c r="D37" s="17">
        <v>44249</v>
      </c>
      <c r="E37" s="1">
        <v>0.1</v>
      </c>
      <c r="F37" s="1">
        <v>0.39</v>
      </c>
      <c r="G37" s="1">
        <v>0.71</v>
      </c>
    </row>
    <row r="38" spans="4:12" x14ac:dyDescent="0.2">
      <c r="D38" s="17">
        <v>44250</v>
      </c>
      <c r="E38" s="1">
        <v>0.1</v>
      </c>
      <c r="F38" s="1">
        <v>0.39</v>
      </c>
      <c r="G38" s="1">
        <v>0.71</v>
      </c>
    </row>
    <row r="39" spans="4:12" x14ac:dyDescent="0.2">
      <c r="D39" s="17">
        <v>44251</v>
      </c>
      <c r="E39" s="1">
        <v>0.1</v>
      </c>
      <c r="F39" s="1">
        <v>0.39</v>
      </c>
      <c r="G39" s="1">
        <v>0.71</v>
      </c>
      <c r="L39" s="17"/>
    </row>
    <row r="40" spans="4:12" x14ac:dyDescent="0.2">
      <c r="D40" s="17">
        <v>44252</v>
      </c>
      <c r="E40" s="1">
        <v>0.1</v>
      </c>
      <c r="F40" s="1">
        <v>0.39</v>
      </c>
      <c r="G40" s="1">
        <v>0.71</v>
      </c>
    </row>
    <row r="41" spans="4:12" x14ac:dyDescent="0.2">
      <c r="D41" s="17">
        <v>44253</v>
      </c>
      <c r="E41" s="1">
        <v>0.26</v>
      </c>
      <c r="F41" s="1">
        <v>0.4</v>
      </c>
      <c r="G41" s="1">
        <v>0.71</v>
      </c>
    </row>
    <row r="42" spans="4:12" x14ac:dyDescent="0.2">
      <c r="D42" s="17">
        <v>44256</v>
      </c>
      <c r="E42" s="1">
        <v>0.26</v>
      </c>
      <c r="F42" s="1">
        <v>0.4</v>
      </c>
      <c r="G42" s="1">
        <v>0.59</v>
      </c>
    </row>
    <row r="43" spans="4:12" x14ac:dyDescent="0.2">
      <c r="D43" s="17">
        <v>44257</v>
      </c>
      <c r="E43" s="1">
        <v>0.2</v>
      </c>
      <c r="F43" s="1">
        <v>0.4</v>
      </c>
      <c r="G43" s="1">
        <v>0.59</v>
      </c>
    </row>
    <row r="44" spans="4:12" x14ac:dyDescent="0.2">
      <c r="D44" s="17">
        <v>44258</v>
      </c>
      <c r="E44" s="1">
        <v>0.2</v>
      </c>
      <c r="F44" s="1">
        <v>0.39</v>
      </c>
      <c r="G44" s="1">
        <v>0.6</v>
      </c>
    </row>
    <row r="45" spans="4:12" x14ac:dyDescent="0.2">
      <c r="D45" s="17">
        <v>44259</v>
      </c>
      <c r="E45" s="1">
        <v>0.2</v>
      </c>
      <c r="F45" s="1">
        <v>0.39</v>
      </c>
      <c r="G45" s="1">
        <v>0.6</v>
      </c>
    </row>
    <row r="46" spans="4:12" x14ac:dyDescent="0.2">
      <c r="D46" s="17">
        <v>44260</v>
      </c>
      <c r="E46" s="1">
        <v>0.2</v>
      </c>
      <c r="F46" s="1">
        <v>0.4</v>
      </c>
      <c r="G46" s="1">
        <v>0.6</v>
      </c>
    </row>
    <row r="47" spans="4:12" x14ac:dyDescent="0.2">
      <c r="D47" s="17">
        <v>44263</v>
      </c>
      <c r="E47" s="1">
        <v>0.2</v>
      </c>
      <c r="F47" s="1">
        <v>0.41</v>
      </c>
      <c r="G47" s="1">
        <v>0.71</v>
      </c>
    </row>
    <row r="48" spans="4:12" x14ac:dyDescent="0.2">
      <c r="D48" s="17">
        <v>44264</v>
      </c>
      <c r="E48" s="1">
        <v>0.2</v>
      </c>
      <c r="F48" s="1">
        <v>0.4</v>
      </c>
      <c r="G48" s="1">
        <v>0.71</v>
      </c>
    </row>
    <row r="49" spans="4:7" x14ac:dyDescent="0.2">
      <c r="D49" s="17">
        <v>44265</v>
      </c>
      <c r="E49" s="1">
        <v>0.2</v>
      </c>
      <c r="F49" s="1">
        <v>0.41</v>
      </c>
      <c r="G49" s="1">
        <v>0.71</v>
      </c>
    </row>
    <row r="50" spans="4:7" x14ac:dyDescent="0.2">
      <c r="D50" s="17">
        <v>44266</v>
      </c>
      <c r="E50" s="1">
        <v>0.2</v>
      </c>
      <c r="F50" s="1">
        <v>0.41</v>
      </c>
      <c r="G50" s="1">
        <v>0.71</v>
      </c>
    </row>
    <row r="51" spans="4:7" x14ac:dyDescent="0.2">
      <c r="D51" s="17">
        <v>44267</v>
      </c>
      <c r="E51" s="1">
        <v>0</v>
      </c>
      <c r="F51" s="1">
        <v>0.4</v>
      </c>
      <c r="G51" s="1">
        <v>0.71</v>
      </c>
    </row>
    <row r="52" spans="4:7" x14ac:dyDescent="0.2">
      <c r="D52" s="17">
        <v>44270</v>
      </c>
      <c r="E52" s="1">
        <v>0</v>
      </c>
      <c r="F52" s="1">
        <v>0.4</v>
      </c>
      <c r="G52" s="1">
        <v>0.71</v>
      </c>
    </row>
    <row r="53" spans="4:7" x14ac:dyDescent="0.2">
      <c r="D53" s="17">
        <v>44271</v>
      </c>
      <c r="E53" s="1">
        <v>0</v>
      </c>
      <c r="F53" s="1">
        <v>0.4</v>
      </c>
      <c r="G53" s="1">
        <v>0.71</v>
      </c>
    </row>
    <row r="54" spans="4:7" x14ac:dyDescent="0.2">
      <c r="D54" s="17">
        <v>44272</v>
      </c>
      <c r="E54" s="1">
        <v>0</v>
      </c>
      <c r="F54" s="1">
        <v>0.4</v>
      </c>
      <c r="G54" s="1">
        <v>0.71</v>
      </c>
    </row>
    <row r="55" spans="4:7" x14ac:dyDescent="0.2">
      <c r="D55" s="17">
        <v>44273</v>
      </c>
      <c r="E55" s="1">
        <v>0</v>
      </c>
      <c r="F55" s="1">
        <v>0.39</v>
      </c>
      <c r="G55" s="1">
        <v>0.71</v>
      </c>
    </row>
    <row r="56" spans="4:7" x14ac:dyDescent="0.2">
      <c r="D56" s="17">
        <v>44274</v>
      </c>
      <c r="E56" s="1">
        <v>0.2</v>
      </c>
      <c r="F56" s="1">
        <v>0.4</v>
      </c>
      <c r="G56" s="1">
        <v>0.81</v>
      </c>
    </row>
    <row r="57" spans="4:7" x14ac:dyDescent="0.2">
      <c r="D57" s="17">
        <v>44277</v>
      </c>
      <c r="E57" s="1">
        <v>0.2</v>
      </c>
      <c r="F57" s="1">
        <v>0.4</v>
      </c>
      <c r="G57" s="1">
        <v>0.81</v>
      </c>
    </row>
    <row r="58" spans="4:7" x14ac:dyDescent="0.2">
      <c r="D58" s="17">
        <v>44278</v>
      </c>
      <c r="E58" s="1">
        <v>0.2</v>
      </c>
      <c r="F58" s="1">
        <v>0.39</v>
      </c>
      <c r="G58" s="1">
        <v>0.81</v>
      </c>
    </row>
    <row r="59" spans="4:7" x14ac:dyDescent="0.2">
      <c r="D59" s="17">
        <v>44279</v>
      </c>
      <c r="E59" s="1">
        <v>0.2</v>
      </c>
      <c r="F59" s="1">
        <v>0.4</v>
      </c>
      <c r="G59" s="1">
        <v>0.81</v>
      </c>
    </row>
    <row r="60" spans="4:7" x14ac:dyDescent="0.2">
      <c r="D60" s="17">
        <v>44280</v>
      </c>
      <c r="E60" s="1">
        <v>0.2</v>
      </c>
      <c r="F60" s="1">
        <v>0.4</v>
      </c>
      <c r="G60" s="1">
        <v>0.81</v>
      </c>
    </row>
    <row r="61" spans="4:7" x14ac:dyDescent="0.2">
      <c r="D61" s="17">
        <v>44281</v>
      </c>
      <c r="E61" s="1">
        <v>0.26</v>
      </c>
      <c r="F61" s="1">
        <v>0.4</v>
      </c>
      <c r="G61" s="1">
        <v>0.59</v>
      </c>
    </row>
    <row r="62" spans="4:7" x14ac:dyDescent="0.2">
      <c r="D62" s="17">
        <v>44284</v>
      </c>
      <c r="E62" s="1">
        <v>0.26</v>
      </c>
      <c r="F62" s="1">
        <v>0.4</v>
      </c>
      <c r="G62" s="1">
        <v>0.59</v>
      </c>
    </row>
    <row r="63" spans="4:7" x14ac:dyDescent="0.2">
      <c r="D63" s="17">
        <v>44285</v>
      </c>
      <c r="E63" s="1">
        <v>0.28000000000000003</v>
      </c>
      <c r="F63" s="1">
        <v>0.4</v>
      </c>
      <c r="G63" s="1">
        <v>0.81</v>
      </c>
    </row>
    <row r="64" spans="4:7" x14ac:dyDescent="0.2">
      <c r="D64" s="17">
        <v>44286</v>
      </c>
      <c r="E64" s="1">
        <v>0.25</v>
      </c>
      <c r="F64" s="1">
        <v>0.4</v>
      </c>
      <c r="G64" s="1">
        <v>0.80569999999999997</v>
      </c>
    </row>
    <row r="65" spans="4:7" x14ac:dyDescent="0.2">
      <c r="D65" s="17">
        <v>44287</v>
      </c>
      <c r="E65" s="1">
        <v>0.25</v>
      </c>
      <c r="F65" s="1">
        <v>0.4</v>
      </c>
      <c r="G65" s="1">
        <v>0.80569999999999997</v>
      </c>
    </row>
    <row r="66" spans="4:7" x14ac:dyDescent="0.2">
      <c r="D66" s="17">
        <v>44291</v>
      </c>
      <c r="E66" s="1">
        <v>0.25</v>
      </c>
      <c r="F66" s="1">
        <v>0.39</v>
      </c>
      <c r="G66" s="1">
        <v>0.80569999999999997</v>
      </c>
    </row>
    <row r="67" spans="4:7" x14ac:dyDescent="0.2">
      <c r="D67" s="17">
        <v>44292</v>
      </c>
      <c r="E67" s="1">
        <v>0.25</v>
      </c>
      <c r="F67" s="1">
        <v>0.39500000000000002</v>
      </c>
      <c r="G67" s="1">
        <v>0.80569999999999997</v>
      </c>
    </row>
    <row r="68" spans="4:7" x14ac:dyDescent="0.2">
      <c r="D68" s="17">
        <v>44293</v>
      </c>
      <c r="E68" s="1">
        <v>0.25</v>
      </c>
      <c r="F68" s="1">
        <v>0.38019999999999998</v>
      </c>
      <c r="G68" s="1">
        <v>0.6</v>
      </c>
    </row>
    <row r="69" spans="4:7" x14ac:dyDescent="0.2">
      <c r="D69" s="17">
        <v>44294</v>
      </c>
      <c r="E69" s="1">
        <v>0.25</v>
      </c>
      <c r="F69" s="1">
        <v>0.39</v>
      </c>
      <c r="G69" s="1">
        <v>0.6</v>
      </c>
    </row>
    <row r="70" spans="4:7" x14ac:dyDescent="0.2">
      <c r="D70" s="17">
        <v>44295</v>
      </c>
      <c r="E70" s="1">
        <v>0.25</v>
      </c>
      <c r="F70" s="1">
        <v>0.4</v>
      </c>
      <c r="G70" s="1">
        <v>0.80569999999999997</v>
      </c>
    </row>
    <row r="71" spans="4:7" x14ac:dyDescent="0.2">
      <c r="D71" s="17">
        <v>44298</v>
      </c>
      <c r="E71" s="1">
        <v>0.25</v>
      </c>
      <c r="F71" s="1">
        <v>0.4</v>
      </c>
      <c r="G71" s="1">
        <v>0.80569999999999997</v>
      </c>
    </row>
    <row r="72" spans="4:7" x14ac:dyDescent="0.2">
      <c r="D72" s="17">
        <v>44299</v>
      </c>
      <c r="E72" s="1">
        <v>0.25</v>
      </c>
      <c r="F72" s="1">
        <v>0.38150000000000001</v>
      </c>
      <c r="G72" s="1">
        <v>0.80569999999999997</v>
      </c>
    </row>
    <row r="73" spans="4:7" x14ac:dyDescent="0.2">
      <c r="D73" s="17">
        <v>44300</v>
      </c>
      <c r="E73" s="1">
        <v>0.25</v>
      </c>
      <c r="F73" s="1">
        <v>0.38100000000000001</v>
      </c>
      <c r="G73" s="1">
        <v>0.80569999999999997</v>
      </c>
    </row>
    <row r="74" spans="4:7" x14ac:dyDescent="0.2">
      <c r="D74" s="17">
        <v>44301</v>
      </c>
      <c r="E74" s="1">
        <v>0.25</v>
      </c>
      <c r="F74" s="1">
        <v>0.36</v>
      </c>
      <c r="G74" s="1">
        <v>0.80569999999999997</v>
      </c>
    </row>
    <row r="75" spans="4:7" x14ac:dyDescent="0.2">
      <c r="D75" s="17">
        <v>44302</v>
      </c>
      <c r="E75" s="1">
        <v>0.28000000000000003</v>
      </c>
      <c r="F75" s="1">
        <v>0.39</v>
      </c>
      <c r="G75" s="1">
        <v>0.63</v>
      </c>
    </row>
    <row r="76" spans="4:7" x14ac:dyDescent="0.2">
      <c r="D76" s="17">
        <v>44305</v>
      </c>
      <c r="E76" s="1">
        <v>0.26300000000000001</v>
      </c>
      <c r="F76" s="1">
        <v>0.4</v>
      </c>
      <c r="G76" s="1">
        <v>0.7</v>
      </c>
    </row>
    <row r="77" spans="4:7" x14ac:dyDescent="0.2">
      <c r="D77" s="17">
        <v>44306</v>
      </c>
      <c r="E77" s="1">
        <v>0.26300000000000001</v>
      </c>
      <c r="F77" s="1">
        <v>0.41</v>
      </c>
      <c r="G77" s="1">
        <v>0.7</v>
      </c>
    </row>
    <row r="78" spans="4:7" x14ac:dyDescent="0.2">
      <c r="D78" s="17">
        <v>44308</v>
      </c>
      <c r="E78" s="1">
        <v>0.26300000000000001</v>
      </c>
      <c r="F78" s="1">
        <v>0.42</v>
      </c>
      <c r="G78" s="1">
        <v>0.7</v>
      </c>
    </row>
    <row r="79" spans="4:7" x14ac:dyDescent="0.2">
      <c r="D79" s="17">
        <v>44309</v>
      </c>
      <c r="E79" s="1">
        <v>0.04</v>
      </c>
      <c r="F79" s="1">
        <v>0.4</v>
      </c>
      <c r="G79" s="1">
        <v>0.80569999999999997</v>
      </c>
    </row>
    <row r="80" spans="4:7" x14ac:dyDescent="0.2">
      <c r="D80" s="17">
        <v>44312</v>
      </c>
      <c r="E80" s="1">
        <v>0.04</v>
      </c>
      <c r="F80" s="1">
        <v>0.4</v>
      </c>
      <c r="G80" s="1">
        <v>0.80569999999999997</v>
      </c>
    </row>
    <row r="81" spans="4:7" x14ac:dyDescent="0.2">
      <c r="D81" s="17">
        <v>44313</v>
      </c>
      <c r="E81" s="1">
        <v>0.04</v>
      </c>
      <c r="F81" s="1">
        <v>0.4</v>
      </c>
      <c r="G81" s="1">
        <v>0.80569999999999997</v>
      </c>
    </row>
    <row r="82" spans="4:7" x14ac:dyDescent="0.2">
      <c r="D82" s="17">
        <v>44314</v>
      </c>
      <c r="E82" s="1">
        <v>0.04</v>
      </c>
      <c r="F82" s="1">
        <v>0.4</v>
      </c>
      <c r="G82" s="1">
        <v>0.80569999999999997</v>
      </c>
    </row>
    <row r="83" spans="4:7" x14ac:dyDescent="0.2">
      <c r="D83" s="17">
        <v>44315</v>
      </c>
      <c r="E83" s="1">
        <v>0.04</v>
      </c>
      <c r="F83" s="1">
        <v>0.39</v>
      </c>
      <c r="G83" s="1">
        <v>0.80569999999999997</v>
      </c>
    </row>
    <row r="84" spans="4:7" x14ac:dyDescent="0.2">
      <c r="D84" s="17">
        <v>44316</v>
      </c>
      <c r="E84" s="1">
        <v>0.04</v>
      </c>
      <c r="F84" s="1">
        <v>0.39</v>
      </c>
      <c r="G84" s="1">
        <v>0.80569999999999997</v>
      </c>
    </row>
    <row r="85" spans="4:7" x14ac:dyDescent="0.2">
      <c r="D85" s="17">
        <v>44319</v>
      </c>
      <c r="E85" s="1">
        <v>0.04</v>
      </c>
      <c r="F85" s="1">
        <v>0.39500000000000002</v>
      </c>
      <c r="G85" s="1">
        <v>0.80569999999999997</v>
      </c>
    </row>
    <row r="86" spans="4:7" x14ac:dyDescent="0.2">
      <c r="D86" s="17">
        <v>44320</v>
      </c>
      <c r="E86" s="1">
        <v>0.04</v>
      </c>
      <c r="F86" s="1">
        <v>0.39</v>
      </c>
      <c r="G86" s="1">
        <v>0.80569999999999997</v>
      </c>
    </row>
    <row r="87" spans="4:7" x14ac:dyDescent="0.2">
      <c r="D87" s="17">
        <v>44321</v>
      </c>
      <c r="E87" s="1">
        <v>0.04</v>
      </c>
      <c r="F87" s="1">
        <v>0.39</v>
      </c>
      <c r="G87" s="1">
        <v>0.7</v>
      </c>
    </row>
    <row r="88" spans="4:7" x14ac:dyDescent="0.2">
      <c r="D88" s="17">
        <v>44322</v>
      </c>
      <c r="E88" s="1">
        <v>0.04</v>
      </c>
      <c r="F88" s="1">
        <v>0.4</v>
      </c>
      <c r="G88" s="1">
        <v>0.7</v>
      </c>
    </row>
    <row r="89" spans="4:7" x14ac:dyDescent="0.2">
      <c r="D89" s="17">
        <v>44323</v>
      </c>
      <c r="E89" s="1">
        <v>0.25</v>
      </c>
      <c r="F89" s="1">
        <v>0.36699999999999999</v>
      </c>
      <c r="G89" s="1">
        <v>0.7</v>
      </c>
    </row>
    <row r="90" spans="4:7" x14ac:dyDescent="0.2">
      <c r="D90" s="17">
        <v>44326</v>
      </c>
      <c r="E90" s="1">
        <v>0.25</v>
      </c>
      <c r="F90" s="1">
        <v>0.36</v>
      </c>
      <c r="G90" s="1">
        <v>0.7</v>
      </c>
    </row>
    <row r="91" spans="4:7" x14ac:dyDescent="0.2">
      <c r="D91" s="17">
        <v>44327</v>
      </c>
      <c r="E91" s="1">
        <v>0.2</v>
      </c>
      <c r="F91" s="1">
        <v>0.3639</v>
      </c>
      <c r="G91" s="1">
        <v>0.7</v>
      </c>
    </row>
    <row r="92" spans="4:7" x14ac:dyDescent="0.2">
      <c r="D92" s="17">
        <v>44328</v>
      </c>
      <c r="E92" s="1">
        <v>0.17</v>
      </c>
      <c r="F92" s="1">
        <v>0.37</v>
      </c>
      <c r="G92" s="1">
        <v>0.7</v>
      </c>
    </row>
    <row r="93" spans="4:7" x14ac:dyDescent="0.2">
      <c r="D93" s="17">
        <v>44329</v>
      </c>
      <c r="E93" s="1">
        <v>0.17</v>
      </c>
      <c r="F93" s="1">
        <v>0.37</v>
      </c>
      <c r="G93" s="1">
        <v>0.7</v>
      </c>
    </row>
    <row r="94" spans="4:7" x14ac:dyDescent="0.2">
      <c r="D94" s="17">
        <v>44330</v>
      </c>
      <c r="E94" s="1">
        <v>0.08</v>
      </c>
      <c r="F94" s="1">
        <v>0.36499999999999999</v>
      </c>
      <c r="G94" s="1">
        <v>0.7</v>
      </c>
    </row>
    <row r="95" spans="4:7" x14ac:dyDescent="0.2">
      <c r="D95" s="17">
        <v>44333</v>
      </c>
      <c r="E95" s="1">
        <v>0.08</v>
      </c>
      <c r="F95" s="1">
        <v>0.38</v>
      </c>
      <c r="G95" s="1">
        <v>0.7</v>
      </c>
    </row>
    <row r="96" spans="4:7" x14ac:dyDescent="0.2">
      <c r="D96" s="17">
        <v>44334</v>
      </c>
      <c r="E96" s="1">
        <v>0.08</v>
      </c>
      <c r="F96" s="1">
        <v>0.38</v>
      </c>
      <c r="G96" s="1">
        <v>0.7</v>
      </c>
    </row>
    <row r="97" spans="4:7" x14ac:dyDescent="0.2">
      <c r="D97" s="17">
        <v>44335</v>
      </c>
      <c r="E97" s="1">
        <v>0.08</v>
      </c>
      <c r="F97" s="1">
        <v>0.35</v>
      </c>
      <c r="G97" s="1">
        <v>0.7</v>
      </c>
    </row>
    <row r="98" spans="4:7" x14ac:dyDescent="0.2">
      <c r="D98" s="17">
        <v>44336</v>
      </c>
      <c r="E98" s="1">
        <v>0.08</v>
      </c>
      <c r="F98" s="1">
        <v>0.3543</v>
      </c>
      <c r="G98" s="1">
        <v>0.7</v>
      </c>
    </row>
    <row r="99" spans="4:7" x14ac:dyDescent="0.2">
      <c r="D99" s="17">
        <v>44337</v>
      </c>
      <c r="E99" s="1">
        <v>0.08</v>
      </c>
      <c r="F99" s="1">
        <v>0.37</v>
      </c>
      <c r="G99" s="1">
        <v>0.7</v>
      </c>
    </row>
    <row r="100" spans="4:7" x14ac:dyDescent="0.2">
      <c r="D100" s="17">
        <v>44340</v>
      </c>
      <c r="E100" s="1">
        <v>0.08</v>
      </c>
      <c r="F100" s="1">
        <v>0.36499999999999999</v>
      </c>
      <c r="G100" s="1">
        <v>0.7</v>
      </c>
    </row>
    <row r="101" spans="4:7" x14ac:dyDescent="0.2">
      <c r="D101" s="17">
        <v>44341</v>
      </c>
      <c r="E101" s="1">
        <v>0.08</v>
      </c>
      <c r="F101" s="1">
        <v>0.36</v>
      </c>
      <c r="G101" s="1">
        <v>0.7</v>
      </c>
    </row>
    <row r="102" spans="4:7" x14ac:dyDescent="0.2">
      <c r="D102" s="17">
        <v>44342</v>
      </c>
      <c r="E102" s="1">
        <v>0.08</v>
      </c>
      <c r="F102" s="1">
        <v>0.37</v>
      </c>
      <c r="G102" s="1">
        <v>0.7</v>
      </c>
    </row>
    <row r="103" spans="4:7" x14ac:dyDescent="0.2">
      <c r="D103" s="17">
        <v>44343</v>
      </c>
      <c r="E103" s="1">
        <v>0.08</v>
      </c>
      <c r="F103" s="1">
        <v>0.36499999999999999</v>
      </c>
      <c r="G103" s="1">
        <v>0.7</v>
      </c>
    </row>
    <row r="104" spans="4:7" x14ac:dyDescent="0.2">
      <c r="D104" s="17">
        <v>44344</v>
      </c>
      <c r="E104" s="1">
        <v>0.11</v>
      </c>
      <c r="F104" s="1">
        <v>0.36</v>
      </c>
      <c r="G104" s="1">
        <v>0.7</v>
      </c>
    </row>
    <row r="105" spans="4:7" x14ac:dyDescent="0.2">
      <c r="D105" s="17">
        <v>44347</v>
      </c>
      <c r="E105" s="1">
        <v>0.11</v>
      </c>
      <c r="F105" s="1">
        <v>0.35549999999999998</v>
      </c>
      <c r="G105" s="1">
        <v>0.7</v>
      </c>
    </row>
    <row r="106" spans="4:7" x14ac:dyDescent="0.2">
      <c r="D106" s="17">
        <v>44348</v>
      </c>
      <c r="E106" s="1">
        <v>0.11</v>
      </c>
      <c r="F106" s="1">
        <v>0.35549999999999998</v>
      </c>
      <c r="G106" s="1">
        <v>0.7</v>
      </c>
    </row>
    <row r="107" spans="4:7" x14ac:dyDescent="0.2">
      <c r="D107" s="17">
        <v>44349</v>
      </c>
      <c r="E107" s="1">
        <v>0.11</v>
      </c>
      <c r="F107" s="1">
        <v>0.39</v>
      </c>
      <c r="G107" s="1">
        <v>0.7</v>
      </c>
    </row>
    <row r="108" spans="4:7" x14ac:dyDescent="0.2">
      <c r="D108" s="17">
        <v>44351</v>
      </c>
      <c r="E108" s="1">
        <v>0.11</v>
      </c>
      <c r="F108" s="1">
        <v>0.37</v>
      </c>
      <c r="G108" s="1">
        <v>0.7</v>
      </c>
    </row>
    <row r="109" spans="4:7" x14ac:dyDescent="0.2">
      <c r="D109" s="17">
        <v>44354</v>
      </c>
      <c r="E109" s="1">
        <v>0.15</v>
      </c>
      <c r="F109" s="1">
        <v>0.37</v>
      </c>
      <c r="G109" s="1">
        <v>0.7</v>
      </c>
    </row>
    <row r="110" spans="4:7" x14ac:dyDescent="0.2">
      <c r="D110" s="17">
        <v>44355</v>
      </c>
      <c r="E110" s="1">
        <v>0.15</v>
      </c>
      <c r="F110" s="1">
        <v>0.37</v>
      </c>
      <c r="G110" s="1">
        <v>0.7</v>
      </c>
    </row>
    <row r="111" spans="4:7" x14ac:dyDescent="0.2">
      <c r="D111" s="17">
        <v>44356</v>
      </c>
      <c r="E111" s="1">
        <v>0.15</v>
      </c>
      <c r="F111" s="1">
        <v>0.37</v>
      </c>
      <c r="G111" s="1">
        <v>0.7</v>
      </c>
    </row>
    <row r="112" spans="4:7" x14ac:dyDescent="0.2">
      <c r="D112" s="17">
        <v>44357</v>
      </c>
      <c r="E112" s="1">
        <v>0.15</v>
      </c>
      <c r="F112" s="1">
        <v>0.36099999999999999</v>
      </c>
      <c r="G112" s="1">
        <v>0.7</v>
      </c>
    </row>
    <row r="113" spans="4:7" x14ac:dyDescent="0.2">
      <c r="D113" s="17">
        <v>44358</v>
      </c>
      <c r="E113" s="1">
        <v>0.16</v>
      </c>
      <c r="F113" s="1">
        <v>0.36</v>
      </c>
      <c r="G113" s="1">
        <v>0.7</v>
      </c>
    </row>
    <row r="114" spans="4:7" x14ac:dyDescent="0.2">
      <c r="D114" s="17">
        <v>44361</v>
      </c>
      <c r="E114" s="1">
        <v>0.16</v>
      </c>
      <c r="F114" s="1">
        <v>0.36</v>
      </c>
      <c r="G114" s="1">
        <v>0.7</v>
      </c>
    </row>
    <row r="115" spans="4:7" x14ac:dyDescent="0.2">
      <c r="D115" s="17">
        <v>44362</v>
      </c>
      <c r="E115" s="1">
        <v>0.16</v>
      </c>
      <c r="F115" s="1">
        <v>0.36</v>
      </c>
      <c r="G115" s="1">
        <v>0.7</v>
      </c>
    </row>
    <row r="116" spans="4:7" x14ac:dyDescent="0.2">
      <c r="D116" s="17">
        <v>44363</v>
      </c>
      <c r="E116" s="1">
        <v>0.16</v>
      </c>
      <c r="F116" s="1">
        <v>0.36049999999999999</v>
      </c>
      <c r="G116" s="1">
        <v>0.7</v>
      </c>
    </row>
    <row r="117" spans="4:7" x14ac:dyDescent="0.2">
      <c r="D117" s="17">
        <v>44364</v>
      </c>
      <c r="E117" s="1">
        <v>0.16</v>
      </c>
      <c r="F117" s="1">
        <v>0.36549999999999999</v>
      </c>
      <c r="G117" s="1">
        <v>0.7</v>
      </c>
    </row>
    <row r="118" spans="4:7" x14ac:dyDescent="0.2">
      <c r="D118" s="17">
        <v>44365</v>
      </c>
      <c r="E118" s="1">
        <v>0.12</v>
      </c>
      <c r="F118" s="1">
        <v>0.35</v>
      </c>
      <c r="G118" s="1">
        <v>0.7</v>
      </c>
    </row>
    <row r="119" spans="4:7" x14ac:dyDescent="0.2">
      <c r="D119" s="17">
        <v>44368</v>
      </c>
      <c r="E119" s="1">
        <v>0.12</v>
      </c>
      <c r="F119" s="1">
        <v>0.35</v>
      </c>
      <c r="G119" s="1">
        <v>0.7</v>
      </c>
    </row>
    <row r="120" spans="4:7" x14ac:dyDescent="0.2">
      <c r="D120" s="17">
        <v>44369</v>
      </c>
      <c r="E120" s="1">
        <v>0.12</v>
      </c>
      <c r="F120" s="1">
        <v>0.35</v>
      </c>
      <c r="G120" s="1">
        <v>0.7</v>
      </c>
    </row>
    <row r="121" spans="4:7" x14ac:dyDescent="0.2">
      <c r="D121" s="17">
        <v>44370</v>
      </c>
      <c r="E121" s="1">
        <v>0.12</v>
      </c>
      <c r="F121" s="1">
        <v>0.34</v>
      </c>
      <c r="G121" s="1">
        <v>0.7</v>
      </c>
    </row>
    <row r="122" spans="4:7" x14ac:dyDescent="0.2">
      <c r="D122" s="17">
        <v>44371</v>
      </c>
      <c r="E122" s="1">
        <v>0.12</v>
      </c>
      <c r="F122" s="1">
        <v>0.34499999999999997</v>
      </c>
      <c r="G122" s="1">
        <v>0.7</v>
      </c>
    </row>
    <row r="123" spans="4:7" x14ac:dyDescent="0.2">
      <c r="D123" s="17">
        <v>44372</v>
      </c>
      <c r="E123" s="1">
        <v>7.0000000000000007E-2</v>
      </c>
      <c r="F123" s="1">
        <v>0.35809999999999997</v>
      </c>
      <c r="G123" s="1">
        <v>0.7</v>
      </c>
    </row>
    <row r="124" spans="4:7" x14ac:dyDescent="0.2">
      <c r="D124" s="17">
        <v>44375</v>
      </c>
      <c r="E124" s="1">
        <v>0.03</v>
      </c>
      <c r="F124" s="1">
        <v>0.35249999999999998</v>
      </c>
      <c r="G124" s="1">
        <v>0.7</v>
      </c>
    </row>
    <row r="125" spans="4:7" x14ac:dyDescent="0.2">
      <c r="D125" s="17">
        <v>44376</v>
      </c>
      <c r="E125" s="1">
        <v>0.03</v>
      </c>
      <c r="F125" s="1">
        <v>0.35</v>
      </c>
      <c r="G125" s="1">
        <v>0.6</v>
      </c>
    </row>
    <row r="126" spans="4:7" x14ac:dyDescent="0.2">
      <c r="D126" s="17">
        <v>44377</v>
      </c>
      <c r="E126" s="1">
        <v>7.0000000000000007E-2</v>
      </c>
      <c r="F126" s="1">
        <v>0.35809999999999997</v>
      </c>
      <c r="G126" s="1">
        <v>0.6</v>
      </c>
    </row>
    <row r="127" spans="4:7" x14ac:dyDescent="0.2">
      <c r="D127" s="17">
        <v>44378</v>
      </c>
      <c r="E127" s="1">
        <v>7.0000000000000007E-2</v>
      </c>
      <c r="F127" s="1">
        <v>0.36499999999999999</v>
      </c>
      <c r="G127" s="1">
        <v>0.6</v>
      </c>
    </row>
    <row r="128" spans="4:7" x14ac:dyDescent="0.2">
      <c r="D128" s="17">
        <v>44379</v>
      </c>
      <c r="E128" s="1">
        <v>-0.19</v>
      </c>
      <c r="F128" s="1">
        <v>0.34</v>
      </c>
      <c r="G128" s="1">
        <v>0.7</v>
      </c>
    </row>
    <row r="129" spans="4:7" x14ac:dyDescent="0.2">
      <c r="D129" s="17">
        <v>44382</v>
      </c>
      <c r="E129" s="1">
        <v>-0.19</v>
      </c>
      <c r="F129" s="1">
        <v>0.35</v>
      </c>
      <c r="G129" s="1">
        <v>0.7</v>
      </c>
    </row>
    <row r="130" spans="4:7" x14ac:dyDescent="0.2">
      <c r="D130" s="17">
        <v>44383</v>
      </c>
      <c r="E130" s="1">
        <v>-0.19</v>
      </c>
      <c r="F130" s="1">
        <v>0.35</v>
      </c>
      <c r="G130" s="1">
        <v>0.7</v>
      </c>
    </row>
    <row r="131" spans="4:7" x14ac:dyDescent="0.2">
      <c r="D131" s="17">
        <v>44384</v>
      </c>
      <c r="E131" s="1">
        <v>-0.19</v>
      </c>
      <c r="F131" s="1">
        <v>0.35</v>
      </c>
      <c r="G131" s="1">
        <v>0.7</v>
      </c>
    </row>
    <row r="132" spans="4:7" x14ac:dyDescent="0.2">
      <c r="D132" s="17">
        <v>44385</v>
      </c>
      <c r="E132" s="1">
        <v>-0.24</v>
      </c>
      <c r="F132" s="1">
        <v>0.35499999999999998</v>
      </c>
      <c r="G132" s="1">
        <v>0.7</v>
      </c>
    </row>
    <row r="133" spans="4:7" x14ac:dyDescent="0.2">
      <c r="D133" s="17">
        <v>44386</v>
      </c>
      <c r="E133" s="1">
        <v>-0.24</v>
      </c>
      <c r="F133" s="1">
        <v>0.34499999999999997</v>
      </c>
      <c r="G133" s="1">
        <v>0.7</v>
      </c>
    </row>
    <row r="134" spans="4:7" x14ac:dyDescent="0.2">
      <c r="D134" s="17">
        <v>44389</v>
      </c>
      <c r="E134" s="1">
        <v>-0.24</v>
      </c>
      <c r="F134" s="1">
        <v>0.34</v>
      </c>
      <c r="G134" s="1">
        <v>0.7</v>
      </c>
    </row>
    <row r="135" spans="4:7" x14ac:dyDescent="0.2">
      <c r="D135" s="17">
        <v>44390</v>
      </c>
      <c r="E135" s="1">
        <v>-0.24</v>
      </c>
      <c r="F135" s="1">
        <v>0.34</v>
      </c>
      <c r="G135" s="1">
        <v>0.65</v>
      </c>
    </row>
    <row r="136" spans="4:7" x14ac:dyDescent="0.2">
      <c r="D136" s="17">
        <v>44391</v>
      </c>
      <c r="E136" s="1">
        <v>-0.24</v>
      </c>
      <c r="F136" s="1">
        <v>0.34</v>
      </c>
      <c r="G136" s="1">
        <v>0.65</v>
      </c>
    </row>
    <row r="137" spans="4:7" x14ac:dyDescent="0.2">
      <c r="D137" s="17">
        <v>44392</v>
      </c>
      <c r="E137" s="1">
        <v>0.1</v>
      </c>
      <c r="F137" s="1">
        <v>0.33379999999999999</v>
      </c>
      <c r="G137" s="1">
        <v>0.65</v>
      </c>
    </row>
    <row r="138" spans="4:7" x14ac:dyDescent="0.2">
      <c r="D138" s="17">
        <v>44393</v>
      </c>
      <c r="E138" s="1">
        <v>-0.24</v>
      </c>
      <c r="F138" s="1">
        <v>0.35</v>
      </c>
      <c r="G138" s="1">
        <v>0.7</v>
      </c>
    </row>
    <row r="139" spans="4:7" x14ac:dyDescent="0.2">
      <c r="D139" s="17">
        <v>44396</v>
      </c>
      <c r="E139" s="1">
        <v>-0.24</v>
      </c>
      <c r="F139" s="1">
        <v>0.35499999999999998</v>
      </c>
      <c r="G139" s="1">
        <v>0.7</v>
      </c>
    </row>
    <row r="140" spans="4:7" x14ac:dyDescent="0.2">
      <c r="D140" s="17">
        <v>44397</v>
      </c>
      <c r="E140" s="1">
        <v>-0.24</v>
      </c>
      <c r="F140" s="1">
        <v>0.35</v>
      </c>
      <c r="G140" s="1">
        <v>0.7</v>
      </c>
    </row>
    <row r="141" spans="4:7" x14ac:dyDescent="0.2">
      <c r="D141" s="17">
        <v>44398</v>
      </c>
      <c r="E141" s="1">
        <v>-0.24</v>
      </c>
      <c r="F141" s="1">
        <v>0.35649999999999998</v>
      </c>
      <c r="G141" s="1">
        <v>0.7</v>
      </c>
    </row>
    <row r="142" spans="4:7" x14ac:dyDescent="0.2">
      <c r="D142" s="17">
        <v>44399</v>
      </c>
      <c r="E142" s="1">
        <v>-0.24</v>
      </c>
      <c r="F142" s="1">
        <v>0.35830000000000001</v>
      </c>
      <c r="G142" s="1">
        <v>0.7</v>
      </c>
    </row>
    <row r="143" spans="4:7" x14ac:dyDescent="0.2">
      <c r="D143" s="17">
        <v>44400</v>
      </c>
      <c r="E143" s="1">
        <v>-0.14000000000000001</v>
      </c>
      <c r="F143" s="1">
        <v>0.35</v>
      </c>
      <c r="G143" s="1">
        <v>0.7</v>
      </c>
    </row>
    <row r="144" spans="4:7" x14ac:dyDescent="0.2">
      <c r="D144" s="17">
        <v>44403</v>
      </c>
      <c r="E144" s="1">
        <v>-0.14000000000000001</v>
      </c>
      <c r="F144" s="1">
        <v>0.36</v>
      </c>
      <c r="G144" s="1">
        <v>0.65</v>
      </c>
    </row>
    <row r="145" spans="4:7" x14ac:dyDescent="0.2">
      <c r="D145" s="17">
        <v>44404</v>
      </c>
      <c r="E145" s="1">
        <v>-0.14000000000000001</v>
      </c>
      <c r="F145" s="1">
        <v>0.36</v>
      </c>
      <c r="G145" s="1">
        <v>0.65</v>
      </c>
    </row>
    <row r="146" spans="4:7" x14ac:dyDescent="0.2">
      <c r="D146" s="17">
        <v>44405</v>
      </c>
      <c r="E146" s="1">
        <v>-0.26</v>
      </c>
      <c r="F146" s="1">
        <v>0.36</v>
      </c>
      <c r="G146" s="1">
        <v>0.65</v>
      </c>
    </row>
    <row r="147" spans="4:7" x14ac:dyDescent="0.2">
      <c r="D147" s="17">
        <v>44406</v>
      </c>
      <c r="E147" s="1">
        <v>-0.26</v>
      </c>
      <c r="F147" s="1">
        <v>0.36</v>
      </c>
      <c r="G147" s="1">
        <v>0.65</v>
      </c>
    </row>
    <row r="148" spans="4:7" x14ac:dyDescent="0.2">
      <c r="D148" s="17">
        <v>44407</v>
      </c>
      <c r="E148" s="1">
        <v>-0.26</v>
      </c>
      <c r="F148" s="1">
        <v>0.37</v>
      </c>
      <c r="G148" s="1">
        <v>0.65</v>
      </c>
    </row>
    <row r="149" spans="4:7" x14ac:dyDescent="0.2">
      <c r="D149" s="17">
        <v>44410</v>
      </c>
      <c r="E149" s="1">
        <v>-0.26</v>
      </c>
      <c r="F149" s="1">
        <v>0.37</v>
      </c>
      <c r="G149" s="1">
        <v>0.65</v>
      </c>
    </row>
    <row r="150" spans="4:7" x14ac:dyDescent="0.2">
      <c r="D150" s="17">
        <v>44411</v>
      </c>
      <c r="E150" s="1">
        <v>-0.26</v>
      </c>
      <c r="F150" s="1">
        <v>0.37019999999999997</v>
      </c>
      <c r="G150" s="1">
        <v>0.65</v>
      </c>
    </row>
    <row r="151" spans="4:7" x14ac:dyDescent="0.2">
      <c r="D151" s="17">
        <v>44412</v>
      </c>
      <c r="E151" s="1">
        <v>-0.1</v>
      </c>
      <c r="F151" s="1">
        <v>0.37</v>
      </c>
      <c r="G151" s="1">
        <v>0.65</v>
      </c>
    </row>
    <row r="152" spans="4:7" x14ac:dyDescent="0.2">
      <c r="D152" s="17">
        <v>44413</v>
      </c>
      <c r="E152" s="1">
        <v>-0.1</v>
      </c>
      <c r="F152" s="1">
        <v>0.37009999999999998</v>
      </c>
      <c r="G152" s="1">
        <v>0.65</v>
      </c>
    </row>
    <row r="153" spans="4:7" x14ac:dyDescent="0.2">
      <c r="D153" s="17">
        <v>44414</v>
      </c>
      <c r="E153" s="1">
        <v>0.05</v>
      </c>
      <c r="F153" s="1">
        <v>0.37019999999999997</v>
      </c>
      <c r="G153" s="1">
        <v>0.6</v>
      </c>
    </row>
    <row r="154" spans="4:7" x14ac:dyDescent="0.2">
      <c r="D154" s="17">
        <v>44417</v>
      </c>
      <c r="E154" s="1">
        <v>0.05</v>
      </c>
      <c r="F154" s="1">
        <v>0.37009999999999998</v>
      </c>
      <c r="G154" s="1">
        <v>0.7</v>
      </c>
    </row>
    <row r="155" spans="4:7" x14ac:dyDescent="0.2">
      <c r="D155" s="17">
        <v>44418</v>
      </c>
      <c r="E155" s="1">
        <v>0.05</v>
      </c>
      <c r="F155" s="1">
        <v>0.37009999999999998</v>
      </c>
      <c r="G155" s="1">
        <v>0.7</v>
      </c>
    </row>
    <row r="156" spans="4:7" x14ac:dyDescent="0.2">
      <c r="D156" s="17">
        <v>44419</v>
      </c>
      <c r="E156" s="1">
        <v>0.05</v>
      </c>
      <c r="F156" s="1">
        <v>0.37509999999999999</v>
      </c>
      <c r="G156" s="1">
        <v>0.7</v>
      </c>
    </row>
    <row r="157" spans="4:7" x14ac:dyDescent="0.2">
      <c r="D157" s="17">
        <v>44420</v>
      </c>
      <c r="E157" s="1">
        <v>0.05</v>
      </c>
      <c r="F157" s="1">
        <v>0.37</v>
      </c>
      <c r="G157" s="1">
        <v>0.7</v>
      </c>
    </row>
    <row r="158" spans="4:7" x14ac:dyDescent="0.2">
      <c r="D158" s="17">
        <v>44421</v>
      </c>
      <c r="E158" s="1">
        <v>-7.0000000000000007E-2</v>
      </c>
      <c r="F158" s="1">
        <v>0.36670000000000003</v>
      </c>
      <c r="G158" s="1">
        <v>0.7</v>
      </c>
    </row>
    <row r="159" spans="4:7" x14ac:dyDescent="0.2">
      <c r="D159" s="17">
        <v>44424</v>
      </c>
      <c r="E159" s="1">
        <v>-7.0000000000000007E-2</v>
      </c>
      <c r="F159" s="1">
        <v>0.36670000000000003</v>
      </c>
      <c r="G159" s="1">
        <v>0.7</v>
      </c>
    </row>
    <row r="160" spans="4:7" x14ac:dyDescent="0.2">
      <c r="D160" s="17">
        <v>44425</v>
      </c>
      <c r="E160" s="1">
        <v>-7.0000000000000007E-2</v>
      </c>
      <c r="F160" s="1">
        <v>0.36170000000000002</v>
      </c>
      <c r="G160" s="1">
        <v>0.7</v>
      </c>
    </row>
    <row r="161" spans="4:7" x14ac:dyDescent="0.2">
      <c r="D161" s="17">
        <v>44426</v>
      </c>
      <c r="E161" s="1">
        <v>-7.0000000000000007E-2</v>
      </c>
      <c r="F161" s="1">
        <v>0.37</v>
      </c>
      <c r="G161" s="1">
        <v>0.7</v>
      </c>
    </row>
    <row r="162" spans="4:7" x14ac:dyDescent="0.2">
      <c r="D162" s="17">
        <v>44427</v>
      </c>
      <c r="E162" s="1">
        <v>-7.0000000000000007E-2</v>
      </c>
      <c r="F162" s="1">
        <v>0.4</v>
      </c>
      <c r="G162" s="1">
        <v>0.7</v>
      </c>
    </row>
    <row r="163" spans="4:7" x14ac:dyDescent="0.2">
      <c r="D163" s="17">
        <v>44428</v>
      </c>
      <c r="E163" s="1">
        <v>-7.0000000000000007E-2</v>
      </c>
      <c r="F163" s="1">
        <v>0.4</v>
      </c>
      <c r="G163" s="1">
        <v>0.7</v>
      </c>
    </row>
    <row r="164" spans="4:7" x14ac:dyDescent="0.2">
      <c r="D164" s="17">
        <v>44431</v>
      </c>
      <c r="E164" s="1">
        <v>-7.0000000000000007E-2</v>
      </c>
      <c r="F164" s="1">
        <v>0.4</v>
      </c>
      <c r="G164" s="1">
        <v>0.7</v>
      </c>
    </row>
    <row r="165" spans="4:7" x14ac:dyDescent="0.2">
      <c r="D165" s="17">
        <v>44432</v>
      </c>
      <c r="E165" s="1">
        <v>-7.0000000000000007E-2</v>
      </c>
      <c r="F165" s="1">
        <v>0.4</v>
      </c>
      <c r="G165" s="1">
        <v>0.7</v>
      </c>
    </row>
    <row r="166" spans="4:7" x14ac:dyDescent="0.2">
      <c r="D166" s="17">
        <v>44433</v>
      </c>
      <c r="E166" s="1">
        <v>-7.0000000000000007E-2</v>
      </c>
      <c r="F166" s="1">
        <v>0.4</v>
      </c>
      <c r="G166" s="1">
        <v>0.7</v>
      </c>
    </row>
    <row r="167" spans="4:7" x14ac:dyDescent="0.2">
      <c r="D167" s="17">
        <v>44434</v>
      </c>
      <c r="E167" s="1">
        <v>-7.0000000000000007E-2</v>
      </c>
      <c r="F167" s="1">
        <v>0.4</v>
      </c>
      <c r="G167" s="1">
        <v>0.7</v>
      </c>
    </row>
    <row r="168" spans="4:7" x14ac:dyDescent="0.2">
      <c r="D168" s="17">
        <v>44435</v>
      </c>
      <c r="E168" s="1">
        <v>-0.33700000000000002</v>
      </c>
      <c r="F168" s="1">
        <v>0.4</v>
      </c>
      <c r="G168" s="1">
        <v>0.7</v>
      </c>
    </row>
    <row r="169" spans="4:7" x14ac:dyDescent="0.2">
      <c r="D169" s="17">
        <v>44438</v>
      </c>
      <c r="E169" s="1">
        <v>0.16</v>
      </c>
      <c r="F169" s="1">
        <v>0.42</v>
      </c>
      <c r="G169" s="1">
        <v>0.7</v>
      </c>
    </row>
    <row r="170" spans="4:7" x14ac:dyDescent="0.2">
      <c r="D170" s="17">
        <v>44439</v>
      </c>
      <c r="E170" s="1">
        <v>-0.18</v>
      </c>
      <c r="F170" s="1">
        <v>0.41</v>
      </c>
      <c r="G170" s="1">
        <v>0.7</v>
      </c>
    </row>
    <row r="171" spans="4:7" x14ac:dyDescent="0.2">
      <c r="D171" s="17">
        <v>44440</v>
      </c>
      <c r="E171" s="1">
        <v>-0.18</v>
      </c>
      <c r="F171" s="1">
        <v>0.41</v>
      </c>
      <c r="G171" s="1">
        <v>0.7</v>
      </c>
    </row>
    <row r="172" spans="4:7" x14ac:dyDescent="0.2">
      <c r="D172" s="17">
        <v>44441</v>
      </c>
      <c r="E172" s="1">
        <v>-0.18</v>
      </c>
      <c r="F172" s="1">
        <v>0.42499999999999999</v>
      </c>
      <c r="G172" s="1">
        <v>0.7</v>
      </c>
    </row>
    <row r="173" spans="4:7" x14ac:dyDescent="0.2">
      <c r="D173" s="17">
        <v>44442</v>
      </c>
      <c r="E173" s="1">
        <v>-0.01</v>
      </c>
      <c r="F173" s="1">
        <v>0.42</v>
      </c>
      <c r="G173" s="1">
        <v>0.7</v>
      </c>
    </row>
    <row r="174" spans="4:7" x14ac:dyDescent="0.2">
      <c r="D174" s="17">
        <v>44445</v>
      </c>
      <c r="E174" s="1">
        <v>-0.01</v>
      </c>
      <c r="F174" s="1">
        <v>0.41</v>
      </c>
      <c r="G174" s="1">
        <v>0.65139999999999998</v>
      </c>
    </row>
    <row r="175" spans="4:7" x14ac:dyDescent="0.2">
      <c r="D175" s="17">
        <v>44447</v>
      </c>
      <c r="E175" s="1">
        <v>-0.01</v>
      </c>
      <c r="F175" s="1">
        <v>0.42</v>
      </c>
      <c r="G175" s="1">
        <v>0.65139999999999998</v>
      </c>
    </row>
    <row r="176" spans="4:7" x14ac:dyDescent="0.2">
      <c r="D176" s="17">
        <v>44448</v>
      </c>
      <c r="E176" s="1">
        <v>-0.01</v>
      </c>
      <c r="F176" s="1">
        <v>0.42499999999999999</v>
      </c>
      <c r="G176" s="1">
        <v>0.65139999999999998</v>
      </c>
    </row>
    <row r="177" spans="4:7" x14ac:dyDescent="0.2">
      <c r="D177" s="17">
        <v>44449</v>
      </c>
      <c r="E177" s="1">
        <v>-0.05</v>
      </c>
      <c r="F177" s="1">
        <v>0.43</v>
      </c>
      <c r="G177" s="1">
        <v>0.8</v>
      </c>
    </row>
    <row r="178" spans="4:7" x14ac:dyDescent="0.2">
      <c r="D178" s="17">
        <v>44452</v>
      </c>
      <c r="E178" s="1">
        <v>-0.05</v>
      </c>
      <c r="F178" s="1">
        <v>0.42</v>
      </c>
      <c r="G178" s="1">
        <v>0.8</v>
      </c>
    </row>
    <row r="179" spans="4:7" x14ac:dyDescent="0.2">
      <c r="D179" s="17">
        <v>44453</v>
      </c>
      <c r="E179" s="1">
        <v>-0.05</v>
      </c>
      <c r="F179" s="1">
        <v>0.42</v>
      </c>
      <c r="G179" s="1">
        <v>0.8</v>
      </c>
    </row>
    <row r="180" spans="4:7" x14ac:dyDescent="0.2">
      <c r="D180" s="17">
        <v>44454</v>
      </c>
      <c r="E180" s="1">
        <v>-0.05</v>
      </c>
      <c r="F180" s="1">
        <v>0.42</v>
      </c>
      <c r="G180" s="1">
        <v>0.8</v>
      </c>
    </row>
    <row r="181" spans="4:7" x14ac:dyDescent="0.2">
      <c r="D181" s="17">
        <v>44455</v>
      </c>
      <c r="E181" s="1">
        <v>-0.05</v>
      </c>
      <c r="F181" s="1">
        <v>0.42</v>
      </c>
      <c r="G181" s="1">
        <v>0.8</v>
      </c>
    </row>
    <row r="182" spans="4:7" x14ac:dyDescent="0.2">
      <c r="D182" s="17">
        <v>44456</v>
      </c>
      <c r="E182" s="1">
        <v>-0.04</v>
      </c>
      <c r="F182" s="1">
        <v>0.41499999999999998</v>
      </c>
      <c r="G182" s="1">
        <v>0.7</v>
      </c>
    </row>
    <row r="183" spans="4:7" x14ac:dyDescent="0.2">
      <c r="D183" s="17">
        <v>44459</v>
      </c>
      <c r="E183" s="1">
        <v>-0.04</v>
      </c>
      <c r="F183" s="1">
        <v>0.42</v>
      </c>
      <c r="G183" s="1">
        <v>0.7</v>
      </c>
    </row>
    <row r="184" spans="4:7" x14ac:dyDescent="0.2">
      <c r="D184" s="17">
        <v>44460</v>
      </c>
      <c r="E184" s="1">
        <v>-0.04</v>
      </c>
      <c r="F184" s="1">
        <v>0.42</v>
      </c>
      <c r="G184" s="1">
        <v>0.7</v>
      </c>
    </row>
    <row r="185" spans="4:7" x14ac:dyDescent="0.2">
      <c r="D185" s="17">
        <v>44461</v>
      </c>
      <c r="E185" s="1">
        <v>-0.04</v>
      </c>
      <c r="F185" s="1">
        <v>0.42499999999999999</v>
      </c>
      <c r="G185" s="1">
        <v>0.68</v>
      </c>
    </row>
    <row r="186" spans="4:7" x14ac:dyDescent="0.2">
      <c r="D186" s="17">
        <v>44462</v>
      </c>
      <c r="E186" s="1">
        <v>-0.04</v>
      </c>
      <c r="F186" s="1">
        <v>0.42</v>
      </c>
      <c r="G186" s="1">
        <v>0.8</v>
      </c>
    </row>
    <row r="187" spans="4:7" x14ac:dyDescent="0.2">
      <c r="D187" s="17">
        <v>44463</v>
      </c>
      <c r="E187" s="1">
        <v>0.24</v>
      </c>
      <c r="F187" s="1">
        <v>0.44619999999999999</v>
      </c>
      <c r="G187" s="1">
        <v>0.7</v>
      </c>
    </row>
    <row r="188" spans="4:7" x14ac:dyDescent="0.2">
      <c r="D188" s="17">
        <v>44466</v>
      </c>
      <c r="E188" s="1">
        <v>0.24</v>
      </c>
      <c r="F188" s="1">
        <v>0.46</v>
      </c>
      <c r="G188" s="1">
        <v>0.7</v>
      </c>
    </row>
    <row r="189" spans="4:7" x14ac:dyDescent="0.2">
      <c r="D189" s="17">
        <v>44467</v>
      </c>
      <c r="E189" s="1">
        <v>0.24</v>
      </c>
      <c r="F189" s="1">
        <v>0.45</v>
      </c>
      <c r="G189" s="1">
        <v>0.7</v>
      </c>
    </row>
    <row r="190" spans="4:7" x14ac:dyDescent="0.2">
      <c r="D190" s="1">
        <v>44468</v>
      </c>
      <c r="E190" s="1">
        <v>0.24</v>
      </c>
      <c r="F190" s="1">
        <v>0.45</v>
      </c>
      <c r="G190" s="1">
        <v>0.67</v>
      </c>
    </row>
    <row r="191" spans="4:7" x14ac:dyDescent="0.2">
      <c r="D191" s="1">
        <v>44469</v>
      </c>
      <c r="E191" s="1">
        <v>0.24</v>
      </c>
      <c r="F191" s="1">
        <v>0.45</v>
      </c>
      <c r="G191" s="1">
        <v>0.67</v>
      </c>
    </row>
    <row r="192" spans="4:7" x14ac:dyDescent="0.2">
      <c r="D192" s="1">
        <v>44470</v>
      </c>
      <c r="E192" s="1">
        <v>0.25</v>
      </c>
      <c r="F192" s="1">
        <v>0.45</v>
      </c>
      <c r="G192" s="1">
        <v>0.6</v>
      </c>
    </row>
    <row r="193" spans="4:7" x14ac:dyDescent="0.2">
      <c r="D193" s="1">
        <v>44473</v>
      </c>
      <c r="E193" s="1">
        <v>-0.04</v>
      </c>
      <c r="F193" s="1">
        <v>0.43619999999999998</v>
      </c>
      <c r="G193" s="1">
        <v>0.6</v>
      </c>
    </row>
    <row r="194" spans="4:7" x14ac:dyDescent="0.2">
      <c r="D194" s="1">
        <v>44474</v>
      </c>
      <c r="E194" s="1">
        <v>-0.04</v>
      </c>
      <c r="F194" s="1">
        <v>0.43</v>
      </c>
      <c r="G194" s="1">
        <v>0.6</v>
      </c>
    </row>
    <row r="195" spans="4:7" x14ac:dyDescent="0.2">
      <c r="D195" s="1">
        <v>44475</v>
      </c>
      <c r="E195" s="1">
        <v>-0.04</v>
      </c>
      <c r="F195" s="1">
        <v>0.43</v>
      </c>
      <c r="G195" s="1">
        <v>0.6</v>
      </c>
    </row>
    <row r="196" spans="4:7" x14ac:dyDescent="0.2">
      <c r="D196" s="17">
        <v>44476</v>
      </c>
      <c r="E196" s="1">
        <v>-0.04</v>
      </c>
      <c r="F196" s="1">
        <v>0.42</v>
      </c>
      <c r="G196" s="1">
        <v>0.6</v>
      </c>
    </row>
    <row r="197" spans="4:7" x14ac:dyDescent="0.2">
      <c r="D197" s="17">
        <v>44477</v>
      </c>
      <c r="E197" s="1">
        <v>-0.04</v>
      </c>
      <c r="F197" s="1">
        <v>0.44119999999999998</v>
      </c>
      <c r="G197" s="1">
        <v>0.75039999999999996</v>
      </c>
    </row>
    <row r="198" spans="4:7" x14ac:dyDescent="0.2">
      <c r="D198" s="17">
        <v>44480</v>
      </c>
      <c r="E198" s="1">
        <v>-0.05</v>
      </c>
      <c r="F198" s="1">
        <v>0.44619999999999999</v>
      </c>
      <c r="G198" s="1">
        <v>0.75039999999999996</v>
      </c>
    </row>
    <row r="199" spans="4:7" x14ac:dyDescent="0.2">
      <c r="D199" s="17">
        <v>44482</v>
      </c>
      <c r="E199" s="1">
        <v>-0.05</v>
      </c>
      <c r="F199" s="1">
        <v>0.46500000000000002</v>
      </c>
      <c r="G199" s="1">
        <v>0.78</v>
      </c>
    </row>
    <row r="200" spans="4:7" x14ac:dyDescent="0.2">
      <c r="D200" s="17">
        <v>44483</v>
      </c>
      <c r="E200" s="1">
        <v>-0.05</v>
      </c>
      <c r="F200" s="1">
        <v>0.47</v>
      </c>
      <c r="G200" s="1">
        <v>0.78</v>
      </c>
    </row>
    <row r="201" spans="4:7" x14ac:dyDescent="0.2">
      <c r="D201" s="17">
        <v>44484</v>
      </c>
      <c r="E201" s="1">
        <v>-0.05</v>
      </c>
      <c r="F201" s="1">
        <v>0.47</v>
      </c>
      <c r="G201" s="1">
        <v>0.78</v>
      </c>
    </row>
    <row r="202" spans="4:7" x14ac:dyDescent="0.2">
      <c r="D202" s="17">
        <v>44487</v>
      </c>
      <c r="E202" s="1">
        <v>-0.05</v>
      </c>
      <c r="F202" s="1">
        <v>0.47</v>
      </c>
      <c r="G202" s="1">
        <v>0.78</v>
      </c>
    </row>
    <row r="203" spans="4:7" x14ac:dyDescent="0.2">
      <c r="D203" s="17">
        <v>44488</v>
      </c>
      <c r="E203" s="1">
        <v>0.26250000000000001</v>
      </c>
      <c r="F203" s="1">
        <v>0.47</v>
      </c>
      <c r="G203" s="1">
        <v>0.78</v>
      </c>
    </row>
    <row r="204" spans="4:7" x14ac:dyDescent="0.2">
      <c r="D204" s="17">
        <v>44489</v>
      </c>
      <c r="E204" s="1">
        <v>0.26250000000000001</v>
      </c>
      <c r="F204" s="1">
        <v>0.47</v>
      </c>
      <c r="G204" s="1">
        <v>0.78</v>
      </c>
    </row>
    <row r="205" spans="4:7" x14ac:dyDescent="0.2">
      <c r="D205" s="17">
        <v>44490</v>
      </c>
      <c r="E205" s="1">
        <v>0.26250000000000001</v>
      </c>
      <c r="F205" s="1">
        <v>0.47499999999999998</v>
      </c>
      <c r="G205" s="1">
        <v>0.78</v>
      </c>
    </row>
    <row r="206" spans="4:7" x14ac:dyDescent="0.2">
      <c r="D206" s="17">
        <v>44491</v>
      </c>
      <c r="E206" s="1">
        <v>0.04</v>
      </c>
      <c r="F206" s="1">
        <v>0.49</v>
      </c>
      <c r="G206" s="1">
        <v>0.81</v>
      </c>
    </row>
    <row r="207" spans="4:7" x14ac:dyDescent="0.2">
      <c r="D207" s="17">
        <v>44494</v>
      </c>
      <c r="E207" s="1">
        <v>0.04</v>
      </c>
      <c r="F207" s="1">
        <v>0.5</v>
      </c>
      <c r="G207" s="1">
        <v>0.81</v>
      </c>
    </row>
    <row r="208" spans="4:7" x14ac:dyDescent="0.2">
      <c r="D208" s="17">
        <v>44495</v>
      </c>
      <c r="E208" s="1">
        <v>0.04</v>
      </c>
      <c r="F208" s="1">
        <v>0.495</v>
      </c>
      <c r="G208" s="1">
        <v>0.81</v>
      </c>
    </row>
    <row r="209" spans="4:7" x14ac:dyDescent="0.2">
      <c r="D209" s="17">
        <v>44496</v>
      </c>
      <c r="E209" s="1">
        <v>0.04</v>
      </c>
      <c r="F209" s="1">
        <v>0.5</v>
      </c>
      <c r="G209" s="1">
        <v>0.81</v>
      </c>
    </row>
    <row r="210" spans="4:7" x14ac:dyDescent="0.2">
      <c r="D210" s="17">
        <v>44497</v>
      </c>
      <c r="E210" s="1">
        <v>0.04</v>
      </c>
      <c r="F210" s="1">
        <v>0.5</v>
      </c>
      <c r="G210" s="1">
        <v>0.81</v>
      </c>
    </row>
    <row r="211" spans="4:7" x14ac:dyDescent="0.2">
      <c r="D211" s="17">
        <v>44498</v>
      </c>
      <c r="E211" s="1">
        <v>0.26250000000000001</v>
      </c>
      <c r="F211" s="1">
        <v>0.5</v>
      </c>
      <c r="G211" s="1">
        <v>0.78</v>
      </c>
    </row>
    <row r="212" spans="4:7" x14ac:dyDescent="0.2">
      <c r="D212" s="17">
        <v>44501</v>
      </c>
      <c r="E212" s="1">
        <v>0.26250000000000001</v>
      </c>
      <c r="F212" s="1">
        <v>0.5</v>
      </c>
      <c r="G212" s="1">
        <v>0.78</v>
      </c>
    </row>
    <row r="213" spans="4:7" x14ac:dyDescent="0.2">
      <c r="D213" s="17">
        <v>44503</v>
      </c>
      <c r="E213" s="1">
        <v>0.26250000000000001</v>
      </c>
      <c r="F213" s="1">
        <v>0.5</v>
      </c>
      <c r="G213" s="1">
        <v>0.78</v>
      </c>
    </row>
    <row r="214" spans="4:7" x14ac:dyDescent="0.2">
      <c r="D214" s="17">
        <v>44504</v>
      </c>
      <c r="E214" s="1">
        <v>0.26250000000000001</v>
      </c>
      <c r="F214" s="1">
        <v>0.5</v>
      </c>
      <c r="G214" s="1">
        <v>0.78</v>
      </c>
    </row>
    <row r="215" spans="4:7" x14ac:dyDescent="0.2">
      <c r="D215" s="17">
        <v>44505</v>
      </c>
      <c r="E215" s="1">
        <v>0.13</v>
      </c>
      <c r="F215" s="1">
        <v>0.4975</v>
      </c>
      <c r="G215" s="1">
        <v>0.78</v>
      </c>
    </row>
    <row r="216" spans="4:7" x14ac:dyDescent="0.2">
      <c r="D216" s="17">
        <v>44508</v>
      </c>
      <c r="E216" s="1">
        <v>0.13</v>
      </c>
      <c r="F216" s="1">
        <v>0.49249999999999999</v>
      </c>
      <c r="G216" s="1">
        <v>0.81</v>
      </c>
    </row>
    <row r="217" spans="4:7" x14ac:dyDescent="0.2">
      <c r="D217" s="17">
        <v>44509</v>
      </c>
      <c r="E217" s="1">
        <v>0.13</v>
      </c>
      <c r="F217" s="1">
        <v>0.49</v>
      </c>
      <c r="G217" s="1">
        <v>0.81</v>
      </c>
    </row>
    <row r="218" spans="4:7" x14ac:dyDescent="0.2">
      <c r="D218" s="17">
        <v>44510</v>
      </c>
      <c r="E218" s="1">
        <v>0.13</v>
      </c>
      <c r="F218" s="1">
        <v>0.5</v>
      </c>
      <c r="G218" s="1">
        <v>1</v>
      </c>
    </row>
    <row r="219" spans="4:7" x14ac:dyDescent="0.2">
      <c r="D219" s="17">
        <v>44511</v>
      </c>
      <c r="E219" s="1">
        <v>0.13</v>
      </c>
      <c r="F219" s="1">
        <v>0.51</v>
      </c>
      <c r="G219" s="1">
        <v>1</v>
      </c>
    </row>
    <row r="220" spans="4:7" x14ac:dyDescent="0.2">
      <c r="D220" s="17">
        <v>44512</v>
      </c>
      <c r="E220" s="1">
        <v>0.26250000000000001</v>
      </c>
      <c r="F220" s="1">
        <v>0.56000000000000005</v>
      </c>
      <c r="G220" s="1">
        <v>1</v>
      </c>
    </row>
    <row r="221" spans="4:7" x14ac:dyDescent="0.2">
      <c r="D221" s="17">
        <v>44516</v>
      </c>
      <c r="E221" s="1">
        <v>0.26250000000000001</v>
      </c>
      <c r="F221" s="1">
        <v>0.56340000000000001</v>
      </c>
      <c r="G221" s="1">
        <v>1</v>
      </c>
    </row>
    <row r="222" spans="4:7" x14ac:dyDescent="0.2">
      <c r="D222" s="17">
        <v>44517</v>
      </c>
      <c r="E222" s="1">
        <v>0.26250000000000001</v>
      </c>
      <c r="F222" s="1">
        <v>0.56669999999999998</v>
      </c>
      <c r="G222" s="1">
        <v>1</v>
      </c>
    </row>
    <row r="223" spans="4:7" x14ac:dyDescent="0.2">
      <c r="D223" s="17">
        <v>44518</v>
      </c>
      <c r="E223" s="1">
        <v>0.26250000000000001</v>
      </c>
      <c r="F223" s="1">
        <v>0.56000000000000005</v>
      </c>
      <c r="G223" s="1">
        <v>0.87609999999999999</v>
      </c>
    </row>
    <row r="224" spans="4:7" x14ac:dyDescent="0.2">
      <c r="D224" s="17">
        <v>44519</v>
      </c>
      <c r="E224" s="1">
        <v>-0.01</v>
      </c>
      <c r="F224" s="1">
        <v>0.56999999999999995</v>
      </c>
      <c r="G224" s="1">
        <v>1</v>
      </c>
    </row>
    <row r="225" spans="4:7" x14ac:dyDescent="0.2">
      <c r="D225" s="17">
        <v>44522</v>
      </c>
      <c r="E225" s="1">
        <v>-0.01</v>
      </c>
      <c r="F225" s="1">
        <v>0.56169999999999998</v>
      </c>
      <c r="G225" s="1">
        <v>1</v>
      </c>
    </row>
    <row r="226" spans="4:7" x14ac:dyDescent="0.2">
      <c r="D226" s="17">
        <v>44523</v>
      </c>
      <c r="E226" s="1">
        <v>-0.01</v>
      </c>
      <c r="F226" s="1">
        <v>0.56999999999999995</v>
      </c>
      <c r="G226" s="1">
        <v>1</v>
      </c>
    </row>
    <row r="227" spans="4:7" x14ac:dyDescent="0.2">
      <c r="D227" s="17">
        <v>44524</v>
      </c>
      <c r="E227" s="1">
        <v>-0.01</v>
      </c>
      <c r="F227" s="1">
        <v>0.56999999999999995</v>
      </c>
      <c r="G227" s="1">
        <v>1</v>
      </c>
    </row>
    <row r="228" spans="4:7" x14ac:dyDescent="0.2">
      <c r="D228" s="17">
        <v>44525</v>
      </c>
      <c r="E228" s="1">
        <v>-0.01</v>
      </c>
      <c r="F228" s="1">
        <v>0.56999999999999995</v>
      </c>
      <c r="G228" s="1">
        <v>1</v>
      </c>
    </row>
    <row r="229" spans="4:7" x14ac:dyDescent="0.2">
      <c r="D229" s="17">
        <v>44526</v>
      </c>
      <c r="E229" s="1">
        <v>0.25</v>
      </c>
      <c r="F229" s="1">
        <v>0.51639999999999997</v>
      </c>
      <c r="G229" s="1">
        <v>0.8</v>
      </c>
    </row>
    <row r="230" spans="4:7" x14ac:dyDescent="0.2">
      <c r="D230" s="17">
        <v>44529</v>
      </c>
      <c r="E230" s="1">
        <v>0.25</v>
      </c>
      <c r="F230" s="1">
        <v>0.55500000000000005</v>
      </c>
      <c r="G230" s="1">
        <v>0.9</v>
      </c>
    </row>
    <row r="231" spans="4:7" x14ac:dyDescent="0.2">
      <c r="D231" s="17">
        <v>44530</v>
      </c>
      <c r="E231" s="1">
        <v>0.25</v>
      </c>
      <c r="F231" s="1">
        <v>0.56000000000000005</v>
      </c>
      <c r="G231" s="1">
        <v>0.9</v>
      </c>
    </row>
    <row r="232" spans="4:7" x14ac:dyDescent="0.2">
      <c r="D232" s="17">
        <v>44531</v>
      </c>
      <c r="E232" s="1">
        <v>0.25</v>
      </c>
      <c r="F232" s="1">
        <v>0.55000000000000004</v>
      </c>
      <c r="G232" s="1">
        <v>0.9</v>
      </c>
    </row>
    <row r="233" spans="4:7" x14ac:dyDescent="0.2">
      <c r="D233" s="17">
        <v>44532</v>
      </c>
      <c r="E233" s="1">
        <v>0.25</v>
      </c>
      <c r="F233" s="1">
        <v>0.55000000000000004</v>
      </c>
      <c r="G233" s="1">
        <v>0.9</v>
      </c>
    </row>
    <row r="234" spans="4:7" x14ac:dyDescent="0.2">
      <c r="D234" s="17">
        <v>44533</v>
      </c>
      <c r="E234" s="1">
        <v>0.26</v>
      </c>
      <c r="F234" s="1">
        <v>0.54</v>
      </c>
      <c r="G234" s="1">
        <v>0.9</v>
      </c>
    </row>
    <row r="235" spans="4:7" x14ac:dyDescent="0.2">
      <c r="D235" s="17">
        <v>44536</v>
      </c>
      <c r="E235" s="1">
        <v>0.26</v>
      </c>
      <c r="F235" s="1">
        <v>0.53</v>
      </c>
      <c r="G235" s="1">
        <v>0.87609999999999999</v>
      </c>
    </row>
    <row r="236" spans="4:7" x14ac:dyDescent="0.2">
      <c r="D236" s="17">
        <v>44537</v>
      </c>
      <c r="E236" s="1">
        <v>0.26</v>
      </c>
      <c r="F236" s="1">
        <v>0.53</v>
      </c>
      <c r="G236" s="1">
        <v>0.87609999999999999</v>
      </c>
    </row>
    <row r="237" spans="4:7" x14ac:dyDescent="0.2">
      <c r="D237" s="17">
        <v>44538</v>
      </c>
      <c r="E237" s="1">
        <v>0.26</v>
      </c>
      <c r="F237" s="1">
        <v>0.55000000000000004</v>
      </c>
      <c r="G237" s="1">
        <v>0.87609999999999999</v>
      </c>
    </row>
    <row r="238" spans="4:7" x14ac:dyDescent="0.2">
      <c r="D238" s="17">
        <v>44539</v>
      </c>
      <c r="E238" s="1">
        <v>0.26</v>
      </c>
      <c r="F238" s="1">
        <v>0.55000000000000004</v>
      </c>
      <c r="G238" s="1">
        <v>0.87609999999999999</v>
      </c>
    </row>
    <row r="239" spans="4:7" x14ac:dyDescent="0.2">
      <c r="D239" s="17">
        <v>44540</v>
      </c>
      <c r="E239" s="1">
        <v>0.26250000000000001</v>
      </c>
      <c r="F239" s="1">
        <v>0.52439999999999998</v>
      </c>
      <c r="G239" s="1">
        <v>0.87609999999999999</v>
      </c>
    </row>
    <row r="240" spans="4:7" x14ac:dyDescent="0.2">
      <c r="D240" s="17"/>
    </row>
    <row r="241" spans="4:4" x14ac:dyDescent="0.2">
      <c r="D241" s="17"/>
    </row>
    <row r="242" spans="4:4" x14ac:dyDescent="0.2">
      <c r="D242" s="17"/>
    </row>
    <row r="243" spans="4:4" x14ac:dyDescent="0.2">
      <c r="D243" s="17"/>
    </row>
    <row r="244" spans="4:4" x14ac:dyDescent="0.2">
      <c r="D244" s="17"/>
    </row>
    <row r="245" spans="4:4" x14ac:dyDescent="0.2">
      <c r="D245" s="17"/>
    </row>
    <row r="246" spans="4:4" x14ac:dyDescent="0.2">
      <c r="D246" s="17"/>
    </row>
    <row r="247" spans="4:4" x14ac:dyDescent="0.2">
      <c r="D247" s="17"/>
    </row>
    <row r="248" spans="4:4" x14ac:dyDescent="0.2">
      <c r="D248" s="17"/>
    </row>
    <row r="249" spans="4:4" x14ac:dyDescent="0.2">
      <c r="D249" s="17"/>
    </row>
    <row r="250" spans="4:4" x14ac:dyDescent="0.2">
      <c r="D250" s="17"/>
    </row>
    <row r="251" spans="4:4" x14ac:dyDescent="0.2">
      <c r="D251" s="17"/>
    </row>
    <row r="252" spans="4:4" x14ac:dyDescent="0.2">
      <c r="D252" s="17"/>
    </row>
    <row r="253" spans="4:4" x14ac:dyDescent="0.2">
      <c r="D253" s="17"/>
    </row>
    <row r="254" spans="4:4" x14ac:dyDescent="0.2">
      <c r="D254" s="17"/>
    </row>
    <row r="255" spans="4:4" x14ac:dyDescent="0.2">
      <c r="D255" s="17"/>
    </row>
    <row r="256" spans="4:4" x14ac:dyDescent="0.2">
      <c r="D256" s="17"/>
    </row>
    <row r="257" spans="4:4" x14ac:dyDescent="0.2">
      <c r="D257" s="17"/>
    </row>
    <row r="258" spans="4:4" x14ac:dyDescent="0.2">
      <c r="D258" s="17"/>
    </row>
    <row r="259" spans="4:4" x14ac:dyDescent="0.2">
      <c r="D259" s="17"/>
    </row>
    <row r="260" spans="4:4" x14ac:dyDescent="0.2">
      <c r="D260" s="17"/>
    </row>
    <row r="261" spans="4:4" x14ac:dyDescent="0.2">
      <c r="D261" s="17"/>
    </row>
    <row r="262" spans="4:4" x14ac:dyDescent="0.2">
      <c r="D262" s="17"/>
    </row>
    <row r="263" spans="4:4" x14ac:dyDescent="0.2">
      <c r="D263" s="17"/>
    </row>
    <row r="264" spans="4:4" x14ac:dyDescent="0.2">
      <c r="D264" s="17"/>
    </row>
    <row r="265" spans="4:4" x14ac:dyDescent="0.2">
      <c r="D265" s="17"/>
    </row>
    <row r="266" spans="4:4" x14ac:dyDescent="0.2">
      <c r="D266" s="17"/>
    </row>
    <row r="267" spans="4:4" x14ac:dyDescent="0.2">
      <c r="D267" s="17"/>
    </row>
    <row r="268" spans="4:4" x14ac:dyDescent="0.2">
      <c r="D268" s="17"/>
    </row>
    <row r="269" spans="4:4" x14ac:dyDescent="0.2">
      <c r="D269" s="17"/>
    </row>
    <row r="270" spans="4:4" x14ac:dyDescent="0.2">
      <c r="D270" s="17"/>
    </row>
    <row r="271" spans="4:4" x14ac:dyDescent="0.2">
      <c r="D271" s="17"/>
    </row>
    <row r="272" spans="4:4" x14ac:dyDescent="0.2">
      <c r="D272" s="17"/>
    </row>
    <row r="273" spans="4:4" x14ac:dyDescent="0.2">
      <c r="D273" s="17"/>
    </row>
    <row r="274" spans="4:4" x14ac:dyDescent="0.2">
      <c r="D274" s="17"/>
    </row>
    <row r="275" spans="4:4" x14ac:dyDescent="0.2">
      <c r="D275" s="17"/>
    </row>
    <row r="276" spans="4:4" x14ac:dyDescent="0.2">
      <c r="D276" s="17"/>
    </row>
    <row r="277" spans="4:4" x14ac:dyDescent="0.2">
      <c r="D277" s="17"/>
    </row>
    <row r="278" spans="4:4" x14ac:dyDescent="0.2">
      <c r="D278" s="17"/>
    </row>
    <row r="279" spans="4:4" x14ac:dyDescent="0.2">
      <c r="D279" s="17"/>
    </row>
    <row r="280" spans="4:4" x14ac:dyDescent="0.2">
      <c r="D280" s="17"/>
    </row>
    <row r="281" spans="4:4" x14ac:dyDescent="0.2">
      <c r="D281" s="17"/>
    </row>
    <row r="282" spans="4:4" x14ac:dyDescent="0.2">
      <c r="D282" s="17"/>
    </row>
    <row r="283" spans="4:4" x14ac:dyDescent="0.2">
      <c r="D283" s="17"/>
    </row>
    <row r="284" spans="4:4" x14ac:dyDescent="0.2">
      <c r="D284" s="17"/>
    </row>
    <row r="285" spans="4:4" x14ac:dyDescent="0.2">
      <c r="D285" s="17"/>
    </row>
    <row r="286" spans="4:4" x14ac:dyDescent="0.2">
      <c r="D286" s="17"/>
    </row>
    <row r="287" spans="4:4" x14ac:dyDescent="0.2">
      <c r="D287" s="17"/>
    </row>
    <row r="288" spans="4:4" x14ac:dyDescent="0.2">
      <c r="D288" s="17"/>
    </row>
    <row r="289" spans="4:4" x14ac:dyDescent="0.2">
      <c r="D289" s="17"/>
    </row>
    <row r="290" spans="4:4" x14ac:dyDescent="0.2">
      <c r="D290" s="17"/>
    </row>
    <row r="291" spans="4:4" x14ac:dyDescent="0.2">
      <c r="D291" s="17"/>
    </row>
    <row r="292" spans="4:4" x14ac:dyDescent="0.2">
      <c r="D292" s="17"/>
    </row>
    <row r="293" spans="4:4" x14ac:dyDescent="0.2">
      <c r="D293" s="17"/>
    </row>
    <row r="294" spans="4:4" x14ac:dyDescent="0.2">
      <c r="D294" s="17"/>
    </row>
    <row r="295" spans="4:4" x14ac:dyDescent="0.2">
      <c r="D295" s="17"/>
    </row>
    <row r="296" spans="4:4" x14ac:dyDescent="0.2">
      <c r="D296" s="17"/>
    </row>
    <row r="297" spans="4:4" x14ac:dyDescent="0.2">
      <c r="D297" s="17"/>
    </row>
    <row r="298" spans="4:4" x14ac:dyDescent="0.2">
      <c r="D298" s="17"/>
    </row>
    <row r="299" spans="4:4" x14ac:dyDescent="0.2">
      <c r="D299" s="17"/>
    </row>
    <row r="300" spans="4:4" x14ac:dyDescent="0.2">
      <c r="D300" s="17"/>
    </row>
    <row r="301" spans="4:4" x14ac:dyDescent="0.2">
      <c r="D301" s="17"/>
    </row>
    <row r="302" spans="4:4" x14ac:dyDescent="0.2">
      <c r="D302" s="17"/>
    </row>
    <row r="303" spans="4:4" x14ac:dyDescent="0.2">
      <c r="D303" s="17"/>
    </row>
    <row r="304" spans="4:4" x14ac:dyDescent="0.2">
      <c r="D304" s="17"/>
    </row>
    <row r="305" spans="4:4" x14ac:dyDescent="0.2">
      <c r="D305" s="17"/>
    </row>
    <row r="306" spans="4:4" x14ac:dyDescent="0.2">
      <c r="D306" s="17"/>
    </row>
    <row r="307" spans="4:4" x14ac:dyDescent="0.2">
      <c r="D307" s="17"/>
    </row>
    <row r="308" spans="4:4" x14ac:dyDescent="0.2">
      <c r="D308" s="17"/>
    </row>
    <row r="309" spans="4:4" x14ac:dyDescent="0.2">
      <c r="D309" s="17"/>
    </row>
    <row r="310" spans="4:4" x14ac:dyDescent="0.2">
      <c r="D310" s="17"/>
    </row>
    <row r="311" spans="4:4" x14ac:dyDescent="0.2">
      <c r="D311" s="17"/>
    </row>
    <row r="312" spans="4:4" x14ac:dyDescent="0.2">
      <c r="D312" s="17"/>
    </row>
    <row r="313" spans="4:4" x14ac:dyDescent="0.2">
      <c r="D313" s="17"/>
    </row>
    <row r="314" spans="4:4" x14ac:dyDescent="0.2">
      <c r="D314" s="17"/>
    </row>
    <row r="315" spans="4:4" x14ac:dyDescent="0.2">
      <c r="D315" s="17"/>
    </row>
    <row r="316" spans="4:4" x14ac:dyDescent="0.2">
      <c r="D316" s="17"/>
    </row>
    <row r="317" spans="4:4" x14ac:dyDescent="0.2">
      <c r="D317" s="17"/>
    </row>
    <row r="318" spans="4:4" x14ac:dyDescent="0.2">
      <c r="D318" s="17"/>
    </row>
    <row r="319" spans="4:4" x14ac:dyDescent="0.2">
      <c r="D319" s="17"/>
    </row>
    <row r="320" spans="4:4" x14ac:dyDescent="0.2">
      <c r="D320" s="17"/>
    </row>
    <row r="321" spans="4:4" x14ac:dyDescent="0.2">
      <c r="D321" s="17"/>
    </row>
    <row r="322" spans="4:4" x14ac:dyDescent="0.2">
      <c r="D322" s="17"/>
    </row>
    <row r="323" spans="4:4" x14ac:dyDescent="0.2">
      <c r="D323" s="17"/>
    </row>
    <row r="324" spans="4:4" x14ac:dyDescent="0.2">
      <c r="D324" s="17"/>
    </row>
    <row r="325" spans="4:4" x14ac:dyDescent="0.2">
      <c r="D325" s="17"/>
    </row>
    <row r="326" spans="4:4" x14ac:dyDescent="0.2">
      <c r="D326" s="17"/>
    </row>
    <row r="327" spans="4:4" x14ac:dyDescent="0.2">
      <c r="D327" s="17"/>
    </row>
    <row r="328" spans="4:4" x14ac:dyDescent="0.2">
      <c r="D328" s="17"/>
    </row>
    <row r="329" spans="4:4" x14ac:dyDescent="0.2">
      <c r="D329" s="17"/>
    </row>
    <row r="330" spans="4:4" x14ac:dyDescent="0.2">
      <c r="D330" s="17"/>
    </row>
    <row r="331" spans="4:4" x14ac:dyDescent="0.2">
      <c r="D331" s="17"/>
    </row>
    <row r="332" spans="4:4" x14ac:dyDescent="0.2">
      <c r="D332" s="17"/>
    </row>
    <row r="333" spans="4:4" x14ac:dyDescent="0.2">
      <c r="D333" s="17"/>
    </row>
    <row r="334" spans="4:4" x14ac:dyDescent="0.2">
      <c r="D334" s="17"/>
    </row>
    <row r="335" spans="4:4" x14ac:dyDescent="0.2">
      <c r="D335" s="17"/>
    </row>
    <row r="336" spans="4:4" x14ac:dyDescent="0.2">
      <c r="D336" s="17"/>
    </row>
    <row r="337" spans="4:4" x14ac:dyDescent="0.2">
      <c r="D337" s="17"/>
    </row>
    <row r="338" spans="4:4" x14ac:dyDescent="0.2">
      <c r="D338" s="17"/>
    </row>
    <row r="339" spans="4:4" x14ac:dyDescent="0.2">
      <c r="D339" s="17"/>
    </row>
    <row r="340" spans="4:4" x14ac:dyDescent="0.2">
      <c r="D340" s="17"/>
    </row>
    <row r="341" spans="4:4" x14ac:dyDescent="0.2">
      <c r="D341" s="17"/>
    </row>
    <row r="342" spans="4:4" x14ac:dyDescent="0.2">
      <c r="D342" s="17"/>
    </row>
    <row r="343" spans="4:4" x14ac:dyDescent="0.2">
      <c r="D343" s="17"/>
    </row>
    <row r="344" spans="4:4" x14ac:dyDescent="0.2">
      <c r="D344" s="17"/>
    </row>
    <row r="345" spans="4:4" x14ac:dyDescent="0.2">
      <c r="D345" s="17"/>
    </row>
    <row r="346" spans="4:4" x14ac:dyDescent="0.2">
      <c r="D346" s="17"/>
    </row>
    <row r="347" spans="4:4" x14ac:dyDescent="0.2">
      <c r="D347" s="17"/>
    </row>
    <row r="348" spans="4:4" x14ac:dyDescent="0.2">
      <c r="D348" s="17"/>
    </row>
    <row r="349" spans="4:4" x14ac:dyDescent="0.2">
      <c r="D349" s="17"/>
    </row>
    <row r="350" spans="4:4" x14ac:dyDescent="0.2">
      <c r="D350" s="17"/>
    </row>
    <row r="351" spans="4:4" x14ac:dyDescent="0.2">
      <c r="D351" s="17"/>
    </row>
    <row r="352" spans="4:4" x14ac:dyDescent="0.2">
      <c r="D352" s="17"/>
    </row>
    <row r="353" spans="4:4" x14ac:dyDescent="0.2">
      <c r="D353" s="17"/>
    </row>
    <row r="354" spans="4:4" x14ac:dyDescent="0.2">
      <c r="D354" s="17"/>
    </row>
    <row r="355" spans="4:4" x14ac:dyDescent="0.2">
      <c r="D355" s="17"/>
    </row>
    <row r="356" spans="4:4" x14ac:dyDescent="0.2">
      <c r="D356" s="17"/>
    </row>
    <row r="357" spans="4:4" x14ac:dyDescent="0.2">
      <c r="D357" s="17"/>
    </row>
    <row r="358" spans="4:4" x14ac:dyDescent="0.2">
      <c r="D358" s="17"/>
    </row>
    <row r="359" spans="4:4" x14ac:dyDescent="0.2">
      <c r="D359" s="17"/>
    </row>
    <row r="360" spans="4:4" x14ac:dyDescent="0.2">
      <c r="D360" s="17"/>
    </row>
    <row r="361" spans="4:4" x14ac:dyDescent="0.2">
      <c r="D361" s="17"/>
    </row>
    <row r="362" spans="4:4" x14ac:dyDescent="0.2">
      <c r="D362" s="17"/>
    </row>
    <row r="363" spans="4:4" x14ac:dyDescent="0.2">
      <c r="D363" s="17"/>
    </row>
    <row r="364" spans="4:4" x14ac:dyDescent="0.2">
      <c r="D364" s="17"/>
    </row>
    <row r="365" spans="4:4" x14ac:dyDescent="0.2">
      <c r="D365" s="17"/>
    </row>
    <row r="366" spans="4:4" x14ac:dyDescent="0.2">
      <c r="D366" s="17"/>
    </row>
    <row r="367" spans="4:4" x14ac:dyDescent="0.2">
      <c r="D367" s="17"/>
    </row>
    <row r="368" spans="4:4" x14ac:dyDescent="0.2">
      <c r="D368" s="17"/>
    </row>
    <row r="369" spans="4:4" x14ac:dyDescent="0.2">
      <c r="D369" s="17"/>
    </row>
    <row r="370" spans="4:4" x14ac:dyDescent="0.2">
      <c r="D370" s="17"/>
    </row>
    <row r="371" spans="4:4" x14ac:dyDescent="0.2">
      <c r="D371" s="17"/>
    </row>
    <row r="372" spans="4:4" x14ac:dyDescent="0.2">
      <c r="D372" s="17"/>
    </row>
    <row r="373" spans="4:4" x14ac:dyDescent="0.2">
      <c r="D373" s="17"/>
    </row>
    <row r="374" spans="4:4" x14ac:dyDescent="0.2">
      <c r="D374" s="17"/>
    </row>
    <row r="375" spans="4:4" x14ac:dyDescent="0.2">
      <c r="D375" s="17"/>
    </row>
    <row r="376" spans="4:4" x14ac:dyDescent="0.2">
      <c r="D376" s="17"/>
    </row>
    <row r="377" spans="4:4" x14ac:dyDescent="0.2">
      <c r="D377" s="17"/>
    </row>
    <row r="378" spans="4:4" x14ac:dyDescent="0.2">
      <c r="D378" s="17"/>
    </row>
    <row r="379" spans="4:4" x14ac:dyDescent="0.2">
      <c r="D379" s="17"/>
    </row>
    <row r="380" spans="4:4" x14ac:dyDescent="0.2">
      <c r="D380" s="17"/>
    </row>
    <row r="381" spans="4:4" x14ac:dyDescent="0.2">
      <c r="D381" s="17"/>
    </row>
    <row r="382" spans="4:4" x14ac:dyDescent="0.2">
      <c r="D382" s="17"/>
    </row>
    <row r="383" spans="4:4" x14ac:dyDescent="0.2">
      <c r="D383" s="17"/>
    </row>
    <row r="384" spans="4:4" x14ac:dyDescent="0.2">
      <c r="D384" s="17"/>
    </row>
    <row r="385" spans="4:4" x14ac:dyDescent="0.2">
      <c r="D385" s="17"/>
    </row>
    <row r="386" spans="4:4" x14ac:dyDescent="0.2">
      <c r="D386" s="17"/>
    </row>
    <row r="387" spans="4:4" x14ac:dyDescent="0.2">
      <c r="D387" s="17"/>
    </row>
    <row r="388" spans="4:4" x14ac:dyDescent="0.2">
      <c r="D388" s="17"/>
    </row>
    <row r="389" spans="4:4" x14ac:dyDescent="0.2">
      <c r="D389" s="17"/>
    </row>
    <row r="390" spans="4:4" x14ac:dyDescent="0.2">
      <c r="D390" s="17"/>
    </row>
    <row r="391" spans="4:4" x14ac:dyDescent="0.2">
      <c r="D391" s="17"/>
    </row>
    <row r="392" spans="4:4" x14ac:dyDescent="0.2">
      <c r="D392" s="17"/>
    </row>
    <row r="393" spans="4:4" x14ac:dyDescent="0.2">
      <c r="D393" s="17"/>
    </row>
    <row r="394" spans="4:4" x14ac:dyDescent="0.2">
      <c r="D394" s="17"/>
    </row>
    <row r="395" spans="4:4" x14ac:dyDescent="0.2">
      <c r="D395" s="17"/>
    </row>
    <row r="396" spans="4:4" x14ac:dyDescent="0.2">
      <c r="D396" s="17"/>
    </row>
    <row r="397" spans="4:4" x14ac:dyDescent="0.2">
      <c r="D397" s="17"/>
    </row>
    <row r="398" spans="4:4" x14ac:dyDescent="0.2">
      <c r="D398" s="17"/>
    </row>
    <row r="399" spans="4:4" x14ac:dyDescent="0.2">
      <c r="D399" s="17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06B19-0239-4B04-9E1D-90F1229558C8}">
  <sheetPr codeName="Planilha5"/>
  <dimension ref="A1:P399"/>
  <sheetViews>
    <sheetView workbookViewId="0">
      <selection activeCell="B14" sqref="B14"/>
    </sheetView>
  </sheetViews>
  <sheetFormatPr defaultRowHeight="12.75" x14ac:dyDescent="0.2"/>
  <cols>
    <col min="1" max="1" width="37.140625" style="1" customWidth="1"/>
    <col min="2" max="2" width="15.7109375" style="1" bestFit="1" customWidth="1"/>
    <col min="3" max="3" width="10.140625" style="1" bestFit="1" customWidth="1"/>
    <col min="4" max="4" width="12" style="1" customWidth="1"/>
    <col min="5" max="8" width="9.140625" style="1"/>
    <col min="9" max="9" width="15.7109375" style="1" bestFit="1" customWidth="1"/>
    <col min="10" max="16384" width="9.140625" style="1"/>
  </cols>
  <sheetData>
    <row r="1" spans="1:16" ht="15.75" x14ac:dyDescent="0.25">
      <c r="A1" s="9" t="s">
        <v>82</v>
      </c>
      <c r="I1" s="3" t="s">
        <v>60</v>
      </c>
      <c r="J1" s="60" t="str">
        <f>"FOCUS forecast for "&amp;$B$3&amp;" of Q"&amp;$B$5</f>
        <v>FOCUS forecast for PIB Total of Q4/2021</v>
      </c>
      <c r="K1" s="61"/>
      <c r="L1" s="61"/>
      <c r="M1" s="61"/>
      <c r="N1" s="61"/>
      <c r="O1" s="61"/>
      <c r="P1" s="61"/>
    </row>
    <row r="3" spans="1:16" x14ac:dyDescent="0.2">
      <c r="A3" s="3" t="s">
        <v>61</v>
      </c>
      <c r="B3" s="18" t="s">
        <v>38</v>
      </c>
      <c r="D3" s="1" t="s">
        <v>13</v>
      </c>
      <c r="E3" s="1" t="s">
        <v>15</v>
      </c>
      <c r="F3" s="1" t="s">
        <v>17</v>
      </c>
      <c r="G3" s="1" t="s">
        <v>21</v>
      </c>
    </row>
    <row r="4" spans="1:16" x14ac:dyDescent="0.2">
      <c r="A4" s="3" t="s">
        <v>62</v>
      </c>
      <c r="B4" s="18"/>
      <c r="D4" s="17" cm="1">
        <f t="array" ref="D4:G379">xlFOCUS_ExpectativasTrimestrais($B$3,B4,B5,B6,B7,B8,D3:G3)</f>
        <v>43894</v>
      </c>
      <c r="E4" s="1">
        <v>1.7</v>
      </c>
      <c r="F4" s="1">
        <v>2.5099999999999998</v>
      </c>
      <c r="G4" s="1">
        <v>2.6</v>
      </c>
    </row>
    <row r="5" spans="1:16" x14ac:dyDescent="0.2">
      <c r="A5" s="3" t="s">
        <v>63</v>
      </c>
      <c r="B5" s="59" t="s">
        <v>141</v>
      </c>
      <c r="D5" s="17">
        <v>43895</v>
      </c>
      <c r="E5" s="1">
        <v>1.7</v>
      </c>
      <c r="F5" s="1">
        <v>2.5</v>
      </c>
      <c r="G5" s="1">
        <v>2.6</v>
      </c>
    </row>
    <row r="6" spans="1:16" x14ac:dyDescent="0.2">
      <c r="A6" s="3" t="s">
        <v>64</v>
      </c>
      <c r="B6" s="14"/>
      <c r="D6" s="17">
        <v>43896</v>
      </c>
      <c r="E6" s="1">
        <v>1.5</v>
      </c>
      <c r="F6" s="1">
        <v>2.37</v>
      </c>
      <c r="G6" s="1">
        <v>2.8</v>
      </c>
    </row>
    <row r="7" spans="1:16" x14ac:dyDescent="0.2">
      <c r="A7" s="3" t="s">
        <v>65</v>
      </c>
      <c r="B7" s="14"/>
      <c r="D7" s="17">
        <v>43899</v>
      </c>
      <c r="E7" s="1">
        <v>1.5</v>
      </c>
      <c r="F7" s="1">
        <v>2.37</v>
      </c>
      <c r="G7" s="1">
        <v>2.8</v>
      </c>
    </row>
    <row r="8" spans="1:16" x14ac:dyDescent="0.2">
      <c r="A8" s="3" t="s">
        <v>66</v>
      </c>
      <c r="B8" s="18">
        <v>0</v>
      </c>
      <c r="D8" s="17">
        <v>43900</v>
      </c>
      <c r="E8" s="1">
        <v>1.5</v>
      </c>
      <c r="F8" s="1">
        <v>2.29</v>
      </c>
      <c r="G8" s="1">
        <v>2.8</v>
      </c>
    </row>
    <row r="9" spans="1:16" x14ac:dyDescent="0.2">
      <c r="D9" s="17">
        <v>43901</v>
      </c>
      <c r="E9" s="1">
        <v>1.5</v>
      </c>
      <c r="F9" s="1">
        <v>2.21</v>
      </c>
      <c r="G9" s="1">
        <v>2.8</v>
      </c>
    </row>
    <row r="10" spans="1:16" x14ac:dyDescent="0.2">
      <c r="D10" s="17">
        <v>43902</v>
      </c>
      <c r="E10" s="1">
        <v>1.5</v>
      </c>
      <c r="F10" s="1">
        <v>2.21</v>
      </c>
      <c r="G10" s="1">
        <v>2.8</v>
      </c>
    </row>
    <row r="11" spans="1:16" x14ac:dyDescent="0.2">
      <c r="D11" s="17">
        <v>43903</v>
      </c>
      <c r="E11" s="1">
        <v>1.5</v>
      </c>
      <c r="F11" s="1">
        <v>2.25</v>
      </c>
      <c r="G11" s="1">
        <v>3.4</v>
      </c>
    </row>
    <row r="12" spans="1:16" x14ac:dyDescent="0.2">
      <c r="D12" s="17">
        <v>43906</v>
      </c>
      <c r="E12" s="1">
        <v>1.5</v>
      </c>
      <c r="F12" s="1">
        <v>2.27</v>
      </c>
      <c r="G12" s="1">
        <v>3.4</v>
      </c>
    </row>
    <row r="13" spans="1:16" x14ac:dyDescent="0.2">
      <c r="D13" s="17">
        <v>43907</v>
      </c>
      <c r="E13" s="1">
        <v>1.5</v>
      </c>
      <c r="F13" s="1">
        <v>2.23</v>
      </c>
      <c r="G13" s="1">
        <v>3.4</v>
      </c>
    </row>
    <row r="14" spans="1:16" x14ac:dyDescent="0.2">
      <c r="D14" s="17">
        <v>43908</v>
      </c>
      <c r="E14" s="1">
        <v>1.5</v>
      </c>
      <c r="F14" s="1">
        <v>2.23</v>
      </c>
      <c r="G14" s="1">
        <v>3.4</v>
      </c>
    </row>
    <row r="15" spans="1:16" x14ac:dyDescent="0.2">
      <c r="D15" s="17">
        <v>43909</v>
      </c>
      <c r="E15" s="1">
        <v>1.5</v>
      </c>
      <c r="F15" s="1">
        <v>2.25</v>
      </c>
      <c r="G15" s="1">
        <v>3.4</v>
      </c>
    </row>
    <row r="16" spans="1:16" x14ac:dyDescent="0.2">
      <c r="D16" s="17">
        <v>43910</v>
      </c>
      <c r="E16" s="1">
        <v>-3.5</v>
      </c>
      <c r="F16" s="1">
        <v>2.37</v>
      </c>
      <c r="G16" s="1">
        <v>5</v>
      </c>
    </row>
    <row r="17" spans="4:7" x14ac:dyDescent="0.2">
      <c r="D17" s="17">
        <v>43913</v>
      </c>
      <c r="E17" s="1">
        <v>-3.5</v>
      </c>
      <c r="F17" s="1">
        <v>2.37</v>
      </c>
      <c r="G17" s="1">
        <v>9.93</v>
      </c>
    </row>
    <row r="18" spans="4:7" x14ac:dyDescent="0.2">
      <c r="D18" s="17">
        <v>43914</v>
      </c>
      <c r="E18" s="1">
        <v>-3.5</v>
      </c>
      <c r="F18" s="1">
        <v>2.37</v>
      </c>
      <c r="G18" s="1">
        <v>9.93</v>
      </c>
    </row>
    <row r="19" spans="4:7" x14ac:dyDescent="0.2">
      <c r="D19" s="17">
        <v>43915</v>
      </c>
      <c r="E19" s="1">
        <v>-3.5</v>
      </c>
      <c r="F19" s="1">
        <v>2.38</v>
      </c>
      <c r="G19" s="1">
        <v>9.93</v>
      </c>
    </row>
    <row r="20" spans="4:7" x14ac:dyDescent="0.2">
      <c r="D20" s="17">
        <v>43916</v>
      </c>
      <c r="E20" s="1">
        <v>-3.5</v>
      </c>
      <c r="F20" s="1">
        <v>2.38</v>
      </c>
      <c r="G20" s="1">
        <v>9.93</v>
      </c>
    </row>
    <row r="21" spans="4:7" x14ac:dyDescent="0.2">
      <c r="D21" s="17">
        <v>43917</v>
      </c>
      <c r="E21" s="1">
        <v>-3.5</v>
      </c>
      <c r="F21" s="1">
        <v>2.5</v>
      </c>
      <c r="G21" s="1">
        <v>9</v>
      </c>
    </row>
    <row r="22" spans="4:7" x14ac:dyDescent="0.2">
      <c r="D22" s="17">
        <v>43920</v>
      </c>
      <c r="E22" s="1">
        <v>-3.5</v>
      </c>
      <c r="F22" s="1">
        <v>2.7</v>
      </c>
      <c r="G22" s="1">
        <v>16.7</v>
      </c>
    </row>
    <row r="23" spans="4:7" x14ac:dyDescent="0.2">
      <c r="D23" s="17">
        <v>43921</v>
      </c>
      <c r="E23" s="1">
        <v>-3.5</v>
      </c>
      <c r="F23" s="1">
        <v>2.8</v>
      </c>
      <c r="G23" s="1">
        <v>16.7</v>
      </c>
    </row>
    <row r="24" spans="4:7" x14ac:dyDescent="0.2">
      <c r="D24" s="17">
        <v>43922</v>
      </c>
      <c r="E24" s="1">
        <v>-3.5</v>
      </c>
      <c r="F24" s="1">
        <v>2.8</v>
      </c>
      <c r="G24" s="1">
        <v>16.7</v>
      </c>
    </row>
    <row r="25" spans="4:7" x14ac:dyDescent="0.2">
      <c r="D25" s="17">
        <v>43923</v>
      </c>
      <c r="E25" s="1">
        <v>-3.5</v>
      </c>
      <c r="F25" s="1">
        <v>3</v>
      </c>
      <c r="G25" s="1">
        <v>16.7</v>
      </c>
    </row>
    <row r="26" spans="4:7" x14ac:dyDescent="0.2">
      <c r="D26" s="17">
        <v>43924</v>
      </c>
      <c r="E26" s="1">
        <v>-4</v>
      </c>
      <c r="F26" s="1">
        <v>2.9</v>
      </c>
      <c r="G26" s="1">
        <v>16.7</v>
      </c>
    </row>
    <row r="27" spans="4:7" x14ac:dyDescent="0.2">
      <c r="D27" s="17">
        <v>43927</v>
      </c>
      <c r="E27" s="1">
        <v>-4</v>
      </c>
      <c r="F27" s="1">
        <v>3.91</v>
      </c>
      <c r="G27" s="1">
        <v>16.7</v>
      </c>
    </row>
    <row r="28" spans="4:7" x14ac:dyDescent="0.2">
      <c r="D28" s="17">
        <v>43928</v>
      </c>
      <c r="E28" s="1">
        <v>-4</v>
      </c>
      <c r="F28" s="1">
        <v>4.0999999999999996</v>
      </c>
      <c r="G28" s="1">
        <v>16.7</v>
      </c>
    </row>
    <row r="29" spans="4:7" x14ac:dyDescent="0.2">
      <c r="D29" s="17">
        <v>43929</v>
      </c>
      <c r="E29" s="1">
        <v>-4</v>
      </c>
      <c r="F29" s="1">
        <v>4.2300000000000004</v>
      </c>
      <c r="G29" s="1">
        <v>20.100000000000001</v>
      </c>
    </row>
    <row r="30" spans="4:7" x14ac:dyDescent="0.2">
      <c r="D30" s="17">
        <v>43930</v>
      </c>
      <c r="E30" s="1">
        <v>-4</v>
      </c>
      <c r="F30" s="1">
        <v>4.0999999999999996</v>
      </c>
      <c r="G30" s="1">
        <v>20.100000000000001</v>
      </c>
    </row>
    <row r="31" spans="4:7" x14ac:dyDescent="0.2">
      <c r="D31" s="17">
        <v>43934</v>
      </c>
      <c r="E31" s="1">
        <v>-4</v>
      </c>
      <c r="F31" s="1">
        <v>4.8600000000000003</v>
      </c>
      <c r="G31" s="1">
        <v>20.100000000000001</v>
      </c>
    </row>
    <row r="32" spans="4:7" x14ac:dyDescent="0.2">
      <c r="D32" s="17">
        <v>43935</v>
      </c>
      <c r="E32" s="1">
        <v>-4</v>
      </c>
      <c r="F32" s="1">
        <v>4.8</v>
      </c>
      <c r="G32" s="1">
        <v>20.100000000000001</v>
      </c>
    </row>
    <row r="33" spans="4:7" x14ac:dyDescent="0.2">
      <c r="D33" s="17">
        <v>43936</v>
      </c>
      <c r="E33" s="1">
        <v>-4</v>
      </c>
      <c r="F33" s="1">
        <v>4.91</v>
      </c>
      <c r="G33" s="1">
        <v>20.100000000000001</v>
      </c>
    </row>
    <row r="34" spans="4:7" x14ac:dyDescent="0.2">
      <c r="D34" s="17">
        <v>43937</v>
      </c>
      <c r="E34" s="1">
        <v>-4</v>
      </c>
      <c r="F34" s="1">
        <v>4.91</v>
      </c>
      <c r="G34" s="1">
        <v>20.100000000000001</v>
      </c>
    </row>
    <row r="35" spans="4:7" x14ac:dyDescent="0.2">
      <c r="D35" s="17">
        <v>43938</v>
      </c>
      <c r="E35" s="1">
        <v>-4</v>
      </c>
      <c r="F35" s="1">
        <v>5</v>
      </c>
      <c r="G35" s="1">
        <v>20.100000000000001</v>
      </c>
    </row>
    <row r="36" spans="4:7" x14ac:dyDescent="0.2">
      <c r="D36" s="17">
        <v>43941</v>
      </c>
      <c r="E36" s="1">
        <v>-4</v>
      </c>
      <c r="F36" s="1">
        <v>5</v>
      </c>
      <c r="G36" s="1">
        <v>20.100000000000001</v>
      </c>
    </row>
    <row r="37" spans="4:7" x14ac:dyDescent="0.2">
      <c r="D37" s="17">
        <v>43943</v>
      </c>
      <c r="E37" s="1">
        <v>-4</v>
      </c>
      <c r="F37" s="1">
        <v>5.0999999999999996</v>
      </c>
      <c r="G37" s="1">
        <v>20.100000000000001</v>
      </c>
    </row>
    <row r="38" spans="4:7" x14ac:dyDescent="0.2">
      <c r="D38" s="17">
        <v>43944</v>
      </c>
      <c r="E38" s="1">
        <v>-4</v>
      </c>
      <c r="F38" s="1">
        <v>6</v>
      </c>
      <c r="G38" s="1">
        <v>20.100000000000001</v>
      </c>
    </row>
    <row r="39" spans="4:7" x14ac:dyDescent="0.2">
      <c r="D39" s="17">
        <v>43945</v>
      </c>
      <c r="E39" s="1">
        <v>-4</v>
      </c>
      <c r="F39" s="1">
        <v>6</v>
      </c>
      <c r="G39" s="1">
        <v>20.100000000000001</v>
      </c>
    </row>
    <row r="40" spans="4:7" x14ac:dyDescent="0.2">
      <c r="D40" s="17">
        <v>43948</v>
      </c>
      <c r="E40" s="1">
        <v>-4</v>
      </c>
      <c r="F40" s="1">
        <v>6.5</v>
      </c>
      <c r="G40" s="1">
        <v>20.100000000000001</v>
      </c>
    </row>
    <row r="41" spans="4:7" x14ac:dyDescent="0.2">
      <c r="D41" s="17">
        <v>43949</v>
      </c>
      <c r="E41" s="1">
        <v>-4</v>
      </c>
      <c r="F41" s="1">
        <v>6.58</v>
      </c>
      <c r="G41" s="1">
        <v>20.2</v>
      </c>
    </row>
    <row r="42" spans="4:7" x14ac:dyDescent="0.2">
      <c r="D42" s="17">
        <v>43950</v>
      </c>
      <c r="E42" s="1">
        <v>-4</v>
      </c>
      <c r="F42" s="1">
        <v>6.5</v>
      </c>
      <c r="G42" s="1">
        <v>20.2</v>
      </c>
    </row>
    <row r="43" spans="4:7" x14ac:dyDescent="0.2">
      <c r="D43" s="17">
        <v>43951</v>
      </c>
      <c r="E43" s="1">
        <v>-4</v>
      </c>
      <c r="F43" s="1">
        <v>6.58</v>
      </c>
      <c r="G43" s="1">
        <v>20.2</v>
      </c>
    </row>
    <row r="44" spans="4:7" x14ac:dyDescent="0.2">
      <c r="D44" s="17">
        <v>43955</v>
      </c>
      <c r="E44" s="1">
        <v>0.5</v>
      </c>
      <c r="F44" s="1">
        <v>6.83</v>
      </c>
      <c r="G44" s="1">
        <v>20.2</v>
      </c>
    </row>
    <row r="45" spans="4:7" x14ac:dyDescent="0.2">
      <c r="D45" s="17">
        <v>43956</v>
      </c>
      <c r="E45" s="1">
        <v>-1</v>
      </c>
      <c r="F45" s="1">
        <v>6.65</v>
      </c>
      <c r="G45" s="1">
        <v>20.2</v>
      </c>
    </row>
    <row r="46" spans="4:7" x14ac:dyDescent="0.2">
      <c r="D46" s="17">
        <v>43957</v>
      </c>
      <c r="E46" s="1">
        <v>-1</v>
      </c>
      <c r="F46" s="1">
        <v>6.65</v>
      </c>
      <c r="G46" s="1">
        <v>20.2</v>
      </c>
    </row>
    <row r="47" spans="4:7" x14ac:dyDescent="0.2">
      <c r="D47" s="17">
        <v>43958</v>
      </c>
      <c r="E47" s="1">
        <v>-1</v>
      </c>
      <c r="F47" s="1">
        <v>7</v>
      </c>
      <c r="G47" s="1">
        <v>20.2</v>
      </c>
    </row>
    <row r="48" spans="4:7" x14ac:dyDescent="0.2">
      <c r="D48" s="17">
        <v>43959</v>
      </c>
      <c r="E48" s="1">
        <v>-4</v>
      </c>
      <c r="F48" s="1">
        <v>6.65</v>
      </c>
      <c r="G48" s="1">
        <v>20.2</v>
      </c>
    </row>
    <row r="49" spans="4:7" x14ac:dyDescent="0.2">
      <c r="D49" s="17">
        <v>43962</v>
      </c>
      <c r="E49" s="1">
        <v>-4</v>
      </c>
      <c r="F49" s="1">
        <v>6.65</v>
      </c>
      <c r="G49" s="1">
        <v>20.2</v>
      </c>
    </row>
    <row r="50" spans="4:7" x14ac:dyDescent="0.2">
      <c r="D50" s="17">
        <v>43963</v>
      </c>
      <c r="E50" s="1">
        <v>-4</v>
      </c>
      <c r="F50" s="1">
        <v>6.65</v>
      </c>
      <c r="G50" s="1">
        <v>20.2</v>
      </c>
    </row>
    <row r="51" spans="4:7" x14ac:dyDescent="0.2">
      <c r="D51" s="17">
        <v>43964</v>
      </c>
      <c r="E51" s="1">
        <v>-4</v>
      </c>
      <c r="F51" s="1">
        <v>6.65</v>
      </c>
      <c r="G51" s="1">
        <v>20.2</v>
      </c>
    </row>
    <row r="52" spans="4:7" x14ac:dyDescent="0.2">
      <c r="D52" s="17">
        <v>43965</v>
      </c>
      <c r="E52" s="1">
        <v>-4</v>
      </c>
      <c r="F52" s="1">
        <v>6.58</v>
      </c>
      <c r="G52" s="1">
        <v>20.2</v>
      </c>
    </row>
    <row r="53" spans="4:7" x14ac:dyDescent="0.2">
      <c r="D53" s="17">
        <v>43966</v>
      </c>
      <c r="E53" s="1">
        <v>-4</v>
      </c>
      <c r="F53" s="1">
        <v>6.78</v>
      </c>
      <c r="G53" s="1">
        <v>20.2</v>
      </c>
    </row>
    <row r="54" spans="4:7" x14ac:dyDescent="0.2">
      <c r="D54" s="17">
        <v>43969</v>
      </c>
      <c r="E54" s="1">
        <v>-4</v>
      </c>
      <c r="F54" s="1">
        <v>6.78</v>
      </c>
      <c r="G54" s="1">
        <v>20.2</v>
      </c>
    </row>
    <row r="55" spans="4:7" x14ac:dyDescent="0.2">
      <c r="D55" s="17">
        <v>43970</v>
      </c>
      <c r="E55" s="1">
        <v>-4</v>
      </c>
      <c r="F55" s="1">
        <v>6.9</v>
      </c>
      <c r="G55" s="1">
        <v>20.2</v>
      </c>
    </row>
    <row r="56" spans="4:7" x14ac:dyDescent="0.2">
      <c r="D56" s="17">
        <v>43971</v>
      </c>
      <c r="E56" s="1">
        <v>-4</v>
      </c>
      <c r="F56" s="1">
        <v>6.95</v>
      </c>
      <c r="G56" s="1">
        <v>20.2</v>
      </c>
    </row>
    <row r="57" spans="4:7" x14ac:dyDescent="0.2">
      <c r="D57" s="17">
        <v>43972</v>
      </c>
      <c r="E57" s="1">
        <v>-4</v>
      </c>
      <c r="F57" s="1">
        <v>6.95</v>
      </c>
      <c r="G57" s="1">
        <v>20.2</v>
      </c>
    </row>
    <row r="58" spans="4:7" x14ac:dyDescent="0.2">
      <c r="D58" s="17">
        <v>43973</v>
      </c>
      <c r="E58" s="1">
        <v>-3.1</v>
      </c>
      <c r="F58" s="1">
        <v>7.16</v>
      </c>
      <c r="G58" s="1">
        <v>20.2</v>
      </c>
    </row>
    <row r="59" spans="4:7" x14ac:dyDescent="0.2">
      <c r="D59" s="17">
        <v>43976</v>
      </c>
      <c r="E59" s="1">
        <v>-3.1</v>
      </c>
      <c r="F59" s="1">
        <v>7.28</v>
      </c>
      <c r="G59" s="1">
        <v>20.2</v>
      </c>
    </row>
    <row r="60" spans="4:7" x14ac:dyDescent="0.2">
      <c r="D60" s="17">
        <v>43977</v>
      </c>
      <c r="E60" s="1">
        <v>-3.1</v>
      </c>
      <c r="F60" s="1">
        <v>7.4</v>
      </c>
      <c r="G60" s="1">
        <v>20.2</v>
      </c>
    </row>
    <row r="61" spans="4:7" x14ac:dyDescent="0.2">
      <c r="D61" s="17">
        <v>43978</v>
      </c>
      <c r="E61" s="1">
        <v>-3.1</v>
      </c>
      <c r="F61" s="1">
        <v>7.4</v>
      </c>
      <c r="G61" s="1">
        <v>20.2</v>
      </c>
    </row>
    <row r="62" spans="4:7" x14ac:dyDescent="0.2">
      <c r="D62" s="17">
        <v>43979</v>
      </c>
      <c r="E62" s="1">
        <v>-3.1</v>
      </c>
      <c r="F62" s="1">
        <v>7.4</v>
      </c>
      <c r="G62" s="1">
        <v>20.2</v>
      </c>
    </row>
    <row r="63" spans="4:7" x14ac:dyDescent="0.2">
      <c r="D63" s="17">
        <v>43980</v>
      </c>
      <c r="E63" s="1">
        <v>-3.1</v>
      </c>
      <c r="F63" s="1">
        <v>7.28</v>
      </c>
      <c r="G63" s="1">
        <v>20.2</v>
      </c>
    </row>
    <row r="64" spans="4:7" x14ac:dyDescent="0.2">
      <c r="D64" s="17">
        <v>43983</v>
      </c>
      <c r="E64" s="1">
        <v>-3.1</v>
      </c>
      <c r="F64" s="1">
        <v>7.5</v>
      </c>
      <c r="G64" s="1">
        <v>20.2</v>
      </c>
    </row>
    <row r="65" spans="4:7" x14ac:dyDescent="0.2">
      <c r="D65" s="17">
        <v>43984</v>
      </c>
      <c r="E65" s="1">
        <v>-3.1</v>
      </c>
      <c r="F65" s="1">
        <v>7.5</v>
      </c>
      <c r="G65" s="1">
        <v>16.100000000000001</v>
      </c>
    </row>
    <row r="66" spans="4:7" x14ac:dyDescent="0.2">
      <c r="D66" s="17">
        <v>43985</v>
      </c>
      <c r="E66" s="1">
        <v>-3.1</v>
      </c>
      <c r="F66" s="1">
        <v>7.6</v>
      </c>
      <c r="G66" s="1">
        <v>16.100000000000001</v>
      </c>
    </row>
    <row r="67" spans="4:7" x14ac:dyDescent="0.2">
      <c r="D67" s="17">
        <v>43986</v>
      </c>
      <c r="E67" s="1">
        <v>-3.1</v>
      </c>
      <c r="F67" s="1">
        <v>7.8</v>
      </c>
      <c r="G67" s="1">
        <v>16.100000000000001</v>
      </c>
    </row>
    <row r="68" spans="4:7" x14ac:dyDescent="0.2">
      <c r="D68" s="17">
        <v>43987</v>
      </c>
      <c r="E68" s="1">
        <v>-3.1</v>
      </c>
      <c r="F68" s="1">
        <v>8</v>
      </c>
      <c r="G68" s="1">
        <v>16.100000000000001</v>
      </c>
    </row>
    <row r="69" spans="4:7" x14ac:dyDescent="0.2">
      <c r="D69" s="17">
        <v>43990</v>
      </c>
      <c r="E69" s="1">
        <v>-2.7</v>
      </c>
      <c r="F69" s="1">
        <v>8.5500000000000007</v>
      </c>
      <c r="G69" s="1">
        <v>16.100000000000001</v>
      </c>
    </row>
    <row r="70" spans="4:7" x14ac:dyDescent="0.2">
      <c r="D70" s="17">
        <v>43991</v>
      </c>
      <c r="E70" s="1">
        <v>-2.7</v>
      </c>
      <c r="F70" s="1">
        <v>8.5500000000000007</v>
      </c>
      <c r="G70" s="1">
        <v>16.100000000000001</v>
      </c>
    </row>
    <row r="71" spans="4:7" x14ac:dyDescent="0.2">
      <c r="D71" s="17">
        <v>43992</v>
      </c>
      <c r="E71" s="1">
        <v>-2.7</v>
      </c>
      <c r="F71" s="1">
        <v>8.5500000000000007</v>
      </c>
      <c r="G71" s="1">
        <v>16.100000000000001</v>
      </c>
    </row>
    <row r="72" spans="4:7" x14ac:dyDescent="0.2">
      <c r="D72" s="17">
        <v>43994</v>
      </c>
      <c r="E72" s="1">
        <v>-2.7</v>
      </c>
      <c r="F72" s="1">
        <v>8.4</v>
      </c>
      <c r="G72" s="1">
        <v>16.100000000000001</v>
      </c>
    </row>
    <row r="73" spans="4:7" x14ac:dyDescent="0.2">
      <c r="D73" s="17">
        <v>43997</v>
      </c>
      <c r="E73" s="1">
        <v>-2.7</v>
      </c>
      <c r="F73" s="1">
        <v>8.4</v>
      </c>
      <c r="G73" s="1">
        <v>16.100000000000001</v>
      </c>
    </row>
    <row r="74" spans="4:7" x14ac:dyDescent="0.2">
      <c r="D74" s="17">
        <v>43998</v>
      </c>
      <c r="E74" s="1">
        <v>-2.7</v>
      </c>
      <c r="F74" s="1">
        <v>8.4</v>
      </c>
      <c r="G74" s="1">
        <v>16.100000000000001</v>
      </c>
    </row>
    <row r="75" spans="4:7" x14ac:dyDescent="0.2">
      <c r="D75" s="17">
        <v>43999</v>
      </c>
      <c r="E75" s="1">
        <v>-2.7</v>
      </c>
      <c r="F75" s="1">
        <v>8.1999999999999993</v>
      </c>
      <c r="G75" s="1">
        <v>16.100000000000001</v>
      </c>
    </row>
    <row r="76" spans="4:7" x14ac:dyDescent="0.2">
      <c r="D76" s="17">
        <v>44000</v>
      </c>
      <c r="E76" s="1">
        <v>-2.7</v>
      </c>
      <c r="F76" s="1">
        <v>8.1999999999999993</v>
      </c>
      <c r="G76" s="1">
        <v>16.100000000000001</v>
      </c>
    </row>
    <row r="77" spans="4:7" x14ac:dyDescent="0.2">
      <c r="D77" s="17">
        <v>44001</v>
      </c>
      <c r="E77" s="1">
        <v>-2.7</v>
      </c>
      <c r="F77" s="1">
        <v>8.1999999999999993</v>
      </c>
      <c r="G77" s="1">
        <v>16.100000000000001</v>
      </c>
    </row>
    <row r="78" spans="4:7" x14ac:dyDescent="0.2">
      <c r="D78" s="17">
        <v>44004</v>
      </c>
      <c r="E78" s="1">
        <v>0.5</v>
      </c>
      <c r="F78" s="1">
        <v>8.59</v>
      </c>
      <c r="G78" s="1">
        <v>16.100000000000001</v>
      </c>
    </row>
    <row r="79" spans="4:7" x14ac:dyDescent="0.2">
      <c r="D79" s="17">
        <v>44005</v>
      </c>
      <c r="E79" s="1">
        <v>0.5</v>
      </c>
      <c r="F79" s="1">
        <v>8.59</v>
      </c>
      <c r="G79" s="1">
        <v>16.100000000000001</v>
      </c>
    </row>
    <row r="80" spans="4:7" x14ac:dyDescent="0.2">
      <c r="D80" s="17">
        <v>44006</v>
      </c>
      <c r="E80" s="1">
        <v>0.5</v>
      </c>
      <c r="F80" s="1">
        <v>8.59</v>
      </c>
      <c r="G80" s="1">
        <v>16.100000000000001</v>
      </c>
    </row>
    <row r="81" spans="4:7" x14ac:dyDescent="0.2">
      <c r="D81" s="17">
        <v>44007</v>
      </c>
      <c r="E81" s="1">
        <v>0.5</v>
      </c>
      <c r="F81" s="1">
        <v>8.7799999999999994</v>
      </c>
      <c r="G81" s="1">
        <v>16.100000000000001</v>
      </c>
    </row>
    <row r="82" spans="4:7" x14ac:dyDescent="0.2">
      <c r="D82" s="17">
        <v>44008</v>
      </c>
      <c r="E82" s="1">
        <v>0.5</v>
      </c>
      <c r="F82" s="1">
        <v>8.7899999999999991</v>
      </c>
      <c r="G82" s="1">
        <v>16.100000000000001</v>
      </c>
    </row>
    <row r="83" spans="4:7" x14ac:dyDescent="0.2">
      <c r="D83" s="17">
        <v>44011</v>
      </c>
      <c r="E83" s="1">
        <v>0.5</v>
      </c>
      <c r="F83" s="1">
        <v>8.8000000000000007</v>
      </c>
      <c r="G83" s="1">
        <v>16.100000000000001</v>
      </c>
    </row>
    <row r="84" spans="4:7" x14ac:dyDescent="0.2">
      <c r="D84" s="17">
        <v>44012</v>
      </c>
      <c r="E84" s="1">
        <v>0.5</v>
      </c>
      <c r="F84" s="1">
        <v>9</v>
      </c>
      <c r="G84" s="1">
        <v>16.100000000000001</v>
      </c>
    </row>
    <row r="85" spans="4:7" x14ac:dyDescent="0.2">
      <c r="D85" s="17">
        <v>44013</v>
      </c>
      <c r="E85" s="1">
        <v>0.5</v>
      </c>
      <c r="F85" s="1">
        <v>9</v>
      </c>
      <c r="G85" s="1">
        <v>16.100000000000001</v>
      </c>
    </row>
    <row r="86" spans="4:7" x14ac:dyDescent="0.2">
      <c r="D86" s="17">
        <v>44014</v>
      </c>
      <c r="E86" s="1">
        <v>0.5</v>
      </c>
      <c r="F86" s="1">
        <v>9</v>
      </c>
      <c r="G86" s="1">
        <v>16.100000000000001</v>
      </c>
    </row>
    <row r="87" spans="4:7" x14ac:dyDescent="0.2">
      <c r="D87" s="17">
        <v>44015</v>
      </c>
      <c r="E87" s="1">
        <v>0.5</v>
      </c>
      <c r="F87" s="1">
        <v>9</v>
      </c>
      <c r="G87" s="1">
        <v>16.100000000000001</v>
      </c>
    </row>
    <row r="88" spans="4:7" x14ac:dyDescent="0.2">
      <c r="D88" s="17">
        <v>44018</v>
      </c>
      <c r="E88" s="1">
        <v>0.5</v>
      </c>
      <c r="F88" s="1">
        <v>9.1999999999999993</v>
      </c>
      <c r="G88" s="1">
        <v>16.100000000000001</v>
      </c>
    </row>
    <row r="89" spans="4:7" x14ac:dyDescent="0.2">
      <c r="D89" s="17">
        <v>44019</v>
      </c>
      <c r="E89" s="1">
        <v>-1</v>
      </c>
      <c r="F89" s="1">
        <v>9.1999999999999993</v>
      </c>
      <c r="G89" s="1">
        <v>16.100000000000001</v>
      </c>
    </row>
    <row r="90" spans="4:7" x14ac:dyDescent="0.2">
      <c r="D90" s="17">
        <v>44020</v>
      </c>
      <c r="E90" s="1">
        <v>-1</v>
      </c>
      <c r="F90" s="1">
        <v>9.1999999999999993</v>
      </c>
      <c r="G90" s="1">
        <v>16.100000000000001</v>
      </c>
    </row>
    <row r="91" spans="4:7" x14ac:dyDescent="0.2">
      <c r="D91" s="17">
        <v>44021</v>
      </c>
      <c r="E91" s="1">
        <v>-1</v>
      </c>
      <c r="F91" s="1">
        <v>8.7899999999999991</v>
      </c>
      <c r="G91" s="1">
        <v>16.100000000000001</v>
      </c>
    </row>
    <row r="92" spans="4:7" x14ac:dyDescent="0.2">
      <c r="D92" s="17">
        <v>44022</v>
      </c>
      <c r="E92" s="1">
        <v>-2.7</v>
      </c>
      <c r="F92" s="1">
        <v>8.7799999999999994</v>
      </c>
      <c r="G92" s="1">
        <v>16.100000000000001</v>
      </c>
    </row>
    <row r="93" spans="4:7" x14ac:dyDescent="0.2">
      <c r="D93" s="17">
        <v>44025</v>
      </c>
      <c r="E93" s="1">
        <v>-2.7</v>
      </c>
      <c r="F93" s="1">
        <v>8.7799999999999994</v>
      </c>
      <c r="G93" s="1">
        <v>14.11</v>
      </c>
    </row>
    <row r="94" spans="4:7" x14ac:dyDescent="0.2">
      <c r="D94" s="17">
        <v>44026</v>
      </c>
      <c r="E94" s="1">
        <v>-2.7</v>
      </c>
      <c r="F94" s="1">
        <v>8.7799999999999994</v>
      </c>
      <c r="G94" s="1">
        <v>13.9</v>
      </c>
    </row>
    <row r="95" spans="4:7" x14ac:dyDescent="0.2">
      <c r="D95" s="17">
        <v>44027</v>
      </c>
      <c r="E95" s="1">
        <v>-2.7</v>
      </c>
      <c r="F95" s="1">
        <v>8.74</v>
      </c>
      <c r="G95" s="1">
        <v>13.9</v>
      </c>
    </row>
    <row r="96" spans="4:7" x14ac:dyDescent="0.2">
      <c r="D96" s="17">
        <v>44028</v>
      </c>
      <c r="E96" s="1">
        <v>-2.7</v>
      </c>
      <c r="F96" s="1">
        <v>8.74</v>
      </c>
      <c r="G96" s="1">
        <v>13.9</v>
      </c>
    </row>
    <row r="97" spans="4:7" x14ac:dyDescent="0.2">
      <c r="D97" s="17">
        <v>44029</v>
      </c>
      <c r="E97" s="1">
        <v>-2.7</v>
      </c>
      <c r="F97" s="1">
        <v>8.61</v>
      </c>
      <c r="G97" s="1">
        <v>13.9</v>
      </c>
    </row>
    <row r="98" spans="4:7" x14ac:dyDescent="0.2">
      <c r="D98" s="17">
        <v>44032</v>
      </c>
      <c r="E98" s="1">
        <v>-2.7</v>
      </c>
      <c r="F98" s="1">
        <v>8.51</v>
      </c>
      <c r="G98" s="1">
        <v>13.9</v>
      </c>
    </row>
    <row r="99" spans="4:7" x14ac:dyDescent="0.2">
      <c r="D99" s="17">
        <v>44033</v>
      </c>
      <c r="E99" s="1">
        <v>-2.7</v>
      </c>
      <c r="F99" s="1">
        <v>8.5</v>
      </c>
      <c r="G99" s="1">
        <v>13.9</v>
      </c>
    </row>
    <row r="100" spans="4:7" x14ac:dyDescent="0.2">
      <c r="D100" s="17">
        <v>44034</v>
      </c>
      <c r="E100" s="1">
        <v>-2.7</v>
      </c>
      <c r="F100" s="1">
        <v>8.5</v>
      </c>
      <c r="G100" s="1">
        <v>13.9</v>
      </c>
    </row>
    <row r="101" spans="4:7" x14ac:dyDescent="0.2">
      <c r="D101" s="17">
        <v>44035</v>
      </c>
      <c r="E101" s="1">
        <v>-2.7</v>
      </c>
      <c r="F101" s="1">
        <v>8.51</v>
      </c>
      <c r="G101" s="1">
        <v>13.9</v>
      </c>
    </row>
    <row r="102" spans="4:7" x14ac:dyDescent="0.2">
      <c r="D102" s="17">
        <v>44036</v>
      </c>
      <c r="E102" s="1">
        <v>-2.7</v>
      </c>
      <c r="F102" s="1">
        <v>8.5</v>
      </c>
      <c r="G102" s="1">
        <v>13.2</v>
      </c>
    </row>
    <row r="103" spans="4:7" x14ac:dyDescent="0.2">
      <c r="D103" s="17">
        <v>44039</v>
      </c>
      <c r="E103" s="1">
        <v>-2.7</v>
      </c>
      <c r="F103" s="1">
        <v>8.4</v>
      </c>
      <c r="G103" s="1">
        <v>13.2</v>
      </c>
    </row>
    <row r="104" spans="4:7" x14ac:dyDescent="0.2">
      <c r="D104" s="17">
        <v>44040</v>
      </c>
      <c r="E104" s="1">
        <v>-2.7</v>
      </c>
      <c r="F104" s="1">
        <v>8.4</v>
      </c>
      <c r="G104" s="1">
        <v>13.2</v>
      </c>
    </row>
    <row r="105" spans="4:7" x14ac:dyDescent="0.2">
      <c r="D105" s="17">
        <v>44041</v>
      </c>
      <c r="E105" s="1">
        <v>-2.7</v>
      </c>
      <c r="F105" s="1">
        <v>8.1999999999999993</v>
      </c>
      <c r="G105" s="1">
        <v>13.2</v>
      </c>
    </row>
    <row r="106" spans="4:7" x14ac:dyDescent="0.2">
      <c r="D106" s="17">
        <v>44042</v>
      </c>
      <c r="E106" s="1">
        <v>-2.7</v>
      </c>
      <c r="F106" s="1">
        <v>8.1999999999999993</v>
      </c>
      <c r="G106" s="1">
        <v>13.2</v>
      </c>
    </row>
    <row r="107" spans="4:7" x14ac:dyDescent="0.2">
      <c r="D107" s="17">
        <v>44043</v>
      </c>
      <c r="E107" s="1">
        <v>-2.7</v>
      </c>
      <c r="F107" s="1">
        <v>8.1999999999999993</v>
      </c>
      <c r="G107" s="1">
        <v>13.2</v>
      </c>
    </row>
    <row r="108" spans="4:7" x14ac:dyDescent="0.2">
      <c r="D108" s="17">
        <v>44046</v>
      </c>
      <c r="E108" s="1">
        <v>-2.7</v>
      </c>
      <c r="F108" s="1">
        <v>8.15</v>
      </c>
      <c r="G108" s="1">
        <v>13.2</v>
      </c>
    </row>
    <row r="109" spans="4:7" x14ac:dyDescent="0.2">
      <c r="D109" s="17">
        <v>44047</v>
      </c>
      <c r="E109" s="1">
        <v>-2.7</v>
      </c>
      <c r="F109" s="1">
        <v>8.15</v>
      </c>
      <c r="G109" s="1">
        <v>13.2</v>
      </c>
    </row>
    <row r="110" spans="4:7" x14ac:dyDescent="0.2">
      <c r="D110" s="17">
        <v>44048</v>
      </c>
      <c r="E110" s="1">
        <v>-2.7</v>
      </c>
      <c r="F110" s="1">
        <v>8.15</v>
      </c>
      <c r="G110" s="1">
        <v>13.2</v>
      </c>
    </row>
    <row r="111" spans="4:7" x14ac:dyDescent="0.2">
      <c r="D111" s="17">
        <v>44049</v>
      </c>
      <c r="E111" s="1">
        <v>-2.7</v>
      </c>
      <c r="F111" s="1">
        <v>8.0500000000000007</v>
      </c>
      <c r="G111" s="1">
        <v>13.2</v>
      </c>
    </row>
    <row r="112" spans="4:7" x14ac:dyDescent="0.2">
      <c r="D112" s="17">
        <v>44050</v>
      </c>
      <c r="E112" s="1">
        <v>-2.7</v>
      </c>
      <c r="F112" s="1">
        <v>8</v>
      </c>
      <c r="G112" s="1">
        <v>13.2</v>
      </c>
    </row>
    <row r="113" spans="4:7" x14ac:dyDescent="0.2">
      <c r="D113" s="17">
        <v>44053</v>
      </c>
      <c r="E113" s="1">
        <v>-1</v>
      </c>
      <c r="F113" s="1">
        <v>8.1</v>
      </c>
      <c r="G113" s="1">
        <v>13.2</v>
      </c>
    </row>
    <row r="114" spans="4:7" x14ac:dyDescent="0.2">
      <c r="D114" s="17">
        <v>44054</v>
      </c>
      <c r="E114" s="1">
        <v>-2.7</v>
      </c>
      <c r="F114" s="1">
        <v>8.1</v>
      </c>
      <c r="G114" s="1">
        <v>13.2</v>
      </c>
    </row>
    <row r="115" spans="4:7" x14ac:dyDescent="0.2">
      <c r="D115" s="17">
        <v>44055</v>
      </c>
      <c r="E115" s="1">
        <v>-2.7</v>
      </c>
      <c r="F115" s="1">
        <v>8.1</v>
      </c>
      <c r="G115" s="1">
        <v>13.2</v>
      </c>
    </row>
    <row r="116" spans="4:7" x14ac:dyDescent="0.2">
      <c r="D116" s="17">
        <v>44056</v>
      </c>
      <c r="E116" s="1">
        <v>-2.7</v>
      </c>
      <c r="F116" s="1">
        <v>8.15</v>
      </c>
      <c r="G116" s="1">
        <v>13.2</v>
      </c>
    </row>
    <row r="117" spans="4:7" x14ac:dyDescent="0.2">
      <c r="D117" s="17">
        <v>44057</v>
      </c>
      <c r="E117" s="1">
        <v>-2.7</v>
      </c>
      <c r="F117" s="1">
        <v>8</v>
      </c>
      <c r="G117" s="1">
        <v>13.2</v>
      </c>
    </row>
    <row r="118" spans="4:7" x14ac:dyDescent="0.2">
      <c r="D118" s="17">
        <v>44060</v>
      </c>
      <c r="E118" s="1">
        <v>-2.7</v>
      </c>
      <c r="F118" s="1">
        <v>8</v>
      </c>
      <c r="G118" s="1">
        <v>12.3</v>
      </c>
    </row>
    <row r="119" spans="4:7" x14ac:dyDescent="0.2">
      <c r="D119" s="17">
        <v>44061</v>
      </c>
      <c r="E119" s="1">
        <v>-2.7</v>
      </c>
      <c r="F119" s="1">
        <v>8</v>
      </c>
      <c r="G119" s="1">
        <v>12.3</v>
      </c>
    </row>
    <row r="120" spans="4:7" x14ac:dyDescent="0.2">
      <c r="D120" s="17">
        <v>44062</v>
      </c>
      <c r="E120" s="1">
        <v>-2.7</v>
      </c>
      <c r="F120" s="1">
        <v>8</v>
      </c>
      <c r="G120" s="1">
        <v>12.3</v>
      </c>
    </row>
    <row r="121" spans="4:7" x14ac:dyDescent="0.2">
      <c r="D121" s="17">
        <v>44063</v>
      </c>
      <c r="E121" s="1">
        <v>-2.7</v>
      </c>
      <c r="F121" s="1">
        <v>8</v>
      </c>
      <c r="G121" s="1">
        <v>12.3</v>
      </c>
    </row>
    <row r="122" spans="4:7" x14ac:dyDescent="0.2">
      <c r="D122" s="17">
        <v>44064</v>
      </c>
      <c r="E122" s="1">
        <v>-2.7</v>
      </c>
      <c r="F122" s="1">
        <v>8</v>
      </c>
      <c r="G122" s="1">
        <v>12.3</v>
      </c>
    </row>
    <row r="123" spans="4:7" x14ac:dyDescent="0.2">
      <c r="D123" s="17">
        <v>44067</v>
      </c>
      <c r="E123" s="1">
        <v>-2.7</v>
      </c>
      <c r="F123" s="1">
        <v>8</v>
      </c>
      <c r="G123" s="1">
        <v>12.3</v>
      </c>
    </row>
    <row r="124" spans="4:7" x14ac:dyDescent="0.2">
      <c r="D124" s="17">
        <v>44068</v>
      </c>
      <c r="E124" s="1">
        <v>-2.7</v>
      </c>
      <c r="F124" s="1">
        <v>8</v>
      </c>
      <c r="G124" s="1">
        <v>12.3</v>
      </c>
    </row>
    <row r="125" spans="4:7" x14ac:dyDescent="0.2">
      <c r="D125" s="17">
        <v>44069</v>
      </c>
      <c r="E125" s="1">
        <v>-2.7</v>
      </c>
      <c r="F125" s="1">
        <v>8</v>
      </c>
      <c r="G125" s="1">
        <v>12.3</v>
      </c>
    </row>
    <row r="126" spans="4:7" x14ac:dyDescent="0.2">
      <c r="D126" s="17">
        <v>44070</v>
      </c>
      <c r="E126" s="1">
        <v>-2.7</v>
      </c>
      <c r="F126" s="1">
        <v>8</v>
      </c>
      <c r="G126" s="1">
        <v>12.3</v>
      </c>
    </row>
    <row r="127" spans="4:7" x14ac:dyDescent="0.2">
      <c r="D127" s="17">
        <v>44071</v>
      </c>
      <c r="E127" s="1">
        <v>-2.7</v>
      </c>
      <c r="F127" s="1">
        <v>8</v>
      </c>
      <c r="G127" s="1">
        <v>12</v>
      </c>
    </row>
    <row r="128" spans="4:7" x14ac:dyDescent="0.2">
      <c r="D128" s="17">
        <v>44074</v>
      </c>
      <c r="E128" s="1">
        <v>-2.7</v>
      </c>
      <c r="F128" s="1">
        <v>8</v>
      </c>
      <c r="G128" s="1">
        <v>12</v>
      </c>
    </row>
    <row r="129" spans="4:7" x14ac:dyDescent="0.2">
      <c r="D129" s="17">
        <v>44075</v>
      </c>
      <c r="E129" s="1">
        <v>-2.7</v>
      </c>
      <c r="F129" s="1">
        <v>8</v>
      </c>
      <c r="G129" s="1">
        <v>12</v>
      </c>
    </row>
    <row r="130" spans="4:7" x14ac:dyDescent="0.2">
      <c r="D130" s="17">
        <v>44076</v>
      </c>
      <c r="E130" s="1">
        <v>-2.7</v>
      </c>
      <c r="F130" s="1">
        <v>8</v>
      </c>
      <c r="G130" s="1">
        <v>12</v>
      </c>
    </row>
    <row r="131" spans="4:7" x14ac:dyDescent="0.2">
      <c r="D131" s="17">
        <v>44077</v>
      </c>
      <c r="E131" s="1">
        <v>-2.7</v>
      </c>
      <c r="F131" s="1">
        <v>8.02</v>
      </c>
      <c r="G131" s="1">
        <v>12</v>
      </c>
    </row>
    <row r="132" spans="4:7" x14ac:dyDescent="0.2">
      <c r="D132" s="17">
        <v>44078</v>
      </c>
      <c r="E132" s="1">
        <v>-2.7</v>
      </c>
      <c r="F132" s="1">
        <v>8.1999999999999993</v>
      </c>
      <c r="G132" s="1">
        <v>12</v>
      </c>
    </row>
    <row r="133" spans="4:7" x14ac:dyDescent="0.2">
      <c r="D133" s="17">
        <v>44082</v>
      </c>
      <c r="E133" s="1">
        <v>-1</v>
      </c>
      <c r="F133" s="1">
        <v>8.3000000000000007</v>
      </c>
      <c r="G133" s="1">
        <v>12</v>
      </c>
    </row>
    <row r="134" spans="4:7" x14ac:dyDescent="0.2">
      <c r="D134" s="17">
        <v>44083</v>
      </c>
      <c r="E134" s="1">
        <v>-1</v>
      </c>
      <c r="F134" s="1">
        <v>8.6</v>
      </c>
      <c r="G134" s="1">
        <v>12.6</v>
      </c>
    </row>
    <row r="135" spans="4:7" x14ac:dyDescent="0.2">
      <c r="D135" s="17">
        <v>44084</v>
      </c>
      <c r="E135" s="1">
        <v>-1</v>
      </c>
      <c r="F135" s="1">
        <v>8.6999999999999993</v>
      </c>
      <c r="G135" s="1">
        <v>12.6</v>
      </c>
    </row>
    <row r="136" spans="4:7" x14ac:dyDescent="0.2">
      <c r="D136" s="17">
        <v>44085</v>
      </c>
      <c r="E136" s="1">
        <v>-1</v>
      </c>
      <c r="F136" s="1">
        <v>8.74</v>
      </c>
      <c r="G136" s="1">
        <v>12.6</v>
      </c>
    </row>
    <row r="137" spans="4:7" x14ac:dyDescent="0.2">
      <c r="D137" s="17">
        <v>44088</v>
      </c>
      <c r="E137" s="1">
        <v>-1</v>
      </c>
      <c r="F137" s="1">
        <v>8.6999999999999993</v>
      </c>
      <c r="G137" s="1">
        <v>12.6</v>
      </c>
    </row>
    <row r="138" spans="4:7" x14ac:dyDescent="0.2">
      <c r="D138" s="17">
        <v>44089</v>
      </c>
      <c r="E138" s="1">
        <v>-1</v>
      </c>
      <c r="F138" s="1">
        <v>8.6999999999999993</v>
      </c>
      <c r="G138" s="1">
        <v>12.6</v>
      </c>
    </row>
    <row r="139" spans="4:7" x14ac:dyDescent="0.2">
      <c r="D139" s="17">
        <v>44090</v>
      </c>
      <c r="E139" s="1">
        <v>-1</v>
      </c>
      <c r="F139" s="1">
        <v>8.6999999999999993</v>
      </c>
      <c r="G139" s="1">
        <v>12.6</v>
      </c>
    </row>
    <row r="140" spans="4:7" x14ac:dyDescent="0.2">
      <c r="D140" s="17">
        <v>44091</v>
      </c>
      <c r="E140" s="1">
        <v>-1</v>
      </c>
      <c r="F140" s="1">
        <v>8.74</v>
      </c>
      <c r="G140" s="1">
        <v>12.6</v>
      </c>
    </row>
    <row r="141" spans="4:7" x14ac:dyDescent="0.2">
      <c r="D141" s="17">
        <v>44092</v>
      </c>
      <c r="E141" s="1">
        <v>-1</v>
      </c>
      <c r="F141" s="1">
        <v>8.7799999999999994</v>
      </c>
      <c r="G141" s="1">
        <v>12.6</v>
      </c>
    </row>
    <row r="142" spans="4:7" x14ac:dyDescent="0.2">
      <c r="D142" s="17">
        <v>44095</v>
      </c>
      <c r="E142" s="1">
        <v>-1</v>
      </c>
      <c r="F142" s="1">
        <v>8.8000000000000007</v>
      </c>
      <c r="G142" s="1">
        <v>12.6</v>
      </c>
    </row>
    <row r="143" spans="4:7" x14ac:dyDescent="0.2">
      <c r="D143" s="17">
        <v>44096</v>
      </c>
      <c r="E143" s="1">
        <v>-1</v>
      </c>
      <c r="F143" s="1">
        <v>8.8000000000000007</v>
      </c>
      <c r="G143" s="1">
        <v>12.6</v>
      </c>
    </row>
    <row r="144" spans="4:7" x14ac:dyDescent="0.2">
      <c r="D144" s="17">
        <v>44097</v>
      </c>
      <c r="E144" s="1">
        <v>-1</v>
      </c>
      <c r="F144" s="1">
        <v>8.9499999999999993</v>
      </c>
      <c r="G144" s="1">
        <v>12.6</v>
      </c>
    </row>
    <row r="145" spans="4:7" x14ac:dyDescent="0.2">
      <c r="D145" s="17">
        <v>44098</v>
      </c>
      <c r="E145" s="1">
        <v>-1</v>
      </c>
      <c r="F145" s="1">
        <v>8.9499999999999993</v>
      </c>
      <c r="G145" s="1">
        <v>12.6</v>
      </c>
    </row>
    <row r="146" spans="4:7" x14ac:dyDescent="0.2">
      <c r="D146" s="17">
        <v>44099</v>
      </c>
      <c r="E146" s="1">
        <v>-1</v>
      </c>
      <c r="F146" s="1">
        <v>9.1</v>
      </c>
      <c r="G146" s="1">
        <v>12.6</v>
      </c>
    </row>
    <row r="147" spans="4:7" x14ac:dyDescent="0.2">
      <c r="D147" s="17">
        <v>44102</v>
      </c>
      <c r="E147" s="1">
        <v>-1</v>
      </c>
      <c r="F147" s="1">
        <v>9.39</v>
      </c>
      <c r="G147" s="1">
        <v>12.6</v>
      </c>
    </row>
    <row r="148" spans="4:7" x14ac:dyDescent="0.2">
      <c r="D148" s="17">
        <v>44103</v>
      </c>
      <c r="E148" s="1">
        <v>-1</v>
      </c>
      <c r="F148" s="1">
        <v>9.39</v>
      </c>
      <c r="G148" s="1">
        <v>12.6</v>
      </c>
    </row>
    <row r="149" spans="4:7" x14ac:dyDescent="0.2">
      <c r="D149" s="17">
        <v>44104</v>
      </c>
      <c r="E149" s="1">
        <v>-1</v>
      </c>
      <c r="F149" s="1">
        <v>9.39</v>
      </c>
      <c r="G149" s="1">
        <v>12.6</v>
      </c>
    </row>
    <row r="150" spans="4:7" x14ac:dyDescent="0.2">
      <c r="D150" s="17">
        <v>44105</v>
      </c>
      <c r="E150" s="1">
        <v>-1</v>
      </c>
      <c r="F150" s="1">
        <v>9.39</v>
      </c>
      <c r="G150" s="1">
        <v>12.6</v>
      </c>
    </row>
    <row r="151" spans="4:7" x14ac:dyDescent="0.2">
      <c r="D151" s="17">
        <v>44106</v>
      </c>
      <c r="E151" s="1">
        <v>-1</v>
      </c>
      <c r="F151" s="1">
        <v>9.1999999999999993</v>
      </c>
      <c r="G151" s="1">
        <v>12.6</v>
      </c>
    </row>
    <row r="152" spans="4:7" x14ac:dyDescent="0.2">
      <c r="D152" s="17">
        <v>44109</v>
      </c>
      <c r="E152" s="1">
        <v>2</v>
      </c>
      <c r="F152" s="1">
        <v>9.34</v>
      </c>
      <c r="G152" s="1">
        <v>12</v>
      </c>
    </row>
    <row r="153" spans="4:7" x14ac:dyDescent="0.2">
      <c r="D153" s="17">
        <v>44110</v>
      </c>
      <c r="E153" s="1">
        <v>2</v>
      </c>
      <c r="F153" s="1">
        <v>9.34</v>
      </c>
      <c r="G153" s="1">
        <v>12</v>
      </c>
    </row>
    <row r="154" spans="4:7" x14ac:dyDescent="0.2">
      <c r="D154" s="17">
        <v>44111</v>
      </c>
      <c r="E154" s="1">
        <v>2</v>
      </c>
      <c r="F154" s="1">
        <v>9.34</v>
      </c>
      <c r="G154" s="1">
        <v>12</v>
      </c>
    </row>
    <row r="155" spans="4:7" x14ac:dyDescent="0.2">
      <c r="D155" s="17">
        <v>44112</v>
      </c>
      <c r="E155" s="1">
        <v>2</v>
      </c>
      <c r="F155" s="1">
        <v>9.34</v>
      </c>
      <c r="G155" s="1">
        <v>12</v>
      </c>
    </row>
    <row r="156" spans="4:7" x14ac:dyDescent="0.2">
      <c r="D156" s="17">
        <v>44113</v>
      </c>
      <c r="E156" s="1">
        <v>2</v>
      </c>
      <c r="F156" s="1">
        <v>9.43</v>
      </c>
      <c r="G156" s="1">
        <v>12</v>
      </c>
    </row>
    <row r="157" spans="4:7" x14ac:dyDescent="0.2">
      <c r="D157" s="17">
        <v>44117</v>
      </c>
      <c r="E157" s="1">
        <v>2</v>
      </c>
      <c r="F157" s="1">
        <v>9.49</v>
      </c>
      <c r="G157" s="1">
        <v>12</v>
      </c>
    </row>
    <row r="158" spans="4:7" x14ac:dyDescent="0.2">
      <c r="D158" s="17">
        <v>44118</v>
      </c>
      <c r="E158" s="1">
        <v>2</v>
      </c>
      <c r="F158" s="1">
        <v>9.39</v>
      </c>
      <c r="G158" s="1">
        <v>12</v>
      </c>
    </row>
    <row r="159" spans="4:7" x14ac:dyDescent="0.2">
      <c r="D159" s="17">
        <v>44119</v>
      </c>
      <c r="E159" s="1">
        <v>2</v>
      </c>
      <c r="F159" s="1">
        <v>9.39</v>
      </c>
      <c r="G159" s="1">
        <v>12</v>
      </c>
    </row>
    <row r="160" spans="4:7" x14ac:dyDescent="0.2">
      <c r="D160" s="17">
        <v>44120</v>
      </c>
      <c r="E160" s="1">
        <v>2</v>
      </c>
      <c r="F160" s="1">
        <v>9.34</v>
      </c>
      <c r="G160" s="1">
        <v>12</v>
      </c>
    </row>
    <row r="161" spans="4:7" x14ac:dyDescent="0.2">
      <c r="D161" s="17">
        <v>44123</v>
      </c>
      <c r="E161" s="1">
        <v>2</v>
      </c>
      <c r="F161" s="1">
        <v>9.3000000000000007</v>
      </c>
      <c r="G161" s="1">
        <v>12</v>
      </c>
    </row>
    <row r="162" spans="4:7" x14ac:dyDescent="0.2">
      <c r="D162" s="17">
        <v>44124</v>
      </c>
      <c r="E162" s="1">
        <v>2</v>
      </c>
      <c r="F162" s="1">
        <v>9.3000000000000007</v>
      </c>
      <c r="G162" s="1">
        <v>12</v>
      </c>
    </row>
    <row r="163" spans="4:7" x14ac:dyDescent="0.2">
      <c r="D163" s="17">
        <v>44125</v>
      </c>
      <c r="E163" s="1">
        <v>2</v>
      </c>
      <c r="F163" s="1">
        <v>9.3000000000000007</v>
      </c>
      <c r="G163" s="1">
        <v>12</v>
      </c>
    </row>
    <row r="164" spans="4:7" x14ac:dyDescent="0.2">
      <c r="D164" s="17">
        <v>44126</v>
      </c>
      <c r="E164" s="1">
        <v>2</v>
      </c>
      <c r="F164" s="1">
        <v>9.3000000000000007</v>
      </c>
      <c r="G164" s="1">
        <v>12</v>
      </c>
    </row>
    <row r="165" spans="4:7" x14ac:dyDescent="0.2">
      <c r="D165" s="17">
        <v>44127</v>
      </c>
      <c r="E165" s="1">
        <v>2</v>
      </c>
      <c r="F165" s="1">
        <v>9.4</v>
      </c>
      <c r="G165" s="1">
        <v>12</v>
      </c>
    </row>
    <row r="166" spans="4:7" x14ac:dyDescent="0.2">
      <c r="D166" s="17">
        <v>44130</v>
      </c>
      <c r="E166" s="1">
        <v>2</v>
      </c>
      <c r="F166" s="1">
        <v>9.3000000000000007</v>
      </c>
      <c r="G166" s="1">
        <v>12</v>
      </c>
    </row>
    <row r="167" spans="4:7" x14ac:dyDescent="0.2">
      <c r="D167" s="17">
        <v>44131</v>
      </c>
      <c r="E167" s="1">
        <v>2</v>
      </c>
      <c r="F167" s="1">
        <v>9.3000000000000007</v>
      </c>
      <c r="G167" s="1">
        <v>12</v>
      </c>
    </row>
    <row r="168" spans="4:7" x14ac:dyDescent="0.2">
      <c r="D168" s="17">
        <v>44132</v>
      </c>
      <c r="E168" s="1">
        <v>2</v>
      </c>
      <c r="F168" s="1">
        <v>9.3000000000000007</v>
      </c>
      <c r="G168" s="1">
        <v>12</v>
      </c>
    </row>
    <row r="169" spans="4:7" x14ac:dyDescent="0.2">
      <c r="D169" s="17">
        <v>44133</v>
      </c>
      <c r="E169" s="1">
        <v>2</v>
      </c>
      <c r="F169" s="1">
        <v>9.3000000000000007</v>
      </c>
      <c r="G169" s="1">
        <v>12</v>
      </c>
    </row>
    <row r="170" spans="4:7" x14ac:dyDescent="0.2">
      <c r="D170" s="17">
        <v>44134</v>
      </c>
      <c r="E170" s="1">
        <v>2</v>
      </c>
      <c r="F170" s="1">
        <v>9.3000000000000007</v>
      </c>
      <c r="G170" s="1">
        <v>12.09</v>
      </c>
    </row>
    <row r="171" spans="4:7" x14ac:dyDescent="0.2">
      <c r="D171" s="17">
        <v>44138</v>
      </c>
      <c r="E171" s="1">
        <v>2</v>
      </c>
      <c r="F171" s="1">
        <v>9.3000000000000007</v>
      </c>
      <c r="G171" s="1">
        <v>12.09</v>
      </c>
    </row>
    <row r="172" spans="4:7" x14ac:dyDescent="0.2">
      <c r="D172" s="17">
        <v>44139</v>
      </c>
      <c r="E172" s="1">
        <v>2</v>
      </c>
      <c r="F172" s="1">
        <v>9.3000000000000007</v>
      </c>
      <c r="G172" s="1">
        <v>12.09</v>
      </c>
    </row>
    <row r="173" spans="4:7" x14ac:dyDescent="0.2">
      <c r="D173" s="17">
        <v>44140</v>
      </c>
      <c r="E173" s="1">
        <v>2</v>
      </c>
      <c r="F173" s="1">
        <v>9.1999999999999993</v>
      </c>
      <c r="G173" s="1">
        <v>12.09</v>
      </c>
    </row>
    <row r="174" spans="4:7" x14ac:dyDescent="0.2">
      <c r="D174" s="17">
        <v>44141</v>
      </c>
      <c r="E174" s="1">
        <v>2</v>
      </c>
      <c r="F174" s="1">
        <v>9.3000000000000007</v>
      </c>
      <c r="G174" s="1">
        <v>12.09</v>
      </c>
    </row>
    <row r="175" spans="4:7" x14ac:dyDescent="0.2">
      <c r="D175" s="17">
        <v>44144</v>
      </c>
      <c r="E175" s="1">
        <v>2</v>
      </c>
      <c r="F175" s="1">
        <v>9.35</v>
      </c>
      <c r="G175" s="1">
        <v>12.09</v>
      </c>
    </row>
    <row r="176" spans="4:7" x14ac:dyDescent="0.2">
      <c r="D176" s="17">
        <v>44145</v>
      </c>
      <c r="E176" s="1">
        <v>2</v>
      </c>
      <c r="F176" s="1">
        <v>9.4</v>
      </c>
      <c r="G176" s="1">
        <v>12.09</v>
      </c>
    </row>
    <row r="177" spans="4:7" x14ac:dyDescent="0.2">
      <c r="D177" s="17">
        <v>44146</v>
      </c>
      <c r="E177" s="1">
        <v>2</v>
      </c>
      <c r="F177" s="1">
        <v>9.4</v>
      </c>
      <c r="G177" s="1">
        <v>12.09</v>
      </c>
    </row>
    <row r="178" spans="4:7" x14ac:dyDescent="0.2">
      <c r="D178" s="17">
        <v>44147</v>
      </c>
      <c r="E178" s="1">
        <v>2</v>
      </c>
      <c r="F178" s="1">
        <v>9.35</v>
      </c>
      <c r="G178" s="1">
        <v>12.09</v>
      </c>
    </row>
    <row r="179" spans="4:7" x14ac:dyDescent="0.2">
      <c r="D179" s="17">
        <v>44148</v>
      </c>
      <c r="E179" s="1">
        <v>2</v>
      </c>
      <c r="F179" s="1">
        <v>9.5</v>
      </c>
      <c r="G179" s="1">
        <v>12.09</v>
      </c>
    </row>
    <row r="180" spans="4:7" x14ac:dyDescent="0.2">
      <c r="D180" s="17">
        <v>44151</v>
      </c>
      <c r="E180" s="1">
        <v>3.5</v>
      </c>
      <c r="F180" s="1">
        <v>9.75</v>
      </c>
      <c r="G180" s="1">
        <v>12.45</v>
      </c>
    </row>
    <row r="181" spans="4:7" x14ac:dyDescent="0.2">
      <c r="D181" s="17">
        <v>44152</v>
      </c>
      <c r="E181" s="1">
        <v>3.5</v>
      </c>
      <c r="F181" s="1">
        <v>9.75</v>
      </c>
      <c r="G181" s="1">
        <v>12.45</v>
      </c>
    </row>
    <row r="182" spans="4:7" x14ac:dyDescent="0.2">
      <c r="D182" s="17">
        <v>44153</v>
      </c>
      <c r="E182" s="1">
        <v>3.5</v>
      </c>
      <c r="F182" s="1">
        <v>10</v>
      </c>
      <c r="G182" s="1">
        <v>12.45</v>
      </c>
    </row>
    <row r="183" spans="4:7" x14ac:dyDescent="0.2">
      <c r="D183" s="17">
        <v>44154</v>
      </c>
      <c r="E183" s="1">
        <v>3.5</v>
      </c>
      <c r="F183" s="1">
        <v>10</v>
      </c>
      <c r="G183" s="1">
        <v>12.45</v>
      </c>
    </row>
    <row r="184" spans="4:7" x14ac:dyDescent="0.2">
      <c r="D184" s="17">
        <v>44155</v>
      </c>
      <c r="E184" s="1">
        <v>3.5</v>
      </c>
      <c r="F184" s="1">
        <v>10.1</v>
      </c>
      <c r="G184" s="1">
        <v>12.45</v>
      </c>
    </row>
    <row r="185" spans="4:7" x14ac:dyDescent="0.2">
      <c r="D185" s="17">
        <v>44158</v>
      </c>
      <c r="E185" s="1">
        <v>3.5</v>
      </c>
      <c r="F185" s="1">
        <v>10.050000000000001</v>
      </c>
      <c r="G185" s="1">
        <v>12.45</v>
      </c>
    </row>
    <row r="186" spans="4:7" x14ac:dyDescent="0.2">
      <c r="D186" s="17">
        <v>44159</v>
      </c>
      <c r="E186" s="1">
        <v>3.5</v>
      </c>
      <c r="F186" s="1">
        <v>10.1</v>
      </c>
      <c r="G186" s="1">
        <v>12.45</v>
      </c>
    </row>
    <row r="187" spans="4:7" x14ac:dyDescent="0.2">
      <c r="D187" s="17">
        <v>44160</v>
      </c>
      <c r="E187" s="1">
        <v>3.5</v>
      </c>
      <c r="F187" s="1">
        <v>10.11</v>
      </c>
      <c r="G187" s="1">
        <v>12.45</v>
      </c>
    </row>
    <row r="188" spans="4:7" x14ac:dyDescent="0.2">
      <c r="D188" s="17">
        <v>44161</v>
      </c>
      <c r="E188" s="1">
        <v>3.5</v>
      </c>
      <c r="F188" s="1">
        <v>10.11</v>
      </c>
      <c r="G188" s="1">
        <v>12.45</v>
      </c>
    </row>
    <row r="189" spans="4:7" x14ac:dyDescent="0.2">
      <c r="D189" s="17">
        <v>44162</v>
      </c>
      <c r="E189" s="1">
        <v>3.5</v>
      </c>
      <c r="F189" s="1">
        <v>10.1</v>
      </c>
      <c r="G189" s="1">
        <v>12.45</v>
      </c>
    </row>
    <row r="190" spans="4:7" x14ac:dyDescent="0.2">
      <c r="D190" s="1">
        <v>44165</v>
      </c>
      <c r="E190" s="1">
        <v>3.5</v>
      </c>
      <c r="F190" s="1">
        <v>10.210000000000001</v>
      </c>
      <c r="G190" s="1">
        <v>12.45</v>
      </c>
    </row>
    <row r="191" spans="4:7" x14ac:dyDescent="0.2">
      <c r="D191" s="1">
        <v>44166</v>
      </c>
      <c r="E191" s="1">
        <v>3.5</v>
      </c>
      <c r="F191" s="1">
        <v>10.210000000000001</v>
      </c>
      <c r="G191" s="1">
        <v>12.6</v>
      </c>
    </row>
    <row r="192" spans="4:7" x14ac:dyDescent="0.2">
      <c r="D192" s="1">
        <v>44167</v>
      </c>
      <c r="E192" s="1">
        <v>3.5</v>
      </c>
      <c r="F192" s="1">
        <v>10.210000000000001</v>
      </c>
      <c r="G192" s="1">
        <v>12.6</v>
      </c>
    </row>
    <row r="193" spans="4:7" x14ac:dyDescent="0.2">
      <c r="D193" s="1">
        <v>44168</v>
      </c>
      <c r="E193" s="1">
        <v>0.5</v>
      </c>
      <c r="F193" s="1">
        <v>10.1</v>
      </c>
      <c r="G193" s="1">
        <v>12.6</v>
      </c>
    </row>
    <row r="194" spans="4:7" x14ac:dyDescent="0.2">
      <c r="D194" s="1">
        <v>44169</v>
      </c>
      <c r="E194" s="1">
        <v>0.5</v>
      </c>
      <c r="F194" s="1">
        <v>10.31</v>
      </c>
      <c r="G194" s="1">
        <v>13.5</v>
      </c>
    </row>
    <row r="195" spans="4:7" x14ac:dyDescent="0.2">
      <c r="D195" s="1">
        <v>44172</v>
      </c>
      <c r="E195" s="1">
        <v>0.5</v>
      </c>
      <c r="F195" s="1">
        <v>10.55</v>
      </c>
      <c r="G195" s="1">
        <v>13.5</v>
      </c>
    </row>
    <row r="196" spans="4:7" x14ac:dyDescent="0.2">
      <c r="D196" s="17">
        <v>44173</v>
      </c>
      <c r="E196" s="1">
        <v>0.5</v>
      </c>
      <c r="F196" s="1">
        <v>10.55</v>
      </c>
      <c r="G196" s="1">
        <v>13.5</v>
      </c>
    </row>
    <row r="197" spans="4:7" x14ac:dyDescent="0.2">
      <c r="D197" s="17">
        <v>44174</v>
      </c>
      <c r="E197" s="1">
        <v>0.5</v>
      </c>
      <c r="F197" s="1">
        <v>10.55</v>
      </c>
      <c r="G197" s="1">
        <v>13.5</v>
      </c>
    </row>
    <row r="198" spans="4:7" x14ac:dyDescent="0.2">
      <c r="D198" s="17">
        <v>44175</v>
      </c>
      <c r="E198" s="1">
        <v>0.5</v>
      </c>
      <c r="F198" s="1">
        <v>10.34</v>
      </c>
      <c r="G198" s="1">
        <v>13.5</v>
      </c>
    </row>
    <row r="199" spans="4:7" x14ac:dyDescent="0.2">
      <c r="D199" s="17">
        <v>44176</v>
      </c>
      <c r="E199" s="1">
        <v>0.5</v>
      </c>
      <c r="F199" s="1">
        <v>10.199999999999999</v>
      </c>
      <c r="G199" s="1">
        <v>13.5</v>
      </c>
    </row>
    <row r="200" spans="4:7" x14ac:dyDescent="0.2">
      <c r="D200" s="17">
        <v>44179</v>
      </c>
      <c r="E200" s="1">
        <v>0.5</v>
      </c>
      <c r="F200" s="1">
        <v>10.35</v>
      </c>
      <c r="G200" s="1">
        <v>13.5</v>
      </c>
    </row>
    <row r="201" spans="4:7" x14ac:dyDescent="0.2">
      <c r="D201" s="17">
        <v>44180</v>
      </c>
      <c r="E201" s="1">
        <v>0.5</v>
      </c>
      <c r="F201" s="1">
        <v>10.35</v>
      </c>
      <c r="G201" s="1">
        <v>13.5</v>
      </c>
    </row>
    <row r="202" spans="4:7" x14ac:dyDescent="0.2">
      <c r="D202" s="17">
        <v>44181</v>
      </c>
      <c r="E202" s="1">
        <v>0.5</v>
      </c>
      <c r="F202" s="1">
        <v>10.35</v>
      </c>
      <c r="G202" s="1">
        <v>13.5</v>
      </c>
    </row>
    <row r="203" spans="4:7" x14ac:dyDescent="0.2">
      <c r="D203" s="17">
        <v>44182</v>
      </c>
      <c r="E203" s="1">
        <v>0.5</v>
      </c>
      <c r="F203" s="1">
        <v>10.35</v>
      </c>
      <c r="G203" s="1">
        <v>13.5</v>
      </c>
    </row>
    <row r="204" spans="4:7" x14ac:dyDescent="0.2">
      <c r="D204" s="17">
        <v>44183</v>
      </c>
      <c r="E204" s="1">
        <v>0.5</v>
      </c>
      <c r="F204" s="1">
        <v>10.15</v>
      </c>
      <c r="G204" s="1">
        <v>13.5</v>
      </c>
    </row>
    <row r="205" spans="4:7" x14ac:dyDescent="0.2">
      <c r="D205" s="17">
        <v>44186</v>
      </c>
      <c r="E205" s="1">
        <v>0.5</v>
      </c>
      <c r="F205" s="1">
        <v>10.35</v>
      </c>
      <c r="G205" s="1">
        <v>13.5</v>
      </c>
    </row>
    <row r="206" spans="4:7" x14ac:dyDescent="0.2">
      <c r="D206" s="17">
        <v>44187</v>
      </c>
      <c r="E206" s="1">
        <v>0.5</v>
      </c>
      <c r="F206" s="1">
        <v>10.35</v>
      </c>
      <c r="G206" s="1">
        <v>13.5</v>
      </c>
    </row>
    <row r="207" spans="4:7" x14ac:dyDescent="0.2">
      <c r="D207" s="17">
        <v>44188</v>
      </c>
      <c r="E207" s="1">
        <v>0.5</v>
      </c>
      <c r="F207" s="1">
        <v>10.35</v>
      </c>
      <c r="G207" s="1">
        <v>13.5</v>
      </c>
    </row>
    <row r="208" spans="4:7" x14ac:dyDescent="0.2">
      <c r="D208" s="17">
        <v>44189</v>
      </c>
      <c r="E208" s="1">
        <v>0.5</v>
      </c>
      <c r="F208" s="1">
        <v>10.5</v>
      </c>
      <c r="G208" s="1">
        <v>13.5</v>
      </c>
    </row>
    <row r="209" spans="4:7" x14ac:dyDescent="0.2">
      <c r="D209" s="17">
        <v>44193</v>
      </c>
      <c r="E209" s="1">
        <v>0.5</v>
      </c>
      <c r="F209" s="1">
        <v>10.199999999999999</v>
      </c>
      <c r="G209" s="1">
        <v>13.5</v>
      </c>
    </row>
    <row r="210" spans="4:7" x14ac:dyDescent="0.2">
      <c r="D210" s="17">
        <v>44194</v>
      </c>
      <c r="E210" s="1">
        <v>0.5</v>
      </c>
      <c r="F210" s="1">
        <v>10.199999999999999</v>
      </c>
      <c r="G210" s="1">
        <v>13.5</v>
      </c>
    </row>
    <row r="211" spans="4:7" x14ac:dyDescent="0.2">
      <c r="D211" s="17">
        <v>44195</v>
      </c>
      <c r="E211" s="1">
        <v>0.5</v>
      </c>
      <c r="F211" s="1">
        <v>10.199999999999999</v>
      </c>
      <c r="G211" s="1">
        <v>13.5</v>
      </c>
    </row>
    <row r="212" spans="4:7" x14ac:dyDescent="0.2">
      <c r="D212" s="17">
        <v>44196</v>
      </c>
      <c r="E212" s="1">
        <v>0.5</v>
      </c>
      <c r="F212" s="1">
        <v>10.199999999999999</v>
      </c>
      <c r="G212" s="1">
        <v>13.5</v>
      </c>
    </row>
    <row r="213" spans="4:7" x14ac:dyDescent="0.2">
      <c r="D213" s="17">
        <v>44200</v>
      </c>
      <c r="E213" s="1">
        <v>3</v>
      </c>
      <c r="F213" s="1">
        <v>10.25</v>
      </c>
      <c r="G213" s="1">
        <v>13.5</v>
      </c>
    </row>
    <row r="214" spans="4:7" x14ac:dyDescent="0.2">
      <c r="D214" s="17">
        <v>44201</v>
      </c>
      <c r="E214" s="1">
        <v>3</v>
      </c>
      <c r="F214" s="1">
        <v>10.3</v>
      </c>
      <c r="G214" s="1">
        <v>13.5</v>
      </c>
    </row>
    <row r="215" spans="4:7" x14ac:dyDescent="0.2">
      <c r="D215" s="17">
        <v>44202</v>
      </c>
      <c r="E215" s="1">
        <v>3</v>
      </c>
      <c r="F215" s="1">
        <v>10.3</v>
      </c>
      <c r="G215" s="1">
        <v>13.5</v>
      </c>
    </row>
    <row r="216" spans="4:7" x14ac:dyDescent="0.2">
      <c r="D216" s="17">
        <v>44203</v>
      </c>
      <c r="E216" s="1">
        <v>3</v>
      </c>
      <c r="F216" s="1">
        <v>10.199999999999999</v>
      </c>
      <c r="G216" s="1">
        <v>13.5</v>
      </c>
    </row>
    <row r="217" spans="4:7" x14ac:dyDescent="0.2">
      <c r="D217" s="17">
        <v>44204</v>
      </c>
      <c r="E217" s="1">
        <v>3</v>
      </c>
      <c r="F217" s="1">
        <v>10.3</v>
      </c>
      <c r="G217" s="1">
        <v>13</v>
      </c>
    </row>
    <row r="218" spans="4:7" x14ac:dyDescent="0.2">
      <c r="D218" s="17">
        <v>44207</v>
      </c>
      <c r="E218" s="1">
        <v>3</v>
      </c>
      <c r="F218" s="1">
        <v>10.3</v>
      </c>
      <c r="G218" s="1">
        <v>13</v>
      </c>
    </row>
    <row r="219" spans="4:7" x14ac:dyDescent="0.2">
      <c r="D219" s="17">
        <v>44208</v>
      </c>
      <c r="E219" s="1">
        <v>3</v>
      </c>
      <c r="F219" s="1">
        <v>10.3</v>
      </c>
      <c r="G219" s="1">
        <v>13</v>
      </c>
    </row>
    <row r="220" spans="4:7" x14ac:dyDescent="0.2">
      <c r="D220" s="17">
        <v>44209</v>
      </c>
      <c r="E220" s="1">
        <v>3</v>
      </c>
      <c r="F220" s="1">
        <v>10.3</v>
      </c>
      <c r="G220" s="1">
        <v>13</v>
      </c>
    </row>
    <row r="221" spans="4:7" x14ac:dyDescent="0.2">
      <c r="D221" s="17">
        <v>44210</v>
      </c>
      <c r="E221" s="1">
        <v>3</v>
      </c>
      <c r="F221" s="1">
        <v>10.199999999999999</v>
      </c>
      <c r="G221" s="1">
        <v>13</v>
      </c>
    </row>
    <row r="222" spans="4:7" x14ac:dyDescent="0.2">
      <c r="D222" s="17">
        <v>44211</v>
      </c>
      <c r="E222" s="1">
        <v>3</v>
      </c>
      <c r="F222" s="1">
        <v>10.199999999999999</v>
      </c>
      <c r="G222" s="1">
        <v>13</v>
      </c>
    </row>
    <row r="223" spans="4:7" x14ac:dyDescent="0.2">
      <c r="D223" s="17">
        <v>44214</v>
      </c>
      <c r="E223" s="1">
        <v>3</v>
      </c>
      <c r="F223" s="1">
        <v>10.199999999999999</v>
      </c>
      <c r="G223" s="1">
        <v>13</v>
      </c>
    </row>
    <row r="224" spans="4:7" x14ac:dyDescent="0.2">
      <c r="D224" s="17">
        <v>44215</v>
      </c>
      <c r="E224" s="1">
        <v>3</v>
      </c>
      <c r="F224" s="1">
        <v>10.199999999999999</v>
      </c>
      <c r="G224" s="1">
        <v>13</v>
      </c>
    </row>
    <row r="225" spans="4:7" x14ac:dyDescent="0.2">
      <c r="D225" s="17">
        <v>44216</v>
      </c>
      <c r="E225" s="1">
        <v>3</v>
      </c>
      <c r="F225" s="1">
        <v>10.199999999999999</v>
      </c>
      <c r="G225" s="1">
        <v>13</v>
      </c>
    </row>
    <row r="226" spans="4:7" x14ac:dyDescent="0.2">
      <c r="D226" s="17">
        <v>44217</v>
      </c>
      <c r="E226" s="1">
        <v>3</v>
      </c>
      <c r="F226" s="1">
        <v>10.199999999999999</v>
      </c>
      <c r="G226" s="1">
        <v>13</v>
      </c>
    </row>
    <row r="227" spans="4:7" x14ac:dyDescent="0.2">
      <c r="D227" s="17">
        <v>44218</v>
      </c>
      <c r="E227" s="1">
        <v>3</v>
      </c>
      <c r="F227" s="1">
        <v>10.199999999999999</v>
      </c>
      <c r="G227" s="1">
        <v>13</v>
      </c>
    </row>
    <row r="228" spans="4:7" x14ac:dyDescent="0.2">
      <c r="D228" s="17">
        <v>44221</v>
      </c>
      <c r="E228" s="1">
        <v>3</v>
      </c>
      <c r="F228" s="1">
        <v>10.25</v>
      </c>
      <c r="G228" s="1">
        <v>13</v>
      </c>
    </row>
    <row r="229" spans="4:7" x14ac:dyDescent="0.2">
      <c r="D229" s="17">
        <v>44222</v>
      </c>
      <c r="E229" s="1">
        <v>3</v>
      </c>
      <c r="F229" s="1">
        <v>10.4</v>
      </c>
      <c r="G229" s="1">
        <v>13</v>
      </c>
    </row>
    <row r="230" spans="4:7" x14ac:dyDescent="0.2">
      <c r="D230" s="17">
        <v>44223</v>
      </c>
      <c r="E230" s="1">
        <v>3</v>
      </c>
      <c r="F230" s="1">
        <v>10.4</v>
      </c>
      <c r="G230" s="1">
        <v>13</v>
      </c>
    </row>
    <row r="231" spans="4:7" x14ac:dyDescent="0.2">
      <c r="D231" s="17">
        <v>44224</v>
      </c>
      <c r="E231" s="1">
        <v>3</v>
      </c>
      <c r="F231" s="1">
        <v>10.4</v>
      </c>
      <c r="G231" s="1">
        <v>13</v>
      </c>
    </row>
    <row r="232" spans="4:7" x14ac:dyDescent="0.2">
      <c r="D232" s="17">
        <v>44225</v>
      </c>
      <c r="E232" s="1">
        <v>3</v>
      </c>
      <c r="F232" s="1">
        <v>10.25</v>
      </c>
      <c r="G232" s="1">
        <v>13</v>
      </c>
    </row>
    <row r="233" spans="4:7" x14ac:dyDescent="0.2">
      <c r="D233" s="17">
        <v>44228</v>
      </c>
      <c r="E233" s="1">
        <v>3</v>
      </c>
      <c r="F233" s="1">
        <v>10.25</v>
      </c>
      <c r="G233" s="1">
        <v>13</v>
      </c>
    </row>
    <row r="234" spans="4:7" x14ac:dyDescent="0.2">
      <c r="D234" s="17">
        <v>44229</v>
      </c>
      <c r="E234" s="1">
        <v>3</v>
      </c>
      <c r="F234" s="1">
        <v>10.25</v>
      </c>
      <c r="G234" s="1">
        <v>13</v>
      </c>
    </row>
    <row r="235" spans="4:7" x14ac:dyDescent="0.2">
      <c r="D235" s="17">
        <v>44230</v>
      </c>
      <c r="E235" s="1">
        <v>3</v>
      </c>
      <c r="F235" s="1">
        <v>10.199999999999999</v>
      </c>
      <c r="G235" s="1">
        <v>13</v>
      </c>
    </row>
    <row r="236" spans="4:7" x14ac:dyDescent="0.2">
      <c r="D236" s="17">
        <v>44231</v>
      </c>
      <c r="E236" s="1">
        <v>3</v>
      </c>
      <c r="F236" s="1">
        <v>10.199999999999999</v>
      </c>
      <c r="G236" s="1">
        <v>13</v>
      </c>
    </row>
    <row r="237" spans="4:7" x14ac:dyDescent="0.2">
      <c r="D237" s="17">
        <v>44232</v>
      </c>
      <c r="E237" s="1">
        <v>3</v>
      </c>
      <c r="F237" s="1">
        <v>10.199999999999999</v>
      </c>
      <c r="G237" s="1">
        <v>12.4</v>
      </c>
    </row>
    <row r="238" spans="4:7" x14ac:dyDescent="0.2">
      <c r="D238" s="17">
        <v>44235</v>
      </c>
      <c r="E238" s="1">
        <v>3</v>
      </c>
      <c r="F238" s="1">
        <v>10.199999999999999</v>
      </c>
      <c r="G238" s="1">
        <v>12.4</v>
      </c>
    </row>
    <row r="239" spans="4:7" x14ac:dyDescent="0.2">
      <c r="D239" s="17">
        <v>44236</v>
      </c>
      <c r="E239" s="1">
        <v>3</v>
      </c>
      <c r="F239" s="1">
        <v>10.199999999999999</v>
      </c>
      <c r="G239" s="1">
        <v>12.4</v>
      </c>
    </row>
    <row r="240" spans="4:7" x14ac:dyDescent="0.2">
      <c r="D240" s="17">
        <v>44237</v>
      </c>
      <c r="E240" s="1">
        <v>3</v>
      </c>
      <c r="F240" s="1">
        <v>10.19</v>
      </c>
      <c r="G240" s="1">
        <v>12.4</v>
      </c>
    </row>
    <row r="241" spans="4:7" x14ac:dyDescent="0.2">
      <c r="D241" s="17">
        <v>44238</v>
      </c>
      <c r="E241" s="1">
        <v>3</v>
      </c>
      <c r="F241" s="1">
        <v>10.18</v>
      </c>
      <c r="G241" s="1">
        <v>12.4</v>
      </c>
    </row>
    <row r="242" spans="4:7" x14ac:dyDescent="0.2">
      <c r="D242" s="17">
        <v>44239</v>
      </c>
      <c r="E242" s="1">
        <v>3</v>
      </c>
      <c r="F242" s="1">
        <v>10.16</v>
      </c>
      <c r="G242" s="1">
        <v>12.1</v>
      </c>
    </row>
    <row r="243" spans="4:7" x14ac:dyDescent="0.2">
      <c r="D243" s="17">
        <v>44244</v>
      </c>
      <c r="E243" s="1">
        <v>3</v>
      </c>
      <c r="F243" s="1">
        <v>10.19</v>
      </c>
      <c r="G243" s="1">
        <v>12.1</v>
      </c>
    </row>
    <row r="244" spans="4:7" x14ac:dyDescent="0.2">
      <c r="D244" s="17">
        <v>44245</v>
      </c>
      <c r="E244" s="1">
        <v>3</v>
      </c>
      <c r="F244" s="1">
        <v>10.18</v>
      </c>
      <c r="G244" s="1">
        <v>12.1</v>
      </c>
    </row>
    <row r="245" spans="4:7" x14ac:dyDescent="0.2">
      <c r="D245" s="17">
        <v>44246</v>
      </c>
      <c r="E245" s="1">
        <v>3</v>
      </c>
      <c r="F245" s="1">
        <v>10</v>
      </c>
      <c r="G245" s="1">
        <v>12.6</v>
      </c>
    </row>
    <row r="246" spans="4:7" x14ac:dyDescent="0.2">
      <c r="D246" s="17">
        <v>44249</v>
      </c>
      <c r="E246" s="1">
        <v>3</v>
      </c>
      <c r="F246" s="1">
        <v>10</v>
      </c>
      <c r="G246" s="1">
        <v>12.6</v>
      </c>
    </row>
    <row r="247" spans="4:7" x14ac:dyDescent="0.2">
      <c r="D247" s="17">
        <v>44250</v>
      </c>
      <c r="E247" s="1">
        <v>3</v>
      </c>
      <c r="F247" s="1">
        <v>10</v>
      </c>
      <c r="G247" s="1">
        <v>12.6</v>
      </c>
    </row>
    <row r="248" spans="4:7" x14ac:dyDescent="0.2">
      <c r="D248" s="17">
        <v>44251</v>
      </c>
      <c r="E248" s="1">
        <v>3</v>
      </c>
      <c r="F248" s="1">
        <v>10</v>
      </c>
      <c r="G248" s="1">
        <v>12.6</v>
      </c>
    </row>
    <row r="249" spans="4:7" x14ac:dyDescent="0.2">
      <c r="D249" s="17">
        <v>44252</v>
      </c>
      <c r="E249" s="1">
        <v>3</v>
      </c>
      <c r="F249" s="1">
        <v>9.9499999999999993</v>
      </c>
      <c r="G249" s="1">
        <v>12.6</v>
      </c>
    </row>
    <row r="250" spans="4:7" x14ac:dyDescent="0.2">
      <c r="D250" s="17">
        <v>44253</v>
      </c>
      <c r="E250" s="1">
        <v>3</v>
      </c>
      <c r="F250" s="1">
        <v>9.9</v>
      </c>
      <c r="G250" s="1">
        <v>12.6</v>
      </c>
    </row>
    <row r="251" spans="4:7" x14ac:dyDescent="0.2">
      <c r="D251" s="17">
        <v>44256</v>
      </c>
      <c r="E251" s="1">
        <v>3</v>
      </c>
      <c r="F251" s="1">
        <v>9.98</v>
      </c>
      <c r="G251" s="1">
        <v>12.6</v>
      </c>
    </row>
    <row r="252" spans="4:7" x14ac:dyDescent="0.2">
      <c r="D252" s="17">
        <v>44257</v>
      </c>
      <c r="E252" s="1">
        <v>3</v>
      </c>
      <c r="F252" s="1">
        <v>9.99</v>
      </c>
      <c r="G252" s="1">
        <v>12.6</v>
      </c>
    </row>
    <row r="253" spans="4:7" x14ac:dyDescent="0.2">
      <c r="D253" s="17">
        <v>44258</v>
      </c>
      <c r="E253" s="1">
        <v>3</v>
      </c>
      <c r="F253" s="1">
        <v>10</v>
      </c>
      <c r="G253" s="1">
        <v>12.6</v>
      </c>
    </row>
    <row r="254" spans="4:7" x14ac:dyDescent="0.2">
      <c r="D254" s="17">
        <v>44259</v>
      </c>
      <c r="E254" s="1">
        <v>3</v>
      </c>
      <c r="F254" s="1">
        <v>10</v>
      </c>
      <c r="G254" s="1">
        <v>12.6</v>
      </c>
    </row>
    <row r="255" spans="4:7" x14ac:dyDescent="0.2">
      <c r="D255" s="17">
        <v>44260</v>
      </c>
      <c r="E255" s="1">
        <v>3</v>
      </c>
      <c r="F255" s="1">
        <v>9.99</v>
      </c>
      <c r="G255" s="1">
        <v>12.1</v>
      </c>
    </row>
    <row r="256" spans="4:7" x14ac:dyDescent="0.2">
      <c r="D256" s="17">
        <v>44263</v>
      </c>
      <c r="E256" s="1">
        <v>3</v>
      </c>
      <c r="F256" s="1">
        <v>10</v>
      </c>
      <c r="G256" s="1">
        <v>12.1</v>
      </c>
    </row>
    <row r="257" spans="4:7" x14ac:dyDescent="0.2">
      <c r="D257" s="17">
        <v>44264</v>
      </c>
      <c r="E257" s="1">
        <v>3</v>
      </c>
      <c r="F257" s="1">
        <v>10</v>
      </c>
      <c r="G257" s="1">
        <v>12.1</v>
      </c>
    </row>
    <row r="258" spans="4:7" x14ac:dyDescent="0.2">
      <c r="D258" s="17">
        <v>44265</v>
      </c>
      <c r="E258" s="1">
        <v>3</v>
      </c>
      <c r="F258" s="1">
        <v>10</v>
      </c>
      <c r="G258" s="1">
        <v>12.1</v>
      </c>
    </row>
    <row r="259" spans="4:7" x14ac:dyDescent="0.2">
      <c r="D259" s="17">
        <v>44266</v>
      </c>
      <c r="E259" s="1">
        <v>3</v>
      </c>
      <c r="F259" s="1">
        <v>10</v>
      </c>
      <c r="G259" s="1">
        <v>12.1</v>
      </c>
    </row>
    <row r="260" spans="4:7" x14ac:dyDescent="0.2">
      <c r="D260" s="17">
        <v>44267</v>
      </c>
      <c r="E260" s="1">
        <v>3</v>
      </c>
      <c r="F260" s="1">
        <v>9.99</v>
      </c>
      <c r="G260" s="1">
        <v>12.1</v>
      </c>
    </row>
    <row r="261" spans="4:7" x14ac:dyDescent="0.2">
      <c r="D261" s="17">
        <v>44270</v>
      </c>
      <c r="E261" s="1">
        <v>3</v>
      </c>
      <c r="F261" s="1">
        <v>10</v>
      </c>
      <c r="G261" s="1">
        <v>12.1</v>
      </c>
    </row>
    <row r="262" spans="4:7" x14ac:dyDescent="0.2">
      <c r="D262" s="17">
        <v>44271</v>
      </c>
      <c r="E262" s="1">
        <v>3</v>
      </c>
      <c r="F262" s="1">
        <v>9.99</v>
      </c>
      <c r="G262" s="1">
        <v>12.1</v>
      </c>
    </row>
    <row r="263" spans="4:7" x14ac:dyDescent="0.2">
      <c r="D263" s="17">
        <v>44272</v>
      </c>
      <c r="E263" s="1">
        <v>3</v>
      </c>
      <c r="F263" s="1">
        <v>9.99</v>
      </c>
      <c r="G263" s="1">
        <v>12.1</v>
      </c>
    </row>
    <row r="264" spans="4:7" x14ac:dyDescent="0.2">
      <c r="D264" s="17">
        <v>44273</v>
      </c>
      <c r="E264" s="1">
        <v>3</v>
      </c>
      <c r="F264" s="1">
        <v>9.99</v>
      </c>
      <c r="G264" s="1">
        <v>12.1</v>
      </c>
    </row>
    <row r="265" spans="4:7" x14ac:dyDescent="0.2">
      <c r="D265" s="17">
        <v>44274</v>
      </c>
      <c r="E265" s="1">
        <v>3</v>
      </c>
      <c r="F265" s="1">
        <v>9.98</v>
      </c>
      <c r="G265" s="1">
        <v>12.1</v>
      </c>
    </row>
    <row r="266" spans="4:7" x14ac:dyDescent="0.2">
      <c r="D266" s="17">
        <v>44277</v>
      </c>
      <c r="E266" s="1">
        <v>3</v>
      </c>
      <c r="F266" s="1">
        <v>9.98</v>
      </c>
      <c r="G266" s="1">
        <v>12.1</v>
      </c>
    </row>
    <row r="267" spans="4:7" x14ac:dyDescent="0.2">
      <c r="D267" s="17">
        <v>44278</v>
      </c>
      <c r="E267" s="1">
        <v>3</v>
      </c>
      <c r="F267" s="1">
        <v>9.6</v>
      </c>
      <c r="G267" s="1">
        <v>12.1</v>
      </c>
    </row>
    <row r="268" spans="4:7" x14ac:dyDescent="0.2">
      <c r="D268" s="17">
        <v>44279</v>
      </c>
      <c r="E268" s="1">
        <v>3</v>
      </c>
      <c r="F268" s="1">
        <v>9.6</v>
      </c>
      <c r="G268" s="1">
        <v>12.1</v>
      </c>
    </row>
    <row r="269" spans="4:7" x14ac:dyDescent="0.2">
      <c r="D269" s="17">
        <v>44280</v>
      </c>
      <c r="E269" s="1">
        <v>3</v>
      </c>
      <c r="F269" s="1">
        <v>9.59</v>
      </c>
      <c r="G269" s="1">
        <v>12.1</v>
      </c>
    </row>
    <row r="270" spans="4:7" x14ac:dyDescent="0.2">
      <c r="D270" s="17">
        <v>44281</v>
      </c>
      <c r="E270" s="1">
        <v>3</v>
      </c>
      <c r="F270" s="1">
        <v>9.5</v>
      </c>
      <c r="G270" s="1">
        <v>12.1</v>
      </c>
    </row>
    <row r="271" spans="4:7" x14ac:dyDescent="0.2">
      <c r="D271" s="17">
        <v>44284</v>
      </c>
      <c r="E271" s="1">
        <v>3</v>
      </c>
      <c r="F271" s="1">
        <v>9.5399999999999991</v>
      </c>
      <c r="G271" s="1">
        <v>12.1</v>
      </c>
    </row>
    <row r="272" spans="4:7" x14ac:dyDescent="0.2">
      <c r="D272" s="17">
        <v>44285</v>
      </c>
      <c r="E272" s="1">
        <v>3</v>
      </c>
      <c r="F272" s="1">
        <v>9.5399999999999991</v>
      </c>
      <c r="G272" s="1">
        <v>12.1</v>
      </c>
    </row>
    <row r="273" spans="4:7" x14ac:dyDescent="0.2">
      <c r="D273" s="17">
        <v>44286</v>
      </c>
      <c r="E273" s="1">
        <v>3</v>
      </c>
      <c r="F273" s="1">
        <v>9.5422999999999991</v>
      </c>
      <c r="G273" s="1">
        <v>12.1</v>
      </c>
    </row>
    <row r="274" spans="4:7" x14ac:dyDescent="0.2">
      <c r="D274" s="17">
        <v>44287</v>
      </c>
      <c r="E274" s="1">
        <v>3</v>
      </c>
      <c r="F274" s="1">
        <v>9.5</v>
      </c>
      <c r="G274" s="1">
        <v>12.1</v>
      </c>
    </row>
    <row r="275" spans="4:7" x14ac:dyDescent="0.2">
      <c r="D275" s="17">
        <v>44291</v>
      </c>
      <c r="E275" s="1">
        <v>3</v>
      </c>
      <c r="F275" s="1">
        <v>9.5422999999999991</v>
      </c>
      <c r="G275" s="1">
        <v>12.1</v>
      </c>
    </row>
    <row r="276" spans="4:7" x14ac:dyDescent="0.2">
      <c r="D276" s="17">
        <v>44292</v>
      </c>
      <c r="E276" s="1">
        <v>3</v>
      </c>
      <c r="F276" s="1">
        <v>9.5</v>
      </c>
      <c r="G276" s="1">
        <v>12.1</v>
      </c>
    </row>
    <row r="277" spans="4:7" x14ac:dyDescent="0.2">
      <c r="D277" s="17">
        <v>44293</v>
      </c>
      <c r="E277" s="1">
        <v>3</v>
      </c>
      <c r="F277" s="1">
        <v>9.5</v>
      </c>
      <c r="G277" s="1">
        <v>12.1</v>
      </c>
    </row>
    <row r="278" spans="4:7" x14ac:dyDescent="0.2">
      <c r="D278" s="17">
        <v>44294</v>
      </c>
      <c r="E278" s="1">
        <v>3</v>
      </c>
      <c r="F278" s="1">
        <v>9.5</v>
      </c>
      <c r="G278" s="1">
        <v>12.1</v>
      </c>
    </row>
    <row r="279" spans="4:7" x14ac:dyDescent="0.2">
      <c r="D279" s="17">
        <v>44295</v>
      </c>
      <c r="E279" s="1">
        <v>3</v>
      </c>
      <c r="F279" s="1">
        <v>9.5</v>
      </c>
      <c r="G279" s="1">
        <v>12</v>
      </c>
    </row>
    <row r="280" spans="4:7" x14ac:dyDescent="0.2">
      <c r="D280" s="17">
        <v>44298</v>
      </c>
      <c r="E280" s="1">
        <v>3</v>
      </c>
      <c r="F280" s="1">
        <v>9.5</v>
      </c>
      <c r="G280" s="1">
        <v>12</v>
      </c>
    </row>
    <row r="281" spans="4:7" x14ac:dyDescent="0.2">
      <c r="D281" s="17">
        <v>44299</v>
      </c>
      <c r="E281" s="1">
        <v>3</v>
      </c>
      <c r="F281" s="1">
        <v>9.49</v>
      </c>
      <c r="G281" s="1">
        <v>12</v>
      </c>
    </row>
    <row r="282" spans="4:7" x14ac:dyDescent="0.2">
      <c r="D282" s="17">
        <v>44300</v>
      </c>
      <c r="E282" s="1">
        <v>3</v>
      </c>
      <c r="F282" s="1">
        <v>9.48</v>
      </c>
      <c r="G282" s="1">
        <v>12</v>
      </c>
    </row>
    <row r="283" spans="4:7" x14ac:dyDescent="0.2">
      <c r="D283" s="17">
        <v>44301</v>
      </c>
      <c r="E283" s="1">
        <v>3</v>
      </c>
      <c r="F283" s="1">
        <v>9.33</v>
      </c>
      <c r="G283" s="1">
        <v>12</v>
      </c>
    </row>
    <row r="284" spans="4:7" x14ac:dyDescent="0.2">
      <c r="D284" s="17">
        <v>44302</v>
      </c>
      <c r="E284" s="1">
        <v>3</v>
      </c>
      <c r="F284" s="1">
        <v>9.33</v>
      </c>
      <c r="G284" s="1">
        <v>12</v>
      </c>
    </row>
    <row r="285" spans="4:7" x14ac:dyDescent="0.2">
      <c r="D285" s="17">
        <v>44305</v>
      </c>
      <c r="E285" s="1">
        <v>3</v>
      </c>
      <c r="F285" s="1">
        <v>9.2899999999999991</v>
      </c>
      <c r="G285" s="1">
        <v>12</v>
      </c>
    </row>
    <row r="286" spans="4:7" x14ac:dyDescent="0.2">
      <c r="D286" s="17">
        <v>44306</v>
      </c>
      <c r="E286" s="1">
        <v>3</v>
      </c>
      <c r="F286" s="1">
        <v>9.14</v>
      </c>
      <c r="G286" s="1">
        <v>12</v>
      </c>
    </row>
    <row r="287" spans="4:7" x14ac:dyDescent="0.2">
      <c r="D287" s="17">
        <v>44308</v>
      </c>
      <c r="E287" s="1">
        <v>3</v>
      </c>
      <c r="F287" s="1">
        <v>9.14</v>
      </c>
      <c r="G287" s="1">
        <v>12</v>
      </c>
    </row>
    <row r="288" spans="4:7" x14ac:dyDescent="0.2">
      <c r="D288" s="17">
        <v>44309</v>
      </c>
      <c r="E288" s="1">
        <v>3</v>
      </c>
      <c r="F288" s="1">
        <v>9.2449999999999992</v>
      </c>
      <c r="G288" s="1">
        <v>12</v>
      </c>
    </row>
    <row r="289" spans="4:7" x14ac:dyDescent="0.2">
      <c r="D289" s="17">
        <v>44312</v>
      </c>
      <c r="E289" s="1">
        <v>3</v>
      </c>
      <c r="F289" s="1">
        <v>9.3550000000000004</v>
      </c>
      <c r="G289" s="1">
        <v>12</v>
      </c>
    </row>
    <row r="290" spans="4:7" x14ac:dyDescent="0.2">
      <c r="D290" s="17">
        <v>44313</v>
      </c>
      <c r="E290" s="1">
        <v>-1.3</v>
      </c>
      <c r="F290" s="1">
        <v>9.31</v>
      </c>
      <c r="G290" s="1">
        <v>12</v>
      </c>
    </row>
    <row r="291" spans="4:7" x14ac:dyDescent="0.2">
      <c r="D291" s="17">
        <v>44314</v>
      </c>
      <c r="E291" s="1">
        <v>-1.3</v>
      </c>
      <c r="F291" s="1">
        <v>9.4</v>
      </c>
      <c r="G291" s="1">
        <v>12</v>
      </c>
    </row>
    <row r="292" spans="4:7" x14ac:dyDescent="0.2">
      <c r="D292" s="17">
        <v>44315</v>
      </c>
      <c r="E292" s="1">
        <v>-1.3</v>
      </c>
      <c r="F292" s="1">
        <v>9.3550000000000004</v>
      </c>
      <c r="G292" s="1">
        <v>12</v>
      </c>
    </row>
    <row r="293" spans="4:7" x14ac:dyDescent="0.2">
      <c r="D293" s="17">
        <v>44316</v>
      </c>
      <c r="E293" s="1">
        <v>-1.3</v>
      </c>
      <c r="F293" s="1">
        <v>9.4</v>
      </c>
      <c r="G293" s="1">
        <v>12</v>
      </c>
    </row>
    <row r="294" spans="4:7" x14ac:dyDescent="0.2">
      <c r="D294" s="17">
        <v>44319</v>
      </c>
      <c r="E294" s="1">
        <v>-1.3</v>
      </c>
      <c r="F294" s="1">
        <v>9.4</v>
      </c>
      <c r="G294" s="1">
        <v>12</v>
      </c>
    </row>
    <row r="295" spans="4:7" x14ac:dyDescent="0.2">
      <c r="D295" s="17">
        <v>44320</v>
      </c>
      <c r="E295" s="1">
        <v>-1.3</v>
      </c>
      <c r="F295" s="1">
        <v>9.4</v>
      </c>
      <c r="G295" s="1">
        <v>12</v>
      </c>
    </row>
    <row r="296" spans="4:7" x14ac:dyDescent="0.2">
      <c r="D296" s="17">
        <v>44321</v>
      </c>
      <c r="E296" s="1">
        <v>-1.3</v>
      </c>
      <c r="F296" s="1">
        <v>9.48</v>
      </c>
      <c r="G296" s="1">
        <v>12</v>
      </c>
    </row>
    <row r="297" spans="4:7" x14ac:dyDescent="0.2">
      <c r="D297" s="17">
        <v>44322</v>
      </c>
      <c r="E297" s="1">
        <v>-1.3</v>
      </c>
      <c r="F297" s="1">
        <v>9.49</v>
      </c>
      <c r="G297" s="1">
        <v>12</v>
      </c>
    </row>
    <row r="298" spans="4:7" x14ac:dyDescent="0.2">
      <c r="D298" s="17">
        <v>44323</v>
      </c>
      <c r="E298" s="1">
        <v>-1.3</v>
      </c>
      <c r="F298" s="1">
        <v>9.4</v>
      </c>
      <c r="G298" s="1">
        <v>12</v>
      </c>
    </row>
    <row r="299" spans="4:7" x14ac:dyDescent="0.2">
      <c r="D299" s="17">
        <v>44326</v>
      </c>
      <c r="E299" s="1">
        <v>-1.3</v>
      </c>
      <c r="F299" s="1">
        <v>9.4</v>
      </c>
      <c r="G299" s="1">
        <v>12</v>
      </c>
    </row>
    <row r="300" spans="4:7" x14ac:dyDescent="0.2">
      <c r="D300" s="17">
        <v>44327</v>
      </c>
      <c r="E300" s="1">
        <v>-1.3</v>
      </c>
      <c r="F300" s="1">
        <v>9.4</v>
      </c>
      <c r="G300" s="1">
        <v>12</v>
      </c>
    </row>
    <row r="301" spans="4:7" x14ac:dyDescent="0.2">
      <c r="D301" s="17">
        <v>44328</v>
      </c>
      <c r="E301" s="1">
        <v>-1.3</v>
      </c>
      <c r="F301" s="1">
        <v>9.4</v>
      </c>
      <c r="G301" s="1">
        <v>12</v>
      </c>
    </row>
    <row r="302" spans="4:7" x14ac:dyDescent="0.2">
      <c r="D302" s="17">
        <v>44329</v>
      </c>
      <c r="E302" s="1">
        <v>-1.3</v>
      </c>
      <c r="F302" s="1">
        <v>9.4</v>
      </c>
      <c r="G302" s="1">
        <v>12</v>
      </c>
    </row>
    <row r="303" spans="4:7" x14ac:dyDescent="0.2">
      <c r="D303" s="17">
        <v>44330</v>
      </c>
      <c r="E303" s="1">
        <v>3</v>
      </c>
      <c r="F303" s="1">
        <v>9.8000000000000007</v>
      </c>
      <c r="G303" s="1">
        <v>12.1</v>
      </c>
    </row>
    <row r="304" spans="4:7" x14ac:dyDescent="0.2">
      <c r="D304" s="17">
        <v>44333</v>
      </c>
      <c r="E304" s="1">
        <v>3</v>
      </c>
      <c r="F304" s="1">
        <v>9.8000000000000007</v>
      </c>
      <c r="G304" s="1">
        <v>12.1</v>
      </c>
    </row>
    <row r="305" spans="4:7" x14ac:dyDescent="0.2">
      <c r="D305" s="17">
        <v>44334</v>
      </c>
      <c r="E305" s="1">
        <v>3</v>
      </c>
      <c r="F305" s="1">
        <v>9.8000000000000007</v>
      </c>
      <c r="G305" s="1">
        <v>12.1</v>
      </c>
    </row>
    <row r="306" spans="4:7" x14ac:dyDescent="0.2">
      <c r="D306" s="17">
        <v>44335</v>
      </c>
      <c r="E306" s="1">
        <v>3</v>
      </c>
      <c r="F306" s="1">
        <v>9.8971</v>
      </c>
      <c r="G306" s="1">
        <v>12.1</v>
      </c>
    </row>
    <row r="307" spans="4:7" x14ac:dyDescent="0.2">
      <c r="D307" s="17">
        <v>44336</v>
      </c>
      <c r="E307" s="1">
        <v>3</v>
      </c>
      <c r="F307" s="1">
        <v>9.9970999999999997</v>
      </c>
      <c r="G307" s="1">
        <v>12.1</v>
      </c>
    </row>
    <row r="308" spans="4:7" x14ac:dyDescent="0.2">
      <c r="D308" s="17">
        <v>44337</v>
      </c>
      <c r="E308" s="1">
        <v>3</v>
      </c>
      <c r="F308" s="1">
        <v>10.085000000000001</v>
      </c>
      <c r="G308" s="1">
        <v>12.1</v>
      </c>
    </row>
    <row r="309" spans="4:7" x14ac:dyDescent="0.2">
      <c r="D309" s="17">
        <v>44340</v>
      </c>
      <c r="E309" s="1">
        <v>3</v>
      </c>
      <c r="F309" s="1">
        <v>10.154999999999999</v>
      </c>
      <c r="G309" s="1">
        <v>12.1</v>
      </c>
    </row>
    <row r="310" spans="4:7" x14ac:dyDescent="0.2">
      <c r="D310" s="17">
        <v>44341</v>
      </c>
      <c r="E310" s="1">
        <v>3</v>
      </c>
      <c r="F310" s="1">
        <v>10.199999999999999</v>
      </c>
      <c r="G310" s="1">
        <v>12.1</v>
      </c>
    </row>
    <row r="311" spans="4:7" x14ac:dyDescent="0.2">
      <c r="D311" s="17">
        <v>44342</v>
      </c>
      <c r="E311" s="1">
        <v>3</v>
      </c>
      <c r="F311" s="1">
        <v>10.199999999999999</v>
      </c>
      <c r="G311" s="1">
        <v>12.1</v>
      </c>
    </row>
    <row r="312" spans="4:7" x14ac:dyDescent="0.2">
      <c r="D312" s="17">
        <v>44343</v>
      </c>
      <c r="E312" s="1">
        <v>5.5</v>
      </c>
      <c r="F312" s="1">
        <v>10.199999999999999</v>
      </c>
      <c r="G312" s="1">
        <v>12.1</v>
      </c>
    </row>
    <row r="313" spans="4:7" x14ac:dyDescent="0.2">
      <c r="D313" s="17">
        <v>44344</v>
      </c>
      <c r="E313" s="1">
        <v>5.5</v>
      </c>
      <c r="F313" s="1">
        <v>10.4</v>
      </c>
      <c r="G313" s="1">
        <v>14.4</v>
      </c>
    </row>
    <row r="314" spans="4:7" x14ac:dyDescent="0.2">
      <c r="D314" s="17">
        <v>44347</v>
      </c>
      <c r="E314" s="1">
        <v>5.5</v>
      </c>
      <c r="F314" s="1">
        <v>10.4</v>
      </c>
      <c r="G314" s="1">
        <v>14.4</v>
      </c>
    </row>
    <row r="315" spans="4:7" x14ac:dyDescent="0.2">
      <c r="D315" s="17">
        <v>44348</v>
      </c>
      <c r="E315" s="1">
        <v>5.5</v>
      </c>
      <c r="F315" s="1">
        <v>10.4</v>
      </c>
      <c r="G315" s="1">
        <v>14.4</v>
      </c>
    </row>
    <row r="316" spans="4:7" x14ac:dyDescent="0.2">
      <c r="D316" s="17">
        <v>44349</v>
      </c>
      <c r="E316" s="1">
        <v>5.5</v>
      </c>
      <c r="F316" s="1">
        <v>11</v>
      </c>
      <c r="G316" s="1">
        <v>14.4</v>
      </c>
    </row>
    <row r="317" spans="4:7" x14ac:dyDescent="0.2">
      <c r="D317" s="17">
        <v>44351</v>
      </c>
      <c r="E317" s="1">
        <v>5.5</v>
      </c>
      <c r="F317" s="1">
        <v>11.25</v>
      </c>
      <c r="G317" s="1">
        <v>14.4</v>
      </c>
    </row>
    <row r="318" spans="4:7" x14ac:dyDescent="0.2">
      <c r="D318" s="17">
        <v>44354</v>
      </c>
      <c r="E318" s="1">
        <v>5.5</v>
      </c>
      <c r="F318" s="1">
        <v>11.55</v>
      </c>
      <c r="G318" s="1">
        <v>14.4</v>
      </c>
    </row>
    <row r="319" spans="4:7" x14ac:dyDescent="0.2">
      <c r="D319" s="17">
        <v>44355</v>
      </c>
      <c r="E319" s="1">
        <v>5.5</v>
      </c>
      <c r="F319" s="1">
        <v>11.5</v>
      </c>
      <c r="G319" s="1">
        <v>14.3</v>
      </c>
    </row>
    <row r="320" spans="4:7" x14ac:dyDescent="0.2">
      <c r="D320" s="17">
        <v>44356</v>
      </c>
      <c r="E320" s="1">
        <v>5.5</v>
      </c>
      <c r="F320" s="1">
        <v>11.6</v>
      </c>
      <c r="G320" s="1">
        <v>14.3</v>
      </c>
    </row>
    <row r="321" spans="4:7" x14ac:dyDescent="0.2">
      <c r="D321" s="17">
        <v>44357</v>
      </c>
      <c r="E321" s="1">
        <v>5.5</v>
      </c>
      <c r="F321" s="1">
        <v>11.7</v>
      </c>
      <c r="G321" s="1">
        <v>14.3</v>
      </c>
    </row>
    <row r="322" spans="4:7" x14ac:dyDescent="0.2">
      <c r="D322" s="17">
        <v>44358</v>
      </c>
      <c r="E322" s="1">
        <v>5.5</v>
      </c>
      <c r="F322" s="1">
        <v>12.07</v>
      </c>
      <c r="G322" s="1">
        <v>14.3</v>
      </c>
    </row>
    <row r="323" spans="4:7" x14ac:dyDescent="0.2">
      <c r="D323" s="17">
        <v>44361</v>
      </c>
      <c r="E323" s="1">
        <v>5.5</v>
      </c>
      <c r="F323" s="1">
        <v>12.1</v>
      </c>
      <c r="G323" s="1">
        <v>14.3</v>
      </c>
    </row>
    <row r="324" spans="4:7" x14ac:dyDescent="0.2">
      <c r="D324" s="17">
        <v>44362</v>
      </c>
      <c r="E324" s="1">
        <v>5.5</v>
      </c>
      <c r="F324" s="1">
        <v>12.1</v>
      </c>
      <c r="G324" s="1">
        <v>14.3</v>
      </c>
    </row>
    <row r="325" spans="4:7" x14ac:dyDescent="0.2">
      <c r="D325" s="17">
        <v>44363</v>
      </c>
      <c r="E325" s="1">
        <v>5.5</v>
      </c>
      <c r="F325" s="1">
        <v>12.1</v>
      </c>
      <c r="G325" s="1">
        <v>14.3</v>
      </c>
    </row>
    <row r="326" spans="4:7" x14ac:dyDescent="0.2">
      <c r="D326" s="17">
        <v>44364</v>
      </c>
      <c r="E326" s="1">
        <v>5.6</v>
      </c>
      <c r="F326" s="1">
        <v>12.1</v>
      </c>
      <c r="G326" s="1">
        <v>14.3</v>
      </c>
    </row>
    <row r="327" spans="4:7" x14ac:dyDescent="0.2">
      <c r="D327" s="17">
        <v>44365</v>
      </c>
      <c r="E327" s="1">
        <v>5.6</v>
      </c>
      <c r="F327" s="1">
        <v>12.4</v>
      </c>
      <c r="G327" s="1">
        <v>14.3</v>
      </c>
    </row>
    <row r="328" spans="4:7" x14ac:dyDescent="0.2">
      <c r="D328" s="17">
        <v>44368</v>
      </c>
      <c r="E328" s="1">
        <v>5.6</v>
      </c>
      <c r="F328" s="1">
        <v>12.4</v>
      </c>
      <c r="G328" s="1">
        <v>14.3</v>
      </c>
    </row>
    <row r="329" spans="4:7" x14ac:dyDescent="0.2">
      <c r="D329" s="17">
        <v>44369</v>
      </c>
      <c r="E329" s="1">
        <v>5.6</v>
      </c>
      <c r="F329" s="1">
        <v>12.48</v>
      </c>
      <c r="G329" s="1">
        <v>14.3</v>
      </c>
    </row>
    <row r="330" spans="4:7" x14ac:dyDescent="0.2">
      <c r="D330" s="17">
        <v>44370</v>
      </c>
      <c r="E330" s="1">
        <v>5.6</v>
      </c>
      <c r="F330" s="1">
        <v>12.5</v>
      </c>
      <c r="G330" s="1">
        <v>14.3</v>
      </c>
    </row>
    <row r="331" spans="4:7" x14ac:dyDescent="0.2">
      <c r="D331" s="17">
        <v>44371</v>
      </c>
      <c r="E331" s="1">
        <v>5.6</v>
      </c>
      <c r="F331" s="1">
        <v>12.5</v>
      </c>
      <c r="G331" s="1">
        <v>14.3</v>
      </c>
    </row>
    <row r="332" spans="4:7" x14ac:dyDescent="0.2">
      <c r="D332" s="17">
        <v>44372</v>
      </c>
      <c r="E332" s="1">
        <v>5.6</v>
      </c>
      <c r="F332" s="1">
        <v>12.5</v>
      </c>
      <c r="G332" s="1">
        <v>14</v>
      </c>
    </row>
    <row r="333" spans="4:7" x14ac:dyDescent="0.2">
      <c r="D333" s="17">
        <v>44375</v>
      </c>
      <c r="E333" s="1">
        <v>5.6</v>
      </c>
      <c r="F333" s="1">
        <v>12.55</v>
      </c>
      <c r="G333" s="1">
        <v>14</v>
      </c>
    </row>
    <row r="334" spans="4:7" x14ac:dyDescent="0.2">
      <c r="D334" s="17">
        <v>44376</v>
      </c>
      <c r="E334" s="1">
        <v>5.6</v>
      </c>
      <c r="F334" s="1">
        <v>12.55</v>
      </c>
      <c r="G334" s="1">
        <v>14</v>
      </c>
    </row>
    <row r="335" spans="4:7" x14ac:dyDescent="0.2">
      <c r="D335" s="17">
        <v>44377</v>
      </c>
      <c r="E335" s="1">
        <v>5.6</v>
      </c>
      <c r="F335" s="1">
        <v>12.55</v>
      </c>
      <c r="G335" s="1">
        <v>14</v>
      </c>
    </row>
    <row r="336" spans="4:7" x14ac:dyDescent="0.2">
      <c r="D336" s="17">
        <v>44378</v>
      </c>
      <c r="E336" s="1">
        <v>5.6</v>
      </c>
      <c r="F336" s="1">
        <v>12.6</v>
      </c>
      <c r="G336" s="1">
        <v>14</v>
      </c>
    </row>
    <row r="337" spans="4:7" x14ac:dyDescent="0.2">
      <c r="D337" s="17">
        <v>44379</v>
      </c>
      <c r="E337" s="1">
        <v>5.6</v>
      </c>
      <c r="F337" s="1">
        <v>12.55</v>
      </c>
      <c r="G337" s="1">
        <v>14</v>
      </c>
    </row>
    <row r="338" spans="4:7" x14ac:dyDescent="0.2">
      <c r="D338" s="17">
        <v>44382</v>
      </c>
      <c r="E338" s="1">
        <v>5.6</v>
      </c>
      <c r="F338" s="1">
        <v>12.6</v>
      </c>
      <c r="G338" s="1">
        <v>14</v>
      </c>
    </row>
    <row r="339" spans="4:7" x14ac:dyDescent="0.2">
      <c r="D339" s="17">
        <v>44383</v>
      </c>
      <c r="E339" s="1">
        <v>5.6</v>
      </c>
      <c r="F339" s="1">
        <v>12.6</v>
      </c>
      <c r="G339" s="1">
        <v>14</v>
      </c>
    </row>
    <row r="340" spans="4:7" x14ac:dyDescent="0.2">
      <c r="D340" s="17">
        <v>44384</v>
      </c>
      <c r="E340" s="1">
        <v>5.6</v>
      </c>
      <c r="F340" s="1">
        <v>12.6</v>
      </c>
      <c r="G340" s="1">
        <v>14</v>
      </c>
    </row>
    <row r="341" spans="4:7" x14ac:dyDescent="0.2">
      <c r="D341" s="17">
        <v>44385</v>
      </c>
      <c r="E341" s="1">
        <v>5.6</v>
      </c>
      <c r="F341" s="1">
        <v>12.615</v>
      </c>
      <c r="G341" s="1">
        <v>14</v>
      </c>
    </row>
    <row r="342" spans="4:7" x14ac:dyDescent="0.2">
      <c r="D342" s="17">
        <v>44386</v>
      </c>
      <c r="E342" s="1">
        <v>5.6</v>
      </c>
      <c r="F342" s="1">
        <v>12.615</v>
      </c>
      <c r="G342" s="1">
        <v>14</v>
      </c>
    </row>
    <row r="343" spans="4:7" x14ac:dyDescent="0.2">
      <c r="D343" s="17">
        <v>44389</v>
      </c>
      <c r="E343" s="1">
        <v>5.6</v>
      </c>
      <c r="F343" s="1">
        <v>12.7</v>
      </c>
      <c r="G343" s="1">
        <v>14</v>
      </c>
    </row>
    <row r="344" spans="4:7" x14ac:dyDescent="0.2">
      <c r="D344" s="17">
        <v>44390</v>
      </c>
      <c r="E344" s="1">
        <v>5.6</v>
      </c>
      <c r="F344" s="1">
        <v>12.7</v>
      </c>
      <c r="G344" s="1">
        <v>14</v>
      </c>
    </row>
    <row r="345" spans="4:7" x14ac:dyDescent="0.2">
      <c r="D345" s="17">
        <v>44391</v>
      </c>
      <c r="E345" s="1">
        <v>5.6</v>
      </c>
      <c r="F345" s="1">
        <v>12.7</v>
      </c>
      <c r="G345" s="1">
        <v>14</v>
      </c>
    </row>
    <row r="346" spans="4:7" x14ac:dyDescent="0.2">
      <c r="D346" s="17">
        <v>44392</v>
      </c>
      <c r="E346" s="1">
        <v>5.6</v>
      </c>
      <c r="F346" s="1">
        <v>12.75</v>
      </c>
      <c r="G346" s="1">
        <v>14</v>
      </c>
    </row>
    <row r="347" spans="4:7" x14ac:dyDescent="0.2">
      <c r="D347" s="17">
        <v>44393</v>
      </c>
      <c r="E347" s="1">
        <v>5.6</v>
      </c>
      <c r="F347" s="1">
        <v>12.8</v>
      </c>
      <c r="G347" s="1">
        <v>14</v>
      </c>
    </row>
    <row r="348" spans="4:7" x14ac:dyDescent="0.2">
      <c r="D348" s="17">
        <v>44396</v>
      </c>
      <c r="E348" s="1">
        <v>9.6199999999999992</v>
      </c>
      <c r="F348" s="1">
        <v>12.8</v>
      </c>
      <c r="G348" s="1">
        <v>14</v>
      </c>
    </row>
    <row r="349" spans="4:7" x14ac:dyDescent="0.2">
      <c r="D349" s="17">
        <v>44397</v>
      </c>
      <c r="E349" s="1">
        <v>9.6199999999999992</v>
      </c>
      <c r="F349" s="1">
        <v>12.8</v>
      </c>
      <c r="G349" s="1">
        <v>14</v>
      </c>
    </row>
    <row r="350" spans="4:7" x14ac:dyDescent="0.2">
      <c r="D350" s="17">
        <v>44398</v>
      </c>
      <c r="E350" s="1">
        <v>9.6199999999999992</v>
      </c>
      <c r="F350" s="1">
        <v>12.8</v>
      </c>
      <c r="G350" s="1">
        <v>14</v>
      </c>
    </row>
    <row r="351" spans="4:7" x14ac:dyDescent="0.2">
      <c r="D351" s="17">
        <v>44399</v>
      </c>
      <c r="E351" s="1">
        <v>9.6199999999999992</v>
      </c>
      <c r="F351" s="1">
        <v>12.8</v>
      </c>
      <c r="G351" s="1">
        <v>14</v>
      </c>
    </row>
    <row r="352" spans="4:7" x14ac:dyDescent="0.2">
      <c r="D352" s="17">
        <v>44400</v>
      </c>
      <c r="E352" s="1">
        <v>9.6199999999999992</v>
      </c>
      <c r="F352" s="1">
        <v>12.8</v>
      </c>
      <c r="G352" s="1">
        <v>14</v>
      </c>
    </row>
    <row r="353" spans="4:7" x14ac:dyDescent="0.2">
      <c r="D353" s="17">
        <v>44403</v>
      </c>
      <c r="E353" s="1">
        <v>9.6199999999999992</v>
      </c>
      <c r="F353" s="1">
        <v>12.8</v>
      </c>
      <c r="G353" s="1">
        <v>14</v>
      </c>
    </row>
    <row r="354" spans="4:7" x14ac:dyDescent="0.2">
      <c r="D354" s="17">
        <v>44404</v>
      </c>
      <c r="E354" s="1">
        <v>9.6199999999999992</v>
      </c>
      <c r="F354" s="1">
        <v>12.8</v>
      </c>
      <c r="G354" s="1">
        <v>14</v>
      </c>
    </row>
    <row r="355" spans="4:7" x14ac:dyDescent="0.2">
      <c r="D355" s="17">
        <v>44405</v>
      </c>
      <c r="E355" s="1">
        <v>9.6199999999999992</v>
      </c>
      <c r="F355" s="1">
        <v>12.8</v>
      </c>
      <c r="G355" s="1">
        <v>14</v>
      </c>
    </row>
    <row r="356" spans="4:7" x14ac:dyDescent="0.2">
      <c r="D356" s="17">
        <v>44406</v>
      </c>
      <c r="E356" s="1">
        <v>9.6199999999999992</v>
      </c>
      <c r="F356" s="1">
        <v>12.8</v>
      </c>
      <c r="G356" s="1">
        <v>14</v>
      </c>
    </row>
    <row r="357" spans="4:7" x14ac:dyDescent="0.2">
      <c r="D357" s="17">
        <v>44407</v>
      </c>
      <c r="E357" s="1">
        <v>9.6199999999999992</v>
      </c>
      <c r="F357" s="1">
        <v>12.85</v>
      </c>
      <c r="G357" s="1">
        <v>14</v>
      </c>
    </row>
    <row r="358" spans="4:7" x14ac:dyDescent="0.2">
      <c r="D358" s="17">
        <v>44410</v>
      </c>
      <c r="E358" s="1">
        <v>9.6199999999999992</v>
      </c>
      <c r="F358" s="1">
        <v>12.9</v>
      </c>
      <c r="G358" s="1">
        <v>14</v>
      </c>
    </row>
    <row r="359" spans="4:7" x14ac:dyDescent="0.2">
      <c r="D359" s="17">
        <v>44411</v>
      </c>
      <c r="E359" s="1">
        <v>9.6199999999999992</v>
      </c>
      <c r="F359" s="1">
        <v>12.9</v>
      </c>
      <c r="G359" s="1">
        <v>14</v>
      </c>
    </row>
    <row r="360" spans="4:7" x14ac:dyDescent="0.2">
      <c r="D360" s="17">
        <v>44412</v>
      </c>
      <c r="E360" s="1">
        <v>9.6199999999999992</v>
      </c>
      <c r="F360" s="1">
        <v>12.9</v>
      </c>
      <c r="G360" s="1">
        <v>14</v>
      </c>
    </row>
    <row r="361" spans="4:7" x14ac:dyDescent="0.2">
      <c r="D361" s="17">
        <v>44413</v>
      </c>
      <c r="E361" s="1">
        <v>9.6199999999999992</v>
      </c>
      <c r="F361" s="1">
        <v>12.9</v>
      </c>
      <c r="G361" s="1">
        <v>14</v>
      </c>
    </row>
    <row r="362" spans="4:7" x14ac:dyDescent="0.2">
      <c r="D362" s="17">
        <v>44414</v>
      </c>
      <c r="E362" s="1">
        <v>9.6199999999999992</v>
      </c>
      <c r="F362" s="1">
        <v>12.9</v>
      </c>
      <c r="G362" s="1">
        <v>14</v>
      </c>
    </row>
    <row r="363" spans="4:7" x14ac:dyDescent="0.2">
      <c r="D363" s="17">
        <v>44417</v>
      </c>
      <c r="E363" s="1">
        <v>9.6199999999999992</v>
      </c>
      <c r="F363" s="1">
        <v>12.9</v>
      </c>
      <c r="G363" s="1">
        <v>14</v>
      </c>
    </row>
    <row r="364" spans="4:7" x14ac:dyDescent="0.2">
      <c r="D364" s="17">
        <v>44418</v>
      </c>
      <c r="E364" s="1">
        <v>9.6199999999999992</v>
      </c>
      <c r="F364" s="1">
        <v>12.8744</v>
      </c>
      <c r="G364" s="1">
        <v>14</v>
      </c>
    </row>
    <row r="365" spans="4:7" x14ac:dyDescent="0.2">
      <c r="D365" s="17">
        <v>44419</v>
      </c>
      <c r="E365" s="1">
        <v>9.6199999999999992</v>
      </c>
      <c r="F365" s="1">
        <v>12.8744</v>
      </c>
      <c r="G365" s="1">
        <v>14</v>
      </c>
    </row>
    <row r="366" spans="4:7" x14ac:dyDescent="0.2">
      <c r="D366" s="17">
        <v>44420</v>
      </c>
      <c r="E366" s="1">
        <v>9.6199999999999992</v>
      </c>
      <c r="F366" s="1">
        <v>12.9</v>
      </c>
      <c r="G366" s="1">
        <v>14</v>
      </c>
    </row>
    <row r="367" spans="4:7" x14ac:dyDescent="0.2">
      <c r="D367" s="17">
        <v>44421</v>
      </c>
      <c r="E367" s="1">
        <v>9.6199999999999992</v>
      </c>
      <c r="F367" s="1">
        <v>12.9</v>
      </c>
      <c r="G367" s="1">
        <v>14</v>
      </c>
    </row>
    <row r="368" spans="4:7" x14ac:dyDescent="0.2">
      <c r="D368" s="17">
        <v>44424</v>
      </c>
      <c r="E368" s="1">
        <v>10.9</v>
      </c>
      <c r="F368" s="1">
        <v>12.8851</v>
      </c>
      <c r="G368" s="1">
        <v>14</v>
      </c>
    </row>
    <row r="369" spans="4:7" x14ac:dyDescent="0.2">
      <c r="D369" s="17">
        <v>44425</v>
      </c>
      <c r="E369" s="1">
        <v>10.9</v>
      </c>
      <c r="F369" s="1">
        <v>12.8851</v>
      </c>
      <c r="G369" s="1">
        <v>14</v>
      </c>
    </row>
    <row r="370" spans="4:7" x14ac:dyDescent="0.2">
      <c r="D370" s="17">
        <v>44426</v>
      </c>
      <c r="E370" s="1">
        <v>10.9</v>
      </c>
      <c r="F370" s="1">
        <v>12.8851</v>
      </c>
      <c r="G370" s="1">
        <v>14</v>
      </c>
    </row>
    <row r="371" spans="4:7" x14ac:dyDescent="0.2">
      <c r="D371" s="17">
        <v>44427</v>
      </c>
      <c r="E371" s="1">
        <v>0.42</v>
      </c>
      <c r="F371" s="1">
        <v>12.867000000000001</v>
      </c>
      <c r="G371" s="1">
        <v>14</v>
      </c>
    </row>
    <row r="372" spans="4:7" x14ac:dyDescent="0.2">
      <c r="D372" s="17">
        <v>44428</v>
      </c>
      <c r="E372" s="1">
        <v>10.9</v>
      </c>
      <c r="F372" s="1">
        <v>12.8</v>
      </c>
      <c r="G372" s="1">
        <v>14</v>
      </c>
    </row>
    <row r="373" spans="4:7" x14ac:dyDescent="0.2">
      <c r="D373" s="17">
        <v>44431</v>
      </c>
      <c r="E373" s="1">
        <v>10.9</v>
      </c>
      <c r="F373" s="1">
        <v>12.8</v>
      </c>
      <c r="G373" s="1">
        <v>14</v>
      </c>
    </row>
    <row r="374" spans="4:7" x14ac:dyDescent="0.2">
      <c r="D374" s="17">
        <v>44432</v>
      </c>
      <c r="E374" s="1">
        <v>10.9</v>
      </c>
      <c r="F374" s="1">
        <v>12.8</v>
      </c>
      <c r="G374" s="1">
        <v>14</v>
      </c>
    </row>
    <row r="375" spans="4:7" x14ac:dyDescent="0.2">
      <c r="D375" s="17">
        <v>44433</v>
      </c>
      <c r="E375" s="1">
        <v>10.9</v>
      </c>
      <c r="F375" s="1">
        <v>12.8</v>
      </c>
      <c r="G375" s="1">
        <v>14</v>
      </c>
    </row>
    <row r="376" spans="4:7" x14ac:dyDescent="0.2">
      <c r="D376" s="17">
        <v>44434</v>
      </c>
      <c r="E376" s="1">
        <v>10.9</v>
      </c>
      <c r="F376" s="1">
        <v>12.8</v>
      </c>
      <c r="G376" s="1">
        <v>14</v>
      </c>
    </row>
    <row r="377" spans="4:7" x14ac:dyDescent="0.2">
      <c r="D377" s="17">
        <v>44435</v>
      </c>
      <c r="E377" s="1">
        <v>10.9</v>
      </c>
      <c r="F377" s="1">
        <v>12.8</v>
      </c>
      <c r="G377" s="1">
        <v>14</v>
      </c>
    </row>
    <row r="378" spans="4:7" x14ac:dyDescent="0.2">
      <c r="D378" s="17">
        <v>44438</v>
      </c>
      <c r="E378" s="1">
        <v>10.9</v>
      </c>
      <c r="F378" s="1">
        <v>12.7988</v>
      </c>
      <c r="G378" s="1">
        <v>14</v>
      </c>
    </row>
    <row r="379" spans="4:7" x14ac:dyDescent="0.2">
      <c r="D379" s="17">
        <v>44439</v>
      </c>
      <c r="E379" s="1">
        <v>10.9</v>
      </c>
      <c r="F379" s="1">
        <v>12.764200000000001</v>
      </c>
      <c r="G379" s="1">
        <v>14</v>
      </c>
    </row>
    <row r="380" spans="4:7" x14ac:dyDescent="0.2">
      <c r="D380" s="17"/>
    </row>
    <row r="381" spans="4:7" x14ac:dyDescent="0.2">
      <c r="D381" s="17"/>
    </row>
    <row r="382" spans="4:7" x14ac:dyDescent="0.2">
      <c r="D382" s="17"/>
    </row>
    <row r="383" spans="4:7" x14ac:dyDescent="0.2">
      <c r="D383" s="17"/>
    </row>
    <row r="384" spans="4:7" x14ac:dyDescent="0.2">
      <c r="D384" s="17"/>
    </row>
    <row r="385" spans="4:4" x14ac:dyDescent="0.2">
      <c r="D385" s="17"/>
    </row>
    <row r="386" spans="4:4" x14ac:dyDescent="0.2">
      <c r="D386" s="17"/>
    </row>
    <row r="387" spans="4:4" x14ac:dyDescent="0.2">
      <c r="D387" s="17"/>
    </row>
    <row r="388" spans="4:4" x14ac:dyDescent="0.2">
      <c r="D388" s="17"/>
    </row>
    <row r="389" spans="4:4" x14ac:dyDescent="0.2">
      <c r="D389" s="17"/>
    </row>
    <row r="390" spans="4:4" x14ac:dyDescent="0.2">
      <c r="D390" s="17"/>
    </row>
    <row r="391" spans="4:4" x14ac:dyDescent="0.2">
      <c r="D391" s="17"/>
    </row>
    <row r="392" spans="4:4" x14ac:dyDescent="0.2">
      <c r="D392" s="17"/>
    </row>
    <row r="393" spans="4:4" x14ac:dyDescent="0.2">
      <c r="D393" s="17"/>
    </row>
    <row r="394" spans="4:4" x14ac:dyDescent="0.2">
      <c r="D394" s="17"/>
    </row>
    <row r="395" spans="4:4" x14ac:dyDescent="0.2">
      <c r="D395" s="17"/>
    </row>
    <row r="396" spans="4:4" x14ac:dyDescent="0.2">
      <c r="D396" s="17"/>
    </row>
    <row r="397" spans="4:4" x14ac:dyDescent="0.2">
      <c r="D397" s="17"/>
    </row>
    <row r="398" spans="4:4" x14ac:dyDescent="0.2">
      <c r="D398" s="17"/>
    </row>
    <row r="399" spans="4:4" x14ac:dyDescent="0.2">
      <c r="D399" s="17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3C59E-BD83-4B5B-9C16-2CF8EE58AF3A}">
  <sheetPr codeName="Planilha4"/>
  <dimension ref="A1:P461"/>
  <sheetViews>
    <sheetView workbookViewId="0">
      <selection activeCell="L34" sqref="L34"/>
    </sheetView>
  </sheetViews>
  <sheetFormatPr defaultRowHeight="12.75" x14ac:dyDescent="0.2"/>
  <cols>
    <col min="1" max="1" width="36.5703125" style="1" customWidth="1"/>
    <col min="2" max="2" width="14.28515625" style="1" customWidth="1"/>
    <col min="3" max="3" width="10.140625" style="1" bestFit="1" customWidth="1"/>
    <col min="4" max="4" width="12" style="1" customWidth="1"/>
    <col min="5" max="8" width="9.140625" style="1"/>
    <col min="9" max="9" width="15.7109375" style="1" bestFit="1" customWidth="1"/>
    <col min="10" max="16384" width="9.140625" style="1"/>
  </cols>
  <sheetData>
    <row r="1" spans="1:16" ht="15.75" x14ac:dyDescent="0.25">
      <c r="A1" s="9" t="s">
        <v>88</v>
      </c>
      <c r="I1" s="3" t="s">
        <v>60</v>
      </c>
      <c r="J1" s="60" t="str">
        <f>"FOCUS forecast for "&amp;$B$3&amp;" of "&amp;PROPER(TEXT($B$5,"[$-409]aaaa"))</f>
        <v>FOCUS forecast for IPCA of 2021</v>
      </c>
      <c r="K1" s="61"/>
      <c r="L1" s="61"/>
      <c r="M1" s="61"/>
      <c r="N1" s="61"/>
      <c r="O1" s="61"/>
      <c r="P1" s="61"/>
    </row>
    <row r="3" spans="1:16" x14ac:dyDescent="0.2">
      <c r="A3" s="3" t="s">
        <v>61</v>
      </c>
      <c r="B3" s="18" t="s">
        <v>36</v>
      </c>
      <c r="D3" s="1" t="s">
        <v>13</v>
      </c>
      <c r="E3" s="1" t="s">
        <v>15</v>
      </c>
      <c r="F3" s="1" t="s">
        <v>17</v>
      </c>
      <c r="G3" s="1" t="s">
        <v>21</v>
      </c>
    </row>
    <row r="4" spans="1:16" x14ac:dyDescent="0.2">
      <c r="A4" s="3" t="s">
        <v>62</v>
      </c>
      <c r="B4" s="18"/>
      <c r="D4" s="17" cm="1">
        <f t="array" ref="D4:G360">xlFOCUS_ExpectativasAnuais(B3,B4,B5,B6,B7,B8,D3:G3)</f>
        <v>44013</v>
      </c>
      <c r="E4" s="1">
        <v>2.4700000000000002</v>
      </c>
      <c r="F4" s="1">
        <v>3.07</v>
      </c>
      <c r="G4" s="1">
        <v>4.1500000000000004</v>
      </c>
    </row>
    <row r="5" spans="1:16" x14ac:dyDescent="0.2">
      <c r="A5" s="3" t="s">
        <v>63</v>
      </c>
      <c r="B5" s="14">
        <v>44197</v>
      </c>
      <c r="D5" s="17">
        <v>44014</v>
      </c>
      <c r="E5" s="1">
        <v>2.4700000000000002</v>
      </c>
      <c r="F5" s="1">
        <v>3</v>
      </c>
      <c r="G5" s="1">
        <v>4.1500000000000004</v>
      </c>
    </row>
    <row r="6" spans="1:16" x14ac:dyDescent="0.2">
      <c r="A6" s="3" t="s">
        <v>64</v>
      </c>
      <c r="B6" s="14">
        <v>44013</v>
      </c>
      <c r="D6" s="17">
        <v>44015</v>
      </c>
      <c r="E6" s="1">
        <v>2.2999999999999998</v>
      </c>
      <c r="F6" s="1">
        <v>3.05</v>
      </c>
      <c r="G6" s="1">
        <v>4.1500000000000004</v>
      </c>
    </row>
    <row r="7" spans="1:16" x14ac:dyDescent="0.2">
      <c r="A7" s="3" t="s">
        <v>65</v>
      </c>
      <c r="B7" s="14">
        <v>44531</v>
      </c>
      <c r="D7" s="17">
        <v>44018</v>
      </c>
      <c r="E7" s="1">
        <v>2.2999999999999998</v>
      </c>
      <c r="F7" s="1">
        <v>3.07</v>
      </c>
      <c r="G7" s="1">
        <v>4.1500000000000004</v>
      </c>
    </row>
    <row r="8" spans="1:16" x14ac:dyDescent="0.2">
      <c r="A8" s="3" t="s">
        <v>66</v>
      </c>
      <c r="B8" s="18">
        <v>1</v>
      </c>
      <c r="D8" s="17">
        <v>44019</v>
      </c>
      <c r="E8" s="1">
        <v>2.2999999999999998</v>
      </c>
      <c r="F8" s="1">
        <v>3.07</v>
      </c>
      <c r="G8" s="1">
        <v>4.0599999999999996</v>
      </c>
    </row>
    <row r="9" spans="1:16" x14ac:dyDescent="0.2">
      <c r="D9" s="17">
        <v>44020</v>
      </c>
      <c r="E9" s="1">
        <v>2.09</v>
      </c>
      <c r="F9" s="1">
        <v>3.09</v>
      </c>
      <c r="G9" s="1">
        <v>4.0599999999999996</v>
      </c>
    </row>
    <row r="10" spans="1:16" x14ac:dyDescent="0.2">
      <c r="D10" s="17">
        <v>44021</v>
      </c>
      <c r="E10" s="1">
        <v>2.09</v>
      </c>
      <c r="F10" s="1">
        <v>3.12</v>
      </c>
      <c r="G10" s="1">
        <v>4.0599999999999996</v>
      </c>
    </row>
    <row r="11" spans="1:16" x14ac:dyDescent="0.2">
      <c r="D11" s="17">
        <v>44022</v>
      </c>
      <c r="E11" s="1">
        <v>2.09</v>
      </c>
      <c r="F11" s="1">
        <v>3.01</v>
      </c>
      <c r="G11" s="1">
        <v>4.4400000000000004</v>
      </c>
    </row>
    <row r="12" spans="1:16" x14ac:dyDescent="0.2">
      <c r="D12" s="17">
        <v>44025</v>
      </c>
      <c r="E12" s="1">
        <v>2.09</v>
      </c>
      <c r="F12" s="1">
        <v>3</v>
      </c>
      <c r="G12" s="1">
        <v>4.4400000000000004</v>
      </c>
    </row>
    <row r="13" spans="1:16" x14ac:dyDescent="0.2">
      <c r="D13" s="17">
        <v>44026</v>
      </c>
      <c r="E13" s="1">
        <v>2.09</v>
      </c>
      <c r="F13" s="1">
        <v>3</v>
      </c>
      <c r="G13" s="1">
        <v>4.4400000000000004</v>
      </c>
    </row>
    <row r="14" spans="1:16" x14ac:dyDescent="0.2">
      <c r="D14" s="17">
        <v>44027</v>
      </c>
      <c r="E14" s="1">
        <v>2.09</v>
      </c>
      <c r="F14" s="1">
        <v>3</v>
      </c>
      <c r="G14" s="1">
        <v>4.4400000000000004</v>
      </c>
    </row>
    <row r="15" spans="1:16" x14ac:dyDescent="0.2">
      <c r="D15" s="17">
        <v>44028</v>
      </c>
      <c r="E15" s="1">
        <v>2.09</v>
      </c>
      <c r="F15" s="1">
        <v>3</v>
      </c>
      <c r="G15" s="1">
        <v>4.4400000000000004</v>
      </c>
    </row>
    <row r="16" spans="1:16" x14ac:dyDescent="0.2">
      <c r="D16" s="17">
        <v>44029</v>
      </c>
      <c r="E16" s="1">
        <v>2.44</v>
      </c>
      <c r="F16" s="1">
        <v>3.01</v>
      </c>
      <c r="G16" s="1">
        <v>4.0599999999999996</v>
      </c>
    </row>
    <row r="17" spans="4:7" x14ac:dyDescent="0.2">
      <c r="D17" s="17">
        <v>44032</v>
      </c>
      <c r="E17" s="1">
        <v>2.09</v>
      </c>
      <c r="F17" s="1">
        <v>3.07</v>
      </c>
      <c r="G17" s="1">
        <v>4.0599999999999996</v>
      </c>
    </row>
    <row r="18" spans="4:7" x14ac:dyDescent="0.2">
      <c r="D18" s="17">
        <v>44033</v>
      </c>
      <c r="E18" s="1">
        <v>2.09</v>
      </c>
      <c r="F18" s="1">
        <v>3.08</v>
      </c>
      <c r="G18" s="1">
        <v>4.0599999999999996</v>
      </c>
    </row>
    <row r="19" spans="4:7" x14ac:dyDescent="0.2">
      <c r="D19" s="17">
        <v>44034</v>
      </c>
      <c r="E19" s="1">
        <v>2.09</v>
      </c>
      <c r="F19" s="1">
        <v>3.08</v>
      </c>
      <c r="G19" s="1">
        <v>4</v>
      </c>
    </row>
    <row r="20" spans="4:7" x14ac:dyDescent="0.2">
      <c r="D20" s="17">
        <v>44035</v>
      </c>
      <c r="E20" s="1">
        <v>2.09</v>
      </c>
      <c r="F20" s="1">
        <v>3</v>
      </c>
      <c r="G20" s="1">
        <v>4</v>
      </c>
    </row>
    <row r="21" spans="4:7" x14ac:dyDescent="0.2">
      <c r="D21" s="17">
        <v>44036</v>
      </c>
      <c r="E21" s="1">
        <v>2.2799999999999998</v>
      </c>
      <c r="F21" s="1">
        <v>2.99</v>
      </c>
      <c r="G21" s="1">
        <v>4</v>
      </c>
    </row>
    <row r="22" spans="4:7" x14ac:dyDescent="0.2">
      <c r="D22" s="17">
        <v>44039</v>
      </c>
      <c r="E22" s="1">
        <v>2.2799999999999998</v>
      </c>
      <c r="F22" s="1">
        <v>3</v>
      </c>
      <c r="G22" s="1">
        <v>4</v>
      </c>
    </row>
    <row r="23" spans="4:7" x14ac:dyDescent="0.2">
      <c r="D23" s="17">
        <v>44040</v>
      </c>
      <c r="E23" s="1">
        <v>2.2799999999999998</v>
      </c>
      <c r="F23" s="1">
        <v>3</v>
      </c>
      <c r="G23" s="1">
        <v>4</v>
      </c>
    </row>
    <row r="24" spans="4:7" x14ac:dyDescent="0.2">
      <c r="D24" s="17">
        <v>44041</v>
      </c>
      <c r="E24" s="1">
        <v>2.2799999999999998</v>
      </c>
      <c r="F24" s="1">
        <v>3</v>
      </c>
      <c r="G24" s="1">
        <v>4</v>
      </c>
    </row>
    <row r="25" spans="4:7" x14ac:dyDescent="0.2">
      <c r="D25" s="17">
        <v>44042</v>
      </c>
      <c r="E25" s="1">
        <v>2.2799999999999998</v>
      </c>
      <c r="F25" s="1">
        <v>3</v>
      </c>
      <c r="G25" s="1">
        <v>4</v>
      </c>
    </row>
    <row r="26" spans="4:7" x14ac:dyDescent="0.2">
      <c r="D26" s="17">
        <v>44043</v>
      </c>
      <c r="E26" s="1">
        <v>2.44</v>
      </c>
      <c r="F26" s="1">
        <v>2.99</v>
      </c>
      <c r="G26" s="1">
        <v>4</v>
      </c>
    </row>
    <row r="27" spans="4:7" x14ac:dyDescent="0.2">
      <c r="D27" s="17">
        <v>44046</v>
      </c>
      <c r="E27" s="1">
        <v>2.44</v>
      </c>
      <c r="F27" s="1">
        <v>2.98</v>
      </c>
      <c r="G27" s="1">
        <v>4</v>
      </c>
    </row>
    <row r="28" spans="4:7" x14ac:dyDescent="0.2">
      <c r="D28" s="17">
        <v>44047</v>
      </c>
      <c r="E28" s="1">
        <v>2.44</v>
      </c>
      <c r="F28" s="1">
        <v>2.98</v>
      </c>
      <c r="G28" s="1">
        <v>4</v>
      </c>
    </row>
    <row r="29" spans="4:7" x14ac:dyDescent="0.2">
      <c r="D29" s="17">
        <v>44048</v>
      </c>
      <c r="E29" s="1">
        <v>2.44</v>
      </c>
      <c r="F29" s="1">
        <v>2.98</v>
      </c>
      <c r="G29" s="1">
        <v>4</v>
      </c>
    </row>
    <row r="30" spans="4:7" x14ac:dyDescent="0.2">
      <c r="D30" s="17">
        <v>44049</v>
      </c>
      <c r="E30" s="1">
        <v>2.5</v>
      </c>
      <c r="F30" s="1">
        <v>2.99</v>
      </c>
      <c r="G30" s="1">
        <v>3.75</v>
      </c>
    </row>
    <row r="31" spans="4:7" x14ac:dyDescent="0.2">
      <c r="D31" s="17">
        <v>44050</v>
      </c>
      <c r="E31" s="1">
        <v>2.11</v>
      </c>
      <c r="F31" s="1">
        <v>2.99</v>
      </c>
      <c r="G31" s="1">
        <v>3.96</v>
      </c>
    </row>
    <row r="32" spans="4:7" x14ac:dyDescent="0.2">
      <c r="D32" s="17">
        <v>44053</v>
      </c>
      <c r="E32" s="1">
        <v>2.11</v>
      </c>
      <c r="F32" s="1">
        <v>2.99</v>
      </c>
      <c r="G32" s="1">
        <v>4.4400000000000004</v>
      </c>
    </row>
    <row r="33" spans="4:7" x14ac:dyDescent="0.2">
      <c r="D33" s="17">
        <v>44054</v>
      </c>
      <c r="E33" s="1">
        <v>2.11</v>
      </c>
      <c r="F33" s="1">
        <v>2.96</v>
      </c>
      <c r="G33" s="1">
        <v>4.4400000000000004</v>
      </c>
    </row>
    <row r="34" spans="4:7" x14ac:dyDescent="0.2">
      <c r="D34" s="17">
        <v>44055</v>
      </c>
      <c r="E34" s="1">
        <v>2.11</v>
      </c>
      <c r="F34" s="1">
        <v>3</v>
      </c>
      <c r="G34" s="1">
        <v>4.4400000000000004</v>
      </c>
    </row>
    <row r="35" spans="4:7" x14ac:dyDescent="0.2">
      <c r="D35" s="17">
        <v>44056</v>
      </c>
      <c r="E35" s="1">
        <v>2.11</v>
      </c>
      <c r="F35" s="1">
        <v>3</v>
      </c>
      <c r="G35" s="1">
        <v>4.4400000000000004</v>
      </c>
    </row>
    <row r="36" spans="4:7" x14ac:dyDescent="0.2">
      <c r="D36" s="17">
        <v>44057</v>
      </c>
      <c r="E36" s="1">
        <v>2.08</v>
      </c>
      <c r="F36" s="1">
        <v>3</v>
      </c>
      <c r="G36" s="1">
        <v>4.4400000000000004</v>
      </c>
    </row>
    <row r="37" spans="4:7" x14ac:dyDescent="0.2">
      <c r="D37" s="17">
        <v>44060</v>
      </c>
      <c r="E37" s="1">
        <v>2.08</v>
      </c>
      <c r="F37" s="1">
        <v>3</v>
      </c>
      <c r="G37" s="1">
        <v>4.4400000000000004</v>
      </c>
    </row>
    <row r="38" spans="4:7" x14ac:dyDescent="0.2">
      <c r="D38" s="17">
        <v>44061</v>
      </c>
      <c r="E38" s="1">
        <v>2.08</v>
      </c>
      <c r="F38" s="1">
        <v>3</v>
      </c>
      <c r="G38" s="1">
        <v>4.4400000000000004</v>
      </c>
    </row>
    <row r="39" spans="4:7" x14ac:dyDescent="0.2">
      <c r="D39" s="17">
        <v>44062</v>
      </c>
      <c r="E39" s="1">
        <v>2.08</v>
      </c>
      <c r="F39" s="1">
        <v>3</v>
      </c>
      <c r="G39" s="1">
        <v>4.4400000000000004</v>
      </c>
    </row>
    <row r="40" spans="4:7" x14ac:dyDescent="0.2">
      <c r="D40" s="17">
        <v>44063</v>
      </c>
      <c r="E40" s="1">
        <v>2.08</v>
      </c>
      <c r="F40" s="1">
        <v>3</v>
      </c>
      <c r="G40" s="1">
        <v>4.4400000000000004</v>
      </c>
    </row>
    <row r="41" spans="4:7" x14ac:dyDescent="0.2">
      <c r="D41" s="17">
        <v>44064</v>
      </c>
      <c r="E41" s="1">
        <v>2.4300000000000002</v>
      </c>
      <c r="F41" s="1">
        <v>3.02</v>
      </c>
      <c r="G41" s="1">
        <v>4.4400000000000004</v>
      </c>
    </row>
    <row r="42" spans="4:7" x14ac:dyDescent="0.2">
      <c r="D42" s="17">
        <v>44067</v>
      </c>
      <c r="E42" s="1">
        <v>2.4300000000000002</v>
      </c>
      <c r="F42" s="1">
        <v>3</v>
      </c>
      <c r="G42" s="1">
        <v>4.4400000000000004</v>
      </c>
    </row>
    <row r="43" spans="4:7" x14ac:dyDescent="0.2">
      <c r="D43" s="17">
        <v>44068</v>
      </c>
      <c r="E43" s="1">
        <v>2.4300000000000002</v>
      </c>
      <c r="F43" s="1">
        <v>3</v>
      </c>
      <c r="G43" s="1">
        <v>4.4400000000000004</v>
      </c>
    </row>
    <row r="44" spans="4:7" x14ac:dyDescent="0.2">
      <c r="D44" s="17">
        <v>44069</v>
      </c>
      <c r="E44" s="1">
        <v>2.4300000000000002</v>
      </c>
      <c r="F44" s="1">
        <v>3</v>
      </c>
      <c r="G44" s="1">
        <v>4.4400000000000004</v>
      </c>
    </row>
    <row r="45" spans="4:7" x14ac:dyDescent="0.2">
      <c r="D45" s="17">
        <v>44070</v>
      </c>
      <c r="E45" s="1">
        <v>2.4300000000000002</v>
      </c>
      <c r="F45" s="1">
        <v>3</v>
      </c>
      <c r="G45" s="1">
        <v>4.4400000000000004</v>
      </c>
    </row>
    <row r="46" spans="4:7" x14ac:dyDescent="0.2">
      <c r="D46" s="17">
        <v>44071</v>
      </c>
      <c r="E46" s="1">
        <v>2.2599999999999998</v>
      </c>
      <c r="F46" s="1">
        <v>3</v>
      </c>
      <c r="G46" s="1">
        <v>4.4400000000000004</v>
      </c>
    </row>
    <row r="47" spans="4:7" x14ac:dyDescent="0.2">
      <c r="D47" s="17">
        <v>44074</v>
      </c>
      <c r="E47" s="1">
        <v>2.2599999999999998</v>
      </c>
      <c r="F47" s="1">
        <v>3</v>
      </c>
      <c r="G47" s="1">
        <v>4.58</v>
      </c>
    </row>
    <row r="48" spans="4:7" x14ac:dyDescent="0.2">
      <c r="D48" s="17">
        <v>44075</v>
      </c>
      <c r="E48" s="1">
        <v>2.02</v>
      </c>
      <c r="F48" s="1">
        <v>3.01</v>
      </c>
      <c r="G48" s="1">
        <v>4.58</v>
      </c>
    </row>
    <row r="49" spans="4:7" x14ac:dyDescent="0.2">
      <c r="D49" s="17">
        <v>44076</v>
      </c>
      <c r="E49" s="1">
        <v>2.02</v>
      </c>
      <c r="F49" s="1">
        <v>3.02</v>
      </c>
      <c r="G49" s="1">
        <v>4.58</v>
      </c>
    </row>
    <row r="50" spans="4:7" x14ac:dyDescent="0.2">
      <c r="D50" s="17">
        <v>44077</v>
      </c>
      <c r="E50" s="1">
        <v>2.02</v>
      </c>
      <c r="F50" s="1">
        <v>3.01</v>
      </c>
      <c r="G50" s="1">
        <v>4.58</v>
      </c>
    </row>
    <row r="51" spans="4:7" x14ac:dyDescent="0.2">
      <c r="D51" s="17">
        <v>44078</v>
      </c>
      <c r="E51" s="1">
        <v>2.02</v>
      </c>
      <c r="F51" s="1">
        <v>2.99</v>
      </c>
      <c r="G51" s="1">
        <v>4.58</v>
      </c>
    </row>
    <row r="52" spans="4:7" x14ac:dyDescent="0.2">
      <c r="D52" s="17">
        <v>44082</v>
      </c>
      <c r="E52" s="1">
        <v>2.02</v>
      </c>
      <c r="F52" s="1">
        <v>3</v>
      </c>
      <c r="G52" s="1">
        <v>3.96</v>
      </c>
    </row>
    <row r="53" spans="4:7" x14ac:dyDescent="0.2">
      <c r="D53" s="17">
        <v>44083</v>
      </c>
      <c r="E53" s="1">
        <v>2.2599999999999998</v>
      </c>
      <c r="F53" s="1">
        <v>3</v>
      </c>
      <c r="G53" s="1">
        <v>4.4400000000000004</v>
      </c>
    </row>
    <row r="54" spans="4:7" x14ac:dyDescent="0.2">
      <c r="D54" s="17">
        <v>44084</v>
      </c>
      <c r="E54" s="1">
        <v>2.2599999999999998</v>
      </c>
      <c r="F54" s="1">
        <v>3</v>
      </c>
      <c r="G54" s="1">
        <v>4.4400000000000004</v>
      </c>
    </row>
    <row r="55" spans="4:7" x14ac:dyDescent="0.2">
      <c r="D55" s="17">
        <v>44085</v>
      </c>
      <c r="E55" s="1">
        <v>2.2599999999999998</v>
      </c>
      <c r="F55" s="1">
        <v>3</v>
      </c>
      <c r="G55" s="1">
        <v>4.4400000000000004</v>
      </c>
    </row>
    <row r="56" spans="4:7" x14ac:dyDescent="0.2">
      <c r="D56" s="17">
        <v>44088</v>
      </c>
      <c r="E56" s="1">
        <v>2.2999999999999998</v>
      </c>
      <c r="F56" s="1">
        <v>3.01</v>
      </c>
      <c r="G56" s="1">
        <v>4.4400000000000004</v>
      </c>
    </row>
    <row r="57" spans="4:7" x14ac:dyDescent="0.2">
      <c r="D57" s="17">
        <v>44089</v>
      </c>
      <c r="E57" s="1">
        <v>2.2999999999999998</v>
      </c>
      <c r="F57" s="1">
        <v>3.01</v>
      </c>
      <c r="G57" s="1">
        <v>4.4400000000000004</v>
      </c>
    </row>
    <row r="58" spans="4:7" x14ac:dyDescent="0.2">
      <c r="D58" s="17">
        <v>44090</v>
      </c>
      <c r="E58" s="1">
        <v>2.2999999999999998</v>
      </c>
      <c r="F58" s="1">
        <v>3.01</v>
      </c>
      <c r="G58" s="1">
        <v>4.4400000000000004</v>
      </c>
    </row>
    <row r="59" spans="4:7" x14ac:dyDescent="0.2">
      <c r="D59" s="17">
        <v>44091</v>
      </c>
      <c r="E59" s="1">
        <v>2.2999999999999998</v>
      </c>
      <c r="F59" s="1">
        <v>3.01</v>
      </c>
      <c r="G59" s="1">
        <v>4.4400000000000004</v>
      </c>
    </row>
    <row r="60" spans="4:7" x14ac:dyDescent="0.2">
      <c r="D60" s="17">
        <v>44092</v>
      </c>
      <c r="E60" s="1">
        <v>2.2599999999999998</v>
      </c>
      <c r="F60" s="1">
        <v>3</v>
      </c>
      <c r="G60" s="1">
        <v>4.58</v>
      </c>
    </row>
    <row r="61" spans="4:7" x14ac:dyDescent="0.2">
      <c r="D61" s="17">
        <v>44095</v>
      </c>
      <c r="E61" s="1">
        <v>2.2599999999999998</v>
      </c>
      <c r="F61" s="1">
        <v>3</v>
      </c>
      <c r="G61" s="1">
        <v>4.58</v>
      </c>
    </row>
    <row r="62" spans="4:7" x14ac:dyDescent="0.2">
      <c r="D62" s="17">
        <v>44096</v>
      </c>
      <c r="E62" s="1">
        <v>2.2599999999999998</v>
      </c>
      <c r="F62" s="1">
        <v>3</v>
      </c>
      <c r="G62" s="1">
        <v>4.58</v>
      </c>
    </row>
    <row r="63" spans="4:7" x14ac:dyDescent="0.2">
      <c r="D63" s="17">
        <v>44097</v>
      </c>
      <c r="E63" s="1">
        <v>2.2400000000000002</v>
      </c>
      <c r="F63" s="1">
        <v>3.01</v>
      </c>
      <c r="G63" s="1">
        <v>4.58</v>
      </c>
    </row>
    <row r="64" spans="4:7" x14ac:dyDescent="0.2">
      <c r="D64" s="17">
        <v>44098</v>
      </c>
      <c r="E64" s="1">
        <v>2.2400000000000002</v>
      </c>
      <c r="F64" s="1">
        <v>3.01</v>
      </c>
      <c r="G64" s="1">
        <v>4.58</v>
      </c>
    </row>
    <row r="65" spans="4:7" x14ac:dyDescent="0.2">
      <c r="D65" s="17">
        <v>44099</v>
      </c>
      <c r="E65" s="1">
        <v>2.2400000000000002</v>
      </c>
      <c r="F65" s="1">
        <v>3</v>
      </c>
      <c r="G65" s="1">
        <v>4.4400000000000004</v>
      </c>
    </row>
    <row r="66" spans="4:7" x14ac:dyDescent="0.2">
      <c r="D66" s="17">
        <v>44102</v>
      </c>
      <c r="E66" s="1">
        <v>2.2400000000000002</v>
      </c>
      <c r="F66" s="1">
        <v>3</v>
      </c>
      <c r="G66" s="1">
        <v>4.4400000000000004</v>
      </c>
    </row>
    <row r="67" spans="4:7" x14ac:dyDescent="0.2">
      <c r="D67" s="17">
        <v>44103</v>
      </c>
      <c r="E67" s="1">
        <v>2.2400000000000002</v>
      </c>
      <c r="F67" s="1">
        <v>3</v>
      </c>
      <c r="G67" s="1">
        <v>4.4400000000000004</v>
      </c>
    </row>
    <row r="68" spans="4:7" x14ac:dyDescent="0.2">
      <c r="D68" s="17">
        <v>44104</v>
      </c>
      <c r="E68" s="1">
        <v>2.2400000000000002</v>
      </c>
      <c r="F68" s="1">
        <v>3</v>
      </c>
      <c r="G68" s="1">
        <v>3.97</v>
      </c>
    </row>
    <row r="69" spans="4:7" x14ac:dyDescent="0.2">
      <c r="D69" s="17">
        <v>44105</v>
      </c>
      <c r="E69" s="1">
        <v>2.2400000000000002</v>
      </c>
      <c r="F69" s="1">
        <v>3.01</v>
      </c>
      <c r="G69" s="1">
        <v>3.97</v>
      </c>
    </row>
    <row r="70" spans="4:7" x14ac:dyDescent="0.2">
      <c r="D70" s="17">
        <v>44106</v>
      </c>
      <c r="E70" s="1">
        <v>2.2799999999999998</v>
      </c>
      <c r="F70" s="1">
        <v>3.02</v>
      </c>
      <c r="G70" s="1">
        <v>3.75</v>
      </c>
    </row>
    <row r="71" spans="4:7" x14ac:dyDescent="0.2">
      <c r="D71" s="17">
        <v>44109</v>
      </c>
      <c r="E71" s="1">
        <v>2.2799999999999998</v>
      </c>
      <c r="F71" s="1">
        <v>3.03</v>
      </c>
      <c r="G71" s="1">
        <v>3.75</v>
      </c>
    </row>
    <row r="72" spans="4:7" x14ac:dyDescent="0.2">
      <c r="D72" s="17">
        <v>44110</v>
      </c>
      <c r="E72" s="1">
        <v>2.2799999999999998</v>
      </c>
      <c r="F72" s="1">
        <v>3.02</v>
      </c>
      <c r="G72" s="1">
        <v>3.75</v>
      </c>
    </row>
    <row r="73" spans="4:7" x14ac:dyDescent="0.2">
      <c r="D73" s="17">
        <v>44111</v>
      </c>
      <c r="E73" s="1">
        <v>2.2799999999999998</v>
      </c>
      <c r="F73" s="1">
        <v>3.01</v>
      </c>
      <c r="G73" s="1">
        <v>3.75</v>
      </c>
    </row>
    <row r="74" spans="4:7" x14ac:dyDescent="0.2">
      <c r="D74" s="17">
        <v>44112</v>
      </c>
      <c r="E74" s="1">
        <v>2.2799999999999998</v>
      </c>
      <c r="F74" s="1">
        <v>3.01</v>
      </c>
      <c r="G74" s="1">
        <v>3.75</v>
      </c>
    </row>
    <row r="75" spans="4:7" x14ac:dyDescent="0.2">
      <c r="D75" s="17">
        <v>44113</v>
      </c>
      <c r="E75" s="1">
        <v>2.2200000000000002</v>
      </c>
      <c r="F75" s="1">
        <v>3.08</v>
      </c>
      <c r="G75" s="1">
        <v>4.1500000000000004</v>
      </c>
    </row>
    <row r="76" spans="4:7" x14ac:dyDescent="0.2">
      <c r="D76" s="17">
        <v>44117</v>
      </c>
      <c r="E76" s="1">
        <v>2.2200000000000002</v>
      </c>
      <c r="F76" s="1">
        <v>3.1</v>
      </c>
      <c r="G76" s="1">
        <v>4.1500000000000004</v>
      </c>
    </row>
    <row r="77" spans="4:7" x14ac:dyDescent="0.2">
      <c r="D77" s="17">
        <v>44118</v>
      </c>
      <c r="E77" s="1">
        <v>2.2200000000000002</v>
      </c>
      <c r="F77" s="1">
        <v>3.11</v>
      </c>
      <c r="G77" s="1">
        <v>4.1500000000000004</v>
      </c>
    </row>
    <row r="78" spans="4:7" x14ac:dyDescent="0.2">
      <c r="D78" s="17">
        <v>44119</v>
      </c>
      <c r="E78" s="1">
        <v>2.2200000000000002</v>
      </c>
      <c r="F78" s="1">
        <v>3.11</v>
      </c>
      <c r="G78" s="1">
        <v>4.1500000000000004</v>
      </c>
    </row>
    <row r="79" spans="4:7" x14ac:dyDescent="0.2">
      <c r="D79" s="17">
        <v>44120</v>
      </c>
      <c r="E79" s="1">
        <v>2.36</v>
      </c>
      <c r="F79" s="1">
        <v>3.1</v>
      </c>
      <c r="G79" s="1">
        <v>4.58</v>
      </c>
    </row>
    <row r="80" spans="4:7" x14ac:dyDescent="0.2">
      <c r="D80" s="17">
        <v>44123</v>
      </c>
      <c r="E80" s="1">
        <v>2.36</v>
      </c>
      <c r="F80" s="1">
        <v>3.1</v>
      </c>
      <c r="G80" s="1">
        <v>4.58</v>
      </c>
    </row>
    <row r="81" spans="4:7" x14ac:dyDescent="0.2">
      <c r="D81" s="17">
        <v>44124</v>
      </c>
      <c r="E81" s="1">
        <v>2.36</v>
      </c>
      <c r="F81" s="1">
        <v>3.09</v>
      </c>
      <c r="G81" s="1">
        <v>4.58</v>
      </c>
    </row>
    <row r="82" spans="4:7" x14ac:dyDescent="0.2">
      <c r="D82" s="17">
        <v>44125</v>
      </c>
      <c r="E82" s="1">
        <v>2.36</v>
      </c>
      <c r="F82" s="1">
        <v>3.09</v>
      </c>
      <c r="G82" s="1">
        <v>4.58</v>
      </c>
    </row>
    <row r="83" spans="4:7" x14ac:dyDescent="0.2">
      <c r="D83" s="17">
        <v>44126</v>
      </c>
      <c r="E83" s="1">
        <v>2.36</v>
      </c>
      <c r="F83" s="1">
        <v>3.04</v>
      </c>
      <c r="G83" s="1">
        <v>4.58</v>
      </c>
    </row>
    <row r="84" spans="4:7" x14ac:dyDescent="0.2">
      <c r="D84" s="17">
        <v>44127</v>
      </c>
      <c r="E84" s="1">
        <v>2.2999999999999998</v>
      </c>
      <c r="F84" s="1">
        <v>3.08</v>
      </c>
      <c r="G84" s="1">
        <v>4.1399999999999997</v>
      </c>
    </row>
    <row r="85" spans="4:7" x14ac:dyDescent="0.2">
      <c r="D85" s="17">
        <v>44130</v>
      </c>
      <c r="E85" s="1">
        <v>2.2999999999999998</v>
      </c>
      <c r="F85" s="1">
        <v>3.09</v>
      </c>
      <c r="G85" s="1">
        <v>4.1399999999999997</v>
      </c>
    </row>
    <row r="86" spans="4:7" x14ac:dyDescent="0.2">
      <c r="D86" s="17">
        <v>44131</v>
      </c>
      <c r="E86" s="1">
        <v>2.2999999999999998</v>
      </c>
      <c r="F86" s="1">
        <v>3.09</v>
      </c>
      <c r="G86" s="1">
        <v>4.1399999999999997</v>
      </c>
    </row>
    <row r="87" spans="4:7" x14ac:dyDescent="0.2">
      <c r="D87" s="17">
        <v>44132</v>
      </c>
      <c r="E87" s="1">
        <v>2.2999999999999998</v>
      </c>
      <c r="F87" s="1">
        <v>3.1</v>
      </c>
      <c r="G87" s="1">
        <v>4.1399999999999997</v>
      </c>
    </row>
    <row r="88" spans="4:7" x14ac:dyDescent="0.2">
      <c r="D88" s="17">
        <v>44133</v>
      </c>
      <c r="E88" s="1">
        <v>2.2999999999999998</v>
      </c>
      <c r="F88" s="1">
        <v>3.13</v>
      </c>
      <c r="G88" s="1">
        <v>4.1399999999999997</v>
      </c>
    </row>
    <row r="89" spans="4:7" x14ac:dyDescent="0.2">
      <c r="D89" s="17">
        <v>44134</v>
      </c>
      <c r="E89" s="1">
        <v>2.67</v>
      </c>
      <c r="F89" s="1">
        <v>3.3</v>
      </c>
      <c r="G89" s="1">
        <v>4.8099999999999996</v>
      </c>
    </row>
    <row r="90" spans="4:7" x14ac:dyDescent="0.2">
      <c r="D90" s="17">
        <v>44138</v>
      </c>
      <c r="E90" s="1">
        <v>2.2999999999999998</v>
      </c>
      <c r="F90" s="1">
        <v>3.3</v>
      </c>
      <c r="G90" s="1">
        <v>4.8099999999999996</v>
      </c>
    </row>
    <row r="91" spans="4:7" x14ac:dyDescent="0.2">
      <c r="D91" s="17">
        <v>44139</v>
      </c>
      <c r="E91" s="1">
        <v>2.2999999999999998</v>
      </c>
      <c r="F91" s="1">
        <v>3.32</v>
      </c>
      <c r="G91" s="1">
        <v>4.8099999999999996</v>
      </c>
    </row>
    <row r="92" spans="4:7" x14ac:dyDescent="0.2">
      <c r="D92" s="17">
        <v>44140</v>
      </c>
      <c r="E92" s="1">
        <v>2.2999999999999998</v>
      </c>
      <c r="F92" s="1">
        <v>3.3</v>
      </c>
      <c r="G92" s="1">
        <v>4.8099999999999996</v>
      </c>
    </row>
    <row r="93" spans="4:7" x14ac:dyDescent="0.2">
      <c r="D93" s="17">
        <v>44141</v>
      </c>
      <c r="E93" s="1">
        <v>2.29</v>
      </c>
      <c r="F93" s="1">
        <v>3.27</v>
      </c>
      <c r="G93" s="1">
        <v>4.8099999999999996</v>
      </c>
    </row>
    <row r="94" spans="4:7" x14ac:dyDescent="0.2">
      <c r="D94" s="17">
        <v>44144</v>
      </c>
      <c r="E94" s="1">
        <v>2.29</v>
      </c>
      <c r="F94" s="1">
        <v>3.27</v>
      </c>
      <c r="G94" s="1">
        <v>4.2</v>
      </c>
    </row>
    <row r="95" spans="4:7" x14ac:dyDescent="0.2">
      <c r="D95" s="17">
        <v>44145</v>
      </c>
      <c r="E95" s="1">
        <v>2.29</v>
      </c>
      <c r="F95" s="1">
        <v>3.3</v>
      </c>
      <c r="G95" s="1">
        <v>4.2</v>
      </c>
    </row>
    <row r="96" spans="4:7" x14ac:dyDescent="0.2">
      <c r="D96" s="17">
        <v>44146</v>
      </c>
      <c r="E96" s="1">
        <v>2.29</v>
      </c>
      <c r="F96" s="1">
        <v>3.27</v>
      </c>
      <c r="G96" s="1">
        <v>4.2</v>
      </c>
    </row>
    <row r="97" spans="4:7" x14ac:dyDescent="0.2">
      <c r="D97" s="17">
        <v>44147</v>
      </c>
      <c r="E97" s="1">
        <v>2.29</v>
      </c>
      <c r="F97" s="1">
        <v>3.31</v>
      </c>
      <c r="G97" s="1">
        <v>4.2</v>
      </c>
    </row>
    <row r="98" spans="4:7" x14ac:dyDescent="0.2">
      <c r="D98" s="17">
        <v>44148</v>
      </c>
      <c r="E98" s="1">
        <v>2.68</v>
      </c>
      <c r="F98" s="1">
        <v>3.38</v>
      </c>
      <c r="G98" s="1">
        <v>4.26</v>
      </c>
    </row>
    <row r="99" spans="4:7" x14ac:dyDescent="0.2">
      <c r="D99" s="17">
        <v>44151</v>
      </c>
      <c r="E99" s="1">
        <v>2.68</v>
      </c>
      <c r="F99" s="1">
        <v>3.32</v>
      </c>
      <c r="G99" s="1">
        <v>4.26</v>
      </c>
    </row>
    <row r="100" spans="4:7" x14ac:dyDescent="0.2">
      <c r="D100" s="17">
        <v>44152</v>
      </c>
      <c r="E100" s="1">
        <v>2.68</v>
      </c>
      <c r="F100" s="1">
        <v>3.31</v>
      </c>
      <c r="G100" s="1">
        <v>4.26</v>
      </c>
    </row>
    <row r="101" spans="4:7" x14ac:dyDescent="0.2">
      <c r="D101" s="17">
        <v>44153</v>
      </c>
      <c r="E101" s="1">
        <v>2.54</v>
      </c>
      <c r="F101" s="1">
        <v>3.31</v>
      </c>
      <c r="G101" s="1">
        <v>4.26</v>
      </c>
    </row>
    <row r="102" spans="4:7" x14ac:dyDescent="0.2">
      <c r="D102" s="17">
        <v>44154</v>
      </c>
      <c r="E102" s="1">
        <v>2.4900000000000002</v>
      </c>
      <c r="F102" s="1">
        <v>3.31</v>
      </c>
      <c r="G102" s="1">
        <v>4.26</v>
      </c>
    </row>
    <row r="103" spans="4:7" x14ac:dyDescent="0.2">
      <c r="D103" s="17">
        <v>44155</v>
      </c>
      <c r="E103" s="1">
        <v>2.4900000000000002</v>
      </c>
      <c r="F103" s="1">
        <v>3.47</v>
      </c>
      <c r="G103" s="1">
        <v>4.12</v>
      </c>
    </row>
    <row r="104" spans="4:7" x14ac:dyDescent="0.2">
      <c r="D104" s="17">
        <v>44158</v>
      </c>
      <c r="E104" s="1">
        <v>2.4900000000000002</v>
      </c>
      <c r="F104" s="1">
        <v>3.48</v>
      </c>
      <c r="G104" s="1">
        <v>4.12</v>
      </c>
    </row>
    <row r="105" spans="4:7" x14ac:dyDescent="0.2">
      <c r="D105" s="17">
        <v>44159</v>
      </c>
      <c r="E105" s="1">
        <v>2.4900000000000002</v>
      </c>
      <c r="F105" s="1">
        <v>3.48</v>
      </c>
      <c r="G105" s="1">
        <v>4.12</v>
      </c>
    </row>
    <row r="106" spans="4:7" x14ac:dyDescent="0.2">
      <c r="D106" s="17">
        <v>44160</v>
      </c>
      <c r="E106" s="1">
        <v>2.4900000000000002</v>
      </c>
      <c r="F106" s="1">
        <v>3.5</v>
      </c>
      <c r="G106" s="1">
        <v>4.12</v>
      </c>
    </row>
    <row r="107" spans="4:7" x14ac:dyDescent="0.2">
      <c r="D107" s="17">
        <v>44161</v>
      </c>
      <c r="E107" s="1">
        <v>2.8</v>
      </c>
      <c r="F107" s="1">
        <v>3.5</v>
      </c>
      <c r="G107" s="1">
        <v>4.12</v>
      </c>
    </row>
    <row r="108" spans="4:7" x14ac:dyDescent="0.2">
      <c r="D108" s="17">
        <v>44162</v>
      </c>
      <c r="E108" s="1">
        <v>2.8</v>
      </c>
      <c r="F108" s="1">
        <v>3.56</v>
      </c>
      <c r="G108" s="1">
        <v>4.1100000000000003</v>
      </c>
    </row>
    <row r="109" spans="4:7" x14ac:dyDescent="0.2">
      <c r="D109" s="17">
        <v>44165</v>
      </c>
      <c r="E109" s="1">
        <v>2.97</v>
      </c>
      <c r="F109" s="1">
        <v>3.58</v>
      </c>
      <c r="G109" s="1">
        <v>4.1100000000000003</v>
      </c>
    </row>
    <row r="110" spans="4:7" x14ac:dyDescent="0.2">
      <c r="D110" s="17">
        <v>44166</v>
      </c>
      <c r="E110" s="1">
        <v>2.85</v>
      </c>
      <c r="F110" s="1">
        <v>3.45</v>
      </c>
      <c r="G110" s="1">
        <v>4.1100000000000003</v>
      </c>
    </row>
    <row r="111" spans="4:7" x14ac:dyDescent="0.2">
      <c r="D111" s="17">
        <v>44167</v>
      </c>
      <c r="E111" s="1">
        <v>2.6</v>
      </c>
      <c r="F111" s="1">
        <v>3.43</v>
      </c>
      <c r="G111" s="1">
        <v>4.1100000000000003</v>
      </c>
    </row>
    <row r="112" spans="4:7" x14ac:dyDescent="0.2">
      <c r="D112" s="17">
        <v>44168</v>
      </c>
      <c r="E112" s="1">
        <v>2.6</v>
      </c>
      <c r="F112" s="1">
        <v>3.42</v>
      </c>
      <c r="G112" s="1">
        <v>4.1100000000000003</v>
      </c>
    </row>
    <row r="113" spans="4:7" x14ac:dyDescent="0.2">
      <c r="D113" s="17">
        <v>44169</v>
      </c>
      <c r="E113" s="1">
        <v>2.4900000000000002</v>
      </c>
      <c r="F113" s="1">
        <v>3.33</v>
      </c>
      <c r="G113" s="1">
        <v>4.1100000000000003</v>
      </c>
    </row>
    <row r="114" spans="4:7" x14ac:dyDescent="0.2">
      <c r="D114" s="17">
        <v>44172</v>
      </c>
      <c r="E114" s="1">
        <v>2.36</v>
      </c>
      <c r="F114" s="1">
        <v>3.31</v>
      </c>
      <c r="G114" s="1">
        <v>4.1100000000000003</v>
      </c>
    </row>
    <row r="115" spans="4:7" x14ac:dyDescent="0.2">
      <c r="D115" s="17">
        <v>44173</v>
      </c>
      <c r="E115" s="1">
        <v>2.36</v>
      </c>
      <c r="F115" s="1">
        <v>3.31</v>
      </c>
      <c r="G115" s="1">
        <v>4.18</v>
      </c>
    </row>
    <row r="116" spans="4:7" x14ac:dyDescent="0.2">
      <c r="D116" s="17">
        <v>44174</v>
      </c>
      <c r="E116" s="1">
        <v>2.36</v>
      </c>
      <c r="F116" s="1">
        <v>3.3</v>
      </c>
      <c r="G116" s="1">
        <v>4.18</v>
      </c>
    </row>
    <row r="117" spans="4:7" x14ac:dyDescent="0.2">
      <c r="D117" s="17">
        <v>44175</v>
      </c>
      <c r="E117" s="1">
        <v>2.36</v>
      </c>
      <c r="F117" s="1">
        <v>3.3</v>
      </c>
      <c r="G117" s="1">
        <v>4.18</v>
      </c>
    </row>
    <row r="118" spans="4:7" x14ac:dyDescent="0.2">
      <c r="D118" s="17">
        <v>44176</v>
      </c>
      <c r="E118" s="1">
        <v>2.36</v>
      </c>
      <c r="F118" s="1">
        <v>3.34</v>
      </c>
      <c r="G118" s="1">
        <v>4.18</v>
      </c>
    </row>
    <row r="119" spans="4:7" x14ac:dyDescent="0.2">
      <c r="D119" s="17">
        <v>44179</v>
      </c>
      <c r="E119" s="1">
        <v>2.4900000000000002</v>
      </c>
      <c r="F119" s="1">
        <v>3.34</v>
      </c>
      <c r="G119" s="1">
        <v>4.18</v>
      </c>
    </row>
    <row r="120" spans="4:7" x14ac:dyDescent="0.2">
      <c r="D120" s="17">
        <v>44180</v>
      </c>
      <c r="E120" s="1">
        <v>2.4900000000000002</v>
      </c>
      <c r="F120" s="1">
        <v>3.34</v>
      </c>
      <c r="G120" s="1">
        <v>4.01</v>
      </c>
    </row>
    <row r="121" spans="4:7" x14ac:dyDescent="0.2">
      <c r="D121" s="17">
        <v>44181</v>
      </c>
      <c r="E121" s="1">
        <v>2.89</v>
      </c>
      <c r="F121" s="1">
        <v>3.35</v>
      </c>
      <c r="G121" s="1">
        <v>4.01</v>
      </c>
    </row>
    <row r="122" spans="4:7" x14ac:dyDescent="0.2">
      <c r="D122" s="17">
        <v>44182</v>
      </c>
      <c r="E122" s="1">
        <v>2.89</v>
      </c>
      <c r="F122" s="1">
        <v>3.33</v>
      </c>
      <c r="G122" s="1">
        <v>4.01</v>
      </c>
    </row>
    <row r="123" spans="4:7" x14ac:dyDescent="0.2">
      <c r="D123" s="17">
        <v>44183</v>
      </c>
      <c r="E123" s="1">
        <v>2.4300000000000002</v>
      </c>
      <c r="F123" s="1">
        <v>3.35</v>
      </c>
      <c r="G123" s="1">
        <v>4.05</v>
      </c>
    </row>
    <row r="124" spans="4:7" x14ac:dyDescent="0.2">
      <c r="D124" s="17">
        <v>44186</v>
      </c>
      <c r="E124" s="1">
        <v>2.4300000000000002</v>
      </c>
      <c r="F124" s="1">
        <v>3.34</v>
      </c>
      <c r="G124" s="1">
        <v>4.05</v>
      </c>
    </row>
    <row r="125" spans="4:7" x14ac:dyDescent="0.2">
      <c r="D125" s="17">
        <v>44187</v>
      </c>
      <c r="E125" s="1">
        <v>2.4300000000000002</v>
      </c>
      <c r="F125" s="1">
        <v>3.3</v>
      </c>
      <c r="G125" s="1">
        <v>4.05</v>
      </c>
    </row>
    <row r="126" spans="4:7" x14ac:dyDescent="0.2">
      <c r="D126" s="17">
        <v>44188</v>
      </c>
      <c r="E126" s="1">
        <v>2.4300000000000002</v>
      </c>
      <c r="F126" s="1">
        <v>3.3</v>
      </c>
      <c r="G126" s="1">
        <v>4.18</v>
      </c>
    </row>
    <row r="127" spans="4:7" x14ac:dyDescent="0.2">
      <c r="D127" s="17">
        <v>44189</v>
      </c>
      <c r="E127" s="1">
        <v>2.4300000000000002</v>
      </c>
      <c r="F127" s="1">
        <v>3.34</v>
      </c>
      <c r="G127" s="1">
        <v>4.18</v>
      </c>
    </row>
    <row r="128" spans="4:7" x14ac:dyDescent="0.2">
      <c r="D128" s="17">
        <v>44193</v>
      </c>
      <c r="E128" s="1">
        <v>2.5</v>
      </c>
      <c r="F128" s="1">
        <v>3.28</v>
      </c>
      <c r="G128" s="1">
        <v>4.18</v>
      </c>
    </row>
    <row r="129" spans="4:7" x14ac:dyDescent="0.2">
      <c r="D129" s="17">
        <v>44194</v>
      </c>
      <c r="E129" s="1">
        <v>2.5</v>
      </c>
      <c r="F129" s="1">
        <v>3.3</v>
      </c>
      <c r="G129" s="1">
        <v>4.18</v>
      </c>
    </row>
    <row r="130" spans="4:7" x14ac:dyDescent="0.2">
      <c r="D130" s="17">
        <v>44195</v>
      </c>
      <c r="E130" s="1">
        <v>2.5</v>
      </c>
      <c r="F130" s="1">
        <v>3.34</v>
      </c>
      <c r="G130" s="1">
        <v>4.18</v>
      </c>
    </row>
    <row r="131" spans="4:7" x14ac:dyDescent="0.2">
      <c r="D131" s="17">
        <v>44196</v>
      </c>
      <c r="E131" s="1">
        <v>2.5</v>
      </c>
      <c r="F131" s="1">
        <v>3.34</v>
      </c>
      <c r="G131" s="1">
        <v>4.18</v>
      </c>
    </row>
    <row r="132" spans="4:7" x14ac:dyDescent="0.2">
      <c r="D132" s="17">
        <v>44200</v>
      </c>
      <c r="E132" s="1">
        <v>2.5</v>
      </c>
      <c r="F132" s="1">
        <v>3.32</v>
      </c>
      <c r="G132" s="1">
        <v>4.18</v>
      </c>
    </row>
    <row r="133" spans="4:7" x14ac:dyDescent="0.2">
      <c r="D133" s="17">
        <v>44201</v>
      </c>
      <c r="E133" s="1">
        <v>2.5299999999999998</v>
      </c>
      <c r="F133" s="1">
        <v>3.3</v>
      </c>
      <c r="G133" s="1">
        <v>4.18</v>
      </c>
    </row>
    <row r="134" spans="4:7" x14ac:dyDescent="0.2">
      <c r="D134" s="17">
        <v>44202</v>
      </c>
      <c r="E134" s="1">
        <v>2.5299999999999998</v>
      </c>
      <c r="F134" s="1">
        <v>3.29</v>
      </c>
      <c r="G134" s="1">
        <v>4.18</v>
      </c>
    </row>
    <row r="135" spans="4:7" x14ac:dyDescent="0.2">
      <c r="D135" s="17">
        <v>44203</v>
      </c>
      <c r="E135" s="1">
        <v>2.5299999999999998</v>
      </c>
      <c r="F135" s="1">
        <v>3.28</v>
      </c>
      <c r="G135" s="1">
        <v>4.18</v>
      </c>
    </row>
    <row r="136" spans="4:7" x14ac:dyDescent="0.2">
      <c r="D136" s="17">
        <v>44204</v>
      </c>
      <c r="E136" s="1">
        <v>2.48</v>
      </c>
      <c r="F136" s="1">
        <v>3.35</v>
      </c>
      <c r="G136" s="1">
        <v>4.18</v>
      </c>
    </row>
    <row r="137" spans="4:7" x14ac:dyDescent="0.2">
      <c r="D137" s="17">
        <v>44207</v>
      </c>
      <c r="E137" s="1">
        <v>2.48</v>
      </c>
      <c r="F137" s="1">
        <v>3.4</v>
      </c>
      <c r="G137" s="1">
        <v>4.18</v>
      </c>
    </row>
    <row r="138" spans="4:7" x14ac:dyDescent="0.2">
      <c r="D138" s="17">
        <v>44208</v>
      </c>
      <c r="E138" s="1">
        <v>2.48</v>
      </c>
      <c r="F138" s="1">
        <v>3.4</v>
      </c>
      <c r="G138" s="1">
        <v>4.13</v>
      </c>
    </row>
    <row r="139" spans="4:7" x14ac:dyDescent="0.2">
      <c r="D139" s="17">
        <v>44209</v>
      </c>
      <c r="E139" s="1">
        <v>2.48</v>
      </c>
      <c r="F139" s="1">
        <v>3.44</v>
      </c>
      <c r="G139" s="1">
        <v>4.24</v>
      </c>
    </row>
    <row r="140" spans="4:7" x14ac:dyDescent="0.2">
      <c r="D140" s="17">
        <v>44210</v>
      </c>
      <c r="E140" s="1">
        <v>2.48</v>
      </c>
      <c r="F140" s="1">
        <v>3.49</v>
      </c>
      <c r="G140" s="1">
        <v>4.24</v>
      </c>
    </row>
    <row r="141" spans="4:7" x14ac:dyDescent="0.2">
      <c r="D141" s="17">
        <v>44211</v>
      </c>
      <c r="E141" s="1">
        <v>2.89</v>
      </c>
      <c r="F141" s="1">
        <v>3.47</v>
      </c>
      <c r="G141" s="1">
        <v>4.26</v>
      </c>
    </row>
    <row r="142" spans="4:7" x14ac:dyDescent="0.2">
      <c r="D142" s="17">
        <v>44214</v>
      </c>
      <c r="E142" s="1">
        <v>2.4900000000000002</v>
      </c>
      <c r="F142" s="1">
        <v>3.49</v>
      </c>
      <c r="G142" s="1">
        <v>4.26</v>
      </c>
    </row>
    <row r="143" spans="4:7" x14ac:dyDescent="0.2">
      <c r="D143" s="17">
        <v>44215</v>
      </c>
      <c r="E143" s="1">
        <v>2.4900000000000002</v>
      </c>
      <c r="F143" s="1">
        <v>3.46</v>
      </c>
      <c r="G143" s="1">
        <v>4.26</v>
      </c>
    </row>
    <row r="144" spans="4:7" x14ac:dyDescent="0.2">
      <c r="D144" s="17">
        <v>44216</v>
      </c>
      <c r="E144" s="1">
        <v>2.4900000000000002</v>
      </c>
      <c r="F144" s="1">
        <v>3.45</v>
      </c>
      <c r="G144" s="1">
        <v>4.26</v>
      </c>
    </row>
    <row r="145" spans="4:7" x14ac:dyDescent="0.2">
      <c r="D145" s="17">
        <v>44217</v>
      </c>
      <c r="E145" s="1">
        <v>2.5</v>
      </c>
      <c r="F145" s="1">
        <v>3.43</v>
      </c>
      <c r="G145" s="1">
        <v>4.26</v>
      </c>
    </row>
    <row r="146" spans="4:7" x14ac:dyDescent="0.2">
      <c r="D146" s="17">
        <v>44218</v>
      </c>
      <c r="E146" s="1">
        <v>2.5</v>
      </c>
      <c r="F146" s="1">
        <v>3.6</v>
      </c>
      <c r="G146" s="1">
        <v>4.24</v>
      </c>
    </row>
    <row r="147" spans="4:7" x14ac:dyDescent="0.2">
      <c r="D147" s="17">
        <v>44221</v>
      </c>
      <c r="E147" s="1">
        <v>2.5</v>
      </c>
      <c r="F147" s="1">
        <v>3.61</v>
      </c>
      <c r="G147" s="1">
        <v>4.24</v>
      </c>
    </row>
    <row r="148" spans="4:7" x14ac:dyDescent="0.2">
      <c r="D148" s="17">
        <v>44222</v>
      </c>
      <c r="E148" s="1">
        <v>2.5</v>
      </c>
      <c r="F148" s="1">
        <v>3.66</v>
      </c>
      <c r="G148" s="1">
        <v>4.24</v>
      </c>
    </row>
    <row r="149" spans="4:7" x14ac:dyDescent="0.2">
      <c r="D149" s="17">
        <v>44223</v>
      </c>
      <c r="E149" s="1">
        <v>2.5</v>
      </c>
      <c r="F149" s="1">
        <v>3.64</v>
      </c>
      <c r="G149" s="1">
        <v>4.24</v>
      </c>
    </row>
    <row r="150" spans="4:7" x14ac:dyDescent="0.2">
      <c r="D150" s="17">
        <v>44224</v>
      </c>
      <c r="E150" s="1">
        <v>3.04</v>
      </c>
      <c r="F150" s="1">
        <v>3.64</v>
      </c>
      <c r="G150" s="1">
        <v>4.24</v>
      </c>
    </row>
    <row r="151" spans="4:7" x14ac:dyDescent="0.2">
      <c r="D151" s="17">
        <v>44225</v>
      </c>
      <c r="E151" s="1">
        <v>3.04</v>
      </c>
      <c r="F151" s="1">
        <v>3.6</v>
      </c>
      <c r="G151" s="1">
        <v>4.1900000000000004</v>
      </c>
    </row>
    <row r="152" spans="4:7" x14ac:dyDescent="0.2">
      <c r="D152" s="17">
        <v>44228</v>
      </c>
      <c r="E152" s="1">
        <v>3.04</v>
      </c>
      <c r="F152" s="1">
        <v>3.62</v>
      </c>
      <c r="G152" s="1">
        <v>4.22</v>
      </c>
    </row>
    <row r="153" spans="4:7" x14ac:dyDescent="0.2">
      <c r="D153" s="17">
        <v>44229</v>
      </c>
      <c r="E153" s="1">
        <v>3.04</v>
      </c>
      <c r="F153" s="1">
        <v>3.64</v>
      </c>
      <c r="G153" s="1">
        <v>4.22</v>
      </c>
    </row>
    <row r="154" spans="4:7" x14ac:dyDescent="0.2">
      <c r="D154" s="17">
        <v>44230</v>
      </c>
      <c r="E154" s="1">
        <v>2.93</v>
      </c>
      <c r="F154" s="1">
        <v>3.64</v>
      </c>
      <c r="G154" s="1">
        <v>4.22</v>
      </c>
    </row>
    <row r="155" spans="4:7" x14ac:dyDescent="0.2">
      <c r="D155" s="17">
        <v>44231</v>
      </c>
      <c r="E155" s="1">
        <v>2.93</v>
      </c>
      <c r="F155" s="1">
        <v>3.64</v>
      </c>
      <c r="G155" s="1">
        <v>4.22</v>
      </c>
    </row>
    <row r="156" spans="4:7" x14ac:dyDescent="0.2">
      <c r="D156" s="17">
        <v>44232</v>
      </c>
      <c r="E156" s="1">
        <v>2.93</v>
      </c>
      <c r="F156" s="1">
        <v>3.66</v>
      </c>
      <c r="G156" s="1">
        <v>4.25</v>
      </c>
    </row>
    <row r="157" spans="4:7" x14ac:dyDescent="0.2">
      <c r="D157" s="17">
        <v>44235</v>
      </c>
      <c r="E157" s="1">
        <v>2.93</v>
      </c>
      <c r="F157" s="1">
        <v>3.63</v>
      </c>
      <c r="G157" s="1">
        <v>4.25</v>
      </c>
    </row>
    <row r="158" spans="4:7" x14ac:dyDescent="0.2">
      <c r="D158" s="17">
        <v>44236</v>
      </c>
      <c r="E158" s="1">
        <v>2.85</v>
      </c>
      <c r="F158" s="1">
        <v>3.61</v>
      </c>
      <c r="G158" s="1">
        <v>4.18</v>
      </c>
    </row>
    <row r="159" spans="4:7" x14ac:dyDescent="0.2">
      <c r="D159" s="17">
        <v>44237</v>
      </c>
      <c r="E159" s="1">
        <v>2.96</v>
      </c>
      <c r="F159" s="1">
        <v>3.65</v>
      </c>
      <c r="G159" s="1">
        <v>4.2699999999999996</v>
      </c>
    </row>
    <row r="160" spans="4:7" x14ac:dyDescent="0.2">
      <c r="D160" s="17">
        <v>44238</v>
      </c>
      <c r="E160" s="1">
        <v>2.96</v>
      </c>
      <c r="F160" s="1">
        <v>3.65</v>
      </c>
      <c r="G160" s="1">
        <v>4.2699999999999996</v>
      </c>
    </row>
    <row r="161" spans="4:7" x14ac:dyDescent="0.2">
      <c r="D161" s="17">
        <v>44239</v>
      </c>
      <c r="E161" s="1">
        <v>2.46</v>
      </c>
      <c r="F161" s="1">
        <v>3.72</v>
      </c>
      <c r="G161" s="1">
        <v>4.3</v>
      </c>
    </row>
    <row r="162" spans="4:7" x14ac:dyDescent="0.2">
      <c r="D162" s="17">
        <v>44244</v>
      </c>
      <c r="E162" s="1">
        <v>2.46</v>
      </c>
      <c r="F162" s="1">
        <v>3.8</v>
      </c>
      <c r="G162" s="1">
        <v>4.37</v>
      </c>
    </row>
    <row r="163" spans="4:7" x14ac:dyDescent="0.2">
      <c r="D163" s="17">
        <v>44245</v>
      </c>
      <c r="E163" s="1">
        <v>2.46</v>
      </c>
      <c r="F163" s="1">
        <v>3.79</v>
      </c>
      <c r="G163" s="1">
        <v>4.47</v>
      </c>
    </row>
    <row r="164" spans="4:7" x14ac:dyDescent="0.2">
      <c r="D164" s="17">
        <v>44246</v>
      </c>
      <c r="E164" s="1">
        <v>2.46</v>
      </c>
      <c r="F164" s="1">
        <v>3.85</v>
      </c>
      <c r="G164" s="1">
        <v>4.6100000000000003</v>
      </c>
    </row>
    <row r="165" spans="4:7" x14ac:dyDescent="0.2">
      <c r="D165" s="17">
        <v>44249</v>
      </c>
      <c r="E165" s="1">
        <v>2.46</v>
      </c>
      <c r="F165" s="1">
        <v>3.89</v>
      </c>
      <c r="G165" s="1">
        <v>4.6100000000000003</v>
      </c>
    </row>
    <row r="166" spans="4:7" x14ac:dyDescent="0.2">
      <c r="D166" s="17">
        <v>44250</v>
      </c>
      <c r="E166" s="1">
        <v>2.86</v>
      </c>
      <c r="F166" s="1">
        <v>3.89</v>
      </c>
      <c r="G166" s="1">
        <v>4.6100000000000003</v>
      </c>
    </row>
    <row r="167" spans="4:7" x14ac:dyDescent="0.2">
      <c r="D167" s="17">
        <v>44251</v>
      </c>
      <c r="E167" s="1">
        <v>2.86</v>
      </c>
      <c r="F167" s="1">
        <v>3.89</v>
      </c>
      <c r="G167" s="1">
        <v>4.6100000000000003</v>
      </c>
    </row>
    <row r="168" spans="4:7" x14ac:dyDescent="0.2">
      <c r="D168" s="17">
        <v>44252</v>
      </c>
      <c r="E168" s="1">
        <v>2.86</v>
      </c>
      <c r="F168" s="1">
        <v>3.9</v>
      </c>
      <c r="G168" s="1">
        <v>4.6100000000000003</v>
      </c>
    </row>
    <row r="169" spans="4:7" x14ac:dyDescent="0.2">
      <c r="D169" s="17">
        <v>44253</v>
      </c>
      <c r="E169" s="1">
        <v>3.33</v>
      </c>
      <c r="F169" s="1">
        <v>3.99</v>
      </c>
      <c r="G169" s="1">
        <v>4.6100000000000003</v>
      </c>
    </row>
    <row r="170" spans="4:7" x14ac:dyDescent="0.2">
      <c r="D170" s="17">
        <v>44256</v>
      </c>
      <c r="E170" s="1">
        <v>3.33</v>
      </c>
      <c r="F170" s="1">
        <v>3.97</v>
      </c>
      <c r="G170" s="1">
        <v>4.6100000000000003</v>
      </c>
    </row>
    <row r="171" spans="4:7" x14ac:dyDescent="0.2">
      <c r="D171" s="17">
        <v>44257</v>
      </c>
      <c r="E171" s="1">
        <v>3.33</v>
      </c>
      <c r="F171" s="1">
        <v>4.01</v>
      </c>
      <c r="G171" s="1">
        <v>4.6100000000000003</v>
      </c>
    </row>
    <row r="172" spans="4:7" x14ac:dyDescent="0.2">
      <c r="D172" s="17">
        <v>44258</v>
      </c>
      <c r="E172" s="1">
        <v>3.33</v>
      </c>
      <c r="F172" s="1">
        <v>4.0199999999999996</v>
      </c>
      <c r="G172" s="1">
        <v>4.6900000000000004</v>
      </c>
    </row>
    <row r="173" spans="4:7" x14ac:dyDescent="0.2">
      <c r="D173" s="17">
        <v>44259</v>
      </c>
      <c r="E173" s="1">
        <v>3.33</v>
      </c>
      <c r="F173" s="1">
        <v>4.0199999999999996</v>
      </c>
      <c r="G173" s="1">
        <v>4.6900000000000004</v>
      </c>
    </row>
    <row r="174" spans="4:7" x14ac:dyDescent="0.2">
      <c r="D174" s="17">
        <v>44260</v>
      </c>
      <c r="E174" s="1">
        <v>3.39</v>
      </c>
      <c r="F174" s="1">
        <v>4.0999999999999996</v>
      </c>
      <c r="G174" s="1">
        <v>4.74</v>
      </c>
    </row>
    <row r="175" spans="4:7" x14ac:dyDescent="0.2">
      <c r="D175" s="17">
        <v>44263</v>
      </c>
      <c r="E175" s="1">
        <v>3.39</v>
      </c>
      <c r="F175" s="1">
        <v>4.29</v>
      </c>
      <c r="G175" s="1">
        <v>5.0999999999999996</v>
      </c>
    </row>
    <row r="176" spans="4:7" x14ac:dyDescent="0.2">
      <c r="D176" s="17">
        <v>44264</v>
      </c>
      <c r="E176" s="1">
        <v>3.39</v>
      </c>
      <c r="F176" s="1">
        <v>4.3</v>
      </c>
      <c r="G176" s="1">
        <v>5.0999999999999996</v>
      </c>
    </row>
    <row r="177" spans="4:7" x14ac:dyDescent="0.2">
      <c r="D177" s="17">
        <v>44265</v>
      </c>
      <c r="E177" s="1">
        <v>3.39</v>
      </c>
      <c r="F177" s="1">
        <v>4.3499999999999996</v>
      </c>
      <c r="G177" s="1">
        <v>5.0999999999999996</v>
      </c>
    </row>
    <row r="178" spans="4:7" x14ac:dyDescent="0.2">
      <c r="D178" s="17">
        <v>44266</v>
      </c>
      <c r="E178" s="1">
        <v>3.8</v>
      </c>
      <c r="F178" s="1">
        <v>4.6500000000000004</v>
      </c>
      <c r="G178" s="1">
        <v>5.45</v>
      </c>
    </row>
    <row r="179" spans="4:7" x14ac:dyDescent="0.2">
      <c r="D179" s="17">
        <v>44267</v>
      </c>
      <c r="E179" s="1">
        <v>3.43</v>
      </c>
      <c r="F179" s="1">
        <v>4.72</v>
      </c>
      <c r="G179" s="1">
        <v>5.54</v>
      </c>
    </row>
    <row r="180" spans="4:7" x14ac:dyDescent="0.2">
      <c r="D180" s="17">
        <v>44270</v>
      </c>
      <c r="E180" s="1">
        <v>3.43</v>
      </c>
      <c r="F180" s="1">
        <v>4.72</v>
      </c>
      <c r="G180" s="1">
        <v>5.54</v>
      </c>
    </row>
    <row r="181" spans="4:7" x14ac:dyDescent="0.2">
      <c r="D181" s="17">
        <v>44271</v>
      </c>
      <c r="E181" s="1">
        <v>3.43</v>
      </c>
      <c r="F181" s="1">
        <v>4.72</v>
      </c>
      <c r="G181" s="1">
        <v>5.54</v>
      </c>
    </row>
    <row r="182" spans="4:7" x14ac:dyDescent="0.2">
      <c r="D182" s="17">
        <v>44272</v>
      </c>
      <c r="E182" s="1">
        <v>3.43</v>
      </c>
      <c r="F182" s="1">
        <v>4.72</v>
      </c>
      <c r="G182" s="1">
        <v>5.54</v>
      </c>
    </row>
    <row r="183" spans="4:7" x14ac:dyDescent="0.2">
      <c r="D183" s="17">
        <v>44273</v>
      </c>
      <c r="E183" s="1">
        <v>3.43</v>
      </c>
      <c r="F183" s="1">
        <v>4.72</v>
      </c>
      <c r="G183" s="1">
        <v>5.74</v>
      </c>
    </row>
    <row r="184" spans="4:7" x14ac:dyDescent="0.2">
      <c r="D184" s="17">
        <v>44274</v>
      </c>
      <c r="E184" s="1">
        <v>3.76</v>
      </c>
      <c r="F184" s="1">
        <v>4.75</v>
      </c>
      <c r="G184" s="1">
        <v>5.74</v>
      </c>
    </row>
    <row r="185" spans="4:7" x14ac:dyDescent="0.2">
      <c r="D185" s="17">
        <v>44277</v>
      </c>
      <c r="E185" s="1">
        <v>3.76</v>
      </c>
      <c r="F185" s="1">
        <v>4.8099999999999996</v>
      </c>
      <c r="G185" s="1">
        <v>5.74</v>
      </c>
    </row>
    <row r="186" spans="4:7" x14ac:dyDescent="0.2">
      <c r="D186" s="17">
        <v>44278</v>
      </c>
      <c r="E186" s="1">
        <v>3.76</v>
      </c>
      <c r="F186" s="1">
        <v>4.8499999999999996</v>
      </c>
      <c r="G186" s="1">
        <v>5.74</v>
      </c>
    </row>
    <row r="187" spans="4:7" x14ac:dyDescent="0.2">
      <c r="D187" s="17">
        <v>44279</v>
      </c>
      <c r="E187" s="1">
        <v>3.76</v>
      </c>
      <c r="F187" s="1">
        <v>4.91</v>
      </c>
      <c r="G187" s="1">
        <v>5.74</v>
      </c>
    </row>
    <row r="188" spans="4:7" x14ac:dyDescent="0.2">
      <c r="D188" s="17">
        <v>44280</v>
      </c>
      <c r="E188" s="1">
        <v>3.76</v>
      </c>
      <c r="F188" s="1">
        <v>4.91</v>
      </c>
      <c r="G188" s="1">
        <v>5.71</v>
      </c>
    </row>
    <row r="189" spans="4:7" x14ac:dyDescent="0.2">
      <c r="D189" s="17">
        <v>44281</v>
      </c>
      <c r="E189" s="1">
        <v>4.0199999999999996</v>
      </c>
      <c r="F189" s="1">
        <v>4.9000000000000004</v>
      </c>
      <c r="G189" s="1">
        <v>5.71</v>
      </c>
    </row>
    <row r="190" spans="4:7" x14ac:dyDescent="0.2">
      <c r="D190" s="17">
        <v>44284</v>
      </c>
      <c r="E190" s="1">
        <v>4.05</v>
      </c>
      <c r="F190" s="1">
        <v>4.92</v>
      </c>
      <c r="G190" s="1">
        <v>6.26</v>
      </c>
    </row>
    <row r="191" spans="4:7" x14ac:dyDescent="0.2">
      <c r="D191" s="17">
        <v>44285</v>
      </c>
      <c r="E191" s="1">
        <v>4.05</v>
      </c>
      <c r="F191" s="1">
        <v>4.91</v>
      </c>
      <c r="G191" s="1">
        <v>6.26</v>
      </c>
    </row>
    <row r="192" spans="4:7" x14ac:dyDescent="0.2">
      <c r="D192" s="17">
        <v>44286</v>
      </c>
      <c r="E192" s="1">
        <v>4.0488</v>
      </c>
      <c r="F192" s="1">
        <v>4.8710000000000004</v>
      </c>
      <c r="G192" s="1">
        <v>6.2591999999999999</v>
      </c>
    </row>
    <row r="193" spans="4:7" x14ac:dyDescent="0.2">
      <c r="D193" s="17">
        <v>44287</v>
      </c>
      <c r="E193" s="1">
        <v>3.9340000000000002</v>
      </c>
      <c r="F193" s="1">
        <v>4.8612000000000002</v>
      </c>
      <c r="G193" s="1">
        <v>6.2591999999999999</v>
      </c>
    </row>
    <row r="194" spans="4:7" x14ac:dyDescent="0.2">
      <c r="D194" s="17">
        <v>44291</v>
      </c>
      <c r="E194" s="1">
        <v>3.9340000000000002</v>
      </c>
      <c r="F194" s="1">
        <v>4.8604000000000003</v>
      </c>
      <c r="G194" s="1">
        <v>6.2591999999999999</v>
      </c>
    </row>
    <row r="195" spans="4:7" x14ac:dyDescent="0.2">
      <c r="D195" s="17">
        <v>44292</v>
      </c>
      <c r="E195" s="1">
        <v>3.9340000000000002</v>
      </c>
      <c r="F195" s="1">
        <v>4.8304999999999998</v>
      </c>
      <c r="G195" s="1">
        <v>5.383</v>
      </c>
    </row>
    <row r="196" spans="4:7" x14ac:dyDescent="0.2">
      <c r="D196" s="17">
        <v>44293</v>
      </c>
      <c r="E196" s="1">
        <v>3.9340000000000002</v>
      </c>
      <c r="F196" s="1">
        <v>4.8097000000000003</v>
      </c>
      <c r="G196" s="1">
        <v>5.383</v>
      </c>
    </row>
    <row r="197" spans="4:7" x14ac:dyDescent="0.2">
      <c r="D197" s="17">
        <v>44294</v>
      </c>
      <c r="E197" s="1">
        <v>3.9340000000000002</v>
      </c>
      <c r="F197" s="1">
        <v>4.8513000000000002</v>
      </c>
      <c r="G197" s="1">
        <v>5.5204000000000004</v>
      </c>
    </row>
    <row r="198" spans="4:7" x14ac:dyDescent="0.2">
      <c r="D198" s="17">
        <v>44295</v>
      </c>
      <c r="E198" s="1">
        <v>4.0590999999999999</v>
      </c>
      <c r="F198" s="1">
        <v>4.9244000000000003</v>
      </c>
      <c r="G198" s="1">
        <v>5.8482000000000003</v>
      </c>
    </row>
    <row r="199" spans="4:7" x14ac:dyDescent="0.2">
      <c r="D199" s="17">
        <v>44298</v>
      </c>
      <c r="E199" s="1">
        <v>4.0590999999999999</v>
      </c>
      <c r="F199" s="1">
        <v>4.9713000000000003</v>
      </c>
      <c r="G199" s="1">
        <v>5.8482000000000003</v>
      </c>
    </row>
    <row r="200" spans="4:7" x14ac:dyDescent="0.2">
      <c r="D200" s="17">
        <v>44299</v>
      </c>
      <c r="E200" s="1">
        <v>4.1002999999999998</v>
      </c>
      <c r="F200" s="1">
        <v>4.9713000000000003</v>
      </c>
      <c r="G200" s="1">
        <v>5.8482000000000003</v>
      </c>
    </row>
    <row r="201" spans="4:7" x14ac:dyDescent="0.2">
      <c r="D201" s="17">
        <v>44300</v>
      </c>
      <c r="E201" s="1">
        <v>4.1002999999999998</v>
      </c>
      <c r="F201" s="1">
        <v>4.9607999999999999</v>
      </c>
      <c r="G201" s="1">
        <v>5.8482000000000003</v>
      </c>
    </row>
    <row r="202" spans="4:7" x14ac:dyDescent="0.2">
      <c r="D202" s="17">
        <v>44301</v>
      </c>
      <c r="E202" s="1">
        <v>4.2049000000000003</v>
      </c>
      <c r="F202" s="1">
        <v>4.9610000000000003</v>
      </c>
      <c r="G202" s="1">
        <v>5.8482000000000003</v>
      </c>
    </row>
    <row r="203" spans="4:7" x14ac:dyDescent="0.2">
      <c r="D203" s="17">
        <v>44302</v>
      </c>
      <c r="E203" s="1">
        <v>4.05</v>
      </c>
      <c r="F203" s="1">
        <v>4.9817999999999998</v>
      </c>
      <c r="G203" s="1">
        <v>5.6479999999999997</v>
      </c>
    </row>
    <row r="204" spans="4:7" x14ac:dyDescent="0.2">
      <c r="D204" s="17">
        <v>44305</v>
      </c>
      <c r="E204" s="1">
        <v>4.05</v>
      </c>
      <c r="F204" s="1">
        <v>5</v>
      </c>
      <c r="G204" s="1">
        <v>6.5140000000000002</v>
      </c>
    </row>
    <row r="205" spans="4:7" x14ac:dyDescent="0.2">
      <c r="D205" s="17">
        <v>44306</v>
      </c>
      <c r="E205" s="1">
        <v>4.05</v>
      </c>
      <c r="F205" s="1">
        <v>4.9987000000000004</v>
      </c>
      <c r="G205" s="1">
        <v>6.5140000000000002</v>
      </c>
    </row>
    <row r="206" spans="4:7" x14ac:dyDescent="0.2">
      <c r="D206" s="17">
        <v>44308</v>
      </c>
      <c r="E206" s="1">
        <v>4.05</v>
      </c>
      <c r="F206" s="1">
        <v>5.0175000000000001</v>
      </c>
      <c r="G206" s="1">
        <v>6.4391999999999996</v>
      </c>
    </row>
    <row r="207" spans="4:7" x14ac:dyDescent="0.2">
      <c r="D207" s="17">
        <v>44309</v>
      </c>
      <c r="E207" s="1">
        <v>4.2152000000000003</v>
      </c>
      <c r="F207" s="1">
        <v>5.0392000000000001</v>
      </c>
      <c r="G207" s="1">
        <v>6.9390999999999998</v>
      </c>
    </row>
    <row r="208" spans="4:7" x14ac:dyDescent="0.2">
      <c r="D208" s="17">
        <v>44312</v>
      </c>
      <c r="E208" s="1">
        <v>4.2152000000000003</v>
      </c>
      <c r="F208" s="1">
        <v>5.0392000000000001</v>
      </c>
      <c r="G208" s="1">
        <v>6.9390999999999998</v>
      </c>
    </row>
    <row r="209" spans="4:7" x14ac:dyDescent="0.2">
      <c r="D209" s="17">
        <v>44313</v>
      </c>
      <c r="E209" s="1">
        <v>4.2152000000000003</v>
      </c>
      <c r="F209" s="1">
        <v>5.0495000000000001</v>
      </c>
      <c r="G209" s="1">
        <v>6.9390999999999998</v>
      </c>
    </row>
    <row r="210" spans="4:7" x14ac:dyDescent="0.2">
      <c r="D210" s="17">
        <v>44314</v>
      </c>
      <c r="E210" s="1">
        <v>4.2152000000000003</v>
      </c>
      <c r="F210" s="1">
        <v>5.0495999999999999</v>
      </c>
      <c r="G210" s="1">
        <v>6.9390999999999998</v>
      </c>
    </row>
    <row r="211" spans="4:7" x14ac:dyDescent="0.2">
      <c r="D211" s="17">
        <v>44315</v>
      </c>
      <c r="E211" s="1">
        <v>4.2152000000000003</v>
      </c>
      <c r="F211" s="1">
        <v>5.0545999999999998</v>
      </c>
      <c r="G211" s="1">
        <v>6.9390999999999998</v>
      </c>
    </row>
    <row r="212" spans="4:7" x14ac:dyDescent="0.2">
      <c r="D212" s="17">
        <v>44316</v>
      </c>
      <c r="E212" s="1">
        <v>4.2255000000000003</v>
      </c>
      <c r="F212" s="1">
        <v>5.1021000000000001</v>
      </c>
      <c r="G212" s="1">
        <v>6.4286000000000003</v>
      </c>
    </row>
    <row r="213" spans="4:7" x14ac:dyDescent="0.2">
      <c r="D213" s="17">
        <v>44319</v>
      </c>
      <c r="E213" s="1">
        <v>4.2255000000000003</v>
      </c>
      <c r="F213" s="1">
        <v>5.1071</v>
      </c>
      <c r="G213" s="1">
        <v>6.4286000000000003</v>
      </c>
    </row>
    <row r="214" spans="4:7" x14ac:dyDescent="0.2">
      <c r="D214" s="17">
        <v>44320</v>
      </c>
      <c r="E214" s="1">
        <v>4.2255000000000003</v>
      </c>
      <c r="F214" s="1">
        <v>5.1071</v>
      </c>
      <c r="G214" s="1">
        <v>6.4286000000000003</v>
      </c>
    </row>
    <row r="215" spans="4:7" x14ac:dyDescent="0.2">
      <c r="D215" s="17">
        <v>44321</v>
      </c>
      <c r="E215" s="1">
        <v>4.2255000000000003</v>
      </c>
      <c r="F215" s="1">
        <v>5.1185999999999998</v>
      </c>
      <c r="G215" s="1">
        <v>6.4286000000000003</v>
      </c>
    </row>
    <row r="216" spans="4:7" x14ac:dyDescent="0.2">
      <c r="D216" s="17">
        <v>44322</v>
      </c>
      <c r="E216" s="1">
        <v>4.2255000000000003</v>
      </c>
      <c r="F216" s="1">
        <v>5.1334</v>
      </c>
      <c r="G216" s="1">
        <v>6.4286000000000003</v>
      </c>
    </row>
    <row r="217" spans="4:7" x14ac:dyDescent="0.2">
      <c r="D217" s="17">
        <v>44323</v>
      </c>
      <c r="E217" s="1">
        <v>4.0274999999999999</v>
      </c>
      <c r="F217" s="1">
        <v>5.1543999999999999</v>
      </c>
      <c r="G217" s="1">
        <v>5.6894</v>
      </c>
    </row>
    <row r="218" spans="4:7" x14ac:dyDescent="0.2">
      <c r="D218" s="17">
        <v>44326</v>
      </c>
      <c r="E218" s="1">
        <v>4.0274999999999999</v>
      </c>
      <c r="F218" s="1">
        <v>5.1654</v>
      </c>
      <c r="G218" s="1">
        <v>5.6894</v>
      </c>
    </row>
    <row r="219" spans="4:7" x14ac:dyDescent="0.2">
      <c r="D219" s="17">
        <v>44327</v>
      </c>
      <c r="E219" s="1">
        <v>4.0898000000000003</v>
      </c>
      <c r="F219" s="1">
        <v>5.1859999999999999</v>
      </c>
      <c r="G219" s="1">
        <v>5.8792</v>
      </c>
    </row>
    <row r="220" spans="4:7" x14ac:dyDescent="0.2">
      <c r="D220" s="17">
        <v>44328</v>
      </c>
      <c r="E220" s="1">
        <v>4.0898000000000003</v>
      </c>
      <c r="F220" s="1">
        <v>5.2172000000000001</v>
      </c>
      <c r="G220" s="1">
        <v>6.5448000000000004</v>
      </c>
    </row>
    <row r="221" spans="4:7" x14ac:dyDescent="0.2">
      <c r="D221" s="17">
        <v>44329</v>
      </c>
      <c r="E221" s="1">
        <v>4.0898000000000003</v>
      </c>
      <c r="F221" s="1">
        <v>5.2380000000000004</v>
      </c>
      <c r="G221" s="1">
        <v>6.5448000000000004</v>
      </c>
    </row>
    <row r="222" spans="4:7" x14ac:dyDescent="0.2">
      <c r="D222" s="17">
        <v>44330</v>
      </c>
      <c r="E222" s="1">
        <v>4.1821999999999999</v>
      </c>
      <c r="F222" s="1">
        <v>5.2485999999999997</v>
      </c>
      <c r="G222" s="1">
        <v>6.5448000000000004</v>
      </c>
    </row>
    <row r="223" spans="4:7" x14ac:dyDescent="0.2">
      <c r="D223" s="17">
        <v>44333</v>
      </c>
      <c r="E223" s="1">
        <v>4.1821999999999999</v>
      </c>
      <c r="F223" s="1">
        <v>5.3110999999999997</v>
      </c>
      <c r="G223" s="1">
        <v>6.5448000000000004</v>
      </c>
    </row>
    <row r="224" spans="4:7" x14ac:dyDescent="0.2">
      <c r="D224" s="17">
        <v>44334</v>
      </c>
      <c r="E224" s="1">
        <v>4.1821999999999999</v>
      </c>
      <c r="F224" s="1">
        <v>5.2586000000000004</v>
      </c>
      <c r="G224" s="1">
        <v>6.5448000000000004</v>
      </c>
    </row>
    <row r="225" spans="4:7" x14ac:dyDescent="0.2">
      <c r="D225" s="17">
        <v>44335</v>
      </c>
      <c r="E225" s="1">
        <v>4.1821999999999999</v>
      </c>
      <c r="F225" s="1">
        <v>5.2176</v>
      </c>
      <c r="G225" s="1">
        <v>6.0587999999999997</v>
      </c>
    </row>
    <row r="226" spans="4:7" x14ac:dyDescent="0.2">
      <c r="D226" s="17">
        <v>44336</v>
      </c>
      <c r="E226" s="1">
        <v>4.1821999999999999</v>
      </c>
      <c r="F226" s="1">
        <v>5.3380000000000001</v>
      </c>
      <c r="G226" s="1">
        <v>6.0587999999999997</v>
      </c>
    </row>
    <row r="227" spans="4:7" x14ac:dyDescent="0.2">
      <c r="D227" s="17">
        <v>44337</v>
      </c>
      <c r="E227" s="1">
        <v>4.2866999999999997</v>
      </c>
      <c r="F227" s="1">
        <v>5.3570000000000002</v>
      </c>
      <c r="G227" s="1">
        <v>6.1115000000000004</v>
      </c>
    </row>
    <row r="228" spans="4:7" x14ac:dyDescent="0.2">
      <c r="D228" s="17">
        <v>44340</v>
      </c>
      <c r="E228" s="1">
        <v>4.2866999999999997</v>
      </c>
      <c r="F228" s="1">
        <v>5.3947000000000003</v>
      </c>
      <c r="G228" s="1">
        <v>6.1115000000000004</v>
      </c>
    </row>
    <row r="229" spans="4:7" x14ac:dyDescent="0.2">
      <c r="D229" s="17">
        <v>44341</v>
      </c>
      <c r="E229" s="1">
        <v>4.2866999999999997</v>
      </c>
      <c r="F229" s="1">
        <v>5.3941999999999997</v>
      </c>
      <c r="G229" s="1">
        <v>6.2066999999999997</v>
      </c>
    </row>
    <row r="230" spans="4:7" x14ac:dyDescent="0.2">
      <c r="D230" s="17">
        <v>44342</v>
      </c>
      <c r="E230" s="1">
        <v>4.2866999999999997</v>
      </c>
      <c r="F230" s="1">
        <v>5.3948</v>
      </c>
      <c r="G230" s="1">
        <v>6.2066999999999997</v>
      </c>
    </row>
    <row r="231" spans="4:7" x14ac:dyDescent="0.2">
      <c r="D231" s="17">
        <v>44343</v>
      </c>
      <c r="E231" s="1">
        <v>4.2866999999999997</v>
      </c>
      <c r="F231" s="1">
        <v>5.3944000000000001</v>
      </c>
      <c r="G231" s="1">
        <v>6.2066999999999997</v>
      </c>
    </row>
    <row r="232" spans="4:7" x14ac:dyDescent="0.2">
      <c r="D232" s="17">
        <v>44344</v>
      </c>
      <c r="E232" s="1">
        <v>4.6094999999999997</v>
      </c>
      <c r="F232" s="1">
        <v>5.4904000000000002</v>
      </c>
      <c r="G232" s="1">
        <v>6.2380000000000004</v>
      </c>
    </row>
    <row r="233" spans="4:7" x14ac:dyDescent="0.2">
      <c r="D233" s="17">
        <v>44347</v>
      </c>
      <c r="E233" s="1">
        <v>4.6094999999999997</v>
      </c>
      <c r="F233" s="1">
        <v>5.5</v>
      </c>
      <c r="G233" s="1">
        <v>6.2380000000000004</v>
      </c>
    </row>
    <row r="234" spans="4:7" x14ac:dyDescent="0.2">
      <c r="D234" s="17">
        <v>44348</v>
      </c>
      <c r="E234" s="1">
        <v>4.8503999999999996</v>
      </c>
      <c r="F234" s="1">
        <v>5.5015999999999998</v>
      </c>
      <c r="G234" s="1">
        <v>6.2380000000000004</v>
      </c>
    </row>
    <row r="235" spans="4:7" x14ac:dyDescent="0.2">
      <c r="D235" s="17">
        <v>44349</v>
      </c>
      <c r="E235" s="1">
        <v>4.8503999999999996</v>
      </c>
      <c r="F235" s="1">
        <v>5.5015999999999998</v>
      </c>
      <c r="G235" s="1">
        <v>6.2380000000000004</v>
      </c>
    </row>
    <row r="236" spans="4:7" x14ac:dyDescent="0.2">
      <c r="D236" s="17">
        <v>44351</v>
      </c>
      <c r="E236" s="1">
        <v>4.8503999999999996</v>
      </c>
      <c r="F236" s="1">
        <v>5.5111999999999997</v>
      </c>
      <c r="G236" s="1">
        <v>6.2066999999999997</v>
      </c>
    </row>
    <row r="237" spans="4:7" x14ac:dyDescent="0.2">
      <c r="D237" s="17">
        <v>44354</v>
      </c>
      <c r="E237" s="1">
        <v>5.0484999999999998</v>
      </c>
      <c r="F237" s="1">
        <v>5.5151000000000003</v>
      </c>
      <c r="G237" s="1">
        <v>6.2066999999999997</v>
      </c>
    </row>
    <row r="238" spans="4:7" x14ac:dyDescent="0.2">
      <c r="D238" s="17">
        <v>44355</v>
      </c>
      <c r="E238" s="1">
        <v>5.0484999999999998</v>
      </c>
      <c r="F238" s="1">
        <v>5.5266000000000002</v>
      </c>
      <c r="G238" s="1">
        <v>6.3337000000000003</v>
      </c>
    </row>
    <row r="239" spans="4:7" x14ac:dyDescent="0.2">
      <c r="D239" s="17">
        <v>44356</v>
      </c>
      <c r="E239" s="1">
        <v>5.1632999999999996</v>
      </c>
      <c r="F239" s="1">
        <v>5.718</v>
      </c>
      <c r="G239" s="1">
        <v>6.6938000000000004</v>
      </c>
    </row>
    <row r="240" spans="4:7" x14ac:dyDescent="0.2">
      <c r="D240" s="17">
        <v>44357</v>
      </c>
      <c r="E240" s="1">
        <v>5.0168999999999997</v>
      </c>
      <c r="F240" s="1">
        <v>5.8160999999999996</v>
      </c>
      <c r="G240" s="1">
        <v>6.9922000000000004</v>
      </c>
    </row>
    <row r="241" spans="4:7" x14ac:dyDescent="0.2">
      <c r="D241" s="17">
        <v>44358</v>
      </c>
      <c r="E241" s="1">
        <v>5.0168999999999997</v>
      </c>
      <c r="F241" s="1">
        <v>5.8505000000000003</v>
      </c>
      <c r="G241" s="1">
        <v>7.0022000000000002</v>
      </c>
    </row>
    <row r="242" spans="4:7" x14ac:dyDescent="0.2">
      <c r="D242" s="17">
        <v>44361</v>
      </c>
      <c r="E242" s="1">
        <v>5.0168999999999997</v>
      </c>
      <c r="F242" s="1">
        <v>5.8894000000000002</v>
      </c>
      <c r="G242" s="1">
        <v>7.0022000000000002</v>
      </c>
    </row>
    <row r="243" spans="4:7" x14ac:dyDescent="0.2">
      <c r="D243" s="17">
        <v>44362</v>
      </c>
      <c r="E243" s="1">
        <v>5.0168999999999997</v>
      </c>
      <c r="F243" s="1">
        <v>5.9105999999999996</v>
      </c>
      <c r="G243" s="1">
        <v>7.0022000000000002</v>
      </c>
    </row>
    <row r="244" spans="4:7" x14ac:dyDescent="0.2">
      <c r="D244" s="17">
        <v>44363</v>
      </c>
      <c r="E244" s="1">
        <v>5.0168999999999997</v>
      </c>
      <c r="F244" s="1">
        <v>5.9108000000000001</v>
      </c>
      <c r="G244" s="1">
        <v>7.0022000000000002</v>
      </c>
    </row>
    <row r="245" spans="4:7" x14ac:dyDescent="0.2">
      <c r="D245" s="17">
        <v>44364</v>
      </c>
      <c r="E245" s="1">
        <v>5.1234000000000002</v>
      </c>
      <c r="F245" s="1">
        <v>5.9372999999999996</v>
      </c>
      <c r="G245" s="1">
        <v>7.0022000000000002</v>
      </c>
    </row>
    <row r="246" spans="4:7" x14ac:dyDescent="0.2">
      <c r="D246" s="17">
        <v>44365</v>
      </c>
      <c r="E246" s="1">
        <v>5.0168999999999997</v>
      </c>
      <c r="F246" s="1">
        <v>5.9318999999999997</v>
      </c>
      <c r="G246" s="1">
        <v>6.9922000000000004</v>
      </c>
    </row>
    <row r="247" spans="4:7" x14ac:dyDescent="0.2">
      <c r="D247" s="17">
        <v>44368</v>
      </c>
      <c r="E247" s="1">
        <v>5.0168999999999997</v>
      </c>
      <c r="F247" s="1">
        <v>5.9527000000000001</v>
      </c>
      <c r="G247" s="1">
        <v>6.9922000000000004</v>
      </c>
    </row>
    <row r="248" spans="4:7" x14ac:dyDescent="0.2">
      <c r="D248" s="17">
        <v>44369</v>
      </c>
      <c r="E248" s="1">
        <v>5.0168999999999997</v>
      </c>
      <c r="F248" s="1">
        <v>5.9634999999999998</v>
      </c>
      <c r="G248" s="1">
        <v>6.9390000000000001</v>
      </c>
    </row>
    <row r="249" spans="4:7" x14ac:dyDescent="0.2">
      <c r="D249" s="17">
        <v>44370</v>
      </c>
      <c r="E249" s="1">
        <v>5.0168999999999997</v>
      </c>
      <c r="F249" s="1">
        <v>5.9743000000000004</v>
      </c>
      <c r="G249" s="1">
        <v>6.9490999999999996</v>
      </c>
    </row>
    <row r="250" spans="4:7" x14ac:dyDescent="0.2">
      <c r="D250" s="17">
        <v>44371</v>
      </c>
      <c r="E250" s="1">
        <v>5.0168999999999997</v>
      </c>
      <c r="F250" s="1">
        <v>5.9839000000000002</v>
      </c>
      <c r="G250" s="1">
        <v>6.9490999999999996</v>
      </c>
    </row>
    <row r="251" spans="4:7" x14ac:dyDescent="0.2">
      <c r="D251" s="17">
        <v>44372</v>
      </c>
      <c r="E251" s="1">
        <v>5.3842999999999996</v>
      </c>
      <c r="F251" s="1">
        <v>6</v>
      </c>
      <c r="G251" s="1">
        <v>6.9490999999999996</v>
      </c>
    </row>
    <row r="252" spans="4:7" x14ac:dyDescent="0.2">
      <c r="D252" s="17">
        <v>44375</v>
      </c>
      <c r="E252" s="1">
        <v>5.0168999999999997</v>
      </c>
      <c r="F252" s="1">
        <v>6.0153999999999996</v>
      </c>
      <c r="G252" s="1">
        <v>6.9490999999999996</v>
      </c>
    </row>
    <row r="253" spans="4:7" x14ac:dyDescent="0.2">
      <c r="D253" s="17">
        <v>44376</v>
      </c>
      <c r="E253" s="1">
        <v>5.0168999999999997</v>
      </c>
      <c r="F253" s="1">
        <v>6.0472999999999999</v>
      </c>
      <c r="G253" s="1">
        <v>7.0986000000000002</v>
      </c>
    </row>
    <row r="254" spans="4:7" x14ac:dyDescent="0.2">
      <c r="D254" s="17">
        <v>44377</v>
      </c>
      <c r="E254" s="1">
        <v>5.0168999999999997</v>
      </c>
      <c r="F254" s="1">
        <v>6</v>
      </c>
      <c r="G254" s="1">
        <v>7.0986000000000002</v>
      </c>
    </row>
    <row r="255" spans="4:7" x14ac:dyDescent="0.2">
      <c r="D255" s="17">
        <v>44378</v>
      </c>
      <c r="E255" s="1">
        <v>5.3</v>
      </c>
      <c r="F255" s="1">
        <v>6</v>
      </c>
      <c r="G255" s="1">
        <v>7.2584999999999997</v>
      </c>
    </row>
    <row r="256" spans="4:7" x14ac:dyDescent="0.2">
      <c r="D256" s="17">
        <v>44379</v>
      </c>
      <c r="E256" s="1">
        <v>5.3</v>
      </c>
      <c r="F256" s="1">
        <v>6.1003999999999996</v>
      </c>
      <c r="G256" s="1">
        <v>7.2584999999999997</v>
      </c>
    </row>
    <row r="257" spans="4:7" x14ac:dyDescent="0.2">
      <c r="D257" s="17">
        <v>44382</v>
      </c>
      <c r="E257" s="1">
        <v>5.5946999999999996</v>
      </c>
      <c r="F257" s="1">
        <v>6.2042000000000002</v>
      </c>
      <c r="G257" s="1">
        <v>7.2584999999999997</v>
      </c>
    </row>
    <row r="258" spans="4:7" x14ac:dyDescent="0.2">
      <c r="D258" s="17">
        <v>44383</v>
      </c>
      <c r="E258" s="1">
        <v>5.5946999999999996</v>
      </c>
      <c r="F258" s="1">
        <v>6.2911999999999999</v>
      </c>
      <c r="G258" s="1">
        <v>7.2584999999999997</v>
      </c>
    </row>
    <row r="259" spans="4:7" x14ac:dyDescent="0.2">
      <c r="D259" s="17">
        <v>44384</v>
      </c>
      <c r="E259" s="1">
        <v>5.5946999999999996</v>
      </c>
      <c r="F259" s="1">
        <v>6.3048000000000002</v>
      </c>
      <c r="G259" s="1">
        <v>7.3541999999999996</v>
      </c>
    </row>
    <row r="260" spans="4:7" x14ac:dyDescent="0.2">
      <c r="D260" s="17">
        <v>44385</v>
      </c>
      <c r="E260" s="1">
        <v>5.7949000000000002</v>
      </c>
      <c r="F260" s="1">
        <v>6.3228999999999997</v>
      </c>
      <c r="G260" s="1">
        <v>7.2794999999999996</v>
      </c>
    </row>
    <row r="261" spans="4:7" x14ac:dyDescent="0.2">
      <c r="D261" s="17">
        <v>44386</v>
      </c>
      <c r="E261" s="1">
        <v>5.7949000000000002</v>
      </c>
      <c r="F261" s="1">
        <v>6.3228</v>
      </c>
      <c r="G261" s="1">
        <v>7.2794999999999996</v>
      </c>
    </row>
    <row r="262" spans="4:7" x14ac:dyDescent="0.2">
      <c r="D262" s="17">
        <v>44389</v>
      </c>
      <c r="E262" s="1">
        <v>5.7949000000000002</v>
      </c>
      <c r="F262" s="1">
        <v>6.3224</v>
      </c>
      <c r="G262" s="1">
        <v>7.6315999999999997</v>
      </c>
    </row>
    <row r="263" spans="4:7" x14ac:dyDescent="0.2">
      <c r="D263" s="17">
        <v>44390</v>
      </c>
      <c r="E263" s="1">
        <v>5.9653</v>
      </c>
      <c r="F263" s="1">
        <v>6.3914999999999997</v>
      </c>
      <c r="G263" s="1">
        <v>7.6315999999999997</v>
      </c>
    </row>
    <row r="264" spans="4:7" x14ac:dyDescent="0.2">
      <c r="D264" s="17">
        <v>44391</v>
      </c>
      <c r="E264" s="1">
        <v>5.8578000000000001</v>
      </c>
      <c r="F264" s="1">
        <v>6.4286000000000003</v>
      </c>
      <c r="G264" s="1">
        <v>7.6315999999999997</v>
      </c>
    </row>
    <row r="265" spans="4:7" x14ac:dyDescent="0.2">
      <c r="D265" s="17">
        <v>44392</v>
      </c>
      <c r="E265" s="1">
        <v>5.8578000000000001</v>
      </c>
      <c r="F265" s="1">
        <v>6.4260000000000002</v>
      </c>
      <c r="G265" s="1">
        <v>7.6315999999999997</v>
      </c>
    </row>
    <row r="266" spans="4:7" x14ac:dyDescent="0.2">
      <c r="D266" s="17">
        <v>44393</v>
      </c>
      <c r="E266" s="1">
        <v>5.8578000000000001</v>
      </c>
      <c r="F266" s="1">
        <v>6.4347000000000003</v>
      </c>
      <c r="G266" s="1">
        <v>7.7382999999999997</v>
      </c>
    </row>
    <row r="267" spans="4:7" x14ac:dyDescent="0.2">
      <c r="D267" s="17">
        <v>44396</v>
      </c>
      <c r="E267" s="1">
        <v>5.7104999999999997</v>
      </c>
      <c r="F267" s="1">
        <v>6.4001000000000001</v>
      </c>
      <c r="G267" s="1">
        <v>7.7382999999999997</v>
      </c>
    </row>
    <row r="268" spans="4:7" x14ac:dyDescent="0.2">
      <c r="D268" s="17">
        <v>44397</v>
      </c>
      <c r="E268" s="1">
        <v>5.7096</v>
      </c>
      <c r="F268" s="1">
        <v>6.3804999999999996</v>
      </c>
      <c r="G268" s="1">
        <v>7.7382999999999997</v>
      </c>
    </row>
    <row r="269" spans="4:7" x14ac:dyDescent="0.2">
      <c r="D269" s="17">
        <v>44398</v>
      </c>
      <c r="E269" s="1">
        <v>5.7096</v>
      </c>
      <c r="F269" s="1">
        <v>6.4001000000000001</v>
      </c>
      <c r="G269" s="1">
        <v>7.7382999999999997</v>
      </c>
    </row>
    <row r="270" spans="4:7" x14ac:dyDescent="0.2">
      <c r="D270" s="17">
        <v>44399</v>
      </c>
      <c r="E270" s="1">
        <v>5.7096</v>
      </c>
      <c r="F270" s="1">
        <v>6.4477000000000002</v>
      </c>
      <c r="G270" s="1">
        <v>7.7382999999999997</v>
      </c>
    </row>
    <row r="271" spans="4:7" x14ac:dyDescent="0.2">
      <c r="D271" s="17">
        <v>44400</v>
      </c>
      <c r="E271" s="1">
        <v>5.7104999999999997</v>
      </c>
      <c r="F271" s="1">
        <v>6.6718999999999999</v>
      </c>
      <c r="G271" s="1">
        <v>7.8879000000000001</v>
      </c>
    </row>
    <row r="272" spans="4:7" x14ac:dyDescent="0.2">
      <c r="D272" s="17">
        <v>44403</v>
      </c>
      <c r="E272" s="1">
        <v>5.9934000000000003</v>
      </c>
      <c r="F272" s="1">
        <v>6.7305999999999999</v>
      </c>
      <c r="G272" s="1">
        <v>7.8879000000000001</v>
      </c>
    </row>
    <row r="273" spans="4:7" x14ac:dyDescent="0.2">
      <c r="D273" s="17">
        <v>44404</v>
      </c>
      <c r="E273" s="1">
        <v>5.9934000000000003</v>
      </c>
      <c r="F273" s="1">
        <v>6.7539999999999996</v>
      </c>
      <c r="G273" s="1">
        <v>7.8879000000000001</v>
      </c>
    </row>
    <row r="274" spans="4:7" x14ac:dyDescent="0.2">
      <c r="D274" s="17">
        <v>44405</v>
      </c>
      <c r="E274" s="1">
        <v>6.0056000000000003</v>
      </c>
      <c r="F274" s="1">
        <v>6.7674000000000003</v>
      </c>
      <c r="G274" s="1">
        <v>7.8879000000000001</v>
      </c>
    </row>
    <row r="275" spans="4:7" x14ac:dyDescent="0.2">
      <c r="D275" s="17">
        <v>44406</v>
      </c>
      <c r="E275" s="1">
        <v>6.0056000000000003</v>
      </c>
      <c r="F275" s="1">
        <v>6.7784000000000004</v>
      </c>
      <c r="G275" s="1">
        <v>7.8879000000000001</v>
      </c>
    </row>
    <row r="276" spans="4:7" x14ac:dyDescent="0.2">
      <c r="D276" s="17">
        <v>44407</v>
      </c>
      <c r="E276" s="1">
        <v>6.17</v>
      </c>
      <c r="F276" s="1">
        <v>6.8845000000000001</v>
      </c>
      <c r="G276" s="1">
        <v>8.1891999999999996</v>
      </c>
    </row>
    <row r="277" spans="4:7" x14ac:dyDescent="0.2">
      <c r="D277" s="17">
        <v>44410</v>
      </c>
      <c r="E277" s="1">
        <v>6.17</v>
      </c>
      <c r="F277" s="1">
        <v>6.8845999999999998</v>
      </c>
      <c r="G277" s="1">
        <v>8.1891999999999996</v>
      </c>
    </row>
    <row r="278" spans="4:7" x14ac:dyDescent="0.2">
      <c r="D278" s="17">
        <v>44411</v>
      </c>
      <c r="E278" s="1">
        <v>6.17</v>
      </c>
      <c r="F278" s="1">
        <v>6.8845999999999998</v>
      </c>
      <c r="G278" s="1">
        <v>8.1891999999999996</v>
      </c>
    </row>
    <row r="279" spans="4:7" x14ac:dyDescent="0.2">
      <c r="D279" s="17">
        <v>44412</v>
      </c>
      <c r="E279" s="1">
        <v>6.17</v>
      </c>
      <c r="F279" s="1">
        <v>6.9028999999999998</v>
      </c>
      <c r="G279" s="1">
        <v>8.1891999999999996</v>
      </c>
    </row>
    <row r="280" spans="4:7" x14ac:dyDescent="0.2">
      <c r="D280" s="17">
        <v>44413</v>
      </c>
      <c r="E280" s="1">
        <v>6.17</v>
      </c>
      <c r="F280" s="1">
        <v>6.9279000000000002</v>
      </c>
      <c r="G280" s="1">
        <v>8.1891999999999996</v>
      </c>
    </row>
    <row r="281" spans="4:7" x14ac:dyDescent="0.2">
      <c r="D281" s="17">
        <v>44414</v>
      </c>
      <c r="E281" s="1">
        <v>6.2676999999999996</v>
      </c>
      <c r="F281" s="1">
        <v>6.9431000000000003</v>
      </c>
      <c r="G281" s="1">
        <v>7.6307</v>
      </c>
    </row>
    <row r="282" spans="4:7" x14ac:dyDescent="0.2">
      <c r="D282" s="17">
        <v>44417</v>
      </c>
      <c r="E282" s="1">
        <v>6.2676999999999996</v>
      </c>
      <c r="F282" s="1">
        <v>6.9903000000000004</v>
      </c>
      <c r="G282" s="1">
        <v>7.6307</v>
      </c>
    </row>
    <row r="283" spans="4:7" x14ac:dyDescent="0.2">
      <c r="D283" s="17">
        <v>44418</v>
      </c>
      <c r="E283" s="1">
        <v>6.1940999999999997</v>
      </c>
      <c r="F283" s="1">
        <v>7.0172999999999996</v>
      </c>
      <c r="G283" s="1">
        <v>7.6257000000000001</v>
      </c>
    </row>
    <row r="284" spans="4:7" x14ac:dyDescent="0.2">
      <c r="D284" s="17">
        <v>44419</v>
      </c>
      <c r="E284" s="1">
        <v>6.1940999999999997</v>
      </c>
      <c r="F284" s="1">
        <v>7.0404</v>
      </c>
      <c r="G284" s="1">
        <v>7.6257000000000001</v>
      </c>
    </row>
    <row r="285" spans="4:7" x14ac:dyDescent="0.2">
      <c r="D285" s="17">
        <v>44420</v>
      </c>
      <c r="E285" s="1">
        <v>6.1940999999999997</v>
      </c>
      <c r="F285" s="1">
        <v>7.0472999999999999</v>
      </c>
      <c r="G285" s="1">
        <v>7.6257000000000001</v>
      </c>
    </row>
    <row r="286" spans="4:7" x14ac:dyDescent="0.2">
      <c r="D286" s="17">
        <v>44421</v>
      </c>
      <c r="E286" s="1">
        <v>6.4805000000000001</v>
      </c>
      <c r="F286" s="1">
        <v>7.1185</v>
      </c>
      <c r="G286" s="1">
        <v>7.8994999999999997</v>
      </c>
    </row>
    <row r="287" spans="4:7" x14ac:dyDescent="0.2">
      <c r="D287" s="17">
        <v>44424</v>
      </c>
      <c r="E287" s="1">
        <v>6.4805000000000001</v>
      </c>
      <c r="F287" s="1">
        <v>7.1185</v>
      </c>
      <c r="G287" s="1">
        <v>7.8994999999999997</v>
      </c>
    </row>
    <row r="288" spans="4:7" x14ac:dyDescent="0.2">
      <c r="D288" s="17">
        <v>44425</v>
      </c>
      <c r="E288" s="1">
        <v>6.4805000000000001</v>
      </c>
      <c r="F288" s="1">
        <v>7.14</v>
      </c>
      <c r="G288" s="1">
        <v>7.8994999999999997</v>
      </c>
    </row>
    <row r="289" spans="4:7" x14ac:dyDescent="0.2">
      <c r="D289" s="17">
        <v>44426</v>
      </c>
      <c r="E289" s="1">
        <v>6.4805000000000001</v>
      </c>
      <c r="F289" s="1">
        <v>7.1401000000000003</v>
      </c>
      <c r="G289" s="1">
        <v>7.8994999999999997</v>
      </c>
    </row>
    <row r="290" spans="4:7" x14ac:dyDescent="0.2">
      <c r="D290" s="17">
        <v>44427</v>
      </c>
      <c r="E290" s="1">
        <v>6.5439999999999996</v>
      </c>
      <c r="F290" s="1">
        <v>7.1589999999999998</v>
      </c>
      <c r="G290" s="1">
        <v>8.4906000000000006</v>
      </c>
    </row>
    <row r="291" spans="4:7" x14ac:dyDescent="0.2">
      <c r="D291" s="17">
        <v>44428</v>
      </c>
      <c r="E291" s="1">
        <v>6.5541999999999998</v>
      </c>
      <c r="F291" s="1">
        <v>7.1761999999999997</v>
      </c>
      <c r="G291" s="1">
        <v>8.4906000000000006</v>
      </c>
    </row>
    <row r="292" spans="4:7" x14ac:dyDescent="0.2">
      <c r="D292" s="17">
        <v>44431</v>
      </c>
      <c r="E292" s="1">
        <v>6.5541999999999998</v>
      </c>
      <c r="F292" s="1">
        <v>7.2394999999999996</v>
      </c>
      <c r="G292" s="1">
        <v>8.4906000000000006</v>
      </c>
    </row>
    <row r="293" spans="4:7" x14ac:dyDescent="0.2">
      <c r="D293" s="17">
        <v>44432</v>
      </c>
      <c r="E293" s="1">
        <v>6.5541999999999998</v>
      </c>
      <c r="F293" s="1">
        <v>7.2732999999999999</v>
      </c>
      <c r="G293" s="1">
        <v>8.4906000000000006</v>
      </c>
    </row>
    <row r="294" spans="4:7" x14ac:dyDescent="0.2">
      <c r="D294" s="17">
        <v>44433</v>
      </c>
      <c r="E294" s="1">
        <v>6.5541999999999998</v>
      </c>
      <c r="F294" s="1">
        <v>7.3320999999999996</v>
      </c>
      <c r="G294" s="1">
        <v>8.4906000000000006</v>
      </c>
    </row>
    <row r="295" spans="4:7" x14ac:dyDescent="0.2">
      <c r="D295" s="17">
        <v>44434</v>
      </c>
      <c r="E295" s="1">
        <v>6.5541999999999998</v>
      </c>
      <c r="F295" s="1">
        <v>7.3536000000000001</v>
      </c>
      <c r="G295" s="1">
        <v>8.0966000000000005</v>
      </c>
    </row>
    <row r="296" spans="4:7" x14ac:dyDescent="0.2">
      <c r="D296" s="17">
        <v>44435</v>
      </c>
      <c r="E296" s="1">
        <v>6.6681999999999997</v>
      </c>
      <c r="F296" s="1">
        <v>7.4603000000000002</v>
      </c>
      <c r="G296" s="1">
        <v>8.35</v>
      </c>
    </row>
    <row r="297" spans="4:7" x14ac:dyDescent="0.2">
      <c r="D297" s="17">
        <v>44438</v>
      </c>
      <c r="E297" s="1">
        <v>6.7350000000000003</v>
      </c>
      <c r="F297" s="1">
        <v>7.5136000000000003</v>
      </c>
      <c r="G297" s="1">
        <v>8.4896999999999991</v>
      </c>
    </row>
    <row r="298" spans="4:7" x14ac:dyDescent="0.2">
      <c r="D298" s="17">
        <v>44439</v>
      </c>
      <c r="E298" s="1">
        <v>6.7350000000000003</v>
      </c>
      <c r="F298" s="1">
        <v>7.5777999999999999</v>
      </c>
      <c r="G298" s="1">
        <v>8.4896999999999991</v>
      </c>
    </row>
    <row r="299" spans="4:7" x14ac:dyDescent="0.2">
      <c r="D299" s="17">
        <v>44440</v>
      </c>
      <c r="E299" s="1">
        <v>6.7350000000000003</v>
      </c>
      <c r="F299" s="1">
        <v>7.6794000000000002</v>
      </c>
      <c r="G299" s="1">
        <v>8.4896999999999991</v>
      </c>
    </row>
    <row r="300" spans="4:7" x14ac:dyDescent="0.2">
      <c r="D300" s="17">
        <v>44441</v>
      </c>
      <c r="E300" s="1">
        <v>6.7350000000000003</v>
      </c>
      <c r="F300" s="1">
        <v>7.7169999999999996</v>
      </c>
      <c r="G300" s="1">
        <v>8.4896999999999991</v>
      </c>
    </row>
    <row r="301" spans="4:7" x14ac:dyDescent="0.2">
      <c r="D301" s="17">
        <v>44442</v>
      </c>
      <c r="E301" s="1">
        <v>7.0221</v>
      </c>
      <c r="F301" s="1">
        <v>7.7596999999999996</v>
      </c>
      <c r="G301" s="1">
        <v>8.6405999999999992</v>
      </c>
    </row>
    <row r="302" spans="4:7" x14ac:dyDescent="0.2">
      <c r="D302" s="17">
        <v>44445</v>
      </c>
      <c r="E302" s="1">
        <v>7.0221</v>
      </c>
      <c r="F302" s="1">
        <v>7.7594000000000003</v>
      </c>
      <c r="G302" s="1">
        <v>8.6405999999999992</v>
      </c>
    </row>
    <row r="303" spans="4:7" x14ac:dyDescent="0.2">
      <c r="D303" s="17">
        <v>44447</v>
      </c>
      <c r="E303" s="1">
        <v>7.0221</v>
      </c>
      <c r="F303" s="1">
        <v>7.7590000000000003</v>
      </c>
      <c r="G303" s="1">
        <v>8.6405999999999992</v>
      </c>
    </row>
    <row r="304" spans="4:7" x14ac:dyDescent="0.2">
      <c r="D304" s="17">
        <v>44448</v>
      </c>
      <c r="E304" s="1">
        <v>7.3093000000000004</v>
      </c>
      <c r="F304" s="1">
        <v>8.0596999999999994</v>
      </c>
      <c r="G304" s="1">
        <v>8.7698999999999998</v>
      </c>
    </row>
    <row r="305" spans="4:7" x14ac:dyDescent="0.2">
      <c r="D305" s="17">
        <v>44449</v>
      </c>
      <c r="E305" s="1">
        <v>7.4916999999999998</v>
      </c>
      <c r="F305" s="1">
        <v>8.1983999999999995</v>
      </c>
      <c r="G305" s="1">
        <v>8.7698999999999998</v>
      </c>
    </row>
    <row r="306" spans="4:7" x14ac:dyDescent="0.2">
      <c r="D306" s="17">
        <v>44452</v>
      </c>
      <c r="E306" s="1">
        <v>7.1</v>
      </c>
      <c r="F306" s="1">
        <v>8.2635000000000005</v>
      </c>
      <c r="G306" s="1">
        <v>8.7698999999999998</v>
      </c>
    </row>
    <row r="307" spans="4:7" x14ac:dyDescent="0.2">
      <c r="D307" s="17">
        <v>44453</v>
      </c>
      <c r="E307" s="1">
        <v>7.1</v>
      </c>
      <c r="F307" s="1">
        <v>8.2743000000000002</v>
      </c>
      <c r="G307" s="1">
        <v>8.7170000000000005</v>
      </c>
    </row>
    <row r="308" spans="4:7" x14ac:dyDescent="0.2">
      <c r="D308" s="17">
        <v>44454</v>
      </c>
      <c r="E308" s="1">
        <v>7.1</v>
      </c>
      <c r="F308" s="1">
        <v>8.2843999999999998</v>
      </c>
      <c r="G308" s="1">
        <v>8.7675999999999998</v>
      </c>
    </row>
    <row r="309" spans="4:7" x14ac:dyDescent="0.2">
      <c r="D309" s="17">
        <v>44455</v>
      </c>
      <c r="E309" s="1">
        <v>7.1</v>
      </c>
      <c r="F309" s="1">
        <v>8.2847000000000008</v>
      </c>
      <c r="G309" s="1">
        <v>9.2025000000000006</v>
      </c>
    </row>
    <row r="310" spans="4:7" x14ac:dyDescent="0.2">
      <c r="D310" s="17">
        <v>44456</v>
      </c>
      <c r="E310" s="1">
        <v>7.1</v>
      </c>
      <c r="F310" s="1">
        <v>8.4030000000000005</v>
      </c>
      <c r="G310" s="1">
        <v>9.1918000000000006</v>
      </c>
    </row>
    <row r="311" spans="4:7" x14ac:dyDescent="0.2">
      <c r="D311" s="17">
        <v>44459</v>
      </c>
      <c r="E311" s="1">
        <v>7.7270000000000003</v>
      </c>
      <c r="F311" s="1">
        <v>8.4243000000000006</v>
      </c>
      <c r="G311" s="1">
        <v>9.1918000000000006</v>
      </c>
    </row>
    <row r="312" spans="4:7" x14ac:dyDescent="0.2">
      <c r="D312" s="17">
        <v>44460</v>
      </c>
      <c r="E312" s="1">
        <v>7.7270000000000003</v>
      </c>
      <c r="F312" s="1">
        <v>8.4351000000000003</v>
      </c>
      <c r="G312" s="1">
        <v>9.1918000000000006</v>
      </c>
    </row>
    <row r="313" spans="4:7" x14ac:dyDescent="0.2">
      <c r="D313" s="17">
        <v>44461</v>
      </c>
      <c r="E313" s="1">
        <v>7.6417000000000002</v>
      </c>
      <c r="F313" s="1">
        <v>8.4404000000000003</v>
      </c>
      <c r="G313" s="1">
        <v>9.1918000000000006</v>
      </c>
    </row>
    <row r="314" spans="4:7" x14ac:dyDescent="0.2">
      <c r="D314" s="17">
        <v>44462</v>
      </c>
      <c r="E314" s="1">
        <v>7.6417000000000002</v>
      </c>
      <c r="F314" s="1">
        <v>8.4431999999999992</v>
      </c>
      <c r="G314" s="1">
        <v>9.1918000000000006</v>
      </c>
    </row>
    <row r="315" spans="4:7" x14ac:dyDescent="0.2">
      <c r="D315" s="17">
        <v>44463</v>
      </c>
      <c r="E315" s="1">
        <v>7.7270000000000003</v>
      </c>
      <c r="F315" s="1">
        <v>8.5170999999999992</v>
      </c>
      <c r="G315" s="1">
        <v>9.2022999999999993</v>
      </c>
    </row>
    <row r="316" spans="4:7" x14ac:dyDescent="0.2">
      <c r="D316" s="17">
        <v>44466</v>
      </c>
      <c r="E316" s="1">
        <v>7.4916999999999998</v>
      </c>
      <c r="F316" s="1">
        <v>8.5968</v>
      </c>
      <c r="G316" s="1">
        <v>9.2022999999999993</v>
      </c>
    </row>
    <row r="317" spans="4:7" x14ac:dyDescent="0.2">
      <c r="D317" s="17">
        <v>44467</v>
      </c>
      <c r="E317" s="1">
        <v>7.4916999999999998</v>
      </c>
      <c r="F317" s="1">
        <v>8.609</v>
      </c>
      <c r="G317" s="1">
        <v>9.2022999999999993</v>
      </c>
    </row>
    <row r="318" spans="4:7" x14ac:dyDescent="0.2">
      <c r="D318" s="17">
        <v>44468</v>
      </c>
      <c r="E318" s="1">
        <v>7.4916999999999998</v>
      </c>
      <c r="F318" s="1">
        <v>8.6448</v>
      </c>
      <c r="G318" s="1">
        <v>9.2022999999999993</v>
      </c>
    </row>
    <row r="319" spans="4:7" x14ac:dyDescent="0.2">
      <c r="D319" s="17">
        <v>44469</v>
      </c>
      <c r="E319" s="1">
        <v>7.4916999999999998</v>
      </c>
      <c r="F319" s="1">
        <v>8.6611999999999991</v>
      </c>
      <c r="G319" s="1">
        <v>9.2022999999999993</v>
      </c>
    </row>
    <row r="320" spans="4:7" x14ac:dyDescent="0.2">
      <c r="D320" s="17">
        <v>44470</v>
      </c>
      <c r="E320" s="1">
        <v>7.9954000000000001</v>
      </c>
      <c r="F320" s="1">
        <v>8.6999999999999993</v>
      </c>
      <c r="G320" s="1">
        <v>9.3756000000000004</v>
      </c>
    </row>
    <row r="321" spans="4:7" x14ac:dyDescent="0.2">
      <c r="D321" s="17">
        <v>44473</v>
      </c>
      <c r="E321" s="1">
        <v>7.9954000000000001</v>
      </c>
      <c r="F321" s="1">
        <v>8.7136999999999993</v>
      </c>
      <c r="G321" s="1">
        <v>9.3756000000000004</v>
      </c>
    </row>
    <row r="322" spans="4:7" x14ac:dyDescent="0.2">
      <c r="D322" s="17">
        <v>44474</v>
      </c>
      <c r="E322" s="1">
        <v>7.9954000000000001</v>
      </c>
      <c r="F322" s="1">
        <v>8.7040000000000006</v>
      </c>
      <c r="G322" s="1">
        <v>9.3756000000000004</v>
      </c>
    </row>
    <row r="323" spans="4:7" x14ac:dyDescent="0.2">
      <c r="D323" s="17">
        <v>44475</v>
      </c>
      <c r="E323" s="1">
        <v>7.9954000000000001</v>
      </c>
      <c r="F323" s="1">
        <v>8.6929999999999996</v>
      </c>
      <c r="G323" s="1">
        <v>9.3756000000000004</v>
      </c>
    </row>
    <row r="324" spans="4:7" x14ac:dyDescent="0.2">
      <c r="D324" s="17">
        <v>44476</v>
      </c>
      <c r="E324" s="1">
        <v>7.9954000000000001</v>
      </c>
      <c r="F324" s="1">
        <v>8.7143999999999995</v>
      </c>
      <c r="G324" s="1">
        <v>9.3756000000000004</v>
      </c>
    </row>
    <row r="325" spans="4:7" x14ac:dyDescent="0.2">
      <c r="D325" s="17">
        <v>44477</v>
      </c>
      <c r="E325" s="1">
        <v>8.1434999999999995</v>
      </c>
      <c r="F325" s="1">
        <v>8.7123000000000008</v>
      </c>
      <c r="G325" s="1">
        <v>9.1160999999999994</v>
      </c>
    </row>
    <row r="326" spans="4:7" x14ac:dyDescent="0.2">
      <c r="D326" s="17">
        <v>44480</v>
      </c>
      <c r="E326" s="1">
        <v>8.1434999999999995</v>
      </c>
      <c r="F326" s="1">
        <v>8.7759</v>
      </c>
      <c r="G326" s="1">
        <v>9.5393000000000008</v>
      </c>
    </row>
    <row r="327" spans="4:7" x14ac:dyDescent="0.2">
      <c r="D327" s="17">
        <v>44482</v>
      </c>
      <c r="E327" s="1">
        <v>8.1434999999999995</v>
      </c>
      <c r="F327" s="1">
        <v>8.7713999999999999</v>
      </c>
      <c r="G327" s="1">
        <v>9.5393000000000008</v>
      </c>
    </row>
    <row r="328" spans="4:7" x14ac:dyDescent="0.2">
      <c r="D328" s="17">
        <v>44483</v>
      </c>
      <c r="E328" s="1">
        <v>8.1434999999999995</v>
      </c>
      <c r="F328" s="1">
        <v>8.7803000000000004</v>
      </c>
      <c r="G328" s="1">
        <v>9.4740000000000002</v>
      </c>
    </row>
    <row r="329" spans="4:7" x14ac:dyDescent="0.2">
      <c r="D329" s="17">
        <v>44484</v>
      </c>
      <c r="E329" s="1">
        <v>8.2081999999999997</v>
      </c>
      <c r="F329" s="1">
        <v>8.7911999999999999</v>
      </c>
      <c r="G329" s="1">
        <v>9.4981000000000009</v>
      </c>
    </row>
    <row r="330" spans="4:7" x14ac:dyDescent="0.2">
      <c r="D330" s="17">
        <v>44487</v>
      </c>
      <c r="E330" s="1">
        <v>8.2081999999999997</v>
      </c>
      <c r="F330" s="1">
        <v>8.8018999999999998</v>
      </c>
      <c r="G330" s="1">
        <v>9.4981000000000009</v>
      </c>
    </row>
    <row r="331" spans="4:7" x14ac:dyDescent="0.2">
      <c r="D331" s="17">
        <v>44488</v>
      </c>
      <c r="E331" s="1">
        <v>8.2081999999999997</v>
      </c>
      <c r="F331" s="1">
        <v>8.8019999999999996</v>
      </c>
      <c r="G331" s="1">
        <v>9.4740000000000002</v>
      </c>
    </row>
    <row r="332" spans="4:7" x14ac:dyDescent="0.2">
      <c r="D332" s="17">
        <v>44489</v>
      </c>
      <c r="E332" s="1">
        <v>8.2081999999999997</v>
      </c>
      <c r="F332" s="1">
        <v>8.8344000000000005</v>
      </c>
      <c r="G332" s="1">
        <v>9.4740000000000002</v>
      </c>
    </row>
    <row r="333" spans="4:7" x14ac:dyDescent="0.2">
      <c r="D333" s="17">
        <v>44490</v>
      </c>
      <c r="E333" s="1">
        <v>8.2081999999999997</v>
      </c>
      <c r="F333" s="1">
        <v>8.8453999999999997</v>
      </c>
      <c r="G333" s="1">
        <v>9.4740000000000002</v>
      </c>
    </row>
    <row r="334" spans="4:7" x14ac:dyDescent="0.2">
      <c r="D334" s="17">
        <v>44491</v>
      </c>
      <c r="E334" s="1">
        <v>8.2327999999999992</v>
      </c>
      <c r="F334" s="1">
        <v>9.0510000000000002</v>
      </c>
      <c r="G334" s="1">
        <v>9.6588999999999992</v>
      </c>
    </row>
    <row r="335" spans="4:7" x14ac:dyDescent="0.2">
      <c r="D335" s="17">
        <v>44494</v>
      </c>
      <c r="E335" s="1">
        <v>8.2327999999999992</v>
      </c>
      <c r="F335" s="1">
        <v>9.0996000000000006</v>
      </c>
      <c r="G335" s="1">
        <v>9.6588999999999992</v>
      </c>
    </row>
    <row r="336" spans="4:7" x14ac:dyDescent="0.2">
      <c r="D336" s="17">
        <v>44495</v>
      </c>
      <c r="E336" s="1">
        <v>8.2327999999999992</v>
      </c>
      <c r="F336" s="1">
        <v>9.1158999999999999</v>
      </c>
      <c r="G336" s="1">
        <v>9.8323</v>
      </c>
    </row>
    <row r="337" spans="4:7" x14ac:dyDescent="0.2">
      <c r="D337" s="17">
        <v>44496</v>
      </c>
      <c r="E337" s="1">
        <v>8.2327999999999992</v>
      </c>
      <c r="F337" s="1">
        <v>9.1539000000000001</v>
      </c>
      <c r="G337" s="1">
        <v>10.014799999999999</v>
      </c>
    </row>
    <row r="338" spans="4:7" x14ac:dyDescent="0.2">
      <c r="D338" s="17">
        <v>44497</v>
      </c>
      <c r="E338" s="1">
        <v>8.2327999999999992</v>
      </c>
      <c r="F338" s="1">
        <v>9.1701999999999995</v>
      </c>
      <c r="G338" s="1">
        <v>10.014799999999999</v>
      </c>
    </row>
    <row r="339" spans="4:7" x14ac:dyDescent="0.2">
      <c r="D339" s="17">
        <v>44498</v>
      </c>
      <c r="E339" s="1">
        <v>8.7263000000000002</v>
      </c>
      <c r="F339" s="1">
        <v>9.4032</v>
      </c>
      <c r="G339" s="1">
        <v>9.8652999999999995</v>
      </c>
    </row>
    <row r="340" spans="4:7" x14ac:dyDescent="0.2">
      <c r="D340" s="17">
        <v>44501</v>
      </c>
      <c r="E340" s="1">
        <v>8.9640000000000004</v>
      </c>
      <c r="F340" s="1">
        <v>9.4461999999999993</v>
      </c>
      <c r="G340" s="1">
        <v>9.8652999999999995</v>
      </c>
    </row>
    <row r="341" spans="4:7" x14ac:dyDescent="0.2">
      <c r="D341" s="17">
        <v>44503</v>
      </c>
      <c r="E341" s="1">
        <v>8.9425000000000008</v>
      </c>
      <c r="F341" s="1">
        <v>9.4406999999999996</v>
      </c>
      <c r="G341" s="1">
        <v>9.9743999999999993</v>
      </c>
    </row>
    <row r="342" spans="4:7" x14ac:dyDescent="0.2">
      <c r="D342" s="17">
        <v>44504</v>
      </c>
      <c r="E342" s="1">
        <v>8.6609999999999996</v>
      </c>
      <c r="F342" s="1">
        <v>9.4300999999999995</v>
      </c>
      <c r="G342" s="1">
        <v>9.9743999999999993</v>
      </c>
    </row>
    <row r="343" spans="4:7" x14ac:dyDescent="0.2">
      <c r="D343" s="17">
        <v>44505</v>
      </c>
      <c r="E343" s="1">
        <v>8.6609999999999996</v>
      </c>
      <c r="F343" s="1">
        <v>9.4626000000000001</v>
      </c>
      <c r="G343" s="1">
        <v>9.9743999999999993</v>
      </c>
    </row>
    <row r="344" spans="4:7" x14ac:dyDescent="0.2">
      <c r="D344" s="17">
        <v>44508</v>
      </c>
      <c r="E344" s="1">
        <v>8.7370999999999999</v>
      </c>
      <c r="F344" s="1">
        <v>9.4736999999999991</v>
      </c>
      <c r="G344" s="1">
        <v>10.1271</v>
      </c>
    </row>
    <row r="345" spans="4:7" x14ac:dyDescent="0.2">
      <c r="D345" s="17">
        <v>44509</v>
      </c>
      <c r="E345" s="1">
        <v>8.7370999999999999</v>
      </c>
      <c r="F345" s="1">
        <v>9.4841999999999995</v>
      </c>
      <c r="G345" s="1">
        <v>10.1271</v>
      </c>
    </row>
    <row r="346" spans="4:7" x14ac:dyDescent="0.2">
      <c r="D346" s="17">
        <v>44510</v>
      </c>
      <c r="E346" s="1">
        <v>8.9</v>
      </c>
      <c r="F346" s="1">
        <v>9.7807999999999993</v>
      </c>
      <c r="G346" s="1">
        <v>10.52</v>
      </c>
    </row>
    <row r="347" spans="4:7" x14ac:dyDescent="0.2">
      <c r="D347" s="17">
        <v>44511</v>
      </c>
      <c r="E347" s="1">
        <v>8.9</v>
      </c>
      <c r="F347" s="1">
        <v>9.8375000000000004</v>
      </c>
      <c r="G347" s="1">
        <v>10.52</v>
      </c>
    </row>
    <row r="348" spans="4:7" x14ac:dyDescent="0.2">
      <c r="D348" s="17">
        <v>44512</v>
      </c>
      <c r="E348" s="1">
        <v>8.9</v>
      </c>
      <c r="F348" s="1">
        <v>10.1043</v>
      </c>
      <c r="G348" s="1">
        <v>10.5307</v>
      </c>
    </row>
    <row r="349" spans="4:7" x14ac:dyDescent="0.2">
      <c r="D349" s="17">
        <v>44516</v>
      </c>
      <c r="E349" s="1">
        <v>8.9</v>
      </c>
      <c r="F349" s="1">
        <v>10.115600000000001</v>
      </c>
      <c r="G349" s="1">
        <v>10.5307</v>
      </c>
    </row>
    <row r="350" spans="4:7" x14ac:dyDescent="0.2">
      <c r="D350" s="17">
        <v>44517</v>
      </c>
      <c r="E350" s="1">
        <v>9.5376999999999992</v>
      </c>
      <c r="F350" s="1">
        <v>10.115600000000001</v>
      </c>
      <c r="G350" s="1">
        <v>10.5307</v>
      </c>
    </row>
    <row r="351" spans="4:7" x14ac:dyDescent="0.2">
      <c r="D351" s="17">
        <v>44518</v>
      </c>
      <c r="E351" s="1">
        <v>9.5378000000000007</v>
      </c>
      <c r="F351" s="1">
        <v>10.1264</v>
      </c>
      <c r="G351" s="1">
        <v>10.5746</v>
      </c>
    </row>
    <row r="352" spans="4:7" x14ac:dyDescent="0.2">
      <c r="D352" s="17">
        <v>44519</v>
      </c>
      <c r="E352" s="1">
        <v>9.5378000000000007</v>
      </c>
      <c r="F352" s="1">
        <v>10.159000000000001</v>
      </c>
      <c r="G352" s="1">
        <v>10.5747</v>
      </c>
    </row>
    <row r="353" spans="4:7" x14ac:dyDescent="0.2">
      <c r="D353" s="17">
        <v>44522</v>
      </c>
      <c r="E353" s="1">
        <v>9.5698000000000008</v>
      </c>
      <c r="F353" s="1">
        <v>10.1701</v>
      </c>
      <c r="G353" s="1">
        <v>10.5747</v>
      </c>
    </row>
    <row r="354" spans="4:7" x14ac:dyDescent="0.2">
      <c r="D354" s="17">
        <v>44523</v>
      </c>
      <c r="E354" s="1">
        <v>9.7555999999999994</v>
      </c>
      <c r="F354" s="1">
        <v>10.1919</v>
      </c>
      <c r="G354" s="1">
        <v>10.5747</v>
      </c>
    </row>
    <row r="355" spans="4:7" x14ac:dyDescent="0.2">
      <c r="D355" s="17">
        <v>44524</v>
      </c>
      <c r="E355" s="1">
        <v>9.7555999999999994</v>
      </c>
      <c r="F355" s="1">
        <v>10.192</v>
      </c>
      <c r="G355" s="1">
        <v>10.5747</v>
      </c>
    </row>
    <row r="356" spans="4:7" x14ac:dyDescent="0.2">
      <c r="D356" s="17">
        <v>44525</v>
      </c>
      <c r="E356" s="1">
        <v>9.7555999999999994</v>
      </c>
      <c r="F356" s="1">
        <v>10.1919</v>
      </c>
      <c r="G356" s="1">
        <v>10.5747</v>
      </c>
    </row>
    <row r="357" spans="4:7" x14ac:dyDescent="0.2">
      <c r="D357" s="17">
        <v>44526</v>
      </c>
      <c r="E357" s="1">
        <v>9.7555999999999994</v>
      </c>
      <c r="F357" s="1">
        <v>10.1914</v>
      </c>
      <c r="G357" s="1">
        <v>10.563499999999999</v>
      </c>
    </row>
    <row r="358" spans="4:7" x14ac:dyDescent="0.2">
      <c r="D358" s="17">
        <v>44529</v>
      </c>
      <c r="E358" s="1">
        <v>9.8643000000000001</v>
      </c>
      <c r="F358" s="1">
        <v>10.1911</v>
      </c>
      <c r="G358" s="1">
        <v>10.563499999999999</v>
      </c>
    </row>
    <row r="359" spans="4:7" x14ac:dyDescent="0.2">
      <c r="D359" s="17">
        <v>44530</v>
      </c>
      <c r="E359" s="1">
        <v>9.8643000000000001</v>
      </c>
      <c r="F359" s="1">
        <v>10.1911</v>
      </c>
      <c r="G359" s="1">
        <v>10.563499999999999</v>
      </c>
    </row>
    <row r="360" spans="4:7" x14ac:dyDescent="0.2">
      <c r="D360" s="17">
        <v>44531</v>
      </c>
      <c r="E360" s="1">
        <v>9.8643000000000001</v>
      </c>
      <c r="F360" s="1">
        <v>10.1701</v>
      </c>
      <c r="G360" s="1">
        <v>10.563499999999999</v>
      </c>
    </row>
    <row r="361" spans="4:7" x14ac:dyDescent="0.2">
      <c r="D361" s="17"/>
    </row>
    <row r="362" spans="4:7" x14ac:dyDescent="0.2">
      <c r="D362" s="17"/>
    </row>
    <row r="363" spans="4:7" x14ac:dyDescent="0.2">
      <c r="D363" s="17"/>
    </row>
    <row r="364" spans="4:7" x14ac:dyDescent="0.2">
      <c r="D364" s="17"/>
    </row>
    <row r="365" spans="4:7" x14ac:dyDescent="0.2">
      <c r="D365" s="17"/>
    </row>
    <row r="366" spans="4:7" x14ac:dyDescent="0.2">
      <c r="D366" s="17"/>
    </row>
    <row r="367" spans="4:7" x14ac:dyDescent="0.2">
      <c r="D367" s="17"/>
    </row>
    <row r="368" spans="4:7" x14ac:dyDescent="0.2">
      <c r="D368" s="17"/>
    </row>
    <row r="369" spans="4:4" x14ac:dyDescent="0.2">
      <c r="D369" s="17"/>
    </row>
    <row r="370" spans="4:4" x14ac:dyDescent="0.2">
      <c r="D370" s="17"/>
    </row>
    <row r="371" spans="4:4" x14ac:dyDescent="0.2">
      <c r="D371" s="17"/>
    </row>
    <row r="372" spans="4:4" x14ac:dyDescent="0.2">
      <c r="D372" s="17"/>
    </row>
    <row r="373" spans="4:4" x14ac:dyDescent="0.2">
      <c r="D373" s="17"/>
    </row>
    <row r="374" spans="4:4" x14ac:dyDescent="0.2">
      <c r="D374" s="17"/>
    </row>
    <row r="375" spans="4:4" x14ac:dyDescent="0.2">
      <c r="D375" s="17"/>
    </row>
    <row r="376" spans="4:4" x14ac:dyDescent="0.2">
      <c r="D376" s="17"/>
    </row>
    <row r="377" spans="4:4" x14ac:dyDescent="0.2">
      <c r="D377" s="17"/>
    </row>
    <row r="378" spans="4:4" x14ac:dyDescent="0.2">
      <c r="D378" s="17"/>
    </row>
    <row r="379" spans="4:4" x14ac:dyDescent="0.2">
      <c r="D379" s="17"/>
    </row>
    <row r="380" spans="4:4" x14ac:dyDescent="0.2">
      <c r="D380" s="17"/>
    </row>
    <row r="381" spans="4:4" x14ac:dyDescent="0.2">
      <c r="D381" s="17"/>
    </row>
    <row r="382" spans="4:4" x14ac:dyDescent="0.2">
      <c r="D382" s="17"/>
    </row>
    <row r="383" spans="4:4" x14ac:dyDescent="0.2">
      <c r="D383" s="17"/>
    </row>
    <row r="384" spans="4:4" x14ac:dyDescent="0.2">
      <c r="D384" s="17"/>
    </row>
    <row r="385" spans="4:4" x14ac:dyDescent="0.2">
      <c r="D385" s="17"/>
    </row>
    <row r="386" spans="4:4" x14ac:dyDescent="0.2">
      <c r="D386" s="17"/>
    </row>
    <row r="387" spans="4:4" x14ac:dyDescent="0.2">
      <c r="D387" s="17"/>
    </row>
    <row r="388" spans="4:4" x14ac:dyDescent="0.2">
      <c r="D388" s="17"/>
    </row>
    <row r="389" spans="4:4" x14ac:dyDescent="0.2">
      <c r="D389" s="17"/>
    </row>
    <row r="390" spans="4:4" x14ac:dyDescent="0.2">
      <c r="D390" s="17"/>
    </row>
    <row r="391" spans="4:4" x14ac:dyDescent="0.2">
      <c r="D391" s="17"/>
    </row>
    <row r="392" spans="4:4" x14ac:dyDescent="0.2">
      <c r="D392" s="17"/>
    </row>
    <row r="393" spans="4:4" x14ac:dyDescent="0.2">
      <c r="D393" s="17"/>
    </row>
    <row r="394" spans="4:4" x14ac:dyDescent="0.2">
      <c r="D394" s="17"/>
    </row>
    <row r="395" spans="4:4" x14ac:dyDescent="0.2">
      <c r="D395" s="17"/>
    </row>
    <row r="396" spans="4:4" x14ac:dyDescent="0.2">
      <c r="D396" s="17"/>
    </row>
    <row r="397" spans="4:4" x14ac:dyDescent="0.2">
      <c r="D397" s="17"/>
    </row>
    <row r="398" spans="4:4" x14ac:dyDescent="0.2">
      <c r="D398" s="17"/>
    </row>
    <row r="399" spans="4:4" x14ac:dyDescent="0.2">
      <c r="D399" s="17"/>
    </row>
    <row r="400" spans="4:4" x14ac:dyDescent="0.2">
      <c r="D400" s="17"/>
    </row>
    <row r="401" spans="4:4" x14ac:dyDescent="0.2">
      <c r="D401" s="17"/>
    </row>
    <row r="402" spans="4:4" x14ac:dyDescent="0.2">
      <c r="D402" s="17"/>
    </row>
    <row r="403" spans="4:4" x14ac:dyDescent="0.2">
      <c r="D403" s="17"/>
    </row>
    <row r="404" spans="4:4" x14ac:dyDescent="0.2">
      <c r="D404" s="17"/>
    </row>
    <row r="405" spans="4:4" x14ac:dyDescent="0.2">
      <c r="D405" s="17"/>
    </row>
    <row r="406" spans="4:4" x14ac:dyDescent="0.2">
      <c r="D406" s="17"/>
    </row>
    <row r="407" spans="4:4" x14ac:dyDescent="0.2">
      <c r="D407" s="17"/>
    </row>
    <row r="408" spans="4:4" x14ac:dyDescent="0.2">
      <c r="D408" s="17"/>
    </row>
    <row r="409" spans="4:4" x14ac:dyDescent="0.2">
      <c r="D409" s="17"/>
    </row>
    <row r="410" spans="4:4" x14ac:dyDescent="0.2">
      <c r="D410" s="17"/>
    </row>
    <row r="411" spans="4:4" x14ac:dyDescent="0.2">
      <c r="D411" s="17"/>
    </row>
    <row r="412" spans="4:4" x14ac:dyDescent="0.2">
      <c r="D412" s="17"/>
    </row>
    <row r="413" spans="4:4" x14ac:dyDescent="0.2">
      <c r="D413" s="17"/>
    </row>
    <row r="414" spans="4:4" x14ac:dyDescent="0.2">
      <c r="D414" s="17"/>
    </row>
    <row r="415" spans="4:4" x14ac:dyDescent="0.2">
      <c r="D415" s="17"/>
    </row>
    <row r="416" spans="4:4" x14ac:dyDescent="0.2">
      <c r="D416" s="17"/>
    </row>
    <row r="417" spans="4:4" x14ac:dyDescent="0.2">
      <c r="D417" s="17"/>
    </row>
    <row r="418" spans="4:4" x14ac:dyDescent="0.2">
      <c r="D418" s="17"/>
    </row>
    <row r="419" spans="4:4" x14ac:dyDescent="0.2">
      <c r="D419" s="17"/>
    </row>
    <row r="420" spans="4:4" x14ac:dyDescent="0.2">
      <c r="D420" s="17"/>
    </row>
    <row r="421" spans="4:4" x14ac:dyDescent="0.2">
      <c r="D421" s="17"/>
    </row>
    <row r="422" spans="4:4" x14ac:dyDescent="0.2">
      <c r="D422" s="17"/>
    </row>
    <row r="423" spans="4:4" x14ac:dyDescent="0.2">
      <c r="D423" s="17"/>
    </row>
    <row r="424" spans="4:4" x14ac:dyDescent="0.2">
      <c r="D424" s="17"/>
    </row>
    <row r="425" spans="4:4" x14ac:dyDescent="0.2">
      <c r="D425" s="17"/>
    </row>
    <row r="426" spans="4:4" x14ac:dyDescent="0.2">
      <c r="D426" s="17"/>
    </row>
    <row r="427" spans="4:4" x14ac:dyDescent="0.2">
      <c r="D427" s="17"/>
    </row>
    <row r="428" spans="4:4" x14ac:dyDescent="0.2">
      <c r="D428" s="17"/>
    </row>
    <row r="429" spans="4:4" x14ac:dyDescent="0.2">
      <c r="D429" s="17"/>
    </row>
    <row r="430" spans="4:4" x14ac:dyDescent="0.2">
      <c r="D430" s="17"/>
    </row>
    <row r="431" spans="4:4" x14ac:dyDescent="0.2">
      <c r="D431" s="17"/>
    </row>
    <row r="432" spans="4:4" x14ac:dyDescent="0.2">
      <c r="D432" s="17"/>
    </row>
    <row r="433" spans="4:4" x14ac:dyDescent="0.2">
      <c r="D433" s="17"/>
    </row>
    <row r="434" spans="4:4" x14ac:dyDescent="0.2">
      <c r="D434" s="17"/>
    </row>
    <row r="435" spans="4:4" x14ac:dyDescent="0.2">
      <c r="D435" s="17"/>
    </row>
    <row r="436" spans="4:4" x14ac:dyDescent="0.2">
      <c r="D436" s="17"/>
    </row>
    <row r="437" spans="4:4" x14ac:dyDescent="0.2">
      <c r="D437" s="17"/>
    </row>
    <row r="438" spans="4:4" x14ac:dyDescent="0.2">
      <c r="D438" s="17"/>
    </row>
    <row r="439" spans="4:4" x14ac:dyDescent="0.2">
      <c r="D439" s="17"/>
    </row>
    <row r="440" spans="4:4" x14ac:dyDescent="0.2">
      <c r="D440" s="17"/>
    </row>
    <row r="441" spans="4:4" x14ac:dyDescent="0.2">
      <c r="D441" s="17"/>
    </row>
    <row r="442" spans="4:4" x14ac:dyDescent="0.2">
      <c r="D442" s="17"/>
    </row>
    <row r="443" spans="4:4" x14ac:dyDescent="0.2">
      <c r="D443" s="17"/>
    </row>
    <row r="444" spans="4:4" x14ac:dyDescent="0.2">
      <c r="D444" s="17"/>
    </row>
    <row r="445" spans="4:4" x14ac:dyDescent="0.2">
      <c r="D445" s="17"/>
    </row>
    <row r="446" spans="4:4" x14ac:dyDescent="0.2">
      <c r="D446" s="17"/>
    </row>
    <row r="447" spans="4:4" x14ac:dyDescent="0.2">
      <c r="D447" s="17"/>
    </row>
    <row r="448" spans="4:4" x14ac:dyDescent="0.2">
      <c r="D448" s="17"/>
    </row>
    <row r="449" spans="4:4" x14ac:dyDescent="0.2">
      <c r="D449" s="17"/>
    </row>
    <row r="450" spans="4:4" x14ac:dyDescent="0.2">
      <c r="D450" s="17"/>
    </row>
    <row r="451" spans="4:4" x14ac:dyDescent="0.2">
      <c r="D451" s="17"/>
    </row>
    <row r="452" spans="4:4" x14ac:dyDescent="0.2">
      <c r="D452" s="17"/>
    </row>
    <row r="453" spans="4:4" x14ac:dyDescent="0.2">
      <c r="D453" s="17"/>
    </row>
    <row r="454" spans="4:4" x14ac:dyDescent="0.2">
      <c r="D454" s="17"/>
    </row>
    <row r="455" spans="4:4" x14ac:dyDescent="0.2">
      <c r="D455" s="17"/>
    </row>
    <row r="456" spans="4:4" x14ac:dyDescent="0.2">
      <c r="D456" s="17"/>
    </row>
    <row r="457" spans="4:4" x14ac:dyDescent="0.2">
      <c r="D457" s="17"/>
    </row>
    <row r="458" spans="4:4" x14ac:dyDescent="0.2">
      <c r="D458" s="17"/>
    </row>
    <row r="459" spans="4:4" x14ac:dyDescent="0.2">
      <c r="D459" s="17"/>
    </row>
    <row r="460" spans="4:4" x14ac:dyDescent="0.2">
      <c r="D460" s="17"/>
    </row>
    <row r="461" spans="4:4" x14ac:dyDescent="0.2">
      <c r="D461" s="17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D3E03-A6DE-4C04-9707-C6443C224173}">
  <sheetPr codeName="Planilha6"/>
  <dimension ref="A1:P399"/>
  <sheetViews>
    <sheetView workbookViewId="0">
      <selection activeCell="B18" sqref="B18"/>
    </sheetView>
  </sheetViews>
  <sheetFormatPr defaultRowHeight="12.75" x14ac:dyDescent="0.2"/>
  <cols>
    <col min="1" max="1" width="33.5703125" style="1" customWidth="1"/>
    <col min="2" max="2" width="12.85546875" style="1" bestFit="1" customWidth="1"/>
    <col min="3" max="3" width="10.140625" style="1" bestFit="1" customWidth="1"/>
    <col min="4" max="4" width="12" style="1" customWidth="1"/>
    <col min="5" max="8" width="9.140625" style="1"/>
    <col min="9" max="9" width="15.7109375" style="1" bestFit="1" customWidth="1"/>
    <col min="10" max="16384" width="9.140625" style="1"/>
  </cols>
  <sheetData>
    <row r="1" spans="1:16" ht="15.75" x14ac:dyDescent="0.25">
      <c r="A1" s="9" t="s">
        <v>89</v>
      </c>
      <c r="I1" s="3" t="s">
        <v>60</v>
      </c>
      <c r="J1" s="60" t="str">
        <f>"FOCUS forecast for "&amp;$B$3&amp;" 12 months ahead "</f>
        <v xml:space="preserve">FOCUS forecast for IGP-DI 12 months ahead </v>
      </c>
      <c r="K1" s="61"/>
      <c r="L1" s="61"/>
      <c r="M1" s="61"/>
      <c r="N1" s="61"/>
      <c r="O1" s="61"/>
      <c r="P1" s="61"/>
    </row>
    <row r="3" spans="1:16" x14ac:dyDescent="0.2">
      <c r="A3" s="3" t="s">
        <v>61</v>
      </c>
      <c r="B3" s="18" t="s">
        <v>114</v>
      </c>
      <c r="D3" s="1" t="s">
        <v>13</v>
      </c>
      <c r="E3" s="1" t="s">
        <v>15</v>
      </c>
      <c r="F3" s="1" t="s">
        <v>17</v>
      </c>
      <c r="G3" s="1" t="s">
        <v>21</v>
      </c>
    </row>
    <row r="4" spans="1:16" x14ac:dyDescent="0.2">
      <c r="A4" s="3" t="s">
        <v>62</v>
      </c>
      <c r="B4" s="18"/>
      <c r="D4" s="17" cm="1">
        <f t="array" ref="D4:G264">xlFOCUS_Expectativas12Meses($B$3,B4,B5,B6,B7,B8,D3:G3)</f>
        <v>43861</v>
      </c>
      <c r="E4" s="1">
        <v>1.41</v>
      </c>
      <c r="F4" s="1">
        <v>4</v>
      </c>
      <c r="G4" s="1">
        <v>6.17</v>
      </c>
    </row>
    <row r="5" spans="1:16" x14ac:dyDescent="0.2">
      <c r="A5" s="3" t="s">
        <v>67</v>
      </c>
      <c r="B5" s="18" t="s">
        <v>68</v>
      </c>
      <c r="D5" s="17">
        <v>43864</v>
      </c>
      <c r="E5" s="1">
        <v>1.41</v>
      </c>
      <c r="F5" s="1">
        <v>4</v>
      </c>
      <c r="G5" s="1">
        <v>6.17</v>
      </c>
    </row>
    <row r="6" spans="1:16" x14ac:dyDescent="0.2">
      <c r="A6" s="3" t="s">
        <v>64</v>
      </c>
      <c r="B6" s="14">
        <v>43861</v>
      </c>
      <c r="D6" s="17">
        <v>43865</v>
      </c>
      <c r="E6" s="1">
        <v>1.41</v>
      </c>
      <c r="F6" s="1">
        <v>4</v>
      </c>
      <c r="G6" s="1">
        <v>6.17</v>
      </c>
    </row>
    <row r="7" spans="1:16" x14ac:dyDescent="0.2">
      <c r="A7" s="3" t="s">
        <v>65</v>
      </c>
      <c r="B7" s="14">
        <v>44531</v>
      </c>
      <c r="D7" s="17">
        <v>43866</v>
      </c>
      <c r="E7" s="1">
        <v>1.41</v>
      </c>
      <c r="F7" s="1">
        <v>4</v>
      </c>
      <c r="G7" s="1">
        <v>6.17</v>
      </c>
    </row>
    <row r="8" spans="1:16" x14ac:dyDescent="0.2">
      <c r="A8" s="3" t="s">
        <v>66</v>
      </c>
      <c r="B8" s="18">
        <v>0</v>
      </c>
      <c r="D8" s="17">
        <v>43867</v>
      </c>
      <c r="E8" s="1">
        <v>1.41</v>
      </c>
      <c r="F8" s="1">
        <v>4</v>
      </c>
      <c r="G8" s="1">
        <v>6.17</v>
      </c>
    </row>
    <row r="9" spans="1:16" x14ac:dyDescent="0.2">
      <c r="D9" s="17">
        <v>43868</v>
      </c>
      <c r="E9" s="1">
        <v>1.41</v>
      </c>
      <c r="F9" s="1">
        <v>4</v>
      </c>
      <c r="G9" s="1">
        <v>6.27</v>
      </c>
    </row>
    <row r="10" spans="1:16" x14ac:dyDescent="0.2">
      <c r="D10" s="17">
        <v>43871</v>
      </c>
      <c r="E10" s="1">
        <v>1.41</v>
      </c>
      <c r="F10" s="1">
        <v>3.99</v>
      </c>
      <c r="G10" s="1">
        <v>6.27</v>
      </c>
    </row>
    <row r="11" spans="1:16" x14ac:dyDescent="0.2">
      <c r="D11" s="17">
        <v>43872</v>
      </c>
      <c r="E11" s="1">
        <v>1.41</v>
      </c>
      <c r="F11" s="1">
        <v>3.99</v>
      </c>
      <c r="G11" s="1">
        <v>6.27</v>
      </c>
    </row>
    <row r="12" spans="1:16" x14ac:dyDescent="0.2">
      <c r="D12" s="17">
        <v>43873</v>
      </c>
      <c r="E12" s="1">
        <v>1.41</v>
      </c>
      <c r="F12" s="1">
        <v>3.99</v>
      </c>
      <c r="G12" s="1">
        <v>6.27</v>
      </c>
    </row>
    <row r="13" spans="1:16" x14ac:dyDescent="0.2">
      <c r="D13" s="17">
        <v>43874</v>
      </c>
      <c r="E13" s="1">
        <v>1.41</v>
      </c>
      <c r="F13" s="1">
        <v>3.99</v>
      </c>
      <c r="G13" s="1">
        <v>6.27</v>
      </c>
    </row>
    <row r="14" spans="1:16" x14ac:dyDescent="0.2">
      <c r="D14" s="17">
        <v>43875</v>
      </c>
      <c r="E14" s="1">
        <v>1.41</v>
      </c>
      <c r="F14" s="1">
        <v>3.99</v>
      </c>
      <c r="G14" s="1">
        <v>6.27</v>
      </c>
    </row>
    <row r="15" spans="1:16" x14ac:dyDescent="0.2">
      <c r="D15" s="17">
        <v>43878</v>
      </c>
      <c r="E15" s="1">
        <v>1.41</v>
      </c>
      <c r="F15" s="1">
        <v>3.92</v>
      </c>
      <c r="G15" s="1">
        <v>6.27</v>
      </c>
    </row>
    <row r="16" spans="1:16" x14ac:dyDescent="0.2">
      <c r="D16" s="17">
        <v>43879</v>
      </c>
      <c r="E16" s="1">
        <v>1.41</v>
      </c>
      <c r="F16" s="1">
        <v>3.97</v>
      </c>
      <c r="G16" s="1">
        <v>6.27</v>
      </c>
    </row>
    <row r="17" spans="4:7" x14ac:dyDescent="0.2">
      <c r="D17" s="17">
        <v>43880</v>
      </c>
      <c r="E17" s="1">
        <v>1.41</v>
      </c>
      <c r="F17" s="1">
        <v>3.97</v>
      </c>
      <c r="G17" s="1">
        <v>6.27</v>
      </c>
    </row>
    <row r="18" spans="4:7" x14ac:dyDescent="0.2">
      <c r="D18" s="17">
        <v>43881</v>
      </c>
      <c r="E18" s="1">
        <v>1.41</v>
      </c>
      <c r="F18" s="1">
        <v>3.92</v>
      </c>
      <c r="G18" s="1">
        <v>6.27</v>
      </c>
    </row>
    <row r="19" spans="4:7" x14ac:dyDescent="0.2">
      <c r="D19" s="17">
        <v>43882</v>
      </c>
      <c r="E19" s="1">
        <v>1.41</v>
      </c>
      <c r="F19" s="1">
        <v>3.92</v>
      </c>
      <c r="G19" s="1">
        <v>6.27</v>
      </c>
    </row>
    <row r="20" spans="4:7" x14ac:dyDescent="0.2">
      <c r="D20" s="17">
        <v>43887</v>
      </c>
      <c r="E20" s="1">
        <v>2.8</v>
      </c>
      <c r="F20" s="1">
        <v>4.0199999999999996</v>
      </c>
      <c r="G20" s="1">
        <v>6.27</v>
      </c>
    </row>
    <row r="21" spans="4:7" x14ac:dyDescent="0.2">
      <c r="D21" s="17">
        <v>43888</v>
      </c>
      <c r="E21" s="1">
        <v>2.8</v>
      </c>
      <c r="F21" s="1">
        <v>3.99</v>
      </c>
      <c r="G21" s="1">
        <v>6.27</v>
      </c>
    </row>
    <row r="22" spans="4:7" x14ac:dyDescent="0.2">
      <c r="D22" s="17">
        <v>43889</v>
      </c>
      <c r="E22" s="1">
        <v>1.41</v>
      </c>
      <c r="F22" s="1">
        <v>3.97</v>
      </c>
      <c r="G22" s="1">
        <v>6.27</v>
      </c>
    </row>
    <row r="23" spans="4:7" x14ac:dyDescent="0.2">
      <c r="D23" s="17">
        <v>43892</v>
      </c>
      <c r="E23" s="1">
        <v>1.41</v>
      </c>
      <c r="F23" s="1">
        <v>3.96</v>
      </c>
      <c r="G23" s="1">
        <v>6.27</v>
      </c>
    </row>
    <row r="24" spans="4:7" x14ac:dyDescent="0.2">
      <c r="D24" s="17">
        <v>43893</v>
      </c>
      <c r="E24" s="1">
        <v>1.41</v>
      </c>
      <c r="F24" s="1">
        <v>3.95</v>
      </c>
      <c r="G24" s="1">
        <v>6.27</v>
      </c>
    </row>
    <row r="25" spans="4:7" x14ac:dyDescent="0.2">
      <c r="D25" s="17">
        <v>43894</v>
      </c>
      <c r="E25" s="1">
        <v>1.41</v>
      </c>
      <c r="F25" s="1">
        <v>3.94</v>
      </c>
      <c r="G25" s="1">
        <v>6.27</v>
      </c>
    </row>
    <row r="26" spans="4:7" x14ac:dyDescent="0.2">
      <c r="D26" s="17">
        <v>43895</v>
      </c>
      <c r="E26" s="1">
        <v>1.41</v>
      </c>
      <c r="F26" s="1">
        <v>3.94</v>
      </c>
      <c r="G26" s="1">
        <v>6.27</v>
      </c>
    </row>
    <row r="27" spans="4:7" x14ac:dyDescent="0.2">
      <c r="D27" s="17">
        <v>43896</v>
      </c>
      <c r="E27" s="1">
        <v>1.41</v>
      </c>
      <c r="F27" s="1">
        <v>3.79</v>
      </c>
      <c r="G27" s="1">
        <v>6.27</v>
      </c>
    </row>
    <row r="28" spans="4:7" x14ac:dyDescent="0.2">
      <c r="D28" s="17">
        <v>43899</v>
      </c>
      <c r="E28" s="1">
        <v>1.41</v>
      </c>
      <c r="F28" s="1">
        <v>4.25</v>
      </c>
      <c r="G28" s="1">
        <v>6.17</v>
      </c>
    </row>
    <row r="29" spans="4:7" x14ac:dyDescent="0.2">
      <c r="D29" s="17">
        <v>43900</v>
      </c>
      <c r="E29" s="1">
        <v>1.41</v>
      </c>
      <c r="F29" s="1">
        <v>4.25</v>
      </c>
      <c r="G29" s="1">
        <v>6.17</v>
      </c>
    </row>
    <row r="30" spans="4:7" x14ac:dyDescent="0.2">
      <c r="D30" s="17">
        <v>43901</v>
      </c>
      <c r="E30" s="1">
        <v>1.41</v>
      </c>
      <c r="F30" s="1">
        <v>4.25</v>
      </c>
      <c r="G30" s="1">
        <v>6.17</v>
      </c>
    </row>
    <row r="31" spans="4:7" x14ac:dyDescent="0.2">
      <c r="D31" s="17">
        <v>43902</v>
      </c>
      <c r="E31" s="1">
        <v>1.41</v>
      </c>
      <c r="F31" s="1">
        <v>4.24</v>
      </c>
      <c r="G31" s="1">
        <v>6.17</v>
      </c>
    </row>
    <row r="32" spans="4:7" x14ac:dyDescent="0.2">
      <c r="D32" s="17">
        <v>43903</v>
      </c>
      <c r="E32" s="1">
        <v>1.41</v>
      </c>
      <c r="F32" s="1">
        <v>4.2300000000000004</v>
      </c>
      <c r="G32" s="1">
        <v>6.17</v>
      </c>
    </row>
    <row r="33" spans="4:7" x14ac:dyDescent="0.2">
      <c r="D33" s="17">
        <v>43906</v>
      </c>
      <c r="E33" s="1">
        <v>1.41</v>
      </c>
      <c r="F33" s="1">
        <v>4.24</v>
      </c>
      <c r="G33" s="1">
        <v>6.17</v>
      </c>
    </row>
    <row r="34" spans="4:7" x14ac:dyDescent="0.2">
      <c r="D34" s="17">
        <v>43907</v>
      </c>
      <c r="E34" s="1">
        <v>1.41</v>
      </c>
      <c r="F34" s="1">
        <v>4.24</v>
      </c>
      <c r="G34" s="1">
        <v>6.17</v>
      </c>
    </row>
    <row r="35" spans="4:7" x14ac:dyDescent="0.2">
      <c r="D35" s="17">
        <v>43908</v>
      </c>
      <c r="E35" s="1">
        <v>1.41</v>
      </c>
      <c r="F35" s="1">
        <v>4.24</v>
      </c>
      <c r="G35" s="1">
        <v>6.17</v>
      </c>
    </row>
    <row r="36" spans="4:7" x14ac:dyDescent="0.2">
      <c r="D36" s="17">
        <v>43909</v>
      </c>
      <c r="E36" s="1">
        <v>1.41</v>
      </c>
      <c r="F36" s="1">
        <v>4.24</v>
      </c>
      <c r="G36" s="1">
        <v>6.18</v>
      </c>
    </row>
    <row r="37" spans="4:7" x14ac:dyDescent="0.2">
      <c r="D37" s="17">
        <v>43910</v>
      </c>
      <c r="E37" s="1">
        <v>1.41</v>
      </c>
      <c r="F37" s="1">
        <v>4.3099999999999996</v>
      </c>
      <c r="G37" s="1">
        <v>6.18</v>
      </c>
    </row>
    <row r="38" spans="4:7" x14ac:dyDescent="0.2">
      <c r="D38" s="17">
        <v>43913</v>
      </c>
      <c r="E38" s="1">
        <v>1.41</v>
      </c>
      <c r="F38" s="1">
        <v>4.4400000000000004</v>
      </c>
      <c r="G38" s="1">
        <v>6.18</v>
      </c>
    </row>
    <row r="39" spans="4:7" x14ac:dyDescent="0.2">
      <c r="D39" s="17">
        <v>43914</v>
      </c>
      <c r="E39" s="1">
        <v>1.41</v>
      </c>
      <c r="F39" s="1">
        <v>4.4400000000000004</v>
      </c>
      <c r="G39" s="1">
        <v>6.18</v>
      </c>
    </row>
    <row r="40" spans="4:7" x14ac:dyDescent="0.2">
      <c r="D40" s="17">
        <v>43915</v>
      </c>
      <c r="E40" s="1">
        <v>1.41</v>
      </c>
      <c r="F40" s="1">
        <v>4.45</v>
      </c>
      <c r="G40" s="1">
        <v>6.18</v>
      </c>
    </row>
    <row r="41" spans="4:7" x14ac:dyDescent="0.2">
      <c r="D41" s="17">
        <v>43916</v>
      </c>
      <c r="E41" s="1">
        <v>1.41</v>
      </c>
      <c r="F41" s="1">
        <v>4.45</v>
      </c>
      <c r="G41" s="1">
        <v>6.18</v>
      </c>
    </row>
    <row r="42" spans="4:7" x14ac:dyDescent="0.2">
      <c r="D42" s="17">
        <v>43917</v>
      </c>
      <c r="E42" s="1">
        <v>1.41</v>
      </c>
      <c r="F42" s="1">
        <v>4.4400000000000004</v>
      </c>
      <c r="G42" s="1">
        <v>6.01</v>
      </c>
    </row>
    <row r="43" spans="4:7" x14ac:dyDescent="0.2">
      <c r="D43" s="17">
        <v>43920</v>
      </c>
      <c r="E43" s="1">
        <v>3.06</v>
      </c>
      <c r="F43" s="1">
        <v>4.45</v>
      </c>
      <c r="G43" s="1">
        <v>6.01</v>
      </c>
    </row>
    <row r="44" spans="4:7" x14ac:dyDescent="0.2">
      <c r="D44" s="17">
        <v>43921</v>
      </c>
      <c r="E44" s="1">
        <v>3.06</v>
      </c>
      <c r="F44" s="1">
        <v>4.45</v>
      </c>
      <c r="G44" s="1">
        <v>6.01</v>
      </c>
    </row>
    <row r="45" spans="4:7" x14ac:dyDescent="0.2">
      <c r="D45" s="17">
        <v>43922</v>
      </c>
      <c r="E45" s="1">
        <v>3.06</v>
      </c>
      <c r="F45" s="1">
        <v>4.45</v>
      </c>
      <c r="G45" s="1">
        <v>6.01</v>
      </c>
    </row>
    <row r="46" spans="4:7" x14ac:dyDescent="0.2">
      <c r="D46" s="17">
        <v>43923</v>
      </c>
      <c r="E46" s="1">
        <v>3.06</v>
      </c>
      <c r="F46" s="1">
        <v>4.45</v>
      </c>
      <c r="G46" s="1">
        <v>6.01</v>
      </c>
    </row>
    <row r="47" spans="4:7" x14ac:dyDescent="0.2">
      <c r="D47" s="17">
        <v>43924</v>
      </c>
      <c r="E47" s="1">
        <v>3.06</v>
      </c>
      <c r="F47" s="1">
        <v>4.74</v>
      </c>
      <c r="G47" s="1">
        <v>6.01</v>
      </c>
    </row>
    <row r="48" spans="4:7" x14ac:dyDescent="0.2">
      <c r="D48" s="17">
        <v>43929</v>
      </c>
      <c r="E48" s="1">
        <v>3.28</v>
      </c>
      <c r="F48" s="1">
        <v>4.24</v>
      </c>
      <c r="G48" s="1">
        <v>7.15</v>
      </c>
    </row>
    <row r="49" spans="4:7" x14ac:dyDescent="0.2">
      <c r="D49" s="17">
        <v>43928</v>
      </c>
      <c r="E49" s="1">
        <v>3.34</v>
      </c>
      <c r="F49" s="1">
        <v>4.2300000000000004</v>
      </c>
      <c r="G49" s="1">
        <v>5.2</v>
      </c>
    </row>
    <row r="50" spans="4:7" x14ac:dyDescent="0.2">
      <c r="D50" s="17">
        <v>43927</v>
      </c>
      <c r="E50" s="1">
        <v>3.34</v>
      </c>
      <c r="F50" s="1">
        <v>4.2300000000000004</v>
      </c>
      <c r="G50" s="1">
        <v>5.2</v>
      </c>
    </row>
    <row r="51" spans="4:7" x14ac:dyDescent="0.2">
      <c r="D51" s="17">
        <v>43930</v>
      </c>
      <c r="E51" s="1">
        <v>3.28</v>
      </c>
      <c r="F51" s="1">
        <v>4.24</v>
      </c>
      <c r="G51" s="1">
        <v>7.15</v>
      </c>
    </row>
    <row r="52" spans="4:7" x14ac:dyDescent="0.2">
      <c r="D52" s="17">
        <v>43934</v>
      </c>
      <c r="E52" s="1">
        <v>2.77</v>
      </c>
      <c r="F52" s="1">
        <v>4.2300000000000004</v>
      </c>
      <c r="G52" s="1">
        <v>7.15</v>
      </c>
    </row>
    <row r="53" spans="4:7" x14ac:dyDescent="0.2">
      <c r="D53" s="17">
        <v>43935</v>
      </c>
      <c r="E53" s="1">
        <v>2.77</v>
      </c>
      <c r="F53" s="1">
        <v>4.2300000000000004</v>
      </c>
      <c r="G53" s="1">
        <v>7.15</v>
      </c>
    </row>
    <row r="54" spans="4:7" x14ac:dyDescent="0.2">
      <c r="D54" s="17">
        <v>43936</v>
      </c>
      <c r="E54" s="1">
        <v>2.77</v>
      </c>
      <c r="F54" s="1">
        <v>4.2300000000000004</v>
      </c>
      <c r="G54" s="1">
        <v>7.15</v>
      </c>
    </row>
    <row r="55" spans="4:7" x14ac:dyDescent="0.2">
      <c r="D55" s="17">
        <v>43937</v>
      </c>
      <c r="E55" s="1">
        <v>2.77</v>
      </c>
      <c r="F55" s="1">
        <v>4.2300000000000004</v>
      </c>
      <c r="G55" s="1">
        <v>7.15</v>
      </c>
    </row>
    <row r="56" spans="4:7" x14ac:dyDescent="0.2">
      <c r="D56" s="17">
        <v>43938</v>
      </c>
      <c r="E56" s="1">
        <v>2.77</v>
      </c>
      <c r="F56" s="1">
        <v>4.1399999999999997</v>
      </c>
      <c r="G56" s="1">
        <v>7.15</v>
      </c>
    </row>
    <row r="57" spans="4:7" x14ac:dyDescent="0.2">
      <c r="D57" s="17">
        <v>43941</v>
      </c>
      <c r="E57" s="1">
        <v>2.82</v>
      </c>
      <c r="F57" s="1">
        <v>4.12</v>
      </c>
      <c r="G57" s="1">
        <v>7.15</v>
      </c>
    </row>
    <row r="58" spans="4:7" x14ac:dyDescent="0.2">
      <c r="D58" s="17">
        <v>43943</v>
      </c>
      <c r="E58" s="1">
        <v>2.82</v>
      </c>
      <c r="F58" s="1">
        <v>4.12</v>
      </c>
      <c r="G58" s="1">
        <v>7.15</v>
      </c>
    </row>
    <row r="59" spans="4:7" x14ac:dyDescent="0.2">
      <c r="D59" s="17">
        <v>43944</v>
      </c>
      <c r="E59" s="1">
        <v>2.82</v>
      </c>
      <c r="F59" s="1">
        <v>4.12</v>
      </c>
      <c r="G59" s="1">
        <v>7.15</v>
      </c>
    </row>
    <row r="60" spans="4:7" x14ac:dyDescent="0.2">
      <c r="D60" s="17">
        <v>43945</v>
      </c>
      <c r="E60" s="1">
        <v>2.82</v>
      </c>
      <c r="F60" s="1">
        <v>4.12</v>
      </c>
      <c r="G60" s="1">
        <v>7.15</v>
      </c>
    </row>
    <row r="61" spans="4:7" x14ac:dyDescent="0.2">
      <c r="D61" s="17">
        <v>43948</v>
      </c>
      <c r="E61" s="1">
        <v>2.82</v>
      </c>
      <c r="F61" s="1">
        <v>4.12</v>
      </c>
      <c r="G61" s="1">
        <v>7.15</v>
      </c>
    </row>
    <row r="62" spans="4:7" x14ac:dyDescent="0.2">
      <c r="D62" s="17">
        <v>43949</v>
      </c>
      <c r="E62" s="1">
        <v>2.82</v>
      </c>
      <c r="F62" s="1">
        <v>4.12</v>
      </c>
      <c r="G62" s="1">
        <v>7.15</v>
      </c>
    </row>
    <row r="63" spans="4:7" x14ac:dyDescent="0.2">
      <c r="D63" s="17">
        <v>43950</v>
      </c>
      <c r="E63" s="1">
        <v>2.17</v>
      </c>
      <c r="F63" s="1">
        <v>4.12</v>
      </c>
      <c r="G63" s="1">
        <v>7.15</v>
      </c>
    </row>
    <row r="64" spans="4:7" x14ac:dyDescent="0.2">
      <c r="D64" s="17">
        <v>43951</v>
      </c>
      <c r="E64" s="1">
        <v>2.17</v>
      </c>
      <c r="F64" s="1">
        <v>4.12</v>
      </c>
      <c r="G64" s="1">
        <v>7.15</v>
      </c>
    </row>
    <row r="65" spans="4:7" x14ac:dyDescent="0.2">
      <c r="D65" s="17">
        <v>43955</v>
      </c>
      <c r="E65" s="1">
        <v>2.17</v>
      </c>
      <c r="F65" s="1">
        <v>4.12</v>
      </c>
      <c r="G65" s="1">
        <v>7.15</v>
      </c>
    </row>
    <row r="66" spans="4:7" x14ac:dyDescent="0.2">
      <c r="D66" s="17">
        <v>43956</v>
      </c>
      <c r="E66" s="1">
        <v>2.17</v>
      </c>
      <c r="F66" s="1">
        <v>4.12</v>
      </c>
      <c r="G66" s="1">
        <v>7.15</v>
      </c>
    </row>
    <row r="67" spans="4:7" x14ac:dyDescent="0.2">
      <c r="D67" s="17">
        <v>43957</v>
      </c>
      <c r="E67" s="1">
        <v>2.17</v>
      </c>
      <c r="F67" s="1">
        <v>4.12</v>
      </c>
      <c r="G67" s="1">
        <v>7.15</v>
      </c>
    </row>
    <row r="68" spans="4:7" x14ac:dyDescent="0.2">
      <c r="D68" s="17">
        <v>43958</v>
      </c>
      <c r="E68" s="1">
        <v>2.17</v>
      </c>
      <c r="F68" s="1">
        <v>4.12</v>
      </c>
      <c r="G68" s="1">
        <v>7.15</v>
      </c>
    </row>
    <row r="69" spans="4:7" x14ac:dyDescent="0.2">
      <c r="D69" s="17">
        <v>43959</v>
      </c>
      <c r="E69" s="1">
        <v>2.12</v>
      </c>
      <c r="F69" s="1">
        <v>3.96</v>
      </c>
      <c r="G69" s="1">
        <v>5.95</v>
      </c>
    </row>
    <row r="70" spans="4:7" x14ac:dyDescent="0.2">
      <c r="D70" s="17">
        <v>43962</v>
      </c>
      <c r="E70" s="1">
        <v>2.12</v>
      </c>
      <c r="F70" s="1">
        <v>3.75</v>
      </c>
      <c r="G70" s="1">
        <v>5.95</v>
      </c>
    </row>
    <row r="71" spans="4:7" x14ac:dyDescent="0.2">
      <c r="D71" s="17">
        <v>43963</v>
      </c>
      <c r="E71" s="1">
        <v>2.12</v>
      </c>
      <c r="F71" s="1">
        <v>3.81</v>
      </c>
      <c r="G71" s="1">
        <v>5.95</v>
      </c>
    </row>
    <row r="72" spans="4:7" x14ac:dyDescent="0.2">
      <c r="D72" s="17">
        <v>43964</v>
      </c>
      <c r="E72" s="1">
        <v>1.61</v>
      </c>
      <c r="F72" s="1">
        <v>3.78</v>
      </c>
      <c r="G72" s="1">
        <v>5.95</v>
      </c>
    </row>
    <row r="73" spans="4:7" x14ac:dyDescent="0.2">
      <c r="D73" s="17">
        <v>43965</v>
      </c>
      <c r="E73" s="1">
        <v>1.61</v>
      </c>
      <c r="F73" s="1">
        <v>3.78</v>
      </c>
      <c r="G73" s="1">
        <v>5.95</v>
      </c>
    </row>
    <row r="74" spans="4:7" x14ac:dyDescent="0.2">
      <c r="D74" s="17">
        <v>43966</v>
      </c>
      <c r="E74" s="1">
        <v>1.61</v>
      </c>
      <c r="F74" s="1">
        <v>3.76</v>
      </c>
      <c r="G74" s="1">
        <v>5.95</v>
      </c>
    </row>
    <row r="75" spans="4:7" x14ac:dyDescent="0.2">
      <c r="D75" s="17">
        <v>43969</v>
      </c>
      <c r="E75" s="1">
        <v>1.61</v>
      </c>
      <c r="F75" s="1">
        <v>3.78</v>
      </c>
      <c r="G75" s="1">
        <v>5.95</v>
      </c>
    </row>
    <row r="76" spans="4:7" x14ac:dyDescent="0.2">
      <c r="D76" s="17">
        <v>43970</v>
      </c>
      <c r="E76" s="1">
        <v>1.61</v>
      </c>
      <c r="F76" s="1">
        <v>3.78</v>
      </c>
      <c r="G76" s="1">
        <v>5.95</v>
      </c>
    </row>
    <row r="77" spans="4:7" x14ac:dyDescent="0.2">
      <c r="D77" s="17">
        <v>43971</v>
      </c>
      <c r="E77" s="1">
        <v>1.61</v>
      </c>
      <c r="F77" s="1">
        <v>3.78</v>
      </c>
      <c r="G77" s="1">
        <v>5.95</v>
      </c>
    </row>
    <row r="78" spans="4:7" x14ac:dyDescent="0.2">
      <c r="D78" s="17">
        <v>43972</v>
      </c>
      <c r="E78" s="1">
        <v>1.61</v>
      </c>
      <c r="F78" s="1">
        <v>3.78</v>
      </c>
      <c r="G78" s="1">
        <v>5.95</v>
      </c>
    </row>
    <row r="79" spans="4:7" x14ac:dyDescent="0.2">
      <c r="D79" s="17">
        <v>43973</v>
      </c>
      <c r="E79" s="1">
        <v>1.61</v>
      </c>
      <c r="F79" s="1">
        <v>3.76</v>
      </c>
      <c r="G79" s="1">
        <v>5.95</v>
      </c>
    </row>
    <row r="80" spans="4:7" x14ac:dyDescent="0.2">
      <c r="D80" s="17">
        <v>43976</v>
      </c>
      <c r="E80" s="1">
        <v>1.61</v>
      </c>
      <c r="F80" s="1">
        <v>3.83</v>
      </c>
      <c r="G80" s="1">
        <v>5.36</v>
      </c>
    </row>
    <row r="81" spans="4:7" x14ac:dyDescent="0.2">
      <c r="D81" s="17">
        <v>43977</v>
      </c>
      <c r="E81" s="1">
        <v>1.61</v>
      </c>
      <c r="F81" s="1">
        <v>3.9</v>
      </c>
      <c r="G81" s="1">
        <v>5.36</v>
      </c>
    </row>
    <row r="82" spans="4:7" x14ac:dyDescent="0.2">
      <c r="D82" s="17">
        <v>43978</v>
      </c>
      <c r="E82" s="1">
        <v>1.61</v>
      </c>
      <c r="F82" s="1">
        <v>3.9</v>
      </c>
      <c r="G82" s="1">
        <v>5.36</v>
      </c>
    </row>
    <row r="83" spans="4:7" x14ac:dyDescent="0.2">
      <c r="D83" s="17">
        <v>43979</v>
      </c>
      <c r="E83" s="1">
        <v>1.61</v>
      </c>
      <c r="F83" s="1">
        <v>3.9</v>
      </c>
      <c r="G83" s="1">
        <v>5.36</v>
      </c>
    </row>
    <row r="84" spans="4:7" x14ac:dyDescent="0.2">
      <c r="D84" s="17">
        <v>43980</v>
      </c>
      <c r="E84" s="1">
        <v>1.61</v>
      </c>
      <c r="F84" s="1">
        <v>3.98</v>
      </c>
      <c r="G84" s="1">
        <v>5.36</v>
      </c>
    </row>
    <row r="85" spans="4:7" x14ac:dyDescent="0.2">
      <c r="D85" s="17">
        <v>43983</v>
      </c>
      <c r="E85" s="1">
        <v>1.61</v>
      </c>
      <c r="F85" s="1">
        <v>4.12</v>
      </c>
      <c r="G85" s="1">
        <v>5.36</v>
      </c>
    </row>
    <row r="86" spans="4:7" x14ac:dyDescent="0.2">
      <c r="D86" s="17">
        <v>43984</v>
      </c>
      <c r="E86" s="1">
        <v>1.61</v>
      </c>
      <c r="F86" s="1">
        <v>4.1100000000000003</v>
      </c>
      <c r="G86" s="1">
        <v>5.36</v>
      </c>
    </row>
    <row r="87" spans="4:7" x14ac:dyDescent="0.2">
      <c r="D87" s="17">
        <v>43985</v>
      </c>
      <c r="E87" s="1">
        <v>1.61</v>
      </c>
      <c r="F87" s="1">
        <v>4.1100000000000003</v>
      </c>
      <c r="G87" s="1">
        <v>5.36</v>
      </c>
    </row>
    <row r="88" spans="4:7" x14ac:dyDescent="0.2">
      <c r="D88" s="17">
        <v>43986</v>
      </c>
      <c r="E88" s="1">
        <v>1.61</v>
      </c>
      <c r="F88" s="1">
        <v>4.1100000000000003</v>
      </c>
      <c r="G88" s="1">
        <v>5.36</v>
      </c>
    </row>
    <row r="89" spans="4:7" x14ac:dyDescent="0.2">
      <c r="D89" s="17">
        <v>43987</v>
      </c>
      <c r="E89" s="1">
        <v>1.61</v>
      </c>
      <c r="F89" s="1">
        <v>4.07</v>
      </c>
      <c r="G89" s="1">
        <v>5.38</v>
      </c>
    </row>
    <row r="90" spans="4:7" x14ac:dyDescent="0.2">
      <c r="D90" s="17">
        <v>43990</v>
      </c>
      <c r="E90" s="1">
        <v>1.61</v>
      </c>
      <c r="F90" s="1">
        <v>4.1500000000000004</v>
      </c>
      <c r="G90" s="1">
        <v>5.38</v>
      </c>
    </row>
    <row r="91" spans="4:7" x14ac:dyDescent="0.2">
      <c r="D91" s="17">
        <v>43991</v>
      </c>
      <c r="E91" s="1">
        <v>1.61</v>
      </c>
      <c r="F91" s="1">
        <v>4.1500000000000004</v>
      </c>
      <c r="G91" s="1">
        <v>5.38</v>
      </c>
    </row>
    <row r="92" spans="4:7" x14ac:dyDescent="0.2">
      <c r="D92" s="17">
        <v>43992</v>
      </c>
      <c r="E92" s="1">
        <v>1.61</v>
      </c>
      <c r="F92" s="1">
        <v>4.1500000000000004</v>
      </c>
      <c r="G92" s="1">
        <v>5.38</v>
      </c>
    </row>
    <row r="93" spans="4:7" x14ac:dyDescent="0.2">
      <c r="D93" s="17">
        <v>43994</v>
      </c>
      <c r="E93" s="1">
        <v>1.61</v>
      </c>
      <c r="F93" s="1">
        <v>4.0599999999999996</v>
      </c>
      <c r="G93" s="1">
        <v>5.81</v>
      </c>
    </row>
    <row r="94" spans="4:7" x14ac:dyDescent="0.2">
      <c r="D94" s="17">
        <v>43997</v>
      </c>
      <c r="E94" s="1">
        <v>2.4700000000000002</v>
      </c>
      <c r="F94" s="1">
        <v>4.21</v>
      </c>
      <c r="G94" s="1">
        <v>5.81</v>
      </c>
    </row>
    <row r="95" spans="4:7" x14ac:dyDescent="0.2">
      <c r="D95" s="17">
        <v>43998</v>
      </c>
      <c r="E95" s="1">
        <v>2.4700000000000002</v>
      </c>
      <c r="F95" s="1">
        <v>4.13</v>
      </c>
      <c r="G95" s="1">
        <v>5.81</v>
      </c>
    </row>
    <row r="96" spans="4:7" x14ac:dyDescent="0.2">
      <c r="D96" s="17">
        <v>43999</v>
      </c>
      <c r="E96" s="1">
        <v>2.44</v>
      </c>
      <c r="F96" s="1">
        <v>4.13</v>
      </c>
      <c r="G96" s="1">
        <v>5.81</v>
      </c>
    </row>
    <row r="97" spans="4:7" x14ac:dyDescent="0.2">
      <c r="D97" s="17">
        <v>44008</v>
      </c>
      <c r="E97" s="1">
        <v>2.44</v>
      </c>
      <c r="F97" s="1">
        <v>4.21</v>
      </c>
      <c r="G97" s="1">
        <v>5.81</v>
      </c>
    </row>
    <row r="98" spans="4:7" x14ac:dyDescent="0.2">
      <c r="D98" s="17">
        <v>44007</v>
      </c>
      <c r="E98" s="1">
        <v>2.44</v>
      </c>
      <c r="F98" s="1">
        <v>4.13</v>
      </c>
      <c r="G98" s="1">
        <v>5.81</v>
      </c>
    </row>
    <row r="99" spans="4:7" x14ac:dyDescent="0.2">
      <c r="D99" s="17">
        <v>44006</v>
      </c>
      <c r="E99" s="1">
        <v>2.44</v>
      </c>
      <c r="F99" s="1">
        <v>4.13</v>
      </c>
      <c r="G99" s="1">
        <v>5.81</v>
      </c>
    </row>
    <row r="100" spans="4:7" x14ac:dyDescent="0.2">
      <c r="D100" s="17">
        <v>44005</v>
      </c>
      <c r="E100" s="1">
        <v>2.44</v>
      </c>
      <c r="F100" s="1">
        <v>4.13</v>
      </c>
      <c r="G100" s="1">
        <v>5.81</v>
      </c>
    </row>
    <row r="101" spans="4:7" x14ac:dyDescent="0.2">
      <c r="D101" s="17">
        <v>44004</v>
      </c>
      <c r="E101" s="1">
        <v>2.44</v>
      </c>
      <c r="F101" s="1">
        <v>4.13</v>
      </c>
      <c r="G101" s="1">
        <v>5.81</v>
      </c>
    </row>
    <row r="102" spans="4:7" x14ac:dyDescent="0.2">
      <c r="D102" s="17">
        <v>44001</v>
      </c>
      <c r="E102" s="1">
        <v>2.44</v>
      </c>
      <c r="F102" s="1">
        <v>4.13</v>
      </c>
      <c r="G102" s="1">
        <v>5.81</v>
      </c>
    </row>
    <row r="103" spans="4:7" x14ac:dyDescent="0.2">
      <c r="D103" s="17">
        <v>44000</v>
      </c>
      <c r="E103" s="1">
        <v>2.44</v>
      </c>
      <c r="F103" s="1">
        <v>4.13</v>
      </c>
      <c r="G103" s="1">
        <v>5.81</v>
      </c>
    </row>
    <row r="104" spans="4:7" x14ac:dyDescent="0.2">
      <c r="D104" s="17">
        <v>44011</v>
      </c>
      <c r="E104" s="1">
        <v>2.4700000000000002</v>
      </c>
      <c r="F104" s="1">
        <v>4.21</v>
      </c>
      <c r="G104" s="1">
        <v>5.81</v>
      </c>
    </row>
    <row r="105" spans="4:7" x14ac:dyDescent="0.2">
      <c r="D105" s="17">
        <v>44013</v>
      </c>
      <c r="E105" s="1">
        <v>2.4700000000000002</v>
      </c>
      <c r="F105" s="1">
        <v>4.37</v>
      </c>
      <c r="G105" s="1">
        <v>5.81</v>
      </c>
    </row>
    <row r="106" spans="4:7" x14ac:dyDescent="0.2">
      <c r="D106" s="17">
        <v>44012</v>
      </c>
      <c r="E106" s="1">
        <v>2.4700000000000002</v>
      </c>
      <c r="F106" s="1">
        <v>4.37</v>
      </c>
      <c r="G106" s="1">
        <v>5.81</v>
      </c>
    </row>
    <row r="107" spans="4:7" x14ac:dyDescent="0.2">
      <c r="D107" s="17">
        <v>44014</v>
      </c>
      <c r="E107" s="1">
        <v>2.4700000000000002</v>
      </c>
      <c r="F107" s="1">
        <v>4.37</v>
      </c>
      <c r="G107" s="1">
        <v>5.81</v>
      </c>
    </row>
    <row r="108" spans="4:7" x14ac:dyDescent="0.2">
      <c r="D108" s="17">
        <v>44015</v>
      </c>
      <c r="E108" s="1">
        <v>2.4700000000000002</v>
      </c>
      <c r="F108" s="1">
        <v>4.29</v>
      </c>
      <c r="G108" s="1">
        <v>5.81</v>
      </c>
    </row>
    <row r="109" spans="4:7" x14ac:dyDescent="0.2">
      <c r="D109" s="17">
        <v>44018</v>
      </c>
      <c r="E109" s="1">
        <v>2.4700000000000002</v>
      </c>
      <c r="F109" s="1">
        <v>4.7</v>
      </c>
      <c r="G109" s="1">
        <v>5.81</v>
      </c>
    </row>
    <row r="110" spans="4:7" x14ac:dyDescent="0.2">
      <c r="D110" s="17">
        <v>44019</v>
      </c>
      <c r="E110" s="1">
        <v>2.4700000000000002</v>
      </c>
      <c r="F110" s="1">
        <v>4.7</v>
      </c>
      <c r="G110" s="1">
        <v>5.81</v>
      </c>
    </row>
    <row r="111" spans="4:7" x14ac:dyDescent="0.2">
      <c r="D111" s="17">
        <v>44020</v>
      </c>
      <c r="E111" s="1">
        <v>2.02</v>
      </c>
      <c r="F111" s="1">
        <v>3.99</v>
      </c>
      <c r="G111" s="1">
        <v>4.75</v>
      </c>
    </row>
    <row r="112" spans="4:7" x14ac:dyDescent="0.2">
      <c r="D112" s="17">
        <v>44021</v>
      </c>
      <c r="E112" s="1">
        <v>2.02</v>
      </c>
      <c r="F112" s="1">
        <v>3.99</v>
      </c>
      <c r="G112" s="1">
        <v>4.75</v>
      </c>
    </row>
    <row r="113" spans="4:7" x14ac:dyDescent="0.2">
      <c r="D113" s="17">
        <v>44022</v>
      </c>
      <c r="E113" s="1">
        <v>2.02</v>
      </c>
      <c r="F113" s="1">
        <v>3.99</v>
      </c>
      <c r="G113" s="1">
        <v>4.75</v>
      </c>
    </row>
    <row r="114" spans="4:7" x14ac:dyDescent="0.2">
      <c r="D114" s="17">
        <v>44025</v>
      </c>
      <c r="E114" s="1">
        <v>3.03</v>
      </c>
      <c r="F114" s="1">
        <v>3.95</v>
      </c>
      <c r="G114" s="1">
        <v>4.75</v>
      </c>
    </row>
    <row r="115" spans="4:7" x14ac:dyDescent="0.2">
      <c r="D115" s="17">
        <v>44026</v>
      </c>
      <c r="E115" s="1">
        <v>3.03</v>
      </c>
      <c r="F115" s="1">
        <v>3.95</v>
      </c>
      <c r="G115" s="1">
        <v>4.75</v>
      </c>
    </row>
    <row r="116" spans="4:7" x14ac:dyDescent="0.2">
      <c r="D116" s="17">
        <v>44028</v>
      </c>
      <c r="E116" s="1">
        <v>3.03</v>
      </c>
      <c r="F116" s="1">
        <v>4.03</v>
      </c>
      <c r="G116" s="1">
        <v>6.52</v>
      </c>
    </row>
    <row r="117" spans="4:7" x14ac:dyDescent="0.2">
      <c r="D117" s="17">
        <v>44027</v>
      </c>
      <c r="E117" s="1">
        <v>3.03</v>
      </c>
      <c r="F117" s="1">
        <v>3.97</v>
      </c>
      <c r="G117" s="1">
        <v>6.52</v>
      </c>
    </row>
    <row r="118" spans="4:7" x14ac:dyDescent="0.2">
      <c r="D118" s="17">
        <v>44029</v>
      </c>
      <c r="E118" s="1">
        <v>3.03</v>
      </c>
      <c r="F118" s="1">
        <v>4.24</v>
      </c>
      <c r="G118" s="1">
        <v>6.52</v>
      </c>
    </row>
    <row r="119" spans="4:7" x14ac:dyDescent="0.2">
      <c r="D119" s="17">
        <v>44032</v>
      </c>
      <c r="E119" s="1">
        <v>3.03</v>
      </c>
      <c r="F119" s="1">
        <v>4.38</v>
      </c>
      <c r="G119" s="1">
        <v>6.52</v>
      </c>
    </row>
    <row r="120" spans="4:7" x14ac:dyDescent="0.2">
      <c r="D120" s="17">
        <v>44033</v>
      </c>
      <c r="E120" s="1">
        <v>3.03</v>
      </c>
      <c r="F120" s="1">
        <v>4.38</v>
      </c>
      <c r="G120" s="1">
        <v>6.52</v>
      </c>
    </row>
    <row r="121" spans="4:7" x14ac:dyDescent="0.2">
      <c r="D121" s="17">
        <v>44034</v>
      </c>
      <c r="E121" s="1">
        <v>3.04</v>
      </c>
      <c r="F121" s="1">
        <v>4.4400000000000004</v>
      </c>
      <c r="G121" s="1">
        <v>6.52</v>
      </c>
    </row>
    <row r="122" spans="4:7" x14ac:dyDescent="0.2">
      <c r="D122" s="17">
        <v>44035</v>
      </c>
      <c r="E122" s="1">
        <v>3.04</v>
      </c>
      <c r="F122" s="1">
        <v>4.38</v>
      </c>
      <c r="G122" s="1">
        <v>6.52</v>
      </c>
    </row>
    <row r="123" spans="4:7" x14ac:dyDescent="0.2">
      <c r="D123" s="17">
        <v>44036</v>
      </c>
      <c r="E123" s="1">
        <v>3.04</v>
      </c>
      <c r="F123" s="1">
        <v>4.38</v>
      </c>
      <c r="G123" s="1">
        <v>6.52</v>
      </c>
    </row>
    <row r="124" spans="4:7" x14ac:dyDescent="0.2">
      <c r="D124" s="17">
        <v>44039</v>
      </c>
      <c r="E124" s="1">
        <v>3.04</v>
      </c>
      <c r="F124" s="1">
        <v>4.38</v>
      </c>
      <c r="G124" s="1">
        <v>6.52</v>
      </c>
    </row>
    <row r="125" spans="4:7" x14ac:dyDescent="0.2">
      <c r="D125" s="17">
        <v>44040</v>
      </c>
      <c r="E125" s="1">
        <v>3.04</v>
      </c>
      <c r="F125" s="1">
        <v>4.38</v>
      </c>
      <c r="G125" s="1">
        <v>6.52</v>
      </c>
    </row>
    <row r="126" spans="4:7" x14ac:dyDescent="0.2">
      <c r="D126" s="17">
        <v>44041</v>
      </c>
      <c r="E126" s="1">
        <v>3.04</v>
      </c>
      <c r="F126" s="1">
        <v>4.38</v>
      </c>
      <c r="G126" s="1">
        <v>6.52</v>
      </c>
    </row>
    <row r="127" spans="4:7" x14ac:dyDescent="0.2">
      <c r="D127" s="17">
        <v>44042</v>
      </c>
      <c r="E127" s="1">
        <v>3.04</v>
      </c>
      <c r="F127" s="1">
        <v>4.38</v>
      </c>
      <c r="G127" s="1">
        <v>6.52</v>
      </c>
    </row>
    <row r="128" spans="4:7" x14ac:dyDescent="0.2">
      <c r="D128" s="17">
        <v>44043</v>
      </c>
      <c r="E128" s="1">
        <v>3.38</v>
      </c>
      <c r="F128" s="1">
        <v>4.9000000000000004</v>
      </c>
      <c r="G128" s="1">
        <v>6.89</v>
      </c>
    </row>
    <row r="129" spans="4:7" x14ac:dyDescent="0.2">
      <c r="D129" s="17">
        <v>44046</v>
      </c>
      <c r="E129" s="1">
        <v>3.38</v>
      </c>
      <c r="F129" s="1">
        <v>4.9000000000000004</v>
      </c>
      <c r="G129" s="1">
        <v>6.89</v>
      </c>
    </row>
    <row r="130" spans="4:7" x14ac:dyDescent="0.2">
      <c r="D130" s="17">
        <v>44047</v>
      </c>
      <c r="E130" s="1">
        <v>3.38</v>
      </c>
      <c r="F130" s="1">
        <v>4.9000000000000004</v>
      </c>
      <c r="G130" s="1">
        <v>6.89</v>
      </c>
    </row>
    <row r="131" spans="4:7" x14ac:dyDescent="0.2">
      <c r="D131" s="17">
        <v>44048</v>
      </c>
      <c r="E131" s="1">
        <v>3.38</v>
      </c>
      <c r="F131" s="1">
        <v>5.04</v>
      </c>
      <c r="G131" s="1">
        <v>6.89</v>
      </c>
    </row>
    <row r="132" spans="4:7" x14ac:dyDescent="0.2">
      <c r="D132" s="17">
        <v>44049</v>
      </c>
      <c r="E132" s="1">
        <v>1.34</v>
      </c>
      <c r="F132" s="1">
        <v>3.94</v>
      </c>
      <c r="G132" s="1">
        <v>6.13</v>
      </c>
    </row>
    <row r="133" spans="4:7" x14ac:dyDescent="0.2">
      <c r="D133" s="17">
        <v>44050</v>
      </c>
      <c r="E133" s="1">
        <v>1.34</v>
      </c>
      <c r="F133" s="1">
        <v>4.13</v>
      </c>
      <c r="G133" s="1">
        <v>6.13</v>
      </c>
    </row>
    <row r="134" spans="4:7" x14ac:dyDescent="0.2">
      <c r="D134" s="17">
        <v>44053</v>
      </c>
      <c r="E134" s="1">
        <v>1.34</v>
      </c>
      <c r="F134" s="1">
        <v>4.13</v>
      </c>
      <c r="G134" s="1">
        <v>6.13</v>
      </c>
    </row>
    <row r="135" spans="4:7" x14ac:dyDescent="0.2">
      <c r="D135" s="17">
        <v>44054</v>
      </c>
      <c r="E135" s="1">
        <v>1.34</v>
      </c>
      <c r="F135" s="1">
        <v>4.13</v>
      </c>
      <c r="G135" s="1">
        <v>6.13</v>
      </c>
    </row>
    <row r="136" spans="4:7" x14ac:dyDescent="0.2">
      <c r="D136" s="17">
        <v>44055</v>
      </c>
      <c r="E136" s="1">
        <v>1.34</v>
      </c>
      <c r="F136" s="1">
        <v>4.13</v>
      </c>
      <c r="G136" s="1">
        <v>6.13</v>
      </c>
    </row>
    <row r="137" spans="4:7" x14ac:dyDescent="0.2">
      <c r="D137" s="17">
        <v>44056</v>
      </c>
      <c r="E137" s="1">
        <v>1.34</v>
      </c>
      <c r="F137" s="1">
        <v>4.13</v>
      </c>
      <c r="G137" s="1">
        <v>6.13</v>
      </c>
    </row>
    <row r="138" spans="4:7" x14ac:dyDescent="0.2">
      <c r="D138" s="17">
        <v>44057</v>
      </c>
      <c r="E138" s="1">
        <v>2.4500000000000002</v>
      </c>
      <c r="F138" s="1">
        <v>4.13</v>
      </c>
      <c r="G138" s="1">
        <v>6.56</v>
      </c>
    </row>
    <row r="139" spans="4:7" x14ac:dyDescent="0.2">
      <c r="D139" s="17">
        <v>44060</v>
      </c>
      <c r="E139" s="1">
        <v>2.4500000000000002</v>
      </c>
      <c r="F139" s="1">
        <v>4.13</v>
      </c>
      <c r="G139" s="1">
        <v>6.56</v>
      </c>
    </row>
    <row r="140" spans="4:7" x14ac:dyDescent="0.2">
      <c r="D140" s="17">
        <v>44061</v>
      </c>
      <c r="E140" s="1">
        <v>2.4500000000000002</v>
      </c>
      <c r="F140" s="1">
        <v>4.13</v>
      </c>
      <c r="G140" s="1">
        <v>7.25</v>
      </c>
    </row>
    <row r="141" spans="4:7" x14ac:dyDescent="0.2">
      <c r="D141" s="17">
        <v>44062</v>
      </c>
      <c r="E141" s="1">
        <v>2.4500000000000002</v>
      </c>
      <c r="F141" s="1">
        <v>4.3</v>
      </c>
      <c r="G141" s="1">
        <v>7.25</v>
      </c>
    </row>
    <row r="142" spans="4:7" x14ac:dyDescent="0.2">
      <c r="D142" s="17">
        <v>44063</v>
      </c>
      <c r="E142" s="1">
        <v>2.4500000000000002</v>
      </c>
      <c r="F142" s="1">
        <v>4.3</v>
      </c>
      <c r="G142" s="1">
        <v>7.25</v>
      </c>
    </row>
    <row r="143" spans="4:7" x14ac:dyDescent="0.2">
      <c r="D143" s="17">
        <v>44064</v>
      </c>
      <c r="E143" s="1">
        <v>2.4500000000000002</v>
      </c>
      <c r="F143" s="1">
        <v>4.51</v>
      </c>
      <c r="G143" s="1">
        <v>7.25</v>
      </c>
    </row>
    <row r="144" spans="4:7" x14ac:dyDescent="0.2">
      <c r="D144" s="17">
        <v>44067</v>
      </c>
      <c r="E144" s="1">
        <v>2.5299999999999998</v>
      </c>
      <c r="F144" s="1">
        <v>5.34</v>
      </c>
      <c r="G144" s="1">
        <v>8.16</v>
      </c>
    </row>
    <row r="145" spans="4:7" x14ac:dyDescent="0.2">
      <c r="D145" s="17">
        <v>44068</v>
      </c>
      <c r="E145" s="1">
        <v>2.5299999999999998</v>
      </c>
      <c r="F145" s="1">
        <v>5.0599999999999996</v>
      </c>
      <c r="G145" s="1">
        <v>8.16</v>
      </c>
    </row>
    <row r="146" spans="4:7" x14ac:dyDescent="0.2">
      <c r="D146" s="17">
        <v>44069</v>
      </c>
      <c r="E146" s="1">
        <v>2.5299999999999998</v>
      </c>
      <c r="F146" s="1">
        <v>5.0599999999999996</v>
      </c>
      <c r="G146" s="1">
        <v>8.16</v>
      </c>
    </row>
    <row r="147" spans="4:7" x14ac:dyDescent="0.2">
      <c r="D147" s="17">
        <v>44070</v>
      </c>
      <c r="E147" s="1">
        <v>2.5299999999999998</v>
      </c>
      <c r="F147" s="1">
        <v>5.61</v>
      </c>
      <c r="G147" s="1">
        <v>8.16</v>
      </c>
    </row>
    <row r="148" spans="4:7" x14ac:dyDescent="0.2">
      <c r="D148" s="17">
        <v>44071</v>
      </c>
      <c r="E148" s="1">
        <v>3.43</v>
      </c>
      <c r="F148" s="1">
        <v>5.64</v>
      </c>
      <c r="G148" s="1">
        <v>11.59</v>
      </c>
    </row>
    <row r="149" spans="4:7" x14ac:dyDescent="0.2">
      <c r="D149" s="17">
        <v>44074</v>
      </c>
      <c r="E149" s="1">
        <v>3.43</v>
      </c>
      <c r="F149" s="1">
        <v>5.76</v>
      </c>
      <c r="G149" s="1">
        <v>11.59</v>
      </c>
    </row>
    <row r="150" spans="4:7" x14ac:dyDescent="0.2">
      <c r="D150" s="17">
        <v>44075</v>
      </c>
      <c r="E150" s="1">
        <v>2.4300000000000002</v>
      </c>
      <c r="F150" s="1">
        <v>5.68</v>
      </c>
      <c r="G150" s="1">
        <v>11.59</v>
      </c>
    </row>
    <row r="151" spans="4:7" x14ac:dyDescent="0.2">
      <c r="D151" s="17">
        <v>44076</v>
      </c>
      <c r="E151" s="1">
        <v>2.4300000000000002</v>
      </c>
      <c r="F151" s="1">
        <v>5.68</v>
      </c>
      <c r="G151" s="1">
        <v>11.59</v>
      </c>
    </row>
    <row r="152" spans="4:7" x14ac:dyDescent="0.2">
      <c r="D152" s="17">
        <v>44077</v>
      </c>
      <c r="E152" s="1">
        <v>2.4300000000000002</v>
      </c>
      <c r="F152" s="1">
        <v>5.94</v>
      </c>
      <c r="G152" s="1">
        <v>11.59</v>
      </c>
    </row>
    <row r="153" spans="4:7" x14ac:dyDescent="0.2">
      <c r="D153" s="17">
        <v>44078</v>
      </c>
      <c r="E153" s="1">
        <v>2.4300000000000002</v>
      </c>
      <c r="F153" s="1">
        <v>6.14</v>
      </c>
      <c r="G153" s="1">
        <v>11.59</v>
      </c>
    </row>
    <row r="154" spans="4:7" x14ac:dyDescent="0.2">
      <c r="D154" s="17">
        <v>44082</v>
      </c>
      <c r="E154" s="1">
        <v>2.5299999999999998</v>
      </c>
      <c r="F154" s="1">
        <v>4.76</v>
      </c>
      <c r="G154" s="1">
        <v>8.93</v>
      </c>
    </row>
    <row r="155" spans="4:7" x14ac:dyDescent="0.2">
      <c r="D155" s="17">
        <v>44083</v>
      </c>
      <c r="E155" s="1">
        <v>2.5299999999999998</v>
      </c>
      <c r="F155" s="1">
        <v>4.76</v>
      </c>
      <c r="G155" s="1">
        <v>8.93</v>
      </c>
    </row>
    <row r="156" spans="4:7" x14ac:dyDescent="0.2">
      <c r="D156" s="17">
        <v>44084</v>
      </c>
      <c r="E156" s="1">
        <v>2.5299999999999998</v>
      </c>
      <c r="F156" s="1">
        <v>5.07</v>
      </c>
      <c r="G156" s="1">
        <v>8.93</v>
      </c>
    </row>
    <row r="157" spans="4:7" x14ac:dyDescent="0.2">
      <c r="D157" s="17">
        <v>44085</v>
      </c>
      <c r="E157" s="1">
        <v>2.5299999999999998</v>
      </c>
      <c r="F157" s="1">
        <v>5.9</v>
      </c>
      <c r="G157" s="1">
        <v>8.93</v>
      </c>
    </row>
    <row r="158" spans="4:7" x14ac:dyDescent="0.2">
      <c r="D158" s="17">
        <v>44088</v>
      </c>
      <c r="E158" s="1">
        <v>2.5299999999999998</v>
      </c>
      <c r="F158" s="1">
        <v>5.9</v>
      </c>
      <c r="G158" s="1">
        <v>8.93</v>
      </c>
    </row>
    <row r="159" spans="4:7" x14ac:dyDescent="0.2">
      <c r="D159" s="17">
        <v>44089</v>
      </c>
      <c r="E159" s="1">
        <v>2.5299999999999998</v>
      </c>
      <c r="F159" s="1">
        <v>5.9</v>
      </c>
      <c r="G159" s="1">
        <v>8.93</v>
      </c>
    </row>
    <row r="160" spans="4:7" x14ac:dyDescent="0.2">
      <c r="D160" s="17">
        <v>44090</v>
      </c>
      <c r="E160" s="1">
        <v>2.5299999999999998</v>
      </c>
      <c r="F160" s="1">
        <v>6.1</v>
      </c>
      <c r="G160" s="1">
        <v>8.93</v>
      </c>
    </row>
    <row r="161" spans="4:7" x14ac:dyDescent="0.2">
      <c r="D161" s="17">
        <v>44091</v>
      </c>
      <c r="E161" s="1">
        <v>2.5299999999999998</v>
      </c>
      <c r="F161" s="1">
        <v>6.1</v>
      </c>
      <c r="G161" s="1">
        <v>8.93</v>
      </c>
    </row>
    <row r="162" spans="4:7" x14ac:dyDescent="0.2">
      <c r="D162" s="17">
        <v>44092</v>
      </c>
      <c r="E162" s="1">
        <v>2.5299999999999998</v>
      </c>
      <c r="F162" s="1">
        <v>6.51</v>
      </c>
      <c r="G162" s="1">
        <v>9.61</v>
      </c>
    </row>
    <row r="163" spans="4:7" x14ac:dyDescent="0.2">
      <c r="D163" s="17">
        <v>44095</v>
      </c>
      <c r="E163" s="1">
        <v>2.5299999999999998</v>
      </c>
      <c r="F163" s="1">
        <v>6.51</v>
      </c>
      <c r="G163" s="1">
        <v>9.61</v>
      </c>
    </row>
    <row r="164" spans="4:7" x14ac:dyDescent="0.2">
      <c r="D164" s="17">
        <v>44096</v>
      </c>
      <c r="E164" s="1">
        <v>2.5299999999999998</v>
      </c>
      <c r="F164" s="1">
        <v>6.51</v>
      </c>
      <c r="G164" s="1">
        <v>9.61</v>
      </c>
    </row>
    <row r="165" spans="4:7" x14ac:dyDescent="0.2">
      <c r="D165" s="17">
        <v>44097</v>
      </c>
      <c r="E165" s="1">
        <v>2.5299999999999998</v>
      </c>
      <c r="F165" s="1">
        <v>6.51</v>
      </c>
      <c r="G165" s="1">
        <v>9.61</v>
      </c>
    </row>
    <row r="166" spans="4:7" x14ac:dyDescent="0.2">
      <c r="D166" s="17">
        <v>44098</v>
      </c>
      <c r="E166" s="1">
        <v>2.5299999999999998</v>
      </c>
      <c r="F166" s="1">
        <v>6.51</v>
      </c>
      <c r="G166" s="1">
        <v>9.61</v>
      </c>
    </row>
    <row r="167" spans="4:7" x14ac:dyDescent="0.2">
      <c r="D167" s="17">
        <v>44099</v>
      </c>
      <c r="E167" s="1">
        <v>2.2000000000000002</v>
      </c>
      <c r="F167" s="1">
        <v>6.57</v>
      </c>
      <c r="G167" s="1">
        <v>10.87</v>
      </c>
    </row>
    <row r="168" spans="4:7" x14ac:dyDescent="0.2">
      <c r="D168" s="17">
        <v>44102</v>
      </c>
      <c r="E168" s="1">
        <v>2.2000000000000002</v>
      </c>
      <c r="F168" s="1">
        <v>6.52</v>
      </c>
      <c r="G168" s="1">
        <v>10.87</v>
      </c>
    </row>
    <row r="169" spans="4:7" x14ac:dyDescent="0.2">
      <c r="D169" s="17">
        <v>44103</v>
      </c>
      <c r="E169" s="1">
        <v>2.2000000000000002</v>
      </c>
      <c r="F169" s="1">
        <v>6.62</v>
      </c>
      <c r="G169" s="1">
        <v>10.99</v>
      </c>
    </row>
    <row r="170" spans="4:7" x14ac:dyDescent="0.2">
      <c r="D170" s="17">
        <v>44104</v>
      </c>
      <c r="E170" s="1">
        <v>2.2000000000000002</v>
      </c>
      <c r="F170" s="1">
        <v>6.62</v>
      </c>
      <c r="G170" s="1">
        <v>10.99</v>
      </c>
    </row>
    <row r="171" spans="4:7" x14ac:dyDescent="0.2">
      <c r="D171" s="17">
        <v>44105</v>
      </c>
      <c r="E171" s="1">
        <v>2.2000000000000002</v>
      </c>
      <c r="F171" s="1">
        <v>6.75</v>
      </c>
      <c r="G171" s="1">
        <v>10.99</v>
      </c>
    </row>
    <row r="172" spans="4:7" x14ac:dyDescent="0.2">
      <c r="D172" s="17">
        <v>44106</v>
      </c>
      <c r="E172" s="1">
        <v>2.2000000000000002</v>
      </c>
      <c r="F172" s="1">
        <v>7.33</v>
      </c>
      <c r="G172" s="1">
        <v>12.73</v>
      </c>
    </row>
    <row r="173" spans="4:7" x14ac:dyDescent="0.2">
      <c r="D173" s="17">
        <v>44109</v>
      </c>
      <c r="E173" s="1">
        <v>2.2000000000000002</v>
      </c>
      <c r="F173" s="1">
        <v>7.89</v>
      </c>
      <c r="G173" s="1">
        <v>12.73</v>
      </c>
    </row>
    <row r="174" spans="4:7" x14ac:dyDescent="0.2">
      <c r="D174" s="17">
        <v>44110</v>
      </c>
      <c r="E174" s="1">
        <v>2.2000000000000002</v>
      </c>
      <c r="F174" s="1">
        <v>8.3000000000000007</v>
      </c>
      <c r="G174" s="1">
        <v>12.73</v>
      </c>
    </row>
    <row r="175" spans="4:7" x14ac:dyDescent="0.2">
      <c r="D175" s="17">
        <v>44111</v>
      </c>
      <c r="E175" s="1">
        <v>0.99</v>
      </c>
      <c r="F175" s="1">
        <v>4.8499999999999996</v>
      </c>
      <c r="G175" s="1">
        <v>8.7200000000000006</v>
      </c>
    </row>
    <row r="176" spans="4:7" x14ac:dyDescent="0.2">
      <c r="D176" s="17">
        <v>44112</v>
      </c>
      <c r="E176" s="1">
        <v>0.99</v>
      </c>
      <c r="F176" s="1">
        <v>4.8499999999999996</v>
      </c>
      <c r="G176" s="1">
        <v>8.7200000000000006</v>
      </c>
    </row>
    <row r="177" spans="4:7" x14ac:dyDescent="0.2">
      <c r="D177" s="17">
        <v>44113</v>
      </c>
      <c r="E177" s="1">
        <v>0.99</v>
      </c>
      <c r="F177" s="1">
        <v>5.6</v>
      </c>
      <c r="G177" s="1">
        <v>8.7200000000000006</v>
      </c>
    </row>
    <row r="178" spans="4:7" x14ac:dyDescent="0.2">
      <c r="D178" s="17">
        <v>44117</v>
      </c>
      <c r="E178" s="1">
        <v>0.99</v>
      </c>
      <c r="F178" s="1">
        <v>5.65</v>
      </c>
      <c r="G178" s="1">
        <v>8.7200000000000006</v>
      </c>
    </row>
    <row r="179" spans="4:7" x14ac:dyDescent="0.2">
      <c r="D179" s="17">
        <v>44118</v>
      </c>
      <c r="E179" s="1">
        <v>0.99</v>
      </c>
      <c r="F179" s="1">
        <v>5.65</v>
      </c>
      <c r="G179" s="1">
        <v>8.7200000000000006</v>
      </c>
    </row>
    <row r="180" spans="4:7" x14ac:dyDescent="0.2">
      <c r="D180" s="17">
        <v>44119</v>
      </c>
      <c r="E180" s="1">
        <v>0.99</v>
      </c>
      <c r="F180" s="1">
        <v>5.6</v>
      </c>
      <c r="G180" s="1">
        <v>8.7200000000000006</v>
      </c>
    </row>
    <row r="181" spans="4:7" x14ac:dyDescent="0.2">
      <c r="D181" s="17">
        <v>44120</v>
      </c>
      <c r="E181" s="1">
        <v>0.99</v>
      </c>
      <c r="F181" s="1">
        <v>5.6</v>
      </c>
      <c r="G181" s="1">
        <v>9.25</v>
      </c>
    </row>
    <row r="182" spans="4:7" x14ac:dyDescent="0.2">
      <c r="D182" s="17">
        <v>44123</v>
      </c>
      <c r="E182" s="1">
        <v>0.99</v>
      </c>
      <c r="F182" s="1">
        <v>5.6</v>
      </c>
      <c r="G182" s="1">
        <v>9.25</v>
      </c>
    </row>
    <row r="183" spans="4:7" x14ac:dyDescent="0.2">
      <c r="D183" s="17">
        <v>44124</v>
      </c>
      <c r="E183" s="1">
        <v>0.99</v>
      </c>
      <c r="F183" s="1">
        <v>6.94</v>
      </c>
      <c r="G183" s="1">
        <v>9.25</v>
      </c>
    </row>
    <row r="184" spans="4:7" x14ac:dyDescent="0.2">
      <c r="D184" s="17">
        <v>44125</v>
      </c>
      <c r="E184" s="1">
        <v>0.99</v>
      </c>
      <c r="F184" s="1">
        <v>6.94</v>
      </c>
      <c r="G184" s="1">
        <v>9.25</v>
      </c>
    </row>
    <row r="185" spans="4:7" x14ac:dyDescent="0.2">
      <c r="D185" s="17">
        <v>44126</v>
      </c>
      <c r="E185" s="1">
        <v>0.99</v>
      </c>
      <c r="F185" s="1">
        <v>6.94</v>
      </c>
      <c r="G185" s="1">
        <v>9.25</v>
      </c>
    </row>
    <row r="186" spans="4:7" x14ac:dyDescent="0.2">
      <c r="D186" s="17">
        <v>44127</v>
      </c>
      <c r="E186" s="1">
        <v>0.99</v>
      </c>
      <c r="F186" s="1">
        <v>7.34</v>
      </c>
      <c r="G186" s="1">
        <v>9.25</v>
      </c>
    </row>
    <row r="187" spans="4:7" x14ac:dyDescent="0.2">
      <c r="D187" s="17">
        <v>44130</v>
      </c>
      <c r="E187" s="1">
        <v>0.99</v>
      </c>
      <c r="F187" s="1">
        <v>7.34</v>
      </c>
      <c r="G187" s="1">
        <v>9.25</v>
      </c>
    </row>
    <row r="188" spans="4:7" x14ac:dyDescent="0.2">
      <c r="D188" s="17">
        <v>44131</v>
      </c>
      <c r="E188" s="1">
        <v>0.99</v>
      </c>
      <c r="F188" s="1">
        <v>7.34</v>
      </c>
      <c r="G188" s="1">
        <v>9.25</v>
      </c>
    </row>
    <row r="189" spans="4:7" x14ac:dyDescent="0.2">
      <c r="D189" s="17">
        <v>44132</v>
      </c>
      <c r="E189" s="1">
        <v>0.99</v>
      </c>
      <c r="F189" s="1">
        <v>7.34</v>
      </c>
      <c r="G189" s="1">
        <v>9.25</v>
      </c>
    </row>
    <row r="190" spans="4:7" x14ac:dyDescent="0.2">
      <c r="D190" s="1">
        <v>44133</v>
      </c>
      <c r="E190" s="1">
        <v>0.99</v>
      </c>
      <c r="F190" s="1">
        <v>7.65</v>
      </c>
      <c r="G190" s="1">
        <v>9.25</v>
      </c>
    </row>
    <row r="191" spans="4:7" x14ac:dyDescent="0.2">
      <c r="D191" s="1">
        <v>44134</v>
      </c>
      <c r="E191" s="1">
        <v>0.99</v>
      </c>
      <c r="F191" s="1">
        <v>8</v>
      </c>
      <c r="G191" s="1">
        <v>10.81</v>
      </c>
    </row>
    <row r="192" spans="4:7" x14ac:dyDescent="0.2">
      <c r="D192" s="1">
        <v>44138</v>
      </c>
      <c r="E192" s="1">
        <v>0.99</v>
      </c>
      <c r="F192" s="1">
        <v>8</v>
      </c>
      <c r="G192" s="1">
        <v>10.81</v>
      </c>
    </row>
    <row r="193" spans="4:7" x14ac:dyDescent="0.2">
      <c r="D193" s="1">
        <v>44139</v>
      </c>
      <c r="E193" s="1">
        <v>0.99</v>
      </c>
      <c r="F193" s="1">
        <v>8</v>
      </c>
      <c r="G193" s="1">
        <v>10.81</v>
      </c>
    </row>
    <row r="194" spans="4:7" x14ac:dyDescent="0.2">
      <c r="D194" s="1">
        <v>44140</v>
      </c>
      <c r="E194" s="1">
        <v>0.99</v>
      </c>
      <c r="F194" s="1">
        <v>8</v>
      </c>
      <c r="G194" s="1">
        <v>10.81</v>
      </c>
    </row>
    <row r="195" spans="4:7" x14ac:dyDescent="0.2">
      <c r="D195" s="1">
        <v>44141</v>
      </c>
      <c r="E195" s="1">
        <v>0.28999999999999998</v>
      </c>
      <c r="F195" s="1">
        <v>5.97</v>
      </c>
      <c r="G195" s="1">
        <v>10.87</v>
      </c>
    </row>
    <row r="196" spans="4:7" x14ac:dyDescent="0.2">
      <c r="D196" s="17">
        <v>44144</v>
      </c>
      <c r="E196" s="1">
        <v>0.28999999999999998</v>
      </c>
      <c r="F196" s="1">
        <v>5.78</v>
      </c>
      <c r="G196" s="1">
        <v>10.87</v>
      </c>
    </row>
    <row r="197" spans="4:7" x14ac:dyDescent="0.2">
      <c r="D197" s="17">
        <v>44145</v>
      </c>
      <c r="E197" s="1">
        <v>0.28999999999999998</v>
      </c>
      <c r="F197" s="1">
        <v>5.97</v>
      </c>
      <c r="G197" s="1">
        <v>10.87</v>
      </c>
    </row>
    <row r="198" spans="4:7" x14ac:dyDescent="0.2">
      <c r="D198" s="17">
        <v>44146</v>
      </c>
      <c r="E198" s="1">
        <v>0.28999999999999998</v>
      </c>
      <c r="F198" s="1">
        <v>6</v>
      </c>
      <c r="G198" s="1">
        <v>10.87</v>
      </c>
    </row>
    <row r="199" spans="4:7" x14ac:dyDescent="0.2">
      <c r="D199" s="17">
        <v>44147</v>
      </c>
      <c r="E199" s="1">
        <v>0.28999999999999998</v>
      </c>
      <c r="F199" s="1">
        <v>6</v>
      </c>
      <c r="G199" s="1">
        <v>10.87</v>
      </c>
    </row>
    <row r="200" spans="4:7" x14ac:dyDescent="0.2">
      <c r="D200" s="17">
        <v>44148</v>
      </c>
      <c r="E200" s="1">
        <v>0.28999999999999998</v>
      </c>
      <c r="F200" s="1">
        <v>6.14</v>
      </c>
      <c r="G200" s="1">
        <v>10.87</v>
      </c>
    </row>
    <row r="201" spans="4:7" x14ac:dyDescent="0.2">
      <c r="D201" s="17">
        <v>44151</v>
      </c>
      <c r="E201" s="1">
        <v>0.28999999999999998</v>
      </c>
      <c r="F201" s="1">
        <v>6.14</v>
      </c>
      <c r="G201" s="1">
        <v>10.87</v>
      </c>
    </row>
    <row r="202" spans="4:7" x14ac:dyDescent="0.2">
      <c r="D202" s="17">
        <v>44152</v>
      </c>
      <c r="E202" s="1">
        <v>0.1</v>
      </c>
      <c r="F202" s="1">
        <v>6.13</v>
      </c>
      <c r="G202" s="1">
        <v>10.87</v>
      </c>
    </row>
    <row r="203" spans="4:7" x14ac:dyDescent="0.2">
      <c r="D203" s="17">
        <v>44153</v>
      </c>
      <c r="E203" s="1">
        <v>-2.08</v>
      </c>
      <c r="F203" s="1">
        <v>6.13</v>
      </c>
      <c r="G203" s="1">
        <v>10.87</v>
      </c>
    </row>
    <row r="204" spans="4:7" x14ac:dyDescent="0.2">
      <c r="D204" s="17">
        <v>44154</v>
      </c>
      <c r="E204" s="1">
        <v>-2.08</v>
      </c>
      <c r="F204" s="1">
        <v>6.67</v>
      </c>
      <c r="G204" s="1">
        <v>10.87</v>
      </c>
    </row>
    <row r="205" spans="4:7" x14ac:dyDescent="0.2">
      <c r="D205" s="17">
        <v>44155</v>
      </c>
      <c r="E205" s="1">
        <v>-2.08</v>
      </c>
      <c r="F205" s="1">
        <v>7.64</v>
      </c>
      <c r="G205" s="1">
        <v>11.12</v>
      </c>
    </row>
    <row r="206" spans="4:7" x14ac:dyDescent="0.2">
      <c r="D206" s="17">
        <v>44158</v>
      </c>
      <c r="E206" s="1">
        <v>-2.08</v>
      </c>
      <c r="F206" s="1">
        <v>7.66</v>
      </c>
      <c r="G206" s="1">
        <v>11.12</v>
      </c>
    </row>
    <row r="207" spans="4:7" x14ac:dyDescent="0.2">
      <c r="D207" s="17">
        <v>44159</v>
      </c>
      <c r="E207" s="1">
        <v>-2.08</v>
      </c>
      <c r="F207" s="1">
        <v>7.66</v>
      </c>
      <c r="G207" s="1">
        <v>11.12</v>
      </c>
    </row>
    <row r="208" spans="4:7" x14ac:dyDescent="0.2">
      <c r="D208" s="17">
        <v>44160</v>
      </c>
      <c r="E208" s="1">
        <v>-2.08</v>
      </c>
      <c r="F208" s="1">
        <v>7.66</v>
      </c>
      <c r="G208" s="1">
        <v>11.12</v>
      </c>
    </row>
    <row r="209" spans="4:7" x14ac:dyDescent="0.2">
      <c r="D209" s="17">
        <v>44161</v>
      </c>
      <c r="E209" s="1">
        <v>-2.08</v>
      </c>
      <c r="F209" s="1">
        <v>7.66</v>
      </c>
      <c r="G209" s="1">
        <v>11.12</v>
      </c>
    </row>
    <row r="210" spans="4:7" x14ac:dyDescent="0.2">
      <c r="D210" s="17">
        <v>44162</v>
      </c>
      <c r="E210" s="1">
        <v>-2.75</v>
      </c>
      <c r="F210" s="1">
        <v>7.68</v>
      </c>
      <c r="G210" s="1">
        <v>11.12</v>
      </c>
    </row>
    <row r="211" spans="4:7" x14ac:dyDescent="0.2">
      <c r="D211" s="17">
        <v>44165</v>
      </c>
      <c r="E211" s="1">
        <v>-2.75</v>
      </c>
      <c r="F211" s="1">
        <v>7.68</v>
      </c>
      <c r="G211" s="1">
        <v>11.12</v>
      </c>
    </row>
    <row r="212" spans="4:7" x14ac:dyDescent="0.2">
      <c r="D212" s="17">
        <v>44166</v>
      </c>
      <c r="E212" s="1">
        <v>-2.75</v>
      </c>
      <c r="F212" s="1">
        <v>7.79</v>
      </c>
      <c r="G212" s="1">
        <v>11.12</v>
      </c>
    </row>
    <row r="213" spans="4:7" x14ac:dyDescent="0.2">
      <c r="D213" s="17">
        <v>44167</v>
      </c>
      <c r="E213" s="1">
        <v>-2.75</v>
      </c>
      <c r="F213" s="1">
        <v>7.79</v>
      </c>
      <c r="G213" s="1">
        <v>11.17</v>
      </c>
    </row>
    <row r="214" spans="4:7" x14ac:dyDescent="0.2">
      <c r="D214" s="17">
        <v>44168</v>
      </c>
      <c r="E214" s="1">
        <v>-2.75</v>
      </c>
      <c r="F214" s="1">
        <v>7.79</v>
      </c>
      <c r="G214" s="1">
        <v>11.25</v>
      </c>
    </row>
    <row r="215" spans="4:7" x14ac:dyDescent="0.2">
      <c r="D215" s="17">
        <v>44169</v>
      </c>
      <c r="E215" s="1">
        <v>-2.75</v>
      </c>
      <c r="F215" s="1">
        <v>7.98</v>
      </c>
      <c r="G215" s="1">
        <v>11.25</v>
      </c>
    </row>
    <row r="216" spans="4:7" x14ac:dyDescent="0.2">
      <c r="D216" s="17">
        <v>44172</v>
      </c>
      <c r="E216" s="1">
        <v>-4.9000000000000004</v>
      </c>
      <c r="F216" s="1">
        <v>5.64</v>
      </c>
      <c r="G216" s="1">
        <v>9.18</v>
      </c>
    </row>
    <row r="217" spans="4:7" x14ac:dyDescent="0.2">
      <c r="D217" s="17">
        <v>44173</v>
      </c>
      <c r="E217" s="1">
        <v>-4.9000000000000004</v>
      </c>
      <c r="F217" s="1">
        <v>5.64</v>
      </c>
      <c r="G217" s="1">
        <v>9.18</v>
      </c>
    </row>
    <row r="218" spans="4:7" x14ac:dyDescent="0.2">
      <c r="D218" s="17">
        <v>44174</v>
      </c>
      <c r="E218" s="1">
        <v>-4.7</v>
      </c>
      <c r="F218" s="1">
        <v>5.64</v>
      </c>
      <c r="G218" s="1">
        <v>9.18</v>
      </c>
    </row>
    <row r="219" spans="4:7" x14ac:dyDescent="0.2">
      <c r="D219" s="17">
        <v>44175</v>
      </c>
      <c r="E219" s="1">
        <v>-4.7</v>
      </c>
      <c r="F219" s="1">
        <v>5.64</v>
      </c>
      <c r="G219" s="1">
        <v>9.18</v>
      </c>
    </row>
    <row r="220" spans="4:7" x14ac:dyDescent="0.2">
      <c r="D220" s="17">
        <v>44176</v>
      </c>
      <c r="E220" s="1">
        <v>-4.7</v>
      </c>
      <c r="F220" s="1">
        <v>5.64</v>
      </c>
      <c r="G220" s="1">
        <v>9.18</v>
      </c>
    </row>
    <row r="221" spans="4:7" x14ac:dyDescent="0.2">
      <c r="D221" s="17">
        <v>44179</v>
      </c>
      <c r="E221" s="1">
        <v>-4.7</v>
      </c>
      <c r="F221" s="1">
        <v>5.64</v>
      </c>
      <c r="G221" s="1">
        <v>9.18</v>
      </c>
    </row>
    <row r="222" spans="4:7" x14ac:dyDescent="0.2">
      <c r="D222" s="17">
        <v>44180</v>
      </c>
      <c r="E222" s="1">
        <v>-4.6399999999999997</v>
      </c>
      <c r="F222" s="1">
        <v>5.56</v>
      </c>
      <c r="G222" s="1">
        <v>9.18</v>
      </c>
    </row>
    <row r="223" spans="4:7" x14ac:dyDescent="0.2">
      <c r="D223" s="17">
        <v>44181</v>
      </c>
      <c r="E223" s="1">
        <v>-4.6399999999999997</v>
      </c>
      <c r="F223" s="1">
        <v>5.56</v>
      </c>
      <c r="G223" s="1">
        <v>9.18</v>
      </c>
    </row>
    <row r="224" spans="4:7" x14ac:dyDescent="0.2">
      <c r="D224" s="17">
        <v>44182</v>
      </c>
      <c r="E224" s="1">
        <v>-4.6399999999999997</v>
      </c>
      <c r="F224" s="1">
        <v>5.56</v>
      </c>
      <c r="G224" s="1">
        <v>9.18</v>
      </c>
    </row>
    <row r="225" spans="4:7" x14ac:dyDescent="0.2">
      <c r="D225" s="17">
        <v>44183</v>
      </c>
      <c r="E225" s="1">
        <v>-4.6399999999999997</v>
      </c>
      <c r="F225" s="1">
        <v>5.64</v>
      </c>
      <c r="G225" s="1">
        <v>9.18</v>
      </c>
    </row>
    <row r="226" spans="4:7" x14ac:dyDescent="0.2">
      <c r="D226" s="17">
        <v>44186</v>
      </c>
      <c r="E226" s="1">
        <v>-4.6399999999999997</v>
      </c>
      <c r="F226" s="1">
        <v>5.46</v>
      </c>
      <c r="G226" s="1">
        <v>9.18</v>
      </c>
    </row>
    <row r="227" spans="4:7" x14ac:dyDescent="0.2">
      <c r="D227" s="17">
        <v>44187</v>
      </c>
      <c r="E227" s="1">
        <v>-4.6399999999999997</v>
      </c>
      <c r="F227" s="1">
        <v>5.38</v>
      </c>
      <c r="G227" s="1">
        <v>9.18</v>
      </c>
    </row>
    <row r="228" spans="4:7" x14ac:dyDescent="0.2">
      <c r="D228" s="17">
        <v>44188</v>
      </c>
      <c r="E228" s="1">
        <v>-4.6399999999999997</v>
      </c>
      <c r="F228" s="1">
        <v>5.18</v>
      </c>
      <c r="G228" s="1">
        <v>9.18</v>
      </c>
    </row>
    <row r="229" spans="4:7" x14ac:dyDescent="0.2">
      <c r="D229" s="17">
        <v>44189</v>
      </c>
      <c r="E229" s="1">
        <v>-4.6399999999999997</v>
      </c>
      <c r="F229" s="1">
        <v>5.18</v>
      </c>
      <c r="G229" s="1">
        <v>9.18</v>
      </c>
    </row>
    <row r="230" spans="4:7" x14ac:dyDescent="0.2">
      <c r="D230" s="17">
        <v>44193</v>
      </c>
      <c r="E230" s="1">
        <v>-4.6399999999999997</v>
      </c>
      <c r="F230" s="1">
        <v>5.18</v>
      </c>
      <c r="G230" s="1">
        <v>9.18</v>
      </c>
    </row>
    <row r="231" spans="4:7" x14ac:dyDescent="0.2">
      <c r="D231" s="17">
        <v>44194</v>
      </c>
      <c r="E231" s="1">
        <v>-4.7300000000000004</v>
      </c>
      <c r="F231" s="1">
        <v>5.18</v>
      </c>
      <c r="G231" s="1">
        <v>9.18</v>
      </c>
    </row>
    <row r="232" spans="4:7" x14ac:dyDescent="0.2">
      <c r="D232" s="17">
        <v>44195</v>
      </c>
      <c r="E232" s="1">
        <v>-4.7300000000000004</v>
      </c>
      <c r="F232" s="1">
        <v>5.16</v>
      </c>
      <c r="G232" s="1">
        <v>9.18</v>
      </c>
    </row>
    <row r="233" spans="4:7" x14ac:dyDescent="0.2">
      <c r="D233" s="17">
        <v>44196</v>
      </c>
      <c r="E233" s="1">
        <v>-4.7300000000000004</v>
      </c>
      <c r="F233" s="1">
        <v>5.16</v>
      </c>
      <c r="G233" s="1">
        <v>9.18</v>
      </c>
    </row>
    <row r="234" spans="4:7" x14ac:dyDescent="0.2">
      <c r="D234" s="17">
        <v>44203</v>
      </c>
      <c r="E234" s="1">
        <v>-5.09</v>
      </c>
      <c r="F234" s="1">
        <v>5.13</v>
      </c>
      <c r="G234" s="1">
        <v>7.75</v>
      </c>
    </row>
    <row r="235" spans="4:7" x14ac:dyDescent="0.2">
      <c r="D235" s="17">
        <v>44202</v>
      </c>
      <c r="E235" s="1">
        <v>-5.09</v>
      </c>
      <c r="F235" s="1">
        <v>5.13</v>
      </c>
      <c r="G235" s="1">
        <v>7.75</v>
      </c>
    </row>
    <row r="236" spans="4:7" x14ac:dyDescent="0.2">
      <c r="D236" s="17">
        <v>44201</v>
      </c>
      <c r="E236" s="1">
        <v>-5.09</v>
      </c>
      <c r="F236" s="1">
        <v>5.13</v>
      </c>
      <c r="G236" s="1">
        <v>7.75</v>
      </c>
    </row>
    <row r="237" spans="4:7" x14ac:dyDescent="0.2">
      <c r="D237" s="17">
        <v>44200</v>
      </c>
      <c r="E237" s="1">
        <v>-4.7300000000000004</v>
      </c>
      <c r="F237" s="1">
        <v>5.12</v>
      </c>
      <c r="G237" s="1">
        <v>7.75</v>
      </c>
    </row>
    <row r="238" spans="4:7" x14ac:dyDescent="0.2">
      <c r="D238" s="17">
        <v>44204</v>
      </c>
      <c r="E238" s="1">
        <v>-3.88</v>
      </c>
      <c r="F238" s="1">
        <v>4.32</v>
      </c>
      <c r="G238" s="1">
        <v>6.38</v>
      </c>
    </row>
    <row r="239" spans="4:7" x14ac:dyDescent="0.2">
      <c r="D239" s="17">
        <v>44207</v>
      </c>
      <c r="E239" s="1">
        <v>-3.88</v>
      </c>
      <c r="F239" s="1">
        <v>4.3099999999999996</v>
      </c>
      <c r="G239" s="1">
        <v>6.38</v>
      </c>
    </row>
    <row r="240" spans="4:7" x14ac:dyDescent="0.2">
      <c r="D240" s="17">
        <v>44208</v>
      </c>
      <c r="E240" s="1">
        <v>-3.88</v>
      </c>
      <c r="F240" s="1">
        <v>4.28</v>
      </c>
      <c r="G240" s="1">
        <v>6.38</v>
      </c>
    </row>
    <row r="241" spans="4:7" x14ac:dyDescent="0.2">
      <c r="D241" s="17">
        <v>44211</v>
      </c>
      <c r="E241" s="1">
        <v>-3.88</v>
      </c>
      <c r="F241" s="1">
        <v>4.34</v>
      </c>
      <c r="G241" s="1">
        <v>6.94</v>
      </c>
    </row>
    <row r="242" spans="4:7" x14ac:dyDescent="0.2">
      <c r="D242" s="17">
        <v>44210</v>
      </c>
      <c r="E242" s="1">
        <v>-3.88</v>
      </c>
      <c r="F242" s="1">
        <v>4.34</v>
      </c>
      <c r="G242" s="1">
        <v>6.94</v>
      </c>
    </row>
    <row r="243" spans="4:7" x14ac:dyDescent="0.2">
      <c r="D243" s="17">
        <v>44209</v>
      </c>
      <c r="E243" s="1">
        <v>-3.88</v>
      </c>
      <c r="F243" s="1">
        <v>4.3099999999999996</v>
      </c>
      <c r="G243" s="1">
        <v>6.94</v>
      </c>
    </row>
    <row r="244" spans="4:7" x14ac:dyDescent="0.2">
      <c r="D244" s="17">
        <v>44214</v>
      </c>
      <c r="E244" s="1">
        <v>-3.88</v>
      </c>
      <c r="F244" s="1">
        <v>4.34</v>
      </c>
      <c r="G244" s="1">
        <v>6.94</v>
      </c>
    </row>
    <row r="245" spans="4:7" x14ac:dyDescent="0.2">
      <c r="D245" s="17">
        <v>44215</v>
      </c>
      <c r="E245" s="1">
        <v>-3.88</v>
      </c>
      <c r="F245" s="1">
        <v>4.34</v>
      </c>
      <c r="G245" s="1">
        <v>6.94</v>
      </c>
    </row>
    <row r="246" spans="4:7" x14ac:dyDescent="0.2">
      <c r="D246" s="17">
        <v>44216</v>
      </c>
      <c r="E246" s="1">
        <v>-3.88</v>
      </c>
      <c r="F246" s="1">
        <v>4.34</v>
      </c>
      <c r="G246" s="1">
        <v>6.94</v>
      </c>
    </row>
    <row r="247" spans="4:7" x14ac:dyDescent="0.2">
      <c r="D247" s="17">
        <v>44217</v>
      </c>
      <c r="E247" s="1">
        <v>-3.88</v>
      </c>
      <c r="F247" s="1">
        <v>4.34</v>
      </c>
      <c r="G247" s="1">
        <v>6.94</v>
      </c>
    </row>
    <row r="248" spans="4:7" x14ac:dyDescent="0.2">
      <c r="D248" s="17">
        <v>44218</v>
      </c>
      <c r="E248" s="1">
        <v>-3.88</v>
      </c>
      <c r="F248" s="1">
        <v>4.3099999999999996</v>
      </c>
      <c r="G248" s="1">
        <v>6.94</v>
      </c>
    </row>
    <row r="249" spans="4:7" x14ac:dyDescent="0.2">
      <c r="D249" s="17">
        <v>44221</v>
      </c>
      <c r="E249" s="1">
        <v>-3.88</v>
      </c>
      <c r="F249" s="1">
        <v>4.3099999999999996</v>
      </c>
      <c r="G249" s="1">
        <v>6.94</v>
      </c>
    </row>
    <row r="250" spans="4:7" x14ac:dyDescent="0.2">
      <c r="D250" s="17">
        <v>44222</v>
      </c>
      <c r="E250" s="1">
        <v>-3.88</v>
      </c>
      <c r="F250" s="1">
        <v>4.3099999999999996</v>
      </c>
      <c r="G250" s="1">
        <v>6.94</v>
      </c>
    </row>
    <row r="251" spans="4:7" x14ac:dyDescent="0.2">
      <c r="D251" s="17">
        <v>44223</v>
      </c>
      <c r="E251" s="1">
        <v>-3.88</v>
      </c>
      <c r="F251" s="1">
        <v>4.3099999999999996</v>
      </c>
      <c r="G251" s="1">
        <v>6.94</v>
      </c>
    </row>
    <row r="252" spans="4:7" x14ac:dyDescent="0.2">
      <c r="D252" s="17">
        <v>44224</v>
      </c>
      <c r="E252" s="1">
        <v>-3.88</v>
      </c>
      <c r="F252" s="1">
        <v>4.32</v>
      </c>
      <c r="G252" s="1">
        <v>6.94</v>
      </c>
    </row>
    <row r="253" spans="4:7" x14ac:dyDescent="0.2">
      <c r="D253" s="17">
        <v>44225</v>
      </c>
      <c r="E253" s="1">
        <v>-3.88</v>
      </c>
      <c r="F253" s="1">
        <v>4.32</v>
      </c>
      <c r="G253" s="1">
        <v>6.94</v>
      </c>
    </row>
    <row r="254" spans="4:7" x14ac:dyDescent="0.2">
      <c r="D254" s="17">
        <v>44228</v>
      </c>
      <c r="E254" s="1">
        <v>-3.88</v>
      </c>
      <c r="F254" s="1">
        <v>4.25</v>
      </c>
      <c r="G254" s="1">
        <v>6.94</v>
      </c>
    </row>
    <row r="255" spans="4:7" x14ac:dyDescent="0.2">
      <c r="D255" s="17">
        <v>44229</v>
      </c>
      <c r="E255" s="1">
        <v>-3.88</v>
      </c>
      <c r="F255" s="1">
        <v>4.25</v>
      </c>
      <c r="G255" s="1">
        <v>6.94</v>
      </c>
    </row>
    <row r="256" spans="4:7" x14ac:dyDescent="0.2">
      <c r="D256" s="17">
        <v>44230</v>
      </c>
      <c r="E256" s="1">
        <v>-3.88</v>
      </c>
      <c r="F256" s="1">
        <v>4.25</v>
      </c>
      <c r="G256" s="1">
        <v>6.94</v>
      </c>
    </row>
    <row r="257" spans="4:7" x14ac:dyDescent="0.2">
      <c r="D257" s="17">
        <v>44231</v>
      </c>
      <c r="E257" s="1">
        <v>-3.88</v>
      </c>
      <c r="F257" s="1">
        <v>4.5</v>
      </c>
      <c r="G257" s="1">
        <v>6.94</v>
      </c>
    </row>
    <row r="258" spans="4:7" x14ac:dyDescent="0.2">
      <c r="D258" s="17">
        <v>44232</v>
      </c>
      <c r="E258" s="1">
        <v>-2.82</v>
      </c>
      <c r="F258" s="1">
        <v>4.1900000000000004</v>
      </c>
      <c r="G258" s="1">
        <v>5.85</v>
      </c>
    </row>
    <row r="259" spans="4:7" x14ac:dyDescent="0.2">
      <c r="D259" s="17">
        <v>44235</v>
      </c>
      <c r="E259" s="1">
        <v>-2.82</v>
      </c>
      <c r="F259" s="1">
        <v>3.85</v>
      </c>
      <c r="G259" s="1">
        <v>5.85</v>
      </c>
    </row>
    <row r="260" spans="4:7" x14ac:dyDescent="0.2">
      <c r="D260" s="17">
        <v>44236</v>
      </c>
      <c r="E260" s="1">
        <v>-2.82</v>
      </c>
      <c r="F260" s="1">
        <v>3.85</v>
      </c>
      <c r="G260" s="1">
        <v>5.85</v>
      </c>
    </row>
    <row r="261" spans="4:7" x14ac:dyDescent="0.2">
      <c r="D261" s="17">
        <v>44237</v>
      </c>
      <c r="E261" s="1">
        <v>-2.82</v>
      </c>
      <c r="F261" s="1">
        <v>3.85</v>
      </c>
      <c r="G261" s="1">
        <v>5.85</v>
      </c>
    </row>
    <row r="262" spans="4:7" x14ac:dyDescent="0.2">
      <c r="D262" s="17">
        <v>44238</v>
      </c>
      <c r="E262" s="1">
        <v>-2.82</v>
      </c>
      <c r="F262" s="1">
        <v>3.85</v>
      </c>
      <c r="G262" s="1">
        <v>5.85</v>
      </c>
    </row>
    <row r="263" spans="4:7" x14ac:dyDescent="0.2">
      <c r="D263" s="17">
        <v>44239</v>
      </c>
      <c r="E263" s="1">
        <v>-2.82</v>
      </c>
      <c r="F263" s="1">
        <v>3.85</v>
      </c>
      <c r="G263" s="1">
        <v>5.85</v>
      </c>
    </row>
    <row r="264" spans="4:7" x14ac:dyDescent="0.2">
      <c r="D264" s="17">
        <v>44244</v>
      </c>
      <c r="E264" s="1">
        <v>-2.82</v>
      </c>
      <c r="F264" s="1">
        <v>1.08</v>
      </c>
      <c r="G264" s="1">
        <v>4.9800000000000004</v>
      </c>
    </row>
    <row r="265" spans="4:7" x14ac:dyDescent="0.2">
      <c r="D265" s="17"/>
    </row>
    <row r="266" spans="4:7" x14ac:dyDescent="0.2">
      <c r="D266" s="17"/>
    </row>
    <row r="267" spans="4:7" x14ac:dyDescent="0.2">
      <c r="D267" s="17"/>
    </row>
    <row r="268" spans="4:7" x14ac:dyDescent="0.2">
      <c r="D268" s="17"/>
    </row>
    <row r="269" spans="4:7" x14ac:dyDescent="0.2">
      <c r="D269" s="17"/>
    </row>
    <row r="270" spans="4:7" x14ac:dyDescent="0.2">
      <c r="D270" s="17"/>
    </row>
    <row r="271" spans="4:7" x14ac:dyDescent="0.2">
      <c r="D271" s="17"/>
    </row>
    <row r="272" spans="4:7" x14ac:dyDescent="0.2">
      <c r="D272" s="17"/>
    </row>
    <row r="273" spans="4:4" x14ac:dyDescent="0.2">
      <c r="D273" s="17"/>
    </row>
    <row r="274" spans="4:4" x14ac:dyDescent="0.2">
      <c r="D274" s="17"/>
    </row>
    <row r="275" spans="4:4" x14ac:dyDescent="0.2">
      <c r="D275" s="17"/>
    </row>
    <row r="276" spans="4:4" x14ac:dyDescent="0.2">
      <c r="D276" s="17"/>
    </row>
    <row r="277" spans="4:4" x14ac:dyDescent="0.2">
      <c r="D277" s="17"/>
    </row>
    <row r="278" spans="4:4" x14ac:dyDescent="0.2">
      <c r="D278" s="17"/>
    </row>
    <row r="279" spans="4:4" x14ac:dyDescent="0.2">
      <c r="D279" s="17"/>
    </row>
    <row r="280" spans="4:4" x14ac:dyDescent="0.2">
      <c r="D280" s="17"/>
    </row>
    <row r="281" spans="4:4" x14ac:dyDescent="0.2">
      <c r="D281" s="17"/>
    </row>
    <row r="282" spans="4:4" x14ac:dyDescent="0.2">
      <c r="D282" s="17"/>
    </row>
    <row r="283" spans="4:4" x14ac:dyDescent="0.2">
      <c r="D283" s="17"/>
    </row>
    <row r="284" spans="4:4" x14ac:dyDescent="0.2">
      <c r="D284" s="17"/>
    </row>
    <row r="285" spans="4:4" x14ac:dyDescent="0.2">
      <c r="D285" s="17"/>
    </row>
    <row r="286" spans="4:4" x14ac:dyDescent="0.2">
      <c r="D286" s="17"/>
    </row>
    <row r="287" spans="4:4" x14ac:dyDescent="0.2">
      <c r="D287" s="17"/>
    </row>
    <row r="288" spans="4:4" x14ac:dyDescent="0.2">
      <c r="D288" s="17"/>
    </row>
    <row r="289" spans="4:4" x14ac:dyDescent="0.2">
      <c r="D289" s="17"/>
    </row>
    <row r="290" spans="4:4" x14ac:dyDescent="0.2">
      <c r="D290" s="17"/>
    </row>
    <row r="291" spans="4:4" x14ac:dyDescent="0.2">
      <c r="D291" s="17"/>
    </row>
    <row r="292" spans="4:4" x14ac:dyDescent="0.2">
      <c r="D292" s="17"/>
    </row>
    <row r="293" spans="4:4" x14ac:dyDescent="0.2">
      <c r="D293" s="17"/>
    </row>
    <row r="294" spans="4:4" x14ac:dyDescent="0.2">
      <c r="D294" s="17"/>
    </row>
    <row r="295" spans="4:4" x14ac:dyDescent="0.2">
      <c r="D295" s="17"/>
    </row>
    <row r="296" spans="4:4" x14ac:dyDescent="0.2">
      <c r="D296" s="17"/>
    </row>
    <row r="297" spans="4:4" x14ac:dyDescent="0.2">
      <c r="D297" s="17"/>
    </row>
    <row r="298" spans="4:4" x14ac:dyDescent="0.2">
      <c r="D298" s="17"/>
    </row>
    <row r="299" spans="4:4" x14ac:dyDescent="0.2">
      <c r="D299" s="17"/>
    </row>
    <row r="300" spans="4:4" x14ac:dyDescent="0.2">
      <c r="D300" s="17"/>
    </row>
    <row r="301" spans="4:4" x14ac:dyDescent="0.2">
      <c r="D301" s="17"/>
    </row>
    <row r="302" spans="4:4" x14ac:dyDescent="0.2">
      <c r="D302" s="17"/>
    </row>
    <row r="303" spans="4:4" x14ac:dyDescent="0.2">
      <c r="D303" s="17"/>
    </row>
    <row r="304" spans="4:4" x14ac:dyDescent="0.2">
      <c r="D304" s="17"/>
    </row>
    <row r="305" spans="4:4" x14ac:dyDescent="0.2">
      <c r="D305" s="17"/>
    </row>
    <row r="306" spans="4:4" x14ac:dyDescent="0.2">
      <c r="D306" s="17"/>
    </row>
    <row r="307" spans="4:4" x14ac:dyDescent="0.2">
      <c r="D307" s="17"/>
    </row>
    <row r="308" spans="4:4" x14ac:dyDescent="0.2">
      <c r="D308" s="17"/>
    </row>
    <row r="309" spans="4:4" x14ac:dyDescent="0.2">
      <c r="D309" s="17"/>
    </row>
    <row r="310" spans="4:4" x14ac:dyDescent="0.2">
      <c r="D310" s="17"/>
    </row>
    <row r="311" spans="4:4" x14ac:dyDescent="0.2">
      <c r="D311" s="17"/>
    </row>
    <row r="312" spans="4:4" x14ac:dyDescent="0.2">
      <c r="D312" s="17"/>
    </row>
    <row r="313" spans="4:4" x14ac:dyDescent="0.2">
      <c r="D313" s="17"/>
    </row>
    <row r="314" spans="4:4" x14ac:dyDescent="0.2">
      <c r="D314" s="17"/>
    </row>
    <row r="315" spans="4:4" x14ac:dyDescent="0.2">
      <c r="D315" s="17"/>
    </row>
    <row r="316" spans="4:4" x14ac:dyDescent="0.2">
      <c r="D316" s="17"/>
    </row>
    <row r="317" spans="4:4" x14ac:dyDescent="0.2">
      <c r="D317" s="17"/>
    </row>
    <row r="318" spans="4:4" x14ac:dyDescent="0.2">
      <c r="D318" s="17"/>
    </row>
    <row r="319" spans="4:4" x14ac:dyDescent="0.2">
      <c r="D319" s="17"/>
    </row>
    <row r="320" spans="4:4" x14ac:dyDescent="0.2">
      <c r="D320" s="17"/>
    </row>
    <row r="321" spans="4:4" x14ac:dyDescent="0.2">
      <c r="D321" s="17"/>
    </row>
    <row r="322" spans="4:4" x14ac:dyDescent="0.2">
      <c r="D322" s="17"/>
    </row>
    <row r="323" spans="4:4" x14ac:dyDescent="0.2">
      <c r="D323" s="17"/>
    </row>
    <row r="324" spans="4:4" x14ac:dyDescent="0.2">
      <c r="D324" s="17"/>
    </row>
    <row r="325" spans="4:4" x14ac:dyDescent="0.2">
      <c r="D325" s="17"/>
    </row>
    <row r="326" spans="4:4" x14ac:dyDescent="0.2">
      <c r="D326" s="17"/>
    </row>
    <row r="327" spans="4:4" x14ac:dyDescent="0.2">
      <c r="D327" s="17"/>
    </row>
    <row r="328" spans="4:4" x14ac:dyDescent="0.2">
      <c r="D328" s="17"/>
    </row>
    <row r="329" spans="4:4" x14ac:dyDescent="0.2">
      <c r="D329" s="17"/>
    </row>
    <row r="330" spans="4:4" x14ac:dyDescent="0.2">
      <c r="D330" s="17"/>
    </row>
    <row r="331" spans="4:4" x14ac:dyDescent="0.2">
      <c r="D331" s="17"/>
    </row>
    <row r="332" spans="4:4" x14ac:dyDescent="0.2">
      <c r="D332" s="17"/>
    </row>
    <row r="333" spans="4:4" x14ac:dyDescent="0.2">
      <c r="D333" s="17"/>
    </row>
    <row r="334" spans="4:4" x14ac:dyDescent="0.2">
      <c r="D334" s="17"/>
    </row>
    <row r="335" spans="4:4" x14ac:dyDescent="0.2">
      <c r="D335" s="17"/>
    </row>
    <row r="336" spans="4:4" x14ac:dyDescent="0.2">
      <c r="D336" s="17"/>
    </row>
    <row r="337" spans="4:4" x14ac:dyDescent="0.2">
      <c r="D337" s="17"/>
    </row>
    <row r="338" spans="4:4" x14ac:dyDescent="0.2">
      <c r="D338" s="17"/>
    </row>
    <row r="339" spans="4:4" x14ac:dyDescent="0.2">
      <c r="D339" s="17"/>
    </row>
    <row r="340" spans="4:4" x14ac:dyDescent="0.2">
      <c r="D340" s="17"/>
    </row>
    <row r="341" spans="4:4" x14ac:dyDescent="0.2">
      <c r="D341" s="17"/>
    </row>
    <row r="342" spans="4:4" x14ac:dyDescent="0.2">
      <c r="D342" s="17"/>
    </row>
    <row r="343" spans="4:4" x14ac:dyDescent="0.2">
      <c r="D343" s="17"/>
    </row>
    <row r="344" spans="4:4" x14ac:dyDescent="0.2">
      <c r="D344" s="17"/>
    </row>
    <row r="345" spans="4:4" x14ac:dyDescent="0.2">
      <c r="D345" s="17"/>
    </row>
    <row r="346" spans="4:4" x14ac:dyDescent="0.2">
      <c r="D346" s="17"/>
    </row>
    <row r="347" spans="4:4" x14ac:dyDescent="0.2">
      <c r="D347" s="17"/>
    </row>
    <row r="348" spans="4:4" x14ac:dyDescent="0.2">
      <c r="D348" s="17"/>
    </row>
    <row r="349" spans="4:4" x14ac:dyDescent="0.2">
      <c r="D349" s="17"/>
    </row>
    <row r="350" spans="4:4" x14ac:dyDescent="0.2">
      <c r="D350" s="17"/>
    </row>
    <row r="351" spans="4:4" x14ac:dyDescent="0.2">
      <c r="D351" s="17"/>
    </row>
    <row r="352" spans="4:4" x14ac:dyDescent="0.2">
      <c r="D352" s="17"/>
    </row>
    <row r="353" spans="4:4" x14ac:dyDescent="0.2">
      <c r="D353" s="17"/>
    </row>
    <row r="354" spans="4:4" x14ac:dyDescent="0.2">
      <c r="D354" s="17"/>
    </row>
    <row r="355" spans="4:4" x14ac:dyDescent="0.2">
      <c r="D355" s="17"/>
    </row>
    <row r="356" spans="4:4" x14ac:dyDescent="0.2">
      <c r="D356" s="17"/>
    </row>
    <row r="357" spans="4:4" x14ac:dyDescent="0.2">
      <c r="D357" s="17"/>
    </row>
    <row r="358" spans="4:4" x14ac:dyDescent="0.2">
      <c r="D358" s="17"/>
    </row>
    <row r="359" spans="4:4" x14ac:dyDescent="0.2">
      <c r="D359" s="17"/>
    </row>
    <row r="360" spans="4:4" x14ac:dyDescent="0.2">
      <c r="D360" s="17"/>
    </row>
    <row r="361" spans="4:4" x14ac:dyDescent="0.2">
      <c r="D361" s="17"/>
    </row>
    <row r="362" spans="4:4" x14ac:dyDescent="0.2">
      <c r="D362" s="17"/>
    </row>
    <row r="363" spans="4:4" x14ac:dyDescent="0.2">
      <c r="D363" s="17"/>
    </row>
    <row r="364" spans="4:4" x14ac:dyDescent="0.2">
      <c r="D364" s="17"/>
    </row>
    <row r="365" spans="4:4" x14ac:dyDescent="0.2">
      <c r="D365" s="17"/>
    </row>
    <row r="366" spans="4:4" x14ac:dyDescent="0.2">
      <c r="D366" s="17"/>
    </row>
    <row r="367" spans="4:4" x14ac:dyDescent="0.2">
      <c r="D367" s="17"/>
    </row>
    <row r="368" spans="4:4" x14ac:dyDescent="0.2">
      <c r="D368" s="17"/>
    </row>
    <row r="369" spans="4:4" x14ac:dyDescent="0.2">
      <c r="D369" s="17"/>
    </row>
    <row r="370" spans="4:4" x14ac:dyDescent="0.2">
      <c r="D370" s="17"/>
    </row>
    <row r="371" spans="4:4" x14ac:dyDescent="0.2">
      <c r="D371" s="17"/>
    </row>
    <row r="372" spans="4:4" x14ac:dyDescent="0.2">
      <c r="D372" s="17"/>
    </row>
    <row r="373" spans="4:4" x14ac:dyDescent="0.2">
      <c r="D373" s="17"/>
    </row>
    <row r="374" spans="4:4" x14ac:dyDescent="0.2">
      <c r="D374" s="17"/>
    </row>
    <row r="375" spans="4:4" x14ac:dyDescent="0.2">
      <c r="D375" s="17"/>
    </row>
    <row r="376" spans="4:4" x14ac:dyDescent="0.2">
      <c r="D376" s="17"/>
    </row>
    <row r="377" spans="4:4" x14ac:dyDescent="0.2">
      <c r="D377" s="17"/>
    </row>
    <row r="378" spans="4:4" x14ac:dyDescent="0.2">
      <c r="D378" s="17"/>
    </row>
    <row r="379" spans="4:4" x14ac:dyDescent="0.2">
      <c r="D379" s="17"/>
    </row>
    <row r="380" spans="4:4" x14ac:dyDescent="0.2">
      <c r="D380" s="17"/>
    </row>
    <row r="381" spans="4:4" x14ac:dyDescent="0.2">
      <c r="D381" s="17"/>
    </row>
    <row r="382" spans="4:4" x14ac:dyDescent="0.2">
      <c r="D382" s="17"/>
    </row>
    <row r="383" spans="4:4" x14ac:dyDescent="0.2">
      <c r="D383" s="17"/>
    </row>
    <row r="384" spans="4:4" x14ac:dyDescent="0.2">
      <c r="D384" s="17"/>
    </row>
    <row r="385" spans="4:4" x14ac:dyDescent="0.2">
      <c r="D385" s="17"/>
    </row>
    <row r="386" spans="4:4" x14ac:dyDescent="0.2">
      <c r="D386" s="17"/>
    </row>
    <row r="387" spans="4:4" x14ac:dyDescent="0.2">
      <c r="D387" s="17"/>
    </row>
    <row r="388" spans="4:4" x14ac:dyDescent="0.2">
      <c r="D388" s="17"/>
    </row>
    <row r="389" spans="4:4" x14ac:dyDescent="0.2">
      <c r="D389" s="17"/>
    </row>
    <row r="390" spans="4:4" x14ac:dyDescent="0.2">
      <c r="D390" s="17"/>
    </row>
    <row r="391" spans="4:4" x14ac:dyDescent="0.2">
      <c r="D391" s="17"/>
    </row>
    <row r="392" spans="4:4" x14ac:dyDescent="0.2">
      <c r="D392" s="17"/>
    </row>
    <row r="393" spans="4:4" x14ac:dyDescent="0.2">
      <c r="D393" s="17"/>
    </row>
    <row r="394" spans="4:4" x14ac:dyDescent="0.2">
      <c r="D394" s="17"/>
    </row>
    <row r="395" spans="4:4" x14ac:dyDescent="0.2">
      <c r="D395" s="17"/>
    </row>
    <row r="396" spans="4:4" x14ac:dyDescent="0.2">
      <c r="D396" s="17"/>
    </row>
    <row r="397" spans="4:4" x14ac:dyDescent="0.2">
      <c r="D397" s="17"/>
    </row>
    <row r="398" spans="4:4" x14ac:dyDescent="0.2">
      <c r="D398" s="17"/>
    </row>
    <row r="399" spans="4:4" x14ac:dyDescent="0.2">
      <c r="D399" s="17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0A603-5C9D-4C6A-A620-CF7213348789}">
  <sheetPr codeName="Planilha7"/>
  <dimension ref="A1:P399"/>
  <sheetViews>
    <sheetView workbookViewId="0">
      <selection activeCell="J33" sqref="J33"/>
    </sheetView>
  </sheetViews>
  <sheetFormatPr defaultRowHeight="12.75" x14ac:dyDescent="0.2"/>
  <cols>
    <col min="1" max="1" width="37.140625" style="1" customWidth="1"/>
    <col min="2" max="3" width="10.140625" style="1" bestFit="1" customWidth="1"/>
    <col min="4" max="4" width="12" style="1" customWidth="1"/>
    <col min="5" max="7" width="9.140625" style="1"/>
    <col min="8" max="8" width="12.28515625" style="1" bestFit="1" customWidth="1"/>
    <col min="9" max="9" width="15.7109375" style="1" bestFit="1" customWidth="1"/>
    <col min="10" max="16384" width="9.140625" style="1"/>
  </cols>
  <sheetData>
    <row r="1" spans="1:16" ht="15.75" x14ac:dyDescent="0.25">
      <c r="A1" s="9" t="s">
        <v>90</v>
      </c>
      <c r="I1" s="3" t="s">
        <v>60</v>
      </c>
      <c r="J1" s="60" t="str">
        <f>"FOCUS TOP 5 forecast for "&amp;$B$3&amp;" of "&amp;PROPER(TEXT($B$5,"[$-409]mmm/aa"))</f>
        <v>FOCUS TOP 5 forecast for IPCA of Oct/21</v>
      </c>
      <c r="K1" s="61"/>
      <c r="L1" s="61"/>
      <c r="M1" s="61"/>
      <c r="N1" s="61"/>
      <c r="O1" s="61"/>
      <c r="P1" s="61"/>
    </row>
    <row r="2" spans="1:16" x14ac:dyDescent="0.2">
      <c r="D2" s="1" t="s">
        <v>13</v>
      </c>
      <c r="E2" s="1" t="s">
        <v>15</v>
      </c>
      <c r="F2" s="1" t="s">
        <v>17</v>
      </c>
      <c r="G2" s="1" t="s">
        <v>21</v>
      </c>
      <c r="H2" s="1" t="s">
        <v>22</v>
      </c>
    </row>
    <row r="3" spans="1:16" x14ac:dyDescent="0.2">
      <c r="A3" s="3" t="s">
        <v>61</v>
      </c>
      <c r="B3" s="18" t="s">
        <v>36</v>
      </c>
      <c r="D3" s="1" t="s">
        <v>69</v>
      </c>
      <c r="E3" s="1" t="s">
        <v>70</v>
      </c>
      <c r="F3" s="1" t="s">
        <v>71</v>
      </c>
      <c r="G3" s="1" t="s">
        <v>72</v>
      </c>
      <c r="H3" s="1" t="s">
        <v>73</v>
      </c>
    </row>
    <row r="4" spans="1:16" x14ac:dyDescent="0.2">
      <c r="A4" s="3" t="s">
        <v>62</v>
      </c>
      <c r="B4" s="18"/>
      <c r="D4" s="17" cm="1">
        <f t="array" ref="D4:H94">xlFOCUS_ExpectativasTop5Mensais($B$3,,B5,B6,B7,B8,D2:H2)</f>
        <v>44378</v>
      </c>
      <c r="E4" s="1">
        <v>0.14000000000000001</v>
      </c>
      <c r="F4" s="1">
        <v>0.35499999999999998</v>
      </c>
      <c r="G4" s="1">
        <v>0.39</v>
      </c>
      <c r="H4" s="1">
        <v>7.5700000000000003E-2</v>
      </c>
    </row>
    <row r="5" spans="1:16" x14ac:dyDescent="0.2">
      <c r="A5" s="3" t="s">
        <v>63</v>
      </c>
      <c r="B5" s="14">
        <v>44470</v>
      </c>
      <c r="D5" s="17">
        <v>44379</v>
      </c>
      <c r="E5" s="1">
        <v>0.14000000000000001</v>
      </c>
      <c r="F5" s="1">
        <v>0.35499999999999998</v>
      </c>
      <c r="G5" s="1">
        <v>0.4</v>
      </c>
      <c r="H5" s="1">
        <v>7.8399999999999997E-2</v>
      </c>
    </row>
    <row r="6" spans="1:16" x14ac:dyDescent="0.2">
      <c r="A6" s="3" t="s">
        <v>64</v>
      </c>
      <c r="B6" s="14">
        <v>44378</v>
      </c>
      <c r="D6" s="17">
        <v>44382</v>
      </c>
      <c r="E6" s="1">
        <v>0.14000000000000001</v>
      </c>
      <c r="F6" s="1">
        <v>0.35499999999999998</v>
      </c>
      <c r="G6" s="1">
        <v>0.4</v>
      </c>
      <c r="H6" s="1">
        <v>7.8399999999999997E-2</v>
      </c>
    </row>
    <row r="7" spans="1:16" x14ac:dyDescent="0.2">
      <c r="A7" s="3" t="s">
        <v>65</v>
      </c>
      <c r="B7" s="14">
        <v>44531</v>
      </c>
      <c r="D7" s="17">
        <v>44383</v>
      </c>
      <c r="E7" s="1">
        <v>0.14000000000000001</v>
      </c>
      <c r="F7" s="1">
        <v>0.35499999999999998</v>
      </c>
      <c r="G7" s="1">
        <v>0.4</v>
      </c>
      <c r="H7" s="1">
        <v>7.8399999999999997E-2</v>
      </c>
    </row>
    <row r="8" spans="1:16" x14ac:dyDescent="0.2">
      <c r="A8" s="3" t="s">
        <v>74</v>
      </c>
      <c r="B8" s="18" t="s">
        <v>75</v>
      </c>
      <c r="D8" s="17">
        <v>44384</v>
      </c>
      <c r="E8" s="1">
        <v>0.14000000000000001</v>
      </c>
      <c r="F8" s="1">
        <v>0.35499999999999998</v>
      </c>
      <c r="G8" s="1">
        <v>0.4</v>
      </c>
      <c r="H8" s="1">
        <v>7.8399999999999997E-2</v>
      </c>
    </row>
    <row r="9" spans="1:16" x14ac:dyDescent="0.2">
      <c r="D9" s="17">
        <v>44385</v>
      </c>
      <c r="E9" s="1">
        <v>0.34</v>
      </c>
      <c r="F9" s="1">
        <v>0.375</v>
      </c>
      <c r="G9" s="1">
        <v>0.4</v>
      </c>
      <c r="H9" s="1">
        <v>2.29E-2</v>
      </c>
    </row>
    <row r="10" spans="1:16" x14ac:dyDescent="0.2">
      <c r="D10" s="17">
        <v>44386</v>
      </c>
      <c r="E10" s="1">
        <v>0.34</v>
      </c>
      <c r="F10" s="1">
        <v>0.36499999999999999</v>
      </c>
      <c r="G10" s="1">
        <v>0.4</v>
      </c>
      <c r="H10" s="1">
        <v>2.1399999999999999E-2</v>
      </c>
    </row>
    <row r="11" spans="1:16" x14ac:dyDescent="0.2">
      <c r="D11" s="17">
        <v>44389</v>
      </c>
      <c r="E11" s="1">
        <v>0.34</v>
      </c>
      <c r="F11" s="1">
        <v>0.36</v>
      </c>
      <c r="G11" s="1">
        <v>0.4</v>
      </c>
      <c r="H11" s="1">
        <v>2.3300000000000001E-2</v>
      </c>
    </row>
    <row r="12" spans="1:16" x14ac:dyDescent="0.2">
      <c r="D12" s="17">
        <v>44390</v>
      </c>
      <c r="E12" s="1">
        <v>0.34</v>
      </c>
      <c r="F12" s="1">
        <v>0.36</v>
      </c>
      <c r="G12" s="1">
        <v>0.4</v>
      </c>
      <c r="H12" s="1">
        <v>2.3300000000000001E-2</v>
      </c>
    </row>
    <row r="13" spans="1:16" x14ac:dyDescent="0.2">
      <c r="D13" s="17">
        <v>44391</v>
      </c>
      <c r="E13" s="1">
        <v>0.34</v>
      </c>
      <c r="F13" s="1">
        <v>0.36</v>
      </c>
      <c r="G13" s="1">
        <v>0.4</v>
      </c>
      <c r="H13" s="1">
        <v>2.3300000000000001E-2</v>
      </c>
    </row>
    <row r="14" spans="1:16" x14ac:dyDescent="0.2">
      <c r="D14" s="17">
        <v>44392</v>
      </c>
      <c r="E14" s="1">
        <v>0.34</v>
      </c>
      <c r="F14" s="1">
        <v>0.36</v>
      </c>
      <c r="G14" s="1">
        <v>0.4</v>
      </c>
      <c r="H14" s="1">
        <v>2.3300000000000001E-2</v>
      </c>
    </row>
    <row r="15" spans="1:16" x14ac:dyDescent="0.2">
      <c r="D15" s="17">
        <v>44393</v>
      </c>
      <c r="E15" s="1">
        <v>0.34</v>
      </c>
      <c r="F15" s="1">
        <v>0.36</v>
      </c>
      <c r="G15" s="1">
        <v>0.4</v>
      </c>
      <c r="H15" s="1">
        <v>2.3300000000000001E-2</v>
      </c>
    </row>
    <row r="16" spans="1:16" x14ac:dyDescent="0.2">
      <c r="D16" s="17">
        <v>44396</v>
      </c>
      <c r="E16" s="1">
        <v>0.34</v>
      </c>
      <c r="F16" s="1">
        <v>0.36</v>
      </c>
      <c r="G16" s="1">
        <v>0.4</v>
      </c>
      <c r="H16" s="1">
        <v>2.3300000000000001E-2</v>
      </c>
    </row>
    <row r="17" spans="4:8" x14ac:dyDescent="0.2">
      <c r="D17" s="17">
        <v>44397</v>
      </c>
      <c r="E17" s="1">
        <v>0.34</v>
      </c>
      <c r="F17" s="1">
        <v>0.36</v>
      </c>
      <c r="G17" s="1">
        <v>0.4</v>
      </c>
      <c r="H17" s="1">
        <v>2.3300000000000001E-2</v>
      </c>
    </row>
    <row r="18" spans="4:8" x14ac:dyDescent="0.2">
      <c r="D18" s="17">
        <v>44398</v>
      </c>
      <c r="E18" s="1">
        <v>0.32</v>
      </c>
      <c r="F18" s="1">
        <v>0.35</v>
      </c>
      <c r="G18" s="1">
        <v>0.4</v>
      </c>
      <c r="H18" s="1">
        <v>2.69E-2</v>
      </c>
    </row>
    <row r="19" spans="4:8" x14ac:dyDescent="0.2">
      <c r="D19" s="17">
        <v>44399</v>
      </c>
      <c r="E19" s="1">
        <v>0.32</v>
      </c>
      <c r="F19" s="1">
        <v>0.35</v>
      </c>
      <c r="G19" s="1">
        <v>0.4</v>
      </c>
      <c r="H19" s="1">
        <v>2.4899999999999999E-2</v>
      </c>
    </row>
    <row r="20" spans="4:8" x14ac:dyDescent="0.2">
      <c r="D20" s="17">
        <v>44400</v>
      </c>
      <c r="E20" s="1">
        <v>0.34</v>
      </c>
      <c r="F20" s="1">
        <v>0.36</v>
      </c>
      <c r="G20" s="1">
        <v>0.64</v>
      </c>
      <c r="H20" s="1">
        <v>0.10639999999999999</v>
      </c>
    </row>
    <row r="21" spans="4:8" x14ac:dyDescent="0.2">
      <c r="D21" s="17">
        <v>44403</v>
      </c>
      <c r="E21" s="1">
        <v>0.34</v>
      </c>
      <c r="F21" s="1">
        <v>0.36</v>
      </c>
      <c r="G21" s="1">
        <v>0.64</v>
      </c>
      <c r="H21" s="1">
        <v>0.10639999999999999</v>
      </c>
    </row>
    <row r="22" spans="4:8" x14ac:dyDescent="0.2">
      <c r="D22" s="17">
        <v>44404</v>
      </c>
      <c r="E22" s="1">
        <v>0.34</v>
      </c>
      <c r="F22" s="1">
        <v>0.36</v>
      </c>
      <c r="G22" s="1">
        <v>0.64</v>
      </c>
      <c r="H22" s="1">
        <v>0.10639999999999999</v>
      </c>
    </row>
    <row r="23" spans="4:8" x14ac:dyDescent="0.2">
      <c r="D23" s="17">
        <v>44405</v>
      </c>
      <c r="E23" s="1">
        <v>0.34</v>
      </c>
      <c r="F23" s="1">
        <v>0.36</v>
      </c>
      <c r="G23" s="1">
        <v>0.64</v>
      </c>
      <c r="H23" s="1">
        <v>0.10639999999999999</v>
      </c>
    </row>
    <row r="24" spans="4:8" x14ac:dyDescent="0.2">
      <c r="D24" s="17">
        <v>44406</v>
      </c>
      <c r="E24" s="1">
        <v>0.34</v>
      </c>
      <c r="F24" s="1">
        <v>0.36</v>
      </c>
      <c r="G24" s="1">
        <v>0.64</v>
      </c>
      <c r="H24" s="1">
        <v>0.10639999999999999</v>
      </c>
    </row>
    <row r="25" spans="4:8" x14ac:dyDescent="0.2">
      <c r="D25" s="17">
        <v>44407</v>
      </c>
      <c r="E25" s="1">
        <v>0.3</v>
      </c>
      <c r="F25" s="1">
        <v>0.35</v>
      </c>
      <c r="G25" s="1">
        <v>0.6</v>
      </c>
      <c r="H25" s="1">
        <v>9.9099999999999994E-2</v>
      </c>
    </row>
    <row r="26" spans="4:8" x14ac:dyDescent="0.2">
      <c r="D26" s="17">
        <v>44410</v>
      </c>
      <c r="E26" s="1">
        <v>0.3</v>
      </c>
      <c r="F26" s="1">
        <v>0.35</v>
      </c>
      <c r="G26" s="1">
        <v>0.6</v>
      </c>
      <c r="H26" s="1">
        <v>9.9099999999999994E-2</v>
      </c>
    </row>
    <row r="27" spans="4:8" x14ac:dyDescent="0.2">
      <c r="D27" s="17">
        <v>44411</v>
      </c>
      <c r="E27" s="1">
        <v>0.3</v>
      </c>
      <c r="F27" s="1">
        <v>0.37</v>
      </c>
      <c r="G27" s="1">
        <v>0.6</v>
      </c>
      <c r="H27" s="1">
        <v>9.8000000000000004E-2</v>
      </c>
    </row>
    <row r="28" spans="4:8" x14ac:dyDescent="0.2">
      <c r="D28" s="17">
        <v>44412</v>
      </c>
      <c r="E28" s="1">
        <v>0.3</v>
      </c>
      <c r="F28" s="1">
        <v>0.37</v>
      </c>
      <c r="G28" s="1">
        <v>0.6</v>
      </c>
      <c r="H28" s="1">
        <v>9.8000000000000004E-2</v>
      </c>
    </row>
    <row r="29" spans="4:8" x14ac:dyDescent="0.2">
      <c r="D29" s="17">
        <v>44413</v>
      </c>
      <c r="E29" s="1">
        <v>0.3</v>
      </c>
      <c r="F29" s="1">
        <v>0.37</v>
      </c>
      <c r="G29" s="1">
        <v>0.6</v>
      </c>
      <c r="H29" s="1">
        <v>9.8000000000000004E-2</v>
      </c>
    </row>
    <row r="30" spans="4:8" x14ac:dyDescent="0.2">
      <c r="D30" s="17">
        <v>44414</v>
      </c>
      <c r="E30" s="1">
        <v>0.3</v>
      </c>
      <c r="F30" s="1">
        <v>0.38500000000000001</v>
      </c>
      <c r="G30" s="1">
        <v>0.6</v>
      </c>
      <c r="H30" s="1">
        <v>9.5500000000000002E-2</v>
      </c>
    </row>
    <row r="31" spans="4:8" x14ac:dyDescent="0.2">
      <c r="D31" s="17">
        <v>44417</v>
      </c>
      <c r="E31" s="1">
        <v>0.3</v>
      </c>
      <c r="F31" s="1">
        <v>0.38500000000000001</v>
      </c>
      <c r="G31" s="1">
        <v>0.6</v>
      </c>
      <c r="H31" s="1">
        <v>9.5500000000000002E-2</v>
      </c>
    </row>
    <row r="32" spans="4:8" x14ac:dyDescent="0.2">
      <c r="D32" s="17">
        <v>44418</v>
      </c>
      <c r="E32" s="1">
        <v>0.3</v>
      </c>
      <c r="F32" s="1">
        <v>0.37</v>
      </c>
      <c r="G32" s="1">
        <v>0.42</v>
      </c>
      <c r="H32" s="1">
        <v>4.07E-2</v>
      </c>
    </row>
    <row r="33" spans="4:8" x14ac:dyDescent="0.2">
      <c r="D33" s="17">
        <v>44419</v>
      </c>
      <c r="E33" s="1">
        <v>0.3</v>
      </c>
      <c r="F33" s="1">
        <v>0.37</v>
      </c>
      <c r="G33" s="1">
        <v>0.42</v>
      </c>
      <c r="H33" s="1">
        <v>4.07E-2</v>
      </c>
    </row>
    <row r="34" spans="4:8" x14ac:dyDescent="0.2">
      <c r="D34" s="17">
        <v>44420</v>
      </c>
      <c r="E34" s="1">
        <v>0.3</v>
      </c>
      <c r="F34" s="1">
        <v>0.37</v>
      </c>
      <c r="G34" s="1">
        <v>0.42</v>
      </c>
      <c r="H34" s="1">
        <v>4.07E-2</v>
      </c>
    </row>
    <row r="35" spans="4:8" x14ac:dyDescent="0.2">
      <c r="D35" s="17">
        <v>44421</v>
      </c>
      <c r="E35" s="1">
        <v>0.3</v>
      </c>
      <c r="F35" s="1">
        <v>0.4</v>
      </c>
      <c r="G35" s="1">
        <v>0.52</v>
      </c>
      <c r="H35" s="1">
        <v>7.17E-2</v>
      </c>
    </row>
    <row r="36" spans="4:8" x14ac:dyDescent="0.2">
      <c r="D36" s="17">
        <v>44424</v>
      </c>
      <c r="E36" s="1">
        <v>0.3</v>
      </c>
      <c r="F36" s="1">
        <v>0.4</v>
      </c>
      <c r="G36" s="1">
        <v>0.52</v>
      </c>
      <c r="H36" s="1">
        <v>7.17E-2</v>
      </c>
    </row>
    <row r="37" spans="4:8" x14ac:dyDescent="0.2">
      <c r="D37" s="17">
        <v>44425</v>
      </c>
      <c r="E37" s="1">
        <v>0.3</v>
      </c>
      <c r="F37" s="1">
        <v>0.4</v>
      </c>
      <c r="G37" s="1">
        <v>0.52</v>
      </c>
      <c r="H37" s="1">
        <v>7.17E-2</v>
      </c>
    </row>
    <row r="38" spans="4:8" x14ac:dyDescent="0.2">
      <c r="D38" s="17">
        <v>44426</v>
      </c>
      <c r="E38" s="1">
        <v>0.3</v>
      </c>
      <c r="F38" s="1">
        <v>0.4</v>
      </c>
      <c r="G38" s="1">
        <v>0.52</v>
      </c>
      <c r="H38" s="1">
        <v>7.17E-2</v>
      </c>
    </row>
    <row r="39" spans="4:8" x14ac:dyDescent="0.2">
      <c r="D39" s="17">
        <v>44427</v>
      </c>
      <c r="E39" s="1">
        <v>0.3</v>
      </c>
      <c r="F39" s="1">
        <v>0.4</v>
      </c>
      <c r="G39" s="1">
        <v>0.52</v>
      </c>
      <c r="H39" s="1">
        <v>7.17E-2</v>
      </c>
    </row>
    <row r="40" spans="4:8" x14ac:dyDescent="0.2">
      <c r="D40" s="17">
        <v>44428</v>
      </c>
      <c r="E40" s="1">
        <v>0.3</v>
      </c>
      <c r="F40" s="1">
        <v>0.4</v>
      </c>
      <c r="G40" s="1">
        <v>0.5</v>
      </c>
      <c r="H40" s="1">
        <v>6.9699999999999998E-2</v>
      </c>
    </row>
    <row r="41" spans="4:8" x14ac:dyDescent="0.2">
      <c r="D41" s="17">
        <v>44431</v>
      </c>
      <c r="E41" s="1">
        <v>0.3</v>
      </c>
      <c r="F41" s="1">
        <v>0.4</v>
      </c>
      <c r="G41" s="1">
        <v>0.5</v>
      </c>
      <c r="H41" s="1">
        <v>6.9699999999999998E-2</v>
      </c>
    </row>
    <row r="42" spans="4:8" x14ac:dyDescent="0.2">
      <c r="D42" s="17">
        <v>44432</v>
      </c>
      <c r="E42" s="1">
        <v>0.3</v>
      </c>
      <c r="F42" s="1">
        <v>0.4</v>
      </c>
      <c r="G42" s="1">
        <v>0.5</v>
      </c>
      <c r="H42" s="1">
        <v>6.9699999999999998E-2</v>
      </c>
    </row>
    <row r="43" spans="4:8" x14ac:dyDescent="0.2">
      <c r="D43" s="17">
        <v>44433</v>
      </c>
      <c r="E43" s="1">
        <v>0.3</v>
      </c>
      <c r="F43" s="1">
        <v>0.4</v>
      </c>
      <c r="G43" s="1">
        <v>0.5</v>
      </c>
      <c r="H43" s="1">
        <v>6.9699999999999998E-2</v>
      </c>
    </row>
    <row r="44" spans="4:8" x14ac:dyDescent="0.2">
      <c r="D44" s="17">
        <v>44434</v>
      </c>
      <c r="E44" s="1">
        <v>0.3</v>
      </c>
      <c r="F44" s="1">
        <v>0.4</v>
      </c>
      <c r="G44" s="1">
        <v>0.5</v>
      </c>
      <c r="H44" s="1">
        <v>6.9699999999999998E-2</v>
      </c>
    </row>
    <row r="45" spans="4:8" x14ac:dyDescent="0.2">
      <c r="D45" s="17">
        <v>44435</v>
      </c>
      <c r="E45" s="1">
        <v>0.3</v>
      </c>
      <c r="F45" s="1">
        <v>0.4</v>
      </c>
      <c r="G45" s="1">
        <v>0.65</v>
      </c>
      <c r="H45" s="1">
        <v>0.1192</v>
      </c>
    </row>
    <row r="46" spans="4:8" x14ac:dyDescent="0.2">
      <c r="D46" s="17">
        <v>44438</v>
      </c>
      <c r="E46" s="1">
        <v>0.4</v>
      </c>
      <c r="F46" s="1">
        <v>0.47</v>
      </c>
      <c r="G46" s="1">
        <v>0.65</v>
      </c>
      <c r="H46" s="1">
        <v>0.1053</v>
      </c>
    </row>
    <row r="47" spans="4:8" x14ac:dyDescent="0.2">
      <c r="D47" s="17">
        <v>44447</v>
      </c>
      <c r="E47" s="1">
        <v>0.41</v>
      </c>
      <c r="F47" s="1">
        <v>0.55000000000000004</v>
      </c>
      <c r="G47" s="1">
        <v>0.65</v>
      </c>
      <c r="H47" s="1">
        <v>0.09</v>
      </c>
    </row>
    <row r="48" spans="4:8" x14ac:dyDescent="0.2">
      <c r="D48" s="17">
        <v>44439</v>
      </c>
      <c r="E48" s="1">
        <v>0.4</v>
      </c>
      <c r="F48" s="1">
        <v>0.47</v>
      </c>
      <c r="G48" s="1">
        <v>0.65</v>
      </c>
      <c r="H48" s="1">
        <v>0.1053</v>
      </c>
    </row>
    <row r="49" spans="4:8" x14ac:dyDescent="0.2">
      <c r="D49" s="17">
        <v>44440</v>
      </c>
      <c r="E49" s="1">
        <v>0.4</v>
      </c>
      <c r="F49" s="1">
        <v>0.47</v>
      </c>
      <c r="G49" s="1">
        <v>0.65</v>
      </c>
      <c r="H49" s="1">
        <v>0.1053</v>
      </c>
    </row>
    <row r="50" spans="4:8" x14ac:dyDescent="0.2">
      <c r="D50" s="17">
        <v>44441</v>
      </c>
      <c r="E50" s="1">
        <v>0.41</v>
      </c>
      <c r="F50" s="1">
        <v>0.53</v>
      </c>
      <c r="G50" s="1">
        <v>0.65</v>
      </c>
      <c r="H50" s="1">
        <v>9.4899999999999998E-2</v>
      </c>
    </row>
    <row r="51" spans="4:8" x14ac:dyDescent="0.2">
      <c r="D51" s="17">
        <v>44442</v>
      </c>
      <c r="E51" s="1">
        <v>0.41</v>
      </c>
      <c r="F51" s="1">
        <v>0.55000000000000004</v>
      </c>
      <c r="G51" s="1">
        <v>0.65</v>
      </c>
      <c r="H51" s="1">
        <v>0.09</v>
      </c>
    </row>
    <row r="52" spans="4:8" x14ac:dyDescent="0.2">
      <c r="D52" s="17">
        <v>44445</v>
      </c>
      <c r="E52" s="1">
        <v>0.41</v>
      </c>
      <c r="F52" s="1">
        <v>0.55000000000000004</v>
      </c>
      <c r="G52" s="1">
        <v>0.65</v>
      </c>
      <c r="H52" s="1">
        <v>0.09</v>
      </c>
    </row>
    <row r="53" spans="4:8" x14ac:dyDescent="0.2">
      <c r="D53" s="17">
        <v>44448</v>
      </c>
      <c r="E53" s="1">
        <v>0.41</v>
      </c>
      <c r="F53" s="1">
        <v>0.53</v>
      </c>
      <c r="G53" s="1">
        <v>0.61</v>
      </c>
      <c r="H53" s="1">
        <v>7.4999999999999997E-2</v>
      </c>
    </row>
    <row r="54" spans="4:8" x14ac:dyDescent="0.2">
      <c r="D54" s="17">
        <v>44449</v>
      </c>
      <c r="E54" s="1">
        <v>0.41</v>
      </c>
      <c r="F54" s="1">
        <v>0.5</v>
      </c>
      <c r="G54" s="1">
        <v>0.61</v>
      </c>
      <c r="H54" s="1">
        <v>7.5600000000000001E-2</v>
      </c>
    </row>
    <row r="55" spans="4:8" x14ac:dyDescent="0.2">
      <c r="D55" s="17">
        <v>44452</v>
      </c>
      <c r="E55" s="1">
        <v>0.41</v>
      </c>
      <c r="F55" s="1">
        <v>0.5</v>
      </c>
      <c r="G55" s="1">
        <v>0.64</v>
      </c>
      <c r="H55" s="1">
        <v>8.5199999999999998E-2</v>
      </c>
    </row>
    <row r="56" spans="4:8" x14ac:dyDescent="0.2">
      <c r="D56" s="17">
        <v>44453</v>
      </c>
      <c r="E56" s="1">
        <v>0.41</v>
      </c>
      <c r="F56" s="1">
        <v>0.5</v>
      </c>
      <c r="G56" s="1">
        <v>0.64</v>
      </c>
      <c r="H56" s="1">
        <v>8.5199999999999998E-2</v>
      </c>
    </row>
    <row r="57" spans="4:8" x14ac:dyDescent="0.2">
      <c r="D57" s="17">
        <v>44454</v>
      </c>
      <c r="E57" s="1">
        <v>0.41</v>
      </c>
      <c r="F57" s="1">
        <v>0.57999999999999996</v>
      </c>
      <c r="G57" s="1">
        <v>0.65</v>
      </c>
      <c r="H57" s="1">
        <v>9.0499999999999997E-2</v>
      </c>
    </row>
    <row r="58" spans="4:8" x14ac:dyDescent="0.2">
      <c r="D58" s="17">
        <v>44455</v>
      </c>
      <c r="E58" s="1">
        <v>0.41</v>
      </c>
      <c r="F58" s="1">
        <v>0.57999999999999996</v>
      </c>
      <c r="G58" s="1">
        <v>0.73</v>
      </c>
      <c r="H58" s="1">
        <v>0.1118</v>
      </c>
    </row>
    <row r="59" spans="4:8" x14ac:dyDescent="0.2">
      <c r="D59" s="17">
        <v>44456</v>
      </c>
      <c r="E59" s="1">
        <v>0.5</v>
      </c>
      <c r="F59" s="1">
        <v>0.59</v>
      </c>
      <c r="G59" s="1">
        <v>0.73</v>
      </c>
      <c r="H59" s="1">
        <v>7.4800000000000005E-2</v>
      </c>
    </row>
    <row r="60" spans="4:8" x14ac:dyDescent="0.2">
      <c r="D60" s="17">
        <v>44459</v>
      </c>
      <c r="E60" s="1">
        <v>0.5</v>
      </c>
      <c r="F60" s="1">
        <v>0.59</v>
      </c>
      <c r="G60" s="1">
        <v>0.73</v>
      </c>
      <c r="H60" s="1">
        <v>7.4800000000000005E-2</v>
      </c>
    </row>
    <row r="61" spans="4:8" x14ac:dyDescent="0.2">
      <c r="D61" s="17">
        <v>44460</v>
      </c>
      <c r="E61" s="1">
        <v>0.5</v>
      </c>
      <c r="F61" s="1">
        <v>0.59</v>
      </c>
      <c r="G61" s="1">
        <v>0.73</v>
      </c>
      <c r="H61" s="1">
        <v>7.4800000000000005E-2</v>
      </c>
    </row>
    <row r="62" spans="4:8" x14ac:dyDescent="0.2">
      <c r="D62" s="17">
        <v>44461</v>
      </c>
      <c r="E62" s="1">
        <v>0.5</v>
      </c>
      <c r="F62" s="1">
        <v>0.59</v>
      </c>
      <c r="G62" s="1">
        <v>0.73</v>
      </c>
      <c r="H62" s="1">
        <v>7.4800000000000005E-2</v>
      </c>
    </row>
    <row r="63" spans="4:8" x14ac:dyDescent="0.2">
      <c r="D63" s="17">
        <v>44462</v>
      </c>
      <c r="E63" s="1">
        <v>0.5</v>
      </c>
      <c r="F63" s="1">
        <v>0.59</v>
      </c>
      <c r="G63" s="1">
        <v>0.73</v>
      </c>
      <c r="H63" s="1">
        <v>7.4800000000000005E-2</v>
      </c>
    </row>
    <row r="64" spans="4:8" x14ac:dyDescent="0.2">
      <c r="D64" s="17">
        <v>44463</v>
      </c>
      <c r="E64" s="1">
        <v>0.5</v>
      </c>
      <c r="F64" s="1">
        <v>0.61</v>
      </c>
      <c r="G64" s="1">
        <v>0.73</v>
      </c>
      <c r="H64" s="1">
        <v>7.3099999999999998E-2</v>
      </c>
    </row>
    <row r="65" spans="4:8" x14ac:dyDescent="0.2">
      <c r="D65" s="17">
        <v>44466</v>
      </c>
      <c r="E65" s="1">
        <v>0.5</v>
      </c>
      <c r="F65" s="1">
        <v>0.61</v>
      </c>
      <c r="G65" s="1">
        <v>0.73</v>
      </c>
      <c r="H65" s="1">
        <v>7.3099999999999998E-2</v>
      </c>
    </row>
    <row r="66" spans="4:8" x14ac:dyDescent="0.2">
      <c r="D66" s="17">
        <v>44467</v>
      </c>
      <c r="E66" s="1">
        <v>0.5</v>
      </c>
      <c r="F66" s="1">
        <v>0.61</v>
      </c>
      <c r="G66" s="1">
        <v>0.73</v>
      </c>
      <c r="H66" s="1">
        <v>7.3099999999999998E-2</v>
      </c>
    </row>
    <row r="67" spans="4:8" x14ac:dyDescent="0.2">
      <c r="D67" s="17">
        <v>44468</v>
      </c>
      <c r="E67" s="1">
        <v>0.5</v>
      </c>
      <c r="F67" s="1">
        <v>0.61</v>
      </c>
      <c r="G67" s="1">
        <v>0.73</v>
      </c>
      <c r="H67" s="1">
        <v>7.3099999999999998E-2</v>
      </c>
    </row>
    <row r="68" spans="4:8" x14ac:dyDescent="0.2">
      <c r="D68" s="17">
        <v>44469</v>
      </c>
      <c r="E68" s="1">
        <v>0.5</v>
      </c>
      <c r="F68" s="1">
        <v>0.61</v>
      </c>
      <c r="G68" s="1">
        <v>0.73</v>
      </c>
      <c r="H68" s="1">
        <v>7.3099999999999998E-2</v>
      </c>
    </row>
    <row r="69" spans="4:8" x14ac:dyDescent="0.2">
      <c r="D69" s="17">
        <v>44470</v>
      </c>
      <c r="E69" s="1">
        <v>0.5</v>
      </c>
      <c r="F69" s="1">
        <v>0.61</v>
      </c>
      <c r="G69" s="1">
        <v>0.77</v>
      </c>
      <c r="H69" s="1">
        <v>8.9099999999999999E-2</v>
      </c>
    </row>
    <row r="70" spans="4:8" x14ac:dyDescent="0.2">
      <c r="D70" s="17">
        <v>44473</v>
      </c>
      <c r="E70" s="1">
        <v>0.5</v>
      </c>
      <c r="F70" s="1">
        <v>0.61</v>
      </c>
      <c r="G70" s="1">
        <v>0.77</v>
      </c>
      <c r="H70" s="1">
        <v>8.9099999999999999E-2</v>
      </c>
    </row>
    <row r="71" spans="4:8" x14ac:dyDescent="0.2">
      <c r="D71" s="17">
        <v>44474</v>
      </c>
      <c r="E71" s="1">
        <v>0.5</v>
      </c>
      <c r="F71" s="1">
        <v>0.61</v>
      </c>
      <c r="G71" s="1">
        <v>0.77</v>
      </c>
      <c r="H71" s="1">
        <v>8.9099999999999999E-2</v>
      </c>
    </row>
    <row r="72" spans="4:8" x14ac:dyDescent="0.2">
      <c r="D72" s="17">
        <v>44475</v>
      </c>
      <c r="E72" s="1">
        <v>0.5</v>
      </c>
      <c r="F72" s="1">
        <v>0.61</v>
      </c>
      <c r="G72" s="1">
        <v>0.77</v>
      </c>
      <c r="H72" s="1">
        <v>8.9099999999999999E-2</v>
      </c>
    </row>
    <row r="73" spans="4:8" x14ac:dyDescent="0.2">
      <c r="D73" s="17">
        <v>44476</v>
      </c>
      <c r="E73" s="1">
        <v>0.5</v>
      </c>
      <c r="F73" s="1">
        <v>0.61</v>
      </c>
      <c r="G73" s="1">
        <v>0.77</v>
      </c>
      <c r="H73" s="1">
        <v>8.9099999999999999E-2</v>
      </c>
    </row>
    <row r="74" spans="4:8" x14ac:dyDescent="0.2">
      <c r="D74" s="17">
        <v>44477</v>
      </c>
      <c r="E74" s="1">
        <v>0.4</v>
      </c>
      <c r="F74" s="1">
        <v>0.65</v>
      </c>
      <c r="G74" s="1">
        <v>0.68</v>
      </c>
      <c r="H74" s="1">
        <v>0.10150000000000001</v>
      </c>
    </row>
    <row r="75" spans="4:8" x14ac:dyDescent="0.2">
      <c r="D75" s="17">
        <v>44480</v>
      </c>
      <c r="E75" s="1">
        <v>0.4</v>
      </c>
      <c r="F75" s="1">
        <v>0.65</v>
      </c>
      <c r="G75" s="1">
        <v>0.68</v>
      </c>
      <c r="H75" s="1">
        <v>0.10150000000000001</v>
      </c>
    </row>
    <row r="76" spans="4:8" x14ac:dyDescent="0.2">
      <c r="D76" s="17">
        <v>44482</v>
      </c>
      <c r="E76" s="1">
        <v>0.61</v>
      </c>
      <c r="F76" s="1">
        <v>0.65</v>
      </c>
      <c r="G76" s="1">
        <v>0.78</v>
      </c>
      <c r="H76" s="1">
        <v>5.7500000000000002E-2</v>
      </c>
    </row>
    <row r="77" spans="4:8" x14ac:dyDescent="0.2">
      <c r="D77" s="17">
        <v>44483</v>
      </c>
      <c r="E77" s="1">
        <v>0.61</v>
      </c>
      <c r="F77" s="1">
        <v>0.65</v>
      </c>
      <c r="G77" s="1">
        <v>0.78</v>
      </c>
      <c r="H77" s="1">
        <v>5.7500000000000002E-2</v>
      </c>
    </row>
    <row r="78" spans="4:8" x14ac:dyDescent="0.2">
      <c r="D78" s="17">
        <v>44484</v>
      </c>
      <c r="E78" s="1">
        <v>0.61</v>
      </c>
      <c r="F78" s="1">
        <v>0.68</v>
      </c>
      <c r="G78" s="1">
        <v>0.82</v>
      </c>
      <c r="H78" s="1">
        <v>7.4700000000000003E-2</v>
      </c>
    </row>
    <row r="79" spans="4:8" x14ac:dyDescent="0.2">
      <c r="D79" s="17">
        <v>44487</v>
      </c>
      <c r="E79" s="1">
        <v>0.61</v>
      </c>
      <c r="F79" s="1">
        <v>0.71499999999999997</v>
      </c>
      <c r="G79" s="1">
        <v>0.82</v>
      </c>
      <c r="H79" s="1">
        <v>7.8299999999999995E-2</v>
      </c>
    </row>
    <row r="80" spans="4:8" x14ac:dyDescent="0.2">
      <c r="D80" s="17">
        <v>44488</v>
      </c>
      <c r="E80" s="1">
        <v>0.61</v>
      </c>
      <c r="F80" s="1">
        <v>0.71499999999999997</v>
      </c>
      <c r="G80" s="1">
        <v>0.82</v>
      </c>
      <c r="H80" s="1">
        <v>7.8299999999999995E-2</v>
      </c>
    </row>
    <row r="81" spans="4:8" x14ac:dyDescent="0.2">
      <c r="D81" s="17">
        <v>44489</v>
      </c>
      <c r="E81" s="1">
        <v>0.61</v>
      </c>
      <c r="F81" s="1">
        <v>0.71499999999999997</v>
      </c>
      <c r="G81" s="1">
        <v>0.86</v>
      </c>
      <c r="H81" s="1">
        <v>9.2299999999999993E-2</v>
      </c>
    </row>
    <row r="82" spans="4:8" x14ac:dyDescent="0.2">
      <c r="D82" s="17">
        <v>44490</v>
      </c>
      <c r="E82" s="1">
        <v>0.61</v>
      </c>
      <c r="F82" s="1">
        <v>0.71499999999999997</v>
      </c>
      <c r="G82" s="1">
        <v>0.86</v>
      </c>
      <c r="H82" s="1">
        <v>9.2299999999999993E-2</v>
      </c>
    </row>
    <row r="83" spans="4:8" x14ac:dyDescent="0.2">
      <c r="D83" s="17">
        <v>44491</v>
      </c>
      <c r="E83" s="1">
        <v>0.84</v>
      </c>
      <c r="F83" s="1">
        <v>0.88</v>
      </c>
      <c r="G83" s="1">
        <v>0.95</v>
      </c>
      <c r="H83" s="1">
        <v>3.7699999999999997E-2</v>
      </c>
    </row>
    <row r="84" spans="4:8" x14ac:dyDescent="0.2">
      <c r="D84" s="17">
        <v>44494</v>
      </c>
      <c r="E84" s="1">
        <v>0.84</v>
      </c>
      <c r="F84" s="1">
        <v>0.88</v>
      </c>
      <c r="G84" s="1">
        <v>0.95</v>
      </c>
      <c r="H84" s="1">
        <v>3.7699999999999997E-2</v>
      </c>
    </row>
    <row r="85" spans="4:8" x14ac:dyDescent="0.2">
      <c r="D85" s="17">
        <v>44495</v>
      </c>
      <c r="E85" s="1">
        <v>0.84</v>
      </c>
      <c r="F85" s="1">
        <v>0.9</v>
      </c>
      <c r="G85" s="1">
        <v>1</v>
      </c>
      <c r="H85" s="1">
        <v>5.57E-2</v>
      </c>
    </row>
    <row r="86" spans="4:8" x14ac:dyDescent="0.2">
      <c r="D86" s="17">
        <v>44496</v>
      </c>
      <c r="E86" s="1">
        <v>0.84</v>
      </c>
      <c r="F86" s="1">
        <v>0.9</v>
      </c>
      <c r="G86" s="1">
        <v>1</v>
      </c>
      <c r="H86" s="1">
        <v>5.57E-2</v>
      </c>
    </row>
    <row r="87" spans="4:8" x14ac:dyDescent="0.2">
      <c r="D87" s="17">
        <v>44497</v>
      </c>
      <c r="E87" s="1">
        <v>0.84</v>
      </c>
      <c r="F87" s="1">
        <v>0.9</v>
      </c>
      <c r="G87" s="1">
        <v>1</v>
      </c>
      <c r="H87" s="1">
        <v>5.57E-2</v>
      </c>
    </row>
    <row r="88" spans="4:8" x14ac:dyDescent="0.2">
      <c r="D88" s="17">
        <v>44498</v>
      </c>
      <c r="E88" s="1">
        <v>0.84</v>
      </c>
      <c r="F88" s="1">
        <v>1</v>
      </c>
      <c r="G88" s="1">
        <v>1.08</v>
      </c>
      <c r="H88" s="1">
        <v>8.9899999999999994E-2</v>
      </c>
    </row>
    <row r="89" spans="4:8" x14ac:dyDescent="0.2">
      <c r="D89" s="17">
        <v>44501</v>
      </c>
      <c r="E89" s="1">
        <v>0.84</v>
      </c>
      <c r="F89" s="1">
        <v>1</v>
      </c>
      <c r="G89" s="1">
        <v>1.08</v>
      </c>
      <c r="H89" s="1">
        <v>8.9899999999999994E-2</v>
      </c>
    </row>
    <row r="90" spans="4:8" x14ac:dyDescent="0.2">
      <c r="D90" s="17">
        <v>44503</v>
      </c>
      <c r="E90" s="1">
        <v>0.84</v>
      </c>
      <c r="F90" s="1">
        <v>1</v>
      </c>
      <c r="G90" s="1">
        <v>1.08</v>
      </c>
      <c r="H90" s="1">
        <v>8.9899999999999994E-2</v>
      </c>
    </row>
    <row r="91" spans="4:8" x14ac:dyDescent="0.2">
      <c r="D91" s="17">
        <v>44504</v>
      </c>
      <c r="E91" s="1">
        <v>0.84</v>
      </c>
      <c r="F91" s="1">
        <v>1</v>
      </c>
      <c r="G91" s="1">
        <v>1.08</v>
      </c>
      <c r="H91" s="1">
        <v>8.9899999999999994E-2</v>
      </c>
    </row>
    <row r="92" spans="4:8" x14ac:dyDescent="0.2">
      <c r="D92" s="17">
        <v>44505</v>
      </c>
      <c r="E92" s="1">
        <v>0.84</v>
      </c>
      <c r="F92" s="1">
        <v>1</v>
      </c>
      <c r="G92" s="1">
        <v>1.08</v>
      </c>
      <c r="H92" s="1">
        <v>8.9899999999999994E-2</v>
      </c>
    </row>
    <row r="93" spans="4:8" x14ac:dyDescent="0.2">
      <c r="D93" s="17">
        <v>44508</v>
      </c>
      <c r="E93" s="1">
        <v>0.95</v>
      </c>
      <c r="F93" s="1">
        <v>1.08</v>
      </c>
      <c r="G93" s="1">
        <v>1.0900000000000001</v>
      </c>
      <c r="H93" s="1">
        <v>5.5500000000000001E-2</v>
      </c>
    </row>
    <row r="94" spans="4:8" x14ac:dyDescent="0.2">
      <c r="D94" s="17">
        <v>44509</v>
      </c>
      <c r="E94" s="1">
        <v>0.95</v>
      </c>
      <c r="F94" s="1">
        <v>1.08</v>
      </c>
      <c r="G94" s="1">
        <v>1.0900000000000001</v>
      </c>
      <c r="H94" s="1">
        <v>5.5500000000000001E-2</v>
      </c>
    </row>
    <row r="95" spans="4:8" x14ac:dyDescent="0.2">
      <c r="D95" s="17"/>
    </row>
    <row r="96" spans="4:8" x14ac:dyDescent="0.2">
      <c r="D96" s="17"/>
    </row>
    <row r="97" spans="4:4" x14ac:dyDescent="0.2">
      <c r="D97" s="17"/>
    </row>
    <row r="98" spans="4:4" x14ac:dyDescent="0.2">
      <c r="D98" s="17"/>
    </row>
    <row r="99" spans="4:4" x14ac:dyDescent="0.2">
      <c r="D99" s="17"/>
    </row>
    <row r="100" spans="4:4" x14ac:dyDescent="0.2">
      <c r="D100" s="17"/>
    </row>
    <row r="101" spans="4:4" x14ac:dyDescent="0.2">
      <c r="D101" s="17"/>
    </row>
    <row r="102" spans="4:4" x14ac:dyDescent="0.2">
      <c r="D102" s="17"/>
    </row>
    <row r="103" spans="4:4" x14ac:dyDescent="0.2">
      <c r="D103" s="17"/>
    </row>
    <row r="104" spans="4:4" x14ac:dyDescent="0.2">
      <c r="D104" s="17"/>
    </row>
    <row r="105" spans="4:4" x14ac:dyDescent="0.2">
      <c r="D105" s="17"/>
    </row>
    <row r="106" spans="4:4" x14ac:dyDescent="0.2">
      <c r="D106" s="17"/>
    </row>
    <row r="107" spans="4:4" x14ac:dyDescent="0.2">
      <c r="D107" s="17"/>
    </row>
    <row r="108" spans="4:4" x14ac:dyDescent="0.2">
      <c r="D108" s="17"/>
    </row>
    <row r="109" spans="4:4" x14ac:dyDescent="0.2">
      <c r="D109" s="17"/>
    </row>
    <row r="110" spans="4:4" x14ac:dyDescent="0.2">
      <c r="D110" s="17"/>
    </row>
    <row r="111" spans="4:4" x14ac:dyDescent="0.2">
      <c r="D111" s="17"/>
    </row>
    <row r="112" spans="4:4" x14ac:dyDescent="0.2">
      <c r="D112" s="17"/>
    </row>
    <row r="113" spans="4:4" x14ac:dyDescent="0.2">
      <c r="D113" s="17"/>
    </row>
    <row r="114" spans="4:4" x14ac:dyDescent="0.2">
      <c r="D114" s="17"/>
    </row>
    <row r="115" spans="4:4" x14ac:dyDescent="0.2">
      <c r="D115" s="17"/>
    </row>
    <row r="116" spans="4:4" x14ac:dyDescent="0.2">
      <c r="D116" s="17"/>
    </row>
    <row r="117" spans="4:4" x14ac:dyDescent="0.2">
      <c r="D117" s="17"/>
    </row>
    <row r="118" spans="4:4" x14ac:dyDescent="0.2">
      <c r="D118" s="17"/>
    </row>
    <row r="119" spans="4:4" x14ac:dyDescent="0.2">
      <c r="D119" s="17"/>
    </row>
    <row r="120" spans="4:4" x14ac:dyDescent="0.2">
      <c r="D120" s="17"/>
    </row>
    <row r="121" spans="4:4" x14ac:dyDescent="0.2">
      <c r="D121" s="17"/>
    </row>
    <row r="122" spans="4:4" x14ac:dyDescent="0.2">
      <c r="D122" s="17"/>
    </row>
    <row r="123" spans="4:4" x14ac:dyDescent="0.2">
      <c r="D123" s="17"/>
    </row>
    <row r="124" spans="4:4" x14ac:dyDescent="0.2">
      <c r="D124" s="17"/>
    </row>
    <row r="125" spans="4:4" x14ac:dyDescent="0.2">
      <c r="D125" s="17"/>
    </row>
    <row r="126" spans="4:4" x14ac:dyDescent="0.2">
      <c r="D126" s="17"/>
    </row>
    <row r="127" spans="4:4" x14ac:dyDescent="0.2">
      <c r="D127" s="17"/>
    </row>
    <row r="128" spans="4:4" x14ac:dyDescent="0.2">
      <c r="D128" s="17"/>
    </row>
    <row r="129" spans="4:4" x14ac:dyDescent="0.2">
      <c r="D129" s="17"/>
    </row>
    <row r="130" spans="4:4" x14ac:dyDescent="0.2">
      <c r="D130" s="17"/>
    </row>
    <row r="131" spans="4:4" x14ac:dyDescent="0.2">
      <c r="D131" s="17"/>
    </row>
    <row r="132" spans="4:4" x14ac:dyDescent="0.2">
      <c r="D132" s="17"/>
    </row>
    <row r="133" spans="4:4" x14ac:dyDescent="0.2">
      <c r="D133" s="17"/>
    </row>
    <row r="134" spans="4:4" x14ac:dyDescent="0.2">
      <c r="D134" s="17"/>
    </row>
    <row r="135" spans="4:4" x14ac:dyDescent="0.2">
      <c r="D135" s="17"/>
    </row>
    <row r="136" spans="4:4" x14ac:dyDescent="0.2">
      <c r="D136" s="17"/>
    </row>
    <row r="137" spans="4:4" x14ac:dyDescent="0.2">
      <c r="D137" s="17"/>
    </row>
    <row r="138" spans="4:4" x14ac:dyDescent="0.2">
      <c r="D138" s="17"/>
    </row>
    <row r="139" spans="4:4" x14ac:dyDescent="0.2">
      <c r="D139" s="17"/>
    </row>
    <row r="140" spans="4:4" x14ac:dyDescent="0.2">
      <c r="D140" s="17"/>
    </row>
    <row r="141" spans="4:4" x14ac:dyDescent="0.2">
      <c r="D141" s="17"/>
    </row>
    <row r="142" spans="4:4" x14ac:dyDescent="0.2">
      <c r="D142" s="17"/>
    </row>
    <row r="143" spans="4:4" x14ac:dyDescent="0.2">
      <c r="D143" s="17"/>
    </row>
    <row r="144" spans="4:4" x14ac:dyDescent="0.2">
      <c r="D144" s="17"/>
    </row>
    <row r="145" spans="4:4" x14ac:dyDescent="0.2">
      <c r="D145" s="17"/>
    </row>
    <row r="146" spans="4:4" x14ac:dyDescent="0.2">
      <c r="D146" s="17"/>
    </row>
    <row r="147" spans="4:4" x14ac:dyDescent="0.2">
      <c r="D147" s="17"/>
    </row>
    <row r="148" spans="4:4" x14ac:dyDescent="0.2">
      <c r="D148" s="17"/>
    </row>
    <row r="149" spans="4:4" x14ac:dyDescent="0.2">
      <c r="D149" s="17"/>
    </row>
    <row r="150" spans="4:4" x14ac:dyDescent="0.2">
      <c r="D150" s="17"/>
    </row>
    <row r="151" spans="4:4" x14ac:dyDescent="0.2">
      <c r="D151" s="17"/>
    </row>
    <row r="152" spans="4:4" x14ac:dyDescent="0.2">
      <c r="D152" s="17"/>
    </row>
    <row r="153" spans="4:4" x14ac:dyDescent="0.2">
      <c r="D153" s="17"/>
    </row>
    <row r="154" spans="4:4" x14ac:dyDescent="0.2">
      <c r="D154" s="17"/>
    </row>
    <row r="155" spans="4:4" x14ac:dyDescent="0.2">
      <c r="D155" s="17"/>
    </row>
    <row r="156" spans="4:4" x14ac:dyDescent="0.2">
      <c r="D156" s="17"/>
    </row>
    <row r="157" spans="4:4" x14ac:dyDescent="0.2">
      <c r="D157" s="17"/>
    </row>
    <row r="158" spans="4:4" x14ac:dyDescent="0.2">
      <c r="D158" s="17"/>
    </row>
    <row r="159" spans="4:4" x14ac:dyDescent="0.2">
      <c r="D159" s="17"/>
    </row>
    <row r="160" spans="4:4" x14ac:dyDescent="0.2">
      <c r="D160" s="17"/>
    </row>
    <row r="161" spans="4:4" x14ac:dyDescent="0.2">
      <c r="D161" s="17"/>
    </row>
    <row r="162" spans="4:4" x14ac:dyDescent="0.2">
      <c r="D162" s="17"/>
    </row>
    <row r="163" spans="4:4" x14ac:dyDescent="0.2">
      <c r="D163" s="17"/>
    </row>
    <row r="164" spans="4:4" x14ac:dyDescent="0.2">
      <c r="D164" s="17"/>
    </row>
    <row r="165" spans="4:4" x14ac:dyDescent="0.2">
      <c r="D165" s="17"/>
    </row>
    <row r="166" spans="4:4" x14ac:dyDescent="0.2">
      <c r="D166" s="17"/>
    </row>
    <row r="167" spans="4:4" x14ac:dyDescent="0.2">
      <c r="D167" s="17"/>
    </row>
    <row r="168" spans="4:4" x14ac:dyDescent="0.2">
      <c r="D168" s="17"/>
    </row>
    <row r="169" spans="4:4" x14ac:dyDescent="0.2">
      <c r="D169" s="17"/>
    </row>
    <row r="170" spans="4:4" x14ac:dyDescent="0.2">
      <c r="D170" s="17"/>
    </row>
    <row r="171" spans="4:4" x14ac:dyDescent="0.2">
      <c r="D171" s="17"/>
    </row>
    <row r="172" spans="4:4" x14ac:dyDescent="0.2">
      <c r="D172" s="17"/>
    </row>
    <row r="173" spans="4:4" x14ac:dyDescent="0.2">
      <c r="D173" s="17"/>
    </row>
    <row r="174" spans="4:4" x14ac:dyDescent="0.2">
      <c r="D174" s="17"/>
    </row>
    <row r="175" spans="4:4" x14ac:dyDescent="0.2">
      <c r="D175" s="17"/>
    </row>
    <row r="176" spans="4:4" x14ac:dyDescent="0.2">
      <c r="D176" s="17"/>
    </row>
    <row r="177" spans="4:4" x14ac:dyDescent="0.2">
      <c r="D177" s="17"/>
    </row>
    <row r="178" spans="4:4" x14ac:dyDescent="0.2">
      <c r="D178" s="17"/>
    </row>
    <row r="179" spans="4:4" x14ac:dyDescent="0.2">
      <c r="D179" s="17"/>
    </row>
    <row r="180" spans="4:4" x14ac:dyDescent="0.2">
      <c r="D180" s="17"/>
    </row>
    <row r="181" spans="4:4" x14ac:dyDescent="0.2">
      <c r="D181" s="17"/>
    </row>
    <row r="182" spans="4:4" x14ac:dyDescent="0.2">
      <c r="D182" s="17"/>
    </row>
    <row r="183" spans="4:4" x14ac:dyDescent="0.2">
      <c r="D183" s="17"/>
    </row>
    <row r="184" spans="4:4" x14ac:dyDescent="0.2">
      <c r="D184" s="17"/>
    </row>
    <row r="185" spans="4:4" x14ac:dyDescent="0.2">
      <c r="D185" s="17"/>
    </row>
    <row r="186" spans="4:4" x14ac:dyDescent="0.2">
      <c r="D186" s="17"/>
    </row>
    <row r="187" spans="4:4" x14ac:dyDescent="0.2">
      <c r="D187" s="17"/>
    </row>
    <row r="188" spans="4:4" x14ac:dyDescent="0.2">
      <c r="D188" s="17"/>
    </row>
    <row r="189" spans="4:4" x14ac:dyDescent="0.2">
      <c r="D189" s="17"/>
    </row>
    <row r="196" spans="4:4" x14ac:dyDescent="0.2">
      <c r="D196" s="17"/>
    </row>
    <row r="197" spans="4:4" x14ac:dyDescent="0.2">
      <c r="D197" s="17"/>
    </row>
    <row r="198" spans="4:4" x14ac:dyDescent="0.2">
      <c r="D198" s="17"/>
    </row>
    <row r="199" spans="4:4" x14ac:dyDescent="0.2">
      <c r="D199" s="17"/>
    </row>
    <row r="200" spans="4:4" x14ac:dyDescent="0.2">
      <c r="D200" s="17"/>
    </row>
    <row r="201" spans="4:4" x14ac:dyDescent="0.2">
      <c r="D201" s="17"/>
    </row>
    <row r="202" spans="4:4" x14ac:dyDescent="0.2">
      <c r="D202" s="17"/>
    </row>
    <row r="203" spans="4:4" x14ac:dyDescent="0.2">
      <c r="D203" s="17"/>
    </row>
    <row r="204" spans="4:4" x14ac:dyDescent="0.2">
      <c r="D204" s="17"/>
    </row>
    <row r="205" spans="4:4" x14ac:dyDescent="0.2">
      <c r="D205" s="17"/>
    </row>
    <row r="206" spans="4:4" x14ac:dyDescent="0.2">
      <c r="D206" s="17"/>
    </row>
    <row r="207" spans="4:4" x14ac:dyDescent="0.2">
      <c r="D207" s="17"/>
    </row>
    <row r="208" spans="4:4" x14ac:dyDescent="0.2">
      <c r="D208" s="17"/>
    </row>
    <row r="209" spans="4:4" x14ac:dyDescent="0.2">
      <c r="D209" s="17"/>
    </row>
    <row r="210" spans="4:4" x14ac:dyDescent="0.2">
      <c r="D210" s="17"/>
    </row>
    <row r="211" spans="4:4" x14ac:dyDescent="0.2">
      <c r="D211" s="17"/>
    </row>
    <row r="212" spans="4:4" x14ac:dyDescent="0.2">
      <c r="D212" s="17"/>
    </row>
    <row r="213" spans="4:4" x14ac:dyDescent="0.2">
      <c r="D213" s="17"/>
    </row>
    <row r="214" spans="4:4" x14ac:dyDescent="0.2">
      <c r="D214" s="17"/>
    </row>
    <row r="215" spans="4:4" x14ac:dyDescent="0.2">
      <c r="D215" s="17"/>
    </row>
    <row r="216" spans="4:4" x14ac:dyDescent="0.2">
      <c r="D216" s="17"/>
    </row>
    <row r="217" spans="4:4" x14ac:dyDescent="0.2">
      <c r="D217" s="17"/>
    </row>
    <row r="218" spans="4:4" x14ac:dyDescent="0.2">
      <c r="D218" s="17"/>
    </row>
    <row r="219" spans="4:4" x14ac:dyDescent="0.2">
      <c r="D219" s="17"/>
    </row>
    <row r="220" spans="4:4" x14ac:dyDescent="0.2">
      <c r="D220" s="17"/>
    </row>
    <row r="221" spans="4:4" x14ac:dyDescent="0.2">
      <c r="D221" s="17"/>
    </row>
    <row r="222" spans="4:4" x14ac:dyDescent="0.2">
      <c r="D222" s="17"/>
    </row>
    <row r="223" spans="4:4" x14ac:dyDescent="0.2">
      <c r="D223" s="17"/>
    </row>
    <row r="224" spans="4:4" x14ac:dyDescent="0.2">
      <c r="D224" s="17"/>
    </row>
    <row r="225" spans="4:4" x14ac:dyDescent="0.2">
      <c r="D225" s="17"/>
    </row>
    <row r="226" spans="4:4" x14ac:dyDescent="0.2">
      <c r="D226" s="17"/>
    </row>
    <row r="227" spans="4:4" x14ac:dyDescent="0.2">
      <c r="D227" s="17"/>
    </row>
    <row r="228" spans="4:4" x14ac:dyDescent="0.2">
      <c r="D228" s="17"/>
    </row>
    <row r="229" spans="4:4" x14ac:dyDescent="0.2">
      <c r="D229" s="17"/>
    </row>
    <row r="230" spans="4:4" x14ac:dyDescent="0.2">
      <c r="D230" s="17"/>
    </row>
    <row r="231" spans="4:4" x14ac:dyDescent="0.2">
      <c r="D231" s="17"/>
    </row>
    <row r="232" spans="4:4" x14ac:dyDescent="0.2">
      <c r="D232" s="17"/>
    </row>
    <row r="233" spans="4:4" x14ac:dyDescent="0.2">
      <c r="D233" s="17"/>
    </row>
    <row r="234" spans="4:4" x14ac:dyDescent="0.2">
      <c r="D234" s="17"/>
    </row>
    <row r="235" spans="4:4" x14ac:dyDescent="0.2">
      <c r="D235" s="17"/>
    </row>
    <row r="236" spans="4:4" x14ac:dyDescent="0.2">
      <c r="D236" s="17"/>
    </row>
    <row r="237" spans="4:4" x14ac:dyDescent="0.2">
      <c r="D237" s="17"/>
    </row>
    <row r="238" spans="4:4" x14ac:dyDescent="0.2">
      <c r="D238" s="17"/>
    </row>
    <row r="239" spans="4:4" x14ac:dyDescent="0.2">
      <c r="D239" s="17"/>
    </row>
    <row r="240" spans="4:4" x14ac:dyDescent="0.2">
      <c r="D240" s="17"/>
    </row>
    <row r="241" spans="4:4" x14ac:dyDescent="0.2">
      <c r="D241" s="17"/>
    </row>
    <row r="242" spans="4:4" x14ac:dyDescent="0.2">
      <c r="D242" s="17"/>
    </row>
    <row r="243" spans="4:4" x14ac:dyDescent="0.2">
      <c r="D243" s="17"/>
    </row>
    <row r="244" spans="4:4" x14ac:dyDescent="0.2">
      <c r="D244" s="17"/>
    </row>
    <row r="245" spans="4:4" x14ac:dyDescent="0.2">
      <c r="D245" s="17"/>
    </row>
    <row r="246" spans="4:4" x14ac:dyDescent="0.2">
      <c r="D246" s="17"/>
    </row>
    <row r="247" spans="4:4" x14ac:dyDescent="0.2">
      <c r="D247" s="17"/>
    </row>
    <row r="248" spans="4:4" x14ac:dyDescent="0.2">
      <c r="D248" s="17"/>
    </row>
    <row r="249" spans="4:4" x14ac:dyDescent="0.2">
      <c r="D249" s="17"/>
    </row>
    <row r="250" spans="4:4" x14ac:dyDescent="0.2">
      <c r="D250" s="17"/>
    </row>
    <row r="251" spans="4:4" x14ac:dyDescent="0.2">
      <c r="D251" s="17"/>
    </row>
    <row r="252" spans="4:4" x14ac:dyDescent="0.2">
      <c r="D252" s="17"/>
    </row>
    <row r="253" spans="4:4" x14ac:dyDescent="0.2">
      <c r="D253" s="17"/>
    </row>
    <row r="254" spans="4:4" x14ac:dyDescent="0.2">
      <c r="D254" s="17"/>
    </row>
    <row r="255" spans="4:4" x14ac:dyDescent="0.2">
      <c r="D255" s="17"/>
    </row>
    <row r="256" spans="4:4" x14ac:dyDescent="0.2">
      <c r="D256" s="17"/>
    </row>
    <row r="257" spans="4:4" x14ac:dyDescent="0.2">
      <c r="D257" s="17"/>
    </row>
    <row r="258" spans="4:4" x14ac:dyDescent="0.2">
      <c r="D258" s="17"/>
    </row>
    <row r="259" spans="4:4" x14ac:dyDescent="0.2">
      <c r="D259" s="17"/>
    </row>
    <row r="260" spans="4:4" x14ac:dyDescent="0.2">
      <c r="D260" s="17"/>
    </row>
    <row r="261" spans="4:4" x14ac:dyDescent="0.2">
      <c r="D261" s="17"/>
    </row>
    <row r="262" spans="4:4" x14ac:dyDescent="0.2">
      <c r="D262" s="17"/>
    </row>
    <row r="263" spans="4:4" x14ac:dyDescent="0.2">
      <c r="D263" s="17"/>
    </row>
    <row r="264" spans="4:4" x14ac:dyDescent="0.2">
      <c r="D264" s="17"/>
    </row>
    <row r="265" spans="4:4" x14ac:dyDescent="0.2">
      <c r="D265" s="17"/>
    </row>
    <row r="266" spans="4:4" x14ac:dyDescent="0.2">
      <c r="D266" s="17"/>
    </row>
    <row r="267" spans="4:4" x14ac:dyDescent="0.2">
      <c r="D267" s="17"/>
    </row>
    <row r="268" spans="4:4" x14ac:dyDescent="0.2">
      <c r="D268" s="17"/>
    </row>
    <row r="269" spans="4:4" x14ac:dyDescent="0.2">
      <c r="D269" s="17"/>
    </row>
    <row r="270" spans="4:4" x14ac:dyDescent="0.2">
      <c r="D270" s="17"/>
    </row>
    <row r="271" spans="4:4" x14ac:dyDescent="0.2">
      <c r="D271" s="17"/>
    </row>
    <row r="272" spans="4:4" x14ac:dyDescent="0.2">
      <c r="D272" s="17"/>
    </row>
    <row r="273" spans="4:4" x14ac:dyDescent="0.2">
      <c r="D273" s="17"/>
    </row>
    <row r="274" spans="4:4" x14ac:dyDescent="0.2">
      <c r="D274" s="17"/>
    </row>
    <row r="275" spans="4:4" x14ac:dyDescent="0.2">
      <c r="D275" s="17"/>
    </row>
    <row r="276" spans="4:4" x14ac:dyDescent="0.2">
      <c r="D276" s="17"/>
    </row>
    <row r="277" spans="4:4" x14ac:dyDescent="0.2">
      <c r="D277" s="17"/>
    </row>
    <row r="278" spans="4:4" x14ac:dyDescent="0.2">
      <c r="D278" s="17"/>
    </row>
    <row r="279" spans="4:4" x14ac:dyDescent="0.2">
      <c r="D279" s="17"/>
    </row>
    <row r="280" spans="4:4" x14ac:dyDescent="0.2">
      <c r="D280" s="17"/>
    </row>
    <row r="281" spans="4:4" x14ac:dyDescent="0.2">
      <c r="D281" s="17"/>
    </row>
    <row r="282" spans="4:4" x14ac:dyDescent="0.2">
      <c r="D282" s="17"/>
    </row>
    <row r="283" spans="4:4" x14ac:dyDescent="0.2">
      <c r="D283" s="17"/>
    </row>
    <row r="284" spans="4:4" x14ac:dyDescent="0.2">
      <c r="D284" s="17"/>
    </row>
    <row r="285" spans="4:4" x14ac:dyDescent="0.2">
      <c r="D285" s="17"/>
    </row>
    <row r="286" spans="4:4" x14ac:dyDescent="0.2">
      <c r="D286" s="17"/>
    </row>
    <row r="287" spans="4:4" x14ac:dyDescent="0.2">
      <c r="D287" s="17"/>
    </row>
    <row r="288" spans="4:4" x14ac:dyDescent="0.2">
      <c r="D288" s="17"/>
    </row>
    <row r="289" spans="4:4" x14ac:dyDescent="0.2">
      <c r="D289" s="17"/>
    </row>
    <row r="290" spans="4:4" x14ac:dyDescent="0.2">
      <c r="D290" s="17"/>
    </row>
    <row r="291" spans="4:4" x14ac:dyDescent="0.2">
      <c r="D291" s="17"/>
    </row>
    <row r="292" spans="4:4" x14ac:dyDescent="0.2">
      <c r="D292" s="17"/>
    </row>
    <row r="293" spans="4:4" x14ac:dyDescent="0.2">
      <c r="D293" s="17"/>
    </row>
    <row r="294" spans="4:4" x14ac:dyDescent="0.2">
      <c r="D294" s="17"/>
    </row>
    <row r="295" spans="4:4" x14ac:dyDescent="0.2">
      <c r="D295" s="17"/>
    </row>
    <row r="296" spans="4:4" x14ac:dyDescent="0.2">
      <c r="D296" s="17"/>
    </row>
    <row r="297" spans="4:4" x14ac:dyDescent="0.2">
      <c r="D297" s="17"/>
    </row>
    <row r="298" spans="4:4" x14ac:dyDescent="0.2">
      <c r="D298" s="17"/>
    </row>
    <row r="299" spans="4:4" x14ac:dyDescent="0.2">
      <c r="D299" s="17"/>
    </row>
    <row r="300" spans="4:4" x14ac:dyDescent="0.2">
      <c r="D300" s="17"/>
    </row>
    <row r="301" spans="4:4" x14ac:dyDescent="0.2">
      <c r="D301" s="17"/>
    </row>
    <row r="302" spans="4:4" x14ac:dyDescent="0.2">
      <c r="D302" s="17"/>
    </row>
    <row r="303" spans="4:4" x14ac:dyDescent="0.2">
      <c r="D303" s="17"/>
    </row>
    <row r="304" spans="4:4" x14ac:dyDescent="0.2">
      <c r="D304" s="17"/>
    </row>
    <row r="305" spans="4:4" x14ac:dyDescent="0.2">
      <c r="D305" s="17"/>
    </row>
    <row r="306" spans="4:4" x14ac:dyDescent="0.2">
      <c r="D306" s="17"/>
    </row>
    <row r="307" spans="4:4" x14ac:dyDescent="0.2">
      <c r="D307" s="17"/>
    </row>
    <row r="308" spans="4:4" x14ac:dyDescent="0.2">
      <c r="D308" s="17"/>
    </row>
    <row r="309" spans="4:4" x14ac:dyDescent="0.2">
      <c r="D309" s="17"/>
    </row>
    <row r="310" spans="4:4" x14ac:dyDescent="0.2">
      <c r="D310" s="17"/>
    </row>
    <row r="311" spans="4:4" x14ac:dyDescent="0.2">
      <c r="D311" s="17"/>
    </row>
    <row r="312" spans="4:4" x14ac:dyDescent="0.2">
      <c r="D312" s="17"/>
    </row>
    <row r="313" spans="4:4" x14ac:dyDescent="0.2">
      <c r="D313" s="17"/>
    </row>
    <row r="314" spans="4:4" x14ac:dyDescent="0.2">
      <c r="D314" s="17"/>
    </row>
    <row r="315" spans="4:4" x14ac:dyDescent="0.2">
      <c r="D315" s="17"/>
    </row>
    <row r="316" spans="4:4" x14ac:dyDescent="0.2">
      <c r="D316" s="17"/>
    </row>
    <row r="317" spans="4:4" x14ac:dyDescent="0.2">
      <c r="D317" s="17"/>
    </row>
    <row r="318" spans="4:4" x14ac:dyDescent="0.2">
      <c r="D318" s="17"/>
    </row>
    <row r="319" spans="4:4" x14ac:dyDescent="0.2">
      <c r="D319" s="17"/>
    </row>
    <row r="320" spans="4:4" x14ac:dyDescent="0.2">
      <c r="D320" s="17"/>
    </row>
    <row r="321" spans="4:4" x14ac:dyDescent="0.2">
      <c r="D321" s="17"/>
    </row>
    <row r="322" spans="4:4" x14ac:dyDescent="0.2">
      <c r="D322" s="17"/>
    </row>
    <row r="323" spans="4:4" x14ac:dyDescent="0.2">
      <c r="D323" s="17"/>
    </row>
    <row r="324" spans="4:4" x14ac:dyDescent="0.2">
      <c r="D324" s="17"/>
    </row>
    <row r="325" spans="4:4" x14ac:dyDescent="0.2">
      <c r="D325" s="17"/>
    </row>
    <row r="326" spans="4:4" x14ac:dyDescent="0.2">
      <c r="D326" s="17"/>
    </row>
    <row r="327" spans="4:4" x14ac:dyDescent="0.2">
      <c r="D327" s="17"/>
    </row>
    <row r="328" spans="4:4" x14ac:dyDescent="0.2">
      <c r="D328" s="17"/>
    </row>
    <row r="329" spans="4:4" x14ac:dyDescent="0.2">
      <c r="D329" s="17"/>
    </row>
    <row r="330" spans="4:4" x14ac:dyDescent="0.2">
      <c r="D330" s="17"/>
    </row>
    <row r="331" spans="4:4" x14ac:dyDescent="0.2">
      <c r="D331" s="17"/>
    </row>
    <row r="332" spans="4:4" x14ac:dyDescent="0.2">
      <c r="D332" s="17"/>
    </row>
    <row r="333" spans="4:4" x14ac:dyDescent="0.2">
      <c r="D333" s="17"/>
    </row>
    <row r="334" spans="4:4" x14ac:dyDescent="0.2">
      <c r="D334" s="17"/>
    </row>
    <row r="335" spans="4:4" x14ac:dyDescent="0.2">
      <c r="D335" s="17"/>
    </row>
    <row r="336" spans="4:4" x14ac:dyDescent="0.2">
      <c r="D336" s="17"/>
    </row>
    <row r="337" spans="4:4" x14ac:dyDescent="0.2">
      <c r="D337" s="17"/>
    </row>
    <row r="338" spans="4:4" x14ac:dyDescent="0.2">
      <c r="D338" s="17"/>
    </row>
    <row r="339" spans="4:4" x14ac:dyDescent="0.2">
      <c r="D339" s="17"/>
    </row>
    <row r="340" spans="4:4" x14ac:dyDescent="0.2">
      <c r="D340" s="17"/>
    </row>
    <row r="341" spans="4:4" x14ac:dyDescent="0.2">
      <c r="D341" s="17"/>
    </row>
    <row r="342" spans="4:4" x14ac:dyDescent="0.2">
      <c r="D342" s="17"/>
    </row>
    <row r="343" spans="4:4" x14ac:dyDescent="0.2">
      <c r="D343" s="17"/>
    </row>
    <row r="344" spans="4:4" x14ac:dyDescent="0.2">
      <c r="D344" s="17"/>
    </row>
    <row r="345" spans="4:4" x14ac:dyDescent="0.2">
      <c r="D345" s="17"/>
    </row>
    <row r="346" spans="4:4" x14ac:dyDescent="0.2">
      <c r="D346" s="17"/>
    </row>
    <row r="347" spans="4:4" x14ac:dyDescent="0.2">
      <c r="D347" s="17"/>
    </row>
    <row r="348" spans="4:4" x14ac:dyDescent="0.2">
      <c r="D348" s="17"/>
    </row>
    <row r="349" spans="4:4" x14ac:dyDescent="0.2">
      <c r="D349" s="17"/>
    </row>
    <row r="350" spans="4:4" x14ac:dyDescent="0.2">
      <c r="D350" s="17"/>
    </row>
    <row r="351" spans="4:4" x14ac:dyDescent="0.2">
      <c r="D351" s="17"/>
    </row>
    <row r="352" spans="4:4" x14ac:dyDescent="0.2">
      <c r="D352" s="17"/>
    </row>
    <row r="353" spans="4:4" x14ac:dyDescent="0.2">
      <c r="D353" s="17"/>
    </row>
    <row r="354" spans="4:4" x14ac:dyDescent="0.2">
      <c r="D354" s="17"/>
    </row>
    <row r="355" spans="4:4" x14ac:dyDescent="0.2">
      <c r="D355" s="17"/>
    </row>
    <row r="356" spans="4:4" x14ac:dyDescent="0.2">
      <c r="D356" s="17"/>
    </row>
    <row r="357" spans="4:4" x14ac:dyDescent="0.2">
      <c r="D357" s="17"/>
    </row>
    <row r="358" spans="4:4" x14ac:dyDescent="0.2">
      <c r="D358" s="17"/>
    </row>
    <row r="359" spans="4:4" x14ac:dyDescent="0.2">
      <c r="D359" s="17"/>
    </row>
    <row r="360" spans="4:4" x14ac:dyDescent="0.2">
      <c r="D360" s="17"/>
    </row>
    <row r="361" spans="4:4" x14ac:dyDescent="0.2">
      <c r="D361" s="17"/>
    </row>
    <row r="362" spans="4:4" x14ac:dyDescent="0.2">
      <c r="D362" s="17"/>
    </row>
    <row r="363" spans="4:4" x14ac:dyDescent="0.2">
      <c r="D363" s="17"/>
    </row>
    <row r="364" spans="4:4" x14ac:dyDescent="0.2">
      <c r="D364" s="17"/>
    </row>
    <row r="365" spans="4:4" x14ac:dyDescent="0.2">
      <c r="D365" s="17"/>
    </row>
    <row r="366" spans="4:4" x14ac:dyDescent="0.2">
      <c r="D366" s="17"/>
    </row>
    <row r="367" spans="4:4" x14ac:dyDescent="0.2">
      <c r="D367" s="17"/>
    </row>
    <row r="368" spans="4:4" x14ac:dyDescent="0.2">
      <c r="D368" s="17"/>
    </row>
    <row r="369" spans="4:4" x14ac:dyDescent="0.2">
      <c r="D369" s="17"/>
    </row>
    <row r="370" spans="4:4" x14ac:dyDescent="0.2">
      <c r="D370" s="17"/>
    </row>
    <row r="371" spans="4:4" x14ac:dyDescent="0.2">
      <c r="D371" s="17"/>
    </row>
    <row r="372" spans="4:4" x14ac:dyDescent="0.2">
      <c r="D372" s="17"/>
    </row>
    <row r="373" spans="4:4" x14ac:dyDescent="0.2">
      <c r="D373" s="17"/>
    </row>
    <row r="374" spans="4:4" x14ac:dyDescent="0.2">
      <c r="D374" s="17"/>
    </row>
    <row r="375" spans="4:4" x14ac:dyDescent="0.2">
      <c r="D375" s="17"/>
    </row>
    <row r="376" spans="4:4" x14ac:dyDescent="0.2">
      <c r="D376" s="17"/>
    </row>
    <row r="377" spans="4:4" x14ac:dyDescent="0.2">
      <c r="D377" s="17"/>
    </row>
    <row r="378" spans="4:4" x14ac:dyDescent="0.2">
      <c r="D378" s="17"/>
    </row>
    <row r="379" spans="4:4" x14ac:dyDescent="0.2">
      <c r="D379" s="17"/>
    </row>
    <row r="380" spans="4:4" x14ac:dyDescent="0.2">
      <c r="D380" s="17"/>
    </row>
    <row r="381" spans="4:4" x14ac:dyDescent="0.2">
      <c r="D381" s="17"/>
    </row>
    <row r="382" spans="4:4" x14ac:dyDescent="0.2">
      <c r="D382" s="17"/>
    </row>
    <row r="383" spans="4:4" x14ac:dyDescent="0.2">
      <c r="D383" s="17"/>
    </row>
    <row r="384" spans="4:4" x14ac:dyDescent="0.2">
      <c r="D384" s="17"/>
    </row>
    <row r="385" spans="4:4" x14ac:dyDescent="0.2">
      <c r="D385" s="17"/>
    </row>
    <row r="386" spans="4:4" x14ac:dyDescent="0.2">
      <c r="D386" s="17"/>
    </row>
    <row r="387" spans="4:4" x14ac:dyDescent="0.2">
      <c r="D387" s="17"/>
    </row>
    <row r="388" spans="4:4" x14ac:dyDescent="0.2">
      <c r="D388" s="17"/>
    </row>
    <row r="389" spans="4:4" x14ac:dyDescent="0.2">
      <c r="D389" s="17"/>
    </row>
    <row r="390" spans="4:4" x14ac:dyDescent="0.2">
      <c r="D390" s="17"/>
    </row>
    <row r="391" spans="4:4" x14ac:dyDescent="0.2">
      <c r="D391" s="17"/>
    </row>
    <row r="392" spans="4:4" x14ac:dyDescent="0.2">
      <c r="D392" s="17"/>
    </row>
    <row r="393" spans="4:4" x14ac:dyDescent="0.2">
      <c r="D393" s="17"/>
    </row>
    <row r="394" spans="4:4" x14ac:dyDescent="0.2">
      <c r="D394" s="17"/>
    </row>
    <row r="395" spans="4:4" x14ac:dyDescent="0.2">
      <c r="D395" s="17"/>
    </row>
    <row r="396" spans="4:4" x14ac:dyDescent="0.2">
      <c r="D396" s="17"/>
    </row>
    <row r="397" spans="4:4" x14ac:dyDescent="0.2">
      <c r="D397" s="17"/>
    </row>
    <row r="398" spans="4:4" x14ac:dyDescent="0.2">
      <c r="D398" s="17"/>
    </row>
    <row r="399" spans="4:4" x14ac:dyDescent="0.2">
      <c r="D399" s="17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9A7B2-B868-4A39-8B3A-45B510D60F2A}">
  <sheetPr codeName="Planilha8"/>
  <dimension ref="A1:P461"/>
  <sheetViews>
    <sheetView workbookViewId="0">
      <selection activeCell="B15" sqref="B15"/>
    </sheetView>
  </sheetViews>
  <sheetFormatPr defaultRowHeight="12.75" x14ac:dyDescent="0.2"/>
  <cols>
    <col min="1" max="1" width="35.7109375" style="1" customWidth="1"/>
    <col min="2" max="2" width="10.28515625" style="1" customWidth="1"/>
    <col min="3" max="3" width="10.140625" style="1" bestFit="1" customWidth="1"/>
    <col min="4" max="4" width="12" style="1" customWidth="1"/>
    <col min="5" max="8" width="9.140625" style="1"/>
    <col min="9" max="9" width="15.7109375" style="1" bestFit="1" customWidth="1"/>
    <col min="10" max="16384" width="9.140625" style="1"/>
  </cols>
  <sheetData>
    <row r="1" spans="1:16" ht="15.75" x14ac:dyDescent="0.25">
      <c r="A1" s="9" t="s">
        <v>91</v>
      </c>
      <c r="I1" s="3" t="s">
        <v>60</v>
      </c>
      <c r="J1" s="60" t="str">
        <f>"FOCUS TOP 5 forecast for "&amp;$B$3&amp;" of "&amp;PROPER(TEXT($B$5,"[$-409]aaaa"))</f>
        <v>FOCUS TOP 5 forecast for IPCA of 2021</v>
      </c>
      <c r="K1" s="61"/>
      <c r="L1" s="61"/>
      <c r="M1" s="61"/>
      <c r="N1" s="61"/>
      <c r="O1" s="61"/>
      <c r="P1" s="61"/>
    </row>
    <row r="3" spans="1:16" x14ac:dyDescent="0.2">
      <c r="A3" s="3" t="s">
        <v>61</v>
      </c>
      <c r="B3" s="18" t="s">
        <v>36</v>
      </c>
      <c r="D3" s="1" t="s">
        <v>13</v>
      </c>
      <c r="E3" s="1" t="s">
        <v>15</v>
      </c>
      <c r="F3" s="1" t="s">
        <v>17</v>
      </c>
      <c r="G3" s="1" t="s">
        <v>21</v>
      </c>
    </row>
    <row r="4" spans="1:16" x14ac:dyDescent="0.2">
      <c r="A4" s="3" t="s">
        <v>62</v>
      </c>
      <c r="B4" s="18"/>
      <c r="D4" s="17" cm="1">
        <f t="array" ref="D4:G232">xlFOCUS_ExpectativasTop5Anuais(B3,B4,B5,B6,B7,B8,D3:G3)</f>
        <v>44203</v>
      </c>
      <c r="E4" s="1">
        <v>2.99</v>
      </c>
      <c r="F4" s="1">
        <v>3.33</v>
      </c>
      <c r="G4" s="1">
        <v>3.38</v>
      </c>
    </row>
    <row r="5" spans="1:16" x14ac:dyDescent="0.2">
      <c r="A5" s="3" t="s">
        <v>63</v>
      </c>
      <c r="B5" s="14">
        <v>44197</v>
      </c>
      <c r="D5" s="17">
        <v>44202</v>
      </c>
      <c r="E5" s="1">
        <v>2.99</v>
      </c>
      <c r="F5" s="1">
        <v>3.25</v>
      </c>
      <c r="G5" s="1">
        <v>3.38</v>
      </c>
    </row>
    <row r="6" spans="1:16" x14ac:dyDescent="0.2">
      <c r="A6" s="3" t="s">
        <v>64</v>
      </c>
      <c r="B6" s="14">
        <v>44197</v>
      </c>
      <c r="D6" s="17">
        <v>44201</v>
      </c>
      <c r="E6" s="1">
        <v>2.99</v>
      </c>
      <c r="F6" s="1">
        <v>3.25</v>
      </c>
      <c r="G6" s="1">
        <v>3.38</v>
      </c>
    </row>
    <row r="7" spans="1:16" x14ac:dyDescent="0.2">
      <c r="A7" s="3" t="s">
        <v>65</v>
      </c>
      <c r="B7" s="14">
        <v>44531</v>
      </c>
      <c r="D7" s="17">
        <v>44200</v>
      </c>
      <c r="E7" s="1">
        <v>2.99</v>
      </c>
      <c r="F7" s="1">
        <v>3.25</v>
      </c>
      <c r="G7" s="1">
        <v>3.38</v>
      </c>
    </row>
    <row r="8" spans="1:16" x14ac:dyDescent="0.2">
      <c r="A8" s="3" t="s">
        <v>74</v>
      </c>
      <c r="B8" s="18" t="s">
        <v>75</v>
      </c>
      <c r="D8" s="17">
        <v>44204</v>
      </c>
      <c r="E8" s="1">
        <v>2.99</v>
      </c>
      <c r="F8" s="1">
        <v>3.33</v>
      </c>
      <c r="G8" s="1">
        <v>3.7</v>
      </c>
    </row>
    <row r="9" spans="1:16" x14ac:dyDescent="0.2">
      <c r="D9" s="17">
        <v>44207</v>
      </c>
      <c r="E9" s="1">
        <v>2.99</v>
      </c>
      <c r="F9" s="1">
        <v>3.33</v>
      </c>
      <c r="G9" s="1">
        <v>3.7</v>
      </c>
    </row>
    <row r="10" spans="1:16" x14ac:dyDescent="0.2">
      <c r="D10" s="17">
        <v>44208</v>
      </c>
      <c r="E10" s="1">
        <v>2.99</v>
      </c>
      <c r="F10" s="1">
        <v>3.32</v>
      </c>
      <c r="G10" s="1">
        <v>3.7</v>
      </c>
    </row>
    <row r="11" spans="1:16" x14ac:dyDescent="0.2">
      <c r="D11" s="17">
        <v>44211</v>
      </c>
      <c r="E11" s="1">
        <v>3.36</v>
      </c>
      <c r="F11" s="1">
        <v>3.75</v>
      </c>
      <c r="G11" s="1">
        <v>3.89</v>
      </c>
    </row>
    <row r="12" spans="1:16" x14ac:dyDescent="0.2">
      <c r="D12" s="17">
        <v>44210</v>
      </c>
      <c r="E12" s="1">
        <v>2.99</v>
      </c>
      <c r="F12" s="1">
        <v>3.43</v>
      </c>
      <c r="G12" s="1">
        <v>3.7</v>
      </c>
    </row>
    <row r="13" spans="1:16" x14ac:dyDescent="0.2">
      <c r="D13" s="17">
        <v>44209</v>
      </c>
      <c r="E13" s="1">
        <v>2.99</v>
      </c>
      <c r="F13" s="1">
        <v>3.33</v>
      </c>
      <c r="G13" s="1">
        <v>3.7</v>
      </c>
    </row>
    <row r="14" spans="1:16" x14ac:dyDescent="0.2">
      <c r="D14" s="17">
        <v>44214</v>
      </c>
      <c r="E14" s="1">
        <v>3.36</v>
      </c>
      <c r="F14" s="1">
        <v>3.75</v>
      </c>
      <c r="G14" s="1">
        <v>3.89</v>
      </c>
    </row>
    <row r="15" spans="1:16" x14ac:dyDescent="0.2">
      <c r="D15" s="17">
        <v>44215</v>
      </c>
      <c r="E15" s="1">
        <v>3.36</v>
      </c>
      <c r="F15" s="1">
        <v>3.75</v>
      </c>
      <c r="G15" s="1">
        <v>3.89</v>
      </c>
    </row>
    <row r="16" spans="1:16" x14ac:dyDescent="0.2">
      <c r="D16" s="17">
        <v>44216</v>
      </c>
      <c r="E16" s="1">
        <v>3.36</v>
      </c>
      <c r="F16" s="1">
        <v>3.75</v>
      </c>
      <c r="G16" s="1">
        <v>3.89</v>
      </c>
    </row>
    <row r="17" spans="4:7" x14ac:dyDescent="0.2">
      <c r="D17" s="17">
        <v>44217</v>
      </c>
      <c r="E17" s="1">
        <v>3.36</v>
      </c>
      <c r="F17" s="1">
        <v>3.75</v>
      </c>
      <c r="G17" s="1">
        <v>3.89</v>
      </c>
    </row>
    <row r="18" spans="4:7" x14ac:dyDescent="0.2">
      <c r="D18" s="17">
        <v>44218</v>
      </c>
      <c r="E18" s="1">
        <v>3.5</v>
      </c>
      <c r="F18" s="1">
        <v>3.75</v>
      </c>
      <c r="G18" s="1">
        <v>3.97</v>
      </c>
    </row>
    <row r="19" spans="4:7" x14ac:dyDescent="0.2">
      <c r="D19" s="17">
        <v>44221</v>
      </c>
      <c r="E19" s="1">
        <v>3.5</v>
      </c>
      <c r="F19" s="1">
        <v>3.75</v>
      </c>
      <c r="G19" s="1">
        <v>3.97</v>
      </c>
    </row>
    <row r="20" spans="4:7" x14ac:dyDescent="0.2">
      <c r="D20" s="17">
        <v>44222</v>
      </c>
      <c r="E20" s="1">
        <v>3.55</v>
      </c>
      <c r="F20" s="1">
        <v>3.75</v>
      </c>
      <c r="G20" s="1">
        <v>3.97</v>
      </c>
    </row>
    <row r="21" spans="4:7" x14ac:dyDescent="0.2">
      <c r="D21" s="17">
        <v>44223</v>
      </c>
      <c r="E21" s="1">
        <v>3.55</v>
      </c>
      <c r="F21" s="1">
        <v>3.75</v>
      </c>
      <c r="G21" s="1">
        <v>3.97</v>
      </c>
    </row>
    <row r="22" spans="4:7" x14ac:dyDescent="0.2">
      <c r="D22" s="17">
        <v>44224</v>
      </c>
      <c r="E22" s="1">
        <v>3.55</v>
      </c>
      <c r="F22" s="1">
        <v>3.75</v>
      </c>
      <c r="G22" s="1">
        <v>3.97</v>
      </c>
    </row>
    <row r="23" spans="4:7" x14ac:dyDescent="0.2">
      <c r="D23" s="17">
        <v>44225</v>
      </c>
      <c r="E23" s="1">
        <v>3.55</v>
      </c>
      <c r="F23" s="1">
        <v>3.75</v>
      </c>
      <c r="G23" s="1">
        <v>3.96</v>
      </c>
    </row>
    <row r="24" spans="4:7" x14ac:dyDescent="0.2">
      <c r="D24" s="17">
        <v>44228</v>
      </c>
      <c r="E24" s="1">
        <v>3.55</v>
      </c>
      <c r="F24" s="1">
        <v>3.75</v>
      </c>
      <c r="G24" s="1">
        <v>3.96</v>
      </c>
    </row>
    <row r="25" spans="4:7" x14ac:dyDescent="0.2">
      <c r="D25" s="17">
        <v>44229</v>
      </c>
      <c r="E25" s="1">
        <v>3.55</v>
      </c>
      <c r="F25" s="1">
        <v>3.75</v>
      </c>
      <c r="G25" s="1">
        <v>3.96</v>
      </c>
    </row>
    <row r="26" spans="4:7" x14ac:dyDescent="0.2">
      <c r="D26" s="17">
        <v>44230</v>
      </c>
      <c r="E26" s="1">
        <v>3.55</v>
      </c>
      <c r="F26" s="1">
        <v>3.75</v>
      </c>
      <c r="G26" s="1">
        <v>3.96</v>
      </c>
    </row>
    <row r="27" spans="4:7" x14ac:dyDescent="0.2">
      <c r="D27" s="17">
        <v>44231</v>
      </c>
      <c r="E27" s="1">
        <v>3.55</v>
      </c>
      <c r="F27" s="1">
        <v>3.75</v>
      </c>
      <c r="G27" s="1">
        <v>3.96</v>
      </c>
    </row>
    <row r="28" spans="4:7" x14ac:dyDescent="0.2">
      <c r="D28" s="17">
        <v>44232</v>
      </c>
      <c r="E28" s="1">
        <v>3.55</v>
      </c>
      <c r="F28" s="1">
        <v>3.75</v>
      </c>
      <c r="G28" s="1">
        <v>4.21</v>
      </c>
    </row>
    <row r="29" spans="4:7" x14ac:dyDescent="0.2">
      <c r="D29" s="17">
        <v>44235</v>
      </c>
      <c r="E29" s="1">
        <v>3.55</v>
      </c>
      <c r="F29" s="1">
        <v>3.75</v>
      </c>
      <c r="G29" s="1">
        <v>4.21</v>
      </c>
    </row>
    <row r="30" spans="4:7" x14ac:dyDescent="0.2">
      <c r="D30" s="17">
        <v>44236</v>
      </c>
      <c r="E30" s="1">
        <v>3.45</v>
      </c>
      <c r="F30" s="1">
        <v>3.76</v>
      </c>
      <c r="G30" s="1">
        <v>4.1399999999999997</v>
      </c>
    </row>
    <row r="31" spans="4:7" x14ac:dyDescent="0.2">
      <c r="D31" s="17">
        <v>44237</v>
      </c>
      <c r="E31" s="1">
        <v>3.45</v>
      </c>
      <c r="F31" s="1">
        <v>3.76</v>
      </c>
      <c r="G31" s="1">
        <v>4.1399999999999997</v>
      </c>
    </row>
    <row r="32" spans="4:7" x14ac:dyDescent="0.2">
      <c r="D32" s="17">
        <v>44238</v>
      </c>
      <c r="E32" s="1">
        <v>3.45</v>
      </c>
      <c r="F32" s="1">
        <v>3.76</v>
      </c>
      <c r="G32" s="1">
        <v>4.1399999999999997</v>
      </c>
    </row>
    <row r="33" spans="4:7" x14ac:dyDescent="0.2">
      <c r="D33" s="17">
        <v>44239</v>
      </c>
      <c r="E33" s="1">
        <v>3.67</v>
      </c>
      <c r="F33" s="1">
        <v>3.78</v>
      </c>
      <c r="G33" s="1">
        <v>4.03</v>
      </c>
    </row>
    <row r="34" spans="4:7" x14ac:dyDescent="0.2">
      <c r="D34" s="17">
        <v>44244</v>
      </c>
      <c r="E34" s="1">
        <v>3.77</v>
      </c>
      <c r="F34" s="1">
        <v>3.83</v>
      </c>
      <c r="G34" s="1">
        <v>4.03</v>
      </c>
    </row>
    <row r="35" spans="4:7" x14ac:dyDescent="0.2">
      <c r="D35" s="17">
        <v>44245</v>
      </c>
      <c r="E35" s="1">
        <v>3.77</v>
      </c>
      <c r="F35" s="1">
        <v>3.83</v>
      </c>
      <c r="G35" s="1">
        <v>4.03</v>
      </c>
    </row>
    <row r="36" spans="4:7" x14ac:dyDescent="0.2">
      <c r="D36" s="17">
        <v>44246</v>
      </c>
      <c r="E36" s="1">
        <v>3.87</v>
      </c>
      <c r="F36" s="1">
        <v>4.18</v>
      </c>
      <c r="G36" s="1">
        <v>4.3099999999999996</v>
      </c>
    </row>
    <row r="37" spans="4:7" x14ac:dyDescent="0.2">
      <c r="D37" s="17">
        <v>44249</v>
      </c>
      <c r="E37" s="1">
        <v>3.87</v>
      </c>
      <c r="F37" s="1">
        <v>4.18</v>
      </c>
      <c r="G37" s="1">
        <v>4.3099999999999996</v>
      </c>
    </row>
    <row r="38" spans="4:7" x14ac:dyDescent="0.2">
      <c r="D38" s="17">
        <v>44250</v>
      </c>
      <c r="E38" s="1">
        <v>3.87</v>
      </c>
      <c r="F38" s="1">
        <v>4.18</v>
      </c>
      <c r="G38" s="1">
        <v>4.3099999999999996</v>
      </c>
    </row>
    <row r="39" spans="4:7" x14ac:dyDescent="0.2">
      <c r="D39" s="17">
        <v>44251</v>
      </c>
      <c r="E39" s="1">
        <v>3.87</v>
      </c>
      <c r="F39" s="1">
        <v>4.18</v>
      </c>
      <c r="G39" s="1">
        <v>4.3099999999999996</v>
      </c>
    </row>
    <row r="40" spans="4:7" x14ac:dyDescent="0.2">
      <c r="D40" s="17">
        <v>44252</v>
      </c>
      <c r="E40" s="1">
        <v>3.87</v>
      </c>
      <c r="F40" s="1">
        <v>4.18</v>
      </c>
      <c r="G40" s="1">
        <v>4.3099999999999996</v>
      </c>
    </row>
    <row r="41" spans="4:7" x14ac:dyDescent="0.2">
      <c r="D41" s="17">
        <v>44253</v>
      </c>
      <c r="E41" s="1">
        <v>3.87</v>
      </c>
      <c r="F41" s="1">
        <v>4.18</v>
      </c>
      <c r="G41" s="1">
        <v>4.3099999999999996</v>
      </c>
    </row>
    <row r="42" spans="4:7" x14ac:dyDescent="0.2">
      <c r="D42" s="17">
        <v>44256</v>
      </c>
      <c r="E42" s="1">
        <v>3.87</v>
      </c>
      <c r="F42" s="1">
        <v>4.18</v>
      </c>
      <c r="G42" s="1">
        <v>4.3099999999999996</v>
      </c>
    </row>
    <row r="43" spans="4:7" x14ac:dyDescent="0.2">
      <c r="D43" s="17">
        <v>44257</v>
      </c>
      <c r="E43" s="1">
        <v>3.87</v>
      </c>
      <c r="F43" s="1">
        <v>4.18</v>
      </c>
      <c r="G43" s="1">
        <v>4.3099999999999996</v>
      </c>
    </row>
    <row r="44" spans="4:7" x14ac:dyDescent="0.2">
      <c r="D44" s="17">
        <v>44258</v>
      </c>
      <c r="E44" s="1">
        <v>3.87</v>
      </c>
      <c r="F44" s="1">
        <v>4.18</v>
      </c>
      <c r="G44" s="1">
        <v>4.3099999999999996</v>
      </c>
    </row>
    <row r="45" spans="4:7" x14ac:dyDescent="0.2">
      <c r="D45" s="17">
        <v>44259</v>
      </c>
      <c r="E45" s="1">
        <v>3.87</v>
      </c>
      <c r="F45" s="1">
        <v>4.18</v>
      </c>
      <c r="G45" s="1">
        <v>4.3099999999999996</v>
      </c>
    </row>
    <row r="46" spans="4:7" x14ac:dyDescent="0.2">
      <c r="D46" s="17">
        <v>44260</v>
      </c>
      <c r="E46" s="1">
        <v>3.87</v>
      </c>
      <c r="F46" s="1">
        <v>4.18</v>
      </c>
      <c r="G46" s="1">
        <v>4.5199999999999996</v>
      </c>
    </row>
    <row r="47" spans="4:7" x14ac:dyDescent="0.2">
      <c r="D47" s="17">
        <v>44263</v>
      </c>
      <c r="E47" s="1">
        <v>3.87</v>
      </c>
      <c r="F47" s="1">
        <v>4.3099999999999996</v>
      </c>
      <c r="G47" s="1">
        <v>4.63</v>
      </c>
    </row>
    <row r="48" spans="4:7" x14ac:dyDescent="0.2">
      <c r="D48" s="17">
        <v>44264</v>
      </c>
      <c r="E48" s="1">
        <v>3.87</v>
      </c>
      <c r="F48" s="1">
        <v>4.3099999999999996</v>
      </c>
      <c r="G48" s="1">
        <v>4.63</v>
      </c>
    </row>
    <row r="49" spans="4:7" x14ac:dyDescent="0.2">
      <c r="D49" s="17">
        <v>44265</v>
      </c>
      <c r="E49" s="1">
        <v>3.87</v>
      </c>
      <c r="F49" s="1">
        <v>4.3099999999999996</v>
      </c>
      <c r="G49" s="1">
        <v>4.63</v>
      </c>
    </row>
    <row r="50" spans="4:7" x14ac:dyDescent="0.2">
      <c r="D50" s="17">
        <v>44266</v>
      </c>
      <c r="E50" s="1">
        <v>4.33</v>
      </c>
      <c r="F50" s="1">
        <v>4.8499999999999996</v>
      </c>
      <c r="G50" s="1">
        <v>5.42</v>
      </c>
    </row>
    <row r="51" spans="4:7" x14ac:dyDescent="0.2">
      <c r="D51" s="17">
        <v>44267</v>
      </c>
      <c r="E51" s="1">
        <v>4.92</v>
      </c>
      <c r="F51" s="1">
        <v>5.12</v>
      </c>
      <c r="G51" s="1">
        <v>5.54</v>
      </c>
    </row>
    <row r="52" spans="4:7" x14ac:dyDescent="0.2">
      <c r="D52" s="17">
        <v>44270</v>
      </c>
      <c r="E52" s="1">
        <v>4.92</v>
      </c>
      <c r="F52" s="1">
        <v>5.12</v>
      </c>
      <c r="G52" s="1">
        <v>5.54</v>
      </c>
    </row>
    <row r="53" spans="4:7" x14ac:dyDescent="0.2">
      <c r="D53" s="17">
        <v>44272</v>
      </c>
      <c r="E53" s="1">
        <v>4.92</v>
      </c>
      <c r="F53" s="1">
        <v>5.12</v>
      </c>
      <c r="G53" s="1">
        <v>5.54</v>
      </c>
    </row>
    <row r="54" spans="4:7" x14ac:dyDescent="0.2">
      <c r="D54" s="17">
        <v>44271</v>
      </c>
      <c r="E54" s="1">
        <v>4.92</v>
      </c>
      <c r="F54" s="1">
        <v>5.12</v>
      </c>
      <c r="G54" s="1">
        <v>5.54</v>
      </c>
    </row>
    <row r="55" spans="4:7" x14ac:dyDescent="0.2">
      <c r="D55" s="17">
        <v>44273</v>
      </c>
      <c r="E55" s="1">
        <v>4.92</v>
      </c>
      <c r="F55" s="1">
        <v>5.12</v>
      </c>
      <c r="G55" s="1">
        <v>5.54</v>
      </c>
    </row>
    <row r="56" spans="4:7" x14ac:dyDescent="0.2">
      <c r="D56" s="17">
        <v>44274</v>
      </c>
      <c r="E56" s="1">
        <v>4.92</v>
      </c>
      <c r="F56" s="1">
        <v>5.15</v>
      </c>
      <c r="G56" s="1">
        <v>5.54</v>
      </c>
    </row>
    <row r="57" spans="4:7" x14ac:dyDescent="0.2">
      <c r="D57" s="17">
        <v>44277</v>
      </c>
      <c r="E57" s="1">
        <v>4.92</v>
      </c>
      <c r="F57" s="1">
        <v>5.15</v>
      </c>
      <c r="G57" s="1">
        <v>5.54</v>
      </c>
    </row>
    <row r="58" spans="4:7" x14ac:dyDescent="0.2">
      <c r="D58" s="17">
        <v>44278</v>
      </c>
      <c r="E58" s="1">
        <v>4.92</v>
      </c>
      <c r="F58" s="1">
        <v>5.15</v>
      </c>
      <c r="G58" s="1">
        <v>5.54</v>
      </c>
    </row>
    <row r="59" spans="4:7" x14ac:dyDescent="0.2">
      <c r="D59" s="17">
        <v>44279</v>
      </c>
      <c r="E59" s="1">
        <v>4.92</v>
      </c>
      <c r="F59" s="1">
        <v>5.15</v>
      </c>
      <c r="G59" s="1">
        <v>5.54</v>
      </c>
    </row>
    <row r="60" spans="4:7" x14ac:dyDescent="0.2">
      <c r="D60" s="17">
        <v>44280</v>
      </c>
      <c r="E60" s="1">
        <v>4.92</v>
      </c>
      <c r="F60" s="1">
        <v>5.15</v>
      </c>
      <c r="G60" s="1">
        <v>5.54</v>
      </c>
    </row>
    <row r="61" spans="4:7" x14ac:dyDescent="0.2">
      <c r="D61" s="17">
        <v>44281</v>
      </c>
      <c r="E61" s="1">
        <v>4.92</v>
      </c>
      <c r="F61" s="1">
        <v>5.15</v>
      </c>
      <c r="G61" s="1">
        <v>5.54</v>
      </c>
    </row>
    <row r="62" spans="4:7" x14ac:dyDescent="0.2">
      <c r="D62" s="17">
        <v>44284</v>
      </c>
      <c r="E62" s="1">
        <v>4.92</v>
      </c>
      <c r="F62" s="1">
        <v>5.15</v>
      </c>
      <c r="G62" s="1">
        <v>5.54</v>
      </c>
    </row>
    <row r="63" spans="4:7" x14ac:dyDescent="0.2">
      <c r="D63" s="17">
        <v>44286</v>
      </c>
      <c r="E63" s="1">
        <v>4.9241999999999999</v>
      </c>
      <c r="F63" s="1">
        <v>5.1481000000000003</v>
      </c>
      <c r="G63" s="1">
        <v>5.5382999999999996</v>
      </c>
    </row>
    <row r="64" spans="4:7" x14ac:dyDescent="0.2">
      <c r="D64" s="17">
        <v>44287</v>
      </c>
      <c r="E64" s="1">
        <v>4.9241999999999999</v>
      </c>
      <c r="F64" s="1">
        <v>5.1378000000000004</v>
      </c>
      <c r="G64" s="1">
        <v>5.5382999999999996</v>
      </c>
    </row>
    <row r="65" spans="4:7" x14ac:dyDescent="0.2">
      <c r="D65" s="17">
        <v>44291</v>
      </c>
      <c r="E65" s="1">
        <v>4.9241999999999999</v>
      </c>
      <c r="F65" s="1">
        <v>5.1378000000000004</v>
      </c>
      <c r="G65" s="1">
        <v>5.5382999999999996</v>
      </c>
    </row>
    <row r="66" spans="4:7" x14ac:dyDescent="0.2">
      <c r="D66" s="17">
        <v>44292</v>
      </c>
      <c r="E66" s="1">
        <v>4.9241999999999999</v>
      </c>
      <c r="F66" s="1">
        <v>5.1378000000000004</v>
      </c>
      <c r="G66" s="1">
        <v>5.5382999999999996</v>
      </c>
    </row>
    <row r="67" spans="4:7" x14ac:dyDescent="0.2">
      <c r="D67" s="17">
        <v>44293</v>
      </c>
      <c r="E67" s="1">
        <v>4.9241999999999999</v>
      </c>
      <c r="F67" s="1">
        <v>5.1378000000000004</v>
      </c>
      <c r="G67" s="1">
        <v>5.5382999999999996</v>
      </c>
    </row>
    <row r="68" spans="4:7" x14ac:dyDescent="0.2">
      <c r="D68" s="17">
        <v>44294</v>
      </c>
      <c r="E68" s="1">
        <v>4.9241999999999999</v>
      </c>
      <c r="F68" s="1">
        <v>5.1378000000000004</v>
      </c>
      <c r="G68" s="1">
        <v>5.5382999999999996</v>
      </c>
    </row>
    <row r="69" spans="4:7" x14ac:dyDescent="0.2">
      <c r="D69" s="17">
        <v>44295</v>
      </c>
      <c r="E69" s="1">
        <v>4.6939000000000002</v>
      </c>
      <c r="F69" s="1">
        <v>4.9866999999999999</v>
      </c>
      <c r="G69" s="1">
        <v>5.5317999999999996</v>
      </c>
    </row>
    <row r="70" spans="4:7" x14ac:dyDescent="0.2">
      <c r="D70" s="17">
        <v>44298</v>
      </c>
      <c r="E70" s="1">
        <v>4.6939000000000002</v>
      </c>
      <c r="F70" s="1">
        <v>5.1028000000000002</v>
      </c>
      <c r="G70" s="1">
        <v>5.5117000000000003</v>
      </c>
    </row>
    <row r="71" spans="4:7" x14ac:dyDescent="0.2">
      <c r="D71" s="17">
        <v>44299</v>
      </c>
      <c r="E71" s="1">
        <v>4.6939000000000002</v>
      </c>
      <c r="F71" s="1">
        <v>5.1028000000000002</v>
      </c>
      <c r="G71" s="1">
        <v>5.5117000000000003</v>
      </c>
    </row>
    <row r="72" spans="4:7" x14ac:dyDescent="0.2">
      <c r="D72" s="17">
        <v>44300</v>
      </c>
      <c r="E72" s="1">
        <v>4.6939000000000002</v>
      </c>
      <c r="F72" s="1">
        <v>5.1028000000000002</v>
      </c>
      <c r="G72" s="1">
        <v>5.5117000000000003</v>
      </c>
    </row>
    <row r="73" spans="4:7" x14ac:dyDescent="0.2">
      <c r="D73" s="17">
        <v>44301</v>
      </c>
      <c r="E73" s="1">
        <v>4.8196000000000003</v>
      </c>
      <c r="F73" s="1">
        <v>5.1657000000000002</v>
      </c>
      <c r="G73" s="1">
        <v>5.5117000000000003</v>
      </c>
    </row>
    <row r="74" spans="4:7" x14ac:dyDescent="0.2">
      <c r="D74" s="17">
        <v>44302</v>
      </c>
      <c r="E74" s="1">
        <v>5.1018999999999997</v>
      </c>
      <c r="F74" s="1">
        <v>5.2595000000000001</v>
      </c>
      <c r="G74" s="1">
        <v>5.4169999999999998</v>
      </c>
    </row>
    <row r="75" spans="4:7" x14ac:dyDescent="0.2">
      <c r="D75" s="17">
        <v>44305</v>
      </c>
      <c r="E75" s="1">
        <v>5.1018999999999997</v>
      </c>
      <c r="F75" s="1">
        <v>5.2595000000000001</v>
      </c>
      <c r="G75" s="1">
        <v>5.4169999999999998</v>
      </c>
    </row>
    <row r="76" spans="4:7" x14ac:dyDescent="0.2">
      <c r="D76" s="17">
        <v>44306</v>
      </c>
      <c r="E76" s="1">
        <v>5.1018999999999997</v>
      </c>
      <c r="F76" s="1">
        <v>5.2595000000000001</v>
      </c>
      <c r="G76" s="1">
        <v>5.4169999999999998</v>
      </c>
    </row>
    <row r="77" spans="4:7" x14ac:dyDescent="0.2">
      <c r="D77" s="17">
        <v>44308</v>
      </c>
      <c r="E77" s="1">
        <v>5.1018999999999997</v>
      </c>
      <c r="F77" s="1">
        <v>5.2595000000000001</v>
      </c>
      <c r="G77" s="1">
        <v>5.4169999999999998</v>
      </c>
    </row>
    <row r="78" spans="4:7" x14ac:dyDescent="0.2">
      <c r="D78" s="17">
        <v>44309</v>
      </c>
      <c r="E78" s="1">
        <v>4.9341999999999997</v>
      </c>
      <c r="F78" s="1">
        <v>5.2492000000000001</v>
      </c>
      <c r="G78" s="1">
        <v>5.4897</v>
      </c>
    </row>
    <row r="79" spans="4:7" x14ac:dyDescent="0.2">
      <c r="D79" s="17">
        <v>44312</v>
      </c>
      <c r="E79" s="1">
        <v>4.9341999999999997</v>
      </c>
      <c r="F79" s="1">
        <v>5.2492000000000001</v>
      </c>
      <c r="G79" s="1">
        <v>5.4897</v>
      </c>
    </row>
    <row r="80" spans="4:7" x14ac:dyDescent="0.2">
      <c r="D80" s="17">
        <v>44313</v>
      </c>
      <c r="E80" s="1">
        <v>4.9341999999999997</v>
      </c>
      <c r="F80" s="1">
        <v>5.2492000000000001</v>
      </c>
      <c r="G80" s="1">
        <v>5.4897</v>
      </c>
    </row>
    <row r="81" spans="4:7" x14ac:dyDescent="0.2">
      <c r="D81" s="17">
        <v>44314</v>
      </c>
      <c r="E81" s="1">
        <v>4.9341999999999997</v>
      </c>
      <c r="F81" s="1">
        <v>5.2492000000000001</v>
      </c>
      <c r="G81" s="1">
        <v>5.4897</v>
      </c>
    </row>
    <row r="82" spans="4:7" x14ac:dyDescent="0.2">
      <c r="D82" s="17">
        <v>44315</v>
      </c>
      <c r="E82" s="1">
        <v>4.9341999999999997</v>
      </c>
      <c r="F82" s="1">
        <v>5.2492000000000001</v>
      </c>
      <c r="G82" s="1">
        <v>5.4897</v>
      </c>
    </row>
    <row r="83" spans="4:7" x14ac:dyDescent="0.2">
      <c r="D83" s="17">
        <v>44316</v>
      </c>
      <c r="E83" s="1">
        <v>4.9341999999999997</v>
      </c>
      <c r="F83" s="1">
        <v>5.2766999999999999</v>
      </c>
      <c r="G83" s="1">
        <v>5.3745000000000003</v>
      </c>
    </row>
    <row r="84" spans="4:7" x14ac:dyDescent="0.2">
      <c r="D84" s="17">
        <v>44319</v>
      </c>
      <c r="E84" s="1">
        <v>4.9341999999999997</v>
      </c>
      <c r="F84" s="1">
        <v>5.2766999999999999</v>
      </c>
      <c r="G84" s="1">
        <v>5.3745000000000003</v>
      </c>
    </row>
    <row r="85" spans="4:7" x14ac:dyDescent="0.2">
      <c r="D85" s="17">
        <v>44320</v>
      </c>
      <c r="E85" s="1">
        <v>4.9341999999999997</v>
      </c>
      <c r="F85" s="1">
        <v>5.2766999999999999</v>
      </c>
      <c r="G85" s="1">
        <v>5.3745000000000003</v>
      </c>
    </row>
    <row r="86" spans="4:7" x14ac:dyDescent="0.2">
      <c r="D86" s="17">
        <v>44321</v>
      </c>
      <c r="E86" s="1">
        <v>4.9341999999999997</v>
      </c>
      <c r="F86" s="1">
        <v>5.2766999999999999</v>
      </c>
      <c r="G86" s="1">
        <v>5.3745000000000003</v>
      </c>
    </row>
    <row r="87" spans="4:7" x14ac:dyDescent="0.2">
      <c r="D87" s="17">
        <v>44322</v>
      </c>
      <c r="E87" s="1">
        <v>4.9341999999999997</v>
      </c>
      <c r="F87" s="1">
        <v>5.2766999999999999</v>
      </c>
      <c r="G87" s="1">
        <v>5.3745000000000003</v>
      </c>
    </row>
    <row r="88" spans="4:7" x14ac:dyDescent="0.2">
      <c r="D88" s="17">
        <v>44323</v>
      </c>
      <c r="E88" s="1">
        <v>4.9341999999999997</v>
      </c>
      <c r="F88" s="1">
        <v>5.2766999999999999</v>
      </c>
      <c r="G88" s="1">
        <v>5.4374000000000002</v>
      </c>
    </row>
    <row r="89" spans="4:7" x14ac:dyDescent="0.2">
      <c r="D89" s="17">
        <v>44326</v>
      </c>
      <c r="E89" s="1">
        <v>4.9341999999999997</v>
      </c>
      <c r="F89" s="1">
        <v>5.2766999999999999</v>
      </c>
      <c r="G89" s="1">
        <v>5.4374000000000002</v>
      </c>
    </row>
    <row r="90" spans="4:7" x14ac:dyDescent="0.2">
      <c r="D90" s="17">
        <v>44327</v>
      </c>
      <c r="E90" s="1">
        <v>5.1230000000000002</v>
      </c>
      <c r="F90" s="1">
        <v>5.3236999999999997</v>
      </c>
      <c r="G90" s="1">
        <v>5.6680999999999999</v>
      </c>
    </row>
    <row r="91" spans="4:7" x14ac:dyDescent="0.2">
      <c r="D91" s="17">
        <v>44328</v>
      </c>
      <c r="E91" s="1">
        <v>5.1230000000000002</v>
      </c>
      <c r="F91" s="1">
        <v>5.3236999999999997</v>
      </c>
      <c r="G91" s="1">
        <v>5.6680999999999999</v>
      </c>
    </row>
    <row r="92" spans="4:7" x14ac:dyDescent="0.2">
      <c r="D92" s="17">
        <v>44329</v>
      </c>
      <c r="E92" s="1">
        <v>5.1230000000000002</v>
      </c>
      <c r="F92" s="1">
        <v>5.3236999999999997</v>
      </c>
      <c r="G92" s="1">
        <v>5.6680999999999999</v>
      </c>
    </row>
    <row r="93" spans="4:7" x14ac:dyDescent="0.2">
      <c r="D93" s="17">
        <v>44330</v>
      </c>
      <c r="E93" s="1">
        <v>5.2804000000000002</v>
      </c>
      <c r="F93" s="1">
        <v>5.4268999999999998</v>
      </c>
      <c r="G93" s="1">
        <v>5.6680999999999999</v>
      </c>
    </row>
    <row r="94" spans="4:7" x14ac:dyDescent="0.2">
      <c r="D94" s="17">
        <v>44333</v>
      </c>
      <c r="E94" s="1">
        <v>5.2804000000000002</v>
      </c>
      <c r="F94" s="1">
        <v>5.4268999999999998</v>
      </c>
      <c r="G94" s="1">
        <v>5.6680999999999999</v>
      </c>
    </row>
    <row r="95" spans="4:7" x14ac:dyDescent="0.2">
      <c r="D95" s="17">
        <v>44334</v>
      </c>
      <c r="E95" s="1">
        <v>5.2804000000000002</v>
      </c>
      <c r="F95" s="1">
        <v>5.4268999999999998</v>
      </c>
      <c r="G95" s="1">
        <v>5.6680999999999999</v>
      </c>
    </row>
    <row r="96" spans="4:7" x14ac:dyDescent="0.2">
      <c r="D96" s="17">
        <v>44335</v>
      </c>
      <c r="E96" s="1">
        <v>5.2804000000000002</v>
      </c>
      <c r="F96" s="1">
        <v>5.4268999999999998</v>
      </c>
      <c r="G96" s="1">
        <v>5.6680999999999999</v>
      </c>
    </row>
    <row r="97" spans="4:7" x14ac:dyDescent="0.2">
      <c r="D97" s="17">
        <v>44336</v>
      </c>
      <c r="E97" s="1">
        <v>5.2804000000000002</v>
      </c>
      <c r="F97" s="1">
        <v>5.4268999999999998</v>
      </c>
      <c r="G97" s="1">
        <v>5.6680999999999999</v>
      </c>
    </row>
    <row r="98" spans="4:7" x14ac:dyDescent="0.2">
      <c r="D98" s="17">
        <v>44337</v>
      </c>
      <c r="E98" s="1">
        <v>5.2804000000000002</v>
      </c>
      <c r="F98" s="1">
        <v>5.4268999999999998</v>
      </c>
      <c r="G98" s="1">
        <v>5.9424000000000001</v>
      </c>
    </row>
    <row r="99" spans="4:7" x14ac:dyDescent="0.2">
      <c r="D99" s="17">
        <v>44340</v>
      </c>
      <c r="E99" s="1">
        <v>5.2804000000000002</v>
      </c>
      <c r="F99" s="1">
        <v>5.4268999999999998</v>
      </c>
      <c r="G99" s="1">
        <v>5.9424000000000001</v>
      </c>
    </row>
    <row r="100" spans="4:7" x14ac:dyDescent="0.2">
      <c r="D100" s="17">
        <v>44341</v>
      </c>
      <c r="E100" s="1">
        <v>5.2804000000000002</v>
      </c>
      <c r="F100" s="1">
        <v>5.4268999999999998</v>
      </c>
      <c r="G100" s="1">
        <v>5.9424000000000001</v>
      </c>
    </row>
    <row r="101" spans="4:7" x14ac:dyDescent="0.2">
      <c r="D101" s="17">
        <v>44342</v>
      </c>
      <c r="E101" s="1">
        <v>5.2804000000000002</v>
      </c>
      <c r="F101" s="1">
        <v>5.4268999999999998</v>
      </c>
      <c r="G101" s="1">
        <v>5.9424000000000001</v>
      </c>
    </row>
    <row r="102" spans="4:7" x14ac:dyDescent="0.2">
      <c r="D102" s="17">
        <v>44343</v>
      </c>
      <c r="E102" s="1">
        <v>5.2804000000000002</v>
      </c>
      <c r="F102" s="1">
        <v>5.4268999999999998</v>
      </c>
      <c r="G102" s="1">
        <v>5.9424000000000001</v>
      </c>
    </row>
    <row r="103" spans="4:7" x14ac:dyDescent="0.2">
      <c r="D103" s="17">
        <v>44344</v>
      </c>
      <c r="E103" s="1">
        <v>5.2804000000000002</v>
      </c>
      <c r="F103" s="1">
        <v>5.4268999999999998</v>
      </c>
      <c r="G103" s="1">
        <v>6.0907</v>
      </c>
    </row>
    <row r="104" spans="4:7" x14ac:dyDescent="0.2">
      <c r="D104" s="17">
        <v>44347</v>
      </c>
      <c r="E104" s="1">
        <v>5.4367000000000001</v>
      </c>
      <c r="F104" s="1">
        <v>5.9847000000000001</v>
      </c>
      <c r="G104" s="1">
        <v>6.0907</v>
      </c>
    </row>
    <row r="105" spans="4:7" x14ac:dyDescent="0.2">
      <c r="D105" s="17">
        <v>44285</v>
      </c>
      <c r="E105" s="1">
        <v>4.92</v>
      </c>
      <c r="F105" s="1">
        <v>5.15</v>
      </c>
      <c r="G105" s="1">
        <v>5.54</v>
      </c>
    </row>
    <row r="106" spans="4:7" x14ac:dyDescent="0.2">
      <c r="D106" s="17">
        <v>44348</v>
      </c>
      <c r="E106" s="1">
        <v>5.4367000000000001</v>
      </c>
      <c r="F106" s="1">
        <v>5.9847000000000001</v>
      </c>
      <c r="G106" s="1">
        <v>6.0907</v>
      </c>
    </row>
    <row r="107" spans="4:7" x14ac:dyDescent="0.2">
      <c r="D107" s="17">
        <v>44349</v>
      </c>
      <c r="E107" s="1">
        <v>5.9318</v>
      </c>
      <c r="F107" s="1">
        <v>5.9847000000000001</v>
      </c>
      <c r="G107" s="1">
        <v>6.0907</v>
      </c>
    </row>
    <row r="108" spans="4:7" x14ac:dyDescent="0.2">
      <c r="D108" s="17">
        <v>44351</v>
      </c>
      <c r="E108" s="1">
        <v>5.6692</v>
      </c>
      <c r="F108" s="1">
        <v>5.9844999999999997</v>
      </c>
      <c r="G108" s="1">
        <v>6.1645000000000003</v>
      </c>
    </row>
    <row r="109" spans="4:7" x14ac:dyDescent="0.2">
      <c r="D109" s="17">
        <v>44354</v>
      </c>
      <c r="E109" s="1">
        <v>5.6692</v>
      </c>
      <c r="F109" s="1">
        <v>5.9844999999999997</v>
      </c>
      <c r="G109" s="1">
        <v>6.1645000000000003</v>
      </c>
    </row>
    <row r="110" spans="4:7" x14ac:dyDescent="0.2">
      <c r="D110" s="17">
        <v>44355</v>
      </c>
      <c r="E110" s="1">
        <v>5.6692</v>
      </c>
      <c r="F110" s="1">
        <v>5.9844999999999997</v>
      </c>
      <c r="G110" s="1">
        <v>6.1645000000000003</v>
      </c>
    </row>
    <row r="111" spans="4:7" x14ac:dyDescent="0.2">
      <c r="D111" s="17">
        <v>44356</v>
      </c>
      <c r="E111" s="1">
        <v>5.1632999999999996</v>
      </c>
      <c r="F111" s="1">
        <v>5.9631999999999996</v>
      </c>
      <c r="G111" s="1">
        <v>6.2381000000000002</v>
      </c>
    </row>
    <row r="112" spans="4:7" x14ac:dyDescent="0.2">
      <c r="D112" s="17">
        <v>44357</v>
      </c>
      <c r="E112" s="1">
        <v>5.1632999999999996</v>
      </c>
      <c r="F112" s="1">
        <v>6.0316999999999998</v>
      </c>
      <c r="G112" s="1">
        <v>6.5029000000000003</v>
      </c>
    </row>
    <row r="113" spans="4:7" x14ac:dyDescent="0.2">
      <c r="D113" s="17">
        <v>44358</v>
      </c>
      <c r="E113" s="1">
        <v>5.1632999999999996</v>
      </c>
      <c r="F113" s="1">
        <v>6.3018000000000001</v>
      </c>
      <c r="G113" s="1">
        <v>6.5015999999999998</v>
      </c>
    </row>
    <row r="114" spans="4:7" x14ac:dyDescent="0.2">
      <c r="D114" s="17">
        <v>44361</v>
      </c>
      <c r="E114" s="1">
        <v>5.3204000000000002</v>
      </c>
      <c r="F114" s="1">
        <v>6.3018000000000001</v>
      </c>
      <c r="G114" s="1">
        <v>6.5349000000000004</v>
      </c>
    </row>
    <row r="115" spans="4:7" x14ac:dyDescent="0.2">
      <c r="D115" s="17">
        <v>44362</v>
      </c>
      <c r="E115" s="1">
        <v>5.3204000000000002</v>
      </c>
      <c r="F115" s="1">
        <v>6.3018000000000001</v>
      </c>
      <c r="G115" s="1">
        <v>6.5349000000000004</v>
      </c>
    </row>
    <row r="116" spans="4:7" x14ac:dyDescent="0.2">
      <c r="D116" s="17">
        <v>44363</v>
      </c>
      <c r="E116" s="1">
        <v>5.3204000000000002</v>
      </c>
      <c r="F116" s="1">
        <v>6.3018000000000001</v>
      </c>
      <c r="G116" s="1">
        <v>6.5349000000000004</v>
      </c>
    </row>
    <row r="117" spans="4:7" x14ac:dyDescent="0.2">
      <c r="D117" s="17">
        <v>44364</v>
      </c>
      <c r="E117" s="1">
        <v>5.2889999999999997</v>
      </c>
      <c r="F117" s="1">
        <v>6.3018000000000001</v>
      </c>
      <c r="G117" s="1">
        <v>6.5349000000000004</v>
      </c>
    </row>
    <row r="118" spans="4:7" x14ac:dyDescent="0.2">
      <c r="D118" s="17">
        <v>44365</v>
      </c>
      <c r="E118" s="1">
        <v>5.2889999999999997</v>
      </c>
      <c r="F118" s="1">
        <v>6.2329999999999997</v>
      </c>
      <c r="G118" s="1">
        <v>6.5015999999999998</v>
      </c>
    </row>
    <row r="119" spans="4:7" x14ac:dyDescent="0.2">
      <c r="D119" s="17">
        <v>44368</v>
      </c>
      <c r="E119" s="1">
        <v>5.2889999999999997</v>
      </c>
      <c r="F119" s="1">
        <v>6.2329999999999997</v>
      </c>
      <c r="G119" s="1">
        <v>6.5015999999999998</v>
      </c>
    </row>
    <row r="120" spans="4:7" x14ac:dyDescent="0.2">
      <c r="D120" s="17">
        <v>44369</v>
      </c>
      <c r="E120" s="1">
        <v>5.6470000000000002</v>
      </c>
      <c r="F120" s="1">
        <v>6.2329999999999997</v>
      </c>
      <c r="G120" s="1">
        <v>6.5015999999999998</v>
      </c>
    </row>
    <row r="121" spans="4:7" x14ac:dyDescent="0.2">
      <c r="D121" s="17">
        <v>44370</v>
      </c>
      <c r="E121" s="1">
        <v>5.6470000000000002</v>
      </c>
      <c r="F121" s="1">
        <v>6.2329999999999997</v>
      </c>
      <c r="G121" s="1">
        <v>6.5015999999999998</v>
      </c>
    </row>
    <row r="122" spans="4:7" x14ac:dyDescent="0.2">
      <c r="D122" s="17">
        <v>44371</v>
      </c>
      <c r="E122" s="1">
        <v>5.6470000000000002</v>
      </c>
      <c r="F122" s="1">
        <v>6.2329999999999997</v>
      </c>
      <c r="G122" s="1">
        <v>6.5015999999999998</v>
      </c>
    </row>
    <row r="123" spans="4:7" x14ac:dyDescent="0.2">
      <c r="D123" s="17">
        <v>44372</v>
      </c>
      <c r="E123" s="1">
        <v>5.6470000000000002</v>
      </c>
      <c r="F123" s="1">
        <v>6.3440000000000003</v>
      </c>
      <c r="G123" s="1">
        <v>6.6618000000000004</v>
      </c>
    </row>
    <row r="124" spans="4:7" x14ac:dyDescent="0.2">
      <c r="D124" s="17">
        <v>44375</v>
      </c>
      <c r="E124" s="1">
        <v>5.6470000000000002</v>
      </c>
      <c r="F124" s="1">
        <v>6.3440000000000003</v>
      </c>
      <c r="G124" s="1">
        <v>6.6618000000000004</v>
      </c>
    </row>
    <row r="125" spans="4:7" x14ac:dyDescent="0.2">
      <c r="D125" s="17">
        <v>44376</v>
      </c>
      <c r="E125" s="1">
        <v>5.6470000000000002</v>
      </c>
      <c r="F125" s="1">
        <v>6.3440000000000003</v>
      </c>
      <c r="G125" s="1">
        <v>6.6618000000000004</v>
      </c>
    </row>
    <row r="126" spans="4:7" x14ac:dyDescent="0.2">
      <c r="D126" s="17">
        <v>44377</v>
      </c>
      <c r="E126" s="1">
        <v>5.6470000000000002</v>
      </c>
      <c r="F126" s="1">
        <v>6.3440000000000003</v>
      </c>
      <c r="G126" s="1">
        <v>6.6618000000000004</v>
      </c>
    </row>
    <row r="127" spans="4:7" x14ac:dyDescent="0.2">
      <c r="D127" s="17">
        <v>44378</v>
      </c>
      <c r="E127" s="1">
        <v>5.6470000000000002</v>
      </c>
      <c r="F127" s="1">
        <v>6.3440000000000003</v>
      </c>
      <c r="G127" s="1">
        <v>6.6618000000000004</v>
      </c>
    </row>
    <row r="128" spans="4:7" x14ac:dyDescent="0.2">
      <c r="D128" s="17">
        <v>44379</v>
      </c>
      <c r="E128" s="1">
        <v>5.6470000000000002</v>
      </c>
      <c r="F128" s="1">
        <v>6.4981999999999998</v>
      </c>
      <c r="G128" s="1">
        <v>6.8</v>
      </c>
    </row>
    <row r="129" spans="4:7" x14ac:dyDescent="0.2">
      <c r="D129" s="17">
        <v>44382</v>
      </c>
      <c r="E129" s="1">
        <v>5.6470000000000002</v>
      </c>
      <c r="F129" s="1">
        <v>6.4981999999999998</v>
      </c>
      <c r="G129" s="1">
        <v>6.8</v>
      </c>
    </row>
    <row r="130" spans="4:7" x14ac:dyDescent="0.2">
      <c r="D130" s="17">
        <v>44383</v>
      </c>
      <c r="E130" s="1">
        <v>5.6470000000000002</v>
      </c>
      <c r="F130" s="1">
        <v>6.4981999999999998</v>
      </c>
      <c r="G130" s="1">
        <v>6.8</v>
      </c>
    </row>
    <row r="131" spans="4:7" x14ac:dyDescent="0.2">
      <c r="D131" s="17">
        <v>44384</v>
      </c>
      <c r="E131" s="1">
        <v>5.6470000000000002</v>
      </c>
      <c r="F131" s="1">
        <v>6.4981999999999998</v>
      </c>
      <c r="G131" s="1">
        <v>6.8</v>
      </c>
    </row>
    <row r="132" spans="4:7" x14ac:dyDescent="0.2">
      <c r="D132" s="17">
        <v>44385</v>
      </c>
      <c r="E132" s="1">
        <v>6.3883999999999999</v>
      </c>
      <c r="F132" s="1">
        <v>6.7203999999999997</v>
      </c>
      <c r="G132" s="1">
        <v>6.8102999999999998</v>
      </c>
    </row>
    <row r="133" spans="4:7" x14ac:dyDescent="0.2">
      <c r="D133" s="17">
        <v>44386</v>
      </c>
      <c r="E133" s="1">
        <v>6.3883999999999999</v>
      </c>
      <c r="F133" s="1">
        <v>6.7415000000000003</v>
      </c>
      <c r="G133" s="1">
        <v>6.8531000000000004</v>
      </c>
    </row>
    <row r="134" spans="4:7" x14ac:dyDescent="0.2">
      <c r="D134" s="17">
        <v>44389</v>
      </c>
      <c r="E134" s="1">
        <v>6.3883999999999999</v>
      </c>
      <c r="F134" s="1">
        <v>6.7678000000000003</v>
      </c>
      <c r="G134" s="1">
        <v>6.8531000000000004</v>
      </c>
    </row>
    <row r="135" spans="4:7" x14ac:dyDescent="0.2">
      <c r="D135" s="17">
        <v>44390</v>
      </c>
      <c r="E135" s="1">
        <v>6.3883999999999999</v>
      </c>
      <c r="F135" s="1">
        <v>6.7678000000000003</v>
      </c>
      <c r="G135" s="1">
        <v>6.8531000000000004</v>
      </c>
    </row>
    <row r="136" spans="4:7" x14ac:dyDescent="0.2">
      <c r="D136" s="17">
        <v>44391</v>
      </c>
      <c r="E136" s="1">
        <v>6.3883999999999999</v>
      </c>
      <c r="F136" s="1">
        <v>6.7678000000000003</v>
      </c>
      <c r="G136" s="1">
        <v>6.8531000000000004</v>
      </c>
    </row>
    <row r="137" spans="4:7" x14ac:dyDescent="0.2">
      <c r="D137" s="17">
        <v>44392</v>
      </c>
      <c r="E137" s="1">
        <v>6.3883999999999999</v>
      </c>
      <c r="F137" s="1">
        <v>6.7678000000000003</v>
      </c>
      <c r="G137" s="1">
        <v>6.8531000000000004</v>
      </c>
    </row>
    <row r="138" spans="4:7" x14ac:dyDescent="0.2">
      <c r="D138" s="17">
        <v>44393</v>
      </c>
      <c r="E138" s="1">
        <v>6.3883999999999999</v>
      </c>
      <c r="F138" s="1">
        <v>6.7678000000000003</v>
      </c>
      <c r="G138" s="1">
        <v>6.9593999999999996</v>
      </c>
    </row>
    <row r="139" spans="4:7" x14ac:dyDescent="0.2">
      <c r="D139" s="17">
        <v>44396</v>
      </c>
      <c r="E139" s="1">
        <v>6.3883999999999999</v>
      </c>
      <c r="F139" s="1">
        <v>6.7678000000000003</v>
      </c>
      <c r="G139" s="1">
        <v>6.9593999999999996</v>
      </c>
    </row>
    <row r="140" spans="4:7" x14ac:dyDescent="0.2">
      <c r="D140" s="17">
        <v>44397</v>
      </c>
      <c r="E140" s="1">
        <v>6.3883999999999999</v>
      </c>
      <c r="F140" s="1">
        <v>6.7678000000000003</v>
      </c>
      <c r="G140" s="1">
        <v>6.9593999999999996</v>
      </c>
    </row>
    <row r="141" spans="4:7" x14ac:dyDescent="0.2">
      <c r="D141" s="17">
        <v>44398</v>
      </c>
      <c r="E141" s="1">
        <v>6.3883999999999999</v>
      </c>
      <c r="F141" s="1">
        <v>6.7462</v>
      </c>
      <c r="G141" s="1">
        <v>6.9593999999999996</v>
      </c>
    </row>
    <row r="142" spans="4:7" x14ac:dyDescent="0.2">
      <c r="D142" s="17">
        <v>44399</v>
      </c>
      <c r="E142" s="1">
        <v>6.3883999999999999</v>
      </c>
      <c r="F142" s="1">
        <v>6.8048000000000002</v>
      </c>
      <c r="G142" s="1">
        <v>6.9593999999999996</v>
      </c>
    </row>
    <row r="143" spans="4:7" x14ac:dyDescent="0.2">
      <c r="D143" s="17">
        <v>44400</v>
      </c>
      <c r="E143" s="1">
        <v>6.9638999999999998</v>
      </c>
      <c r="F143" s="1">
        <v>7.1401000000000003</v>
      </c>
      <c r="G143" s="1">
        <v>7.7961999999999998</v>
      </c>
    </row>
    <row r="144" spans="4:7" x14ac:dyDescent="0.2">
      <c r="D144" s="17">
        <v>44403</v>
      </c>
      <c r="E144" s="1">
        <v>6.9638999999999998</v>
      </c>
      <c r="F144" s="1">
        <v>7.1401000000000003</v>
      </c>
      <c r="G144" s="1">
        <v>7.7961999999999998</v>
      </c>
    </row>
    <row r="145" spans="4:7" x14ac:dyDescent="0.2">
      <c r="D145" s="17">
        <v>44404</v>
      </c>
      <c r="E145" s="1">
        <v>6.9638999999999998</v>
      </c>
      <c r="F145" s="1">
        <v>7.1401000000000003</v>
      </c>
      <c r="G145" s="1">
        <v>7.7961999999999998</v>
      </c>
    </row>
    <row r="146" spans="4:7" x14ac:dyDescent="0.2">
      <c r="D146" s="17">
        <v>44405</v>
      </c>
      <c r="E146" s="1">
        <v>6.9638999999999998</v>
      </c>
      <c r="F146" s="1">
        <v>7.1401000000000003</v>
      </c>
      <c r="G146" s="1">
        <v>7.7961999999999998</v>
      </c>
    </row>
    <row r="147" spans="4:7" x14ac:dyDescent="0.2">
      <c r="D147" s="17">
        <v>44406</v>
      </c>
      <c r="E147" s="1">
        <v>6.9638999999999998</v>
      </c>
      <c r="F147" s="1">
        <v>7.1401000000000003</v>
      </c>
      <c r="G147" s="1">
        <v>7.7961999999999998</v>
      </c>
    </row>
    <row r="148" spans="4:7" x14ac:dyDescent="0.2">
      <c r="D148" s="17">
        <v>44407</v>
      </c>
      <c r="E148" s="1">
        <v>7.0327000000000002</v>
      </c>
      <c r="F148" s="1">
        <v>7.22</v>
      </c>
      <c r="G148" s="1">
        <v>7.8051000000000004</v>
      </c>
    </row>
    <row r="149" spans="4:7" x14ac:dyDescent="0.2">
      <c r="D149" s="17">
        <v>44410</v>
      </c>
      <c r="E149" s="1">
        <v>7.0327000000000002</v>
      </c>
      <c r="F149" s="1">
        <v>7.22</v>
      </c>
      <c r="G149" s="1">
        <v>7.8051000000000004</v>
      </c>
    </row>
    <row r="150" spans="4:7" x14ac:dyDescent="0.2">
      <c r="D150" s="17">
        <v>44411</v>
      </c>
      <c r="E150" s="1">
        <v>7.0327000000000002</v>
      </c>
      <c r="F150" s="1">
        <v>7.2201000000000004</v>
      </c>
      <c r="G150" s="1">
        <v>7.8051000000000004</v>
      </c>
    </row>
    <row r="151" spans="4:7" x14ac:dyDescent="0.2">
      <c r="D151" s="17">
        <v>44412</v>
      </c>
      <c r="E151" s="1">
        <v>7.0327000000000002</v>
      </c>
      <c r="F151" s="1">
        <v>7.2201000000000004</v>
      </c>
      <c r="G151" s="1">
        <v>7.8051000000000004</v>
      </c>
    </row>
    <row r="152" spans="4:7" x14ac:dyDescent="0.2">
      <c r="D152" s="17">
        <v>44413</v>
      </c>
      <c r="E152" s="1">
        <v>7.0327000000000002</v>
      </c>
      <c r="F152" s="1">
        <v>7.2201000000000004</v>
      </c>
      <c r="G152" s="1">
        <v>7.8051000000000004</v>
      </c>
    </row>
    <row r="153" spans="4:7" x14ac:dyDescent="0.2">
      <c r="D153" s="17">
        <v>44414</v>
      </c>
      <c r="E153" s="1">
        <v>7.0327000000000002</v>
      </c>
      <c r="F153" s="1">
        <v>7.2952000000000004</v>
      </c>
      <c r="G153" s="1">
        <v>7.8051000000000004</v>
      </c>
    </row>
    <row r="154" spans="4:7" x14ac:dyDescent="0.2">
      <c r="D154" s="17">
        <v>44417</v>
      </c>
      <c r="E154" s="1">
        <v>7.0327000000000002</v>
      </c>
      <c r="F154" s="1">
        <v>7.2952000000000004</v>
      </c>
      <c r="G154" s="1">
        <v>7.8051000000000004</v>
      </c>
    </row>
    <row r="155" spans="4:7" x14ac:dyDescent="0.2">
      <c r="D155" s="17">
        <v>44418</v>
      </c>
      <c r="E155" s="1">
        <v>7.0221</v>
      </c>
      <c r="F155" s="1">
        <v>7.3</v>
      </c>
      <c r="G155" s="1">
        <v>7.5246000000000004</v>
      </c>
    </row>
    <row r="156" spans="4:7" x14ac:dyDescent="0.2">
      <c r="D156" s="17">
        <v>44419</v>
      </c>
      <c r="E156" s="1">
        <v>7.0221</v>
      </c>
      <c r="F156" s="1">
        <v>7.3</v>
      </c>
      <c r="G156" s="1">
        <v>7.5246000000000004</v>
      </c>
    </row>
    <row r="157" spans="4:7" x14ac:dyDescent="0.2">
      <c r="D157" s="17">
        <v>44420</v>
      </c>
      <c r="E157" s="1">
        <v>7.0221</v>
      </c>
      <c r="F157" s="1">
        <v>7.3</v>
      </c>
      <c r="G157" s="1">
        <v>7.5246000000000004</v>
      </c>
    </row>
    <row r="158" spans="4:7" x14ac:dyDescent="0.2">
      <c r="D158" s="17">
        <v>44421</v>
      </c>
      <c r="E158" s="1">
        <v>7.0221</v>
      </c>
      <c r="F158" s="1">
        <v>7.3</v>
      </c>
      <c r="G158" s="1">
        <v>7.8994999999999997</v>
      </c>
    </row>
    <row r="159" spans="4:7" x14ac:dyDescent="0.2">
      <c r="D159" s="17">
        <v>44424</v>
      </c>
      <c r="E159" s="1">
        <v>7.0221</v>
      </c>
      <c r="F159" s="1">
        <v>7.3</v>
      </c>
      <c r="G159" s="1">
        <v>7.8994999999999997</v>
      </c>
    </row>
    <row r="160" spans="4:7" x14ac:dyDescent="0.2">
      <c r="D160" s="17">
        <v>44425</v>
      </c>
      <c r="E160" s="1">
        <v>7.0221</v>
      </c>
      <c r="F160" s="1">
        <v>7.3</v>
      </c>
      <c r="G160" s="1">
        <v>7.8994999999999997</v>
      </c>
    </row>
    <row r="161" spans="4:7" x14ac:dyDescent="0.2">
      <c r="D161" s="17">
        <v>44426</v>
      </c>
      <c r="E161" s="1">
        <v>7.0221</v>
      </c>
      <c r="F161" s="1">
        <v>7.3</v>
      </c>
      <c r="G161" s="1">
        <v>7.8994999999999997</v>
      </c>
    </row>
    <row r="162" spans="4:7" x14ac:dyDescent="0.2">
      <c r="D162" s="17">
        <v>44427</v>
      </c>
      <c r="E162" s="1">
        <v>7.0221</v>
      </c>
      <c r="F162" s="1">
        <v>7.3</v>
      </c>
      <c r="G162" s="1">
        <v>7.8994999999999997</v>
      </c>
    </row>
    <row r="163" spans="4:7" x14ac:dyDescent="0.2">
      <c r="D163" s="17">
        <v>44428</v>
      </c>
      <c r="E163" s="1">
        <v>7.0221</v>
      </c>
      <c r="F163" s="1">
        <v>7.3</v>
      </c>
      <c r="G163" s="1">
        <v>7.8350999999999997</v>
      </c>
    </row>
    <row r="164" spans="4:7" x14ac:dyDescent="0.2">
      <c r="D164" s="17">
        <v>44431</v>
      </c>
      <c r="E164" s="1">
        <v>7.0221</v>
      </c>
      <c r="F164" s="1">
        <v>7.3</v>
      </c>
      <c r="G164" s="1">
        <v>7.8350999999999997</v>
      </c>
    </row>
    <row r="165" spans="4:7" x14ac:dyDescent="0.2">
      <c r="D165" s="17">
        <v>44432</v>
      </c>
      <c r="E165" s="1">
        <v>7.0221</v>
      </c>
      <c r="F165" s="1">
        <v>7.3</v>
      </c>
      <c r="G165" s="1">
        <v>7.8350999999999997</v>
      </c>
    </row>
    <row r="166" spans="4:7" x14ac:dyDescent="0.2">
      <c r="D166" s="17">
        <v>44433</v>
      </c>
      <c r="E166" s="1">
        <v>7.0221</v>
      </c>
      <c r="F166" s="1">
        <v>7.3</v>
      </c>
      <c r="G166" s="1">
        <v>7.8350999999999997</v>
      </c>
    </row>
    <row r="167" spans="4:7" x14ac:dyDescent="0.2">
      <c r="D167" s="17">
        <v>44434</v>
      </c>
      <c r="E167" s="1">
        <v>7.0221</v>
      </c>
      <c r="F167" s="1">
        <v>7.3</v>
      </c>
      <c r="G167" s="1">
        <v>7.8350999999999997</v>
      </c>
    </row>
    <row r="168" spans="4:7" x14ac:dyDescent="0.2">
      <c r="D168" s="17">
        <v>44435</v>
      </c>
      <c r="E168" s="1">
        <v>7.0221</v>
      </c>
      <c r="F168" s="1">
        <v>7.3</v>
      </c>
      <c r="G168" s="1">
        <v>8.1463000000000001</v>
      </c>
    </row>
    <row r="169" spans="4:7" x14ac:dyDescent="0.2">
      <c r="D169" s="17">
        <v>44438</v>
      </c>
      <c r="E169" s="1">
        <v>7.1721000000000004</v>
      </c>
      <c r="F169" s="1">
        <v>7.7384000000000004</v>
      </c>
      <c r="G169" s="1">
        <v>8.1463000000000001</v>
      </c>
    </row>
    <row r="170" spans="4:7" x14ac:dyDescent="0.2">
      <c r="D170" s="17">
        <v>44447</v>
      </c>
      <c r="E170" s="1">
        <v>8.0595999999999997</v>
      </c>
      <c r="F170" s="1">
        <v>8.1887000000000008</v>
      </c>
      <c r="G170" s="1">
        <v>8.3190000000000008</v>
      </c>
    </row>
    <row r="171" spans="4:7" x14ac:dyDescent="0.2">
      <c r="D171" s="17">
        <v>44439</v>
      </c>
      <c r="E171" s="1">
        <v>7.1721000000000004</v>
      </c>
      <c r="F171" s="1">
        <v>7.7384000000000004</v>
      </c>
      <c r="G171" s="1">
        <v>8.1463000000000001</v>
      </c>
    </row>
    <row r="172" spans="4:7" x14ac:dyDescent="0.2">
      <c r="D172" s="17">
        <v>44440</v>
      </c>
      <c r="E172" s="1">
        <v>7.1721000000000004</v>
      </c>
      <c r="F172" s="1">
        <v>7.7384000000000004</v>
      </c>
      <c r="G172" s="1">
        <v>8.1463000000000001</v>
      </c>
    </row>
    <row r="173" spans="4:7" x14ac:dyDescent="0.2">
      <c r="D173" s="17">
        <v>44441</v>
      </c>
      <c r="E173" s="1">
        <v>7.7384000000000004</v>
      </c>
      <c r="F173" s="1">
        <v>8.1564999999999994</v>
      </c>
      <c r="G173" s="1">
        <v>8.3190000000000008</v>
      </c>
    </row>
    <row r="174" spans="4:7" x14ac:dyDescent="0.2">
      <c r="D174" s="17">
        <v>44442</v>
      </c>
      <c r="E174" s="1">
        <v>8.0595999999999997</v>
      </c>
      <c r="F174" s="1">
        <v>8.1887000000000008</v>
      </c>
      <c r="G174" s="1">
        <v>8.3190000000000008</v>
      </c>
    </row>
    <row r="175" spans="4:7" x14ac:dyDescent="0.2">
      <c r="D175" s="17">
        <v>44445</v>
      </c>
      <c r="E175" s="1">
        <v>8.0595999999999997</v>
      </c>
      <c r="F175" s="1">
        <v>8.1887000000000008</v>
      </c>
      <c r="G175" s="1">
        <v>8.3190000000000008</v>
      </c>
    </row>
    <row r="176" spans="4:7" x14ac:dyDescent="0.2">
      <c r="D176" s="17">
        <v>44448</v>
      </c>
      <c r="E176" s="1">
        <v>8.1245999999999992</v>
      </c>
      <c r="F176" s="1">
        <v>8.3712</v>
      </c>
      <c r="G176" s="1">
        <v>8.577</v>
      </c>
    </row>
    <row r="177" spans="4:7" x14ac:dyDescent="0.2">
      <c r="D177" s="17">
        <v>44449</v>
      </c>
      <c r="E177" s="1">
        <v>8.1245999999999992</v>
      </c>
      <c r="F177" s="1">
        <v>8.3712</v>
      </c>
      <c r="G177" s="1">
        <v>8.577</v>
      </c>
    </row>
    <row r="178" spans="4:7" x14ac:dyDescent="0.2">
      <c r="D178" s="17">
        <v>44452</v>
      </c>
      <c r="E178" s="1">
        <v>8.3385999999999996</v>
      </c>
      <c r="F178" s="1">
        <v>8.4463000000000008</v>
      </c>
      <c r="G178" s="1">
        <v>8.6834000000000007</v>
      </c>
    </row>
    <row r="179" spans="4:7" x14ac:dyDescent="0.2">
      <c r="D179" s="17">
        <v>44453</v>
      </c>
      <c r="E179" s="1">
        <v>8.3385999999999996</v>
      </c>
      <c r="F179" s="1">
        <v>8.4463000000000008</v>
      </c>
      <c r="G179" s="1">
        <v>8.6834000000000007</v>
      </c>
    </row>
    <row r="180" spans="4:7" x14ac:dyDescent="0.2">
      <c r="D180" s="17">
        <v>44454</v>
      </c>
      <c r="E180" s="1">
        <v>8.3385999999999996</v>
      </c>
      <c r="F180" s="1">
        <v>8.6402000000000001</v>
      </c>
      <c r="G180" s="1">
        <v>8.6834000000000007</v>
      </c>
    </row>
    <row r="181" spans="4:7" x14ac:dyDescent="0.2">
      <c r="D181" s="17">
        <v>44455</v>
      </c>
      <c r="E181" s="1">
        <v>8.3385999999999996</v>
      </c>
      <c r="F181" s="1">
        <v>8.6402000000000001</v>
      </c>
      <c r="G181" s="1">
        <v>9.2025000000000006</v>
      </c>
    </row>
    <row r="182" spans="4:7" x14ac:dyDescent="0.2">
      <c r="D182" s="17">
        <v>44456</v>
      </c>
      <c r="E182" s="1">
        <v>8.5211000000000006</v>
      </c>
      <c r="F182" s="1">
        <v>8.5968</v>
      </c>
      <c r="G182" s="1">
        <v>9.1918000000000006</v>
      </c>
    </row>
    <row r="183" spans="4:7" x14ac:dyDescent="0.2">
      <c r="D183" s="17">
        <v>44459</v>
      </c>
      <c r="E183" s="1">
        <v>8.5211000000000006</v>
      </c>
      <c r="F183" s="1">
        <v>8.6077999999999992</v>
      </c>
      <c r="G183" s="1">
        <v>9.1918000000000006</v>
      </c>
    </row>
    <row r="184" spans="4:7" x14ac:dyDescent="0.2">
      <c r="D184" s="17">
        <v>44460</v>
      </c>
      <c r="E184" s="1">
        <v>8.5211000000000006</v>
      </c>
      <c r="F184" s="1">
        <v>8.6077999999999992</v>
      </c>
      <c r="G184" s="1">
        <v>9.1918000000000006</v>
      </c>
    </row>
    <row r="185" spans="4:7" x14ac:dyDescent="0.2">
      <c r="D185" s="17">
        <v>44461</v>
      </c>
      <c r="E185" s="1">
        <v>8.5211000000000006</v>
      </c>
      <c r="F185" s="1">
        <v>8.6077999999999992</v>
      </c>
      <c r="G185" s="1">
        <v>9.1918000000000006</v>
      </c>
    </row>
    <row r="186" spans="4:7" x14ac:dyDescent="0.2">
      <c r="D186" s="17">
        <v>44462</v>
      </c>
      <c r="E186" s="1">
        <v>8.5211000000000006</v>
      </c>
      <c r="F186" s="1">
        <v>8.6077999999999992</v>
      </c>
      <c r="G186" s="1">
        <v>9.1918000000000006</v>
      </c>
    </row>
    <row r="187" spans="4:7" x14ac:dyDescent="0.2">
      <c r="D187" s="17">
        <v>44463</v>
      </c>
      <c r="E187" s="1">
        <v>8.5211000000000006</v>
      </c>
      <c r="F187" s="1">
        <v>8.8338999999999999</v>
      </c>
      <c r="G187" s="1">
        <v>9.1918000000000006</v>
      </c>
    </row>
    <row r="188" spans="4:7" x14ac:dyDescent="0.2">
      <c r="D188" s="17">
        <v>44466</v>
      </c>
      <c r="E188" s="1">
        <v>8.5211000000000006</v>
      </c>
      <c r="F188" s="1">
        <v>8.8338999999999999</v>
      </c>
      <c r="G188" s="1">
        <v>9.1918000000000006</v>
      </c>
    </row>
    <row r="189" spans="4:7" x14ac:dyDescent="0.2">
      <c r="D189" s="17">
        <v>44467</v>
      </c>
      <c r="E189" s="1">
        <v>8.5211000000000006</v>
      </c>
      <c r="F189" s="1">
        <v>8.8338999999999999</v>
      </c>
      <c r="G189" s="1">
        <v>9.1918000000000006</v>
      </c>
    </row>
    <row r="190" spans="4:7" x14ac:dyDescent="0.2">
      <c r="D190" s="17">
        <v>44468</v>
      </c>
      <c r="E190" s="1">
        <v>8.5211000000000006</v>
      </c>
      <c r="F190" s="1">
        <v>8.8338999999999999</v>
      </c>
      <c r="G190" s="1">
        <v>9.1918000000000006</v>
      </c>
    </row>
    <row r="191" spans="4:7" x14ac:dyDescent="0.2">
      <c r="D191" s="17">
        <v>44469</v>
      </c>
      <c r="E191" s="1">
        <v>8.5211000000000006</v>
      </c>
      <c r="F191" s="1">
        <v>8.8338999999999999</v>
      </c>
      <c r="G191" s="1">
        <v>9.1918000000000006</v>
      </c>
    </row>
    <row r="192" spans="4:7" x14ac:dyDescent="0.2">
      <c r="D192" s="17">
        <v>44470</v>
      </c>
      <c r="E192" s="1">
        <v>8.5211000000000006</v>
      </c>
      <c r="F192" s="1">
        <v>8.9095999999999993</v>
      </c>
      <c r="G192" s="1">
        <v>9.3756000000000004</v>
      </c>
    </row>
    <row r="193" spans="4:7" x14ac:dyDescent="0.2">
      <c r="D193" s="17">
        <v>44473</v>
      </c>
      <c r="E193" s="1">
        <v>8.5211000000000006</v>
      </c>
      <c r="F193" s="1">
        <v>8.9095999999999993</v>
      </c>
      <c r="G193" s="1">
        <v>9.3756000000000004</v>
      </c>
    </row>
    <row r="194" spans="4:7" x14ac:dyDescent="0.2">
      <c r="D194" s="17">
        <v>44474</v>
      </c>
      <c r="E194" s="1">
        <v>8.5211000000000006</v>
      </c>
      <c r="F194" s="1">
        <v>8.9095999999999993</v>
      </c>
      <c r="G194" s="1">
        <v>9.3756000000000004</v>
      </c>
    </row>
    <row r="195" spans="4:7" x14ac:dyDescent="0.2">
      <c r="D195" s="17">
        <v>44475</v>
      </c>
      <c r="E195" s="1">
        <v>8.5211000000000006</v>
      </c>
      <c r="F195" s="1">
        <v>8.9095999999999993</v>
      </c>
      <c r="G195" s="1">
        <v>9.3756000000000004</v>
      </c>
    </row>
    <row r="196" spans="4:7" x14ac:dyDescent="0.2">
      <c r="D196" s="17">
        <v>44476</v>
      </c>
      <c r="E196" s="1">
        <v>8.5211000000000006</v>
      </c>
      <c r="F196" s="1">
        <v>8.9095999999999993</v>
      </c>
      <c r="G196" s="1">
        <v>9.3756000000000004</v>
      </c>
    </row>
    <row r="197" spans="4:7" x14ac:dyDescent="0.2">
      <c r="D197" s="17">
        <v>44477</v>
      </c>
      <c r="E197" s="1">
        <v>8.7805</v>
      </c>
      <c r="F197" s="1">
        <v>8.8343000000000007</v>
      </c>
      <c r="G197" s="1">
        <v>8.9212000000000007</v>
      </c>
    </row>
    <row r="198" spans="4:7" x14ac:dyDescent="0.2">
      <c r="D198" s="17">
        <v>44480</v>
      </c>
      <c r="E198" s="1">
        <v>8.7805</v>
      </c>
      <c r="F198" s="1">
        <v>8.8343000000000007</v>
      </c>
      <c r="G198" s="1">
        <v>8.9212000000000007</v>
      </c>
    </row>
    <row r="199" spans="4:7" x14ac:dyDescent="0.2">
      <c r="D199" s="17">
        <v>44482</v>
      </c>
      <c r="E199" s="1">
        <v>8.7805</v>
      </c>
      <c r="F199" s="1">
        <v>8.8451000000000004</v>
      </c>
      <c r="G199" s="1">
        <v>9.3976000000000006</v>
      </c>
    </row>
    <row r="200" spans="4:7" x14ac:dyDescent="0.2">
      <c r="D200" s="17">
        <v>44483</v>
      </c>
      <c r="E200" s="1">
        <v>8.7805</v>
      </c>
      <c r="F200" s="1">
        <v>8.8451000000000004</v>
      </c>
      <c r="G200" s="1">
        <v>9.3976000000000006</v>
      </c>
    </row>
    <row r="201" spans="4:7" x14ac:dyDescent="0.2">
      <c r="D201" s="17">
        <v>44484</v>
      </c>
      <c r="E201" s="1">
        <v>8.7802000000000007</v>
      </c>
      <c r="F201" s="1">
        <v>8.8451000000000004</v>
      </c>
      <c r="G201" s="1">
        <v>9.4519000000000002</v>
      </c>
    </row>
    <row r="202" spans="4:7" x14ac:dyDescent="0.2">
      <c r="D202" s="17">
        <v>44487</v>
      </c>
      <c r="E202" s="1">
        <v>8.7802000000000007</v>
      </c>
      <c r="F202" s="1">
        <v>8.8397000000000006</v>
      </c>
      <c r="G202" s="1">
        <v>9.4519000000000002</v>
      </c>
    </row>
    <row r="203" spans="4:7" x14ac:dyDescent="0.2">
      <c r="D203" s="17">
        <v>44488</v>
      </c>
      <c r="E203" s="1">
        <v>8.7802000000000007</v>
      </c>
      <c r="F203" s="1">
        <v>8.8397000000000006</v>
      </c>
      <c r="G203" s="1">
        <v>9.4519000000000002</v>
      </c>
    </row>
    <row r="204" spans="4:7" x14ac:dyDescent="0.2">
      <c r="D204" s="17">
        <v>44489</v>
      </c>
      <c r="E204" s="1">
        <v>8.7802000000000007</v>
      </c>
      <c r="F204" s="1">
        <v>8.8397000000000006</v>
      </c>
      <c r="G204" s="1">
        <v>9.4626999999999999</v>
      </c>
    </row>
    <row r="205" spans="4:7" x14ac:dyDescent="0.2">
      <c r="D205" s="17">
        <v>44490</v>
      </c>
      <c r="E205" s="1">
        <v>8.7802000000000007</v>
      </c>
      <c r="F205" s="1">
        <v>8.8397000000000006</v>
      </c>
      <c r="G205" s="1">
        <v>9.4626999999999999</v>
      </c>
    </row>
    <row r="206" spans="4:7" x14ac:dyDescent="0.2">
      <c r="D206" s="17">
        <v>44491</v>
      </c>
      <c r="E206" s="1">
        <v>9.0075000000000003</v>
      </c>
      <c r="F206" s="1">
        <v>9.4519000000000002</v>
      </c>
      <c r="G206" s="1">
        <v>9.6588999999999992</v>
      </c>
    </row>
    <row r="207" spans="4:7" x14ac:dyDescent="0.2">
      <c r="D207" s="17">
        <v>44494</v>
      </c>
      <c r="E207" s="1">
        <v>9.0075000000000003</v>
      </c>
      <c r="F207" s="1">
        <v>9.4519000000000002</v>
      </c>
      <c r="G207" s="1">
        <v>9.6588999999999992</v>
      </c>
    </row>
    <row r="208" spans="4:7" x14ac:dyDescent="0.2">
      <c r="D208" s="17">
        <v>44495</v>
      </c>
      <c r="E208" s="1">
        <v>9.3221000000000007</v>
      </c>
      <c r="F208" s="1">
        <v>9.5066000000000006</v>
      </c>
      <c r="G208" s="1">
        <v>9.6588999999999992</v>
      </c>
    </row>
    <row r="209" spans="4:7" x14ac:dyDescent="0.2">
      <c r="D209" s="17">
        <v>44496</v>
      </c>
      <c r="E209" s="1">
        <v>9.3221000000000007</v>
      </c>
      <c r="F209" s="1">
        <v>9.5066000000000006</v>
      </c>
      <c r="G209" s="1">
        <v>9.6588999999999992</v>
      </c>
    </row>
    <row r="210" spans="4:7" x14ac:dyDescent="0.2">
      <c r="D210" s="17">
        <v>44497</v>
      </c>
      <c r="E210" s="1">
        <v>9.3221000000000007</v>
      </c>
      <c r="F210" s="1">
        <v>9.5066000000000006</v>
      </c>
      <c r="G210" s="1">
        <v>9.6588999999999992</v>
      </c>
    </row>
    <row r="211" spans="4:7" x14ac:dyDescent="0.2">
      <c r="D211" s="17">
        <v>44498</v>
      </c>
      <c r="E211" s="1">
        <v>9.4519000000000002</v>
      </c>
      <c r="F211" s="1">
        <v>9.6478000000000002</v>
      </c>
      <c r="G211" s="1">
        <v>9.8652999999999995</v>
      </c>
    </row>
    <row r="212" spans="4:7" x14ac:dyDescent="0.2">
      <c r="D212" s="17">
        <v>44501</v>
      </c>
      <c r="E212" s="1">
        <v>9.4519000000000002</v>
      </c>
      <c r="F212" s="1">
        <v>9.6478000000000002</v>
      </c>
      <c r="G212" s="1">
        <v>9.8652999999999995</v>
      </c>
    </row>
    <row r="213" spans="4:7" x14ac:dyDescent="0.2">
      <c r="D213" s="17">
        <v>44503</v>
      </c>
      <c r="E213" s="1">
        <v>9.4519000000000002</v>
      </c>
      <c r="F213" s="1">
        <v>9.6478000000000002</v>
      </c>
      <c r="G213" s="1">
        <v>9.8652999999999995</v>
      </c>
    </row>
    <row r="214" spans="4:7" x14ac:dyDescent="0.2">
      <c r="D214" s="17">
        <v>44504</v>
      </c>
      <c r="E214" s="1">
        <v>9.4519000000000002</v>
      </c>
      <c r="F214" s="1">
        <v>9.6478000000000002</v>
      </c>
      <c r="G214" s="1">
        <v>9.8652999999999995</v>
      </c>
    </row>
    <row r="215" spans="4:7" x14ac:dyDescent="0.2">
      <c r="D215" s="17">
        <v>44505</v>
      </c>
      <c r="E215" s="1">
        <v>9.4519000000000002</v>
      </c>
      <c r="F215" s="1">
        <v>9.6478000000000002</v>
      </c>
      <c r="G215" s="1">
        <v>9.8652999999999995</v>
      </c>
    </row>
    <row r="216" spans="4:7" x14ac:dyDescent="0.2">
      <c r="D216" s="17">
        <v>44508</v>
      </c>
      <c r="E216" s="1">
        <v>9.6476000000000006</v>
      </c>
      <c r="F216" s="1">
        <v>9.6588999999999992</v>
      </c>
      <c r="G216" s="1">
        <v>10.1271</v>
      </c>
    </row>
    <row r="217" spans="4:7" x14ac:dyDescent="0.2">
      <c r="D217" s="17">
        <v>44509</v>
      </c>
      <c r="E217" s="1">
        <v>9.6476000000000006</v>
      </c>
      <c r="F217" s="1">
        <v>9.6588999999999992</v>
      </c>
      <c r="G217" s="1">
        <v>10.1271</v>
      </c>
    </row>
    <row r="218" spans="4:7" x14ac:dyDescent="0.2">
      <c r="D218" s="17">
        <v>44510</v>
      </c>
      <c r="E218" s="1">
        <v>9.9192</v>
      </c>
      <c r="F218" s="1">
        <v>10.148099999999999</v>
      </c>
      <c r="G218" s="1">
        <v>10.410600000000001</v>
      </c>
    </row>
    <row r="219" spans="4:7" x14ac:dyDescent="0.2">
      <c r="D219" s="17">
        <v>44511</v>
      </c>
      <c r="E219" s="1">
        <v>9.9192</v>
      </c>
      <c r="F219" s="1">
        <v>10.148099999999999</v>
      </c>
      <c r="G219" s="1">
        <v>10.410600000000001</v>
      </c>
    </row>
    <row r="220" spans="4:7" x14ac:dyDescent="0.2">
      <c r="D220" s="17">
        <v>44512</v>
      </c>
      <c r="E220" s="1">
        <v>9.9192</v>
      </c>
      <c r="F220" s="1">
        <v>10.148099999999999</v>
      </c>
      <c r="G220" s="1">
        <v>10.410600000000001</v>
      </c>
    </row>
    <row r="221" spans="4:7" x14ac:dyDescent="0.2">
      <c r="D221" s="17">
        <v>44516</v>
      </c>
      <c r="E221" s="1">
        <v>9.9192</v>
      </c>
      <c r="F221" s="1">
        <v>10.2681</v>
      </c>
      <c r="G221" s="1">
        <v>10.465199999999999</v>
      </c>
    </row>
    <row r="222" spans="4:7" x14ac:dyDescent="0.2">
      <c r="D222" s="17">
        <v>44517</v>
      </c>
      <c r="E222" s="1">
        <v>9.9192</v>
      </c>
      <c r="F222" s="1">
        <v>10.2681</v>
      </c>
      <c r="G222" s="1">
        <v>10.465199999999999</v>
      </c>
    </row>
    <row r="223" spans="4:7" x14ac:dyDescent="0.2">
      <c r="D223" s="17">
        <v>44518</v>
      </c>
      <c r="E223" s="1">
        <v>9.9192</v>
      </c>
      <c r="F223" s="1">
        <v>10.2681</v>
      </c>
      <c r="G223" s="1">
        <v>10.465199999999999</v>
      </c>
    </row>
    <row r="224" spans="4:7" x14ac:dyDescent="0.2">
      <c r="D224" s="17">
        <v>44519</v>
      </c>
      <c r="E224" s="1">
        <v>10.060499999999999</v>
      </c>
      <c r="F224" s="1">
        <v>10.388400000000001</v>
      </c>
      <c r="G224" s="1">
        <v>10.5527</v>
      </c>
    </row>
    <row r="225" spans="4:7" x14ac:dyDescent="0.2">
      <c r="D225" s="17">
        <v>44522</v>
      </c>
      <c r="E225" s="1">
        <v>10.060499999999999</v>
      </c>
      <c r="F225" s="1">
        <v>10.388400000000001</v>
      </c>
      <c r="G225" s="1">
        <v>10.5527</v>
      </c>
    </row>
    <row r="226" spans="4:7" x14ac:dyDescent="0.2">
      <c r="D226" s="17">
        <v>44523</v>
      </c>
      <c r="E226" s="1">
        <v>10.060499999999999</v>
      </c>
      <c r="F226" s="1">
        <v>10.388400000000001</v>
      </c>
      <c r="G226" s="1">
        <v>10.5527</v>
      </c>
    </row>
    <row r="227" spans="4:7" x14ac:dyDescent="0.2">
      <c r="D227" s="17">
        <v>44524</v>
      </c>
      <c r="E227" s="1">
        <v>10.060499999999999</v>
      </c>
      <c r="F227" s="1">
        <v>10.388400000000001</v>
      </c>
      <c r="G227" s="1">
        <v>10.5527</v>
      </c>
    </row>
    <row r="228" spans="4:7" x14ac:dyDescent="0.2">
      <c r="D228" s="17">
        <v>44525</v>
      </c>
      <c r="E228" s="1">
        <v>10.060499999999999</v>
      </c>
      <c r="F228" s="1">
        <v>10.388400000000001</v>
      </c>
      <c r="G228" s="1">
        <v>10.5527</v>
      </c>
    </row>
    <row r="229" spans="4:7" x14ac:dyDescent="0.2">
      <c r="D229" s="17">
        <v>44526</v>
      </c>
      <c r="E229" s="1">
        <v>10.0822</v>
      </c>
      <c r="F229" s="1">
        <v>10.388400000000001</v>
      </c>
      <c r="G229" s="1">
        <v>10.5527</v>
      </c>
    </row>
    <row r="230" spans="4:7" x14ac:dyDescent="0.2">
      <c r="D230" s="17">
        <v>44529</v>
      </c>
      <c r="E230" s="1">
        <v>10.0822</v>
      </c>
      <c r="F230" s="1">
        <v>10.388400000000001</v>
      </c>
      <c r="G230" s="1">
        <v>10.5527</v>
      </c>
    </row>
    <row r="231" spans="4:7" x14ac:dyDescent="0.2">
      <c r="D231" s="17">
        <v>44530</v>
      </c>
      <c r="E231" s="1">
        <v>10.0822</v>
      </c>
      <c r="F231" s="1">
        <v>10.388400000000001</v>
      </c>
      <c r="G231" s="1">
        <v>10.5527</v>
      </c>
    </row>
    <row r="232" spans="4:7" x14ac:dyDescent="0.2">
      <c r="D232" s="17">
        <v>44531</v>
      </c>
      <c r="E232" s="1">
        <v>10.0822</v>
      </c>
      <c r="F232" s="1">
        <v>10.388400000000001</v>
      </c>
      <c r="G232" s="1">
        <v>10.5527</v>
      </c>
    </row>
    <row r="233" spans="4:7" x14ac:dyDescent="0.2">
      <c r="D233" s="17"/>
    </row>
    <row r="234" spans="4:7" x14ac:dyDescent="0.2">
      <c r="D234" s="17"/>
    </row>
    <row r="235" spans="4:7" x14ac:dyDescent="0.2">
      <c r="D235" s="17"/>
    </row>
    <row r="236" spans="4:7" x14ac:dyDescent="0.2">
      <c r="D236" s="17"/>
    </row>
    <row r="237" spans="4:7" x14ac:dyDescent="0.2">
      <c r="D237" s="17"/>
    </row>
    <row r="238" spans="4:7" x14ac:dyDescent="0.2">
      <c r="D238" s="17"/>
    </row>
    <row r="239" spans="4:7" x14ac:dyDescent="0.2">
      <c r="D239" s="17"/>
    </row>
    <row r="240" spans="4:7" x14ac:dyDescent="0.2">
      <c r="D240" s="17"/>
    </row>
    <row r="241" spans="4:4" x14ac:dyDescent="0.2">
      <c r="D241" s="17"/>
    </row>
    <row r="242" spans="4:4" x14ac:dyDescent="0.2">
      <c r="D242" s="17"/>
    </row>
    <row r="243" spans="4:4" x14ac:dyDescent="0.2">
      <c r="D243" s="17"/>
    </row>
    <row r="244" spans="4:4" x14ac:dyDescent="0.2">
      <c r="D244" s="17"/>
    </row>
    <row r="245" spans="4:4" x14ac:dyDescent="0.2">
      <c r="D245" s="17"/>
    </row>
    <row r="246" spans="4:4" x14ac:dyDescent="0.2">
      <c r="D246" s="17"/>
    </row>
    <row r="247" spans="4:4" x14ac:dyDescent="0.2">
      <c r="D247" s="17"/>
    </row>
    <row r="248" spans="4:4" x14ac:dyDescent="0.2">
      <c r="D248" s="17"/>
    </row>
    <row r="249" spans="4:4" x14ac:dyDescent="0.2">
      <c r="D249" s="17"/>
    </row>
    <row r="250" spans="4:4" x14ac:dyDescent="0.2">
      <c r="D250" s="17"/>
    </row>
    <row r="251" spans="4:4" x14ac:dyDescent="0.2">
      <c r="D251" s="17"/>
    </row>
    <row r="252" spans="4:4" x14ac:dyDescent="0.2">
      <c r="D252" s="17"/>
    </row>
    <row r="253" spans="4:4" x14ac:dyDescent="0.2">
      <c r="D253" s="17"/>
    </row>
    <row r="254" spans="4:4" x14ac:dyDescent="0.2">
      <c r="D254" s="17"/>
    </row>
    <row r="255" spans="4:4" x14ac:dyDescent="0.2">
      <c r="D255" s="17"/>
    </row>
    <row r="256" spans="4:4" x14ac:dyDescent="0.2">
      <c r="D256" s="17"/>
    </row>
    <row r="257" spans="4:4" x14ac:dyDescent="0.2">
      <c r="D257" s="17"/>
    </row>
    <row r="258" spans="4:4" x14ac:dyDescent="0.2">
      <c r="D258" s="17"/>
    </row>
    <row r="259" spans="4:4" x14ac:dyDescent="0.2">
      <c r="D259" s="17"/>
    </row>
    <row r="260" spans="4:4" x14ac:dyDescent="0.2">
      <c r="D260" s="17"/>
    </row>
    <row r="261" spans="4:4" x14ac:dyDescent="0.2">
      <c r="D261" s="17"/>
    </row>
    <row r="262" spans="4:4" x14ac:dyDescent="0.2">
      <c r="D262" s="17"/>
    </row>
    <row r="263" spans="4:4" x14ac:dyDescent="0.2">
      <c r="D263" s="17"/>
    </row>
    <row r="264" spans="4:4" x14ac:dyDescent="0.2">
      <c r="D264" s="17"/>
    </row>
    <row r="265" spans="4:4" x14ac:dyDescent="0.2">
      <c r="D265" s="17"/>
    </row>
    <row r="266" spans="4:4" x14ac:dyDescent="0.2">
      <c r="D266" s="17"/>
    </row>
    <row r="267" spans="4:4" x14ac:dyDescent="0.2">
      <c r="D267" s="17"/>
    </row>
    <row r="268" spans="4:4" x14ac:dyDescent="0.2">
      <c r="D268" s="17"/>
    </row>
    <row r="269" spans="4:4" x14ac:dyDescent="0.2">
      <c r="D269" s="17"/>
    </row>
    <row r="270" spans="4:4" x14ac:dyDescent="0.2">
      <c r="D270" s="17"/>
    </row>
    <row r="271" spans="4:4" x14ac:dyDescent="0.2">
      <c r="D271" s="17"/>
    </row>
    <row r="272" spans="4:4" x14ac:dyDescent="0.2">
      <c r="D272" s="17"/>
    </row>
    <row r="273" spans="4:4" x14ac:dyDescent="0.2">
      <c r="D273" s="17"/>
    </row>
    <row r="274" spans="4:4" x14ac:dyDescent="0.2">
      <c r="D274" s="17"/>
    </row>
    <row r="275" spans="4:4" x14ac:dyDescent="0.2">
      <c r="D275" s="17"/>
    </row>
    <row r="276" spans="4:4" x14ac:dyDescent="0.2">
      <c r="D276" s="17"/>
    </row>
    <row r="277" spans="4:4" x14ac:dyDescent="0.2">
      <c r="D277" s="17"/>
    </row>
    <row r="278" spans="4:4" x14ac:dyDescent="0.2">
      <c r="D278" s="17"/>
    </row>
    <row r="279" spans="4:4" x14ac:dyDescent="0.2">
      <c r="D279" s="17"/>
    </row>
    <row r="280" spans="4:4" x14ac:dyDescent="0.2">
      <c r="D280" s="17"/>
    </row>
    <row r="281" spans="4:4" x14ac:dyDescent="0.2">
      <c r="D281" s="17"/>
    </row>
    <row r="282" spans="4:4" x14ac:dyDescent="0.2">
      <c r="D282" s="17"/>
    </row>
    <row r="283" spans="4:4" x14ac:dyDescent="0.2">
      <c r="D283" s="17"/>
    </row>
    <row r="284" spans="4:4" x14ac:dyDescent="0.2">
      <c r="D284" s="17"/>
    </row>
    <row r="285" spans="4:4" x14ac:dyDescent="0.2">
      <c r="D285" s="17"/>
    </row>
    <row r="286" spans="4:4" x14ac:dyDescent="0.2">
      <c r="D286" s="17"/>
    </row>
    <row r="287" spans="4:4" x14ac:dyDescent="0.2">
      <c r="D287" s="17"/>
    </row>
    <row r="288" spans="4:4" x14ac:dyDescent="0.2">
      <c r="D288" s="17"/>
    </row>
    <row r="289" spans="4:4" x14ac:dyDescent="0.2">
      <c r="D289" s="17"/>
    </row>
    <row r="290" spans="4:4" x14ac:dyDescent="0.2">
      <c r="D290" s="17"/>
    </row>
    <row r="291" spans="4:4" x14ac:dyDescent="0.2">
      <c r="D291" s="17"/>
    </row>
    <row r="292" spans="4:4" x14ac:dyDescent="0.2">
      <c r="D292" s="17"/>
    </row>
    <row r="293" spans="4:4" x14ac:dyDescent="0.2">
      <c r="D293" s="17"/>
    </row>
    <row r="294" spans="4:4" x14ac:dyDescent="0.2">
      <c r="D294" s="17"/>
    </row>
    <row r="295" spans="4:4" x14ac:dyDescent="0.2">
      <c r="D295" s="17"/>
    </row>
    <row r="296" spans="4:4" x14ac:dyDescent="0.2">
      <c r="D296" s="17"/>
    </row>
    <row r="297" spans="4:4" x14ac:dyDescent="0.2">
      <c r="D297" s="17"/>
    </row>
    <row r="298" spans="4:4" x14ac:dyDescent="0.2">
      <c r="D298" s="17"/>
    </row>
    <row r="299" spans="4:4" x14ac:dyDescent="0.2">
      <c r="D299" s="17"/>
    </row>
    <row r="300" spans="4:4" x14ac:dyDescent="0.2">
      <c r="D300" s="17"/>
    </row>
    <row r="301" spans="4:4" x14ac:dyDescent="0.2">
      <c r="D301" s="17"/>
    </row>
    <row r="302" spans="4:4" x14ac:dyDescent="0.2">
      <c r="D302" s="17"/>
    </row>
    <row r="303" spans="4:4" x14ac:dyDescent="0.2">
      <c r="D303" s="17"/>
    </row>
    <row r="304" spans="4:4" x14ac:dyDescent="0.2">
      <c r="D304" s="17"/>
    </row>
    <row r="305" spans="4:4" x14ac:dyDescent="0.2">
      <c r="D305" s="17"/>
    </row>
    <row r="306" spans="4:4" x14ac:dyDescent="0.2">
      <c r="D306" s="17"/>
    </row>
    <row r="307" spans="4:4" x14ac:dyDescent="0.2">
      <c r="D307" s="17"/>
    </row>
    <row r="308" spans="4:4" x14ac:dyDescent="0.2">
      <c r="D308" s="17"/>
    </row>
    <row r="309" spans="4:4" x14ac:dyDescent="0.2">
      <c r="D309" s="17"/>
    </row>
    <row r="310" spans="4:4" x14ac:dyDescent="0.2">
      <c r="D310" s="17"/>
    </row>
    <row r="311" spans="4:4" x14ac:dyDescent="0.2">
      <c r="D311" s="17"/>
    </row>
    <row r="312" spans="4:4" x14ac:dyDescent="0.2">
      <c r="D312" s="17"/>
    </row>
    <row r="313" spans="4:4" x14ac:dyDescent="0.2">
      <c r="D313" s="17"/>
    </row>
    <row r="314" spans="4:4" x14ac:dyDescent="0.2">
      <c r="D314" s="17"/>
    </row>
    <row r="315" spans="4:4" x14ac:dyDescent="0.2">
      <c r="D315" s="17"/>
    </row>
    <row r="316" spans="4:4" x14ac:dyDescent="0.2">
      <c r="D316" s="17"/>
    </row>
    <row r="317" spans="4:4" x14ac:dyDescent="0.2">
      <c r="D317" s="17"/>
    </row>
    <row r="318" spans="4:4" x14ac:dyDescent="0.2">
      <c r="D318" s="17"/>
    </row>
    <row r="319" spans="4:4" x14ac:dyDescent="0.2">
      <c r="D319" s="17"/>
    </row>
    <row r="320" spans="4:4" x14ac:dyDescent="0.2">
      <c r="D320" s="17"/>
    </row>
    <row r="321" spans="4:4" x14ac:dyDescent="0.2">
      <c r="D321" s="17"/>
    </row>
    <row r="322" spans="4:4" x14ac:dyDescent="0.2">
      <c r="D322" s="17"/>
    </row>
    <row r="323" spans="4:4" x14ac:dyDescent="0.2">
      <c r="D323" s="17"/>
    </row>
    <row r="324" spans="4:4" x14ac:dyDescent="0.2">
      <c r="D324" s="17"/>
    </row>
    <row r="325" spans="4:4" x14ac:dyDescent="0.2">
      <c r="D325" s="17"/>
    </row>
    <row r="326" spans="4:4" x14ac:dyDescent="0.2">
      <c r="D326" s="17"/>
    </row>
    <row r="327" spans="4:4" x14ac:dyDescent="0.2">
      <c r="D327" s="17"/>
    </row>
    <row r="328" spans="4:4" x14ac:dyDescent="0.2">
      <c r="D328" s="17"/>
    </row>
    <row r="329" spans="4:4" x14ac:dyDescent="0.2">
      <c r="D329" s="17"/>
    </row>
    <row r="330" spans="4:4" x14ac:dyDescent="0.2">
      <c r="D330" s="17"/>
    </row>
    <row r="331" spans="4:4" x14ac:dyDescent="0.2">
      <c r="D331" s="17"/>
    </row>
    <row r="332" spans="4:4" x14ac:dyDescent="0.2">
      <c r="D332" s="17"/>
    </row>
    <row r="333" spans="4:4" x14ac:dyDescent="0.2">
      <c r="D333" s="17"/>
    </row>
    <row r="334" spans="4:4" x14ac:dyDescent="0.2">
      <c r="D334" s="17"/>
    </row>
    <row r="335" spans="4:4" x14ac:dyDescent="0.2">
      <c r="D335" s="17"/>
    </row>
    <row r="336" spans="4:4" x14ac:dyDescent="0.2">
      <c r="D336" s="17"/>
    </row>
    <row r="337" spans="4:4" x14ac:dyDescent="0.2">
      <c r="D337" s="17"/>
    </row>
    <row r="338" spans="4:4" x14ac:dyDescent="0.2">
      <c r="D338" s="17"/>
    </row>
    <row r="339" spans="4:4" x14ac:dyDescent="0.2">
      <c r="D339" s="17"/>
    </row>
    <row r="340" spans="4:4" x14ac:dyDescent="0.2">
      <c r="D340" s="17"/>
    </row>
    <row r="341" spans="4:4" x14ac:dyDescent="0.2">
      <c r="D341" s="17"/>
    </row>
    <row r="342" spans="4:4" x14ac:dyDescent="0.2">
      <c r="D342" s="17"/>
    </row>
    <row r="343" spans="4:4" x14ac:dyDescent="0.2">
      <c r="D343" s="17"/>
    </row>
    <row r="344" spans="4:4" x14ac:dyDescent="0.2">
      <c r="D344" s="17"/>
    </row>
    <row r="345" spans="4:4" x14ac:dyDescent="0.2">
      <c r="D345" s="17"/>
    </row>
    <row r="346" spans="4:4" x14ac:dyDescent="0.2">
      <c r="D346" s="17"/>
    </row>
    <row r="347" spans="4:4" x14ac:dyDescent="0.2">
      <c r="D347" s="17"/>
    </row>
    <row r="348" spans="4:4" x14ac:dyDescent="0.2">
      <c r="D348" s="17"/>
    </row>
    <row r="349" spans="4:4" x14ac:dyDescent="0.2">
      <c r="D349" s="17"/>
    </row>
    <row r="350" spans="4:4" x14ac:dyDescent="0.2">
      <c r="D350" s="17"/>
    </row>
    <row r="351" spans="4:4" x14ac:dyDescent="0.2">
      <c r="D351" s="17"/>
    </row>
    <row r="352" spans="4:4" x14ac:dyDescent="0.2">
      <c r="D352" s="17"/>
    </row>
    <row r="353" spans="4:4" x14ac:dyDescent="0.2">
      <c r="D353" s="17"/>
    </row>
    <row r="354" spans="4:4" x14ac:dyDescent="0.2">
      <c r="D354" s="17"/>
    </row>
    <row r="355" spans="4:4" x14ac:dyDescent="0.2">
      <c r="D355" s="17"/>
    </row>
    <row r="356" spans="4:4" x14ac:dyDescent="0.2">
      <c r="D356" s="17"/>
    </row>
    <row r="357" spans="4:4" x14ac:dyDescent="0.2">
      <c r="D357" s="17"/>
    </row>
    <row r="358" spans="4:4" x14ac:dyDescent="0.2">
      <c r="D358" s="17"/>
    </row>
    <row r="359" spans="4:4" x14ac:dyDescent="0.2">
      <c r="D359" s="17"/>
    </row>
    <row r="360" spans="4:4" x14ac:dyDescent="0.2">
      <c r="D360" s="17"/>
    </row>
    <row r="361" spans="4:4" x14ac:dyDescent="0.2">
      <c r="D361" s="17"/>
    </row>
    <row r="362" spans="4:4" x14ac:dyDescent="0.2">
      <c r="D362" s="17"/>
    </row>
    <row r="363" spans="4:4" x14ac:dyDescent="0.2">
      <c r="D363" s="17"/>
    </row>
    <row r="364" spans="4:4" x14ac:dyDescent="0.2">
      <c r="D364" s="17"/>
    </row>
    <row r="365" spans="4:4" x14ac:dyDescent="0.2">
      <c r="D365" s="17"/>
    </row>
    <row r="366" spans="4:4" x14ac:dyDescent="0.2">
      <c r="D366" s="17"/>
    </row>
    <row r="367" spans="4:4" x14ac:dyDescent="0.2">
      <c r="D367" s="17"/>
    </row>
    <row r="368" spans="4:4" x14ac:dyDescent="0.2">
      <c r="D368" s="17"/>
    </row>
    <row r="369" spans="4:4" x14ac:dyDescent="0.2">
      <c r="D369" s="17"/>
    </row>
    <row r="370" spans="4:4" x14ac:dyDescent="0.2">
      <c r="D370" s="17"/>
    </row>
    <row r="371" spans="4:4" x14ac:dyDescent="0.2">
      <c r="D371" s="17"/>
    </row>
    <row r="372" spans="4:4" x14ac:dyDescent="0.2">
      <c r="D372" s="17"/>
    </row>
    <row r="373" spans="4:4" x14ac:dyDescent="0.2">
      <c r="D373" s="17"/>
    </row>
    <row r="374" spans="4:4" x14ac:dyDescent="0.2">
      <c r="D374" s="17"/>
    </row>
    <row r="375" spans="4:4" x14ac:dyDescent="0.2">
      <c r="D375" s="17"/>
    </row>
    <row r="376" spans="4:4" x14ac:dyDescent="0.2">
      <c r="D376" s="17"/>
    </row>
    <row r="377" spans="4:4" x14ac:dyDescent="0.2">
      <c r="D377" s="17"/>
    </row>
    <row r="378" spans="4:4" x14ac:dyDescent="0.2">
      <c r="D378" s="17"/>
    </row>
    <row r="379" spans="4:4" x14ac:dyDescent="0.2">
      <c r="D379" s="17"/>
    </row>
    <row r="380" spans="4:4" x14ac:dyDescent="0.2">
      <c r="D380" s="17"/>
    </row>
    <row r="381" spans="4:4" x14ac:dyDescent="0.2">
      <c r="D381" s="17"/>
    </row>
    <row r="382" spans="4:4" x14ac:dyDescent="0.2">
      <c r="D382" s="17"/>
    </row>
    <row r="383" spans="4:4" x14ac:dyDescent="0.2">
      <c r="D383" s="17"/>
    </row>
    <row r="384" spans="4:4" x14ac:dyDescent="0.2">
      <c r="D384" s="17"/>
    </row>
    <row r="385" spans="4:4" x14ac:dyDescent="0.2">
      <c r="D385" s="17"/>
    </row>
    <row r="386" spans="4:4" x14ac:dyDescent="0.2">
      <c r="D386" s="17"/>
    </row>
    <row r="387" spans="4:4" x14ac:dyDescent="0.2">
      <c r="D387" s="17"/>
    </row>
    <row r="388" spans="4:4" x14ac:dyDescent="0.2">
      <c r="D388" s="17"/>
    </row>
    <row r="389" spans="4:4" x14ac:dyDescent="0.2">
      <c r="D389" s="17"/>
    </row>
    <row r="390" spans="4:4" x14ac:dyDescent="0.2">
      <c r="D390" s="17"/>
    </row>
    <row r="391" spans="4:4" x14ac:dyDescent="0.2">
      <c r="D391" s="17"/>
    </row>
    <row r="392" spans="4:4" x14ac:dyDescent="0.2">
      <c r="D392" s="17"/>
    </row>
    <row r="393" spans="4:4" x14ac:dyDescent="0.2">
      <c r="D393" s="17"/>
    </row>
    <row r="394" spans="4:4" x14ac:dyDescent="0.2">
      <c r="D394" s="17"/>
    </row>
    <row r="395" spans="4:4" x14ac:dyDescent="0.2">
      <c r="D395" s="17"/>
    </row>
    <row r="396" spans="4:4" x14ac:dyDescent="0.2">
      <c r="D396" s="17"/>
    </row>
    <row r="397" spans="4:4" x14ac:dyDescent="0.2">
      <c r="D397" s="17"/>
    </row>
    <row r="398" spans="4:4" x14ac:dyDescent="0.2">
      <c r="D398" s="17"/>
    </row>
    <row r="399" spans="4:4" x14ac:dyDescent="0.2">
      <c r="D399" s="17"/>
    </row>
    <row r="400" spans="4:4" x14ac:dyDescent="0.2">
      <c r="D400" s="17"/>
    </row>
    <row r="401" spans="4:4" x14ac:dyDescent="0.2">
      <c r="D401" s="17"/>
    </row>
    <row r="402" spans="4:4" x14ac:dyDescent="0.2">
      <c r="D402" s="17"/>
    </row>
    <row r="403" spans="4:4" x14ac:dyDescent="0.2">
      <c r="D403" s="17"/>
    </row>
    <row r="404" spans="4:4" x14ac:dyDescent="0.2">
      <c r="D404" s="17"/>
    </row>
    <row r="405" spans="4:4" x14ac:dyDescent="0.2">
      <c r="D405" s="17"/>
    </row>
    <row r="406" spans="4:4" x14ac:dyDescent="0.2">
      <c r="D406" s="17"/>
    </row>
    <row r="407" spans="4:4" x14ac:dyDescent="0.2">
      <c r="D407" s="17"/>
    </row>
    <row r="408" spans="4:4" x14ac:dyDescent="0.2">
      <c r="D408" s="17"/>
    </row>
    <row r="409" spans="4:4" x14ac:dyDescent="0.2">
      <c r="D409" s="17"/>
    </row>
    <row r="410" spans="4:4" x14ac:dyDescent="0.2">
      <c r="D410" s="17"/>
    </row>
    <row r="411" spans="4:4" x14ac:dyDescent="0.2">
      <c r="D411" s="17"/>
    </row>
    <row r="412" spans="4:4" x14ac:dyDescent="0.2">
      <c r="D412" s="17"/>
    </row>
    <row r="413" spans="4:4" x14ac:dyDescent="0.2">
      <c r="D413" s="17"/>
    </row>
    <row r="414" spans="4:4" x14ac:dyDescent="0.2">
      <c r="D414" s="17"/>
    </row>
    <row r="415" spans="4:4" x14ac:dyDescent="0.2">
      <c r="D415" s="17"/>
    </row>
    <row r="416" spans="4:4" x14ac:dyDescent="0.2">
      <c r="D416" s="17"/>
    </row>
    <row r="417" spans="4:4" x14ac:dyDescent="0.2">
      <c r="D417" s="17"/>
    </row>
    <row r="418" spans="4:4" x14ac:dyDescent="0.2">
      <c r="D418" s="17"/>
    </row>
    <row r="419" spans="4:4" x14ac:dyDescent="0.2">
      <c r="D419" s="17"/>
    </row>
    <row r="420" spans="4:4" x14ac:dyDescent="0.2">
      <c r="D420" s="17"/>
    </row>
    <row r="421" spans="4:4" x14ac:dyDescent="0.2">
      <c r="D421" s="17"/>
    </row>
    <row r="422" spans="4:4" x14ac:dyDescent="0.2">
      <c r="D422" s="17"/>
    </row>
    <row r="423" spans="4:4" x14ac:dyDescent="0.2">
      <c r="D423" s="17"/>
    </row>
    <row r="424" spans="4:4" x14ac:dyDescent="0.2">
      <c r="D424" s="17"/>
    </row>
    <row r="425" spans="4:4" x14ac:dyDescent="0.2">
      <c r="D425" s="17"/>
    </row>
    <row r="426" spans="4:4" x14ac:dyDescent="0.2">
      <c r="D426" s="17"/>
    </row>
    <row r="427" spans="4:4" x14ac:dyDescent="0.2">
      <c r="D427" s="17"/>
    </row>
    <row r="428" spans="4:4" x14ac:dyDescent="0.2">
      <c r="D428" s="17"/>
    </row>
    <row r="429" spans="4:4" x14ac:dyDescent="0.2">
      <c r="D429" s="17"/>
    </row>
    <row r="430" spans="4:4" x14ac:dyDescent="0.2">
      <c r="D430" s="17"/>
    </row>
    <row r="431" spans="4:4" x14ac:dyDescent="0.2">
      <c r="D431" s="17"/>
    </row>
    <row r="432" spans="4:4" x14ac:dyDescent="0.2">
      <c r="D432" s="17"/>
    </row>
    <row r="433" spans="4:4" x14ac:dyDescent="0.2">
      <c r="D433" s="17"/>
    </row>
    <row r="434" spans="4:4" x14ac:dyDescent="0.2">
      <c r="D434" s="17"/>
    </row>
    <row r="435" spans="4:4" x14ac:dyDescent="0.2">
      <c r="D435" s="17"/>
    </row>
    <row r="436" spans="4:4" x14ac:dyDescent="0.2">
      <c r="D436" s="17"/>
    </row>
    <row r="437" spans="4:4" x14ac:dyDescent="0.2">
      <c r="D437" s="17"/>
    </row>
    <row r="438" spans="4:4" x14ac:dyDescent="0.2">
      <c r="D438" s="17"/>
    </row>
    <row r="439" spans="4:4" x14ac:dyDescent="0.2">
      <c r="D439" s="17"/>
    </row>
    <row r="440" spans="4:4" x14ac:dyDescent="0.2">
      <c r="D440" s="17"/>
    </row>
    <row r="441" spans="4:4" x14ac:dyDescent="0.2">
      <c r="D441" s="17"/>
    </row>
    <row r="442" spans="4:4" x14ac:dyDescent="0.2">
      <c r="D442" s="17"/>
    </row>
    <row r="443" spans="4:4" x14ac:dyDescent="0.2">
      <c r="D443" s="17"/>
    </row>
    <row r="444" spans="4:4" x14ac:dyDescent="0.2">
      <c r="D444" s="17"/>
    </row>
    <row r="445" spans="4:4" x14ac:dyDescent="0.2">
      <c r="D445" s="17"/>
    </row>
    <row r="446" spans="4:4" x14ac:dyDescent="0.2">
      <c r="D446" s="17"/>
    </row>
    <row r="447" spans="4:4" x14ac:dyDescent="0.2">
      <c r="D447" s="17"/>
    </row>
    <row r="448" spans="4:4" x14ac:dyDescent="0.2">
      <c r="D448" s="17"/>
    </row>
    <row r="449" spans="4:4" x14ac:dyDescent="0.2">
      <c r="D449" s="17"/>
    </row>
    <row r="450" spans="4:4" x14ac:dyDescent="0.2">
      <c r="D450" s="17"/>
    </row>
    <row r="451" spans="4:4" x14ac:dyDescent="0.2">
      <c r="D451" s="17"/>
    </row>
    <row r="452" spans="4:4" x14ac:dyDescent="0.2">
      <c r="D452" s="17"/>
    </row>
    <row r="453" spans="4:4" x14ac:dyDescent="0.2">
      <c r="D453" s="17"/>
    </row>
    <row r="454" spans="4:4" x14ac:dyDescent="0.2">
      <c r="D454" s="17"/>
    </row>
    <row r="455" spans="4:4" x14ac:dyDescent="0.2">
      <c r="D455" s="17"/>
    </row>
    <row r="456" spans="4:4" x14ac:dyDescent="0.2">
      <c r="D456" s="17"/>
    </row>
    <row r="457" spans="4:4" x14ac:dyDescent="0.2">
      <c r="D457" s="17"/>
    </row>
    <row r="458" spans="4:4" x14ac:dyDescent="0.2">
      <c r="D458" s="17"/>
    </row>
    <row r="459" spans="4:4" x14ac:dyDescent="0.2">
      <c r="D459" s="17"/>
    </row>
    <row r="460" spans="4:4" x14ac:dyDescent="0.2">
      <c r="D460" s="17"/>
    </row>
    <row r="461" spans="4:4" x14ac:dyDescent="0.2">
      <c r="D461" s="17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1DDC8-FE27-485A-9A73-6891335FB357}">
  <sheetPr codeName="Planilha11"/>
  <dimension ref="A1:U461"/>
  <sheetViews>
    <sheetView workbookViewId="0">
      <selection activeCell="M34" sqref="M34"/>
    </sheetView>
  </sheetViews>
  <sheetFormatPr defaultRowHeight="12.75" x14ac:dyDescent="0.2"/>
  <cols>
    <col min="1" max="1" width="35.28515625" style="1" customWidth="1"/>
    <col min="2" max="2" width="14.28515625" style="1" customWidth="1"/>
    <col min="3" max="3" width="10.140625" style="1" bestFit="1" customWidth="1"/>
    <col min="4" max="4" width="12" style="1" customWidth="1"/>
    <col min="5" max="8" width="9.140625" style="1"/>
    <col min="9" max="9" width="15.7109375" style="1" bestFit="1" customWidth="1"/>
    <col min="10" max="16384" width="9.140625" style="1"/>
  </cols>
  <sheetData>
    <row r="1" spans="1:21" ht="15.75" x14ac:dyDescent="0.25">
      <c r="A1" s="9" t="s">
        <v>92</v>
      </c>
      <c r="I1" s="3" t="s">
        <v>60</v>
      </c>
      <c r="J1" s="60" t="str">
        <f>"FOCUS forecast by Institution " &amp; $B$6 &amp; " for "&amp;$B$3&amp;" of "&amp;PROPER(TEXT($B$7,"[$-409]aaaa"))</f>
        <v>FOCUS forecast by Institution 16 for IPCA of 2020</v>
      </c>
      <c r="K1" s="61"/>
      <c r="L1" s="61"/>
      <c r="M1" s="61"/>
      <c r="N1" s="61"/>
      <c r="O1" s="61"/>
      <c r="P1" s="61"/>
    </row>
    <row r="3" spans="1:21" x14ac:dyDescent="0.2">
      <c r="A3" s="3" t="s">
        <v>61</v>
      </c>
      <c r="B3" s="18" t="s">
        <v>36</v>
      </c>
      <c r="D3" s="1" t="s">
        <v>13</v>
      </c>
      <c r="E3" s="1" t="s">
        <v>76</v>
      </c>
      <c r="F3" s="1" t="s">
        <v>77</v>
      </c>
    </row>
    <row r="4" spans="1:21" x14ac:dyDescent="0.2">
      <c r="A4" s="3" t="s">
        <v>62</v>
      </c>
      <c r="B4" s="18"/>
      <c r="D4" s="17" cm="1">
        <f t="array" ref="D4:F46">xlFOCUS_ExpectativasInstituicoes(B3,B4,B7,B6,B8,B9,B5,D3:F3)</f>
        <v>43804</v>
      </c>
      <c r="E4" s="1">
        <v>16</v>
      </c>
      <c r="F4" s="1">
        <v>3.39</v>
      </c>
    </row>
    <row r="5" spans="1:21" x14ac:dyDescent="0.2">
      <c r="A5" s="3" t="s">
        <v>111</v>
      </c>
      <c r="B5" s="18" t="s">
        <v>140</v>
      </c>
      <c r="D5" s="17">
        <v>43812</v>
      </c>
      <c r="E5" s="1">
        <v>16</v>
      </c>
      <c r="F5" s="1">
        <v>3.39</v>
      </c>
    </row>
    <row r="6" spans="1:21" x14ac:dyDescent="0.2">
      <c r="A6" s="3" t="s">
        <v>76</v>
      </c>
      <c r="B6" s="18">
        <v>16</v>
      </c>
      <c r="D6" s="17">
        <v>43819</v>
      </c>
      <c r="E6" s="1">
        <v>16</v>
      </c>
      <c r="F6" s="1">
        <v>3.39</v>
      </c>
      <c r="U6" s="19"/>
    </row>
    <row r="7" spans="1:21" x14ac:dyDescent="0.2">
      <c r="A7" s="3" t="s">
        <v>63</v>
      </c>
      <c r="B7" s="14">
        <v>43831</v>
      </c>
      <c r="D7" s="17">
        <v>43826</v>
      </c>
      <c r="E7" s="1">
        <v>16</v>
      </c>
      <c r="F7" s="1">
        <v>3.39</v>
      </c>
    </row>
    <row r="8" spans="1:21" x14ac:dyDescent="0.2">
      <c r="A8" s="3" t="s">
        <v>64</v>
      </c>
      <c r="B8" s="14">
        <v>43800</v>
      </c>
      <c r="D8" s="17">
        <v>43833</v>
      </c>
      <c r="E8" s="1">
        <v>16</v>
      </c>
      <c r="F8" s="1">
        <v>3.39</v>
      </c>
    </row>
    <row r="9" spans="1:21" x14ac:dyDescent="0.2">
      <c r="A9" s="3" t="s">
        <v>65</v>
      </c>
      <c r="B9" s="14"/>
      <c r="D9" s="17">
        <v>43840</v>
      </c>
      <c r="E9" s="1">
        <v>16</v>
      </c>
      <c r="F9" s="1">
        <v>3.39</v>
      </c>
    </row>
    <row r="10" spans="1:21" x14ac:dyDescent="0.2">
      <c r="D10" s="17">
        <v>43847</v>
      </c>
      <c r="E10" s="1">
        <v>16</v>
      </c>
      <c r="F10" s="1">
        <v>3.39</v>
      </c>
    </row>
    <row r="11" spans="1:21" x14ac:dyDescent="0.2">
      <c r="D11" s="17">
        <v>43854</v>
      </c>
      <c r="E11" s="1">
        <v>16</v>
      </c>
      <c r="F11" s="1">
        <v>3.39</v>
      </c>
    </row>
    <row r="12" spans="1:21" x14ac:dyDescent="0.2">
      <c r="D12" s="17">
        <v>43861</v>
      </c>
      <c r="E12" s="1">
        <v>16</v>
      </c>
      <c r="F12" s="1">
        <v>3.39</v>
      </c>
    </row>
    <row r="13" spans="1:21" x14ac:dyDescent="0.2">
      <c r="D13" s="17">
        <v>43868</v>
      </c>
      <c r="E13" s="1">
        <v>16</v>
      </c>
      <c r="F13" s="1">
        <v>3.2149000000000001</v>
      </c>
    </row>
    <row r="14" spans="1:21" x14ac:dyDescent="0.2">
      <c r="D14" s="17">
        <v>43875</v>
      </c>
      <c r="E14" s="1">
        <v>16</v>
      </c>
      <c r="F14" s="1">
        <v>3.2149000000000001</v>
      </c>
    </row>
    <row r="15" spans="1:21" x14ac:dyDescent="0.2">
      <c r="D15" s="17">
        <v>43882</v>
      </c>
      <c r="E15" s="1">
        <v>16</v>
      </c>
      <c r="F15" s="1">
        <v>3.2149000000000001</v>
      </c>
    </row>
    <row r="16" spans="1:21" x14ac:dyDescent="0.2">
      <c r="D16" s="17">
        <v>43889</v>
      </c>
      <c r="E16" s="1">
        <v>16</v>
      </c>
      <c r="F16" s="1">
        <v>3.2149000000000001</v>
      </c>
    </row>
    <row r="17" spans="4:6" x14ac:dyDescent="0.2">
      <c r="D17" s="17">
        <v>43903</v>
      </c>
      <c r="E17" s="1">
        <v>16</v>
      </c>
      <c r="F17" s="1">
        <v>3.3393999999999999</v>
      </c>
    </row>
    <row r="18" spans="4:6" x14ac:dyDescent="0.2">
      <c r="D18" s="17">
        <v>43917</v>
      </c>
      <c r="E18" s="1">
        <v>16</v>
      </c>
      <c r="F18" s="1">
        <v>3.3393999999999999</v>
      </c>
    </row>
    <row r="19" spans="4:6" x14ac:dyDescent="0.2">
      <c r="D19" s="17">
        <v>43928</v>
      </c>
      <c r="E19" s="1">
        <v>16</v>
      </c>
      <c r="F19" s="1">
        <v>2.8149000000000002</v>
      </c>
    </row>
    <row r="20" spans="4:6" x14ac:dyDescent="0.2">
      <c r="D20" s="17">
        <v>43938</v>
      </c>
      <c r="E20" s="1">
        <v>16</v>
      </c>
      <c r="F20" s="1">
        <v>2.5893000000000002</v>
      </c>
    </row>
    <row r="21" spans="4:6" x14ac:dyDescent="0.2">
      <c r="D21" s="17">
        <v>43945</v>
      </c>
      <c r="E21" s="1">
        <v>16</v>
      </c>
      <c r="F21" s="1">
        <v>2.5893000000000002</v>
      </c>
    </row>
    <row r="22" spans="4:6" x14ac:dyDescent="0.2">
      <c r="D22" s="17">
        <v>43962</v>
      </c>
      <c r="E22" s="1">
        <v>16</v>
      </c>
      <c r="F22" s="1">
        <v>1.3873</v>
      </c>
    </row>
    <row r="23" spans="4:6" x14ac:dyDescent="0.2">
      <c r="D23" s="17">
        <v>43966</v>
      </c>
      <c r="E23" s="1">
        <v>16</v>
      </c>
      <c r="F23" s="1">
        <v>1.3873</v>
      </c>
    </row>
    <row r="24" spans="4:6" x14ac:dyDescent="0.2">
      <c r="D24" s="17">
        <v>43973</v>
      </c>
      <c r="E24" s="1">
        <v>16</v>
      </c>
      <c r="F24" s="1">
        <v>1.3873</v>
      </c>
    </row>
    <row r="25" spans="4:6" x14ac:dyDescent="0.2">
      <c r="D25" s="17">
        <v>43980</v>
      </c>
      <c r="E25" s="1">
        <v>16</v>
      </c>
      <c r="F25" s="1">
        <v>1.3873</v>
      </c>
    </row>
    <row r="26" spans="4:6" x14ac:dyDescent="0.2">
      <c r="D26" s="17">
        <v>43987</v>
      </c>
      <c r="E26" s="1">
        <v>16</v>
      </c>
      <c r="F26" s="1">
        <v>2.1082999999999998</v>
      </c>
    </row>
    <row r="27" spans="4:6" x14ac:dyDescent="0.2">
      <c r="D27" s="17">
        <v>43994</v>
      </c>
      <c r="E27" s="1">
        <v>16</v>
      </c>
      <c r="F27" s="1">
        <v>1.5578000000000001</v>
      </c>
    </row>
    <row r="28" spans="4:6" x14ac:dyDescent="0.2">
      <c r="D28" s="17">
        <v>44001</v>
      </c>
      <c r="E28" s="1">
        <v>16</v>
      </c>
      <c r="F28" s="1">
        <v>1.3858999999999999</v>
      </c>
    </row>
    <row r="29" spans="4:6" x14ac:dyDescent="0.2">
      <c r="D29" s="17">
        <v>44008</v>
      </c>
      <c r="E29" s="1">
        <v>16</v>
      </c>
      <c r="F29" s="1">
        <v>1.3858999999999999</v>
      </c>
    </row>
    <row r="30" spans="4:6" x14ac:dyDescent="0.2">
      <c r="D30" s="17">
        <v>44015</v>
      </c>
      <c r="E30" s="1">
        <v>16</v>
      </c>
      <c r="F30" s="1">
        <v>1.3858999999999999</v>
      </c>
    </row>
    <row r="31" spans="4:6" x14ac:dyDescent="0.2">
      <c r="D31" s="17">
        <v>44050</v>
      </c>
      <c r="E31" s="1">
        <v>16</v>
      </c>
      <c r="F31" s="1">
        <v>1.3853</v>
      </c>
    </row>
    <row r="32" spans="4:6" x14ac:dyDescent="0.2">
      <c r="D32" s="17">
        <v>44057</v>
      </c>
      <c r="E32" s="1">
        <v>16</v>
      </c>
      <c r="F32" s="1">
        <v>1.4259999999999999</v>
      </c>
    </row>
    <row r="33" spans="4:6" x14ac:dyDescent="0.2">
      <c r="D33" s="17">
        <v>44064</v>
      </c>
      <c r="E33" s="1">
        <v>16</v>
      </c>
      <c r="F33" s="1">
        <v>1.4259999999999999</v>
      </c>
    </row>
    <row r="34" spans="4:6" x14ac:dyDescent="0.2">
      <c r="D34" s="17">
        <v>44071</v>
      </c>
      <c r="E34" s="1">
        <v>16</v>
      </c>
      <c r="F34" s="1">
        <v>1.4259999999999999</v>
      </c>
    </row>
    <row r="35" spans="4:6" x14ac:dyDescent="0.2">
      <c r="D35" s="17">
        <v>44078</v>
      </c>
      <c r="E35" s="1">
        <v>16</v>
      </c>
      <c r="F35" s="1">
        <v>1.4259999999999999</v>
      </c>
    </row>
    <row r="36" spans="4:6" x14ac:dyDescent="0.2">
      <c r="D36" s="17">
        <v>44085</v>
      </c>
      <c r="E36" s="1">
        <v>16</v>
      </c>
      <c r="F36" s="1">
        <v>1.6288</v>
      </c>
    </row>
    <row r="37" spans="4:6" x14ac:dyDescent="0.2">
      <c r="D37" s="17">
        <v>44092</v>
      </c>
      <c r="E37" s="1">
        <v>16</v>
      </c>
      <c r="F37" s="1">
        <v>1.6288</v>
      </c>
    </row>
    <row r="38" spans="4:6" x14ac:dyDescent="0.2">
      <c r="D38" s="17">
        <v>44106</v>
      </c>
      <c r="E38" s="1">
        <v>16</v>
      </c>
      <c r="F38" s="1">
        <v>1.6288</v>
      </c>
    </row>
    <row r="39" spans="4:6" x14ac:dyDescent="0.2">
      <c r="D39" s="17">
        <v>44113</v>
      </c>
      <c r="E39" s="1">
        <v>16</v>
      </c>
      <c r="F39" s="1">
        <v>1.6288</v>
      </c>
    </row>
    <row r="40" spans="4:6" x14ac:dyDescent="0.2">
      <c r="D40" s="17">
        <v>44120</v>
      </c>
      <c r="E40" s="1">
        <v>16</v>
      </c>
      <c r="F40" s="1">
        <v>2.8201000000000001</v>
      </c>
    </row>
    <row r="41" spans="4:6" x14ac:dyDescent="0.2">
      <c r="D41" s="17">
        <v>44127</v>
      </c>
      <c r="E41" s="1">
        <v>16</v>
      </c>
      <c r="F41" s="1">
        <v>2.8201000000000001</v>
      </c>
    </row>
    <row r="42" spans="4:6" x14ac:dyDescent="0.2">
      <c r="D42" s="17">
        <v>44134</v>
      </c>
      <c r="E42" s="1">
        <v>16</v>
      </c>
      <c r="F42" s="1">
        <v>2.8201000000000001</v>
      </c>
    </row>
    <row r="43" spans="4:6" x14ac:dyDescent="0.2">
      <c r="D43" s="17">
        <v>44141</v>
      </c>
      <c r="E43" s="1">
        <v>16</v>
      </c>
      <c r="F43" s="1">
        <v>3.4146999999999998</v>
      </c>
    </row>
    <row r="44" spans="4:6" x14ac:dyDescent="0.2">
      <c r="D44" s="17">
        <v>44147</v>
      </c>
      <c r="E44" s="1">
        <v>16</v>
      </c>
      <c r="F44" s="1">
        <v>3.4146999999999998</v>
      </c>
    </row>
    <row r="45" spans="4:6" x14ac:dyDescent="0.2">
      <c r="D45" s="17">
        <v>44155</v>
      </c>
      <c r="E45" s="1">
        <v>16</v>
      </c>
      <c r="F45" s="1">
        <v>3.4146999999999998</v>
      </c>
    </row>
    <row r="46" spans="4:6" x14ac:dyDescent="0.2">
      <c r="D46" s="17">
        <v>44162</v>
      </c>
      <c r="E46" s="1">
        <v>16</v>
      </c>
      <c r="F46" s="1">
        <v>3.4146999999999998</v>
      </c>
    </row>
    <row r="47" spans="4:6" x14ac:dyDescent="0.2">
      <c r="D47" s="17"/>
    </row>
    <row r="48" spans="4:6" x14ac:dyDescent="0.2">
      <c r="D48" s="17"/>
    </row>
    <row r="49" spans="4:4" x14ac:dyDescent="0.2">
      <c r="D49" s="17"/>
    </row>
    <row r="50" spans="4:4" x14ac:dyDescent="0.2">
      <c r="D50" s="17"/>
    </row>
    <row r="51" spans="4:4" x14ac:dyDescent="0.2">
      <c r="D51" s="17"/>
    </row>
    <row r="52" spans="4:4" x14ac:dyDescent="0.2">
      <c r="D52" s="17"/>
    </row>
    <row r="53" spans="4:4" x14ac:dyDescent="0.2">
      <c r="D53" s="17"/>
    </row>
    <row r="54" spans="4:4" x14ac:dyDescent="0.2">
      <c r="D54" s="17"/>
    </row>
    <row r="55" spans="4:4" x14ac:dyDescent="0.2">
      <c r="D55" s="17"/>
    </row>
    <row r="56" spans="4:4" x14ac:dyDescent="0.2">
      <c r="D56" s="17"/>
    </row>
    <row r="57" spans="4:4" x14ac:dyDescent="0.2">
      <c r="D57" s="17"/>
    </row>
    <row r="58" spans="4:4" x14ac:dyDescent="0.2">
      <c r="D58" s="17"/>
    </row>
    <row r="59" spans="4:4" x14ac:dyDescent="0.2">
      <c r="D59" s="17"/>
    </row>
    <row r="60" spans="4:4" x14ac:dyDescent="0.2">
      <c r="D60" s="17"/>
    </row>
    <row r="61" spans="4:4" x14ac:dyDescent="0.2">
      <c r="D61" s="17"/>
    </row>
    <row r="62" spans="4:4" x14ac:dyDescent="0.2">
      <c r="D62" s="17"/>
    </row>
    <row r="63" spans="4:4" x14ac:dyDescent="0.2">
      <c r="D63" s="17"/>
    </row>
    <row r="64" spans="4:4" x14ac:dyDescent="0.2">
      <c r="D64" s="17"/>
    </row>
    <row r="65" spans="4:4" x14ac:dyDescent="0.2">
      <c r="D65" s="17"/>
    </row>
    <row r="66" spans="4:4" x14ac:dyDescent="0.2">
      <c r="D66" s="17"/>
    </row>
    <row r="67" spans="4:4" x14ac:dyDescent="0.2">
      <c r="D67" s="17"/>
    </row>
    <row r="68" spans="4:4" x14ac:dyDescent="0.2">
      <c r="D68" s="17"/>
    </row>
    <row r="69" spans="4:4" x14ac:dyDescent="0.2">
      <c r="D69" s="17"/>
    </row>
    <row r="70" spans="4:4" x14ac:dyDescent="0.2">
      <c r="D70" s="17"/>
    </row>
    <row r="71" spans="4:4" x14ac:dyDescent="0.2">
      <c r="D71" s="17"/>
    </row>
    <row r="72" spans="4:4" x14ac:dyDescent="0.2">
      <c r="D72" s="17"/>
    </row>
    <row r="73" spans="4:4" x14ac:dyDescent="0.2">
      <c r="D73" s="17"/>
    </row>
    <row r="74" spans="4:4" x14ac:dyDescent="0.2">
      <c r="D74" s="17"/>
    </row>
    <row r="75" spans="4:4" x14ac:dyDescent="0.2">
      <c r="D75" s="17"/>
    </row>
    <row r="76" spans="4:4" x14ac:dyDescent="0.2">
      <c r="D76" s="17"/>
    </row>
    <row r="77" spans="4:4" x14ac:dyDescent="0.2">
      <c r="D77" s="17"/>
    </row>
    <row r="78" spans="4:4" x14ac:dyDescent="0.2">
      <c r="D78" s="17"/>
    </row>
    <row r="79" spans="4:4" x14ac:dyDescent="0.2">
      <c r="D79" s="17"/>
    </row>
    <row r="80" spans="4:4" x14ac:dyDescent="0.2">
      <c r="D80" s="17"/>
    </row>
    <row r="81" spans="4:4" x14ac:dyDescent="0.2">
      <c r="D81" s="17"/>
    </row>
    <row r="82" spans="4:4" x14ac:dyDescent="0.2">
      <c r="D82" s="17"/>
    </row>
    <row r="83" spans="4:4" x14ac:dyDescent="0.2">
      <c r="D83" s="17"/>
    </row>
    <row r="84" spans="4:4" x14ac:dyDescent="0.2">
      <c r="D84" s="17"/>
    </row>
    <row r="85" spans="4:4" x14ac:dyDescent="0.2">
      <c r="D85" s="17"/>
    </row>
    <row r="86" spans="4:4" x14ac:dyDescent="0.2">
      <c r="D86" s="17"/>
    </row>
    <row r="87" spans="4:4" x14ac:dyDescent="0.2">
      <c r="D87" s="17"/>
    </row>
    <row r="88" spans="4:4" x14ac:dyDescent="0.2">
      <c r="D88" s="17"/>
    </row>
    <row r="89" spans="4:4" x14ac:dyDescent="0.2">
      <c r="D89" s="17"/>
    </row>
    <row r="90" spans="4:4" x14ac:dyDescent="0.2">
      <c r="D90" s="17"/>
    </row>
    <row r="91" spans="4:4" x14ac:dyDescent="0.2">
      <c r="D91" s="17"/>
    </row>
    <row r="92" spans="4:4" x14ac:dyDescent="0.2">
      <c r="D92" s="17"/>
    </row>
    <row r="93" spans="4:4" x14ac:dyDescent="0.2">
      <c r="D93" s="17"/>
    </row>
    <row r="94" spans="4:4" x14ac:dyDescent="0.2">
      <c r="D94" s="17"/>
    </row>
    <row r="95" spans="4:4" x14ac:dyDescent="0.2">
      <c r="D95" s="17"/>
    </row>
    <row r="96" spans="4:4" x14ac:dyDescent="0.2">
      <c r="D96" s="17"/>
    </row>
    <row r="97" spans="4:4" x14ac:dyDescent="0.2">
      <c r="D97" s="17"/>
    </row>
    <row r="98" spans="4:4" x14ac:dyDescent="0.2">
      <c r="D98" s="17"/>
    </row>
    <row r="99" spans="4:4" x14ac:dyDescent="0.2">
      <c r="D99" s="17"/>
    </row>
    <row r="100" spans="4:4" x14ac:dyDescent="0.2">
      <c r="D100" s="17"/>
    </row>
    <row r="101" spans="4:4" x14ac:dyDescent="0.2">
      <c r="D101" s="17"/>
    </row>
    <row r="102" spans="4:4" x14ac:dyDescent="0.2">
      <c r="D102" s="17"/>
    </row>
    <row r="103" spans="4:4" x14ac:dyDescent="0.2">
      <c r="D103" s="17"/>
    </row>
    <row r="104" spans="4:4" x14ac:dyDescent="0.2">
      <c r="D104" s="17"/>
    </row>
    <row r="105" spans="4:4" x14ac:dyDescent="0.2">
      <c r="D105" s="17"/>
    </row>
    <row r="106" spans="4:4" x14ac:dyDescent="0.2">
      <c r="D106" s="17"/>
    </row>
    <row r="107" spans="4:4" x14ac:dyDescent="0.2">
      <c r="D107" s="17"/>
    </row>
    <row r="108" spans="4:4" x14ac:dyDescent="0.2">
      <c r="D108" s="17"/>
    </row>
    <row r="109" spans="4:4" x14ac:dyDescent="0.2">
      <c r="D109" s="17"/>
    </row>
    <row r="110" spans="4:4" x14ac:dyDescent="0.2">
      <c r="D110" s="17"/>
    </row>
    <row r="111" spans="4:4" x14ac:dyDescent="0.2">
      <c r="D111" s="17"/>
    </row>
    <row r="112" spans="4:4" x14ac:dyDescent="0.2">
      <c r="D112" s="17"/>
    </row>
    <row r="113" spans="4:4" x14ac:dyDescent="0.2">
      <c r="D113" s="17"/>
    </row>
    <row r="114" spans="4:4" x14ac:dyDescent="0.2">
      <c r="D114" s="17"/>
    </row>
    <row r="115" spans="4:4" x14ac:dyDescent="0.2">
      <c r="D115" s="17"/>
    </row>
    <row r="116" spans="4:4" x14ac:dyDescent="0.2">
      <c r="D116" s="17"/>
    </row>
    <row r="117" spans="4:4" x14ac:dyDescent="0.2">
      <c r="D117" s="17"/>
    </row>
    <row r="118" spans="4:4" x14ac:dyDescent="0.2">
      <c r="D118" s="17"/>
    </row>
    <row r="119" spans="4:4" x14ac:dyDescent="0.2">
      <c r="D119" s="17"/>
    </row>
    <row r="120" spans="4:4" x14ac:dyDescent="0.2">
      <c r="D120" s="17"/>
    </row>
    <row r="121" spans="4:4" x14ac:dyDescent="0.2">
      <c r="D121" s="17"/>
    </row>
    <row r="122" spans="4:4" x14ac:dyDescent="0.2">
      <c r="D122" s="17"/>
    </row>
    <row r="123" spans="4:4" x14ac:dyDescent="0.2">
      <c r="D123" s="17"/>
    </row>
    <row r="124" spans="4:4" x14ac:dyDescent="0.2">
      <c r="D124" s="17"/>
    </row>
    <row r="125" spans="4:4" x14ac:dyDescent="0.2">
      <c r="D125" s="17"/>
    </row>
    <row r="126" spans="4:4" x14ac:dyDescent="0.2">
      <c r="D126" s="17"/>
    </row>
    <row r="127" spans="4:4" x14ac:dyDescent="0.2">
      <c r="D127" s="17"/>
    </row>
    <row r="128" spans="4:4" x14ac:dyDescent="0.2">
      <c r="D128" s="17"/>
    </row>
    <row r="129" spans="4:4" x14ac:dyDescent="0.2">
      <c r="D129" s="17"/>
    </row>
    <row r="130" spans="4:4" x14ac:dyDescent="0.2">
      <c r="D130" s="17"/>
    </row>
    <row r="131" spans="4:4" x14ac:dyDescent="0.2">
      <c r="D131" s="17"/>
    </row>
    <row r="132" spans="4:4" x14ac:dyDescent="0.2">
      <c r="D132" s="17"/>
    </row>
    <row r="133" spans="4:4" x14ac:dyDescent="0.2">
      <c r="D133" s="17"/>
    </row>
    <row r="134" spans="4:4" x14ac:dyDescent="0.2">
      <c r="D134" s="17"/>
    </row>
    <row r="135" spans="4:4" x14ac:dyDescent="0.2">
      <c r="D135" s="17"/>
    </row>
    <row r="136" spans="4:4" x14ac:dyDescent="0.2">
      <c r="D136" s="17"/>
    </row>
    <row r="137" spans="4:4" x14ac:dyDescent="0.2">
      <c r="D137" s="17"/>
    </row>
    <row r="138" spans="4:4" x14ac:dyDescent="0.2">
      <c r="D138" s="17"/>
    </row>
    <row r="139" spans="4:4" x14ac:dyDescent="0.2">
      <c r="D139" s="17"/>
    </row>
    <row r="140" spans="4:4" x14ac:dyDescent="0.2">
      <c r="D140" s="17"/>
    </row>
    <row r="141" spans="4:4" x14ac:dyDescent="0.2">
      <c r="D141" s="17"/>
    </row>
    <row r="142" spans="4:4" x14ac:dyDescent="0.2">
      <c r="D142" s="17"/>
    </row>
    <row r="143" spans="4:4" x14ac:dyDescent="0.2">
      <c r="D143" s="17"/>
    </row>
    <row r="144" spans="4:4" x14ac:dyDescent="0.2">
      <c r="D144" s="17"/>
    </row>
    <row r="145" spans="4:4" x14ac:dyDescent="0.2">
      <c r="D145" s="17"/>
    </row>
    <row r="146" spans="4:4" x14ac:dyDescent="0.2">
      <c r="D146" s="17"/>
    </row>
    <row r="147" spans="4:4" x14ac:dyDescent="0.2">
      <c r="D147" s="17"/>
    </row>
    <row r="148" spans="4:4" x14ac:dyDescent="0.2">
      <c r="D148" s="17"/>
    </row>
    <row r="149" spans="4:4" x14ac:dyDescent="0.2">
      <c r="D149" s="17"/>
    </row>
    <row r="150" spans="4:4" x14ac:dyDescent="0.2">
      <c r="D150" s="17"/>
    </row>
    <row r="151" spans="4:4" x14ac:dyDescent="0.2">
      <c r="D151" s="17"/>
    </row>
    <row r="152" spans="4:4" x14ac:dyDescent="0.2">
      <c r="D152" s="17"/>
    </row>
    <row r="153" spans="4:4" x14ac:dyDescent="0.2">
      <c r="D153" s="17"/>
    </row>
    <row r="154" spans="4:4" x14ac:dyDescent="0.2">
      <c r="D154" s="17"/>
    </row>
    <row r="155" spans="4:4" x14ac:dyDescent="0.2">
      <c r="D155" s="17"/>
    </row>
    <row r="156" spans="4:4" x14ac:dyDescent="0.2">
      <c r="D156" s="17"/>
    </row>
    <row r="157" spans="4:4" x14ac:dyDescent="0.2">
      <c r="D157" s="17"/>
    </row>
    <row r="158" spans="4:4" x14ac:dyDescent="0.2">
      <c r="D158" s="17"/>
    </row>
    <row r="159" spans="4:4" x14ac:dyDescent="0.2">
      <c r="D159" s="17"/>
    </row>
    <row r="160" spans="4:4" x14ac:dyDescent="0.2">
      <c r="D160" s="17"/>
    </row>
    <row r="161" spans="4:4" x14ac:dyDescent="0.2">
      <c r="D161" s="17"/>
    </row>
    <row r="162" spans="4:4" x14ac:dyDescent="0.2">
      <c r="D162" s="17"/>
    </row>
    <row r="163" spans="4:4" x14ac:dyDescent="0.2">
      <c r="D163" s="17"/>
    </row>
    <row r="164" spans="4:4" x14ac:dyDescent="0.2">
      <c r="D164" s="17"/>
    </row>
    <row r="165" spans="4:4" x14ac:dyDescent="0.2">
      <c r="D165" s="17"/>
    </row>
    <row r="166" spans="4:4" x14ac:dyDescent="0.2">
      <c r="D166" s="17"/>
    </row>
    <row r="167" spans="4:4" x14ac:dyDescent="0.2">
      <c r="D167" s="17"/>
    </row>
    <row r="168" spans="4:4" x14ac:dyDescent="0.2">
      <c r="D168" s="17"/>
    </row>
    <row r="169" spans="4:4" x14ac:dyDescent="0.2">
      <c r="D169" s="17"/>
    </row>
    <row r="170" spans="4:4" x14ac:dyDescent="0.2">
      <c r="D170" s="17"/>
    </row>
    <row r="171" spans="4:4" x14ac:dyDescent="0.2">
      <c r="D171" s="17"/>
    </row>
    <row r="172" spans="4:4" x14ac:dyDescent="0.2">
      <c r="D172" s="17"/>
    </row>
    <row r="173" spans="4:4" x14ac:dyDescent="0.2">
      <c r="D173" s="17"/>
    </row>
    <row r="174" spans="4:4" x14ac:dyDescent="0.2">
      <c r="D174" s="17"/>
    </row>
    <row r="175" spans="4:4" x14ac:dyDescent="0.2">
      <c r="D175" s="17"/>
    </row>
    <row r="176" spans="4:4" x14ac:dyDescent="0.2">
      <c r="D176" s="17"/>
    </row>
    <row r="177" spans="4:4" x14ac:dyDescent="0.2">
      <c r="D177" s="17"/>
    </row>
    <row r="178" spans="4:4" x14ac:dyDescent="0.2">
      <c r="D178" s="17"/>
    </row>
    <row r="179" spans="4:4" x14ac:dyDescent="0.2">
      <c r="D179" s="17"/>
    </row>
    <row r="180" spans="4:4" x14ac:dyDescent="0.2">
      <c r="D180" s="17"/>
    </row>
    <row r="181" spans="4:4" x14ac:dyDescent="0.2">
      <c r="D181" s="17"/>
    </row>
    <row r="182" spans="4:4" x14ac:dyDescent="0.2">
      <c r="D182" s="17"/>
    </row>
    <row r="183" spans="4:4" x14ac:dyDescent="0.2">
      <c r="D183" s="17"/>
    </row>
    <row r="184" spans="4:4" x14ac:dyDescent="0.2">
      <c r="D184" s="17"/>
    </row>
    <row r="185" spans="4:4" x14ac:dyDescent="0.2">
      <c r="D185" s="17"/>
    </row>
    <row r="186" spans="4:4" x14ac:dyDescent="0.2">
      <c r="D186" s="17"/>
    </row>
    <row r="187" spans="4:4" x14ac:dyDescent="0.2">
      <c r="D187" s="17"/>
    </row>
    <row r="188" spans="4:4" x14ac:dyDescent="0.2">
      <c r="D188" s="17"/>
    </row>
    <row r="189" spans="4:4" x14ac:dyDescent="0.2">
      <c r="D189" s="17"/>
    </row>
    <row r="190" spans="4:4" x14ac:dyDescent="0.2">
      <c r="D190" s="17"/>
    </row>
    <row r="191" spans="4:4" x14ac:dyDescent="0.2">
      <c r="D191" s="17"/>
    </row>
    <row r="192" spans="4:4" x14ac:dyDescent="0.2">
      <c r="D192" s="17"/>
    </row>
    <row r="193" spans="4:4" x14ac:dyDescent="0.2">
      <c r="D193" s="17"/>
    </row>
    <row r="194" spans="4:4" x14ac:dyDescent="0.2">
      <c r="D194" s="17"/>
    </row>
    <row r="195" spans="4:4" x14ac:dyDescent="0.2">
      <c r="D195" s="17"/>
    </row>
    <row r="196" spans="4:4" x14ac:dyDescent="0.2">
      <c r="D196" s="17"/>
    </row>
    <row r="197" spans="4:4" x14ac:dyDescent="0.2">
      <c r="D197" s="17"/>
    </row>
    <row r="198" spans="4:4" x14ac:dyDescent="0.2">
      <c r="D198" s="17"/>
    </row>
    <row r="199" spans="4:4" x14ac:dyDescent="0.2">
      <c r="D199" s="17"/>
    </row>
    <row r="200" spans="4:4" x14ac:dyDescent="0.2">
      <c r="D200" s="17"/>
    </row>
    <row r="201" spans="4:4" x14ac:dyDescent="0.2">
      <c r="D201" s="17"/>
    </row>
    <row r="202" spans="4:4" x14ac:dyDescent="0.2">
      <c r="D202" s="17"/>
    </row>
    <row r="203" spans="4:4" x14ac:dyDescent="0.2">
      <c r="D203" s="17"/>
    </row>
    <row r="204" spans="4:4" x14ac:dyDescent="0.2">
      <c r="D204" s="17"/>
    </row>
    <row r="205" spans="4:4" x14ac:dyDescent="0.2">
      <c r="D205" s="17"/>
    </row>
    <row r="206" spans="4:4" x14ac:dyDescent="0.2">
      <c r="D206" s="17"/>
    </row>
    <row r="207" spans="4:4" x14ac:dyDescent="0.2">
      <c r="D207" s="17"/>
    </row>
    <row r="208" spans="4:4" x14ac:dyDescent="0.2">
      <c r="D208" s="17"/>
    </row>
    <row r="209" spans="4:4" x14ac:dyDescent="0.2">
      <c r="D209" s="17"/>
    </row>
    <row r="210" spans="4:4" x14ac:dyDescent="0.2">
      <c r="D210" s="17"/>
    </row>
    <row r="211" spans="4:4" x14ac:dyDescent="0.2">
      <c r="D211" s="17"/>
    </row>
    <row r="212" spans="4:4" x14ac:dyDescent="0.2">
      <c r="D212" s="17"/>
    </row>
    <row r="213" spans="4:4" x14ac:dyDescent="0.2">
      <c r="D213" s="17"/>
    </row>
    <row r="214" spans="4:4" x14ac:dyDescent="0.2">
      <c r="D214" s="17"/>
    </row>
    <row r="215" spans="4:4" x14ac:dyDescent="0.2">
      <c r="D215" s="17"/>
    </row>
    <row r="216" spans="4:4" x14ac:dyDescent="0.2">
      <c r="D216" s="17"/>
    </row>
    <row r="217" spans="4:4" x14ac:dyDescent="0.2">
      <c r="D217" s="17"/>
    </row>
    <row r="218" spans="4:4" x14ac:dyDescent="0.2">
      <c r="D218" s="17"/>
    </row>
    <row r="219" spans="4:4" x14ac:dyDescent="0.2">
      <c r="D219" s="17"/>
    </row>
    <row r="220" spans="4:4" x14ac:dyDescent="0.2">
      <c r="D220" s="17"/>
    </row>
    <row r="221" spans="4:4" x14ac:dyDescent="0.2">
      <c r="D221" s="17"/>
    </row>
    <row r="222" spans="4:4" x14ac:dyDescent="0.2">
      <c r="D222" s="17"/>
    </row>
    <row r="223" spans="4:4" x14ac:dyDescent="0.2">
      <c r="D223" s="17"/>
    </row>
    <row r="224" spans="4:4" x14ac:dyDescent="0.2">
      <c r="D224" s="17"/>
    </row>
    <row r="225" spans="4:4" x14ac:dyDescent="0.2">
      <c r="D225" s="17"/>
    </row>
    <row r="226" spans="4:4" x14ac:dyDescent="0.2">
      <c r="D226" s="17"/>
    </row>
    <row r="227" spans="4:4" x14ac:dyDescent="0.2">
      <c r="D227" s="17"/>
    </row>
    <row r="228" spans="4:4" x14ac:dyDescent="0.2">
      <c r="D228" s="17"/>
    </row>
    <row r="229" spans="4:4" x14ac:dyDescent="0.2">
      <c r="D229" s="17"/>
    </row>
    <row r="230" spans="4:4" x14ac:dyDescent="0.2">
      <c r="D230" s="17"/>
    </row>
    <row r="231" spans="4:4" x14ac:dyDescent="0.2">
      <c r="D231" s="17"/>
    </row>
    <row r="232" spans="4:4" x14ac:dyDescent="0.2">
      <c r="D232" s="17"/>
    </row>
    <row r="233" spans="4:4" x14ac:dyDescent="0.2">
      <c r="D233" s="17"/>
    </row>
    <row r="234" spans="4:4" x14ac:dyDescent="0.2">
      <c r="D234" s="17"/>
    </row>
    <row r="235" spans="4:4" x14ac:dyDescent="0.2">
      <c r="D235" s="17"/>
    </row>
    <row r="236" spans="4:4" x14ac:dyDescent="0.2">
      <c r="D236" s="17"/>
    </row>
    <row r="237" spans="4:4" x14ac:dyDescent="0.2">
      <c r="D237" s="17"/>
    </row>
    <row r="238" spans="4:4" x14ac:dyDescent="0.2">
      <c r="D238" s="17"/>
    </row>
    <row r="239" spans="4:4" x14ac:dyDescent="0.2">
      <c r="D239" s="17"/>
    </row>
    <row r="240" spans="4:4" x14ac:dyDescent="0.2">
      <c r="D240" s="17"/>
    </row>
    <row r="241" spans="4:4" x14ac:dyDescent="0.2">
      <c r="D241" s="17"/>
    </row>
    <row r="242" spans="4:4" x14ac:dyDescent="0.2">
      <c r="D242" s="17"/>
    </row>
    <row r="243" spans="4:4" x14ac:dyDescent="0.2">
      <c r="D243" s="17"/>
    </row>
    <row r="244" spans="4:4" x14ac:dyDescent="0.2">
      <c r="D244" s="17"/>
    </row>
    <row r="245" spans="4:4" x14ac:dyDescent="0.2">
      <c r="D245" s="17"/>
    </row>
    <row r="246" spans="4:4" x14ac:dyDescent="0.2">
      <c r="D246" s="17"/>
    </row>
    <row r="247" spans="4:4" x14ac:dyDescent="0.2">
      <c r="D247" s="17"/>
    </row>
    <row r="248" spans="4:4" x14ac:dyDescent="0.2">
      <c r="D248" s="17"/>
    </row>
    <row r="249" spans="4:4" x14ac:dyDescent="0.2">
      <c r="D249" s="17"/>
    </row>
    <row r="250" spans="4:4" x14ac:dyDescent="0.2">
      <c r="D250" s="17"/>
    </row>
    <row r="251" spans="4:4" x14ac:dyDescent="0.2">
      <c r="D251" s="17"/>
    </row>
    <row r="252" spans="4:4" x14ac:dyDescent="0.2">
      <c r="D252" s="17"/>
    </row>
    <row r="253" spans="4:4" x14ac:dyDescent="0.2">
      <c r="D253" s="17"/>
    </row>
    <row r="254" spans="4:4" x14ac:dyDescent="0.2">
      <c r="D254" s="17"/>
    </row>
    <row r="255" spans="4:4" x14ac:dyDescent="0.2">
      <c r="D255" s="17"/>
    </row>
    <row r="256" spans="4:4" x14ac:dyDescent="0.2">
      <c r="D256" s="17"/>
    </row>
    <row r="257" spans="4:4" x14ac:dyDescent="0.2">
      <c r="D257" s="17"/>
    </row>
    <row r="258" spans="4:4" x14ac:dyDescent="0.2">
      <c r="D258" s="17"/>
    </row>
    <row r="259" spans="4:4" x14ac:dyDescent="0.2">
      <c r="D259" s="17"/>
    </row>
    <row r="260" spans="4:4" x14ac:dyDescent="0.2">
      <c r="D260" s="17"/>
    </row>
    <row r="261" spans="4:4" x14ac:dyDescent="0.2">
      <c r="D261" s="17"/>
    </row>
    <row r="262" spans="4:4" x14ac:dyDescent="0.2">
      <c r="D262" s="17"/>
    </row>
    <row r="263" spans="4:4" x14ac:dyDescent="0.2">
      <c r="D263" s="17"/>
    </row>
    <row r="264" spans="4:4" x14ac:dyDescent="0.2">
      <c r="D264" s="17"/>
    </row>
    <row r="265" spans="4:4" x14ac:dyDescent="0.2">
      <c r="D265" s="17"/>
    </row>
    <row r="266" spans="4:4" x14ac:dyDescent="0.2">
      <c r="D266" s="17"/>
    </row>
    <row r="267" spans="4:4" x14ac:dyDescent="0.2">
      <c r="D267" s="17"/>
    </row>
    <row r="268" spans="4:4" x14ac:dyDescent="0.2">
      <c r="D268" s="17"/>
    </row>
    <row r="269" spans="4:4" x14ac:dyDescent="0.2">
      <c r="D269" s="17"/>
    </row>
    <row r="270" spans="4:4" x14ac:dyDescent="0.2">
      <c r="D270" s="17"/>
    </row>
    <row r="271" spans="4:4" x14ac:dyDescent="0.2">
      <c r="D271" s="17"/>
    </row>
    <row r="272" spans="4:4" x14ac:dyDescent="0.2">
      <c r="D272" s="17"/>
    </row>
    <row r="273" spans="4:4" x14ac:dyDescent="0.2">
      <c r="D273" s="17"/>
    </row>
    <row r="274" spans="4:4" x14ac:dyDescent="0.2">
      <c r="D274" s="17"/>
    </row>
    <row r="275" spans="4:4" x14ac:dyDescent="0.2">
      <c r="D275" s="17"/>
    </row>
    <row r="276" spans="4:4" x14ac:dyDescent="0.2">
      <c r="D276" s="17"/>
    </row>
    <row r="277" spans="4:4" x14ac:dyDescent="0.2">
      <c r="D277" s="17"/>
    </row>
    <row r="278" spans="4:4" x14ac:dyDescent="0.2">
      <c r="D278" s="17"/>
    </row>
    <row r="279" spans="4:4" x14ac:dyDescent="0.2">
      <c r="D279" s="17"/>
    </row>
    <row r="280" spans="4:4" x14ac:dyDescent="0.2">
      <c r="D280" s="17"/>
    </row>
    <row r="281" spans="4:4" x14ac:dyDescent="0.2">
      <c r="D281" s="17"/>
    </row>
    <row r="282" spans="4:4" x14ac:dyDescent="0.2">
      <c r="D282" s="17"/>
    </row>
    <row r="283" spans="4:4" x14ac:dyDescent="0.2">
      <c r="D283" s="17"/>
    </row>
    <row r="284" spans="4:4" x14ac:dyDescent="0.2">
      <c r="D284" s="17"/>
    </row>
    <row r="285" spans="4:4" x14ac:dyDescent="0.2">
      <c r="D285" s="17"/>
    </row>
    <row r="286" spans="4:4" x14ac:dyDescent="0.2">
      <c r="D286" s="17"/>
    </row>
    <row r="287" spans="4:4" x14ac:dyDescent="0.2">
      <c r="D287" s="17"/>
    </row>
    <row r="288" spans="4:4" x14ac:dyDescent="0.2">
      <c r="D288" s="17"/>
    </row>
    <row r="289" spans="4:4" x14ac:dyDescent="0.2">
      <c r="D289" s="17"/>
    </row>
    <row r="290" spans="4:4" x14ac:dyDescent="0.2">
      <c r="D290" s="17"/>
    </row>
    <row r="291" spans="4:4" x14ac:dyDescent="0.2">
      <c r="D291" s="17"/>
    </row>
    <row r="292" spans="4:4" x14ac:dyDescent="0.2">
      <c r="D292" s="17"/>
    </row>
    <row r="293" spans="4:4" x14ac:dyDescent="0.2">
      <c r="D293" s="17"/>
    </row>
    <row r="294" spans="4:4" x14ac:dyDescent="0.2">
      <c r="D294" s="17"/>
    </row>
    <row r="295" spans="4:4" x14ac:dyDescent="0.2">
      <c r="D295" s="17"/>
    </row>
    <row r="296" spans="4:4" x14ac:dyDescent="0.2">
      <c r="D296" s="17"/>
    </row>
    <row r="297" spans="4:4" x14ac:dyDescent="0.2">
      <c r="D297" s="17"/>
    </row>
    <row r="298" spans="4:4" x14ac:dyDescent="0.2">
      <c r="D298" s="17"/>
    </row>
    <row r="299" spans="4:4" x14ac:dyDescent="0.2">
      <c r="D299" s="17"/>
    </row>
    <row r="300" spans="4:4" x14ac:dyDescent="0.2">
      <c r="D300" s="17"/>
    </row>
    <row r="301" spans="4:4" x14ac:dyDescent="0.2">
      <c r="D301" s="17"/>
    </row>
    <row r="302" spans="4:4" x14ac:dyDescent="0.2">
      <c r="D302" s="17"/>
    </row>
    <row r="303" spans="4:4" x14ac:dyDescent="0.2">
      <c r="D303" s="17"/>
    </row>
    <row r="304" spans="4:4" x14ac:dyDescent="0.2">
      <c r="D304" s="17"/>
    </row>
    <row r="305" spans="4:4" x14ac:dyDescent="0.2">
      <c r="D305" s="17"/>
    </row>
    <row r="306" spans="4:4" x14ac:dyDescent="0.2">
      <c r="D306" s="17"/>
    </row>
    <row r="307" spans="4:4" x14ac:dyDescent="0.2">
      <c r="D307" s="17"/>
    </row>
    <row r="308" spans="4:4" x14ac:dyDescent="0.2">
      <c r="D308" s="17"/>
    </row>
    <row r="309" spans="4:4" x14ac:dyDescent="0.2">
      <c r="D309" s="17"/>
    </row>
    <row r="310" spans="4:4" x14ac:dyDescent="0.2">
      <c r="D310" s="17"/>
    </row>
    <row r="311" spans="4:4" x14ac:dyDescent="0.2">
      <c r="D311" s="17"/>
    </row>
    <row r="312" spans="4:4" x14ac:dyDescent="0.2">
      <c r="D312" s="17"/>
    </row>
    <row r="313" spans="4:4" x14ac:dyDescent="0.2">
      <c r="D313" s="17"/>
    </row>
    <row r="314" spans="4:4" x14ac:dyDescent="0.2">
      <c r="D314" s="17"/>
    </row>
    <row r="315" spans="4:4" x14ac:dyDescent="0.2">
      <c r="D315" s="17"/>
    </row>
    <row r="316" spans="4:4" x14ac:dyDescent="0.2">
      <c r="D316" s="17"/>
    </row>
    <row r="317" spans="4:4" x14ac:dyDescent="0.2">
      <c r="D317" s="17"/>
    </row>
    <row r="318" spans="4:4" x14ac:dyDescent="0.2">
      <c r="D318" s="17"/>
    </row>
    <row r="319" spans="4:4" x14ac:dyDescent="0.2">
      <c r="D319" s="17"/>
    </row>
    <row r="320" spans="4:4" x14ac:dyDescent="0.2">
      <c r="D320" s="17"/>
    </row>
    <row r="321" spans="4:4" x14ac:dyDescent="0.2">
      <c r="D321" s="17"/>
    </row>
    <row r="322" spans="4:4" x14ac:dyDescent="0.2">
      <c r="D322" s="17"/>
    </row>
    <row r="323" spans="4:4" x14ac:dyDescent="0.2">
      <c r="D323" s="17"/>
    </row>
    <row r="324" spans="4:4" x14ac:dyDescent="0.2">
      <c r="D324" s="17"/>
    </row>
    <row r="325" spans="4:4" x14ac:dyDescent="0.2">
      <c r="D325" s="17"/>
    </row>
    <row r="326" spans="4:4" x14ac:dyDescent="0.2">
      <c r="D326" s="17"/>
    </row>
    <row r="327" spans="4:4" x14ac:dyDescent="0.2">
      <c r="D327" s="17"/>
    </row>
    <row r="328" spans="4:4" x14ac:dyDescent="0.2">
      <c r="D328" s="17"/>
    </row>
    <row r="329" spans="4:4" x14ac:dyDescent="0.2">
      <c r="D329" s="17"/>
    </row>
    <row r="330" spans="4:4" x14ac:dyDescent="0.2">
      <c r="D330" s="17"/>
    </row>
    <row r="331" spans="4:4" x14ac:dyDescent="0.2">
      <c r="D331" s="17"/>
    </row>
    <row r="332" spans="4:4" x14ac:dyDescent="0.2">
      <c r="D332" s="17"/>
    </row>
    <row r="333" spans="4:4" x14ac:dyDescent="0.2">
      <c r="D333" s="17"/>
    </row>
    <row r="334" spans="4:4" x14ac:dyDescent="0.2">
      <c r="D334" s="17"/>
    </row>
    <row r="335" spans="4:4" x14ac:dyDescent="0.2">
      <c r="D335" s="17"/>
    </row>
    <row r="336" spans="4:4" x14ac:dyDescent="0.2">
      <c r="D336" s="17"/>
    </row>
    <row r="337" spans="4:4" x14ac:dyDescent="0.2">
      <c r="D337" s="17"/>
    </row>
    <row r="338" spans="4:4" x14ac:dyDescent="0.2">
      <c r="D338" s="17"/>
    </row>
    <row r="339" spans="4:4" x14ac:dyDescent="0.2">
      <c r="D339" s="17"/>
    </row>
    <row r="340" spans="4:4" x14ac:dyDescent="0.2">
      <c r="D340" s="17"/>
    </row>
    <row r="341" spans="4:4" x14ac:dyDescent="0.2">
      <c r="D341" s="17"/>
    </row>
    <row r="342" spans="4:4" x14ac:dyDescent="0.2">
      <c r="D342" s="17"/>
    </row>
    <row r="343" spans="4:4" x14ac:dyDescent="0.2">
      <c r="D343" s="17"/>
    </row>
    <row r="344" spans="4:4" x14ac:dyDescent="0.2">
      <c r="D344" s="17"/>
    </row>
    <row r="345" spans="4:4" x14ac:dyDescent="0.2">
      <c r="D345" s="17"/>
    </row>
    <row r="346" spans="4:4" x14ac:dyDescent="0.2">
      <c r="D346" s="17"/>
    </row>
    <row r="347" spans="4:4" x14ac:dyDescent="0.2">
      <c r="D347" s="17"/>
    </row>
    <row r="348" spans="4:4" x14ac:dyDescent="0.2">
      <c r="D348" s="17"/>
    </row>
    <row r="349" spans="4:4" x14ac:dyDescent="0.2">
      <c r="D349" s="17"/>
    </row>
    <row r="350" spans="4:4" x14ac:dyDescent="0.2">
      <c r="D350" s="17"/>
    </row>
    <row r="351" spans="4:4" x14ac:dyDescent="0.2">
      <c r="D351" s="17"/>
    </row>
    <row r="352" spans="4:4" x14ac:dyDescent="0.2">
      <c r="D352" s="17"/>
    </row>
    <row r="353" spans="4:4" x14ac:dyDescent="0.2">
      <c r="D353" s="17"/>
    </row>
    <row r="354" spans="4:4" x14ac:dyDescent="0.2">
      <c r="D354" s="17"/>
    </row>
    <row r="355" spans="4:4" x14ac:dyDescent="0.2">
      <c r="D355" s="17"/>
    </row>
    <row r="356" spans="4:4" x14ac:dyDescent="0.2">
      <c r="D356" s="17"/>
    </row>
    <row r="357" spans="4:4" x14ac:dyDescent="0.2">
      <c r="D357" s="17"/>
    </row>
    <row r="358" spans="4:4" x14ac:dyDescent="0.2">
      <c r="D358" s="17"/>
    </row>
    <row r="359" spans="4:4" x14ac:dyDescent="0.2">
      <c r="D359" s="17"/>
    </row>
    <row r="360" spans="4:4" x14ac:dyDescent="0.2">
      <c r="D360" s="17"/>
    </row>
    <row r="361" spans="4:4" x14ac:dyDescent="0.2">
      <c r="D361" s="17"/>
    </row>
    <row r="362" spans="4:4" x14ac:dyDescent="0.2">
      <c r="D362" s="17"/>
    </row>
    <row r="363" spans="4:4" x14ac:dyDescent="0.2">
      <c r="D363" s="17"/>
    </row>
    <row r="364" spans="4:4" x14ac:dyDescent="0.2">
      <c r="D364" s="17"/>
    </row>
    <row r="365" spans="4:4" x14ac:dyDescent="0.2">
      <c r="D365" s="17"/>
    </row>
    <row r="366" spans="4:4" x14ac:dyDescent="0.2">
      <c r="D366" s="17"/>
    </row>
    <row r="367" spans="4:4" x14ac:dyDescent="0.2">
      <c r="D367" s="17"/>
    </row>
    <row r="368" spans="4:4" x14ac:dyDescent="0.2">
      <c r="D368" s="17"/>
    </row>
    <row r="369" spans="4:4" x14ac:dyDescent="0.2">
      <c r="D369" s="17"/>
    </row>
    <row r="370" spans="4:4" x14ac:dyDescent="0.2">
      <c r="D370" s="17"/>
    </row>
    <row r="371" spans="4:4" x14ac:dyDescent="0.2">
      <c r="D371" s="17"/>
    </row>
    <row r="372" spans="4:4" x14ac:dyDescent="0.2">
      <c r="D372" s="17"/>
    </row>
    <row r="373" spans="4:4" x14ac:dyDescent="0.2">
      <c r="D373" s="17"/>
    </row>
    <row r="374" spans="4:4" x14ac:dyDescent="0.2">
      <c r="D374" s="17"/>
    </row>
    <row r="375" spans="4:4" x14ac:dyDescent="0.2">
      <c r="D375" s="17"/>
    </row>
    <row r="376" spans="4:4" x14ac:dyDescent="0.2">
      <c r="D376" s="17"/>
    </row>
    <row r="377" spans="4:4" x14ac:dyDescent="0.2">
      <c r="D377" s="17"/>
    </row>
    <row r="378" spans="4:4" x14ac:dyDescent="0.2">
      <c r="D378" s="17"/>
    </row>
    <row r="379" spans="4:4" x14ac:dyDescent="0.2">
      <c r="D379" s="17"/>
    </row>
    <row r="380" spans="4:4" x14ac:dyDescent="0.2">
      <c r="D380" s="17"/>
    </row>
    <row r="381" spans="4:4" x14ac:dyDescent="0.2">
      <c r="D381" s="17"/>
    </row>
    <row r="382" spans="4:4" x14ac:dyDescent="0.2">
      <c r="D382" s="17"/>
    </row>
    <row r="383" spans="4:4" x14ac:dyDescent="0.2">
      <c r="D383" s="17"/>
    </row>
    <row r="384" spans="4:4" x14ac:dyDescent="0.2">
      <c r="D384" s="17"/>
    </row>
    <row r="385" spans="4:4" x14ac:dyDescent="0.2">
      <c r="D385" s="17"/>
    </row>
    <row r="386" spans="4:4" x14ac:dyDescent="0.2">
      <c r="D386" s="17"/>
    </row>
    <row r="387" spans="4:4" x14ac:dyDescent="0.2">
      <c r="D387" s="17"/>
    </row>
    <row r="388" spans="4:4" x14ac:dyDescent="0.2">
      <c r="D388" s="17"/>
    </row>
    <row r="389" spans="4:4" x14ac:dyDescent="0.2">
      <c r="D389" s="17"/>
    </row>
    <row r="390" spans="4:4" x14ac:dyDescent="0.2">
      <c r="D390" s="17"/>
    </row>
    <row r="391" spans="4:4" x14ac:dyDescent="0.2">
      <c r="D391" s="17"/>
    </row>
    <row r="392" spans="4:4" x14ac:dyDescent="0.2">
      <c r="D392" s="17"/>
    </row>
    <row r="393" spans="4:4" x14ac:dyDescent="0.2">
      <c r="D393" s="17"/>
    </row>
    <row r="394" spans="4:4" x14ac:dyDescent="0.2">
      <c r="D394" s="17"/>
    </row>
    <row r="395" spans="4:4" x14ac:dyDescent="0.2">
      <c r="D395" s="17"/>
    </row>
    <row r="396" spans="4:4" x14ac:dyDescent="0.2">
      <c r="D396" s="17"/>
    </row>
    <row r="397" spans="4:4" x14ac:dyDescent="0.2">
      <c r="D397" s="17"/>
    </row>
    <row r="398" spans="4:4" x14ac:dyDescent="0.2">
      <c r="D398" s="17"/>
    </row>
    <row r="399" spans="4:4" x14ac:dyDescent="0.2">
      <c r="D399" s="17"/>
    </row>
    <row r="400" spans="4:4" x14ac:dyDescent="0.2">
      <c r="D400" s="17"/>
    </row>
    <row r="401" spans="4:4" x14ac:dyDescent="0.2">
      <c r="D401" s="17"/>
    </row>
    <row r="402" spans="4:4" x14ac:dyDescent="0.2">
      <c r="D402" s="17"/>
    </row>
    <row r="403" spans="4:4" x14ac:dyDescent="0.2">
      <c r="D403" s="17"/>
    </row>
    <row r="404" spans="4:4" x14ac:dyDescent="0.2">
      <c r="D404" s="17"/>
    </row>
    <row r="405" spans="4:4" x14ac:dyDescent="0.2">
      <c r="D405" s="17"/>
    </row>
    <row r="406" spans="4:4" x14ac:dyDescent="0.2">
      <c r="D406" s="17"/>
    </row>
    <row r="407" spans="4:4" x14ac:dyDescent="0.2">
      <c r="D407" s="17"/>
    </row>
    <row r="408" spans="4:4" x14ac:dyDescent="0.2">
      <c r="D408" s="17"/>
    </row>
    <row r="409" spans="4:4" x14ac:dyDescent="0.2">
      <c r="D409" s="17"/>
    </row>
    <row r="410" spans="4:4" x14ac:dyDescent="0.2">
      <c r="D410" s="17"/>
    </row>
    <row r="411" spans="4:4" x14ac:dyDescent="0.2">
      <c r="D411" s="17"/>
    </row>
    <row r="412" spans="4:4" x14ac:dyDescent="0.2">
      <c r="D412" s="17"/>
    </row>
    <row r="413" spans="4:4" x14ac:dyDescent="0.2">
      <c r="D413" s="17"/>
    </row>
    <row r="414" spans="4:4" x14ac:dyDescent="0.2">
      <c r="D414" s="17"/>
    </row>
    <row r="415" spans="4:4" x14ac:dyDescent="0.2">
      <c r="D415" s="17"/>
    </row>
    <row r="416" spans="4:4" x14ac:dyDescent="0.2">
      <c r="D416" s="17"/>
    </row>
    <row r="417" spans="4:4" x14ac:dyDescent="0.2">
      <c r="D417" s="17"/>
    </row>
    <row r="418" spans="4:4" x14ac:dyDescent="0.2">
      <c r="D418" s="17"/>
    </row>
    <row r="419" spans="4:4" x14ac:dyDescent="0.2">
      <c r="D419" s="17"/>
    </row>
    <row r="420" spans="4:4" x14ac:dyDescent="0.2">
      <c r="D420" s="17"/>
    </row>
    <row r="421" spans="4:4" x14ac:dyDescent="0.2">
      <c r="D421" s="17"/>
    </row>
    <row r="422" spans="4:4" x14ac:dyDescent="0.2">
      <c r="D422" s="17"/>
    </row>
    <row r="423" spans="4:4" x14ac:dyDescent="0.2">
      <c r="D423" s="17"/>
    </row>
    <row r="424" spans="4:4" x14ac:dyDescent="0.2">
      <c r="D424" s="17"/>
    </row>
    <row r="425" spans="4:4" x14ac:dyDescent="0.2">
      <c r="D425" s="17"/>
    </row>
    <row r="426" spans="4:4" x14ac:dyDescent="0.2">
      <c r="D426" s="17"/>
    </row>
    <row r="427" spans="4:4" x14ac:dyDescent="0.2">
      <c r="D427" s="17"/>
    </row>
    <row r="428" spans="4:4" x14ac:dyDescent="0.2">
      <c r="D428" s="17"/>
    </row>
    <row r="429" spans="4:4" x14ac:dyDescent="0.2">
      <c r="D429" s="17"/>
    </row>
    <row r="430" spans="4:4" x14ac:dyDescent="0.2">
      <c r="D430" s="17"/>
    </row>
    <row r="431" spans="4:4" x14ac:dyDescent="0.2">
      <c r="D431" s="17"/>
    </row>
    <row r="432" spans="4:4" x14ac:dyDescent="0.2">
      <c r="D432" s="17"/>
    </row>
    <row r="433" spans="4:4" x14ac:dyDescent="0.2">
      <c r="D433" s="17"/>
    </row>
    <row r="434" spans="4:4" x14ac:dyDescent="0.2">
      <c r="D434" s="17"/>
    </row>
    <row r="435" spans="4:4" x14ac:dyDescent="0.2">
      <c r="D435" s="17"/>
    </row>
    <row r="436" spans="4:4" x14ac:dyDescent="0.2">
      <c r="D436" s="17"/>
    </row>
    <row r="437" spans="4:4" x14ac:dyDescent="0.2">
      <c r="D437" s="17"/>
    </row>
    <row r="438" spans="4:4" x14ac:dyDescent="0.2">
      <c r="D438" s="17"/>
    </row>
    <row r="439" spans="4:4" x14ac:dyDescent="0.2">
      <c r="D439" s="17"/>
    </row>
    <row r="440" spans="4:4" x14ac:dyDescent="0.2">
      <c r="D440" s="17"/>
    </row>
    <row r="441" spans="4:4" x14ac:dyDescent="0.2">
      <c r="D441" s="17"/>
    </row>
    <row r="442" spans="4:4" x14ac:dyDescent="0.2">
      <c r="D442" s="17"/>
    </row>
    <row r="443" spans="4:4" x14ac:dyDescent="0.2">
      <c r="D443" s="17"/>
    </row>
    <row r="444" spans="4:4" x14ac:dyDescent="0.2">
      <c r="D444" s="17"/>
    </row>
    <row r="445" spans="4:4" x14ac:dyDescent="0.2">
      <c r="D445" s="17"/>
    </row>
    <row r="446" spans="4:4" x14ac:dyDescent="0.2">
      <c r="D446" s="17"/>
    </row>
    <row r="447" spans="4:4" x14ac:dyDescent="0.2">
      <c r="D447" s="17"/>
    </row>
    <row r="448" spans="4:4" x14ac:dyDescent="0.2">
      <c r="D448" s="17"/>
    </row>
    <row r="449" spans="4:4" x14ac:dyDescent="0.2">
      <c r="D449" s="17"/>
    </row>
    <row r="450" spans="4:4" x14ac:dyDescent="0.2">
      <c r="D450" s="17"/>
    </row>
    <row r="451" spans="4:4" x14ac:dyDescent="0.2">
      <c r="D451" s="17"/>
    </row>
    <row r="452" spans="4:4" x14ac:dyDescent="0.2">
      <c r="D452" s="17"/>
    </row>
    <row r="453" spans="4:4" x14ac:dyDescent="0.2">
      <c r="D453" s="17"/>
    </row>
    <row r="454" spans="4:4" x14ac:dyDescent="0.2">
      <c r="D454" s="17"/>
    </row>
    <row r="455" spans="4:4" x14ac:dyDescent="0.2">
      <c r="D455" s="17"/>
    </row>
    <row r="456" spans="4:4" x14ac:dyDescent="0.2">
      <c r="D456" s="17"/>
    </row>
    <row r="457" spans="4:4" x14ac:dyDescent="0.2">
      <c r="D457" s="17"/>
    </row>
    <row r="458" spans="4:4" x14ac:dyDescent="0.2">
      <c r="D458" s="17"/>
    </row>
    <row r="459" spans="4:4" x14ac:dyDescent="0.2">
      <c r="D459" s="17"/>
    </row>
    <row r="460" spans="4:4" x14ac:dyDescent="0.2">
      <c r="D460" s="17"/>
    </row>
    <row r="461" spans="4:4" x14ac:dyDescent="0.2">
      <c r="D461" s="17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3B961-8857-435E-825D-EB978D1AD561}">
  <sheetPr codeName="Planilha3"/>
  <dimension ref="A1:J97"/>
  <sheetViews>
    <sheetView workbookViewId="0">
      <selection activeCell="A8" sqref="A8"/>
    </sheetView>
  </sheetViews>
  <sheetFormatPr defaultRowHeight="12.75" x14ac:dyDescent="0.2"/>
  <cols>
    <col min="1" max="1" width="9.140625" style="1"/>
    <col min="2" max="2" width="10.140625" style="1" bestFit="1" customWidth="1"/>
    <col min="3" max="3" width="13.7109375" style="1" bestFit="1" customWidth="1"/>
    <col min="4" max="4" width="6" style="1" bestFit="1" customWidth="1"/>
    <col min="5" max="5" width="8" style="1" bestFit="1" customWidth="1"/>
    <col min="6" max="6" width="12.28515625" style="1" bestFit="1" customWidth="1"/>
    <col min="7" max="7" width="7" style="1" bestFit="1" customWidth="1"/>
    <col min="8" max="8" width="7.5703125" style="1" bestFit="1" customWidth="1"/>
    <col min="9" max="9" width="19.28515625" style="1" bestFit="1" customWidth="1"/>
    <col min="10" max="10" width="11.140625" style="1" bestFit="1" customWidth="1"/>
    <col min="11" max="16384" width="9.140625" style="1"/>
  </cols>
  <sheetData>
    <row r="1" spans="1:10" s="8" customFormat="1" x14ac:dyDescent="0.2">
      <c r="A1" s="7" t="s">
        <v>78</v>
      </c>
    </row>
    <row r="2" spans="1:10" ht="15" x14ac:dyDescent="0.25">
      <c r="A2" s="20" t="s">
        <v>79</v>
      </c>
    </row>
    <row r="4" spans="1:10" s="8" customFormat="1" x14ac:dyDescent="0.2">
      <c r="A4" s="7" t="s">
        <v>24</v>
      </c>
    </row>
    <row r="5" spans="1:10" x14ac:dyDescent="0.2">
      <c r="A5" s="1" t="str">
        <f>_xlfn.WEBSERVICE(A2)</f>
        <v>{"@odata.context":"https://was-p.bcnet.bcb.gov.br/olinda/servico/Expectativas/versao/v1/odata$metadata#ExpectativaMercadoMensais","value":[{"Indicador":"IPCA","Data":"2000-01-03","DataReferencia":"04/2000","Media":0.6000,"Mediana":0.6000,"DesvioPadrao":0.1900,"Minimo":null,"Maximo":null,"numeroRespondentes":null,"baseCalculo":0},{"Indicador":"IPCA","Data":"2000-01-04","DataReferencia":"04/2000","Media":0.6000,"Mediana":0.6000,"DesvioPadrao":0.1900,"Minimo":null,"Maximo":null,"numeroRespondentes":null,"baseCalculo":0},{"Indicador":"IPCA","Data":"2000-01-05","DataReferencia":"04/2000","Media":0.6100,"Mediana":0.6000,"DesvioPadrao":0.1900,"Minimo":null,"Maximo":null,"numeroRespondentes":null,"baseCalculo":0},{"Indicador":"IPCA","Data":"2000-01-06","DataReferencia":"04/2000","Media":0.6000,"Mediana":0.6000,"DesvioPadrao":0.1900,"Minimo":null,"Maximo":null,"numeroRespondentes":null,"baseCalculo":0},{"Indicador":"IPCA","Data":"2000-01-07","DataReferencia":"04/2000","Media":0.6000,"Mediana":0.6000,"DesvioPadrao":0.1900,"Minimo":null,"Maximo":null,"numeroRespondentes":null,"baseCalculo":0},{"Indicador":"IPCA","Data":"2000-01-10","DataReferencia":"04/2000","Media":0.6000,"Mediana":0.6000,"DesvioPadrao":0.1900,"Minimo":null,"Maximo":null,"numeroRespondentes":null,"baseCalculo":0},{"Indicador":"IPCA","Data":"2000-01-11","DataReferencia":"04/2000","Media":0.6000,"Mediana":0.6000,"DesvioPadrao":0.1900,"Minimo":null,"Maximo":null,"numeroRespondentes":null,"baseCalculo":0},{"Indicador":"IPCA","Data":"2000-01-12","DataReferencia":"04/2000","Media":0.5800,"Mediana":0.6000,"DesvioPadrao":0.1900,"Minimo":null,"Maximo":null,"numeroRespondentes":null,"baseCalculo":0},{"Indicador":"IPCA","Data":"2000-01-13","DataReferencia":"04/2000","Media":0.5500,"Mediana":0.5000,"DesvioPadrao":0.1700,"Minimo":null,"Maximo":null,"numeroRespondentes":null,"baseCalculo":0},{"Indicador":"IPCA","Data":"2000-01-14","DataReferencia":"04/2000","Media":0.5500,"Mediana":0.5000,"DesvioPadrao":0.1700,"Minimo":null,"Maximo":null,"numeroRespondentes":null,"baseCalculo":0},{"Indicador":"IPCA","Data":"2000-01-17","DataReferencia":"04/2000","Media":0.5500,"Mediana":0.5000,"DesvioPadrao":0.1600,"Minimo":null,"Maximo":null,"numeroRespondentes":null,"baseCalculo":0},{"Indicador":"IPCA","Data":"2000-01-18","DataReferencia":"04/2000","Media":0.5400,"Mediana":0.5000,"DesvioPadrao":0.1600,"Minimo":null,"Maximo":null,"numeroRespondentes":null,"baseCalculo":0},{"Indicador":"IPCA","Data":"2000-01-19","DataReferencia":"04/2000","Media":0.5400,"Mediana":0.5000,"DesvioPadrao":0.1700,"Minimo":null,"Maximo":null,"numeroRespondentes":null,"baseCalculo":0},{"Indicador":"IPCA","Data":"2000-01-20","DataReferencia":"04/2000","Media":0.5300,"Mediana":0.5000,"DesvioPadrao":0.1700,"Minimo":null,"Maximo":null,"numeroRespondentes":null,"baseCalculo":0},{"Indicador":"IPCA","Data":"2000-01-21","DataReferencia":"04/2000","Media":0.5300,"Mediana":0.5000,"DesvioPadrao":0.1600,"Minimo":null,"Maximo":null,"numeroRespondentes":null,"baseCalculo":0},{"Indicador":"IPCA","Data":"2000-01-24","DataReferencia":"04/2000","Media":0.5300,"Mediana":0.5000,"DesvioPadrao":0.1600,"Minimo":null,"Maximo":null,"numeroRespondentes":null,"baseCalculo":0},{"Indicador":"IPCA","Data":"2000-01-25","DataReferencia":"04/2000","Media":0.5300,"Mediana":0.5000,"DesvioPadrao":0.1600,"Minimo":null,"Maximo":null,"numeroRespondentes":null,"baseCalculo":0},{"Indicador":"IPCA","Data":"2000-01-26","DataReferencia":"04/2000","Media":0.5300,"Mediana":0.5000,"DesvioPadrao":0.1600,"Minimo":null,"Maximo":null,"numeroRespondentes":null,"baseCalculo":0},{"Indicador":"IPCA","Data":"2000-01-27","DataReferencia":"04/2000","Media":0.5300,"Mediana":0.5000,"DesvioPadrao":0.1600,"Minimo":null,"Maximo":null,"numeroRespondentes":null,"baseCalculo":0},{"Indicador":"IPCA","Data":"2000-01-28","DataReferencia":"04/2000","Media":0.5300,"Mediana":0.5000,"DesvioPadrao":0.1600,"Minimo":null,"Maximo":null,"numeroRespondentes":null,"baseCalculo":0},{"Indicador":"IPCA","Data":"2000-01-31","DataReferencia":"04/2000","Media":0.5300,"Mediana":0.5000,"DesvioPadrao":0.1600,"Minimo":null,"Maximo":null,"numeroRespondentes":null,"baseCalculo":0},{"Indicador":"IPCA","Data":"2000-02-01","DataReferencia":"04/2000","Media":0.5300,"Mediana":0.5000,"DesvioPadrao":0.1600,"Minimo":null,"Maximo":null,"numeroRespondentes":null,"baseCalculo":0},{"Indicador":"IPCA","Data":"2000-02-02","DataReferencia":"04/2000","Media":0.5300,"Mediana":0.5000,"DesvioPadrao":0.1600,"Minimo":null,"Maximo":null,"numeroRespondentes":null,"baseCalculo":0},{"Indicador":"IPCA","Data":"2000-02-03","DataReferencia":"04/2000","Media":0.5300,"Mediana":0.5000,"DesvioPadrao":0.1600,"Minimo":null,"Maximo":null,"numeroRespondentes":null,"baseCalculo":0},{"Indicador":"IPCA","Data":"2000-02-04","DataReferencia":"04/2000","Media":0.5400,"Mediana":0.5000,"DesvioPadrao":0.1500,"Minimo":null,"Maximo":null,"numeroRespondentes":null,"baseCalculo":0},{"Indicador":"IPCA","Data":"2000-02-07","DataReferencia":"04/2000","Media":0.5400,"Mediana":0.5000,"DesvioPadrao":0.1500,"Minimo":null,"Maximo":null,"numeroRespondentes":null,"baseCalculo":0},{"Indicador":"IPCA","Data":"2000-02-08","DataReferencia":"04/2000","Media":0.5400,"Mediana":0.5000,"DesvioPadrao":0.1500,"Minimo":null,"Maximo":null,"numeroRespondentes":null,"baseCalculo":0},{"Indicador":"IPCA","Data":"2000-02-09","DataReferencia":"04/2000","Media":0.5300,"Mediana":0.5000,"DesvioPadrao":0.1500,"Minimo":null,"Maximo":null,"numeroRespondentes":null,"baseCalculo":0},{"Indicador":"IPCA","Data":"2000-02-10","DataReferencia":"04/2000","Media":0.5300,"Mediana":0.5000,"DesvioPadrao":0.1500,"Minimo":null,"Maximo":null,"numeroRespondentes":null,"baseCalculo":0},{"Indicador":"IPCA","Data":"2000-02-11","DataReferencia":"04/2000","Media":0.5300,"Mediana":0.5000,"DesvioPadrao":0.1500,"Minimo":null,"Maximo":null,"numeroRespondentes":null,"baseCalculo":0},{"Indicador":"IPCA","Data":"2000-02-14","DataReferencia":"04/2000","Media":0.5300,"Mediana":0.5000,"DesvioPadrao":0.1400,"Minimo":null,"Maximo":null,"numeroRespondentes":null,"baseCalculo":0},{"Indicador":"IPCA","Data":"2000-02-15","DataReferencia":"04/2000","Media":0.5300,"Mediana":0.5000,"DesvioPadrao":0.1400,"Minimo":null,"Maximo":null,"numeroRespondentes":null,"baseCalculo":0},{"Indicador":"IPCA","Data":"2000-02-16","DataReferencia":"04/2000","Media":0.5300,"Mediana":0.5000,"DesvioPadrao":0.1400,"Minimo":null,"Maximo":null,"numeroRespondentes":null,"baseCalculo":0},{"Indicador":"IPCA","Data":"2000-02-17","DataReferencia":"04/2000","Media":0.5300,"Mediana":0.5000,"DesvioPadrao":0.1500,"Minimo":null,"Maximo":null,"numeroRespondentes":null,"baseCalculo":0},{"Indicador":"IPCA","Data":"2000-02-18","DataReferencia":"04/2000","Media":0.5300,"Mediana":0.5000,"DesvioPadrao":0.1400,"Minimo":null,"Maximo":null,"numeroRespondentes":null,"baseCalculo":0},{"Indicador":"IPCA","Data":"2000-02-21","DataReferencia":"04/2000","Media":0.5400,"Mediana":0.5000,"DesvioPadrao":0.1500,"Minimo":null,"Maximo":null,"numeroRespondentes":null,"baseCalculo":0},{"Indicador":"IPCA","Data":"2000-02-22","DataReferencia":"04/2000","Media":0.5400,"Mediana":0.5000,"DesvioPadrao":0.1500,"Minimo":null,"Maximo":null,"numeroRespondentes":null,"baseCalculo":0},{"Indicador":"IPCA","Data":"2000-02-23","DataReferencia":"04/2000","Media":0.5500,"Mediana":0.5300,"DesvioPadrao":0.1400,"Minimo":null,"Maximo":null,"numeroRespondentes":null,"baseCalculo":0},{"Indicador":"IPCA","Data":"2000-02-24","DataReferencia":"04/2000","Media":0.5500,"Mediana":0.5300,"DesvioPadrao":0.1500,"Minimo":null,"Maximo":null,"numeroRespondentes":null,"baseCalculo":0},{"Indicador":"IPCA","Data":"2000-02-25","DataReferencia":"04/2000","Media":0.5500,"Mediana":0.5300,"DesvioPadrao":0.1500,"Minimo":null,"Maximo":null,"numeroRespondentes":null,"baseCalculo":0},{"Indicador":"IPCA","Data":"2000-02-28","DataReferencia":"04/2000","Media":0.5500,"Mediana":0.5300,"DesvioPadrao":0.1500,"Minimo":null,"Maximo":null,"numeroRespondentes":null,"baseCalculo":0},{"Indicador":"IPCA","Data":"2000-02-29","DataReferencia":"04/2000","Media":0.5500,"Mediana":0.5300,"DesvioPadrao":0.1500,"Minimo":null,"Maximo":null,"numeroRespondentes":null,"baseCalculo":0},{"Indicador":"IPCA","Data":"2000-03-01","DataReferencia":"04/2000","Media":0.5400,"Mediana":0.5000,"DesvioPadrao":0.1500,"Minimo":null,"Maximo":null,"numeroRespondentes":null,"baseCalculo":0},{"Indicador":"IPCA","Data":"2000-03-02","DataReferencia":"04/2000","Media":0.5300,"Mediana":0.5000,"DesvioPadrao":0.1500,"Minimo":null,"Maximo":null,"numeroRespondentes":null,"baseCalculo":0},{"Indicador":"IPCA","Data":"2000-03-03","DataReferencia":"04/2000","Media":0.5200,"Mediana":0.5200,"DesvioPadrao":0.1400,"Minimo":null,"Maximo":null,"numeroRespondentes":null,"baseCalculo":0},{"Indicador":"IPCA","Data":"2000-03-08","DataReferencia":"04/2000","Media":0.5200,"Mediana":0.5200,"DesvioPadrao":0.1400,"Minimo":null,"Maximo":null,"numeroRespondentes":null,"baseCalculo":0},{"Indicador":"IPCA","Data":"2000-03-09","DataReferencia":"04/2000","Media":0.5200,"Mediana":0.5200,"DesvioPadrao":0.1400,"Minimo":null,"Maximo":null,"numeroRespondentes":null,"baseCalculo":0},{"Indicador":"IPCA","Data":"2000-03-10","DataReferencia":"04/2000","Media":0.5200,"Mediana":0.5200,"DesvioPadrao":0.1400,"Minimo":null,"Maximo":null,"numeroRespondentes":null,"baseCalculo":0},{"Indicador":"IPCA","Data":"2000-03-13","DataReferencia":"04/2000","Media":0.5200,"Mediana":0.5400,"DesvioPadrao":0.1400,"Minimo":null,"Maximo":null,"numeroRespondentes":null,"baseCalculo":0},{"Indicador":"IPCA","Data":"2000-03-14","DataReferencia":"04/2000","Media":0.5200,"Mediana":0.5400,"DesvioPadrao":0.1400,"Minimo":null,"Maximo":null,"numeroRespondentes":null,"baseCalculo":0},{"Indicador":"IPCA","Data":"2000-03-15","DataReferencia":"04/2000","Media":0.5200,"Mediana":0.5400,"DesvioPadrao":0.1400,"Minimo":null,"Maximo":null,"numeroRespondentes":null,"baseCalculo":0},{"Indicador":"IPCA","Data":"2000-03-16","DataReferencia":"04/2000","Media":0.5100,"Mediana":0.5200,"DesvioPadrao":0.1400,"Minimo":null,"Maximo":null,"numeroRespondentes":null,"baseCalculo":0},{"Indicador":"IPCA","Data":"2000-03-17","DataReferencia":"04/2000","Media":0.4900,"Mediana":0.5000,"DesvioPadrao":0.1500,"Minimo":null,"Maximo":null,"numeroRespondentes":null,"baseCalculo":0},{"Indicador":"IPCA","Data":"2000-03-20","DataReferencia":"04/2000","Media":0.4800,"Mediana":0.4700,"DesvioPadrao":0.1400,"Minimo":null,"Maximo":null,"numeroRespondentes":null,"baseCalculo":0},{"Indicador":"IPCA","Data":"2000-03-21","DataReferencia":"04/2000","Media":0.4800,"Mediana":0.4500,"DesvioPadrao":0.1400,"Minimo":null,"Maximo":null,"numeroRespondentes":null,"baseCalculo":0},{"Indicador":"IPCA","Data":"2000-03-22","DataReferencia":"04/2000","Media":0.4800,"Mediana":0.4500,"DesvioPadrao":0.1400,"Minimo":null,"Maximo":null,"numeroRespondentes":null,"baseCalculo":0},{"Indicador":"IPCA","Data":"2000-03-23","DataReferencia":"04/2000","Media":0.4900,"Mediana":0.4900,"DesvioPadrao":0.1500,"Minimo":null,"Maximo":null,"numeroRespondentes":null,"baseCalculo":0},{"Indicador":"IPCA","Data":"2000-03-24","DataReferencia":"04/2000","Media":0.5500,"Mediana":0.5900,"DesvioPadrao":0.1500,"Minimo":null,"Maximo":null,"numeroRespondentes":null,"baseCalculo":0},{"Indicador":"IPCA","Data":"2000-03-27","DataReferencia":"04/2000","Media":0.5500,"Mediana":0.5900,"DesvioPadrao":0.1600,"Minimo":null,"Maximo":null,"numeroRespondentes":null,"baseCalculo":0},{"Indicador":"IPCA","Data":"2000-03-28","DataReferencia":"04/2000","Media":0.5500,"Mediana":0.5900,"DesvioPadrao":0.1600,"Minimo":null,"Maximo":null,"numeroRespondentes":null,"baseCalculo":0},{"Indicador":"IPCA","Data":"2000-03-29","DataReferencia":"04/2000","Media":0.5400,"Mediana":0.5500,"DesvioPadrao":0.1500,"Minimo":null,"Maximo":null,"numeroRespondentes":null,"baseCalculo":0},{"Indicador":"IPCA","Data":"2000-03-30","DataReferencia":"04/2000","Media":0.5500,"Mediana":0.5700,"DesvioPadrao":0.1500,"Minimo":null,"Maximo":null,"numeroRespondentes":null,"baseCalculo":0},{"Indicador":"IPCA","Data":"2000-03-31","DataReferencia":"04/2000","Media":0.5500,"Mediana":0.5600,"DesvioPadrao":0.1500,"Minimo":null,"Maximo":null,"numeroRespondentes":null,"baseCalculo":0},{"Indicador":"IPCA","Data":"2000-04-03","DataReferencia":"04/2000","Media":0.5500,"Mediana":0.5900,"DesvioPadrao":0.1600,"Minimo":null,"Maximo":null,"numeroRespondentes":null,"baseCalculo":0},{"Indicador":"IPCA","Data":"2000-04-04","DataReferencia":"04/2000","Media":0.5500,"Mediana":0.5900,"DesvioPadrao":0.1600,"Minimo":null,"Maximo":null,"numeroRespondentes":null,"baseCalculo":0},{"Indicador":"IPCA","Data":"2000-04-05","DataReferencia":"04/2000","Media":0.5700,"Mediana":0.6000,"DesvioPadrao":0.1600,"Minimo":null,"Maximo":null,"numeroRespondentes":null,"baseCalculo":0},{"Indicador":"IPCA","Data":"2000-04-06","DataReferencia":"04/2000","Media":0.5600,"Mediana":0.6000,"DesvioPadrao":0.1600,"Minimo":null,"Maximo":null,"numeroRespondentes":null,"baseCalculo":0},{"Indicador":"IPCA","Data":"2000-04-07","DataReferencia":"04/2000","Media":0.5600,"Mediana":0.6000,"DesvioPadrao":0.1700,"Minimo":null,"Maximo":null,"numeroRespondentes":null,"baseCalculo":0},{"Indicador":"IPCA","Data":"2000-04-10","DataReferencia":"04/2000","Media":0.5600,"Mediana":0.6000,"DesvioPadrao":0.1700,"Minimo":null,"Maximo":null,"numeroRespondentes":null,"baseCalculo":0},{"Indicador":"IPCA","Data":"2000-04-11","DataReferencia":"04/2000","Media":0.5600,"Mediana":0.6000,"DesvioPadrao":0.1700,"Minimo":null,"Maximo":null,"numeroRespondentes":null,"baseCalculo":0},{"Indicador":"IPCA","Data":"2000-04-12","DataReferencia":"04/2000","Media":0.5700,"Mediana":0.6000,"DesvioPadrao":0.1600,"Minimo":null,"Maximo":null,"numeroRespondentes":null,"baseCalculo":0},{"Indicador":"IPCA","Data":"2000-04-13","DataReferencia":"04/2000","Media":0.5700,"Mediana":0.6000,"DesvioPadrao":0.1700,"Minimo":null,"Maximo":null,"numeroRespondentes":null,"baseCalculo":0},{"Indicador":"IPCA","Data":"2000-04-14","DataReferencia":"04/2000","Media":0.5700,"Mediana":0.6000,"DesvioPadrao":0.1700,"Minimo":null,"Maximo":null,"numeroRespondentes":null,"baseCalculo":0},{"Indicador":"IPCA","Data":"2000-04-17","DataReferencia":"04/2000","Media":0.5800,"Mediana":0.6000,"DesvioPadrao":0.1600,"Minimo":null,"Maximo":null,"numeroRespondentes":null,"baseCalculo":0},{"Indicador":"IPCA","Data":"2000-04-18","DataReferencia":"04/2000","Media":0.5800,"Mediana":0.6000,"DesvioPadrao":0.1600,"Minimo":null,"Maximo":null,"numeroRespondentes":null,"baseCalculo":0},{"Indicador":"IPCA","Data":"2000-04-19","DataReferencia":"04/2000","Media":0.5700,"Mediana":0.6000,"DesvioPadrao":0.1600,"Minimo":null,"Maximo":null,"numeroRespondentes":null,"baseCalculo":0},{"Indicador":"IPCA","Data":"2000-04-20","DataReferencia":"04/2000","Media":0.5700,"Mediana":0.6000,"DesvioPadrao":0.1600,"Minimo":null,"Maximo":null,"numeroRespondentes":null,"baseCalculo":0},{"Indicador":"IPCA","Data":"2000-04-24","DataReferencia":"04/2000","Media":0.5700,"Mediana":0.6000,"DesvioPadrao":0.1600,"Minimo":null,"Maximo":null,"numeroRespondentes":null,"baseCalculo":0},{"Indicador":"IPCA","Data":"2000-04-25","DataReferencia":"04/2000","Media":0.5700,"Mediana":0.6000,"DesvioPadrao":0.1600,"Minimo":null,"Maximo":null,"numeroRespondentes":null,"baseCalculo":0},{"Indicador":"IPCA","Data":"2000-04-26","DataReferencia":"04/2000","Media":0.5700,"Mediana":0.6000,"DesvioPadrao":0.1600,"Minimo":null,"Maximo":null,"numeroRespondentes":null,"baseCalculo":0},{"Indicador":"IPCA","Data":"2000-04-27","DataReferencia":"04/2000","Media":0.5700,"Mediana":0.6000,"DesvioPadrao":0.1600,"Minimo":null,"Maximo":null,"numeroRespondentes":null,"baseCalculo":0},{"Indicador":"IPCA","Data":"2000-04-28","DataReferencia":"04/2000","Media":0.5700,"Mediana":0.6000,"DesvioPadrao":0.1600,"Minimo":null,"Maximo":null,"numeroRespondentes":null,"baseCalculo":0},{"Indicador":"IPCA","Data":"2000-05-02","DataReferencia":"04/2000","Media":0.5600,"Mediana":0.5800,"DesvioPadrao":0.1700,"Minimo":null,"Maximo":null,"numeroRespondentes":null,"baseCalculo":0},{"Indicador":"IPCA","Data":"2000-05-03","DataReferencia":"04/2000","Media":0.5600,"Mediana":0.6000,"DesvioPadrao":0.1600,"Minimo":null,"Maximo":null,"numeroRespondentes":null,"baseCalculo":0},{"Indicador":"IPCA","Data":"2000-05-04","DataReferencia":"04/2000","Media":0.5400,"Mediana":0.6000,"DesvioPadrao":0.1700,"Minimo":null,"Maximo":null,"numeroRespondentes":null,"baseCalculo":0},{"Indicador":"IPCA","Data":"2000-05-05","DataReferencia":"04/2000","Media":0.5300,"Mediana":0.5500,"DesvioPadrao":0.1600,"Minimo":null,"Maximo":null,"numeroRespondentes":null,"baseCalculo":0},{"Indicador":"IPCA","Data":"2000-05-08","DataReferencia":"04/2000","Media":0.5200,"Mediana":0.5500,"DesvioPadrao":0.1700,"Minimo":null,"Maximo":null,"numeroRespondentes":null,"baseCalculo":0},{"Indicador":"IPCA","Data":"2000-05-09","DataReferencia":"04/2000","Media":0.5100,"Mediana":0.5500,"DesvioPadrao":0.1700,"Minimo":null,"Maximo":null,"numeroRespondentes":null,"baseCalculo":0},{"Indicador":"IPCA","Data":"2000-05-10","DataReferencia":"04/2000","Media":0.5000,"Mediana":0.5000,"DesvioPadrao":0.1700,"Minimo":null,"Maximo":null,"numeroRespondentes":null,"baseCalculo":0}]}</v>
      </c>
    </row>
    <row r="7" spans="1:10" s="8" customFormat="1" x14ac:dyDescent="0.2">
      <c r="A7" s="7" t="s">
        <v>25</v>
      </c>
    </row>
    <row r="8" spans="1:10" x14ac:dyDescent="0.2">
      <c r="A8" s="1" t="str" cm="1">
        <f t="array" ref="A8:J97">xlFOCUS_ReadJSON(A5,TRUE)</f>
        <v>Indicador</v>
      </c>
      <c r="B8" s="1" t="str">
        <v>Data</v>
      </c>
      <c r="C8" s="1" t="str">
        <v>DataReferencia</v>
      </c>
      <c r="D8" s="1" t="str">
        <v>Media</v>
      </c>
      <c r="E8" s="1" t="str">
        <v>Mediana</v>
      </c>
      <c r="F8" s="1" t="str">
        <v>DesvioPadrao</v>
      </c>
      <c r="G8" s="1" t="str">
        <v>Minimo</v>
      </c>
      <c r="H8" s="1" t="str">
        <v>Maximo</v>
      </c>
      <c r="I8" s="1" t="str">
        <v>numeroRespondentes</v>
      </c>
      <c r="J8" s="1" t="str">
        <v>baseCalculo</v>
      </c>
    </row>
    <row r="9" spans="1:10" x14ac:dyDescent="0.2">
      <c r="A9" s="1" t="str">
        <v>IPCA</v>
      </c>
      <c r="B9" s="1" t="str">
        <v>2000-01-03</v>
      </c>
      <c r="C9" s="1" t="str">
        <v>04/2000</v>
      </c>
      <c r="D9" s="1">
        <v>0.6</v>
      </c>
      <c r="E9" s="1">
        <v>0.6</v>
      </c>
      <c r="F9" s="1">
        <v>0.19</v>
      </c>
      <c r="G9" s="1" t="str">
        <v/>
      </c>
      <c r="H9" s="1" t="str">
        <v/>
      </c>
      <c r="I9" s="1" t="str">
        <v/>
      </c>
      <c r="J9" s="1">
        <v>0</v>
      </c>
    </row>
    <row r="10" spans="1:10" x14ac:dyDescent="0.2">
      <c r="A10" s="1" t="str">
        <v>IPCA</v>
      </c>
      <c r="B10" s="1" t="str">
        <v>2000-01-04</v>
      </c>
      <c r="C10" s="1" t="str">
        <v>04/2000</v>
      </c>
      <c r="D10" s="1">
        <v>0.6</v>
      </c>
      <c r="E10" s="1">
        <v>0.6</v>
      </c>
      <c r="F10" s="1">
        <v>0.19</v>
      </c>
      <c r="G10" s="1" t="str">
        <v/>
      </c>
      <c r="H10" s="1" t="str">
        <v/>
      </c>
      <c r="I10" s="1" t="str">
        <v/>
      </c>
      <c r="J10" s="1">
        <v>0</v>
      </c>
    </row>
    <row r="11" spans="1:10" x14ac:dyDescent="0.2">
      <c r="A11" s="1" t="str">
        <v>IPCA</v>
      </c>
      <c r="B11" s="1" t="str">
        <v>2000-01-05</v>
      </c>
      <c r="C11" s="1" t="str">
        <v>04/2000</v>
      </c>
      <c r="D11" s="1">
        <v>0.61</v>
      </c>
      <c r="E11" s="1">
        <v>0.6</v>
      </c>
      <c r="F11" s="1">
        <v>0.19</v>
      </c>
      <c r="G11" s="1" t="str">
        <v/>
      </c>
      <c r="H11" s="1" t="str">
        <v/>
      </c>
      <c r="I11" s="1" t="str">
        <v/>
      </c>
      <c r="J11" s="1">
        <v>0</v>
      </c>
    </row>
    <row r="12" spans="1:10" x14ac:dyDescent="0.2">
      <c r="A12" s="1" t="str">
        <v>IPCA</v>
      </c>
      <c r="B12" s="1" t="str">
        <v>2000-01-06</v>
      </c>
      <c r="C12" s="1" t="str">
        <v>04/2000</v>
      </c>
      <c r="D12" s="1">
        <v>0.6</v>
      </c>
      <c r="E12" s="1">
        <v>0.6</v>
      </c>
      <c r="F12" s="1">
        <v>0.19</v>
      </c>
      <c r="G12" s="1" t="str">
        <v/>
      </c>
      <c r="H12" s="1" t="str">
        <v/>
      </c>
      <c r="I12" s="1" t="str">
        <v/>
      </c>
      <c r="J12" s="1">
        <v>0</v>
      </c>
    </row>
    <row r="13" spans="1:10" x14ac:dyDescent="0.2">
      <c r="A13" s="1" t="str">
        <v>IPCA</v>
      </c>
      <c r="B13" s="1" t="str">
        <v>2000-01-07</v>
      </c>
      <c r="C13" s="1" t="str">
        <v>04/2000</v>
      </c>
      <c r="D13" s="1">
        <v>0.6</v>
      </c>
      <c r="E13" s="1">
        <v>0.6</v>
      </c>
      <c r="F13" s="1">
        <v>0.19</v>
      </c>
      <c r="G13" s="1" t="str">
        <v/>
      </c>
      <c r="H13" s="1" t="str">
        <v/>
      </c>
      <c r="I13" s="1" t="str">
        <v/>
      </c>
      <c r="J13" s="1">
        <v>0</v>
      </c>
    </row>
    <row r="14" spans="1:10" x14ac:dyDescent="0.2">
      <c r="A14" s="1" t="str">
        <v>IPCA</v>
      </c>
      <c r="B14" s="1" t="str">
        <v>2000-01-10</v>
      </c>
      <c r="C14" s="1" t="str">
        <v>04/2000</v>
      </c>
      <c r="D14" s="1">
        <v>0.6</v>
      </c>
      <c r="E14" s="1">
        <v>0.6</v>
      </c>
      <c r="F14" s="1">
        <v>0.19</v>
      </c>
      <c r="G14" s="1" t="str">
        <v/>
      </c>
      <c r="H14" s="1" t="str">
        <v/>
      </c>
      <c r="I14" s="1" t="str">
        <v/>
      </c>
      <c r="J14" s="1">
        <v>0</v>
      </c>
    </row>
    <row r="15" spans="1:10" x14ac:dyDescent="0.2">
      <c r="A15" s="1" t="str">
        <v>IPCA</v>
      </c>
      <c r="B15" s="1" t="str">
        <v>2000-01-11</v>
      </c>
      <c r="C15" s="1" t="str">
        <v>04/2000</v>
      </c>
      <c r="D15" s="1">
        <v>0.6</v>
      </c>
      <c r="E15" s="1">
        <v>0.6</v>
      </c>
      <c r="F15" s="1">
        <v>0.19</v>
      </c>
      <c r="G15" s="1" t="str">
        <v/>
      </c>
      <c r="H15" s="1" t="str">
        <v/>
      </c>
      <c r="I15" s="1" t="str">
        <v/>
      </c>
      <c r="J15" s="1">
        <v>0</v>
      </c>
    </row>
    <row r="16" spans="1:10" x14ac:dyDescent="0.2">
      <c r="A16" s="1" t="str">
        <v>IPCA</v>
      </c>
      <c r="B16" s="1" t="str">
        <v>2000-01-12</v>
      </c>
      <c r="C16" s="1" t="str">
        <v>04/2000</v>
      </c>
      <c r="D16" s="1">
        <v>0.57999999999999996</v>
      </c>
      <c r="E16" s="1">
        <v>0.6</v>
      </c>
      <c r="F16" s="1">
        <v>0.19</v>
      </c>
      <c r="G16" s="1" t="str">
        <v/>
      </c>
      <c r="H16" s="1" t="str">
        <v/>
      </c>
      <c r="I16" s="1" t="str">
        <v/>
      </c>
      <c r="J16" s="1">
        <v>0</v>
      </c>
    </row>
    <row r="17" spans="1:10" x14ac:dyDescent="0.2">
      <c r="A17" s="1" t="str">
        <v>IPCA</v>
      </c>
      <c r="B17" s="1" t="str">
        <v>2000-01-13</v>
      </c>
      <c r="C17" s="1" t="str">
        <v>04/2000</v>
      </c>
      <c r="D17" s="1">
        <v>0.55000000000000004</v>
      </c>
      <c r="E17" s="1">
        <v>0.5</v>
      </c>
      <c r="F17" s="1">
        <v>0.17</v>
      </c>
      <c r="G17" s="1" t="str">
        <v/>
      </c>
      <c r="H17" s="1" t="str">
        <v/>
      </c>
      <c r="I17" s="1" t="str">
        <v/>
      </c>
      <c r="J17" s="1">
        <v>0</v>
      </c>
    </row>
    <row r="18" spans="1:10" x14ac:dyDescent="0.2">
      <c r="A18" s="1" t="str">
        <v>IPCA</v>
      </c>
      <c r="B18" s="1" t="str">
        <v>2000-01-14</v>
      </c>
      <c r="C18" s="1" t="str">
        <v>04/2000</v>
      </c>
      <c r="D18" s="1">
        <v>0.55000000000000004</v>
      </c>
      <c r="E18" s="1">
        <v>0.5</v>
      </c>
      <c r="F18" s="1">
        <v>0.17</v>
      </c>
      <c r="G18" s="1" t="str">
        <v/>
      </c>
      <c r="H18" s="1" t="str">
        <v/>
      </c>
      <c r="I18" s="1" t="str">
        <v/>
      </c>
      <c r="J18" s="1">
        <v>0</v>
      </c>
    </row>
    <row r="19" spans="1:10" x14ac:dyDescent="0.2">
      <c r="A19" s="1" t="str">
        <v>IPCA</v>
      </c>
      <c r="B19" s="1" t="str">
        <v>2000-01-17</v>
      </c>
      <c r="C19" s="1" t="str">
        <v>04/2000</v>
      </c>
      <c r="D19" s="1">
        <v>0.55000000000000004</v>
      </c>
      <c r="E19" s="1">
        <v>0.5</v>
      </c>
      <c r="F19" s="1">
        <v>0.16</v>
      </c>
      <c r="G19" s="1" t="str">
        <v/>
      </c>
      <c r="H19" s="1" t="str">
        <v/>
      </c>
      <c r="I19" s="1" t="str">
        <v/>
      </c>
      <c r="J19" s="1">
        <v>0</v>
      </c>
    </row>
    <row r="20" spans="1:10" x14ac:dyDescent="0.2">
      <c r="A20" s="1" t="str">
        <v>IPCA</v>
      </c>
      <c r="B20" s="1" t="str">
        <v>2000-01-18</v>
      </c>
      <c r="C20" s="1" t="str">
        <v>04/2000</v>
      </c>
      <c r="D20" s="1">
        <v>0.54</v>
      </c>
      <c r="E20" s="1">
        <v>0.5</v>
      </c>
      <c r="F20" s="1">
        <v>0.16</v>
      </c>
      <c r="G20" s="1" t="str">
        <v/>
      </c>
      <c r="H20" s="1" t="str">
        <v/>
      </c>
      <c r="I20" s="1" t="str">
        <v/>
      </c>
      <c r="J20" s="1">
        <v>0</v>
      </c>
    </row>
    <row r="21" spans="1:10" x14ac:dyDescent="0.2">
      <c r="A21" s="1" t="str">
        <v>IPCA</v>
      </c>
      <c r="B21" s="1" t="str">
        <v>2000-01-19</v>
      </c>
      <c r="C21" s="1" t="str">
        <v>04/2000</v>
      </c>
      <c r="D21" s="1">
        <v>0.54</v>
      </c>
      <c r="E21" s="1">
        <v>0.5</v>
      </c>
      <c r="F21" s="1">
        <v>0.17</v>
      </c>
      <c r="G21" s="1" t="str">
        <v/>
      </c>
      <c r="H21" s="1" t="str">
        <v/>
      </c>
      <c r="I21" s="1" t="str">
        <v/>
      </c>
      <c r="J21" s="1">
        <v>0</v>
      </c>
    </row>
    <row r="22" spans="1:10" x14ac:dyDescent="0.2">
      <c r="A22" s="1" t="str">
        <v>IPCA</v>
      </c>
      <c r="B22" s="1" t="str">
        <v>2000-01-20</v>
      </c>
      <c r="C22" s="1" t="str">
        <v>04/2000</v>
      </c>
      <c r="D22" s="1">
        <v>0.53</v>
      </c>
      <c r="E22" s="1">
        <v>0.5</v>
      </c>
      <c r="F22" s="1">
        <v>0.17</v>
      </c>
      <c r="G22" s="1" t="str">
        <v/>
      </c>
      <c r="H22" s="1" t="str">
        <v/>
      </c>
      <c r="I22" s="1" t="str">
        <v/>
      </c>
      <c r="J22" s="1">
        <v>0</v>
      </c>
    </row>
    <row r="23" spans="1:10" x14ac:dyDescent="0.2">
      <c r="A23" s="1" t="str">
        <v>IPCA</v>
      </c>
      <c r="B23" s="1" t="str">
        <v>2000-01-21</v>
      </c>
      <c r="C23" s="1" t="str">
        <v>04/2000</v>
      </c>
      <c r="D23" s="1">
        <v>0.53</v>
      </c>
      <c r="E23" s="1">
        <v>0.5</v>
      </c>
      <c r="F23" s="1">
        <v>0.16</v>
      </c>
      <c r="G23" s="1" t="str">
        <v/>
      </c>
      <c r="H23" s="1" t="str">
        <v/>
      </c>
      <c r="I23" s="1" t="str">
        <v/>
      </c>
      <c r="J23" s="1">
        <v>0</v>
      </c>
    </row>
    <row r="24" spans="1:10" x14ac:dyDescent="0.2">
      <c r="A24" s="1" t="str">
        <v>IPCA</v>
      </c>
      <c r="B24" s="1" t="str">
        <v>2000-01-24</v>
      </c>
      <c r="C24" s="1" t="str">
        <v>04/2000</v>
      </c>
      <c r="D24" s="1">
        <v>0.53</v>
      </c>
      <c r="E24" s="1">
        <v>0.5</v>
      </c>
      <c r="F24" s="1">
        <v>0.16</v>
      </c>
      <c r="G24" s="1" t="str">
        <v/>
      </c>
      <c r="H24" s="1" t="str">
        <v/>
      </c>
      <c r="I24" s="1" t="str">
        <v/>
      </c>
      <c r="J24" s="1">
        <v>0</v>
      </c>
    </row>
    <row r="25" spans="1:10" x14ac:dyDescent="0.2">
      <c r="A25" s="1" t="str">
        <v>IPCA</v>
      </c>
      <c r="B25" s="1" t="str">
        <v>2000-01-25</v>
      </c>
      <c r="C25" s="1" t="str">
        <v>04/2000</v>
      </c>
      <c r="D25" s="1">
        <v>0.53</v>
      </c>
      <c r="E25" s="1">
        <v>0.5</v>
      </c>
      <c r="F25" s="1">
        <v>0.16</v>
      </c>
      <c r="G25" s="1" t="str">
        <v/>
      </c>
      <c r="H25" s="1" t="str">
        <v/>
      </c>
      <c r="I25" s="1" t="str">
        <v/>
      </c>
      <c r="J25" s="1">
        <v>0</v>
      </c>
    </row>
    <row r="26" spans="1:10" x14ac:dyDescent="0.2">
      <c r="A26" s="1" t="str">
        <v>IPCA</v>
      </c>
      <c r="B26" s="1" t="str">
        <v>2000-01-26</v>
      </c>
      <c r="C26" s="1" t="str">
        <v>04/2000</v>
      </c>
      <c r="D26" s="1">
        <v>0.53</v>
      </c>
      <c r="E26" s="1">
        <v>0.5</v>
      </c>
      <c r="F26" s="1">
        <v>0.16</v>
      </c>
      <c r="G26" s="1" t="str">
        <v/>
      </c>
      <c r="H26" s="1" t="str">
        <v/>
      </c>
      <c r="I26" s="1" t="str">
        <v/>
      </c>
      <c r="J26" s="1">
        <v>0</v>
      </c>
    </row>
    <row r="27" spans="1:10" x14ac:dyDescent="0.2">
      <c r="A27" s="1" t="str">
        <v>IPCA</v>
      </c>
      <c r="B27" s="1" t="str">
        <v>2000-01-27</v>
      </c>
      <c r="C27" s="1" t="str">
        <v>04/2000</v>
      </c>
      <c r="D27" s="1">
        <v>0.53</v>
      </c>
      <c r="E27" s="1">
        <v>0.5</v>
      </c>
      <c r="F27" s="1">
        <v>0.16</v>
      </c>
      <c r="G27" s="1" t="str">
        <v/>
      </c>
      <c r="H27" s="1" t="str">
        <v/>
      </c>
      <c r="I27" s="1" t="str">
        <v/>
      </c>
      <c r="J27" s="1">
        <v>0</v>
      </c>
    </row>
    <row r="28" spans="1:10" x14ac:dyDescent="0.2">
      <c r="A28" s="1" t="str">
        <v>IPCA</v>
      </c>
      <c r="B28" s="1" t="str">
        <v>2000-01-28</v>
      </c>
      <c r="C28" s="1" t="str">
        <v>04/2000</v>
      </c>
      <c r="D28" s="1">
        <v>0.53</v>
      </c>
      <c r="E28" s="1">
        <v>0.5</v>
      </c>
      <c r="F28" s="1">
        <v>0.16</v>
      </c>
      <c r="G28" s="1" t="str">
        <v/>
      </c>
      <c r="H28" s="1" t="str">
        <v/>
      </c>
      <c r="I28" s="1" t="str">
        <v/>
      </c>
      <c r="J28" s="1">
        <v>0</v>
      </c>
    </row>
    <row r="29" spans="1:10" x14ac:dyDescent="0.2">
      <c r="A29" s="1" t="str">
        <v>IPCA</v>
      </c>
      <c r="B29" s="1" t="str">
        <v>2000-01-31</v>
      </c>
      <c r="C29" s="1" t="str">
        <v>04/2000</v>
      </c>
      <c r="D29" s="1">
        <v>0.53</v>
      </c>
      <c r="E29" s="1">
        <v>0.5</v>
      </c>
      <c r="F29" s="1">
        <v>0.16</v>
      </c>
      <c r="G29" s="1" t="str">
        <v/>
      </c>
      <c r="H29" s="1" t="str">
        <v/>
      </c>
      <c r="I29" s="1" t="str">
        <v/>
      </c>
      <c r="J29" s="1">
        <v>0</v>
      </c>
    </row>
    <row r="30" spans="1:10" x14ac:dyDescent="0.2">
      <c r="A30" s="1" t="str">
        <v>IPCA</v>
      </c>
      <c r="B30" s="1" t="str">
        <v>2000-02-01</v>
      </c>
      <c r="C30" s="1" t="str">
        <v>04/2000</v>
      </c>
      <c r="D30" s="1">
        <v>0.53</v>
      </c>
      <c r="E30" s="1">
        <v>0.5</v>
      </c>
      <c r="F30" s="1">
        <v>0.16</v>
      </c>
      <c r="G30" s="1" t="str">
        <v/>
      </c>
      <c r="H30" s="1" t="str">
        <v/>
      </c>
      <c r="I30" s="1" t="str">
        <v/>
      </c>
      <c r="J30" s="1">
        <v>0</v>
      </c>
    </row>
    <row r="31" spans="1:10" x14ac:dyDescent="0.2">
      <c r="A31" s="1" t="str">
        <v>IPCA</v>
      </c>
      <c r="B31" s="1" t="str">
        <v>2000-02-02</v>
      </c>
      <c r="C31" s="1" t="str">
        <v>04/2000</v>
      </c>
      <c r="D31" s="1">
        <v>0.53</v>
      </c>
      <c r="E31" s="1">
        <v>0.5</v>
      </c>
      <c r="F31" s="1">
        <v>0.16</v>
      </c>
      <c r="G31" s="1" t="str">
        <v/>
      </c>
      <c r="H31" s="1" t="str">
        <v/>
      </c>
      <c r="I31" s="1" t="str">
        <v/>
      </c>
      <c r="J31" s="1">
        <v>0</v>
      </c>
    </row>
    <row r="32" spans="1:10" x14ac:dyDescent="0.2">
      <c r="A32" s="1" t="str">
        <v>IPCA</v>
      </c>
      <c r="B32" s="1" t="str">
        <v>2000-02-03</v>
      </c>
      <c r="C32" s="1" t="str">
        <v>04/2000</v>
      </c>
      <c r="D32" s="1">
        <v>0.53</v>
      </c>
      <c r="E32" s="1">
        <v>0.5</v>
      </c>
      <c r="F32" s="1">
        <v>0.16</v>
      </c>
      <c r="G32" s="1" t="str">
        <v/>
      </c>
      <c r="H32" s="1" t="str">
        <v/>
      </c>
      <c r="I32" s="1" t="str">
        <v/>
      </c>
      <c r="J32" s="1">
        <v>0</v>
      </c>
    </row>
    <row r="33" spans="1:10" x14ac:dyDescent="0.2">
      <c r="A33" s="1" t="str">
        <v>IPCA</v>
      </c>
      <c r="B33" s="1" t="str">
        <v>2000-02-04</v>
      </c>
      <c r="C33" s="1" t="str">
        <v>04/2000</v>
      </c>
      <c r="D33" s="1">
        <v>0.54</v>
      </c>
      <c r="E33" s="1">
        <v>0.5</v>
      </c>
      <c r="F33" s="1">
        <v>0.15</v>
      </c>
      <c r="G33" s="1" t="str">
        <v/>
      </c>
      <c r="H33" s="1" t="str">
        <v/>
      </c>
      <c r="I33" s="1" t="str">
        <v/>
      </c>
      <c r="J33" s="1">
        <v>0</v>
      </c>
    </row>
    <row r="34" spans="1:10" x14ac:dyDescent="0.2">
      <c r="A34" s="1" t="str">
        <v>IPCA</v>
      </c>
      <c r="B34" s="1" t="str">
        <v>2000-02-07</v>
      </c>
      <c r="C34" s="1" t="str">
        <v>04/2000</v>
      </c>
      <c r="D34" s="1">
        <v>0.54</v>
      </c>
      <c r="E34" s="1">
        <v>0.5</v>
      </c>
      <c r="F34" s="1">
        <v>0.15</v>
      </c>
      <c r="G34" s="1" t="str">
        <v/>
      </c>
      <c r="H34" s="1" t="str">
        <v/>
      </c>
      <c r="I34" s="1" t="str">
        <v/>
      </c>
      <c r="J34" s="1">
        <v>0</v>
      </c>
    </row>
    <row r="35" spans="1:10" x14ac:dyDescent="0.2">
      <c r="A35" s="1" t="str">
        <v>IPCA</v>
      </c>
      <c r="B35" s="1" t="str">
        <v>2000-02-08</v>
      </c>
      <c r="C35" s="1" t="str">
        <v>04/2000</v>
      </c>
      <c r="D35" s="1">
        <v>0.54</v>
      </c>
      <c r="E35" s="1">
        <v>0.5</v>
      </c>
      <c r="F35" s="1">
        <v>0.15</v>
      </c>
      <c r="G35" s="1" t="str">
        <v/>
      </c>
      <c r="H35" s="1" t="str">
        <v/>
      </c>
      <c r="I35" s="1" t="str">
        <v/>
      </c>
      <c r="J35" s="1">
        <v>0</v>
      </c>
    </row>
    <row r="36" spans="1:10" x14ac:dyDescent="0.2">
      <c r="A36" s="1" t="str">
        <v>IPCA</v>
      </c>
      <c r="B36" s="1" t="str">
        <v>2000-02-09</v>
      </c>
      <c r="C36" s="1" t="str">
        <v>04/2000</v>
      </c>
      <c r="D36" s="1">
        <v>0.53</v>
      </c>
      <c r="E36" s="1">
        <v>0.5</v>
      </c>
      <c r="F36" s="1">
        <v>0.15</v>
      </c>
      <c r="G36" s="1" t="str">
        <v/>
      </c>
      <c r="H36" s="1" t="str">
        <v/>
      </c>
      <c r="I36" s="1" t="str">
        <v/>
      </c>
      <c r="J36" s="1">
        <v>0</v>
      </c>
    </row>
    <row r="37" spans="1:10" x14ac:dyDescent="0.2">
      <c r="A37" s="1" t="str">
        <v>IPCA</v>
      </c>
      <c r="B37" s="1" t="str">
        <v>2000-02-10</v>
      </c>
      <c r="C37" s="1" t="str">
        <v>04/2000</v>
      </c>
      <c r="D37" s="1">
        <v>0.53</v>
      </c>
      <c r="E37" s="1">
        <v>0.5</v>
      </c>
      <c r="F37" s="1">
        <v>0.15</v>
      </c>
      <c r="G37" s="1" t="str">
        <v/>
      </c>
      <c r="H37" s="1" t="str">
        <v/>
      </c>
      <c r="I37" s="1" t="str">
        <v/>
      </c>
      <c r="J37" s="1">
        <v>0</v>
      </c>
    </row>
    <row r="38" spans="1:10" x14ac:dyDescent="0.2">
      <c r="A38" s="1" t="str">
        <v>IPCA</v>
      </c>
      <c r="B38" s="1" t="str">
        <v>2000-02-11</v>
      </c>
      <c r="C38" s="1" t="str">
        <v>04/2000</v>
      </c>
      <c r="D38" s="1">
        <v>0.53</v>
      </c>
      <c r="E38" s="1">
        <v>0.5</v>
      </c>
      <c r="F38" s="1">
        <v>0.15</v>
      </c>
      <c r="G38" s="1" t="str">
        <v/>
      </c>
      <c r="H38" s="1" t="str">
        <v/>
      </c>
      <c r="I38" s="1" t="str">
        <v/>
      </c>
      <c r="J38" s="1">
        <v>0</v>
      </c>
    </row>
    <row r="39" spans="1:10" x14ac:dyDescent="0.2">
      <c r="A39" s="1" t="str">
        <v>IPCA</v>
      </c>
      <c r="B39" s="1" t="str">
        <v>2000-02-14</v>
      </c>
      <c r="C39" s="1" t="str">
        <v>04/2000</v>
      </c>
      <c r="D39" s="1">
        <v>0.53</v>
      </c>
      <c r="E39" s="1">
        <v>0.5</v>
      </c>
      <c r="F39" s="1">
        <v>0.14000000000000001</v>
      </c>
      <c r="G39" s="1" t="str">
        <v/>
      </c>
      <c r="H39" s="1" t="str">
        <v/>
      </c>
      <c r="I39" s="1" t="str">
        <v/>
      </c>
      <c r="J39" s="1">
        <v>0</v>
      </c>
    </row>
    <row r="40" spans="1:10" x14ac:dyDescent="0.2">
      <c r="A40" s="1" t="str">
        <v>IPCA</v>
      </c>
      <c r="B40" s="1" t="str">
        <v>2000-02-15</v>
      </c>
      <c r="C40" s="1" t="str">
        <v>04/2000</v>
      </c>
      <c r="D40" s="1">
        <v>0.53</v>
      </c>
      <c r="E40" s="1">
        <v>0.5</v>
      </c>
      <c r="F40" s="1">
        <v>0.14000000000000001</v>
      </c>
      <c r="G40" s="1" t="str">
        <v/>
      </c>
      <c r="H40" s="1" t="str">
        <v/>
      </c>
      <c r="I40" s="1" t="str">
        <v/>
      </c>
      <c r="J40" s="1">
        <v>0</v>
      </c>
    </row>
    <row r="41" spans="1:10" x14ac:dyDescent="0.2">
      <c r="A41" s="1" t="str">
        <v>IPCA</v>
      </c>
      <c r="B41" s="1" t="str">
        <v>2000-02-16</v>
      </c>
      <c r="C41" s="1" t="str">
        <v>04/2000</v>
      </c>
      <c r="D41" s="1">
        <v>0.53</v>
      </c>
      <c r="E41" s="1">
        <v>0.5</v>
      </c>
      <c r="F41" s="1">
        <v>0.14000000000000001</v>
      </c>
      <c r="G41" s="1" t="str">
        <v/>
      </c>
      <c r="H41" s="1" t="str">
        <v/>
      </c>
      <c r="I41" s="1" t="str">
        <v/>
      </c>
      <c r="J41" s="1">
        <v>0</v>
      </c>
    </row>
    <row r="42" spans="1:10" x14ac:dyDescent="0.2">
      <c r="A42" s="1" t="str">
        <v>IPCA</v>
      </c>
      <c r="B42" s="1" t="str">
        <v>2000-02-17</v>
      </c>
      <c r="C42" s="1" t="str">
        <v>04/2000</v>
      </c>
      <c r="D42" s="1">
        <v>0.53</v>
      </c>
      <c r="E42" s="1">
        <v>0.5</v>
      </c>
      <c r="F42" s="1">
        <v>0.15</v>
      </c>
      <c r="G42" s="1" t="str">
        <v/>
      </c>
      <c r="H42" s="1" t="str">
        <v/>
      </c>
      <c r="I42" s="1" t="str">
        <v/>
      </c>
      <c r="J42" s="1">
        <v>0</v>
      </c>
    </row>
    <row r="43" spans="1:10" x14ac:dyDescent="0.2">
      <c r="A43" s="1" t="str">
        <v>IPCA</v>
      </c>
      <c r="B43" s="1" t="str">
        <v>2000-02-18</v>
      </c>
      <c r="C43" s="1" t="str">
        <v>04/2000</v>
      </c>
      <c r="D43" s="1">
        <v>0.53</v>
      </c>
      <c r="E43" s="1">
        <v>0.5</v>
      </c>
      <c r="F43" s="1">
        <v>0.14000000000000001</v>
      </c>
      <c r="G43" s="1" t="str">
        <v/>
      </c>
      <c r="H43" s="1" t="str">
        <v/>
      </c>
      <c r="I43" s="1" t="str">
        <v/>
      </c>
      <c r="J43" s="1">
        <v>0</v>
      </c>
    </row>
    <row r="44" spans="1:10" x14ac:dyDescent="0.2">
      <c r="A44" s="1" t="str">
        <v>IPCA</v>
      </c>
      <c r="B44" s="1" t="str">
        <v>2000-02-21</v>
      </c>
      <c r="C44" s="1" t="str">
        <v>04/2000</v>
      </c>
      <c r="D44" s="1">
        <v>0.54</v>
      </c>
      <c r="E44" s="1">
        <v>0.5</v>
      </c>
      <c r="F44" s="1">
        <v>0.15</v>
      </c>
      <c r="G44" s="1" t="str">
        <v/>
      </c>
      <c r="H44" s="1" t="str">
        <v/>
      </c>
      <c r="I44" s="1" t="str">
        <v/>
      </c>
      <c r="J44" s="1">
        <v>0</v>
      </c>
    </row>
    <row r="45" spans="1:10" x14ac:dyDescent="0.2">
      <c r="A45" s="1" t="str">
        <v>IPCA</v>
      </c>
      <c r="B45" s="1" t="str">
        <v>2000-02-22</v>
      </c>
      <c r="C45" s="1" t="str">
        <v>04/2000</v>
      </c>
      <c r="D45" s="1">
        <v>0.54</v>
      </c>
      <c r="E45" s="1">
        <v>0.5</v>
      </c>
      <c r="F45" s="1">
        <v>0.15</v>
      </c>
      <c r="G45" s="1" t="str">
        <v/>
      </c>
      <c r="H45" s="1" t="str">
        <v/>
      </c>
      <c r="I45" s="1" t="str">
        <v/>
      </c>
      <c r="J45" s="1">
        <v>0</v>
      </c>
    </row>
    <row r="46" spans="1:10" x14ac:dyDescent="0.2">
      <c r="A46" s="1" t="str">
        <v>IPCA</v>
      </c>
      <c r="B46" s="1" t="str">
        <v>2000-02-23</v>
      </c>
      <c r="C46" s="1" t="str">
        <v>04/2000</v>
      </c>
      <c r="D46" s="1">
        <v>0.55000000000000004</v>
      </c>
      <c r="E46" s="1">
        <v>0.53</v>
      </c>
      <c r="F46" s="1">
        <v>0.14000000000000001</v>
      </c>
      <c r="G46" s="1" t="str">
        <v/>
      </c>
      <c r="H46" s="1" t="str">
        <v/>
      </c>
      <c r="I46" s="1" t="str">
        <v/>
      </c>
      <c r="J46" s="1">
        <v>0</v>
      </c>
    </row>
    <row r="47" spans="1:10" x14ac:dyDescent="0.2">
      <c r="A47" s="1" t="str">
        <v>IPCA</v>
      </c>
      <c r="B47" s="1" t="str">
        <v>2000-02-24</v>
      </c>
      <c r="C47" s="1" t="str">
        <v>04/2000</v>
      </c>
      <c r="D47" s="1">
        <v>0.55000000000000004</v>
      </c>
      <c r="E47" s="1">
        <v>0.53</v>
      </c>
      <c r="F47" s="1">
        <v>0.15</v>
      </c>
      <c r="G47" s="1" t="str">
        <v/>
      </c>
      <c r="H47" s="1" t="str">
        <v/>
      </c>
      <c r="I47" s="1" t="str">
        <v/>
      </c>
      <c r="J47" s="1">
        <v>0</v>
      </c>
    </row>
    <row r="48" spans="1:10" x14ac:dyDescent="0.2">
      <c r="A48" s="1" t="str">
        <v>IPCA</v>
      </c>
      <c r="B48" s="1" t="str">
        <v>2000-02-25</v>
      </c>
      <c r="C48" s="1" t="str">
        <v>04/2000</v>
      </c>
      <c r="D48" s="1">
        <v>0.55000000000000004</v>
      </c>
      <c r="E48" s="1">
        <v>0.53</v>
      </c>
      <c r="F48" s="1">
        <v>0.15</v>
      </c>
      <c r="G48" s="1" t="str">
        <v/>
      </c>
      <c r="H48" s="1" t="str">
        <v/>
      </c>
      <c r="I48" s="1" t="str">
        <v/>
      </c>
      <c r="J48" s="1">
        <v>0</v>
      </c>
    </row>
    <row r="49" spans="1:10" x14ac:dyDescent="0.2">
      <c r="A49" s="1" t="str">
        <v>IPCA</v>
      </c>
      <c r="B49" s="1" t="str">
        <v>2000-02-28</v>
      </c>
      <c r="C49" s="1" t="str">
        <v>04/2000</v>
      </c>
      <c r="D49" s="1">
        <v>0.55000000000000004</v>
      </c>
      <c r="E49" s="1">
        <v>0.53</v>
      </c>
      <c r="F49" s="1">
        <v>0.15</v>
      </c>
      <c r="G49" s="1" t="str">
        <v/>
      </c>
      <c r="H49" s="1" t="str">
        <v/>
      </c>
      <c r="I49" s="1" t="str">
        <v/>
      </c>
      <c r="J49" s="1">
        <v>0</v>
      </c>
    </row>
    <row r="50" spans="1:10" x14ac:dyDescent="0.2">
      <c r="A50" s="1" t="str">
        <v>IPCA</v>
      </c>
      <c r="B50" s="1" t="str">
        <v>2000-02-29</v>
      </c>
      <c r="C50" s="1" t="str">
        <v>04/2000</v>
      </c>
      <c r="D50" s="1">
        <v>0.55000000000000004</v>
      </c>
      <c r="E50" s="1">
        <v>0.53</v>
      </c>
      <c r="F50" s="1">
        <v>0.15</v>
      </c>
      <c r="G50" s="1" t="str">
        <v/>
      </c>
      <c r="H50" s="1" t="str">
        <v/>
      </c>
      <c r="I50" s="1" t="str">
        <v/>
      </c>
      <c r="J50" s="1">
        <v>0</v>
      </c>
    </row>
    <row r="51" spans="1:10" x14ac:dyDescent="0.2">
      <c r="A51" s="1" t="str">
        <v>IPCA</v>
      </c>
      <c r="B51" s="1" t="str">
        <v>2000-03-01</v>
      </c>
      <c r="C51" s="1" t="str">
        <v>04/2000</v>
      </c>
      <c r="D51" s="1">
        <v>0.54</v>
      </c>
      <c r="E51" s="1">
        <v>0.5</v>
      </c>
      <c r="F51" s="1">
        <v>0.15</v>
      </c>
      <c r="G51" s="1" t="str">
        <v/>
      </c>
      <c r="H51" s="1" t="str">
        <v/>
      </c>
      <c r="I51" s="1" t="str">
        <v/>
      </c>
      <c r="J51" s="1">
        <v>0</v>
      </c>
    </row>
    <row r="52" spans="1:10" x14ac:dyDescent="0.2">
      <c r="A52" s="1" t="str">
        <v>IPCA</v>
      </c>
      <c r="B52" s="1" t="str">
        <v>2000-03-02</v>
      </c>
      <c r="C52" s="1" t="str">
        <v>04/2000</v>
      </c>
      <c r="D52" s="1">
        <v>0.53</v>
      </c>
      <c r="E52" s="1">
        <v>0.5</v>
      </c>
      <c r="F52" s="1">
        <v>0.15</v>
      </c>
      <c r="G52" s="1" t="str">
        <v/>
      </c>
      <c r="H52" s="1" t="str">
        <v/>
      </c>
      <c r="I52" s="1" t="str">
        <v/>
      </c>
      <c r="J52" s="1">
        <v>0</v>
      </c>
    </row>
    <row r="53" spans="1:10" x14ac:dyDescent="0.2">
      <c r="A53" s="1" t="str">
        <v>IPCA</v>
      </c>
      <c r="B53" s="1" t="str">
        <v>2000-03-03</v>
      </c>
      <c r="C53" s="1" t="str">
        <v>04/2000</v>
      </c>
      <c r="D53" s="1">
        <v>0.52</v>
      </c>
      <c r="E53" s="1">
        <v>0.52</v>
      </c>
      <c r="F53" s="1">
        <v>0.14000000000000001</v>
      </c>
      <c r="G53" s="1" t="str">
        <v/>
      </c>
      <c r="H53" s="1" t="str">
        <v/>
      </c>
      <c r="I53" s="1" t="str">
        <v/>
      </c>
      <c r="J53" s="1">
        <v>0</v>
      </c>
    </row>
    <row r="54" spans="1:10" x14ac:dyDescent="0.2">
      <c r="A54" s="1" t="str">
        <v>IPCA</v>
      </c>
      <c r="B54" s="1" t="str">
        <v>2000-03-08</v>
      </c>
      <c r="C54" s="1" t="str">
        <v>04/2000</v>
      </c>
      <c r="D54" s="1">
        <v>0.52</v>
      </c>
      <c r="E54" s="1">
        <v>0.52</v>
      </c>
      <c r="F54" s="1">
        <v>0.14000000000000001</v>
      </c>
      <c r="G54" s="1" t="str">
        <v/>
      </c>
      <c r="H54" s="1" t="str">
        <v/>
      </c>
      <c r="I54" s="1" t="str">
        <v/>
      </c>
      <c r="J54" s="1">
        <v>0</v>
      </c>
    </row>
    <row r="55" spans="1:10" x14ac:dyDescent="0.2">
      <c r="A55" s="1" t="str">
        <v>IPCA</v>
      </c>
      <c r="B55" s="1" t="str">
        <v>2000-03-09</v>
      </c>
      <c r="C55" s="1" t="str">
        <v>04/2000</v>
      </c>
      <c r="D55" s="1">
        <v>0.52</v>
      </c>
      <c r="E55" s="1">
        <v>0.52</v>
      </c>
      <c r="F55" s="1">
        <v>0.14000000000000001</v>
      </c>
      <c r="G55" s="1" t="str">
        <v/>
      </c>
      <c r="H55" s="1" t="str">
        <v/>
      </c>
      <c r="I55" s="1" t="str">
        <v/>
      </c>
      <c r="J55" s="1">
        <v>0</v>
      </c>
    </row>
    <row r="56" spans="1:10" x14ac:dyDescent="0.2">
      <c r="A56" s="1" t="str">
        <v>IPCA</v>
      </c>
      <c r="B56" s="1" t="str">
        <v>2000-03-10</v>
      </c>
      <c r="C56" s="1" t="str">
        <v>04/2000</v>
      </c>
      <c r="D56" s="1">
        <v>0.52</v>
      </c>
      <c r="E56" s="1">
        <v>0.52</v>
      </c>
      <c r="F56" s="1">
        <v>0.14000000000000001</v>
      </c>
      <c r="G56" s="1" t="str">
        <v/>
      </c>
      <c r="H56" s="1" t="str">
        <v/>
      </c>
      <c r="I56" s="1" t="str">
        <v/>
      </c>
      <c r="J56" s="1">
        <v>0</v>
      </c>
    </row>
    <row r="57" spans="1:10" x14ac:dyDescent="0.2">
      <c r="A57" s="1" t="str">
        <v>IPCA</v>
      </c>
      <c r="B57" s="1" t="str">
        <v>2000-03-13</v>
      </c>
      <c r="C57" s="1" t="str">
        <v>04/2000</v>
      </c>
      <c r="D57" s="1">
        <v>0.52</v>
      </c>
      <c r="E57" s="1">
        <v>0.54</v>
      </c>
      <c r="F57" s="1">
        <v>0.14000000000000001</v>
      </c>
      <c r="G57" s="1" t="str">
        <v/>
      </c>
      <c r="H57" s="1" t="str">
        <v/>
      </c>
      <c r="I57" s="1" t="str">
        <v/>
      </c>
      <c r="J57" s="1">
        <v>0</v>
      </c>
    </row>
    <row r="58" spans="1:10" x14ac:dyDescent="0.2">
      <c r="A58" s="1" t="str">
        <v>IPCA</v>
      </c>
      <c r="B58" s="1" t="str">
        <v>2000-03-14</v>
      </c>
      <c r="C58" s="1" t="str">
        <v>04/2000</v>
      </c>
      <c r="D58" s="1">
        <v>0.52</v>
      </c>
      <c r="E58" s="1">
        <v>0.54</v>
      </c>
      <c r="F58" s="1">
        <v>0.14000000000000001</v>
      </c>
      <c r="G58" s="1" t="str">
        <v/>
      </c>
      <c r="H58" s="1" t="str">
        <v/>
      </c>
      <c r="I58" s="1" t="str">
        <v/>
      </c>
      <c r="J58" s="1">
        <v>0</v>
      </c>
    </row>
    <row r="59" spans="1:10" x14ac:dyDescent="0.2">
      <c r="A59" s="1" t="str">
        <v>IPCA</v>
      </c>
      <c r="B59" s="1" t="str">
        <v>2000-03-15</v>
      </c>
      <c r="C59" s="1" t="str">
        <v>04/2000</v>
      </c>
      <c r="D59" s="1">
        <v>0.52</v>
      </c>
      <c r="E59" s="1">
        <v>0.54</v>
      </c>
      <c r="F59" s="1">
        <v>0.14000000000000001</v>
      </c>
      <c r="G59" s="1" t="str">
        <v/>
      </c>
      <c r="H59" s="1" t="str">
        <v/>
      </c>
      <c r="I59" s="1" t="str">
        <v/>
      </c>
      <c r="J59" s="1">
        <v>0</v>
      </c>
    </row>
    <row r="60" spans="1:10" x14ac:dyDescent="0.2">
      <c r="A60" s="1" t="str">
        <v>IPCA</v>
      </c>
      <c r="B60" s="1" t="str">
        <v>2000-03-16</v>
      </c>
      <c r="C60" s="1" t="str">
        <v>04/2000</v>
      </c>
      <c r="D60" s="1">
        <v>0.51</v>
      </c>
      <c r="E60" s="1">
        <v>0.52</v>
      </c>
      <c r="F60" s="1">
        <v>0.14000000000000001</v>
      </c>
      <c r="G60" s="1" t="str">
        <v/>
      </c>
      <c r="H60" s="1" t="str">
        <v/>
      </c>
      <c r="I60" s="1" t="str">
        <v/>
      </c>
      <c r="J60" s="1">
        <v>0</v>
      </c>
    </row>
    <row r="61" spans="1:10" x14ac:dyDescent="0.2">
      <c r="A61" s="1" t="str">
        <v>IPCA</v>
      </c>
      <c r="B61" s="1" t="str">
        <v>2000-03-17</v>
      </c>
      <c r="C61" s="1" t="str">
        <v>04/2000</v>
      </c>
      <c r="D61" s="1">
        <v>0.49</v>
      </c>
      <c r="E61" s="1">
        <v>0.5</v>
      </c>
      <c r="F61" s="1">
        <v>0.15</v>
      </c>
      <c r="G61" s="1" t="str">
        <v/>
      </c>
      <c r="H61" s="1" t="str">
        <v/>
      </c>
      <c r="I61" s="1" t="str">
        <v/>
      </c>
      <c r="J61" s="1">
        <v>0</v>
      </c>
    </row>
    <row r="62" spans="1:10" x14ac:dyDescent="0.2">
      <c r="A62" s="1" t="str">
        <v>IPCA</v>
      </c>
      <c r="B62" s="1" t="str">
        <v>2000-03-20</v>
      </c>
      <c r="C62" s="1" t="str">
        <v>04/2000</v>
      </c>
      <c r="D62" s="1">
        <v>0.48</v>
      </c>
      <c r="E62" s="1">
        <v>0.47</v>
      </c>
      <c r="F62" s="1">
        <v>0.14000000000000001</v>
      </c>
      <c r="G62" s="1" t="str">
        <v/>
      </c>
      <c r="H62" s="1" t="str">
        <v/>
      </c>
      <c r="I62" s="1" t="str">
        <v/>
      </c>
      <c r="J62" s="1">
        <v>0</v>
      </c>
    </row>
    <row r="63" spans="1:10" x14ac:dyDescent="0.2">
      <c r="A63" s="1" t="str">
        <v>IPCA</v>
      </c>
      <c r="B63" s="1" t="str">
        <v>2000-03-21</v>
      </c>
      <c r="C63" s="1" t="str">
        <v>04/2000</v>
      </c>
      <c r="D63" s="1">
        <v>0.48</v>
      </c>
      <c r="E63" s="1">
        <v>0.45</v>
      </c>
      <c r="F63" s="1">
        <v>0.14000000000000001</v>
      </c>
      <c r="G63" s="1" t="str">
        <v/>
      </c>
      <c r="H63" s="1" t="str">
        <v/>
      </c>
      <c r="I63" s="1" t="str">
        <v/>
      </c>
      <c r="J63" s="1">
        <v>0</v>
      </c>
    </row>
    <row r="64" spans="1:10" x14ac:dyDescent="0.2">
      <c r="A64" s="1" t="str">
        <v>IPCA</v>
      </c>
      <c r="B64" s="1" t="str">
        <v>2000-03-22</v>
      </c>
      <c r="C64" s="1" t="str">
        <v>04/2000</v>
      </c>
      <c r="D64" s="1">
        <v>0.48</v>
      </c>
      <c r="E64" s="1">
        <v>0.45</v>
      </c>
      <c r="F64" s="1">
        <v>0.14000000000000001</v>
      </c>
      <c r="G64" s="1" t="str">
        <v/>
      </c>
      <c r="H64" s="1" t="str">
        <v/>
      </c>
      <c r="I64" s="1" t="str">
        <v/>
      </c>
      <c r="J64" s="1">
        <v>0</v>
      </c>
    </row>
    <row r="65" spans="1:10" x14ac:dyDescent="0.2">
      <c r="A65" s="1" t="str">
        <v>IPCA</v>
      </c>
      <c r="B65" s="1" t="str">
        <v>2000-03-23</v>
      </c>
      <c r="C65" s="1" t="str">
        <v>04/2000</v>
      </c>
      <c r="D65" s="1">
        <v>0.49</v>
      </c>
      <c r="E65" s="1">
        <v>0.49</v>
      </c>
      <c r="F65" s="1">
        <v>0.15</v>
      </c>
      <c r="G65" s="1" t="str">
        <v/>
      </c>
      <c r="H65" s="1" t="str">
        <v/>
      </c>
      <c r="I65" s="1" t="str">
        <v/>
      </c>
      <c r="J65" s="1">
        <v>0</v>
      </c>
    </row>
    <row r="66" spans="1:10" x14ac:dyDescent="0.2">
      <c r="A66" s="1" t="str">
        <v>IPCA</v>
      </c>
      <c r="B66" s="1" t="str">
        <v>2000-03-24</v>
      </c>
      <c r="C66" s="1" t="str">
        <v>04/2000</v>
      </c>
      <c r="D66" s="1">
        <v>0.55000000000000004</v>
      </c>
      <c r="E66" s="1">
        <v>0.59</v>
      </c>
      <c r="F66" s="1">
        <v>0.15</v>
      </c>
      <c r="G66" s="1" t="str">
        <v/>
      </c>
      <c r="H66" s="1" t="str">
        <v/>
      </c>
      <c r="I66" s="1" t="str">
        <v/>
      </c>
      <c r="J66" s="1">
        <v>0</v>
      </c>
    </row>
    <row r="67" spans="1:10" x14ac:dyDescent="0.2">
      <c r="A67" s="1" t="str">
        <v>IPCA</v>
      </c>
      <c r="B67" s="1" t="str">
        <v>2000-03-27</v>
      </c>
      <c r="C67" s="1" t="str">
        <v>04/2000</v>
      </c>
      <c r="D67" s="1">
        <v>0.55000000000000004</v>
      </c>
      <c r="E67" s="1">
        <v>0.59</v>
      </c>
      <c r="F67" s="1">
        <v>0.16</v>
      </c>
      <c r="G67" s="1" t="str">
        <v/>
      </c>
      <c r="H67" s="1" t="str">
        <v/>
      </c>
      <c r="I67" s="1" t="str">
        <v/>
      </c>
      <c r="J67" s="1">
        <v>0</v>
      </c>
    </row>
    <row r="68" spans="1:10" x14ac:dyDescent="0.2">
      <c r="A68" s="1" t="str">
        <v>IPCA</v>
      </c>
      <c r="B68" s="1" t="str">
        <v>2000-03-28</v>
      </c>
      <c r="C68" s="1" t="str">
        <v>04/2000</v>
      </c>
      <c r="D68" s="1">
        <v>0.55000000000000004</v>
      </c>
      <c r="E68" s="1">
        <v>0.59</v>
      </c>
      <c r="F68" s="1">
        <v>0.16</v>
      </c>
      <c r="G68" s="1" t="str">
        <v/>
      </c>
      <c r="H68" s="1" t="str">
        <v/>
      </c>
      <c r="I68" s="1" t="str">
        <v/>
      </c>
      <c r="J68" s="1">
        <v>0</v>
      </c>
    </row>
    <row r="69" spans="1:10" x14ac:dyDescent="0.2">
      <c r="A69" s="1" t="str">
        <v>IPCA</v>
      </c>
      <c r="B69" s="1" t="str">
        <v>2000-03-29</v>
      </c>
      <c r="C69" s="1" t="str">
        <v>04/2000</v>
      </c>
      <c r="D69" s="1">
        <v>0.54</v>
      </c>
      <c r="E69" s="1">
        <v>0.55000000000000004</v>
      </c>
      <c r="F69" s="1">
        <v>0.15</v>
      </c>
      <c r="G69" s="1" t="str">
        <v/>
      </c>
      <c r="H69" s="1" t="str">
        <v/>
      </c>
      <c r="I69" s="1" t="str">
        <v/>
      </c>
      <c r="J69" s="1">
        <v>0</v>
      </c>
    </row>
    <row r="70" spans="1:10" x14ac:dyDescent="0.2">
      <c r="A70" s="1" t="str">
        <v>IPCA</v>
      </c>
      <c r="B70" s="1" t="str">
        <v>2000-03-30</v>
      </c>
      <c r="C70" s="1" t="str">
        <v>04/2000</v>
      </c>
      <c r="D70" s="1">
        <v>0.55000000000000004</v>
      </c>
      <c r="E70" s="1">
        <v>0.56999999999999995</v>
      </c>
      <c r="F70" s="1">
        <v>0.15</v>
      </c>
      <c r="G70" s="1" t="str">
        <v/>
      </c>
      <c r="H70" s="1" t="str">
        <v/>
      </c>
      <c r="I70" s="1" t="str">
        <v/>
      </c>
      <c r="J70" s="1">
        <v>0</v>
      </c>
    </row>
    <row r="71" spans="1:10" x14ac:dyDescent="0.2">
      <c r="A71" s="1" t="str">
        <v>IPCA</v>
      </c>
      <c r="B71" s="1" t="str">
        <v>2000-03-31</v>
      </c>
      <c r="C71" s="1" t="str">
        <v>04/2000</v>
      </c>
      <c r="D71" s="1">
        <v>0.55000000000000004</v>
      </c>
      <c r="E71" s="1">
        <v>0.56000000000000005</v>
      </c>
      <c r="F71" s="1">
        <v>0.15</v>
      </c>
      <c r="G71" s="1" t="str">
        <v/>
      </c>
      <c r="H71" s="1" t="str">
        <v/>
      </c>
      <c r="I71" s="1" t="str">
        <v/>
      </c>
      <c r="J71" s="1">
        <v>0</v>
      </c>
    </row>
    <row r="72" spans="1:10" x14ac:dyDescent="0.2">
      <c r="A72" s="1" t="str">
        <v>IPCA</v>
      </c>
      <c r="B72" s="1" t="str">
        <v>2000-04-03</v>
      </c>
      <c r="C72" s="1" t="str">
        <v>04/2000</v>
      </c>
      <c r="D72" s="1">
        <v>0.55000000000000004</v>
      </c>
      <c r="E72" s="1">
        <v>0.59</v>
      </c>
      <c r="F72" s="1">
        <v>0.16</v>
      </c>
      <c r="G72" s="1" t="str">
        <v/>
      </c>
      <c r="H72" s="1" t="str">
        <v/>
      </c>
      <c r="I72" s="1" t="str">
        <v/>
      </c>
      <c r="J72" s="1">
        <v>0</v>
      </c>
    </row>
    <row r="73" spans="1:10" x14ac:dyDescent="0.2">
      <c r="A73" s="1" t="str">
        <v>IPCA</v>
      </c>
      <c r="B73" s="1" t="str">
        <v>2000-04-04</v>
      </c>
      <c r="C73" s="1" t="str">
        <v>04/2000</v>
      </c>
      <c r="D73" s="1">
        <v>0.55000000000000004</v>
      </c>
      <c r="E73" s="1">
        <v>0.59</v>
      </c>
      <c r="F73" s="1">
        <v>0.16</v>
      </c>
      <c r="G73" s="1" t="str">
        <v/>
      </c>
      <c r="H73" s="1" t="str">
        <v/>
      </c>
      <c r="I73" s="1" t="str">
        <v/>
      </c>
      <c r="J73" s="1">
        <v>0</v>
      </c>
    </row>
    <row r="74" spans="1:10" x14ac:dyDescent="0.2">
      <c r="A74" s="1" t="str">
        <v>IPCA</v>
      </c>
      <c r="B74" s="1" t="str">
        <v>2000-04-05</v>
      </c>
      <c r="C74" s="1" t="str">
        <v>04/2000</v>
      </c>
      <c r="D74" s="1">
        <v>0.56999999999999995</v>
      </c>
      <c r="E74" s="1">
        <v>0.6</v>
      </c>
      <c r="F74" s="1">
        <v>0.16</v>
      </c>
      <c r="G74" s="1" t="str">
        <v/>
      </c>
      <c r="H74" s="1" t="str">
        <v/>
      </c>
      <c r="I74" s="1" t="str">
        <v/>
      </c>
      <c r="J74" s="1">
        <v>0</v>
      </c>
    </row>
    <row r="75" spans="1:10" x14ac:dyDescent="0.2">
      <c r="A75" s="1" t="str">
        <v>IPCA</v>
      </c>
      <c r="B75" s="1" t="str">
        <v>2000-04-06</v>
      </c>
      <c r="C75" s="1" t="str">
        <v>04/2000</v>
      </c>
      <c r="D75" s="1">
        <v>0.56000000000000005</v>
      </c>
      <c r="E75" s="1">
        <v>0.6</v>
      </c>
      <c r="F75" s="1">
        <v>0.16</v>
      </c>
      <c r="G75" s="1" t="str">
        <v/>
      </c>
      <c r="H75" s="1" t="str">
        <v/>
      </c>
      <c r="I75" s="1" t="str">
        <v/>
      </c>
      <c r="J75" s="1">
        <v>0</v>
      </c>
    </row>
    <row r="76" spans="1:10" x14ac:dyDescent="0.2">
      <c r="A76" s="1" t="str">
        <v>IPCA</v>
      </c>
      <c r="B76" s="1" t="str">
        <v>2000-04-07</v>
      </c>
      <c r="C76" s="1" t="str">
        <v>04/2000</v>
      </c>
      <c r="D76" s="1">
        <v>0.56000000000000005</v>
      </c>
      <c r="E76" s="1">
        <v>0.6</v>
      </c>
      <c r="F76" s="1">
        <v>0.17</v>
      </c>
      <c r="G76" s="1" t="str">
        <v/>
      </c>
      <c r="H76" s="1" t="str">
        <v/>
      </c>
      <c r="I76" s="1" t="str">
        <v/>
      </c>
      <c r="J76" s="1">
        <v>0</v>
      </c>
    </row>
    <row r="77" spans="1:10" x14ac:dyDescent="0.2">
      <c r="A77" s="1" t="str">
        <v>IPCA</v>
      </c>
      <c r="B77" s="1" t="str">
        <v>2000-04-10</v>
      </c>
      <c r="C77" s="1" t="str">
        <v>04/2000</v>
      </c>
      <c r="D77" s="1">
        <v>0.56000000000000005</v>
      </c>
      <c r="E77" s="1">
        <v>0.6</v>
      </c>
      <c r="F77" s="1">
        <v>0.17</v>
      </c>
      <c r="G77" s="1" t="str">
        <v/>
      </c>
      <c r="H77" s="1" t="str">
        <v/>
      </c>
      <c r="I77" s="1" t="str">
        <v/>
      </c>
      <c r="J77" s="1">
        <v>0</v>
      </c>
    </row>
    <row r="78" spans="1:10" x14ac:dyDescent="0.2">
      <c r="A78" s="1" t="str">
        <v>IPCA</v>
      </c>
      <c r="B78" s="1" t="str">
        <v>2000-04-11</v>
      </c>
      <c r="C78" s="1" t="str">
        <v>04/2000</v>
      </c>
      <c r="D78" s="1">
        <v>0.56000000000000005</v>
      </c>
      <c r="E78" s="1">
        <v>0.6</v>
      </c>
      <c r="F78" s="1">
        <v>0.17</v>
      </c>
      <c r="G78" s="1" t="str">
        <v/>
      </c>
      <c r="H78" s="1" t="str">
        <v/>
      </c>
      <c r="I78" s="1" t="str">
        <v/>
      </c>
      <c r="J78" s="1">
        <v>0</v>
      </c>
    </row>
    <row r="79" spans="1:10" x14ac:dyDescent="0.2">
      <c r="A79" s="1" t="str">
        <v>IPCA</v>
      </c>
      <c r="B79" s="1" t="str">
        <v>2000-04-12</v>
      </c>
      <c r="C79" s="1" t="str">
        <v>04/2000</v>
      </c>
      <c r="D79" s="1">
        <v>0.56999999999999995</v>
      </c>
      <c r="E79" s="1">
        <v>0.6</v>
      </c>
      <c r="F79" s="1">
        <v>0.16</v>
      </c>
      <c r="G79" s="1" t="str">
        <v/>
      </c>
      <c r="H79" s="1" t="str">
        <v/>
      </c>
      <c r="I79" s="1" t="str">
        <v/>
      </c>
      <c r="J79" s="1">
        <v>0</v>
      </c>
    </row>
    <row r="80" spans="1:10" x14ac:dyDescent="0.2">
      <c r="A80" s="1" t="str">
        <v>IPCA</v>
      </c>
      <c r="B80" s="1" t="str">
        <v>2000-04-13</v>
      </c>
      <c r="C80" s="1" t="str">
        <v>04/2000</v>
      </c>
      <c r="D80" s="1">
        <v>0.56999999999999995</v>
      </c>
      <c r="E80" s="1">
        <v>0.6</v>
      </c>
      <c r="F80" s="1">
        <v>0.17</v>
      </c>
      <c r="G80" s="1" t="str">
        <v/>
      </c>
      <c r="H80" s="1" t="str">
        <v/>
      </c>
      <c r="I80" s="1" t="str">
        <v/>
      </c>
      <c r="J80" s="1">
        <v>0</v>
      </c>
    </row>
    <row r="81" spans="1:10" x14ac:dyDescent="0.2">
      <c r="A81" s="1" t="str">
        <v>IPCA</v>
      </c>
      <c r="B81" s="1" t="str">
        <v>2000-04-14</v>
      </c>
      <c r="C81" s="1" t="str">
        <v>04/2000</v>
      </c>
      <c r="D81" s="1">
        <v>0.56999999999999995</v>
      </c>
      <c r="E81" s="1">
        <v>0.6</v>
      </c>
      <c r="F81" s="1">
        <v>0.17</v>
      </c>
      <c r="G81" s="1" t="str">
        <v/>
      </c>
      <c r="H81" s="1" t="str">
        <v/>
      </c>
      <c r="I81" s="1" t="str">
        <v/>
      </c>
      <c r="J81" s="1">
        <v>0</v>
      </c>
    </row>
    <row r="82" spans="1:10" x14ac:dyDescent="0.2">
      <c r="A82" s="1" t="str">
        <v>IPCA</v>
      </c>
      <c r="B82" s="1" t="str">
        <v>2000-04-17</v>
      </c>
      <c r="C82" s="1" t="str">
        <v>04/2000</v>
      </c>
      <c r="D82" s="1">
        <v>0.57999999999999996</v>
      </c>
      <c r="E82" s="1">
        <v>0.6</v>
      </c>
      <c r="F82" s="1">
        <v>0.16</v>
      </c>
      <c r="G82" s="1" t="str">
        <v/>
      </c>
      <c r="H82" s="1" t="str">
        <v/>
      </c>
      <c r="I82" s="1" t="str">
        <v/>
      </c>
      <c r="J82" s="1">
        <v>0</v>
      </c>
    </row>
    <row r="83" spans="1:10" x14ac:dyDescent="0.2">
      <c r="A83" s="1" t="str">
        <v>IPCA</v>
      </c>
      <c r="B83" s="1" t="str">
        <v>2000-04-18</v>
      </c>
      <c r="C83" s="1" t="str">
        <v>04/2000</v>
      </c>
      <c r="D83" s="1">
        <v>0.57999999999999996</v>
      </c>
      <c r="E83" s="1">
        <v>0.6</v>
      </c>
      <c r="F83" s="1">
        <v>0.16</v>
      </c>
      <c r="G83" s="1" t="str">
        <v/>
      </c>
      <c r="H83" s="1" t="str">
        <v/>
      </c>
      <c r="I83" s="1" t="str">
        <v/>
      </c>
      <c r="J83" s="1">
        <v>0</v>
      </c>
    </row>
    <row r="84" spans="1:10" x14ac:dyDescent="0.2">
      <c r="A84" s="1" t="str">
        <v>IPCA</v>
      </c>
      <c r="B84" s="1" t="str">
        <v>2000-04-19</v>
      </c>
      <c r="C84" s="1" t="str">
        <v>04/2000</v>
      </c>
      <c r="D84" s="1">
        <v>0.56999999999999995</v>
      </c>
      <c r="E84" s="1">
        <v>0.6</v>
      </c>
      <c r="F84" s="1">
        <v>0.16</v>
      </c>
      <c r="G84" s="1" t="str">
        <v/>
      </c>
      <c r="H84" s="1" t="str">
        <v/>
      </c>
      <c r="I84" s="1" t="str">
        <v/>
      </c>
      <c r="J84" s="1">
        <v>0</v>
      </c>
    </row>
    <row r="85" spans="1:10" x14ac:dyDescent="0.2">
      <c r="A85" s="1" t="str">
        <v>IPCA</v>
      </c>
      <c r="B85" s="1" t="str">
        <v>2000-04-20</v>
      </c>
      <c r="C85" s="1" t="str">
        <v>04/2000</v>
      </c>
      <c r="D85" s="1">
        <v>0.56999999999999995</v>
      </c>
      <c r="E85" s="1">
        <v>0.6</v>
      </c>
      <c r="F85" s="1">
        <v>0.16</v>
      </c>
      <c r="G85" s="1" t="str">
        <v/>
      </c>
      <c r="H85" s="1" t="str">
        <v/>
      </c>
      <c r="I85" s="1" t="str">
        <v/>
      </c>
      <c r="J85" s="1">
        <v>0</v>
      </c>
    </row>
    <row r="86" spans="1:10" x14ac:dyDescent="0.2">
      <c r="A86" s="1" t="str">
        <v>IPCA</v>
      </c>
      <c r="B86" s="1" t="str">
        <v>2000-04-24</v>
      </c>
      <c r="C86" s="1" t="str">
        <v>04/2000</v>
      </c>
      <c r="D86" s="1">
        <v>0.56999999999999995</v>
      </c>
      <c r="E86" s="1">
        <v>0.6</v>
      </c>
      <c r="F86" s="1">
        <v>0.16</v>
      </c>
      <c r="G86" s="1" t="str">
        <v/>
      </c>
      <c r="H86" s="1" t="str">
        <v/>
      </c>
      <c r="I86" s="1" t="str">
        <v/>
      </c>
      <c r="J86" s="1">
        <v>0</v>
      </c>
    </row>
    <row r="87" spans="1:10" x14ac:dyDescent="0.2">
      <c r="A87" s="1" t="str">
        <v>IPCA</v>
      </c>
      <c r="B87" s="1" t="str">
        <v>2000-04-25</v>
      </c>
      <c r="C87" s="1" t="str">
        <v>04/2000</v>
      </c>
      <c r="D87" s="1">
        <v>0.56999999999999995</v>
      </c>
      <c r="E87" s="1">
        <v>0.6</v>
      </c>
      <c r="F87" s="1">
        <v>0.16</v>
      </c>
      <c r="G87" s="1" t="str">
        <v/>
      </c>
      <c r="H87" s="1" t="str">
        <v/>
      </c>
      <c r="I87" s="1" t="str">
        <v/>
      </c>
      <c r="J87" s="1">
        <v>0</v>
      </c>
    </row>
    <row r="88" spans="1:10" x14ac:dyDescent="0.2">
      <c r="A88" s="1" t="str">
        <v>IPCA</v>
      </c>
      <c r="B88" s="1" t="str">
        <v>2000-04-26</v>
      </c>
      <c r="C88" s="1" t="str">
        <v>04/2000</v>
      </c>
      <c r="D88" s="1">
        <v>0.56999999999999995</v>
      </c>
      <c r="E88" s="1">
        <v>0.6</v>
      </c>
      <c r="F88" s="1">
        <v>0.16</v>
      </c>
      <c r="G88" s="1" t="str">
        <v/>
      </c>
      <c r="H88" s="1" t="str">
        <v/>
      </c>
      <c r="I88" s="1" t="str">
        <v/>
      </c>
      <c r="J88" s="1">
        <v>0</v>
      </c>
    </row>
    <row r="89" spans="1:10" x14ac:dyDescent="0.2">
      <c r="A89" s="1" t="str">
        <v>IPCA</v>
      </c>
      <c r="B89" s="1" t="str">
        <v>2000-04-27</v>
      </c>
      <c r="C89" s="1" t="str">
        <v>04/2000</v>
      </c>
      <c r="D89" s="1">
        <v>0.56999999999999995</v>
      </c>
      <c r="E89" s="1">
        <v>0.6</v>
      </c>
      <c r="F89" s="1">
        <v>0.16</v>
      </c>
      <c r="G89" s="1" t="str">
        <v/>
      </c>
      <c r="H89" s="1" t="str">
        <v/>
      </c>
      <c r="I89" s="1" t="str">
        <v/>
      </c>
      <c r="J89" s="1">
        <v>0</v>
      </c>
    </row>
    <row r="90" spans="1:10" x14ac:dyDescent="0.2">
      <c r="A90" s="1" t="str">
        <v>IPCA</v>
      </c>
      <c r="B90" s="1" t="str">
        <v>2000-04-28</v>
      </c>
      <c r="C90" s="1" t="str">
        <v>04/2000</v>
      </c>
      <c r="D90" s="1">
        <v>0.56999999999999995</v>
      </c>
      <c r="E90" s="1">
        <v>0.6</v>
      </c>
      <c r="F90" s="1">
        <v>0.16</v>
      </c>
      <c r="G90" s="1" t="str">
        <v/>
      </c>
      <c r="H90" s="1" t="str">
        <v/>
      </c>
      <c r="I90" s="1" t="str">
        <v/>
      </c>
      <c r="J90" s="1">
        <v>0</v>
      </c>
    </row>
    <row r="91" spans="1:10" x14ac:dyDescent="0.2">
      <c r="A91" s="1" t="str">
        <v>IPCA</v>
      </c>
      <c r="B91" s="1" t="str">
        <v>2000-05-02</v>
      </c>
      <c r="C91" s="1" t="str">
        <v>04/2000</v>
      </c>
      <c r="D91" s="1">
        <v>0.56000000000000005</v>
      </c>
      <c r="E91" s="1">
        <v>0.57999999999999996</v>
      </c>
      <c r="F91" s="1">
        <v>0.17</v>
      </c>
      <c r="G91" s="1" t="str">
        <v/>
      </c>
      <c r="H91" s="1" t="str">
        <v/>
      </c>
      <c r="I91" s="1" t="str">
        <v/>
      </c>
      <c r="J91" s="1">
        <v>0</v>
      </c>
    </row>
    <row r="92" spans="1:10" x14ac:dyDescent="0.2">
      <c r="A92" s="1" t="str">
        <v>IPCA</v>
      </c>
      <c r="B92" s="1" t="str">
        <v>2000-05-03</v>
      </c>
      <c r="C92" s="1" t="str">
        <v>04/2000</v>
      </c>
      <c r="D92" s="1">
        <v>0.56000000000000005</v>
      </c>
      <c r="E92" s="1">
        <v>0.6</v>
      </c>
      <c r="F92" s="1">
        <v>0.16</v>
      </c>
      <c r="G92" s="1" t="str">
        <v/>
      </c>
      <c r="H92" s="1" t="str">
        <v/>
      </c>
      <c r="I92" s="1" t="str">
        <v/>
      </c>
      <c r="J92" s="1">
        <v>0</v>
      </c>
    </row>
    <row r="93" spans="1:10" x14ac:dyDescent="0.2">
      <c r="A93" s="1" t="str">
        <v>IPCA</v>
      </c>
      <c r="B93" s="1" t="str">
        <v>2000-05-04</v>
      </c>
      <c r="C93" s="1" t="str">
        <v>04/2000</v>
      </c>
      <c r="D93" s="1">
        <v>0.54</v>
      </c>
      <c r="E93" s="1">
        <v>0.6</v>
      </c>
      <c r="F93" s="1">
        <v>0.17</v>
      </c>
      <c r="G93" s="1" t="str">
        <v/>
      </c>
      <c r="H93" s="1" t="str">
        <v/>
      </c>
      <c r="I93" s="1" t="str">
        <v/>
      </c>
      <c r="J93" s="1">
        <v>0</v>
      </c>
    </row>
    <row r="94" spans="1:10" x14ac:dyDescent="0.2">
      <c r="A94" s="1" t="str">
        <v>IPCA</v>
      </c>
      <c r="B94" s="1" t="str">
        <v>2000-05-05</v>
      </c>
      <c r="C94" s="1" t="str">
        <v>04/2000</v>
      </c>
      <c r="D94" s="1">
        <v>0.53</v>
      </c>
      <c r="E94" s="1">
        <v>0.55000000000000004</v>
      </c>
      <c r="F94" s="1">
        <v>0.16</v>
      </c>
      <c r="G94" s="1" t="str">
        <v/>
      </c>
      <c r="H94" s="1" t="str">
        <v/>
      </c>
      <c r="I94" s="1" t="str">
        <v/>
      </c>
      <c r="J94" s="1">
        <v>0</v>
      </c>
    </row>
    <row r="95" spans="1:10" x14ac:dyDescent="0.2">
      <c r="A95" s="1" t="str">
        <v>IPCA</v>
      </c>
      <c r="B95" s="1" t="str">
        <v>2000-05-08</v>
      </c>
      <c r="C95" s="1" t="str">
        <v>04/2000</v>
      </c>
      <c r="D95" s="1">
        <v>0.52</v>
      </c>
      <c r="E95" s="1">
        <v>0.55000000000000004</v>
      </c>
      <c r="F95" s="1">
        <v>0.17</v>
      </c>
      <c r="G95" s="1" t="str">
        <v/>
      </c>
      <c r="H95" s="1" t="str">
        <v/>
      </c>
      <c r="I95" s="1" t="str">
        <v/>
      </c>
      <c r="J95" s="1">
        <v>0</v>
      </c>
    </row>
    <row r="96" spans="1:10" x14ac:dyDescent="0.2">
      <c r="A96" s="1" t="str">
        <v>IPCA</v>
      </c>
      <c r="B96" s="1" t="str">
        <v>2000-05-09</v>
      </c>
      <c r="C96" s="1" t="str">
        <v>04/2000</v>
      </c>
      <c r="D96" s="1">
        <v>0.51</v>
      </c>
      <c r="E96" s="1">
        <v>0.55000000000000004</v>
      </c>
      <c r="F96" s="1">
        <v>0.17</v>
      </c>
      <c r="G96" s="1" t="str">
        <v/>
      </c>
      <c r="H96" s="1" t="str">
        <v/>
      </c>
      <c r="I96" s="1" t="str">
        <v/>
      </c>
      <c r="J96" s="1">
        <v>0</v>
      </c>
    </row>
    <row r="97" spans="1:10" x14ac:dyDescent="0.2">
      <c r="A97" s="1" t="str">
        <v>IPCA</v>
      </c>
      <c r="B97" s="1" t="str">
        <v>2000-05-10</v>
      </c>
      <c r="C97" s="1" t="str">
        <v>04/2000</v>
      </c>
      <c r="D97" s="1">
        <v>0.5</v>
      </c>
      <c r="E97" s="1">
        <v>0.5</v>
      </c>
      <c r="F97" s="1">
        <v>0.17</v>
      </c>
      <c r="G97" s="1" t="str">
        <v/>
      </c>
      <c r="H97" s="1" t="str">
        <v/>
      </c>
      <c r="I97" s="1" t="str">
        <v/>
      </c>
      <c r="J97" s="1">
        <v>0</v>
      </c>
    </row>
  </sheetData>
  <hyperlinks>
    <hyperlink ref="A2" r:id="rId1" xr:uid="{AD50FF39-3FB5-48C9-84B7-21E17A53C70B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E4961-5372-4738-A9D6-0319F8CD0079}">
  <sheetPr codeName="Planilha12"/>
  <dimension ref="A1:K3029"/>
  <sheetViews>
    <sheetView workbookViewId="0">
      <selection activeCell="A5" sqref="A5"/>
    </sheetView>
  </sheetViews>
  <sheetFormatPr defaultRowHeight="12.75" x14ac:dyDescent="0.2"/>
  <cols>
    <col min="1" max="1" width="9.140625" style="1"/>
    <col min="2" max="2" width="10.140625" style="1" bestFit="1" customWidth="1"/>
    <col min="3" max="3" width="13.7109375" style="1" bestFit="1" customWidth="1"/>
    <col min="4" max="4" width="6" style="1" bestFit="1" customWidth="1"/>
    <col min="5" max="5" width="8" style="1" bestFit="1" customWidth="1"/>
    <col min="6" max="11" width="10.7109375" style="1" bestFit="1" customWidth="1"/>
    <col min="12" max="16384" width="9.140625" style="1"/>
  </cols>
  <sheetData>
    <row r="1" spans="1:11" s="8" customFormat="1" x14ac:dyDescent="0.2">
      <c r="A1" s="7" t="s">
        <v>154</v>
      </c>
    </row>
    <row r="2" spans="1:11" ht="15" x14ac:dyDescent="0.25">
      <c r="A2" s="20" t="s">
        <v>155</v>
      </c>
    </row>
    <row r="4" spans="1:11" s="8" customFormat="1" x14ac:dyDescent="0.2">
      <c r="A4" s="7" t="s">
        <v>25</v>
      </c>
    </row>
    <row r="5" spans="1:11" ht="15" x14ac:dyDescent="0.25">
      <c r="A5" s="1" t="str" cm="1">
        <f t="array" ref="A5:C3029">xlFOCUS_ReadJSONFile(A2,TRUE)</f>
        <v>Instituicao</v>
      </c>
      <c r="B5" s="1" t="str">
        <v>Data</v>
      </c>
      <c r="C5" s="1" t="str">
        <v>Valor</v>
      </c>
      <c r="F5"/>
      <c r="G5"/>
      <c r="H5"/>
      <c r="I5"/>
      <c r="J5"/>
      <c r="K5"/>
    </row>
    <row r="6" spans="1:11" ht="15" x14ac:dyDescent="0.25">
      <c r="A6" s="1">
        <v>49</v>
      </c>
      <c r="B6" s="1" t="str">
        <v>2019-12-02</v>
      </c>
      <c r="C6" s="1">
        <v>3.4624000000000001</v>
      </c>
      <c r="F6"/>
      <c r="G6"/>
      <c r="H6"/>
      <c r="I6"/>
      <c r="J6"/>
      <c r="K6"/>
    </row>
    <row r="7" spans="1:11" ht="15" x14ac:dyDescent="0.25">
      <c r="A7" s="1">
        <v>99</v>
      </c>
      <c r="B7" s="1" t="str">
        <v>2019-12-02</v>
      </c>
      <c r="C7" s="1">
        <v>3.9802</v>
      </c>
      <c r="F7"/>
      <c r="G7"/>
      <c r="H7"/>
      <c r="I7"/>
      <c r="J7"/>
      <c r="K7"/>
    </row>
    <row r="8" spans="1:11" ht="15" x14ac:dyDescent="0.25">
      <c r="A8" s="1">
        <v>143</v>
      </c>
      <c r="B8" s="1" t="str">
        <v>2019-12-02</v>
      </c>
      <c r="C8" s="1">
        <v>3.5</v>
      </c>
      <c r="F8"/>
      <c r="G8"/>
      <c r="H8"/>
      <c r="I8"/>
      <c r="J8"/>
      <c r="K8"/>
    </row>
    <row r="9" spans="1:11" ht="15" x14ac:dyDescent="0.25">
      <c r="A9" s="1">
        <v>2250</v>
      </c>
      <c r="B9" s="1" t="str">
        <v>2019-12-02</v>
      </c>
      <c r="C9" s="1">
        <v>3.3184</v>
      </c>
      <c r="F9"/>
      <c r="G9"/>
      <c r="H9"/>
      <c r="I9"/>
      <c r="J9"/>
      <c r="K9"/>
    </row>
    <row r="10" spans="1:11" ht="15" x14ac:dyDescent="0.25">
      <c r="A10" s="1">
        <v>32401</v>
      </c>
      <c r="B10" s="1" t="str">
        <v>2019-12-02</v>
      </c>
      <c r="C10" s="1">
        <v>4.2286999999999999</v>
      </c>
      <c r="F10"/>
      <c r="G10"/>
      <c r="H10"/>
      <c r="I10"/>
      <c r="J10"/>
      <c r="K10"/>
    </row>
    <row r="11" spans="1:11" ht="15" x14ac:dyDescent="0.25">
      <c r="A11" s="1">
        <v>32360</v>
      </c>
      <c r="B11" s="1" t="str">
        <v>2019-12-02</v>
      </c>
      <c r="C11" s="1">
        <v>3.5977999999999999</v>
      </c>
      <c r="F11"/>
      <c r="G11"/>
      <c r="H11"/>
      <c r="I11"/>
      <c r="J11"/>
      <c r="K11"/>
    </row>
    <row r="12" spans="1:11" ht="15" x14ac:dyDescent="0.25">
      <c r="A12" s="1">
        <v>147</v>
      </c>
      <c r="B12" s="1" t="str">
        <v>2019-12-02</v>
      </c>
      <c r="C12" s="1">
        <v>3.6585999999999999</v>
      </c>
      <c r="F12"/>
      <c r="G12"/>
      <c r="H12"/>
      <c r="I12"/>
      <c r="J12"/>
      <c r="K12"/>
    </row>
    <row r="13" spans="1:11" ht="15" x14ac:dyDescent="0.25">
      <c r="A13" s="1">
        <v>33023</v>
      </c>
      <c r="B13" s="1" t="str">
        <v>2019-12-02</v>
      </c>
      <c r="C13" s="1">
        <v>4</v>
      </c>
      <c r="F13"/>
      <c r="G13"/>
      <c r="H13"/>
      <c r="I13"/>
      <c r="J13"/>
      <c r="K13"/>
    </row>
    <row r="14" spans="1:11" ht="15" x14ac:dyDescent="0.25">
      <c r="A14" s="1">
        <v>176</v>
      </c>
      <c r="B14" s="1" t="str">
        <v>2019-12-02</v>
      </c>
      <c r="C14" s="1">
        <v>3.5564</v>
      </c>
      <c r="F14"/>
      <c r="G14"/>
      <c r="H14"/>
      <c r="I14"/>
      <c r="J14"/>
      <c r="K14"/>
    </row>
    <row r="15" spans="1:11" ht="15" x14ac:dyDescent="0.25">
      <c r="A15" s="1">
        <v>32</v>
      </c>
      <c r="B15" s="1" t="str">
        <v>2019-12-02</v>
      </c>
      <c r="C15" s="1">
        <v>3.5562999999999998</v>
      </c>
      <c r="F15"/>
      <c r="G15"/>
      <c r="H15"/>
      <c r="I15"/>
      <c r="J15"/>
      <c r="K15"/>
    </row>
    <row r="16" spans="1:11" ht="15" x14ac:dyDescent="0.25">
      <c r="A16" s="1">
        <v>178</v>
      </c>
      <c r="B16" s="1" t="str">
        <v>2019-12-02</v>
      </c>
      <c r="C16" s="1">
        <v>3.6078000000000001</v>
      </c>
      <c r="F16"/>
      <c r="G16"/>
      <c r="H16"/>
      <c r="I16"/>
      <c r="J16"/>
      <c r="K16"/>
    </row>
    <row r="17" spans="1:11" ht="15" x14ac:dyDescent="0.25">
      <c r="A17" s="1">
        <v>32421</v>
      </c>
      <c r="B17" s="1" t="str">
        <v>2019-12-02</v>
      </c>
      <c r="C17" s="1">
        <v>3.6661000000000001</v>
      </c>
      <c r="F17"/>
      <c r="G17"/>
      <c r="H17"/>
      <c r="I17"/>
      <c r="J17"/>
      <c r="K17"/>
    </row>
    <row r="18" spans="1:11" ht="15" x14ac:dyDescent="0.25">
      <c r="A18" s="1">
        <v>32963</v>
      </c>
      <c r="B18" s="1" t="str">
        <v>2019-12-02</v>
      </c>
      <c r="C18" s="1">
        <v>3.8146</v>
      </c>
      <c r="F18"/>
      <c r="G18"/>
      <c r="H18"/>
      <c r="I18"/>
      <c r="J18"/>
      <c r="K18"/>
    </row>
    <row r="19" spans="1:11" ht="15" x14ac:dyDescent="0.25">
      <c r="A19" s="1">
        <v>32560</v>
      </c>
      <c r="B19" s="1" t="str">
        <v>2019-12-02</v>
      </c>
      <c r="C19" s="1">
        <v>3.5975000000000001</v>
      </c>
      <c r="F19"/>
      <c r="G19"/>
      <c r="H19"/>
      <c r="I19"/>
      <c r="J19"/>
      <c r="K19"/>
    </row>
    <row r="20" spans="1:11" ht="15" x14ac:dyDescent="0.25">
      <c r="A20" s="1">
        <v>23250</v>
      </c>
      <c r="B20" s="1" t="str">
        <v>2019-12-02</v>
      </c>
      <c r="C20" s="1">
        <v>3.7932000000000001</v>
      </c>
      <c r="F20"/>
      <c r="G20"/>
      <c r="H20"/>
      <c r="I20"/>
      <c r="J20"/>
      <c r="K20"/>
    </row>
    <row r="21" spans="1:11" ht="15" x14ac:dyDescent="0.25">
      <c r="A21" s="1">
        <v>99</v>
      </c>
      <c r="B21" s="1" t="str">
        <v>2019-12-03</v>
      </c>
      <c r="C21" s="1">
        <v>3.9802</v>
      </c>
      <c r="F21"/>
      <c r="G21"/>
      <c r="H21"/>
      <c r="I21"/>
      <c r="J21"/>
      <c r="K21"/>
    </row>
    <row r="22" spans="1:11" ht="15" x14ac:dyDescent="0.25">
      <c r="A22" s="1">
        <v>98</v>
      </c>
      <c r="B22" s="1" t="str">
        <v>2019-12-03</v>
      </c>
      <c r="C22" s="1">
        <v>3.4841000000000002</v>
      </c>
      <c r="F22"/>
      <c r="G22"/>
      <c r="H22"/>
      <c r="I22"/>
      <c r="J22"/>
      <c r="K22"/>
    </row>
    <row r="23" spans="1:11" ht="15" x14ac:dyDescent="0.25">
      <c r="A23" s="1">
        <v>90</v>
      </c>
      <c r="B23" s="1" t="str">
        <v>2019-12-03</v>
      </c>
      <c r="C23" s="1">
        <v>3.5870000000000002</v>
      </c>
      <c r="F23"/>
      <c r="G23"/>
      <c r="H23"/>
      <c r="I23"/>
      <c r="J23"/>
      <c r="K23"/>
    </row>
    <row r="24" spans="1:11" ht="15" x14ac:dyDescent="0.25">
      <c r="A24" s="1">
        <v>132</v>
      </c>
      <c r="B24" s="1" t="str">
        <v>2019-12-03</v>
      </c>
      <c r="C24" s="1">
        <v>3.8</v>
      </c>
      <c r="F24"/>
      <c r="G24"/>
      <c r="H24"/>
      <c r="I24"/>
      <c r="J24"/>
      <c r="K24"/>
    </row>
    <row r="25" spans="1:11" ht="15" x14ac:dyDescent="0.25">
      <c r="A25" s="1">
        <v>59</v>
      </c>
      <c r="B25" s="1" t="str">
        <v>2019-12-03</v>
      </c>
      <c r="C25" s="1">
        <v>3.6072000000000002</v>
      </c>
      <c r="F25"/>
      <c r="G25"/>
      <c r="H25"/>
      <c r="I25"/>
      <c r="J25"/>
      <c r="K25"/>
    </row>
    <row r="26" spans="1:11" ht="15" x14ac:dyDescent="0.25">
      <c r="A26" s="1">
        <v>77</v>
      </c>
      <c r="B26" s="1" t="str">
        <v>2019-12-03</v>
      </c>
      <c r="C26" s="1">
        <v>3.7101999999999999</v>
      </c>
      <c r="F26"/>
      <c r="G26"/>
      <c r="H26"/>
      <c r="I26"/>
      <c r="J26"/>
      <c r="K26"/>
    </row>
    <row r="27" spans="1:11" ht="15" x14ac:dyDescent="0.25">
      <c r="A27" s="1">
        <v>1</v>
      </c>
      <c r="B27" s="1" t="str">
        <v>2019-12-03</v>
      </c>
      <c r="C27" s="1">
        <v>3.7006999999999999</v>
      </c>
      <c r="F27"/>
      <c r="G27"/>
      <c r="H27"/>
      <c r="I27"/>
      <c r="J27"/>
      <c r="K27"/>
    </row>
    <row r="28" spans="1:11" ht="15" x14ac:dyDescent="0.25">
      <c r="A28" s="1">
        <v>83</v>
      </c>
      <c r="B28" s="1" t="str">
        <v>2019-12-03</v>
      </c>
      <c r="C28" s="1">
        <v>4</v>
      </c>
      <c r="F28"/>
      <c r="G28"/>
      <c r="H28"/>
      <c r="I28"/>
      <c r="J28"/>
      <c r="K28"/>
    </row>
    <row r="29" spans="1:11" ht="15" x14ac:dyDescent="0.25">
      <c r="A29" s="1">
        <v>32360</v>
      </c>
      <c r="B29" s="1" t="str">
        <v>2019-12-04</v>
      </c>
      <c r="C29" s="1">
        <v>3.5977999999999999</v>
      </c>
      <c r="F29"/>
      <c r="G29"/>
      <c r="H29"/>
      <c r="I29"/>
      <c r="J29"/>
      <c r="K29"/>
    </row>
    <row r="30" spans="1:11" ht="15" x14ac:dyDescent="0.25">
      <c r="A30" s="1">
        <v>115</v>
      </c>
      <c r="B30" s="1" t="str">
        <v>2019-12-04</v>
      </c>
      <c r="C30" s="1">
        <v>3.6074999999999999</v>
      </c>
      <c r="F30"/>
      <c r="G30"/>
      <c r="H30"/>
      <c r="I30"/>
      <c r="J30"/>
      <c r="K30"/>
    </row>
    <row r="31" spans="1:11" ht="15" x14ac:dyDescent="0.25">
      <c r="A31" s="1">
        <v>32400</v>
      </c>
      <c r="B31" s="1" t="str">
        <v>2019-12-04</v>
      </c>
      <c r="C31" s="1">
        <v>3.6</v>
      </c>
      <c r="F31"/>
      <c r="G31"/>
      <c r="H31"/>
      <c r="I31"/>
      <c r="J31"/>
      <c r="K31"/>
    </row>
    <row r="32" spans="1:11" ht="15" x14ac:dyDescent="0.25">
      <c r="A32" s="1">
        <v>147</v>
      </c>
      <c r="B32" s="1" t="str">
        <v>2019-12-04</v>
      </c>
      <c r="C32" s="1">
        <v>3.6585999999999999</v>
      </c>
      <c r="F32"/>
      <c r="G32"/>
      <c r="H32"/>
      <c r="I32"/>
      <c r="J32"/>
      <c r="K32"/>
    </row>
    <row r="33" spans="1:11" ht="15" x14ac:dyDescent="0.25">
      <c r="A33" s="1">
        <v>32200</v>
      </c>
      <c r="B33" s="1" t="str">
        <v>2019-12-04</v>
      </c>
      <c r="C33" s="1">
        <v>3.3801999999999999</v>
      </c>
      <c r="F33"/>
      <c r="G33"/>
      <c r="H33"/>
      <c r="I33"/>
      <c r="J33"/>
      <c r="K33"/>
    </row>
    <row r="34" spans="1:11" ht="15" x14ac:dyDescent="0.25">
      <c r="A34" s="1">
        <v>32823</v>
      </c>
      <c r="B34" s="1" t="str">
        <v>2019-12-04</v>
      </c>
      <c r="C34" s="1">
        <v>3.9</v>
      </c>
      <c r="F34"/>
      <c r="G34"/>
      <c r="H34"/>
      <c r="I34"/>
      <c r="J34"/>
      <c r="K34"/>
    </row>
    <row r="35" spans="1:11" ht="15" x14ac:dyDescent="0.25">
      <c r="A35" s="1">
        <v>1</v>
      </c>
      <c r="B35" s="1" t="str">
        <v>2019-12-04</v>
      </c>
      <c r="C35" s="1">
        <v>3.7008999999999999</v>
      </c>
      <c r="F35"/>
      <c r="G35"/>
      <c r="H35"/>
      <c r="I35"/>
      <c r="J35"/>
      <c r="K35"/>
    </row>
    <row r="36" spans="1:11" ht="15" x14ac:dyDescent="0.25">
      <c r="A36" s="1">
        <v>55</v>
      </c>
      <c r="B36" s="1" t="str">
        <v>2019-12-04</v>
      </c>
      <c r="C36" s="1">
        <v>3.55</v>
      </c>
      <c r="F36"/>
      <c r="G36"/>
      <c r="H36"/>
      <c r="I36"/>
      <c r="J36"/>
      <c r="K36"/>
    </row>
    <row r="37" spans="1:11" ht="15" x14ac:dyDescent="0.25">
      <c r="A37" s="1">
        <v>32843</v>
      </c>
      <c r="B37" s="1" t="str">
        <v>2019-12-04</v>
      </c>
      <c r="C37" s="1">
        <v>3.7206999999999999</v>
      </c>
      <c r="F37"/>
      <c r="G37"/>
      <c r="H37"/>
      <c r="I37"/>
      <c r="J37"/>
      <c r="K37"/>
    </row>
    <row r="38" spans="1:11" ht="15" x14ac:dyDescent="0.25">
      <c r="A38" s="1">
        <v>32724</v>
      </c>
      <c r="B38" s="1" t="str">
        <v>2019-12-04</v>
      </c>
      <c r="C38" s="1">
        <v>3.5047999999999999</v>
      </c>
      <c r="F38"/>
      <c r="G38"/>
      <c r="H38"/>
      <c r="I38"/>
      <c r="J38"/>
      <c r="K38"/>
    </row>
    <row r="39" spans="1:11" ht="15" x14ac:dyDescent="0.25">
      <c r="A39" s="1">
        <v>32420</v>
      </c>
      <c r="B39" s="1" t="str">
        <v>2019-12-04</v>
      </c>
      <c r="C39" s="1">
        <v>3.6494</v>
      </c>
      <c r="F39"/>
      <c r="G39"/>
      <c r="H39"/>
      <c r="I39"/>
      <c r="J39"/>
      <c r="K39"/>
    </row>
    <row r="40" spans="1:11" ht="15" x14ac:dyDescent="0.25">
      <c r="A40" s="1">
        <v>72</v>
      </c>
      <c r="B40" s="1" t="str">
        <v>2019-12-04</v>
      </c>
      <c r="C40" s="1">
        <v>3.597</v>
      </c>
      <c r="F40"/>
      <c r="G40"/>
      <c r="H40"/>
      <c r="I40"/>
      <c r="J40"/>
      <c r="K40"/>
    </row>
    <row r="41" spans="1:11" ht="15" x14ac:dyDescent="0.25">
      <c r="A41" s="1">
        <v>176</v>
      </c>
      <c r="B41" s="1" t="str">
        <v>2019-12-05</v>
      </c>
      <c r="C41" s="1">
        <v>3.5564</v>
      </c>
      <c r="F41"/>
      <c r="G41"/>
      <c r="H41"/>
      <c r="I41"/>
      <c r="J41"/>
      <c r="K41"/>
    </row>
    <row r="42" spans="1:11" ht="15" x14ac:dyDescent="0.25">
      <c r="A42" s="1">
        <v>147</v>
      </c>
      <c r="B42" s="1" t="str">
        <v>2019-12-05</v>
      </c>
      <c r="C42" s="1">
        <v>3.6585999999999999</v>
      </c>
      <c r="F42"/>
      <c r="G42"/>
      <c r="H42"/>
      <c r="I42"/>
      <c r="J42"/>
      <c r="K42"/>
    </row>
    <row r="43" spans="1:11" ht="15" x14ac:dyDescent="0.25">
      <c r="A43" s="1">
        <v>53</v>
      </c>
      <c r="B43" s="1" t="str">
        <v>2019-12-05</v>
      </c>
      <c r="C43" s="1">
        <v>3.4319000000000002</v>
      </c>
      <c r="F43"/>
      <c r="G43"/>
      <c r="H43"/>
      <c r="I43"/>
      <c r="J43"/>
      <c r="K43"/>
    </row>
    <row r="44" spans="1:11" ht="15" x14ac:dyDescent="0.25">
      <c r="A44" s="1">
        <v>33103</v>
      </c>
      <c r="B44" s="1" t="str">
        <v>2019-12-05</v>
      </c>
      <c r="C44" s="1">
        <v>3.9108999999999998</v>
      </c>
      <c r="F44"/>
      <c r="G44"/>
      <c r="H44"/>
      <c r="I44"/>
      <c r="J44"/>
      <c r="K44"/>
    </row>
    <row r="45" spans="1:11" ht="15" x14ac:dyDescent="0.25">
      <c r="A45" s="1">
        <v>32</v>
      </c>
      <c r="B45" s="1" t="str">
        <v>2019-12-05</v>
      </c>
      <c r="C45" s="1">
        <v>3.5562999999999998</v>
      </c>
      <c r="F45"/>
      <c r="G45"/>
      <c r="H45"/>
      <c r="I45"/>
      <c r="J45"/>
      <c r="K45"/>
    </row>
    <row r="46" spans="1:11" ht="15" x14ac:dyDescent="0.25">
      <c r="A46" s="1">
        <v>34</v>
      </c>
      <c r="B46" s="1" t="str">
        <v>2019-12-05</v>
      </c>
      <c r="C46" s="1">
        <v>3.6076000000000001</v>
      </c>
      <c r="F46"/>
      <c r="G46"/>
      <c r="H46"/>
      <c r="I46"/>
      <c r="J46"/>
      <c r="K46"/>
    </row>
    <row r="47" spans="1:11" ht="15" x14ac:dyDescent="0.25">
      <c r="A47" s="1">
        <v>32082</v>
      </c>
      <c r="B47" s="1" t="str">
        <v>2019-12-05</v>
      </c>
      <c r="C47" s="1">
        <v>3.4407999999999999</v>
      </c>
      <c r="F47"/>
      <c r="G47"/>
      <c r="H47"/>
      <c r="I47"/>
      <c r="J47"/>
      <c r="K47"/>
    </row>
    <row r="48" spans="1:11" ht="15" x14ac:dyDescent="0.25">
      <c r="A48" s="1">
        <v>32582</v>
      </c>
      <c r="B48" s="1" t="str">
        <v>2019-12-05</v>
      </c>
      <c r="C48" s="1">
        <v>3.6597</v>
      </c>
      <c r="F48"/>
      <c r="G48"/>
      <c r="H48"/>
      <c r="I48"/>
      <c r="J48"/>
      <c r="K48"/>
    </row>
    <row r="49" spans="1:11" ht="15" x14ac:dyDescent="0.25">
      <c r="A49" s="1">
        <v>139</v>
      </c>
      <c r="B49" s="1" t="str">
        <v>2019-12-05</v>
      </c>
      <c r="C49" s="1">
        <v>3.8041999999999998</v>
      </c>
      <c r="F49"/>
      <c r="G49"/>
      <c r="H49"/>
      <c r="I49"/>
      <c r="J49"/>
      <c r="K49"/>
    </row>
    <row r="50" spans="1:11" ht="15" x14ac:dyDescent="0.25">
      <c r="A50" s="1">
        <v>24</v>
      </c>
      <c r="B50" s="1" t="str">
        <v>2019-12-05</v>
      </c>
      <c r="C50" s="1">
        <v>3.8456000000000001</v>
      </c>
      <c r="F50"/>
      <c r="G50"/>
      <c r="H50"/>
      <c r="I50"/>
      <c r="J50"/>
      <c r="K50"/>
    </row>
    <row r="51" spans="1:11" ht="15" x14ac:dyDescent="0.25">
      <c r="A51" s="1">
        <v>171</v>
      </c>
      <c r="B51" s="1" t="str">
        <v>2019-12-05</v>
      </c>
      <c r="C51" s="1">
        <v>3.5144000000000002</v>
      </c>
      <c r="F51"/>
      <c r="G51"/>
      <c r="H51"/>
      <c r="I51"/>
      <c r="J51"/>
      <c r="K51"/>
    </row>
    <row r="52" spans="1:11" ht="15" x14ac:dyDescent="0.25">
      <c r="A52" s="1">
        <v>16</v>
      </c>
      <c r="B52" s="1" t="str">
        <v>2019-12-05</v>
      </c>
      <c r="C52" s="1">
        <v>3.39</v>
      </c>
      <c r="F52"/>
      <c r="G52"/>
      <c r="H52"/>
      <c r="I52"/>
      <c r="J52"/>
      <c r="K52"/>
    </row>
    <row r="53" spans="1:11" ht="15" x14ac:dyDescent="0.25">
      <c r="A53" s="1">
        <v>30400</v>
      </c>
      <c r="B53" s="1" t="str">
        <v>2019-12-05</v>
      </c>
      <c r="C53" s="1">
        <v>3.2366000000000001</v>
      </c>
      <c r="F53"/>
      <c r="G53"/>
      <c r="H53"/>
      <c r="I53"/>
      <c r="J53"/>
      <c r="K53"/>
    </row>
    <row r="54" spans="1:11" ht="15" x14ac:dyDescent="0.25">
      <c r="A54" s="1">
        <v>1</v>
      </c>
      <c r="B54" s="1" t="str">
        <v>2019-12-05</v>
      </c>
      <c r="C54" s="1">
        <v>3.7008999999999999</v>
      </c>
      <c r="F54"/>
      <c r="G54"/>
      <c r="H54"/>
      <c r="I54"/>
      <c r="J54"/>
      <c r="K54"/>
    </row>
    <row r="55" spans="1:11" ht="15" x14ac:dyDescent="0.25">
      <c r="A55" s="1">
        <v>191</v>
      </c>
      <c r="B55" s="1" t="str">
        <v>2019-12-05</v>
      </c>
      <c r="C55" s="1">
        <v>3.7418</v>
      </c>
      <c r="F55"/>
      <c r="G55"/>
      <c r="H55"/>
      <c r="I55"/>
      <c r="J55"/>
      <c r="K55"/>
    </row>
    <row r="56" spans="1:11" ht="15" x14ac:dyDescent="0.25">
      <c r="A56" s="1">
        <v>98</v>
      </c>
      <c r="B56" s="1" t="str">
        <v>2019-12-05</v>
      </c>
      <c r="C56" s="1">
        <v>3.4841000000000002</v>
      </c>
      <c r="F56"/>
      <c r="G56"/>
      <c r="H56"/>
      <c r="I56"/>
      <c r="J56"/>
      <c r="K56"/>
    </row>
    <row r="57" spans="1:11" ht="15" x14ac:dyDescent="0.25">
      <c r="A57" s="1">
        <v>32280</v>
      </c>
      <c r="B57" s="1" t="str">
        <v>2019-12-05</v>
      </c>
      <c r="C57" s="1">
        <v>3.7</v>
      </c>
      <c r="F57"/>
      <c r="G57"/>
      <c r="H57"/>
      <c r="I57"/>
      <c r="J57"/>
      <c r="K57"/>
    </row>
    <row r="58" spans="1:11" ht="15" x14ac:dyDescent="0.25">
      <c r="A58" s="1">
        <v>32603</v>
      </c>
      <c r="B58" s="1" t="str">
        <v>2019-12-05</v>
      </c>
      <c r="C58" s="1">
        <v>3.5243000000000002</v>
      </c>
      <c r="F58"/>
      <c r="G58"/>
      <c r="H58"/>
      <c r="I58"/>
      <c r="J58"/>
      <c r="K58"/>
    </row>
    <row r="59" spans="1:11" ht="15" x14ac:dyDescent="0.25">
      <c r="A59" s="1">
        <v>157</v>
      </c>
      <c r="B59" s="1" t="str">
        <v>2019-12-05</v>
      </c>
      <c r="C59" s="1">
        <v>3.85</v>
      </c>
      <c r="F59"/>
      <c r="G59"/>
      <c r="H59"/>
      <c r="I59"/>
      <c r="J59"/>
      <c r="K59"/>
    </row>
    <row r="60" spans="1:11" ht="15" x14ac:dyDescent="0.25">
      <c r="A60" s="1">
        <v>72</v>
      </c>
      <c r="B60" s="1" t="str">
        <v>2019-12-05</v>
      </c>
      <c r="C60" s="1">
        <v>3.5663</v>
      </c>
      <c r="F60"/>
      <c r="G60"/>
      <c r="H60"/>
      <c r="I60"/>
      <c r="J60"/>
      <c r="K60"/>
    </row>
    <row r="61" spans="1:11" ht="15" x14ac:dyDescent="0.25">
      <c r="A61" s="1">
        <v>32863</v>
      </c>
      <c r="B61" s="1" t="str">
        <v>2019-12-06</v>
      </c>
      <c r="C61" s="1">
        <v>3.2658</v>
      </c>
      <c r="F61"/>
      <c r="G61"/>
      <c r="H61"/>
      <c r="I61"/>
      <c r="J61"/>
      <c r="K61"/>
    </row>
    <row r="62" spans="1:11" ht="15" x14ac:dyDescent="0.25">
      <c r="A62" s="1">
        <v>67</v>
      </c>
      <c r="B62" s="1" t="str">
        <v>2019-12-06</v>
      </c>
      <c r="C62" s="1">
        <v>3.4630000000000001</v>
      </c>
      <c r="F62"/>
      <c r="G62"/>
      <c r="H62"/>
      <c r="I62"/>
      <c r="J62"/>
      <c r="K62"/>
    </row>
    <row r="63" spans="1:11" ht="15" x14ac:dyDescent="0.25">
      <c r="A63" s="1">
        <v>143</v>
      </c>
      <c r="B63" s="1" t="str">
        <v>2019-12-06</v>
      </c>
      <c r="C63" s="1">
        <v>3.5</v>
      </c>
      <c r="F63"/>
      <c r="G63"/>
      <c r="H63"/>
      <c r="I63"/>
      <c r="J63"/>
      <c r="K63"/>
    </row>
    <row r="64" spans="1:11" ht="15" x14ac:dyDescent="0.25">
      <c r="A64" s="1">
        <v>32360</v>
      </c>
      <c r="B64" s="1" t="str">
        <v>2019-12-06</v>
      </c>
      <c r="C64" s="1">
        <v>3.5977999999999999</v>
      </c>
      <c r="F64"/>
      <c r="G64"/>
      <c r="H64"/>
      <c r="I64"/>
      <c r="J64"/>
      <c r="K64"/>
    </row>
    <row r="65" spans="1:11" ht="15" x14ac:dyDescent="0.25">
      <c r="A65" s="1">
        <v>33103</v>
      </c>
      <c r="B65" s="1" t="str">
        <v>2019-12-06</v>
      </c>
      <c r="C65" s="1">
        <v>4.0210999999999997</v>
      </c>
      <c r="F65"/>
      <c r="G65"/>
      <c r="H65"/>
      <c r="I65"/>
      <c r="J65"/>
      <c r="K65"/>
    </row>
    <row r="66" spans="1:11" ht="15" x14ac:dyDescent="0.25">
      <c r="A66" s="1">
        <v>28</v>
      </c>
      <c r="B66" s="1" t="str">
        <v>2019-12-06</v>
      </c>
      <c r="C66" s="1">
        <v>3.5042</v>
      </c>
      <c r="F66"/>
      <c r="G66"/>
      <c r="H66"/>
      <c r="I66"/>
      <c r="J66"/>
      <c r="K66"/>
    </row>
    <row r="67" spans="1:11" ht="15" x14ac:dyDescent="0.25">
      <c r="A67" s="1">
        <v>31</v>
      </c>
      <c r="B67" s="1" t="str">
        <v>2019-12-06</v>
      </c>
      <c r="C67" s="1">
        <v>3.6</v>
      </c>
      <c r="F67"/>
      <c r="G67"/>
      <c r="H67"/>
      <c r="I67"/>
      <c r="J67"/>
      <c r="K67"/>
    </row>
    <row r="68" spans="1:11" ht="15" x14ac:dyDescent="0.25">
      <c r="A68" s="1">
        <v>33023</v>
      </c>
      <c r="B68" s="1" t="str">
        <v>2019-12-06</v>
      </c>
      <c r="C68" s="1">
        <v>4</v>
      </c>
      <c r="F68"/>
      <c r="G68"/>
      <c r="H68"/>
      <c r="I68"/>
      <c r="J68"/>
      <c r="K68"/>
    </row>
    <row r="69" spans="1:11" ht="15" x14ac:dyDescent="0.25">
      <c r="A69" s="1">
        <v>37</v>
      </c>
      <c r="B69" s="1" t="str">
        <v>2019-12-06</v>
      </c>
      <c r="C69" s="1">
        <v>3.7734999999999999</v>
      </c>
      <c r="F69"/>
      <c r="G69"/>
      <c r="H69"/>
      <c r="I69"/>
      <c r="J69"/>
      <c r="K69"/>
    </row>
    <row r="70" spans="1:11" ht="15" x14ac:dyDescent="0.25">
      <c r="A70" s="1">
        <v>99</v>
      </c>
      <c r="B70" s="1" t="str">
        <v>2019-12-06</v>
      </c>
      <c r="C70" s="1">
        <v>3.9802</v>
      </c>
      <c r="F70"/>
      <c r="G70"/>
      <c r="H70"/>
      <c r="I70"/>
      <c r="J70"/>
      <c r="K70"/>
    </row>
    <row r="71" spans="1:11" ht="15" x14ac:dyDescent="0.25">
      <c r="A71" s="1">
        <v>115</v>
      </c>
      <c r="B71" s="1" t="str">
        <v>2019-12-06</v>
      </c>
      <c r="C71" s="1">
        <v>3.6177999999999999</v>
      </c>
      <c r="F71"/>
      <c r="G71"/>
      <c r="H71"/>
      <c r="I71"/>
      <c r="J71"/>
      <c r="K71"/>
    </row>
    <row r="72" spans="1:11" ht="15" x14ac:dyDescent="0.25">
      <c r="A72" s="1">
        <v>24</v>
      </c>
      <c r="B72" s="1" t="str">
        <v>2019-12-06</v>
      </c>
      <c r="C72" s="1">
        <v>3.7627000000000002</v>
      </c>
      <c r="F72"/>
      <c r="G72"/>
      <c r="H72"/>
      <c r="I72"/>
      <c r="J72"/>
      <c r="K72"/>
    </row>
    <row r="73" spans="1:11" ht="15" x14ac:dyDescent="0.25">
      <c r="A73" s="1">
        <v>171</v>
      </c>
      <c r="B73" s="1" t="str">
        <v>2019-12-06</v>
      </c>
      <c r="C73" s="1">
        <v>3.5144000000000002</v>
      </c>
      <c r="F73"/>
      <c r="G73"/>
      <c r="H73"/>
      <c r="I73"/>
      <c r="J73"/>
      <c r="K73"/>
    </row>
    <row r="74" spans="1:11" ht="15" x14ac:dyDescent="0.25">
      <c r="A74" s="1">
        <v>55</v>
      </c>
      <c r="B74" s="1" t="str">
        <v>2019-12-06</v>
      </c>
      <c r="C74" s="1">
        <v>3.55</v>
      </c>
      <c r="F74"/>
      <c r="G74"/>
      <c r="H74"/>
      <c r="I74"/>
      <c r="J74"/>
      <c r="K74"/>
    </row>
    <row r="75" spans="1:11" ht="15" x14ac:dyDescent="0.25">
      <c r="A75" s="1">
        <v>32923</v>
      </c>
      <c r="B75" s="1" t="str">
        <v>2019-12-06</v>
      </c>
      <c r="C75" s="1">
        <v>4.0633999999999997</v>
      </c>
      <c r="F75"/>
      <c r="G75"/>
      <c r="H75"/>
      <c r="I75"/>
      <c r="J75"/>
      <c r="K75"/>
    </row>
    <row r="76" spans="1:11" ht="15" x14ac:dyDescent="0.25">
      <c r="A76" s="1">
        <v>32</v>
      </c>
      <c r="B76" s="1" t="str">
        <v>2019-12-06</v>
      </c>
      <c r="C76" s="1">
        <v>3.6596000000000002</v>
      </c>
      <c r="F76"/>
      <c r="G76"/>
      <c r="H76"/>
      <c r="I76"/>
      <c r="J76"/>
      <c r="K76"/>
    </row>
    <row r="77" spans="1:11" ht="15" x14ac:dyDescent="0.25">
      <c r="A77" s="1">
        <v>32340</v>
      </c>
      <c r="B77" s="1" t="str">
        <v>2019-12-06</v>
      </c>
      <c r="C77" s="1">
        <v>3.5251999999999999</v>
      </c>
      <c r="F77"/>
      <c r="G77"/>
      <c r="H77"/>
      <c r="I77"/>
      <c r="J77"/>
      <c r="K77"/>
    </row>
    <row r="78" spans="1:11" ht="15" x14ac:dyDescent="0.25">
      <c r="A78" s="1">
        <v>23250</v>
      </c>
      <c r="B78" s="1" t="str">
        <v>2019-12-06</v>
      </c>
      <c r="C78" s="1">
        <v>3.7932000000000001</v>
      </c>
      <c r="F78"/>
      <c r="G78"/>
      <c r="H78"/>
      <c r="I78"/>
      <c r="J78"/>
      <c r="K78"/>
    </row>
    <row r="79" spans="1:11" ht="15" x14ac:dyDescent="0.25">
      <c r="A79" s="1">
        <v>196</v>
      </c>
      <c r="B79" s="1" t="str">
        <v>2019-12-06</v>
      </c>
      <c r="C79" s="1">
        <v>3.5047000000000001</v>
      </c>
      <c r="F79"/>
      <c r="G79"/>
      <c r="H79"/>
      <c r="I79"/>
      <c r="J79"/>
      <c r="K79"/>
    </row>
    <row r="80" spans="1:11" ht="15" x14ac:dyDescent="0.25">
      <c r="A80" s="1">
        <v>94</v>
      </c>
      <c r="B80" s="1" t="str">
        <v>2019-12-06</v>
      </c>
      <c r="C80" s="1">
        <v>3.8</v>
      </c>
      <c r="F80"/>
      <c r="G80"/>
      <c r="H80"/>
      <c r="I80"/>
      <c r="J80"/>
      <c r="K80"/>
    </row>
    <row r="81" spans="1:11" ht="15" x14ac:dyDescent="0.25">
      <c r="A81" s="1">
        <v>109</v>
      </c>
      <c r="B81" s="1" t="str">
        <v>2019-12-06</v>
      </c>
      <c r="C81" s="1">
        <v>3.8041999999999998</v>
      </c>
      <c r="F81"/>
      <c r="G81"/>
      <c r="H81"/>
      <c r="I81"/>
      <c r="J81"/>
      <c r="K81"/>
    </row>
    <row r="82" spans="1:11" ht="15" x14ac:dyDescent="0.25">
      <c r="A82" s="1">
        <v>98</v>
      </c>
      <c r="B82" s="1" t="str">
        <v>2019-12-06</v>
      </c>
      <c r="C82" s="1">
        <v>3.5345</v>
      </c>
      <c r="F82"/>
      <c r="G82"/>
      <c r="H82"/>
      <c r="I82"/>
      <c r="J82"/>
      <c r="K82"/>
    </row>
    <row r="83" spans="1:11" ht="15" x14ac:dyDescent="0.25">
      <c r="A83" s="1">
        <v>147</v>
      </c>
      <c r="B83" s="1" t="str">
        <v>2019-12-06</v>
      </c>
      <c r="C83" s="1">
        <v>3.6585999999999999</v>
      </c>
      <c r="F83"/>
      <c r="G83"/>
      <c r="H83"/>
      <c r="I83"/>
      <c r="J83"/>
      <c r="K83"/>
    </row>
    <row r="84" spans="1:11" ht="15" x14ac:dyDescent="0.25">
      <c r="A84" s="1">
        <v>32081</v>
      </c>
      <c r="B84" s="1" t="str">
        <v>2019-12-06</v>
      </c>
      <c r="C84" s="1">
        <v>3.4527999999999999</v>
      </c>
      <c r="F84"/>
      <c r="G84"/>
      <c r="H84"/>
      <c r="I84"/>
      <c r="J84"/>
      <c r="K84"/>
    </row>
    <row r="85" spans="1:11" ht="15" x14ac:dyDescent="0.25">
      <c r="A85" s="1">
        <v>32502</v>
      </c>
      <c r="B85" s="1" t="str">
        <v>2019-12-06</v>
      </c>
      <c r="C85" s="1">
        <v>3.2984</v>
      </c>
      <c r="F85"/>
      <c r="G85"/>
      <c r="H85"/>
      <c r="I85"/>
      <c r="J85"/>
      <c r="K85"/>
    </row>
    <row r="86" spans="1:11" ht="15" x14ac:dyDescent="0.25">
      <c r="A86" s="1">
        <v>30250</v>
      </c>
      <c r="B86" s="1" t="str">
        <v>2019-12-06</v>
      </c>
      <c r="C86" s="1">
        <v>3.5045999999999999</v>
      </c>
      <c r="F86"/>
      <c r="G86"/>
      <c r="H86"/>
      <c r="I86"/>
      <c r="J86"/>
      <c r="K86"/>
    </row>
    <row r="87" spans="1:11" ht="15" x14ac:dyDescent="0.25">
      <c r="A87" s="1">
        <v>146</v>
      </c>
      <c r="B87" s="1" t="str">
        <v>2019-12-06</v>
      </c>
      <c r="C87" s="1">
        <v>3.7006999999999999</v>
      </c>
      <c r="F87"/>
      <c r="G87"/>
      <c r="H87"/>
      <c r="I87"/>
      <c r="J87"/>
      <c r="K87"/>
    </row>
    <row r="88" spans="1:11" ht="15" x14ac:dyDescent="0.25">
      <c r="A88" s="1">
        <v>150</v>
      </c>
      <c r="B88" s="1" t="str">
        <v>2019-12-06</v>
      </c>
      <c r="C88" s="1">
        <v>3.8315000000000001</v>
      </c>
      <c r="F88"/>
      <c r="G88"/>
      <c r="H88"/>
      <c r="I88"/>
      <c r="J88"/>
      <c r="K88"/>
    </row>
    <row r="89" spans="1:11" ht="15" x14ac:dyDescent="0.25">
      <c r="A89" s="1">
        <v>32803</v>
      </c>
      <c r="B89" s="1" t="str">
        <v>2019-12-06</v>
      </c>
      <c r="C89" s="1">
        <v>3.4628000000000001</v>
      </c>
      <c r="F89"/>
      <c r="G89"/>
      <c r="H89"/>
      <c r="I89"/>
      <c r="J89"/>
      <c r="K89"/>
    </row>
    <row r="90" spans="1:11" ht="15" x14ac:dyDescent="0.25">
      <c r="A90" s="1">
        <v>32320</v>
      </c>
      <c r="B90" s="1" t="str">
        <v>2019-12-06</v>
      </c>
      <c r="C90" s="1">
        <v>3.4940000000000002</v>
      </c>
      <c r="F90"/>
      <c r="G90"/>
      <c r="H90"/>
      <c r="I90"/>
      <c r="J90"/>
      <c r="K90"/>
    </row>
    <row r="91" spans="1:11" ht="15" x14ac:dyDescent="0.25">
      <c r="A91" s="1">
        <v>90</v>
      </c>
      <c r="B91" s="1" t="str">
        <v>2019-12-06</v>
      </c>
      <c r="C91" s="1">
        <v>3.3807</v>
      </c>
      <c r="F91"/>
      <c r="G91"/>
      <c r="H91"/>
      <c r="I91"/>
      <c r="J91"/>
      <c r="K91"/>
    </row>
    <row r="92" spans="1:11" ht="15" x14ac:dyDescent="0.25">
      <c r="A92" s="1">
        <v>9250</v>
      </c>
      <c r="B92" s="1" t="str">
        <v>2019-12-06</v>
      </c>
      <c r="C92" s="1">
        <v>3.8</v>
      </c>
      <c r="F92"/>
      <c r="G92"/>
      <c r="H92"/>
      <c r="I92"/>
      <c r="J92"/>
      <c r="K92"/>
    </row>
    <row r="93" spans="1:11" ht="15" x14ac:dyDescent="0.25">
      <c r="A93" s="1">
        <v>30300</v>
      </c>
      <c r="B93" s="1" t="str">
        <v>2019-12-06</v>
      </c>
      <c r="C93" s="1">
        <v>3.5459999999999998</v>
      </c>
      <c r="F93"/>
      <c r="G93"/>
      <c r="H93"/>
      <c r="I93"/>
      <c r="J93"/>
      <c r="K93"/>
    </row>
    <row r="94" spans="1:11" ht="15" x14ac:dyDescent="0.25">
      <c r="A94" s="1">
        <v>24250</v>
      </c>
      <c r="B94" s="1" t="str">
        <v>2019-12-06</v>
      </c>
      <c r="C94" s="1">
        <v>3.5249000000000001</v>
      </c>
      <c r="F94"/>
      <c r="G94"/>
      <c r="H94"/>
      <c r="I94"/>
      <c r="J94"/>
      <c r="K94"/>
    </row>
    <row r="95" spans="1:11" ht="15" x14ac:dyDescent="0.25">
      <c r="A95" s="1">
        <v>72</v>
      </c>
      <c r="B95" s="1" t="str">
        <v>2019-12-06</v>
      </c>
      <c r="C95" s="1">
        <v>3.6076000000000001</v>
      </c>
      <c r="F95"/>
      <c r="G95"/>
      <c r="H95"/>
      <c r="I95"/>
      <c r="J95"/>
      <c r="K95"/>
    </row>
    <row r="96" spans="1:11" ht="15" x14ac:dyDescent="0.25">
      <c r="A96" s="1">
        <v>33043</v>
      </c>
      <c r="B96" s="1" t="str">
        <v>2019-12-06</v>
      </c>
      <c r="C96" s="1">
        <v>3.3184999999999998</v>
      </c>
      <c r="F96"/>
      <c r="G96"/>
      <c r="H96"/>
      <c r="I96"/>
      <c r="J96"/>
      <c r="K96"/>
    </row>
    <row r="97" spans="1:11" ht="15" x14ac:dyDescent="0.25">
      <c r="A97" s="1">
        <v>32180</v>
      </c>
      <c r="B97" s="1" t="str">
        <v>2019-12-06</v>
      </c>
      <c r="C97" s="1">
        <v>3.6977000000000002</v>
      </c>
      <c r="F97"/>
      <c r="G97"/>
      <c r="H97"/>
      <c r="I97"/>
      <c r="J97"/>
      <c r="K97"/>
    </row>
    <row r="98" spans="1:11" ht="15" x14ac:dyDescent="0.25">
      <c r="A98" s="1">
        <v>164</v>
      </c>
      <c r="B98" s="1" t="str">
        <v>2019-12-06</v>
      </c>
      <c r="C98" s="1">
        <v>3.6903000000000001</v>
      </c>
      <c r="F98"/>
      <c r="G98"/>
      <c r="H98"/>
      <c r="I98"/>
      <c r="J98"/>
      <c r="K98"/>
    </row>
    <row r="99" spans="1:11" ht="15" x14ac:dyDescent="0.25">
      <c r="A99" s="1">
        <v>250</v>
      </c>
      <c r="B99" s="1" t="str">
        <v>2019-12-06</v>
      </c>
      <c r="C99" s="1">
        <v>3.5457999999999998</v>
      </c>
      <c r="F99"/>
      <c r="G99"/>
      <c r="H99"/>
      <c r="I99"/>
      <c r="J99"/>
      <c r="K99"/>
    </row>
    <row r="100" spans="1:11" ht="15" x14ac:dyDescent="0.25">
      <c r="A100" s="1">
        <v>53</v>
      </c>
      <c r="B100" s="1" t="str">
        <v>2019-12-06</v>
      </c>
      <c r="C100" s="1">
        <v>3.3700999999999999</v>
      </c>
      <c r="F100"/>
      <c r="G100"/>
      <c r="H100"/>
      <c r="I100"/>
      <c r="J100"/>
      <c r="K100"/>
    </row>
    <row r="101" spans="1:11" ht="15" x14ac:dyDescent="0.25">
      <c r="A101" s="1">
        <v>102</v>
      </c>
      <c r="B101" s="1" t="str">
        <v>2019-12-06</v>
      </c>
      <c r="C101" s="1">
        <v>3.3393000000000002</v>
      </c>
      <c r="F101"/>
      <c r="G101"/>
      <c r="H101"/>
      <c r="I101"/>
      <c r="J101"/>
      <c r="K101"/>
    </row>
    <row r="102" spans="1:11" ht="15" x14ac:dyDescent="0.25">
      <c r="A102" s="1">
        <v>32260</v>
      </c>
      <c r="B102" s="1" t="str">
        <v>2019-12-06</v>
      </c>
      <c r="C102" s="1">
        <v>3.5964</v>
      </c>
      <c r="F102"/>
      <c r="G102"/>
      <c r="H102"/>
      <c r="I102"/>
      <c r="J102"/>
      <c r="K102"/>
    </row>
    <row r="103" spans="1:11" ht="15" x14ac:dyDescent="0.25">
      <c r="A103" s="1">
        <v>187</v>
      </c>
      <c r="B103" s="1" t="str">
        <v>2019-12-06</v>
      </c>
      <c r="C103" s="1">
        <v>3.8866000000000001</v>
      </c>
      <c r="F103"/>
      <c r="G103"/>
      <c r="H103"/>
      <c r="I103"/>
      <c r="J103"/>
      <c r="K103"/>
    </row>
    <row r="104" spans="1:11" ht="15" x14ac:dyDescent="0.25">
      <c r="A104" s="1">
        <v>181</v>
      </c>
      <c r="B104" s="1" t="str">
        <v>2019-12-06</v>
      </c>
      <c r="C104" s="1">
        <v>3.6276000000000002</v>
      </c>
      <c r="F104"/>
      <c r="G104"/>
      <c r="H104"/>
      <c r="I104"/>
      <c r="J104"/>
      <c r="K104"/>
    </row>
    <row r="105" spans="1:11" ht="15" x14ac:dyDescent="0.25">
      <c r="A105" s="1">
        <v>156</v>
      </c>
      <c r="B105" s="1" t="str">
        <v>2019-12-06</v>
      </c>
      <c r="C105" s="1">
        <v>3.4529000000000001</v>
      </c>
      <c r="F105"/>
      <c r="G105"/>
      <c r="H105"/>
      <c r="I105"/>
      <c r="J105"/>
      <c r="K105"/>
    </row>
    <row r="106" spans="1:11" ht="15" x14ac:dyDescent="0.25">
      <c r="A106" s="1">
        <v>117</v>
      </c>
      <c r="B106" s="1" t="str">
        <v>2019-12-06</v>
      </c>
      <c r="C106" s="1">
        <v>3.6594000000000002</v>
      </c>
      <c r="F106"/>
      <c r="G106"/>
      <c r="H106"/>
      <c r="I106"/>
      <c r="J106"/>
      <c r="K106"/>
    </row>
    <row r="107" spans="1:11" ht="15" x14ac:dyDescent="0.25">
      <c r="A107" s="1">
        <v>191</v>
      </c>
      <c r="B107" s="1" t="str">
        <v>2019-12-06</v>
      </c>
      <c r="C107" s="1">
        <v>3.7418</v>
      </c>
      <c r="F107"/>
      <c r="G107"/>
      <c r="H107"/>
      <c r="I107"/>
      <c r="J107"/>
      <c r="K107"/>
    </row>
    <row r="108" spans="1:11" ht="15" x14ac:dyDescent="0.25">
      <c r="A108" s="1">
        <v>101</v>
      </c>
      <c r="B108" s="1" t="str">
        <v>2019-12-06</v>
      </c>
      <c r="C108" s="1">
        <v>3.6613000000000002</v>
      </c>
      <c r="F108"/>
      <c r="G108"/>
      <c r="H108"/>
      <c r="I108"/>
      <c r="J108"/>
      <c r="K108"/>
    </row>
    <row r="109" spans="1:11" ht="15" x14ac:dyDescent="0.25">
      <c r="A109" s="1">
        <v>110</v>
      </c>
      <c r="B109" s="1" t="str">
        <v>2019-12-06</v>
      </c>
      <c r="C109" s="1">
        <v>3.6</v>
      </c>
      <c r="F109"/>
      <c r="G109"/>
      <c r="H109"/>
      <c r="I109"/>
      <c r="J109"/>
      <c r="K109"/>
    </row>
    <row r="110" spans="1:11" ht="15" x14ac:dyDescent="0.25">
      <c r="A110" s="1">
        <v>139</v>
      </c>
      <c r="B110" s="1" t="str">
        <v>2019-12-06</v>
      </c>
      <c r="C110" s="1">
        <v>3.8041999999999998</v>
      </c>
      <c r="F110"/>
      <c r="G110"/>
      <c r="H110"/>
      <c r="I110"/>
      <c r="J110"/>
      <c r="K110"/>
    </row>
    <row r="111" spans="1:11" ht="15" x14ac:dyDescent="0.25">
      <c r="A111" s="1">
        <v>81</v>
      </c>
      <c r="B111" s="1" t="str">
        <v>2019-12-06</v>
      </c>
      <c r="C111" s="1">
        <v>3.5562999999999998</v>
      </c>
      <c r="F111"/>
      <c r="G111"/>
      <c r="H111"/>
      <c r="I111"/>
      <c r="J111"/>
      <c r="K111"/>
    </row>
    <row r="112" spans="1:11" ht="15" x14ac:dyDescent="0.25">
      <c r="A112" s="1">
        <v>20</v>
      </c>
      <c r="B112" s="1" t="str">
        <v>2019-12-06</v>
      </c>
      <c r="C112" s="1">
        <v>4.032</v>
      </c>
      <c r="F112"/>
      <c r="G112"/>
      <c r="H112"/>
      <c r="I112"/>
      <c r="J112"/>
      <c r="K112"/>
    </row>
    <row r="113" spans="1:11" ht="15" x14ac:dyDescent="0.25">
      <c r="A113" s="1">
        <v>13250</v>
      </c>
      <c r="B113" s="1" t="str">
        <v>2019-12-06</v>
      </c>
      <c r="C113" s="1">
        <v>3.319</v>
      </c>
      <c r="F113"/>
      <c r="G113"/>
      <c r="H113"/>
      <c r="I113"/>
      <c r="J113"/>
      <c r="K113"/>
    </row>
    <row r="114" spans="1:11" ht="15" x14ac:dyDescent="0.25">
      <c r="A114" s="1">
        <v>49</v>
      </c>
      <c r="B114" s="1" t="str">
        <v>2019-12-06</v>
      </c>
      <c r="C114" s="1">
        <v>3.5962000000000001</v>
      </c>
      <c r="F114"/>
      <c r="G114"/>
      <c r="H114"/>
      <c r="I114"/>
      <c r="J114"/>
      <c r="K114"/>
    </row>
    <row r="115" spans="1:11" ht="15" x14ac:dyDescent="0.25">
      <c r="A115" s="1">
        <v>59</v>
      </c>
      <c r="B115" s="1" t="str">
        <v>2019-12-06</v>
      </c>
      <c r="C115" s="1">
        <v>3.6073</v>
      </c>
      <c r="F115"/>
      <c r="G115"/>
      <c r="H115"/>
      <c r="I115"/>
      <c r="J115"/>
      <c r="K115"/>
    </row>
    <row r="116" spans="1:11" ht="15" x14ac:dyDescent="0.25">
      <c r="A116" s="1">
        <v>32783</v>
      </c>
      <c r="B116" s="1" t="str">
        <v>2019-12-06</v>
      </c>
      <c r="C116" s="1">
        <v>3.7111000000000001</v>
      </c>
      <c r="F116"/>
      <c r="G116"/>
      <c r="H116"/>
      <c r="I116"/>
      <c r="J116"/>
      <c r="K116"/>
    </row>
    <row r="117" spans="1:11" ht="15" x14ac:dyDescent="0.25">
      <c r="A117" s="1">
        <v>1</v>
      </c>
      <c r="B117" s="1" t="str">
        <v>2019-12-06</v>
      </c>
      <c r="C117" s="1">
        <v>3.7008999999999999</v>
      </c>
      <c r="F117"/>
      <c r="G117"/>
      <c r="H117"/>
      <c r="I117"/>
      <c r="J117"/>
      <c r="K117"/>
    </row>
    <row r="118" spans="1:11" ht="15" x14ac:dyDescent="0.25">
      <c r="A118" s="1">
        <v>83</v>
      </c>
      <c r="B118" s="1" t="str">
        <v>2019-12-06</v>
      </c>
      <c r="C118" s="1">
        <v>4</v>
      </c>
      <c r="F118"/>
      <c r="G118"/>
      <c r="H118"/>
      <c r="I118"/>
      <c r="J118"/>
      <c r="K118"/>
    </row>
    <row r="119" spans="1:11" ht="15" x14ac:dyDescent="0.25">
      <c r="A119" s="1">
        <v>78</v>
      </c>
      <c r="B119" s="1" t="str">
        <v>2019-12-06</v>
      </c>
      <c r="C119" s="1">
        <v>3.5253999999999999</v>
      </c>
      <c r="F119"/>
      <c r="G119"/>
      <c r="H119"/>
      <c r="I119"/>
      <c r="J119"/>
      <c r="K119"/>
    </row>
    <row r="120" spans="1:11" ht="15" x14ac:dyDescent="0.25">
      <c r="A120" s="1">
        <v>32603</v>
      </c>
      <c r="B120" s="1" t="str">
        <v>2019-12-06</v>
      </c>
      <c r="C120" s="1">
        <v>3.5243000000000002</v>
      </c>
      <c r="F120"/>
      <c r="G120"/>
      <c r="H120"/>
      <c r="I120"/>
      <c r="J120"/>
      <c r="K120"/>
    </row>
    <row r="121" spans="1:11" ht="15" x14ac:dyDescent="0.25">
      <c r="A121" s="1">
        <v>10</v>
      </c>
      <c r="B121" s="1" t="str">
        <v>2019-12-06</v>
      </c>
      <c r="C121" s="1">
        <v>3.5045000000000002</v>
      </c>
      <c r="F121"/>
      <c r="G121"/>
      <c r="H121"/>
      <c r="I121"/>
      <c r="J121"/>
      <c r="K121"/>
    </row>
    <row r="122" spans="1:11" ht="15" x14ac:dyDescent="0.25">
      <c r="A122" s="1">
        <v>32560</v>
      </c>
      <c r="B122" s="1" t="str">
        <v>2019-12-06</v>
      </c>
      <c r="C122" s="1">
        <v>3.5975000000000001</v>
      </c>
      <c r="F122"/>
      <c r="G122"/>
      <c r="H122"/>
      <c r="I122"/>
      <c r="J122"/>
      <c r="K122"/>
    </row>
    <row r="123" spans="1:11" ht="15" x14ac:dyDescent="0.25">
      <c r="A123" s="1">
        <v>2250</v>
      </c>
      <c r="B123" s="1" t="str">
        <v>2019-12-06</v>
      </c>
      <c r="C123" s="1">
        <v>3.2361</v>
      </c>
      <c r="F123"/>
      <c r="G123"/>
      <c r="H123"/>
      <c r="I123"/>
      <c r="J123"/>
      <c r="K123"/>
    </row>
    <row r="124" spans="1:11" ht="15" x14ac:dyDescent="0.25">
      <c r="A124" s="1">
        <v>1</v>
      </c>
      <c r="B124" s="1" t="str">
        <v>2019-12-09</v>
      </c>
      <c r="C124" s="1">
        <v>3.7008999999999999</v>
      </c>
      <c r="F124"/>
      <c r="G124"/>
      <c r="H124"/>
      <c r="I124"/>
      <c r="J124"/>
      <c r="K124"/>
    </row>
    <row r="125" spans="1:11" ht="15" x14ac:dyDescent="0.25">
      <c r="A125" s="1">
        <v>32603</v>
      </c>
      <c r="B125" s="1" t="str">
        <v>2019-12-09</v>
      </c>
      <c r="C125" s="1">
        <v>3.5243000000000002</v>
      </c>
      <c r="F125"/>
      <c r="G125"/>
      <c r="H125"/>
      <c r="I125"/>
      <c r="J125"/>
      <c r="K125"/>
    </row>
    <row r="126" spans="1:11" ht="15" x14ac:dyDescent="0.25">
      <c r="A126" s="1">
        <v>32783</v>
      </c>
      <c r="B126" s="1" t="str">
        <v>2019-12-09</v>
      </c>
      <c r="C126" s="1">
        <v>3.7111000000000001</v>
      </c>
      <c r="F126"/>
      <c r="G126"/>
      <c r="H126"/>
      <c r="I126"/>
      <c r="J126"/>
      <c r="K126"/>
    </row>
    <row r="127" spans="1:11" ht="15" x14ac:dyDescent="0.25">
      <c r="A127" s="1">
        <v>78</v>
      </c>
      <c r="B127" s="1" t="str">
        <v>2019-12-09</v>
      </c>
      <c r="C127" s="1">
        <v>3.5668000000000002</v>
      </c>
      <c r="F127"/>
      <c r="G127"/>
      <c r="H127"/>
      <c r="I127"/>
      <c r="J127"/>
      <c r="K127"/>
    </row>
    <row r="128" spans="1:11" ht="15" x14ac:dyDescent="0.25">
      <c r="A128" s="1">
        <v>32360</v>
      </c>
      <c r="B128" s="1" t="str">
        <v>2019-12-09</v>
      </c>
      <c r="C128" s="1">
        <v>3.5977999999999999</v>
      </c>
      <c r="F128"/>
      <c r="G128"/>
      <c r="H128"/>
      <c r="I128"/>
      <c r="J128"/>
      <c r="K128"/>
    </row>
    <row r="129" spans="1:11" ht="15" x14ac:dyDescent="0.25">
      <c r="A129" s="1">
        <v>32582</v>
      </c>
      <c r="B129" s="1" t="str">
        <v>2019-12-09</v>
      </c>
      <c r="C129" s="1">
        <v>3.6597</v>
      </c>
      <c r="F129"/>
      <c r="G129"/>
      <c r="H129"/>
      <c r="I129"/>
      <c r="J129"/>
      <c r="K129"/>
    </row>
    <row r="130" spans="1:11" ht="15" x14ac:dyDescent="0.25">
      <c r="A130" s="1">
        <v>32480</v>
      </c>
      <c r="B130" s="1" t="str">
        <v>2019-12-09</v>
      </c>
      <c r="C130" s="1">
        <v>3.2469000000000001</v>
      </c>
      <c r="F130"/>
      <c r="G130"/>
      <c r="H130"/>
      <c r="I130"/>
      <c r="J130"/>
      <c r="K130"/>
    </row>
    <row r="131" spans="1:11" ht="15" x14ac:dyDescent="0.25">
      <c r="A131" s="1">
        <v>55</v>
      </c>
      <c r="B131" s="1" t="str">
        <v>2019-12-09</v>
      </c>
      <c r="C131" s="1">
        <v>3.55</v>
      </c>
      <c r="F131"/>
      <c r="G131"/>
      <c r="H131"/>
      <c r="I131"/>
      <c r="J131"/>
      <c r="K131"/>
    </row>
    <row r="132" spans="1:11" ht="15" x14ac:dyDescent="0.25">
      <c r="A132" s="1">
        <v>32340</v>
      </c>
      <c r="B132" s="1" t="str">
        <v>2019-12-09</v>
      </c>
      <c r="C132" s="1">
        <v>3.5251999999999999</v>
      </c>
      <c r="F132"/>
      <c r="G132"/>
      <c r="H132"/>
      <c r="I132"/>
      <c r="J132"/>
      <c r="K132"/>
    </row>
    <row r="133" spans="1:11" ht="15" x14ac:dyDescent="0.25">
      <c r="A133" s="1">
        <v>33023</v>
      </c>
      <c r="B133" s="1" t="str">
        <v>2019-12-09</v>
      </c>
      <c r="C133" s="1">
        <v>4</v>
      </c>
      <c r="F133"/>
      <c r="G133"/>
      <c r="H133"/>
      <c r="I133"/>
      <c r="J133"/>
      <c r="K133"/>
    </row>
    <row r="134" spans="1:11" ht="15" x14ac:dyDescent="0.25">
      <c r="A134" s="1">
        <v>32</v>
      </c>
      <c r="B134" s="1" t="str">
        <v>2019-12-09</v>
      </c>
      <c r="C134" s="1">
        <v>3.7008999999999999</v>
      </c>
      <c r="F134"/>
      <c r="G134"/>
      <c r="H134"/>
      <c r="I134"/>
      <c r="J134"/>
      <c r="K134"/>
    </row>
    <row r="135" spans="1:11" ht="15" x14ac:dyDescent="0.25">
      <c r="A135" s="1">
        <v>77</v>
      </c>
      <c r="B135" s="1" t="str">
        <v>2019-12-09</v>
      </c>
      <c r="C135" s="1">
        <v>3.7101999999999999</v>
      </c>
      <c r="F135"/>
      <c r="G135"/>
      <c r="H135"/>
      <c r="I135"/>
      <c r="J135"/>
      <c r="K135"/>
    </row>
    <row r="136" spans="1:11" x14ac:dyDescent="0.2">
      <c r="A136" s="1">
        <v>32121</v>
      </c>
      <c r="B136" s="1" t="str">
        <v>2019-12-09</v>
      </c>
      <c r="C136" s="1">
        <v>3.7107999999999999</v>
      </c>
    </row>
    <row r="137" spans="1:11" x14ac:dyDescent="0.2">
      <c r="A137" s="1">
        <v>178</v>
      </c>
      <c r="B137" s="1" t="str">
        <v>2019-12-09</v>
      </c>
      <c r="C137" s="1">
        <v>3.5973000000000002</v>
      </c>
    </row>
    <row r="138" spans="1:11" x14ac:dyDescent="0.2">
      <c r="A138" s="1">
        <v>176</v>
      </c>
      <c r="B138" s="1" t="str">
        <v>2019-12-10</v>
      </c>
      <c r="C138" s="1">
        <v>3.5564</v>
      </c>
    </row>
    <row r="139" spans="1:11" x14ac:dyDescent="0.2">
      <c r="A139" s="1">
        <v>187</v>
      </c>
      <c r="B139" s="1" t="str">
        <v>2019-12-10</v>
      </c>
      <c r="C139" s="1">
        <v>3.8866000000000001</v>
      </c>
    </row>
    <row r="140" spans="1:11" x14ac:dyDescent="0.2">
      <c r="A140" s="1">
        <v>32280</v>
      </c>
      <c r="B140" s="1" t="str">
        <v>2019-12-10</v>
      </c>
      <c r="C140" s="1">
        <v>3.7</v>
      </c>
    </row>
    <row r="141" spans="1:11" x14ac:dyDescent="0.2">
      <c r="A141" s="1">
        <v>102</v>
      </c>
      <c r="B141" s="1" t="str">
        <v>2019-12-11</v>
      </c>
      <c r="C141" s="1">
        <v>3.3393000000000002</v>
      </c>
    </row>
    <row r="142" spans="1:11" x14ac:dyDescent="0.2">
      <c r="A142" s="1">
        <v>32421</v>
      </c>
      <c r="B142" s="1" t="str">
        <v>2019-12-11</v>
      </c>
      <c r="C142" s="1">
        <v>3.6360000000000001</v>
      </c>
    </row>
    <row r="143" spans="1:11" x14ac:dyDescent="0.2">
      <c r="A143" s="1">
        <v>143</v>
      </c>
      <c r="B143" s="1" t="str">
        <v>2019-12-11</v>
      </c>
      <c r="C143" s="1">
        <v>3.5</v>
      </c>
    </row>
    <row r="144" spans="1:11" x14ac:dyDescent="0.2">
      <c r="A144" s="1">
        <v>32360</v>
      </c>
      <c r="B144" s="1" t="str">
        <v>2019-12-11</v>
      </c>
      <c r="C144" s="1">
        <v>3.5977999999999999</v>
      </c>
    </row>
    <row r="145" spans="1:3" x14ac:dyDescent="0.2">
      <c r="A145" s="1">
        <v>30350</v>
      </c>
      <c r="B145" s="1" t="str">
        <v>2019-12-11</v>
      </c>
      <c r="C145" s="1">
        <v>3.8041999999999998</v>
      </c>
    </row>
    <row r="146" spans="1:3" x14ac:dyDescent="0.2">
      <c r="A146" s="1">
        <v>33023</v>
      </c>
      <c r="B146" s="1" t="str">
        <v>2019-12-12</v>
      </c>
      <c r="C146" s="1">
        <v>4</v>
      </c>
    </row>
    <row r="147" spans="1:3" x14ac:dyDescent="0.2">
      <c r="A147" s="1">
        <v>32724</v>
      </c>
      <c r="B147" s="1" t="str">
        <v>2019-12-12</v>
      </c>
      <c r="C147" s="1">
        <v>3.4842</v>
      </c>
    </row>
    <row r="148" spans="1:3" x14ac:dyDescent="0.2">
      <c r="A148" s="1">
        <v>32320</v>
      </c>
      <c r="B148" s="1" t="str">
        <v>2019-12-12</v>
      </c>
      <c r="C148" s="1">
        <v>3.2363</v>
      </c>
    </row>
    <row r="149" spans="1:3" x14ac:dyDescent="0.2">
      <c r="A149" s="1">
        <v>99</v>
      </c>
      <c r="B149" s="1" t="str">
        <v>2019-12-13</v>
      </c>
      <c r="C149" s="1">
        <v>3.8561000000000001</v>
      </c>
    </row>
    <row r="150" spans="1:3" x14ac:dyDescent="0.2">
      <c r="A150" s="1">
        <v>133</v>
      </c>
      <c r="B150" s="1" t="str">
        <v>2019-12-13</v>
      </c>
      <c r="C150" s="1">
        <v>3.7</v>
      </c>
    </row>
    <row r="151" spans="1:3" x14ac:dyDescent="0.2">
      <c r="A151" s="1">
        <v>32440</v>
      </c>
      <c r="B151" s="1" t="str">
        <v>2019-12-13</v>
      </c>
      <c r="C151" s="1">
        <v>4.2294999999999998</v>
      </c>
    </row>
    <row r="152" spans="1:3" x14ac:dyDescent="0.2">
      <c r="A152" s="1">
        <v>67</v>
      </c>
      <c r="B152" s="1" t="str">
        <v>2019-12-13</v>
      </c>
      <c r="C152" s="1">
        <v>3.4628999999999999</v>
      </c>
    </row>
    <row r="153" spans="1:3" x14ac:dyDescent="0.2">
      <c r="A153" s="1">
        <v>16</v>
      </c>
      <c r="B153" s="1" t="str">
        <v>2019-12-13</v>
      </c>
      <c r="C153" s="1">
        <v>3.39</v>
      </c>
    </row>
    <row r="154" spans="1:3" x14ac:dyDescent="0.2">
      <c r="A154" s="1">
        <v>32340</v>
      </c>
      <c r="B154" s="1" t="str">
        <v>2019-12-13</v>
      </c>
      <c r="C154" s="1">
        <v>3.5148999999999999</v>
      </c>
    </row>
    <row r="155" spans="1:3" x14ac:dyDescent="0.2">
      <c r="A155" s="1">
        <v>1</v>
      </c>
      <c r="B155" s="1" t="str">
        <v>2019-12-13</v>
      </c>
      <c r="C155" s="1">
        <v>3.7008999999999999</v>
      </c>
    </row>
    <row r="156" spans="1:3" x14ac:dyDescent="0.2">
      <c r="A156" s="1">
        <v>150</v>
      </c>
      <c r="B156" s="1" t="str">
        <v>2019-12-13</v>
      </c>
      <c r="C156" s="1">
        <v>3.8315000000000001</v>
      </c>
    </row>
    <row r="157" spans="1:3" x14ac:dyDescent="0.2">
      <c r="A157" s="1">
        <v>33103</v>
      </c>
      <c r="B157" s="1" t="str">
        <v>2019-12-13</v>
      </c>
      <c r="C157" s="1">
        <v>4.0210999999999997</v>
      </c>
    </row>
    <row r="158" spans="1:3" x14ac:dyDescent="0.2">
      <c r="A158" s="1">
        <v>32180</v>
      </c>
      <c r="B158" s="1" t="str">
        <v>2019-12-13</v>
      </c>
      <c r="C158" s="1">
        <v>3.6032999999999999</v>
      </c>
    </row>
    <row r="159" spans="1:3" x14ac:dyDescent="0.2">
      <c r="A159" s="1">
        <v>81</v>
      </c>
      <c r="B159" s="1" t="str">
        <v>2019-12-13</v>
      </c>
      <c r="C159" s="1">
        <v>3.5562999999999998</v>
      </c>
    </row>
    <row r="160" spans="1:3" x14ac:dyDescent="0.2">
      <c r="A160" s="1">
        <v>187</v>
      </c>
      <c r="B160" s="1" t="str">
        <v>2019-12-13</v>
      </c>
      <c r="C160" s="1">
        <v>3.8866000000000001</v>
      </c>
    </row>
    <row r="161" spans="1:3" x14ac:dyDescent="0.2">
      <c r="A161" s="1">
        <v>53</v>
      </c>
      <c r="B161" s="1" t="str">
        <v>2019-12-13</v>
      </c>
      <c r="C161" s="1">
        <v>3.3908999999999998</v>
      </c>
    </row>
    <row r="162" spans="1:3" x14ac:dyDescent="0.2">
      <c r="A162" s="1">
        <v>10</v>
      </c>
      <c r="B162" s="1" t="str">
        <v>2019-12-16</v>
      </c>
      <c r="C162" s="1">
        <v>3.4630000000000001</v>
      </c>
    </row>
    <row r="163" spans="1:3" x14ac:dyDescent="0.2">
      <c r="A163" s="1">
        <v>13250</v>
      </c>
      <c r="B163" s="1" t="str">
        <v>2019-12-16</v>
      </c>
      <c r="C163" s="1">
        <v>2.8151999999999999</v>
      </c>
    </row>
    <row r="164" spans="1:3" x14ac:dyDescent="0.2">
      <c r="A164" s="1">
        <v>32401</v>
      </c>
      <c r="B164" s="1" t="str">
        <v>2019-12-16</v>
      </c>
      <c r="C164" s="1">
        <v>4.2286999999999999</v>
      </c>
    </row>
    <row r="165" spans="1:3" x14ac:dyDescent="0.2">
      <c r="A165" s="1">
        <v>32082</v>
      </c>
      <c r="B165" s="1" t="str">
        <v>2019-12-16</v>
      </c>
      <c r="C165" s="1">
        <v>3.4405000000000001</v>
      </c>
    </row>
    <row r="166" spans="1:3" x14ac:dyDescent="0.2">
      <c r="A166" s="1">
        <v>32260</v>
      </c>
      <c r="B166" s="1" t="str">
        <v>2019-12-16</v>
      </c>
      <c r="C166" s="1">
        <v>3.5552000000000001</v>
      </c>
    </row>
    <row r="167" spans="1:3" x14ac:dyDescent="0.2">
      <c r="A167" s="1">
        <v>33043</v>
      </c>
      <c r="B167" s="1" t="str">
        <v>2019-12-16</v>
      </c>
      <c r="C167" s="1">
        <v>3.3184999999999998</v>
      </c>
    </row>
    <row r="168" spans="1:3" x14ac:dyDescent="0.2">
      <c r="A168" s="1">
        <v>32421</v>
      </c>
      <c r="B168" s="1" t="str">
        <v>2019-12-16</v>
      </c>
      <c r="C168" s="1">
        <v>3.6878000000000002</v>
      </c>
    </row>
    <row r="169" spans="1:3" x14ac:dyDescent="0.2">
      <c r="A169" s="1">
        <v>1</v>
      </c>
      <c r="B169" s="1" t="str">
        <v>2019-12-16</v>
      </c>
      <c r="C169" s="1">
        <v>3.7008999999999999</v>
      </c>
    </row>
    <row r="170" spans="1:3" x14ac:dyDescent="0.2">
      <c r="A170" s="1">
        <v>143</v>
      </c>
      <c r="B170" s="1" t="str">
        <v>2019-12-16</v>
      </c>
      <c r="C170" s="1">
        <v>3.5</v>
      </c>
    </row>
    <row r="171" spans="1:3" x14ac:dyDescent="0.2">
      <c r="A171" s="1">
        <v>32280</v>
      </c>
      <c r="B171" s="1" t="str">
        <v>2019-12-16</v>
      </c>
      <c r="C171" s="1">
        <v>3.7</v>
      </c>
    </row>
    <row r="172" spans="1:3" x14ac:dyDescent="0.2">
      <c r="A172" s="1">
        <v>33103</v>
      </c>
      <c r="B172" s="1" t="str">
        <v>2019-12-16</v>
      </c>
      <c r="C172" s="1">
        <v>4.0210999999999997</v>
      </c>
    </row>
    <row r="173" spans="1:3" x14ac:dyDescent="0.2">
      <c r="A173" s="1">
        <v>37</v>
      </c>
      <c r="B173" s="1" t="str">
        <v>2019-12-16</v>
      </c>
      <c r="C173" s="1">
        <v>3.7839</v>
      </c>
    </row>
    <row r="174" spans="1:3" x14ac:dyDescent="0.2">
      <c r="A174" s="1">
        <v>171</v>
      </c>
      <c r="B174" s="1" t="str">
        <v>2019-12-16</v>
      </c>
      <c r="C174" s="1">
        <v>3.4628000000000001</v>
      </c>
    </row>
    <row r="175" spans="1:3" x14ac:dyDescent="0.2">
      <c r="A175" s="1">
        <v>32380</v>
      </c>
      <c r="B175" s="1" t="str">
        <v>2019-12-16</v>
      </c>
      <c r="C175" s="1">
        <v>3.5912999999999999</v>
      </c>
    </row>
    <row r="176" spans="1:3" x14ac:dyDescent="0.2">
      <c r="A176" s="1">
        <v>178</v>
      </c>
      <c r="B176" s="1" t="str">
        <v>2019-12-16</v>
      </c>
      <c r="C176" s="1">
        <v>3.5663999999999998</v>
      </c>
    </row>
    <row r="177" spans="1:3" x14ac:dyDescent="0.2">
      <c r="A177" s="1">
        <v>33023</v>
      </c>
      <c r="B177" s="1" t="str">
        <v>2019-12-17</v>
      </c>
      <c r="C177" s="1">
        <v>4</v>
      </c>
    </row>
    <row r="178" spans="1:3" x14ac:dyDescent="0.2">
      <c r="A178" s="1">
        <v>1</v>
      </c>
      <c r="B178" s="1" t="str">
        <v>2019-12-17</v>
      </c>
      <c r="C178" s="1">
        <v>3.7008999999999999</v>
      </c>
    </row>
    <row r="179" spans="1:3" x14ac:dyDescent="0.2">
      <c r="A179" s="1">
        <v>136</v>
      </c>
      <c r="B179" s="1" t="str">
        <v>2019-12-17</v>
      </c>
      <c r="C179" s="1">
        <v>3.4009999999999998</v>
      </c>
    </row>
    <row r="180" spans="1:3" x14ac:dyDescent="0.2">
      <c r="A180" s="1">
        <v>90</v>
      </c>
      <c r="B180" s="1" t="str">
        <v>2019-12-18</v>
      </c>
      <c r="C180" s="1">
        <v>3.4428000000000001</v>
      </c>
    </row>
    <row r="181" spans="1:3" x14ac:dyDescent="0.2">
      <c r="A181" s="1">
        <v>171</v>
      </c>
      <c r="B181" s="1" t="str">
        <v>2019-12-18</v>
      </c>
      <c r="C181" s="1">
        <v>3.4628000000000001</v>
      </c>
    </row>
    <row r="182" spans="1:3" x14ac:dyDescent="0.2">
      <c r="A182" s="1">
        <v>32280</v>
      </c>
      <c r="B182" s="1" t="str">
        <v>2019-12-18</v>
      </c>
      <c r="C182" s="1">
        <v>3.7</v>
      </c>
    </row>
    <row r="183" spans="1:3" x14ac:dyDescent="0.2">
      <c r="A183" s="1">
        <v>177</v>
      </c>
      <c r="B183" s="1" t="str">
        <v>2019-12-18</v>
      </c>
      <c r="C183" s="1">
        <v>3.6798000000000002</v>
      </c>
    </row>
    <row r="184" spans="1:3" x14ac:dyDescent="0.2">
      <c r="A184" s="1">
        <v>32420</v>
      </c>
      <c r="B184" s="1" t="str">
        <v>2019-12-18</v>
      </c>
      <c r="C184" s="1">
        <v>3.7574999999999998</v>
      </c>
    </row>
    <row r="185" spans="1:3" x14ac:dyDescent="0.2">
      <c r="A185" s="1">
        <v>32824</v>
      </c>
      <c r="B185" s="1" t="str">
        <v>2019-12-18</v>
      </c>
      <c r="C185" s="1">
        <v>3.5562999999999998</v>
      </c>
    </row>
    <row r="186" spans="1:3" x14ac:dyDescent="0.2">
      <c r="A186" s="1">
        <v>32</v>
      </c>
      <c r="B186" s="1" t="str">
        <v>2019-12-18</v>
      </c>
      <c r="C186" s="1">
        <v>3.7008999999999999</v>
      </c>
    </row>
    <row r="187" spans="1:3" x14ac:dyDescent="0.2">
      <c r="A187" s="1">
        <v>157</v>
      </c>
      <c r="B187" s="1" t="str">
        <v>2019-12-18</v>
      </c>
      <c r="C187" s="1">
        <v>3.85</v>
      </c>
    </row>
    <row r="188" spans="1:3" x14ac:dyDescent="0.2">
      <c r="A188" s="1">
        <v>32200</v>
      </c>
      <c r="B188" s="1" t="str">
        <v>2019-12-18</v>
      </c>
      <c r="C188" s="1">
        <v>3.1536</v>
      </c>
    </row>
    <row r="189" spans="1:3" x14ac:dyDescent="0.2">
      <c r="A189" s="1">
        <v>32582</v>
      </c>
      <c r="B189" s="1" t="str">
        <v>2019-12-19</v>
      </c>
      <c r="C189" s="1">
        <v>3.6597</v>
      </c>
    </row>
    <row r="190" spans="1:3" x14ac:dyDescent="0.2">
      <c r="A190" s="1">
        <v>89</v>
      </c>
      <c r="B190" s="1" t="str">
        <v>2019-12-19</v>
      </c>
      <c r="C190" s="1">
        <v>3.3605</v>
      </c>
    </row>
    <row r="191" spans="1:3" x14ac:dyDescent="0.2">
      <c r="A191" s="1">
        <v>33103</v>
      </c>
      <c r="B191" s="1" t="str">
        <v>2019-12-19</v>
      </c>
      <c r="C191" s="1">
        <v>4.0252999999999997</v>
      </c>
    </row>
    <row r="192" spans="1:3" x14ac:dyDescent="0.2">
      <c r="A192" s="1">
        <v>83</v>
      </c>
      <c r="B192" s="1" t="str">
        <v>2019-12-19</v>
      </c>
      <c r="C192" s="1">
        <v>4</v>
      </c>
    </row>
    <row r="193" spans="1:3" x14ac:dyDescent="0.2">
      <c r="A193" s="1">
        <v>139</v>
      </c>
      <c r="B193" s="1" t="str">
        <v>2019-12-19</v>
      </c>
      <c r="C193" s="1">
        <v>3.8041999999999998</v>
      </c>
    </row>
    <row r="194" spans="1:3" x14ac:dyDescent="0.2">
      <c r="A194" s="1">
        <v>133</v>
      </c>
      <c r="B194" s="1" t="str">
        <v>2019-12-19</v>
      </c>
      <c r="C194" s="1">
        <v>3.7</v>
      </c>
    </row>
    <row r="195" spans="1:3" x14ac:dyDescent="0.2">
      <c r="A195" s="1">
        <v>55</v>
      </c>
      <c r="B195" s="1" t="str">
        <v>2019-12-19</v>
      </c>
      <c r="C195" s="1">
        <v>3.55</v>
      </c>
    </row>
    <row r="196" spans="1:3" x14ac:dyDescent="0.2">
      <c r="A196" s="1">
        <v>115</v>
      </c>
      <c r="B196" s="1" t="str">
        <v>2019-12-20</v>
      </c>
      <c r="C196" s="1">
        <v>3.6177999999999999</v>
      </c>
    </row>
    <row r="197" spans="1:3" x14ac:dyDescent="0.2">
      <c r="A197" s="1">
        <v>32783</v>
      </c>
      <c r="B197" s="1" t="str">
        <v>2019-12-20</v>
      </c>
      <c r="C197" s="1">
        <v>3.7111000000000001</v>
      </c>
    </row>
    <row r="198" spans="1:3" x14ac:dyDescent="0.2">
      <c r="A198" s="1">
        <v>2250</v>
      </c>
      <c r="B198" s="1" t="str">
        <v>2019-12-20</v>
      </c>
      <c r="C198" s="1">
        <v>3.2669000000000001</v>
      </c>
    </row>
    <row r="199" spans="1:3" x14ac:dyDescent="0.2">
      <c r="A199" s="1">
        <v>32</v>
      </c>
      <c r="B199" s="1" t="str">
        <v>2019-12-20</v>
      </c>
      <c r="C199" s="1">
        <v>3.6181999999999999</v>
      </c>
    </row>
    <row r="200" spans="1:3" x14ac:dyDescent="0.2">
      <c r="A200" s="1">
        <v>33103</v>
      </c>
      <c r="B200" s="1" t="str">
        <v>2019-12-20</v>
      </c>
      <c r="C200" s="1">
        <v>4.0252999999999997</v>
      </c>
    </row>
    <row r="201" spans="1:3" x14ac:dyDescent="0.2">
      <c r="A201" s="1">
        <v>32260</v>
      </c>
      <c r="B201" s="1" t="str">
        <v>2019-12-20</v>
      </c>
      <c r="C201" s="1">
        <v>3.5552000000000001</v>
      </c>
    </row>
    <row r="202" spans="1:3" x14ac:dyDescent="0.2">
      <c r="A202" s="1">
        <v>32883</v>
      </c>
      <c r="B202" s="1" t="str">
        <v>2019-12-20</v>
      </c>
      <c r="C202" s="1">
        <v>3.6583999999999999</v>
      </c>
    </row>
    <row r="203" spans="1:3" x14ac:dyDescent="0.2">
      <c r="A203" s="1">
        <v>32360</v>
      </c>
      <c r="B203" s="1" t="str">
        <v>2019-12-20</v>
      </c>
      <c r="C203" s="1">
        <v>3.3086000000000002</v>
      </c>
    </row>
    <row r="204" spans="1:3" x14ac:dyDescent="0.2">
      <c r="A204" s="1">
        <v>1</v>
      </c>
      <c r="B204" s="1" t="str">
        <v>2019-12-20</v>
      </c>
      <c r="C204" s="1">
        <v>3.7008999999999999</v>
      </c>
    </row>
    <row r="205" spans="1:3" x14ac:dyDescent="0.2">
      <c r="A205" s="1">
        <v>109</v>
      </c>
      <c r="B205" s="1" t="str">
        <v>2019-12-20</v>
      </c>
      <c r="C205" s="1">
        <v>3.8351999999999999</v>
      </c>
    </row>
    <row r="206" spans="1:3" x14ac:dyDescent="0.2">
      <c r="A206" s="1">
        <v>177</v>
      </c>
      <c r="B206" s="1" t="str">
        <v>2019-12-20</v>
      </c>
      <c r="C206" s="1">
        <v>3.6798000000000002</v>
      </c>
    </row>
    <row r="207" spans="1:3" x14ac:dyDescent="0.2">
      <c r="A207" s="1">
        <v>32180</v>
      </c>
      <c r="B207" s="1" t="str">
        <v>2019-12-20</v>
      </c>
      <c r="C207" s="1">
        <v>3.6991999999999998</v>
      </c>
    </row>
    <row r="208" spans="1:3" x14ac:dyDescent="0.2">
      <c r="A208" s="1">
        <v>13250</v>
      </c>
      <c r="B208" s="1" t="str">
        <v>2019-12-20</v>
      </c>
      <c r="C208" s="1">
        <v>2.8765999999999998</v>
      </c>
    </row>
    <row r="209" spans="1:3" x14ac:dyDescent="0.2">
      <c r="A209" s="1">
        <v>110</v>
      </c>
      <c r="B209" s="1" t="str">
        <v>2019-12-20</v>
      </c>
      <c r="C209" s="1">
        <v>3.6</v>
      </c>
    </row>
    <row r="210" spans="1:3" x14ac:dyDescent="0.2">
      <c r="A210" s="1">
        <v>31</v>
      </c>
      <c r="B210" s="1" t="str">
        <v>2019-12-20</v>
      </c>
      <c r="C210" s="1">
        <v>3.6</v>
      </c>
    </row>
    <row r="211" spans="1:3" x14ac:dyDescent="0.2">
      <c r="A211" s="1">
        <v>16</v>
      </c>
      <c r="B211" s="1" t="str">
        <v>2019-12-20</v>
      </c>
      <c r="C211" s="1">
        <v>3.39</v>
      </c>
    </row>
    <row r="212" spans="1:3" x14ac:dyDescent="0.2">
      <c r="A212" s="1">
        <v>99</v>
      </c>
      <c r="B212" s="1" t="str">
        <v>2019-12-20</v>
      </c>
      <c r="C212" s="1">
        <v>3.7526999999999999</v>
      </c>
    </row>
    <row r="213" spans="1:3" x14ac:dyDescent="0.2">
      <c r="A213" s="1">
        <v>250</v>
      </c>
      <c r="B213" s="1" t="str">
        <v>2019-12-20</v>
      </c>
      <c r="C213" s="1">
        <v>3.5354000000000001</v>
      </c>
    </row>
    <row r="214" spans="1:3" x14ac:dyDescent="0.2">
      <c r="A214" s="1">
        <v>32583</v>
      </c>
      <c r="B214" s="1" t="str">
        <v>2019-12-20</v>
      </c>
      <c r="C214" s="1">
        <v>3.5</v>
      </c>
    </row>
    <row r="215" spans="1:3" x14ac:dyDescent="0.2">
      <c r="A215" s="1">
        <v>171</v>
      </c>
      <c r="B215" s="1" t="str">
        <v>2019-12-20</v>
      </c>
      <c r="C215" s="1">
        <v>3.6071</v>
      </c>
    </row>
    <row r="216" spans="1:3" x14ac:dyDescent="0.2">
      <c r="A216" s="1">
        <v>81</v>
      </c>
      <c r="B216" s="1" t="str">
        <v>2019-12-20</v>
      </c>
      <c r="C216" s="1">
        <v>3.5562999999999998</v>
      </c>
    </row>
    <row r="217" spans="1:3" x14ac:dyDescent="0.2">
      <c r="A217" s="1">
        <v>10</v>
      </c>
      <c r="B217" s="1" t="str">
        <v>2019-12-20</v>
      </c>
      <c r="C217" s="1">
        <v>3.4426000000000001</v>
      </c>
    </row>
    <row r="218" spans="1:3" x14ac:dyDescent="0.2">
      <c r="A218" s="1">
        <v>139</v>
      </c>
      <c r="B218" s="1" t="str">
        <v>2019-12-20</v>
      </c>
      <c r="C218" s="1">
        <v>3.8147000000000002</v>
      </c>
    </row>
    <row r="219" spans="1:3" x14ac:dyDescent="0.2">
      <c r="A219" s="1">
        <v>90</v>
      </c>
      <c r="B219" s="1" t="str">
        <v>2019-12-20</v>
      </c>
      <c r="C219" s="1">
        <v>3.4944000000000002</v>
      </c>
    </row>
    <row r="220" spans="1:3" x14ac:dyDescent="0.2">
      <c r="A220" s="1">
        <v>30250</v>
      </c>
      <c r="B220" s="1" t="str">
        <v>2019-12-20</v>
      </c>
      <c r="C220" s="1">
        <v>3.6594000000000002</v>
      </c>
    </row>
    <row r="221" spans="1:3" x14ac:dyDescent="0.2">
      <c r="A221" s="1">
        <v>32502</v>
      </c>
      <c r="B221" s="1" t="str">
        <v>2019-12-20</v>
      </c>
      <c r="C221" s="1">
        <v>3.4529999999999998</v>
      </c>
    </row>
    <row r="222" spans="1:3" x14ac:dyDescent="0.2">
      <c r="A222" s="1">
        <v>102</v>
      </c>
      <c r="B222" s="1" t="str">
        <v>2019-12-23</v>
      </c>
      <c r="C222" s="1">
        <v>3.3393000000000002</v>
      </c>
    </row>
    <row r="223" spans="1:3" x14ac:dyDescent="0.2">
      <c r="A223" s="1">
        <v>24250</v>
      </c>
      <c r="B223" s="1" t="str">
        <v>2019-12-23</v>
      </c>
      <c r="C223" s="1">
        <v>3.4836</v>
      </c>
    </row>
    <row r="224" spans="1:3" x14ac:dyDescent="0.2">
      <c r="A224" s="1">
        <v>53</v>
      </c>
      <c r="B224" s="1" t="str">
        <v>2019-12-23</v>
      </c>
      <c r="C224" s="1">
        <v>3.3805000000000001</v>
      </c>
    </row>
    <row r="225" spans="1:3" x14ac:dyDescent="0.2">
      <c r="A225" s="1">
        <v>30400</v>
      </c>
      <c r="B225" s="1" t="str">
        <v>2019-12-23</v>
      </c>
      <c r="C225" s="1">
        <v>3.0310000000000001</v>
      </c>
    </row>
    <row r="226" spans="1:3" x14ac:dyDescent="0.2">
      <c r="A226" s="1">
        <v>32401</v>
      </c>
      <c r="B226" s="1" t="str">
        <v>2019-12-23</v>
      </c>
      <c r="C226" s="1">
        <v>4.2286999999999999</v>
      </c>
    </row>
    <row r="227" spans="1:3" x14ac:dyDescent="0.2">
      <c r="A227" s="1">
        <v>32582</v>
      </c>
      <c r="B227" s="1" t="str">
        <v>2019-12-23</v>
      </c>
      <c r="C227" s="1">
        <v>3.6597</v>
      </c>
    </row>
    <row r="228" spans="1:3" x14ac:dyDescent="0.2">
      <c r="A228" s="1">
        <v>59</v>
      </c>
      <c r="B228" s="1" t="str">
        <v>2019-12-23</v>
      </c>
      <c r="C228" s="1">
        <v>3.6073</v>
      </c>
    </row>
    <row r="229" spans="1:3" x14ac:dyDescent="0.2">
      <c r="A229" s="1">
        <v>137</v>
      </c>
      <c r="B229" s="1" t="str">
        <v>2019-12-23</v>
      </c>
      <c r="C229" s="1">
        <v>3.3088000000000002</v>
      </c>
    </row>
    <row r="230" spans="1:3" x14ac:dyDescent="0.2">
      <c r="A230" s="1">
        <v>32724</v>
      </c>
      <c r="B230" s="1" t="str">
        <v>2019-12-23</v>
      </c>
      <c r="C230" s="1">
        <v>3.4842</v>
      </c>
    </row>
    <row r="231" spans="1:3" x14ac:dyDescent="0.2">
      <c r="A231" s="1">
        <v>32040</v>
      </c>
      <c r="B231" s="1" t="str">
        <v>2019-12-23</v>
      </c>
      <c r="C231" s="1">
        <v>3.5964999999999998</v>
      </c>
    </row>
    <row r="232" spans="1:3" x14ac:dyDescent="0.2">
      <c r="A232" s="1">
        <v>32663</v>
      </c>
      <c r="B232" s="1" t="str">
        <v>2019-12-23</v>
      </c>
      <c r="C232" s="1">
        <v>3.7012</v>
      </c>
    </row>
    <row r="233" spans="1:3" x14ac:dyDescent="0.2">
      <c r="A233" s="1">
        <v>32703</v>
      </c>
      <c r="B233" s="1" t="str">
        <v>2019-12-23</v>
      </c>
      <c r="C233" s="1">
        <v>3.5554999999999999</v>
      </c>
    </row>
    <row r="234" spans="1:3" x14ac:dyDescent="0.2">
      <c r="A234" s="1">
        <v>178</v>
      </c>
      <c r="B234" s="1" t="str">
        <v>2019-12-23</v>
      </c>
      <c r="C234" s="1">
        <v>3.5663999999999998</v>
      </c>
    </row>
    <row r="235" spans="1:3" x14ac:dyDescent="0.2">
      <c r="A235" s="1">
        <v>32222</v>
      </c>
      <c r="B235" s="1" t="str">
        <v>2019-12-23</v>
      </c>
      <c r="C235" s="1">
        <v>3.3186</v>
      </c>
    </row>
    <row r="236" spans="1:3" x14ac:dyDescent="0.2">
      <c r="A236" s="1">
        <v>33123</v>
      </c>
      <c r="B236" s="1" t="str">
        <v>2019-12-23</v>
      </c>
      <c r="C236" s="1">
        <v>3.6179999999999999</v>
      </c>
    </row>
    <row r="237" spans="1:3" x14ac:dyDescent="0.2">
      <c r="A237" s="1">
        <v>184</v>
      </c>
      <c r="B237" s="1" t="str">
        <v>2019-12-23</v>
      </c>
      <c r="C237" s="1">
        <v>3.3184999999999998</v>
      </c>
    </row>
    <row r="238" spans="1:3" x14ac:dyDescent="0.2">
      <c r="A238" s="1">
        <v>146</v>
      </c>
      <c r="B238" s="1" t="str">
        <v>2019-12-23</v>
      </c>
      <c r="C238" s="1">
        <v>3.7006999999999999</v>
      </c>
    </row>
    <row r="239" spans="1:3" x14ac:dyDescent="0.2">
      <c r="A239" s="1">
        <v>33083</v>
      </c>
      <c r="B239" s="1" t="str">
        <v>2019-12-23</v>
      </c>
      <c r="C239" s="1">
        <v>3.7719</v>
      </c>
    </row>
    <row r="240" spans="1:3" x14ac:dyDescent="0.2">
      <c r="A240" s="1">
        <v>33003</v>
      </c>
      <c r="B240" s="1" t="str">
        <v>2019-12-24</v>
      </c>
      <c r="C240" s="1">
        <v>3.6</v>
      </c>
    </row>
    <row r="241" spans="1:3" x14ac:dyDescent="0.2">
      <c r="A241" s="1">
        <v>1</v>
      </c>
      <c r="B241" s="1" t="str">
        <v>2019-12-24</v>
      </c>
      <c r="C241" s="1">
        <v>3.7010000000000001</v>
      </c>
    </row>
    <row r="242" spans="1:3" x14ac:dyDescent="0.2">
      <c r="A242" s="1">
        <v>32724</v>
      </c>
      <c r="B242" s="1" t="str">
        <v>2019-12-26</v>
      </c>
      <c r="C242" s="1">
        <v>3.4636</v>
      </c>
    </row>
    <row r="243" spans="1:3" x14ac:dyDescent="0.2">
      <c r="A243" s="1">
        <v>32964</v>
      </c>
      <c r="B243" s="1" t="str">
        <v>2019-12-26</v>
      </c>
      <c r="C243" s="1">
        <v>3.5272999999999999</v>
      </c>
    </row>
    <row r="244" spans="1:3" x14ac:dyDescent="0.2">
      <c r="A244" s="1">
        <v>68</v>
      </c>
      <c r="B244" s="1" t="str">
        <v>2019-12-27</v>
      </c>
      <c r="C244" s="1">
        <v>3.5041000000000002</v>
      </c>
    </row>
    <row r="245" spans="1:3" x14ac:dyDescent="0.2">
      <c r="A245" s="1">
        <v>156</v>
      </c>
      <c r="B245" s="1" t="str">
        <v>2019-12-27</v>
      </c>
      <c r="C245" s="1">
        <v>3.7315</v>
      </c>
    </row>
    <row r="246" spans="1:3" x14ac:dyDescent="0.2">
      <c r="A246" s="1">
        <v>13250</v>
      </c>
      <c r="B246" s="1" t="str">
        <v>2019-12-27</v>
      </c>
      <c r="C246" s="1">
        <v>2.7945000000000002</v>
      </c>
    </row>
    <row r="247" spans="1:3" x14ac:dyDescent="0.2">
      <c r="A247" s="1">
        <v>16</v>
      </c>
      <c r="B247" s="1" t="str">
        <v>2019-12-27</v>
      </c>
      <c r="C247" s="1">
        <v>3.39</v>
      </c>
    </row>
    <row r="248" spans="1:3" x14ac:dyDescent="0.2">
      <c r="A248" s="1">
        <v>33043</v>
      </c>
      <c r="B248" s="1" t="str">
        <v>2019-12-27</v>
      </c>
      <c r="C248" s="1">
        <v>3.4319999999999999</v>
      </c>
    </row>
    <row r="249" spans="1:3" x14ac:dyDescent="0.2">
      <c r="A249" s="1">
        <v>1</v>
      </c>
      <c r="B249" s="1" t="str">
        <v>2019-12-27</v>
      </c>
      <c r="C249" s="1">
        <v>3.6080000000000001</v>
      </c>
    </row>
    <row r="250" spans="1:3" x14ac:dyDescent="0.2">
      <c r="A250" s="1">
        <v>150</v>
      </c>
      <c r="B250" s="1" t="str">
        <v>2019-12-27</v>
      </c>
      <c r="C250" s="1">
        <v>3.8315000000000001</v>
      </c>
    </row>
    <row r="251" spans="1:3" x14ac:dyDescent="0.2">
      <c r="A251" s="1">
        <v>187</v>
      </c>
      <c r="B251" s="1" t="str">
        <v>2019-12-27</v>
      </c>
      <c r="C251" s="1">
        <v>3.8866000000000001</v>
      </c>
    </row>
    <row r="252" spans="1:3" x14ac:dyDescent="0.2">
      <c r="A252" s="1">
        <v>133</v>
      </c>
      <c r="B252" s="1" t="str">
        <v>2019-12-27</v>
      </c>
      <c r="C252" s="1">
        <v>3.7</v>
      </c>
    </row>
    <row r="253" spans="1:3" x14ac:dyDescent="0.2">
      <c r="A253" s="1">
        <v>32724</v>
      </c>
      <c r="B253" s="1" t="str">
        <v>2019-12-27</v>
      </c>
      <c r="C253" s="1">
        <v>3.4842</v>
      </c>
    </row>
    <row r="254" spans="1:3" x14ac:dyDescent="0.2">
      <c r="A254" s="1">
        <v>32401</v>
      </c>
      <c r="B254" s="1" t="str">
        <v>2019-12-27</v>
      </c>
      <c r="C254" s="1">
        <v>4.2286999999999999</v>
      </c>
    </row>
    <row r="255" spans="1:3" x14ac:dyDescent="0.2">
      <c r="A255" s="1">
        <v>10</v>
      </c>
      <c r="B255" s="1" t="str">
        <v>2019-12-27</v>
      </c>
      <c r="C255" s="1">
        <v>3.4013</v>
      </c>
    </row>
    <row r="256" spans="1:3" x14ac:dyDescent="0.2">
      <c r="A256" s="1">
        <v>171</v>
      </c>
      <c r="B256" s="1" t="str">
        <v>2019-12-27</v>
      </c>
      <c r="C256" s="1">
        <v>3.5661</v>
      </c>
    </row>
    <row r="257" spans="1:3" x14ac:dyDescent="0.2">
      <c r="A257" s="1">
        <v>33103</v>
      </c>
      <c r="B257" s="1" t="str">
        <v>2019-12-30</v>
      </c>
      <c r="C257" s="1">
        <v>4.0252999999999997</v>
      </c>
    </row>
    <row r="258" spans="1:3" x14ac:dyDescent="0.2">
      <c r="A258" s="1">
        <v>49</v>
      </c>
      <c r="B258" s="1" t="str">
        <v>2019-12-30</v>
      </c>
      <c r="C258" s="1">
        <v>3.6168</v>
      </c>
    </row>
    <row r="259" spans="1:3" x14ac:dyDescent="0.2">
      <c r="A259" s="1">
        <v>32082</v>
      </c>
      <c r="B259" s="1" t="str">
        <v>2019-12-30</v>
      </c>
      <c r="C259" s="1">
        <v>3.5956999999999999</v>
      </c>
    </row>
    <row r="260" spans="1:3" x14ac:dyDescent="0.2">
      <c r="A260" s="1">
        <v>90</v>
      </c>
      <c r="B260" s="1" t="str">
        <v>2019-12-30</v>
      </c>
      <c r="C260" s="1">
        <v>3.5047000000000001</v>
      </c>
    </row>
    <row r="261" spans="1:3" x14ac:dyDescent="0.2">
      <c r="A261" s="1">
        <v>117</v>
      </c>
      <c r="B261" s="1" t="str">
        <v>2019-12-30</v>
      </c>
      <c r="C261" s="1">
        <v>3.6076999999999999</v>
      </c>
    </row>
    <row r="262" spans="1:3" x14ac:dyDescent="0.2">
      <c r="A262" s="1">
        <v>28</v>
      </c>
      <c r="B262" s="1" t="str">
        <v>2019-12-30</v>
      </c>
      <c r="C262" s="1">
        <v>3.5042</v>
      </c>
    </row>
    <row r="263" spans="1:3" x14ac:dyDescent="0.2">
      <c r="A263" s="1">
        <v>32421</v>
      </c>
      <c r="B263" s="1" t="str">
        <v>2019-12-30</v>
      </c>
      <c r="C263" s="1">
        <v>3.6817000000000002</v>
      </c>
    </row>
    <row r="264" spans="1:3" x14ac:dyDescent="0.2">
      <c r="A264" s="1">
        <v>32340</v>
      </c>
      <c r="B264" s="1" t="str">
        <v>2019-12-31</v>
      </c>
      <c r="C264" s="1">
        <v>3.5047000000000001</v>
      </c>
    </row>
    <row r="265" spans="1:3" x14ac:dyDescent="0.2">
      <c r="A265" s="1">
        <v>53</v>
      </c>
      <c r="B265" s="1" t="str">
        <v>2019-12-31</v>
      </c>
      <c r="C265" s="1">
        <v>3.3803999999999998</v>
      </c>
    </row>
    <row r="266" spans="1:3" x14ac:dyDescent="0.2">
      <c r="A266" s="1">
        <v>32863</v>
      </c>
      <c r="B266" s="1" t="str">
        <v>2019-12-31</v>
      </c>
      <c r="C266" s="1">
        <v>3.3178999999999998</v>
      </c>
    </row>
    <row r="267" spans="1:3" x14ac:dyDescent="0.2">
      <c r="A267" s="1">
        <v>24</v>
      </c>
      <c r="B267" s="1" t="str">
        <v>2020-01-02</v>
      </c>
      <c r="C267" s="1">
        <v>3.7627000000000002</v>
      </c>
    </row>
    <row r="268" spans="1:3" x14ac:dyDescent="0.2">
      <c r="A268" s="1">
        <v>83</v>
      </c>
      <c r="B268" s="1" t="str">
        <v>2020-01-02</v>
      </c>
      <c r="C268" s="1">
        <v>4</v>
      </c>
    </row>
    <row r="269" spans="1:3" x14ac:dyDescent="0.2">
      <c r="A269" s="1">
        <v>32480</v>
      </c>
      <c r="B269" s="1" t="str">
        <v>2020-01-02</v>
      </c>
      <c r="C269" s="1">
        <v>3.2469000000000001</v>
      </c>
    </row>
    <row r="270" spans="1:3" x14ac:dyDescent="0.2">
      <c r="A270" s="1">
        <v>150</v>
      </c>
      <c r="B270" s="1" t="str">
        <v>2020-01-02</v>
      </c>
      <c r="C270" s="1">
        <v>3.8315000000000001</v>
      </c>
    </row>
    <row r="271" spans="1:3" x14ac:dyDescent="0.2">
      <c r="A271" s="1">
        <v>1</v>
      </c>
      <c r="B271" s="1" t="str">
        <v>2020-01-02</v>
      </c>
      <c r="C271" s="1">
        <v>3.6080000000000001</v>
      </c>
    </row>
    <row r="272" spans="1:3" x14ac:dyDescent="0.2">
      <c r="A272" s="1">
        <v>32843</v>
      </c>
      <c r="B272" s="1" t="str">
        <v>2020-01-02</v>
      </c>
      <c r="C272" s="1">
        <v>3.4422999999999999</v>
      </c>
    </row>
    <row r="273" spans="1:3" x14ac:dyDescent="0.2">
      <c r="A273" s="1">
        <v>32963</v>
      </c>
      <c r="B273" s="1" t="str">
        <v>2020-01-03</v>
      </c>
      <c r="C273" s="1">
        <v>3.8146</v>
      </c>
    </row>
    <row r="274" spans="1:3" x14ac:dyDescent="0.2">
      <c r="A274" s="1">
        <v>94</v>
      </c>
      <c r="B274" s="1" t="str">
        <v>2020-01-03</v>
      </c>
      <c r="C274" s="1">
        <v>3.8</v>
      </c>
    </row>
    <row r="275" spans="1:3" x14ac:dyDescent="0.2">
      <c r="A275" s="1">
        <v>32040</v>
      </c>
      <c r="B275" s="1" t="str">
        <v>2020-01-03</v>
      </c>
      <c r="C275" s="1">
        <v>3.5964</v>
      </c>
    </row>
    <row r="276" spans="1:3" x14ac:dyDescent="0.2">
      <c r="A276" s="1">
        <v>147</v>
      </c>
      <c r="B276" s="1" t="str">
        <v>2020-01-03</v>
      </c>
      <c r="C276" s="1">
        <v>3.7204999999999999</v>
      </c>
    </row>
    <row r="277" spans="1:3" x14ac:dyDescent="0.2">
      <c r="A277" s="1">
        <v>16</v>
      </c>
      <c r="B277" s="1" t="str">
        <v>2020-01-03</v>
      </c>
      <c r="C277" s="1">
        <v>3.39</v>
      </c>
    </row>
    <row r="278" spans="1:3" x14ac:dyDescent="0.2">
      <c r="A278" s="1">
        <v>13250</v>
      </c>
      <c r="B278" s="1" t="str">
        <v>2020-01-03</v>
      </c>
      <c r="C278" s="1">
        <v>2.7945000000000002</v>
      </c>
    </row>
    <row r="279" spans="1:3" x14ac:dyDescent="0.2">
      <c r="A279" s="1">
        <v>32360</v>
      </c>
      <c r="B279" s="1" t="str">
        <v>2020-01-03</v>
      </c>
      <c r="C279" s="1">
        <v>3.3086000000000002</v>
      </c>
    </row>
    <row r="280" spans="1:3" x14ac:dyDescent="0.2">
      <c r="A280" s="1">
        <v>30300</v>
      </c>
      <c r="B280" s="1" t="str">
        <v>2020-01-03</v>
      </c>
      <c r="C280" s="1">
        <v>3.5769000000000002</v>
      </c>
    </row>
    <row r="281" spans="1:3" x14ac:dyDescent="0.2">
      <c r="A281" s="1">
        <v>32200</v>
      </c>
      <c r="B281" s="1" t="str">
        <v>2020-01-03</v>
      </c>
      <c r="C281" s="1">
        <v>3.1536</v>
      </c>
    </row>
    <row r="282" spans="1:3" x14ac:dyDescent="0.2">
      <c r="A282" s="1">
        <v>59</v>
      </c>
      <c r="B282" s="1" t="str">
        <v>2020-01-03</v>
      </c>
      <c r="C282" s="1">
        <v>3.5969000000000002</v>
      </c>
    </row>
    <row r="283" spans="1:3" x14ac:dyDescent="0.2">
      <c r="A283" s="1">
        <v>32260</v>
      </c>
      <c r="B283" s="1" t="str">
        <v>2020-01-03</v>
      </c>
      <c r="C283" s="1">
        <v>3.5036</v>
      </c>
    </row>
    <row r="284" spans="1:3" x14ac:dyDescent="0.2">
      <c r="A284" s="1">
        <v>32724</v>
      </c>
      <c r="B284" s="1" t="str">
        <v>2020-01-03</v>
      </c>
      <c r="C284" s="1">
        <v>3.4944999999999999</v>
      </c>
    </row>
    <row r="285" spans="1:3" x14ac:dyDescent="0.2">
      <c r="A285" s="1">
        <v>32783</v>
      </c>
      <c r="B285" s="1" t="str">
        <v>2020-01-03</v>
      </c>
      <c r="C285" s="1">
        <v>3.7833999999999999</v>
      </c>
    </row>
    <row r="286" spans="1:3" x14ac:dyDescent="0.2">
      <c r="A286" s="1">
        <v>81</v>
      </c>
      <c r="B286" s="1" t="str">
        <v>2020-01-03</v>
      </c>
      <c r="C286" s="1">
        <v>3.5562999999999998</v>
      </c>
    </row>
    <row r="287" spans="1:3" x14ac:dyDescent="0.2">
      <c r="A287" s="1">
        <v>24250</v>
      </c>
      <c r="B287" s="1" t="str">
        <v>2020-01-03</v>
      </c>
      <c r="C287" s="1">
        <v>3.5044</v>
      </c>
    </row>
    <row r="288" spans="1:3" x14ac:dyDescent="0.2">
      <c r="A288" s="1">
        <v>10</v>
      </c>
      <c r="B288" s="1" t="str">
        <v>2020-01-03</v>
      </c>
      <c r="C288" s="1">
        <v>3.3702999999999999</v>
      </c>
    </row>
    <row r="289" spans="1:3" x14ac:dyDescent="0.2">
      <c r="A289" s="1">
        <v>143</v>
      </c>
      <c r="B289" s="1" t="str">
        <v>2020-01-06</v>
      </c>
      <c r="C289" s="1">
        <v>3.5</v>
      </c>
    </row>
    <row r="290" spans="1:3" x14ac:dyDescent="0.2">
      <c r="A290" s="1">
        <v>53</v>
      </c>
      <c r="B290" s="1" t="str">
        <v>2020-01-06</v>
      </c>
      <c r="C290" s="1">
        <v>3.4628999999999999</v>
      </c>
    </row>
    <row r="291" spans="1:3" x14ac:dyDescent="0.2">
      <c r="A291" s="1">
        <v>33043</v>
      </c>
      <c r="B291" s="1" t="str">
        <v>2020-01-06</v>
      </c>
      <c r="C291" s="1">
        <v>3.4630000000000001</v>
      </c>
    </row>
    <row r="292" spans="1:3" x14ac:dyDescent="0.2">
      <c r="A292" s="1">
        <v>33023</v>
      </c>
      <c r="B292" s="1" t="str">
        <v>2020-01-06</v>
      </c>
      <c r="C292" s="1">
        <v>4</v>
      </c>
    </row>
    <row r="293" spans="1:3" x14ac:dyDescent="0.2">
      <c r="A293" s="1">
        <v>32560</v>
      </c>
      <c r="B293" s="1" t="str">
        <v>2020-01-06</v>
      </c>
      <c r="C293" s="1">
        <v>3.5975000000000001</v>
      </c>
    </row>
    <row r="294" spans="1:3" x14ac:dyDescent="0.2">
      <c r="A294" s="1">
        <v>31</v>
      </c>
      <c r="B294" s="1" t="str">
        <v>2020-01-06</v>
      </c>
      <c r="C294" s="1">
        <v>3.6</v>
      </c>
    </row>
    <row r="295" spans="1:3" x14ac:dyDescent="0.2">
      <c r="A295" s="1">
        <v>32081</v>
      </c>
      <c r="B295" s="1" t="str">
        <v>2020-01-06</v>
      </c>
      <c r="C295" s="1">
        <v>3.4630999999999998</v>
      </c>
    </row>
    <row r="296" spans="1:3" x14ac:dyDescent="0.2">
      <c r="A296" s="1">
        <v>32963</v>
      </c>
      <c r="B296" s="1" t="str">
        <v>2020-01-06</v>
      </c>
      <c r="C296" s="1">
        <v>3.8146</v>
      </c>
    </row>
    <row r="297" spans="1:3" x14ac:dyDescent="0.2">
      <c r="A297" s="1">
        <v>178</v>
      </c>
      <c r="B297" s="1" t="str">
        <v>2020-01-06</v>
      </c>
      <c r="C297" s="1">
        <v>3.3188</v>
      </c>
    </row>
    <row r="298" spans="1:3" x14ac:dyDescent="0.2">
      <c r="A298" s="1">
        <v>72</v>
      </c>
      <c r="B298" s="1" t="str">
        <v>2020-01-07</v>
      </c>
      <c r="C298" s="1">
        <v>3.6076000000000001</v>
      </c>
    </row>
    <row r="299" spans="1:3" x14ac:dyDescent="0.2">
      <c r="A299" s="1">
        <v>181</v>
      </c>
      <c r="B299" s="1" t="str">
        <v>2020-01-07</v>
      </c>
      <c r="C299" s="1">
        <v>3.5857000000000001</v>
      </c>
    </row>
    <row r="300" spans="1:3" x14ac:dyDescent="0.2">
      <c r="A300" s="1">
        <v>164</v>
      </c>
      <c r="B300" s="1" t="str">
        <v>2020-01-07</v>
      </c>
      <c r="C300" s="1">
        <v>3.7313999999999998</v>
      </c>
    </row>
    <row r="301" spans="1:3" x14ac:dyDescent="0.2">
      <c r="A301" s="1">
        <v>34</v>
      </c>
      <c r="B301" s="1" t="str">
        <v>2020-01-07</v>
      </c>
      <c r="C301" s="1">
        <v>3.3910999999999998</v>
      </c>
    </row>
    <row r="302" spans="1:3" x14ac:dyDescent="0.2">
      <c r="A302" s="1">
        <v>157</v>
      </c>
      <c r="B302" s="1" t="str">
        <v>2020-01-07</v>
      </c>
      <c r="C302" s="1">
        <v>3.81</v>
      </c>
    </row>
    <row r="303" spans="1:3" x14ac:dyDescent="0.2">
      <c r="A303" s="1">
        <v>147</v>
      </c>
      <c r="B303" s="1" t="str">
        <v>2020-01-08</v>
      </c>
      <c r="C303" s="1">
        <v>3.6173999999999999</v>
      </c>
    </row>
    <row r="304" spans="1:3" x14ac:dyDescent="0.2">
      <c r="A304" s="1">
        <v>32200</v>
      </c>
      <c r="B304" s="1" t="str">
        <v>2020-01-08</v>
      </c>
      <c r="C304" s="1">
        <v>3.02</v>
      </c>
    </row>
    <row r="305" spans="1:3" x14ac:dyDescent="0.2">
      <c r="A305" s="1">
        <v>33023</v>
      </c>
      <c r="B305" s="1" t="str">
        <v>2020-01-08</v>
      </c>
      <c r="C305" s="1">
        <v>4</v>
      </c>
    </row>
    <row r="306" spans="1:3" x14ac:dyDescent="0.2">
      <c r="A306" s="1">
        <v>32440</v>
      </c>
      <c r="B306" s="1" t="str">
        <v>2020-01-08</v>
      </c>
      <c r="C306" s="1">
        <v>4.2191000000000001</v>
      </c>
    </row>
    <row r="307" spans="1:3" x14ac:dyDescent="0.2">
      <c r="A307" s="1">
        <v>33043</v>
      </c>
      <c r="B307" s="1" t="str">
        <v>2020-01-08</v>
      </c>
      <c r="C307" s="1">
        <v>3.5558999999999998</v>
      </c>
    </row>
    <row r="308" spans="1:3" x14ac:dyDescent="0.2">
      <c r="A308" s="1">
        <v>72</v>
      </c>
      <c r="B308" s="1" t="str">
        <v>2020-01-08</v>
      </c>
      <c r="C308" s="1">
        <v>3.6381000000000001</v>
      </c>
    </row>
    <row r="309" spans="1:3" x14ac:dyDescent="0.2">
      <c r="A309" s="1">
        <v>55</v>
      </c>
      <c r="B309" s="1" t="str">
        <v>2020-01-08</v>
      </c>
      <c r="C309" s="1">
        <v>3.4841000000000002</v>
      </c>
    </row>
    <row r="310" spans="1:3" x14ac:dyDescent="0.2">
      <c r="A310" s="1">
        <v>32582</v>
      </c>
      <c r="B310" s="1" t="str">
        <v>2020-01-09</v>
      </c>
      <c r="C310" s="1">
        <v>3.5047999999999999</v>
      </c>
    </row>
    <row r="311" spans="1:3" x14ac:dyDescent="0.2">
      <c r="A311" s="1">
        <v>94</v>
      </c>
      <c r="B311" s="1" t="str">
        <v>2020-01-09</v>
      </c>
      <c r="C311" s="1">
        <v>3.8</v>
      </c>
    </row>
    <row r="312" spans="1:3" x14ac:dyDescent="0.2">
      <c r="A312" s="1">
        <v>187</v>
      </c>
      <c r="B312" s="1" t="str">
        <v>2020-01-09</v>
      </c>
      <c r="C312" s="1">
        <v>3.6385000000000001</v>
      </c>
    </row>
    <row r="313" spans="1:3" x14ac:dyDescent="0.2">
      <c r="A313" s="1">
        <v>67</v>
      </c>
      <c r="B313" s="1" t="str">
        <v>2020-01-09</v>
      </c>
      <c r="C313" s="1">
        <v>3.4628999999999999</v>
      </c>
    </row>
    <row r="314" spans="1:3" x14ac:dyDescent="0.2">
      <c r="A314" s="1">
        <v>101</v>
      </c>
      <c r="B314" s="1" t="str">
        <v>2020-01-09</v>
      </c>
      <c r="C314" s="1">
        <v>3.4155000000000002</v>
      </c>
    </row>
    <row r="315" spans="1:3" x14ac:dyDescent="0.2">
      <c r="A315" s="1">
        <v>137</v>
      </c>
      <c r="B315" s="1" t="str">
        <v>2020-01-09</v>
      </c>
      <c r="C315" s="1">
        <v>3.3088000000000002</v>
      </c>
    </row>
    <row r="316" spans="1:3" x14ac:dyDescent="0.2">
      <c r="A316" s="1">
        <v>16</v>
      </c>
      <c r="B316" s="1" t="str">
        <v>2020-01-10</v>
      </c>
      <c r="C316" s="1">
        <v>3.39</v>
      </c>
    </row>
    <row r="317" spans="1:3" x14ac:dyDescent="0.2">
      <c r="A317" s="1">
        <v>33023</v>
      </c>
      <c r="B317" s="1" t="str">
        <v>2020-01-10</v>
      </c>
      <c r="C317" s="1">
        <v>4</v>
      </c>
    </row>
    <row r="318" spans="1:3" x14ac:dyDescent="0.2">
      <c r="A318" s="1">
        <v>32121</v>
      </c>
      <c r="B318" s="1" t="str">
        <v>2020-01-10</v>
      </c>
      <c r="C318" s="1">
        <v>3.7107999999999999</v>
      </c>
    </row>
    <row r="319" spans="1:3" x14ac:dyDescent="0.2">
      <c r="A319" s="1">
        <v>147</v>
      </c>
      <c r="B319" s="1" t="str">
        <v>2020-01-10</v>
      </c>
      <c r="C319" s="1">
        <v>3.5760999999999998</v>
      </c>
    </row>
    <row r="320" spans="1:3" x14ac:dyDescent="0.2">
      <c r="A320" s="1">
        <v>32400</v>
      </c>
      <c r="B320" s="1" t="str">
        <v>2020-01-10</v>
      </c>
      <c r="C320" s="1">
        <v>3.6</v>
      </c>
    </row>
    <row r="321" spans="1:3" x14ac:dyDescent="0.2">
      <c r="A321" s="1">
        <v>33125</v>
      </c>
      <c r="B321" s="1" t="str">
        <v>2020-01-10</v>
      </c>
      <c r="C321" s="1">
        <v>3.4529000000000001</v>
      </c>
    </row>
    <row r="322" spans="1:3" x14ac:dyDescent="0.2">
      <c r="A322" s="1">
        <v>99</v>
      </c>
      <c r="B322" s="1" t="str">
        <v>2020-01-10</v>
      </c>
      <c r="C322" s="1">
        <v>3.504</v>
      </c>
    </row>
    <row r="323" spans="1:3" x14ac:dyDescent="0.2">
      <c r="A323" s="1">
        <v>191</v>
      </c>
      <c r="B323" s="1" t="str">
        <v>2020-01-10</v>
      </c>
      <c r="C323" s="1">
        <v>3.4525000000000001</v>
      </c>
    </row>
    <row r="324" spans="1:3" x14ac:dyDescent="0.2">
      <c r="A324" s="1">
        <v>55</v>
      </c>
      <c r="B324" s="1" t="str">
        <v>2020-01-10</v>
      </c>
      <c r="C324" s="1">
        <v>3.3397999999999999</v>
      </c>
    </row>
    <row r="325" spans="1:3" x14ac:dyDescent="0.2">
      <c r="A325" s="1">
        <v>150</v>
      </c>
      <c r="B325" s="1" t="str">
        <v>2020-01-10</v>
      </c>
      <c r="C325" s="1">
        <v>4.1417999999999999</v>
      </c>
    </row>
    <row r="326" spans="1:3" x14ac:dyDescent="0.2">
      <c r="A326" s="1">
        <v>13250</v>
      </c>
      <c r="B326" s="1" t="str">
        <v>2020-01-10</v>
      </c>
      <c r="C326" s="1">
        <v>2.7740999999999998</v>
      </c>
    </row>
    <row r="327" spans="1:3" x14ac:dyDescent="0.2">
      <c r="A327" s="1">
        <v>139</v>
      </c>
      <c r="B327" s="1" t="str">
        <v>2020-01-10</v>
      </c>
      <c r="C327" s="1">
        <v>3.8353999999999999</v>
      </c>
    </row>
    <row r="328" spans="1:3" x14ac:dyDescent="0.2">
      <c r="A328" s="1">
        <v>72</v>
      </c>
      <c r="B328" s="1" t="str">
        <v>2020-01-10</v>
      </c>
      <c r="C328" s="1">
        <v>3.5762</v>
      </c>
    </row>
    <row r="329" spans="1:3" x14ac:dyDescent="0.2">
      <c r="A329" s="1">
        <v>136</v>
      </c>
      <c r="B329" s="1" t="str">
        <v>2020-01-10</v>
      </c>
      <c r="C329" s="1">
        <v>3.4944999999999999</v>
      </c>
    </row>
    <row r="330" spans="1:3" x14ac:dyDescent="0.2">
      <c r="A330" s="1">
        <v>32401</v>
      </c>
      <c r="B330" s="1" t="str">
        <v>2020-01-10</v>
      </c>
      <c r="C330" s="1">
        <v>4.2286999999999999</v>
      </c>
    </row>
    <row r="331" spans="1:3" x14ac:dyDescent="0.2">
      <c r="A331" s="1">
        <v>81</v>
      </c>
      <c r="B331" s="1" t="str">
        <v>2020-01-10</v>
      </c>
      <c r="C331" s="1">
        <v>3.5562999999999998</v>
      </c>
    </row>
    <row r="332" spans="1:3" x14ac:dyDescent="0.2">
      <c r="A332" s="1">
        <v>32340</v>
      </c>
      <c r="B332" s="1" t="str">
        <v>2020-01-10</v>
      </c>
      <c r="C332" s="1">
        <v>3.4325999999999999</v>
      </c>
    </row>
    <row r="333" spans="1:3" x14ac:dyDescent="0.2">
      <c r="A333" s="1">
        <v>10</v>
      </c>
      <c r="B333" s="1" t="str">
        <v>2020-01-10</v>
      </c>
      <c r="C333" s="1">
        <v>3.3601999999999999</v>
      </c>
    </row>
    <row r="334" spans="1:3" x14ac:dyDescent="0.2">
      <c r="A334" s="1">
        <v>32260</v>
      </c>
      <c r="B334" s="1" t="str">
        <v>2020-01-10</v>
      </c>
      <c r="C334" s="1">
        <v>3.5034999999999998</v>
      </c>
    </row>
    <row r="335" spans="1:3" x14ac:dyDescent="0.2">
      <c r="A335" s="1">
        <v>32724</v>
      </c>
      <c r="B335" s="1" t="str">
        <v>2020-01-10</v>
      </c>
      <c r="C335" s="1">
        <v>3.5047999999999999</v>
      </c>
    </row>
    <row r="336" spans="1:3" x14ac:dyDescent="0.2">
      <c r="A336" s="1">
        <v>32480</v>
      </c>
      <c r="B336" s="1" t="str">
        <v>2020-01-10</v>
      </c>
      <c r="C336" s="1">
        <v>3.2469000000000001</v>
      </c>
    </row>
    <row r="337" spans="1:3" x14ac:dyDescent="0.2">
      <c r="A337" s="1">
        <v>32803</v>
      </c>
      <c r="B337" s="1" t="str">
        <v>2020-01-13</v>
      </c>
      <c r="C337" s="1">
        <v>3.2879999999999998</v>
      </c>
    </row>
    <row r="338" spans="1:3" x14ac:dyDescent="0.2">
      <c r="A338" s="1">
        <v>32360</v>
      </c>
      <c r="B338" s="1" t="str">
        <v>2020-01-13</v>
      </c>
      <c r="C338" s="1">
        <v>3.7233999999999998</v>
      </c>
    </row>
    <row r="339" spans="1:3" x14ac:dyDescent="0.2">
      <c r="A339" s="1">
        <v>32582</v>
      </c>
      <c r="B339" s="1" t="str">
        <v>2020-01-13</v>
      </c>
      <c r="C339" s="1">
        <v>3.5047999999999999</v>
      </c>
    </row>
    <row r="340" spans="1:3" x14ac:dyDescent="0.2">
      <c r="A340" s="1">
        <v>102</v>
      </c>
      <c r="B340" s="1" t="str">
        <v>2020-01-13</v>
      </c>
      <c r="C340" s="1">
        <v>3.2671999999999999</v>
      </c>
    </row>
    <row r="341" spans="1:3" x14ac:dyDescent="0.2">
      <c r="A341" s="1">
        <v>78</v>
      </c>
      <c r="B341" s="1" t="str">
        <v>2020-01-13</v>
      </c>
      <c r="C341" s="1">
        <v>3.5874000000000001</v>
      </c>
    </row>
    <row r="342" spans="1:3" x14ac:dyDescent="0.2">
      <c r="A342" s="1">
        <v>32180</v>
      </c>
      <c r="B342" s="1" t="str">
        <v>2020-01-13</v>
      </c>
      <c r="C342" s="1">
        <v>3.8203</v>
      </c>
    </row>
    <row r="343" spans="1:3" x14ac:dyDescent="0.2">
      <c r="A343" s="1">
        <v>109</v>
      </c>
      <c r="B343" s="1" t="str">
        <v>2020-01-13</v>
      </c>
      <c r="C343" s="1">
        <v>3.7105999999999999</v>
      </c>
    </row>
    <row r="344" spans="1:3" x14ac:dyDescent="0.2">
      <c r="A344" s="1">
        <v>171</v>
      </c>
      <c r="B344" s="1" t="str">
        <v>2020-01-13</v>
      </c>
      <c r="C344" s="1">
        <v>3.4426999999999999</v>
      </c>
    </row>
    <row r="345" spans="1:3" x14ac:dyDescent="0.2">
      <c r="A345" s="1">
        <v>32040</v>
      </c>
      <c r="B345" s="1" t="str">
        <v>2020-01-13</v>
      </c>
      <c r="C345" s="1">
        <v>3.4519000000000002</v>
      </c>
    </row>
    <row r="346" spans="1:3" x14ac:dyDescent="0.2">
      <c r="A346" s="1">
        <v>101</v>
      </c>
      <c r="B346" s="1" t="str">
        <v>2020-01-13</v>
      </c>
      <c r="C346" s="1">
        <v>3.6696</v>
      </c>
    </row>
    <row r="347" spans="1:3" x14ac:dyDescent="0.2">
      <c r="A347" s="1">
        <v>34</v>
      </c>
      <c r="B347" s="1" t="str">
        <v>2020-01-13</v>
      </c>
      <c r="C347" s="1">
        <v>3.0926</v>
      </c>
    </row>
    <row r="348" spans="1:3" x14ac:dyDescent="0.2">
      <c r="A348" s="1">
        <v>32783</v>
      </c>
      <c r="B348" s="1" t="str">
        <v>2020-01-13</v>
      </c>
      <c r="C348" s="1">
        <v>3.8041999999999998</v>
      </c>
    </row>
    <row r="349" spans="1:3" x14ac:dyDescent="0.2">
      <c r="A349" s="1">
        <v>147</v>
      </c>
      <c r="B349" s="1" t="str">
        <v>2020-01-13</v>
      </c>
      <c r="C349" s="1">
        <v>3.5451999999999999</v>
      </c>
    </row>
    <row r="350" spans="1:3" x14ac:dyDescent="0.2">
      <c r="A350" s="1">
        <v>132</v>
      </c>
      <c r="B350" s="1" t="str">
        <v>2020-01-13</v>
      </c>
      <c r="C350" s="1">
        <v>3.5975999999999999</v>
      </c>
    </row>
    <row r="351" spans="1:3" x14ac:dyDescent="0.2">
      <c r="A351" s="1">
        <v>178</v>
      </c>
      <c r="B351" s="1" t="str">
        <v>2020-01-13</v>
      </c>
      <c r="C351" s="1">
        <v>3.35</v>
      </c>
    </row>
    <row r="352" spans="1:3" x14ac:dyDescent="0.2">
      <c r="A352" s="1">
        <v>32320</v>
      </c>
      <c r="B352" s="1" t="str">
        <v>2020-01-13</v>
      </c>
      <c r="C352" s="1">
        <v>3.4014000000000002</v>
      </c>
    </row>
    <row r="353" spans="1:3" x14ac:dyDescent="0.2">
      <c r="A353" s="1">
        <v>187</v>
      </c>
      <c r="B353" s="1" t="str">
        <v>2020-01-13</v>
      </c>
      <c r="C353" s="1">
        <v>3.6282999999999999</v>
      </c>
    </row>
    <row r="354" spans="1:3" x14ac:dyDescent="0.2">
      <c r="A354" s="1">
        <v>32380</v>
      </c>
      <c r="B354" s="1" t="str">
        <v>2020-01-13</v>
      </c>
      <c r="C354" s="1">
        <v>3.6223000000000001</v>
      </c>
    </row>
    <row r="355" spans="1:3" x14ac:dyDescent="0.2">
      <c r="A355" s="1">
        <v>98</v>
      </c>
      <c r="B355" s="1" t="str">
        <v>2020-01-14</v>
      </c>
      <c r="C355" s="1">
        <v>3.5036</v>
      </c>
    </row>
    <row r="356" spans="1:3" x14ac:dyDescent="0.2">
      <c r="A356" s="1">
        <v>147</v>
      </c>
      <c r="B356" s="1" t="str">
        <v>2020-01-14</v>
      </c>
      <c r="C356" s="1">
        <v>3.4626999999999999</v>
      </c>
    </row>
    <row r="357" spans="1:3" x14ac:dyDescent="0.2">
      <c r="A357" s="1">
        <v>32724</v>
      </c>
      <c r="B357" s="1" t="str">
        <v>2020-01-14</v>
      </c>
      <c r="C357" s="1">
        <v>3.4327000000000001</v>
      </c>
    </row>
    <row r="358" spans="1:3" x14ac:dyDescent="0.2">
      <c r="A358" s="1">
        <v>157</v>
      </c>
      <c r="B358" s="1" t="str">
        <v>2020-01-14</v>
      </c>
      <c r="C358" s="1">
        <v>3.81</v>
      </c>
    </row>
    <row r="359" spans="1:3" x14ac:dyDescent="0.2">
      <c r="A359" s="1">
        <v>32983</v>
      </c>
      <c r="B359" s="1" t="str">
        <v>2020-01-14</v>
      </c>
      <c r="C359" s="1">
        <v>3.7206999999999999</v>
      </c>
    </row>
    <row r="360" spans="1:3" x14ac:dyDescent="0.2">
      <c r="A360" s="1">
        <v>1</v>
      </c>
      <c r="B360" s="1" t="str">
        <v>2020-01-14</v>
      </c>
      <c r="C360" s="1">
        <v>3.5874000000000001</v>
      </c>
    </row>
    <row r="361" spans="1:3" x14ac:dyDescent="0.2">
      <c r="A361" s="1">
        <v>90</v>
      </c>
      <c r="B361" s="1" t="str">
        <v>2020-01-15</v>
      </c>
      <c r="C361" s="1">
        <v>3.4634</v>
      </c>
    </row>
    <row r="362" spans="1:3" x14ac:dyDescent="0.2">
      <c r="A362" s="1">
        <v>32082</v>
      </c>
      <c r="B362" s="1" t="str">
        <v>2020-01-15</v>
      </c>
      <c r="C362" s="1">
        <v>3.4310999999999998</v>
      </c>
    </row>
    <row r="363" spans="1:3" x14ac:dyDescent="0.2">
      <c r="A363" s="1">
        <v>1</v>
      </c>
      <c r="B363" s="1" t="str">
        <v>2020-01-15</v>
      </c>
      <c r="C363" s="1">
        <v>3.7010999999999998</v>
      </c>
    </row>
    <row r="364" spans="1:3" x14ac:dyDescent="0.2">
      <c r="A364" s="1">
        <v>2250</v>
      </c>
      <c r="B364" s="1" t="str">
        <v>2020-01-15</v>
      </c>
      <c r="C364" s="1">
        <v>3.1023000000000001</v>
      </c>
    </row>
    <row r="365" spans="1:3" x14ac:dyDescent="0.2">
      <c r="A365" s="1">
        <v>147</v>
      </c>
      <c r="B365" s="1" t="str">
        <v>2020-01-15</v>
      </c>
      <c r="C365" s="1">
        <v>3.4214000000000002</v>
      </c>
    </row>
    <row r="366" spans="1:3" x14ac:dyDescent="0.2">
      <c r="A366" s="1">
        <v>32823</v>
      </c>
      <c r="B366" s="1" t="str">
        <v>2020-01-15</v>
      </c>
      <c r="C366" s="1">
        <v>4.4000000000000004</v>
      </c>
    </row>
    <row r="367" spans="1:3" x14ac:dyDescent="0.2">
      <c r="A367" s="1">
        <v>115</v>
      </c>
      <c r="B367" s="1" t="str">
        <v>2020-01-16</v>
      </c>
      <c r="C367" s="1">
        <v>3.6177999999999999</v>
      </c>
    </row>
    <row r="368" spans="1:3" x14ac:dyDescent="0.2">
      <c r="A368" s="1">
        <v>32723</v>
      </c>
      <c r="B368" s="1" t="str">
        <v>2020-01-16</v>
      </c>
      <c r="C368" s="1">
        <v>3.4809000000000001</v>
      </c>
    </row>
    <row r="369" spans="1:3" x14ac:dyDescent="0.2">
      <c r="A369" s="1">
        <v>147</v>
      </c>
      <c r="B369" s="1" t="str">
        <v>2020-01-16</v>
      </c>
      <c r="C369" s="1">
        <v>3.4525000000000001</v>
      </c>
    </row>
    <row r="370" spans="1:3" x14ac:dyDescent="0.2">
      <c r="A370" s="1">
        <v>1</v>
      </c>
      <c r="B370" s="1" t="str">
        <v>2020-01-16</v>
      </c>
      <c r="C370" s="1">
        <v>3.6701000000000001</v>
      </c>
    </row>
    <row r="371" spans="1:3" x14ac:dyDescent="0.2">
      <c r="A371" s="1">
        <v>72</v>
      </c>
      <c r="B371" s="1" t="str">
        <v>2020-01-16</v>
      </c>
      <c r="C371" s="1">
        <v>3.4011</v>
      </c>
    </row>
    <row r="372" spans="1:3" x14ac:dyDescent="0.2">
      <c r="A372" s="1">
        <v>32421</v>
      </c>
      <c r="B372" s="1" t="str">
        <v>2020-01-16</v>
      </c>
      <c r="C372" s="1">
        <v>3.5440999999999998</v>
      </c>
    </row>
    <row r="373" spans="1:3" x14ac:dyDescent="0.2">
      <c r="A373" s="1">
        <v>150</v>
      </c>
      <c r="B373" s="1" t="str">
        <v>2020-01-17</v>
      </c>
      <c r="C373" s="1">
        <v>4.1417999999999999</v>
      </c>
    </row>
    <row r="374" spans="1:3" x14ac:dyDescent="0.2">
      <c r="A374" s="1">
        <v>67</v>
      </c>
      <c r="B374" s="1" t="str">
        <v>2020-01-17</v>
      </c>
      <c r="C374" s="1">
        <v>3.3289</v>
      </c>
    </row>
    <row r="375" spans="1:3" x14ac:dyDescent="0.2">
      <c r="A375" s="1">
        <v>16</v>
      </c>
      <c r="B375" s="1" t="str">
        <v>2020-01-17</v>
      </c>
      <c r="C375" s="1">
        <v>3.39</v>
      </c>
    </row>
    <row r="376" spans="1:3" x14ac:dyDescent="0.2">
      <c r="A376" s="1">
        <v>32843</v>
      </c>
      <c r="B376" s="1" t="str">
        <v>2020-01-17</v>
      </c>
      <c r="C376" s="1">
        <v>3.2978000000000001</v>
      </c>
    </row>
    <row r="377" spans="1:3" x14ac:dyDescent="0.2">
      <c r="A377" s="1">
        <v>99</v>
      </c>
      <c r="B377" s="1" t="str">
        <v>2020-01-17</v>
      </c>
      <c r="C377" s="1">
        <v>3.4424999999999999</v>
      </c>
    </row>
    <row r="378" spans="1:3" x14ac:dyDescent="0.2">
      <c r="A378" s="1">
        <v>32260</v>
      </c>
      <c r="B378" s="1" t="str">
        <v>2020-01-17</v>
      </c>
      <c r="C378" s="1">
        <v>3.4007999999999998</v>
      </c>
    </row>
    <row r="379" spans="1:3" x14ac:dyDescent="0.2">
      <c r="A379" s="1">
        <v>32420</v>
      </c>
      <c r="B379" s="1" t="str">
        <v>2020-01-17</v>
      </c>
      <c r="C379" s="1">
        <v>3.7574999999999998</v>
      </c>
    </row>
    <row r="380" spans="1:3" x14ac:dyDescent="0.2">
      <c r="A380" s="1">
        <v>32340</v>
      </c>
      <c r="B380" s="1" t="str">
        <v>2020-01-17</v>
      </c>
      <c r="C380" s="1">
        <v>3.4011</v>
      </c>
    </row>
    <row r="381" spans="1:3" x14ac:dyDescent="0.2">
      <c r="A381" s="1">
        <v>32</v>
      </c>
      <c r="B381" s="1" t="str">
        <v>2020-01-17</v>
      </c>
      <c r="C381" s="1">
        <v>3.7010000000000001</v>
      </c>
    </row>
    <row r="382" spans="1:3" x14ac:dyDescent="0.2">
      <c r="A382" s="1">
        <v>143</v>
      </c>
      <c r="B382" s="1" t="str">
        <v>2020-01-17</v>
      </c>
      <c r="C382" s="1">
        <v>3.5</v>
      </c>
    </row>
    <row r="383" spans="1:3" x14ac:dyDescent="0.2">
      <c r="A383" s="1">
        <v>33125</v>
      </c>
      <c r="B383" s="1" t="str">
        <v>2020-01-17</v>
      </c>
      <c r="C383" s="1">
        <v>3.4529000000000001</v>
      </c>
    </row>
    <row r="384" spans="1:3" x14ac:dyDescent="0.2">
      <c r="A384" s="1">
        <v>32180</v>
      </c>
      <c r="B384" s="1" t="str">
        <v>2020-01-17</v>
      </c>
      <c r="C384" s="1">
        <v>3.4434999999999998</v>
      </c>
    </row>
    <row r="385" spans="1:3" x14ac:dyDescent="0.2">
      <c r="A385" s="1">
        <v>13250</v>
      </c>
      <c r="B385" s="1" t="str">
        <v>2020-01-17</v>
      </c>
      <c r="C385" s="1">
        <v>2.8050999999999999</v>
      </c>
    </row>
    <row r="386" spans="1:3" x14ac:dyDescent="0.2">
      <c r="A386" s="1">
        <v>81</v>
      </c>
      <c r="B386" s="1" t="str">
        <v>2020-01-17</v>
      </c>
      <c r="C386" s="1">
        <v>3.5562999999999998</v>
      </c>
    </row>
    <row r="387" spans="1:3" x14ac:dyDescent="0.2">
      <c r="A387" s="1">
        <v>187</v>
      </c>
      <c r="B387" s="1" t="str">
        <v>2020-01-17</v>
      </c>
      <c r="C387" s="1">
        <v>3.7109999999999999</v>
      </c>
    </row>
    <row r="388" spans="1:3" x14ac:dyDescent="0.2">
      <c r="A388" s="1">
        <v>102</v>
      </c>
      <c r="B388" s="1" t="str">
        <v>2020-01-17</v>
      </c>
      <c r="C388" s="1">
        <v>3.2054999999999998</v>
      </c>
    </row>
    <row r="389" spans="1:3" x14ac:dyDescent="0.2">
      <c r="A389" s="1">
        <v>10</v>
      </c>
      <c r="B389" s="1" t="str">
        <v>2020-01-17</v>
      </c>
      <c r="C389" s="1">
        <v>3.2366000000000001</v>
      </c>
    </row>
    <row r="390" spans="1:3" x14ac:dyDescent="0.2">
      <c r="A390" s="1">
        <v>2250</v>
      </c>
      <c r="B390" s="1" t="str">
        <v>2020-01-17</v>
      </c>
      <c r="C390" s="1">
        <v>3.1023000000000001</v>
      </c>
    </row>
    <row r="391" spans="1:3" x14ac:dyDescent="0.2">
      <c r="A391" s="1">
        <v>32340</v>
      </c>
      <c r="B391" s="1" t="str">
        <v>2020-01-20</v>
      </c>
      <c r="C391" s="1">
        <v>3.4319999999999999</v>
      </c>
    </row>
    <row r="392" spans="1:3" x14ac:dyDescent="0.2">
      <c r="A392" s="1">
        <v>147</v>
      </c>
      <c r="B392" s="1" t="str">
        <v>2020-01-20</v>
      </c>
      <c r="C392" s="1">
        <v>3.4216000000000002</v>
      </c>
    </row>
    <row r="393" spans="1:3" x14ac:dyDescent="0.2">
      <c r="A393" s="1">
        <v>32603</v>
      </c>
      <c r="B393" s="1" t="str">
        <v>2020-01-20</v>
      </c>
      <c r="C393" s="1">
        <v>3.3081</v>
      </c>
    </row>
    <row r="394" spans="1:3" x14ac:dyDescent="0.2">
      <c r="A394" s="1">
        <v>32280</v>
      </c>
      <c r="B394" s="1" t="str">
        <v>2020-01-20</v>
      </c>
      <c r="C394" s="1">
        <v>3.7</v>
      </c>
    </row>
    <row r="395" spans="1:3" x14ac:dyDescent="0.2">
      <c r="A395" s="1">
        <v>55</v>
      </c>
      <c r="B395" s="1" t="str">
        <v>2020-01-20</v>
      </c>
      <c r="C395" s="1">
        <v>3.3603000000000001</v>
      </c>
    </row>
    <row r="396" spans="1:3" x14ac:dyDescent="0.2">
      <c r="A396" s="1">
        <v>32803</v>
      </c>
      <c r="B396" s="1" t="str">
        <v>2020-01-20</v>
      </c>
      <c r="C396" s="1">
        <v>3.1953999999999998</v>
      </c>
    </row>
    <row r="397" spans="1:3" x14ac:dyDescent="0.2">
      <c r="A397" s="1">
        <v>77</v>
      </c>
      <c r="B397" s="1" t="str">
        <v>2020-01-20</v>
      </c>
      <c r="C397" s="1">
        <v>3.5657999999999999</v>
      </c>
    </row>
    <row r="398" spans="1:3" x14ac:dyDescent="0.2">
      <c r="A398" s="1">
        <v>89</v>
      </c>
      <c r="B398" s="1" t="str">
        <v>2020-01-20</v>
      </c>
      <c r="C398" s="1">
        <v>3.4533</v>
      </c>
    </row>
    <row r="399" spans="1:3" x14ac:dyDescent="0.2">
      <c r="A399" s="1">
        <v>33103</v>
      </c>
      <c r="B399" s="1" t="str">
        <v>2020-01-20</v>
      </c>
      <c r="C399" s="1">
        <v>4.0373999999999999</v>
      </c>
    </row>
    <row r="400" spans="1:3" x14ac:dyDescent="0.2">
      <c r="A400" s="1">
        <v>32421</v>
      </c>
      <c r="B400" s="1" t="str">
        <v>2020-01-20</v>
      </c>
      <c r="C400" s="1">
        <v>3.4125999999999999</v>
      </c>
    </row>
    <row r="401" spans="1:3" x14ac:dyDescent="0.2">
      <c r="A401" s="1">
        <v>181</v>
      </c>
      <c r="B401" s="1" t="str">
        <v>2020-01-20</v>
      </c>
      <c r="C401" s="1">
        <v>3.5146999999999999</v>
      </c>
    </row>
    <row r="402" spans="1:3" x14ac:dyDescent="0.2">
      <c r="A402" s="1">
        <v>178</v>
      </c>
      <c r="B402" s="1" t="str">
        <v>2020-01-20</v>
      </c>
      <c r="C402" s="1">
        <v>3.4117999999999999</v>
      </c>
    </row>
    <row r="403" spans="1:3" x14ac:dyDescent="0.2">
      <c r="A403" s="1">
        <v>23250</v>
      </c>
      <c r="B403" s="1" t="str">
        <v>2020-01-21</v>
      </c>
      <c r="C403" s="1">
        <v>3.4015</v>
      </c>
    </row>
    <row r="404" spans="1:3" x14ac:dyDescent="0.2">
      <c r="A404" s="1">
        <v>187</v>
      </c>
      <c r="B404" s="1" t="str">
        <v>2020-01-21</v>
      </c>
      <c r="C404" s="1">
        <v>3.6593</v>
      </c>
    </row>
    <row r="405" spans="1:3" x14ac:dyDescent="0.2">
      <c r="A405" s="1">
        <v>30250</v>
      </c>
      <c r="B405" s="1" t="str">
        <v>2020-01-21</v>
      </c>
      <c r="C405" s="1">
        <v>3.2982999999999998</v>
      </c>
    </row>
    <row r="406" spans="1:3" x14ac:dyDescent="0.2">
      <c r="A406" s="1">
        <v>33023</v>
      </c>
      <c r="B406" s="1" t="str">
        <v>2020-01-21</v>
      </c>
      <c r="C406" s="1">
        <v>3.7</v>
      </c>
    </row>
    <row r="407" spans="1:3" x14ac:dyDescent="0.2">
      <c r="A407" s="1">
        <v>32724</v>
      </c>
      <c r="B407" s="1" t="str">
        <v>2020-01-21</v>
      </c>
      <c r="C407" s="1">
        <v>3.3605</v>
      </c>
    </row>
    <row r="408" spans="1:3" x14ac:dyDescent="0.2">
      <c r="A408" s="1">
        <v>32883</v>
      </c>
      <c r="B408" s="1" t="str">
        <v>2020-01-21</v>
      </c>
      <c r="C408" s="1">
        <v>3.4319000000000002</v>
      </c>
    </row>
    <row r="409" spans="1:3" x14ac:dyDescent="0.2">
      <c r="A409" s="1">
        <v>30400</v>
      </c>
      <c r="B409" s="1" t="str">
        <v>2020-01-21</v>
      </c>
      <c r="C409" s="1">
        <v>3.0310000000000001</v>
      </c>
    </row>
    <row r="410" spans="1:3" x14ac:dyDescent="0.2">
      <c r="A410" s="1">
        <v>176</v>
      </c>
      <c r="B410" s="1" t="str">
        <v>2020-01-21</v>
      </c>
      <c r="C410" s="1">
        <v>3.5253000000000001</v>
      </c>
    </row>
    <row r="411" spans="1:3" x14ac:dyDescent="0.2">
      <c r="A411" s="1">
        <v>32964</v>
      </c>
      <c r="B411" s="1" t="str">
        <v>2020-01-21</v>
      </c>
      <c r="C411" s="1">
        <v>3.5272999999999999</v>
      </c>
    </row>
    <row r="412" spans="1:3" x14ac:dyDescent="0.2">
      <c r="A412" s="1">
        <v>1</v>
      </c>
      <c r="B412" s="1" t="str">
        <v>2020-01-21</v>
      </c>
      <c r="C412" s="1">
        <v>3.6598000000000002</v>
      </c>
    </row>
    <row r="413" spans="1:3" x14ac:dyDescent="0.2">
      <c r="A413" s="1">
        <v>147</v>
      </c>
      <c r="B413" s="1" t="str">
        <v>2020-01-22</v>
      </c>
      <c r="C413" s="1">
        <v>3.3388</v>
      </c>
    </row>
    <row r="414" spans="1:3" x14ac:dyDescent="0.2">
      <c r="A414" s="1">
        <v>33023</v>
      </c>
      <c r="B414" s="1" t="str">
        <v>2020-01-22</v>
      </c>
      <c r="C414" s="1">
        <v>3.7</v>
      </c>
    </row>
    <row r="415" spans="1:3" x14ac:dyDescent="0.2">
      <c r="A415" s="1">
        <v>53</v>
      </c>
      <c r="B415" s="1" t="str">
        <v>2020-01-22</v>
      </c>
      <c r="C415" s="1">
        <v>3.3289</v>
      </c>
    </row>
    <row r="416" spans="1:3" x14ac:dyDescent="0.2">
      <c r="A416" s="1">
        <v>34</v>
      </c>
      <c r="B416" s="1" t="str">
        <v>2020-01-22</v>
      </c>
      <c r="C416" s="1">
        <v>3.0926</v>
      </c>
    </row>
    <row r="417" spans="1:3" x14ac:dyDescent="0.2">
      <c r="A417" s="1">
        <v>32964</v>
      </c>
      <c r="B417" s="1" t="str">
        <v>2020-01-22</v>
      </c>
      <c r="C417" s="1">
        <v>3.3420000000000001</v>
      </c>
    </row>
    <row r="418" spans="1:3" x14ac:dyDescent="0.2">
      <c r="A418" s="1">
        <v>30400</v>
      </c>
      <c r="B418" s="1" t="str">
        <v>2020-01-22</v>
      </c>
      <c r="C418" s="1">
        <v>3.2155999999999998</v>
      </c>
    </row>
    <row r="419" spans="1:3" x14ac:dyDescent="0.2">
      <c r="A419" s="1">
        <v>72</v>
      </c>
      <c r="B419" s="1" t="str">
        <v>2020-01-22</v>
      </c>
      <c r="C419" s="1">
        <v>3.4117999999999999</v>
      </c>
    </row>
    <row r="420" spans="1:3" x14ac:dyDescent="0.2">
      <c r="A420" s="1">
        <v>133</v>
      </c>
      <c r="B420" s="1" t="str">
        <v>2020-01-22</v>
      </c>
      <c r="C420" s="1">
        <v>3.7115999999999998</v>
      </c>
    </row>
    <row r="421" spans="1:3" x14ac:dyDescent="0.2">
      <c r="A421" s="1">
        <v>184</v>
      </c>
      <c r="B421" s="1" t="str">
        <v>2020-01-23</v>
      </c>
      <c r="C421" s="1">
        <v>3.4056000000000002</v>
      </c>
    </row>
    <row r="422" spans="1:3" x14ac:dyDescent="0.2">
      <c r="A422" s="1">
        <v>32280</v>
      </c>
      <c r="B422" s="1" t="str">
        <v>2020-01-23</v>
      </c>
      <c r="C422" s="1">
        <v>3.7</v>
      </c>
    </row>
    <row r="423" spans="1:3" x14ac:dyDescent="0.2">
      <c r="A423" s="1">
        <v>250</v>
      </c>
      <c r="B423" s="1" t="str">
        <v>2020-01-23</v>
      </c>
      <c r="C423" s="1">
        <v>3.4015</v>
      </c>
    </row>
    <row r="424" spans="1:3" x14ac:dyDescent="0.2">
      <c r="A424" s="1">
        <v>32222</v>
      </c>
      <c r="B424" s="1" t="str">
        <v>2020-01-23</v>
      </c>
      <c r="C424" s="1">
        <v>3.1951000000000001</v>
      </c>
    </row>
    <row r="425" spans="1:3" x14ac:dyDescent="0.2">
      <c r="A425" s="1">
        <v>32360</v>
      </c>
      <c r="B425" s="1" t="str">
        <v>2020-01-23</v>
      </c>
      <c r="C425" s="1">
        <v>3.7233999999999998</v>
      </c>
    </row>
    <row r="426" spans="1:3" x14ac:dyDescent="0.2">
      <c r="A426" s="1">
        <v>147</v>
      </c>
      <c r="B426" s="1" t="str">
        <v>2020-01-23</v>
      </c>
      <c r="C426" s="1">
        <v>3.3902999999999999</v>
      </c>
    </row>
    <row r="427" spans="1:3" x14ac:dyDescent="0.2">
      <c r="A427" s="1">
        <v>72</v>
      </c>
      <c r="B427" s="1" t="str">
        <v>2020-01-23</v>
      </c>
      <c r="C427" s="1">
        <v>3.4016000000000002</v>
      </c>
    </row>
    <row r="428" spans="1:3" x14ac:dyDescent="0.2">
      <c r="A428" s="1">
        <v>90</v>
      </c>
      <c r="B428" s="1" t="str">
        <v>2020-01-23</v>
      </c>
      <c r="C428" s="1">
        <v>3.5562999999999998</v>
      </c>
    </row>
    <row r="429" spans="1:3" x14ac:dyDescent="0.2">
      <c r="A429" s="1">
        <v>83</v>
      </c>
      <c r="B429" s="1" t="str">
        <v>2020-01-23</v>
      </c>
      <c r="C429" s="1">
        <v>4.0004</v>
      </c>
    </row>
    <row r="430" spans="1:3" x14ac:dyDescent="0.2">
      <c r="A430" s="1">
        <v>32081</v>
      </c>
      <c r="B430" s="1" t="str">
        <v>2020-01-23</v>
      </c>
      <c r="C430" s="1">
        <v>3.4211999999999998</v>
      </c>
    </row>
    <row r="431" spans="1:3" x14ac:dyDescent="0.2">
      <c r="A431" s="1">
        <v>176</v>
      </c>
      <c r="B431" s="1" t="str">
        <v>2020-01-23</v>
      </c>
      <c r="C431" s="1">
        <v>3.5562999999999998</v>
      </c>
    </row>
    <row r="432" spans="1:3" x14ac:dyDescent="0.2">
      <c r="A432" s="1">
        <v>32560</v>
      </c>
      <c r="B432" s="1" t="str">
        <v>2020-01-23</v>
      </c>
      <c r="C432" s="1">
        <v>3.4531000000000001</v>
      </c>
    </row>
    <row r="433" spans="1:3" x14ac:dyDescent="0.2">
      <c r="A433" s="1">
        <v>115</v>
      </c>
      <c r="B433" s="1" t="str">
        <v>2020-01-23</v>
      </c>
      <c r="C433" s="1">
        <v>3.4942000000000002</v>
      </c>
    </row>
    <row r="434" spans="1:3" x14ac:dyDescent="0.2">
      <c r="A434" s="1">
        <v>191</v>
      </c>
      <c r="B434" s="1" t="str">
        <v>2020-01-24</v>
      </c>
      <c r="C434" s="1">
        <v>3.4525000000000001</v>
      </c>
    </row>
    <row r="435" spans="1:3" x14ac:dyDescent="0.2">
      <c r="A435" s="1">
        <v>143</v>
      </c>
      <c r="B435" s="1" t="str">
        <v>2020-01-24</v>
      </c>
      <c r="C435" s="1">
        <v>3.0407000000000002</v>
      </c>
    </row>
    <row r="436" spans="1:3" x14ac:dyDescent="0.2">
      <c r="A436" s="1">
        <v>24250</v>
      </c>
      <c r="B436" s="1" t="str">
        <v>2020-01-24</v>
      </c>
      <c r="C436" s="1">
        <v>3.4630000000000001</v>
      </c>
    </row>
    <row r="437" spans="1:3" x14ac:dyDescent="0.2">
      <c r="A437" s="1">
        <v>147</v>
      </c>
      <c r="B437" s="1" t="str">
        <v>2020-01-24</v>
      </c>
      <c r="C437" s="1">
        <v>3.4007999999999998</v>
      </c>
    </row>
    <row r="438" spans="1:3" x14ac:dyDescent="0.2">
      <c r="A438" s="1">
        <v>171</v>
      </c>
      <c r="B438" s="1" t="str">
        <v>2020-01-24</v>
      </c>
      <c r="C438" s="1">
        <v>3.2159</v>
      </c>
    </row>
    <row r="439" spans="1:3" x14ac:dyDescent="0.2">
      <c r="A439" s="1">
        <v>16</v>
      </c>
      <c r="B439" s="1" t="str">
        <v>2020-01-24</v>
      </c>
      <c r="C439" s="1">
        <v>3.39</v>
      </c>
    </row>
    <row r="440" spans="1:3" x14ac:dyDescent="0.2">
      <c r="A440" s="1">
        <v>30250</v>
      </c>
      <c r="B440" s="1" t="str">
        <v>2020-01-24</v>
      </c>
      <c r="C440" s="1">
        <v>3.2467000000000001</v>
      </c>
    </row>
    <row r="441" spans="1:3" x14ac:dyDescent="0.2">
      <c r="A441" s="1">
        <v>32082</v>
      </c>
      <c r="B441" s="1" t="str">
        <v>2020-01-24</v>
      </c>
      <c r="C441" s="1">
        <v>3.3898000000000001</v>
      </c>
    </row>
    <row r="442" spans="1:3" x14ac:dyDescent="0.2">
      <c r="A442" s="1">
        <v>28</v>
      </c>
      <c r="B442" s="1" t="str">
        <v>2020-01-24</v>
      </c>
      <c r="C442" s="1">
        <v>3.3805000000000001</v>
      </c>
    </row>
    <row r="443" spans="1:3" x14ac:dyDescent="0.2">
      <c r="A443" s="1">
        <v>67</v>
      </c>
      <c r="B443" s="1" t="str">
        <v>2020-01-24</v>
      </c>
      <c r="C443" s="1">
        <v>3.3289</v>
      </c>
    </row>
    <row r="444" spans="1:3" x14ac:dyDescent="0.2">
      <c r="A444" s="1">
        <v>101</v>
      </c>
      <c r="B444" s="1" t="str">
        <v>2020-01-24</v>
      </c>
      <c r="C444" s="1">
        <v>3.6591999999999998</v>
      </c>
    </row>
    <row r="445" spans="1:3" x14ac:dyDescent="0.2">
      <c r="A445" s="1">
        <v>37</v>
      </c>
      <c r="B445" s="1" t="str">
        <v>2020-01-24</v>
      </c>
      <c r="C445" s="1">
        <v>3.7526999999999999</v>
      </c>
    </row>
    <row r="446" spans="1:3" x14ac:dyDescent="0.2">
      <c r="A446" s="1">
        <v>102</v>
      </c>
      <c r="B446" s="1" t="str">
        <v>2020-01-24</v>
      </c>
      <c r="C446" s="1">
        <v>3.3496000000000001</v>
      </c>
    </row>
    <row r="447" spans="1:3" x14ac:dyDescent="0.2">
      <c r="A447" s="1">
        <v>32663</v>
      </c>
      <c r="B447" s="1" t="str">
        <v>2020-01-24</v>
      </c>
      <c r="C447" s="1">
        <v>3.4740000000000002</v>
      </c>
    </row>
    <row r="448" spans="1:3" x14ac:dyDescent="0.2">
      <c r="A448" s="1">
        <v>32360</v>
      </c>
      <c r="B448" s="1" t="str">
        <v>2020-01-24</v>
      </c>
      <c r="C448" s="1">
        <v>3.5836999999999999</v>
      </c>
    </row>
    <row r="449" spans="1:3" x14ac:dyDescent="0.2">
      <c r="A449" s="1">
        <v>24</v>
      </c>
      <c r="B449" s="1" t="str">
        <v>2020-01-24</v>
      </c>
      <c r="C449" s="1">
        <v>3.5667</v>
      </c>
    </row>
    <row r="450" spans="1:3" x14ac:dyDescent="0.2">
      <c r="A450" s="1">
        <v>33103</v>
      </c>
      <c r="B450" s="1" t="str">
        <v>2020-01-24</v>
      </c>
      <c r="C450" s="1">
        <v>4.0395000000000003</v>
      </c>
    </row>
    <row r="451" spans="1:3" x14ac:dyDescent="0.2">
      <c r="A451" s="1">
        <v>72</v>
      </c>
      <c r="B451" s="1" t="str">
        <v>2020-01-24</v>
      </c>
      <c r="C451" s="1">
        <v>3.2366999999999999</v>
      </c>
    </row>
    <row r="452" spans="1:3" x14ac:dyDescent="0.2">
      <c r="A452" s="1">
        <v>109</v>
      </c>
      <c r="B452" s="1" t="str">
        <v>2020-01-24</v>
      </c>
      <c r="C452" s="1">
        <v>3.7105999999999999</v>
      </c>
    </row>
    <row r="453" spans="1:3" x14ac:dyDescent="0.2">
      <c r="A453" s="1">
        <v>9250</v>
      </c>
      <c r="B453" s="1" t="str">
        <v>2020-01-24</v>
      </c>
      <c r="C453" s="1">
        <v>3.65</v>
      </c>
    </row>
    <row r="454" spans="1:3" x14ac:dyDescent="0.2">
      <c r="A454" s="1">
        <v>32783</v>
      </c>
      <c r="B454" s="1" t="str">
        <v>2020-01-24</v>
      </c>
      <c r="C454" s="1">
        <v>3.6076999999999999</v>
      </c>
    </row>
    <row r="455" spans="1:3" x14ac:dyDescent="0.2">
      <c r="A455" s="1">
        <v>32081</v>
      </c>
      <c r="B455" s="1" t="str">
        <v>2020-01-24</v>
      </c>
      <c r="C455" s="1">
        <v>3.4211999999999998</v>
      </c>
    </row>
    <row r="456" spans="1:3" x14ac:dyDescent="0.2">
      <c r="A456" s="1">
        <v>136</v>
      </c>
      <c r="B456" s="1" t="str">
        <v>2020-01-24</v>
      </c>
      <c r="C456" s="1">
        <v>3.5667</v>
      </c>
    </row>
    <row r="457" spans="1:3" x14ac:dyDescent="0.2">
      <c r="A457" s="1">
        <v>32121</v>
      </c>
      <c r="B457" s="1" t="str">
        <v>2020-01-24</v>
      </c>
      <c r="C457" s="1">
        <v>3.4624999999999999</v>
      </c>
    </row>
    <row r="458" spans="1:3" x14ac:dyDescent="0.2">
      <c r="A458" s="1">
        <v>49</v>
      </c>
      <c r="B458" s="1" t="str">
        <v>2020-01-24</v>
      </c>
      <c r="C458" s="1">
        <v>2.8454000000000002</v>
      </c>
    </row>
    <row r="459" spans="1:3" x14ac:dyDescent="0.2">
      <c r="A459" s="1">
        <v>30400</v>
      </c>
      <c r="B459" s="1" t="str">
        <v>2020-01-24</v>
      </c>
      <c r="C459" s="1">
        <v>3.1766000000000001</v>
      </c>
    </row>
    <row r="460" spans="1:3" x14ac:dyDescent="0.2">
      <c r="A460" s="1">
        <v>32</v>
      </c>
      <c r="B460" s="1" t="str">
        <v>2020-01-24</v>
      </c>
      <c r="C460" s="1">
        <v>3.4634</v>
      </c>
    </row>
    <row r="461" spans="1:3" x14ac:dyDescent="0.2">
      <c r="A461" s="1">
        <v>196</v>
      </c>
      <c r="B461" s="1" t="str">
        <v>2020-01-24</v>
      </c>
      <c r="C461" s="1">
        <v>3.3912</v>
      </c>
    </row>
    <row r="462" spans="1:3" x14ac:dyDescent="0.2">
      <c r="A462" s="1">
        <v>32260</v>
      </c>
      <c r="B462" s="1" t="str">
        <v>2020-01-24</v>
      </c>
      <c r="C462" s="1">
        <v>3.4011</v>
      </c>
    </row>
    <row r="463" spans="1:3" x14ac:dyDescent="0.2">
      <c r="A463" s="1">
        <v>59</v>
      </c>
      <c r="B463" s="1" t="str">
        <v>2020-01-24</v>
      </c>
      <c r="C463" s="1">
        <v>3.3595999999999999</v>
      </c>
    </row>
    <row r="464" spans="1:3" x14ac:dyDescent="0.2">
      <c r="A464" s="1">
        <v>139</v>
      </c>
      <c r="B464" s="1" t="str">
        <v>2020-01-24</v>
      </c>
      <c r="C464" s="1">
        <v>3.8043</v>
      </c>
    </row>
    <row r="465" spans="1:3" x14ac:dyDescent="0.2">
      <c r="A465" s="1">
        <v>31</v>
      </c>
      <c r="B465" s="1" t="str">
        <v>2020-01-24</v>
      </c>
      <c r="C465" s="1">
        <v>3.4</v>
      </c>
    </row>
    <row r="466" spans="1:3" x14ac:dyDescent="0.2">
      <c r="A466" s="1">
        <v>1</v>
      </c>
      <c r="B466" s="1" t="str">
        <v>2020-01-24</v>
      </c>
      <c r="C466" s="1">
        <v>3.6080999999999999</v>
      </c>
    </row>
    <row r="467" spans="1:3" x14ac:dyDescent="0.2">
      <c r="A467" s="1">
        <v>150</v>
      </c>
      <c r="B467" s="1" t="str">
        <v>2020-01-24</v>
      </c>
      <c r="C467" s="1">
        <v>4.1417999999999999</v>
      </c>
    </row>
    <row r="468" spans="1:3" x14ac:dyDescent="0.2">
      <c r="A468" s="1">
        <v>33003</v>
      </c>
      <c r="B468" s="1" t="str">
        <v>2020-01-24</v>
      </c>
      <c r="C468" s="1">
        <v>3</v>
      </c>
    </row>
    <row r="469" spans="1:3" x14ac:dyDescent="0.2">
      <c r="A469" s="1">
        <v>30300</v>
      </c>
      <c r="B469" s="1" t="str">
        <v>2020-01-24</v>
      </c>
      <c r="C469" s="1">
        <v>3.5663999999999998</v>
      </c>
    </row>
    <row r="470" spans="1:3" x14ac:dyDescent="0.2">
      <c r="A470" s="1">
        <v>13250</v>
      </c>
      <c r="B470" s="1" t="str">
        <v>2020-01-24</v>
      </c>
      <c r="C470" s="1">
        <v>2.8359000000000001</v>
      </c>
    </row>
    <row r="471" spans="1:3" x14ac:dyDescent="0.2">
      <c r="A471" s="1">
        <v>187</v>
      </c>
      <c r="B471" s="1" t="str">
        <v>2020-01-24</v>
      </c>
      <c r="C471" s="1">
        <v>3.5457999999999998</v>
      </c>
    </row>
    <row r="472" spans="1:3" x14ac:dyDescent="0.2">
      <c r="A472" s="1">
        <v>146</v>
      </c>
      <c r="B472" s="1" t="str">
        <v>2020-01-24</v>
      </c>
      <c r="C472" s="1">
        <v>3.5457999999999998</v>
      </c>
    </row>
    <row r="473" spans="1:3" x14ac:dyDescent="0.2">
      <c r="A473" s="1">
        <v>32200</v>
      </c>
      <c r="B473" s="1" t="str">
        <v>2020-01-24</v>
      </c>
      <c r="C473" s="1">
        <v>3.0196000000000001</v>
      </c>
    </row>
    <row r="474" spans="1:3" x14ac:dyDescent="0.2">
      <c r="A474" s="1">
        <v>33083</v>
      </c>
      <c r="B474" s="1" t="str">
        <v>2020-01-24</v>
      </c>
      <c r="C474" s="1">
        <v>3.7801999999999998</v>
      </c>
    </row>
    <row r="475" spans="1:3" x14ac:dyDescent="0.2">
      <c r="A475" s="1">
        <v>110</v>
      </c>
      <c r="B475" s="1" t="str">
        <v>2020-01-24</v>
      </c>
      <c r="C475" s="1">
        <v>3.5</v>
      </c>
    </row>
    <row r="476" spans="1:3" x14ac:dyDescent="0.2">
      <c r="A476" s="1">
        <v>94</v>
      </c>
      <c r="B476" s="1" t="str">
        <v>2020-01-24</v>
      </c>
      <c r="C476" s="1">
        <v>3.8</v>
      </c>
    </row>
    <row r="477" spans="1:3" x14ac:dyDescent="0.2">
      <c r="A477" s="1">
        <v>98</v>
      </c>
      <c r="B477" s="1" t="str">
        <v>2020-01-24</v>
      </c>
      <c r="C477" s="1">
        <v>3.3180999999999998</v>
      </c>
    </row>
    <row r="478" spans="1:3" x14ac:dyDescent="0.2">
      <c r="A478" s="1">
        <v>32583</v>
      </c>
      <c r="B478" s="1" t="str">
        <v>2020-01-24</v>
      </c>
      <c r="C478" s="1">
        <v>3.5</v>
      </c>
    </row>
    <row r="479" spans="1:3" x14ac:dyDescent="0.2">
      <c r="A479" s="1">
        <v>20</v>
      </c>
      <c r="B479" s="1" t="str">
        <v>2020-01-24</v>
      </c>
      <c r="C479" s="1">
        <v>3.5666000000000002</v>
      </c>
    </row>
    <row r="480" spans="1:3" x14ac:dyDescent="0.2">
      <c r="A480" s="1">
        <v>176</v>
      </c>
      <c r="B480" s="1" t="str">
        <v>2020-01-24</v>
      </c>
      <c r="C480" s="1">
        <v>3.4321000000000002</v>
      </c>
    </row>
    <row r="481" spans="1:3" x14ac:dyDescent="0.2">
      <c r="A481" s="1">
        <v>78</v>
      </c>
      <c r="B481" s="1" t="str">
        <v>2020-01-24</v>
      </c>
      <c r="C481" s="1">
        <v>3.5047000000000001</v>
      </c>
    </row>
    <row r="482" spans="1:3" x14ac:dyDescent="0.2">
      <c r="A482" s="1">
        <v>33123</v>
      </c>
      <c r="B482" s="1" t="str">
        <v>2020-01-24</v>
      </c>
      <c r="C482" s="1">
        <v>3.5972</v>
      </c>
    </row>
    <row r="483" spans="1:3" x14ac:dyDescent="0.2">
      <c r="A483" s="1">
        <v>81</v>
      </c>
      <c r="B483" s="1" t="str">
        <v>2020-01-24</v>
      </c>
      <c r="C483" s="1">
        <v>3.6183999999999998</v>
      </c>
    </row>
    <row r="484" spans="1:3" x14ac:dyDescent="0.2">
      <c r="A484" s="1">
        <v>49</v>
      </c>
      <c r="B484" s="1" t="str">
        <v>2020-01-27</v>
      </c>
      <c r="C484" s="1">
        <v>2.8043</v>
      </c>
    </row>
    <row r="485" spans="1:3" x14ac:dyDescent="0.2">
      <c r="A485" s="1">
        <v>147</v>
      </c>
      <c r="B485" s="1" t="str">
        <v>2020-01-27</v>
      </c>
      <c r="C485" s="1">
        <v>3.4007999999999998</v>
      </c>
    </row>
    <row r="486" spans="1:3" x14ac:dyDescent="0.2">
      <c r="A486" s="1">
        <v>1</v>
      </c>
      <c r="B486" s="1" t="str">
        <v>2020-01-27</v>
      </c>
      <c r="C486" s="1">
        <v>3.5043000000000002</v>
      </c>
    </row>
    <row r="487" spans="1:3" x14ac:dyDescent="0.2">
      <c r="A487" s="1">
        <v>32180</v>
      </c>
      <c r="B487" s="1" t="str">
        <v>2020-01-27</v>
      </c>
      <c r="C487" s="1">
        <v>3.4085999999999999</v>
      </c>
    </row>
    <row r="488" spans="1:3" x14ac:dyDescent="0.2">
      <c r="A488" s="1">
        <v>176</v>
      </c>
      <c r="B488" s="1" t="str">
        <v>2020-01-27</v>
      </c>
      <c r="C488" s="1">
        <v>3.4321000000000002</v>
      </c>
    </row>
    <row r="489" spans="1:3" x14ac:dyDescent="0.2">
      <c r="A489" s="1">
        <v>32863</v>
      </c>
      <c r="B489" s="1" t="str">
        <v>2020-01-27</v>
      </c>
      <c r="C489" s="1">
        <v>3.3178999999999998</v>
      </c>
    </row>
    <row r="490" spans="1:3" x14ac:dyDescent="0.2">
      <c r="A490" s="1">
        <v>156</v>
      </c>
      <c r="B490" s="1" t="str">
        <v>2020-01-27</v>
      </c>
      <c r="C490" s="1">
        <v>3.7315</v>
      </c>
    </row>
    <row r="491" spans="1:3" x14ac:dyDescent="0.2">
      <c r="A491" s="1">
        <v>33103</v>
      </c>
      <c r="B491" s="1" t="str">
        <v>2020-01-27</v>
      </c>
      <c r="C491" s="1">
        <v>4.0395000000000003</v>
      </c>
    </row>
    <row r="492" spans="1:3" x14ac:dyDescent="0.2">
      <c r="A492" s="1">
        <v>143</v>
      </c>
      <c r="B492" s="1" t="str">
        <v>2020-01-27</v>
      </c>
      <c r="C492" s="1">
        <v>2.9790000000000001</v>
      </c>
    </row>
    <row r="493" spans="1:3" x14ac:dyDescent="0.2">
      <c r="A493" s="1">
        <v>32582</v>
      </c>
      <c r="B493" s="1" t="str">
        <v>2020-01-27</v>
      </c>
      <c r="C493" s="1">
        <v>3.4842</v>
      </c>
    </row>
    <row r="494" spans="1:3" x14ac:dyDescent="0.2">
      <c r="A494" s="1">
        <v>32724</v>
      </c>
      <c r="B494" s="1" t="str">
        <v>2020-01-27</v>
      </c>
      <c r="C494" s="1">
        <v>3.3708</v>
      </c>
    </row>
    <row r="495" spans="1:3" x14ac:dyDescent="0.2">
      <c r="A495" s="1">
        <v>32222</v>
      </c>
      <c r="B495" s="1" t="str">
        <v>2020-01-27</v>
      </c>
      <c r="C495" s="1">
        <v>3.2050999999999998</v>
      </c>
    </row>
    <row r="496" spans="1:3" x14ac:dyDescent="0.2">
      <c r="A496" s="1">
        <v>177</v>
      </c>
      <c r="B496" s="1" t="str">
        <v>2020-01-27</v>
      </c>
      <c r="C496" s="1">
        <v>3.7315999999999998</v>
      </c>
    </row>
    <row r="497" spans="1:3" x14ac:dyDescent="0.2">
      <c r="A497" s="1">
        <v>157</v>
      </c>
      <c r="B497" s="1" t="str">
        <v>2020-01-27</v>
      </c>
      <c r="C497" s="1">
        <v>3.7</v>
      </c>
    </row>
    <row r="498" spans="1:3" x14ac:dyDescent="0.2">
      <c r="A498" s="1">
        <v>132</v>
      </c>
      <c r="B498" s="1" t="str">
        <v>2020-01-27</v>
      </c>
      <c r="C498" s="1">
        <v>3.1539999999999999</v>
      </c>
    </row>
    <row r="499" spans="1:3" x14ac:dyDescent="0.2">
      <c r="A499" s="1">
        <v>32421</v>
      </c>
      <c r="B499" s="1" t="str">
        <v>2020-01-27</v>
      </c>
      <c r="C499" s="1">
        <v>3.3893</v>
      </c>
    </row>
    <row r="500" spans="1:3" x14ac:dyDescent="0.2">
      <c r="A500" s="1">
        <v>178</v>
      </c>
      <c r="B500" s="1" t="str">
        <v>2020-01-27</v>
      </c>
      <c r="C500" s="1">
        <v>3.4641999999999999</v>
      </c>
    </row>
    <row r="501" spans="1:3" x14ac:dyDescent="0.2">
      <c r="A501" s="1">
        <v>182</v>
      </c>
      <c r="B501" s="1" t="str">
        <v>2020-01-28</v>
      </c>
      <c r="C501" s="1">
        <v>3.6385000000000001</v>
      </c>
    </row>
    <row r="502" spans="1:3" x14ac:dyDescent="0.2">
      <c r="A502" s="1">
        <v>32420</v>
      </c>
      <c r="B502" s="1" t="str">
        <v>2020-01-28</v>
      </c>
      <c r="C502" s="1">
        <v>4.0377000000000001</v>
      </c>
    </row>
    <row r="503" spans="1:3" x14ac:dyDescent="0.2">
      <c r="A503" s="1">
        <v>176</v>
      </c>
      <c r="B503" s="1" t="str">
        <v>2020-01-28</v>
      </c>
      <c r="C503" s="1">
        <v>3.3</v>
      </c>
    </row>
    <row r="504" spans="1:3" x14ac:dyDescent="0.2">
      <c r="A504" s="1">
        <v>32121</v>
      </c>
      <c r="B504" s="1" t="str">
        <v>2020-01-28</v>
      </c>
      <c r="C504" s="1">
        <v>3.7827000000000002</v>
      </c>
    </row>
    <row r="505" spans="1:3" x14ac:dyDescent="0.2">
      <c r="A505" s="1">
        <v>1</v>
      </c>
      <c r="B505" s="1" t="str">
        <v>2020-01-28</v>
      </c>
      <c r="C505" s="1">
        <v>3.5044</v>
      </c>
    </row>
    <row r="506" spans="1:3" x14ac:dyDescent="0.2">
      <c r="A506" s="1">
        <v>32582</v>
      </c>
      <c r="B506" s="1" t="str">
        <v>2020-01-28</v>
      </c>
      <c r="C506" s="1">
        <v>3.4842</v>
      </c>
    </row>
    <row r="507" spans="1:3" x14ac:dyDescent="0.2">
      <c r="A507" s="1">
        <v>12250</v>
      </c>
      <c r="B507" s="1" t="str">
        <v>2020-01-28</v>
      </c>
      <c r="C507" s="1">
        <v>3.5</v>
      </c>
    </row>
    <row r="508" spans="1:3" x14ac:dyDescent="0.2">
      <c r="A508" s="1">
        <v>32863</v>
      </c>
      <c r="B508" s="1" t="str">
        <v>2020-01-29</v>
      </c>
      <c r="C508" s="1">
        <v>3.3178999999999998</v>
      </c>
    </row>
    <row r="509" spans="1:3" x14ac:dyDescent="0.2">
      <c r="A509" s="1">
        <v>32320</v>
      </c>
      <c r="B509" s="1" t="str">
        <v>2020-01-29</v>
      </c>
      <c r="C509" s="1">
        <v>3.4014000000000002</v>
      </c>
    </row>
    <row r="510" spans="1:3" x14ac:dyDescent="0.2">
      <c r="A510" s="1">
        <v>33103</v>
      </c>
      <c r="B510" s="1" t="str">
        <v>2020-01-29</v>
      </c>
      <c r="C510" s="1">
        <v>4.0347999999999997</v>
      </c>
    </row>
    <row r="511" spans="1:3" x14ac:dyDescent="0.2">
      <c r="A511" s="1">
        <v>147</v>
      </c>
      <c r="B511" s="1" t="str">
        <v>2020-01-29</v>
      </c>
      <c r="C511" s="1">
        <v>3.4007999999999998</v>
      </c>
    </row>
    <row r="512" spans="1:3" x14ac:dyDescent="0.2">
      <c r="A512" s="1">
        <v>32040</v>
      </c>
      <c r="B512" s="1" t="str">
        <v>2020-01-29</v>
      </c>
      <c r="C512" s="1">
        <v>3.4106000000000001</v>
      </c>
    </row>
    <row r="513" spans="1:3" x14ac:dyDescent="0.2">
      <c r="A513" s="1">
        <v>32803</v>
      </c>
      <c r="B513" s="1" t="str">
        <v>2020-01-29</v>
      </c>
      <c r="C513" s="1">
        <v>3.0718000000000001</v>
      </c>
    </row>
    <row r="514" spans="1:3" x14ac:dyDescent="0.2">
      <c r="A514" s="1">
        <v>72</v>
      </c>
      <c r="B514" s="1" t="str">
        <v>2020-01-29</v>
      </c>
      <c r="C514" s="1">
        <v>3.1337000000000002</v>
      </c>
    </row>
    <row r="515" spans="1:3" x14ac:dyDescent="0.2">
      <c r="A515" s="1">
        <v>33023</v>
      </c>
      <c r="B515" s="1" t="str">
        <v>2020-01-29</v>
      </c>
      <c r="C515" s="1">
        <v>3.7</v>
      </c>
    </row>
    <row r="516" spans="1:3" x14ac:dyDescent="0.2">
      <c r="A516" s="1">
        <v>32724</v>
      </c>
      <c r="B516" s="1" t="str">
        <v>2020-01-29</v>
      </c>
      <c r="C516" s="1">
        <v>3.5668000000000002</v>
      </c>
    </row>
    <row r="517" spans="1:3" x14ac:dyDescent="0.2">
      <c r="A517" s="1">
        <v>33043</v>
      </c>
      <c r="B517" s="1" t="str">
        <v>2020-01-29</v>
      </c>
      <c r="C517" s="1">
        <v>3.2158000000000002</v>
      </c>
    </row>
    <row r="518" spans="1:3" x14ac:dyDescent="0.2">
      <c r="A518" s="1">
        <v>147</v>
      </c>
      <c r="B518" s="1" t="str">
        <v>2020-01-30</v>
      </c>
      <c r="C518" s="1">
        <v>3.37</v>
      </c>
    </row>
    <row r="519" spans="1:3" x14ac:dyDescent="0.2">
      <c r="A519" s="1">
        <v>115</v>
      </c>
      <c r="B519" s="1" t="str">
        <v>2020-01-30</v>
      </c>
      <c r="C519" s="1">
        <v>3.3908999999999998</v>
      </c>
    </row>
    <row r="520" spans="1:3" x14ac:dyDescent="0.2">
      <c r="A520" s="1">
        <v>33023</v>
      </c>
      <c r="B520" s="1" t="str">
        <v>2020-01-30</v>
      </c>
      <c r="C520" s="1">
        <v>3.7</v>
      </c>
    </row>
    <row r="521" spans="1:3" x14ac:dyDescent="0.2">
      <c r="A521" s="1">
        <v>55</v>
      </c>
      <c r="B521" s="1" t="str">
        <v>2020-01-30</v>
      </c>
      <c r="C521" s="1">
        <v>3.3294000000000001</v>
      </c>
    </row>
    <row r="522" spans="1:3" x14ac:dyDescent="0.2">
      <c r="A522" s="1">
        <v>33103</v>
      </c>
      <c r="B522" s="1" t="str">
        <v>2020-01-30</v>
      </c>
      <c r="C522" s="1">
        <v>4.0347999999999997</v>
      </c>
    </row>
    <row r="523" spans="1:3" x14ac:dyDescent="0.2">
      <c r="A523" s="1">
        <v>67</v>
      </c>
      <c r="B523" s="1" t="str">
        <v>2020-01-30</v>
      </c>
      <c r="C523" s="1">
        <v>3.3289</v>
      </c>
    </row>
    <row r="524" spans="1:3" x14ac:dyDescent="0.2">
      <c r="A524" s="1">
        <v>33125</v>
      </c>
      <c r="B524" s="1" t="str">
        <v>2020-01-30</v>
      </c>
      <c r="C524" s="1">
        <v>3.1644000000000001</v>
      </c>
    </row>
    <row r="525" spans="1:3" x14ac:dyDescent="0.2">
      <c r="A525" s="1">
        <v>32082</v>
      </c>
      <c r="B525" s="1" t="str">
        <v>2020-01-30</v>
      </c>
      <c r="C525" s="1">
        <v>3.431</v>
      </c>
    </row>
    <row r="526" spans="1:3" x14ac:dyDescent="0.2">
      <c r="A526" s="1">
        <v>32783</v>
      </c>
      <c r="B526" s="1" t="str">
        <v>2020-01-30</v>
      </c>
      <c r="C526" s="1">
        <v>3.6697000000000002</v>
      </c>
    </row>
    <row r="527" spans="1:3" x14ac:dyDescent="0.2">
      <c r="A527" s="1">
        <v>1</v>
      </c>
      <c r="B527" s="1" t="str">
        <v>2020-01-30</v>
      </c>
      <c r="C527" s="1">
        <v>3.5044</v>
      </c>
    </row>
    <row r="528" spans="1:3" x14ac:dyDescent="0.2">
      <c r="A528" s="1">
        <v>30400</v>
      </c>
      <c r="B528" s="1" t="str">
        <v>2020-01-30</v>
      </c>
      <c r="C528" s="1">
        <v>3.1331000000000002</v>
      </c>
    </row>
    <row r="529" spans="1:3" x14ac:dyDescent="0.2">
      <c r="A529" s="1">
        <v>150</v>
      </c>
      <c r="B529" s="1" t="str">
        <v>2020-01-30</v>
      </c>
      <c r="C529" s="1">
        <v>4.0384000000000002</v>
      </c>
    </row>
    <row r="530" spans="1:3" x14ac:dyDescent="0.2">
      <c r="A530" s="1">
        <v>32260</v>
      </c>
      <c r="B530" s="1" t="str">
        <v>2020-01-30</v>
      </c>
      <c r="C530" s="1">
        <v>3.4114</v>
      </c>
    </row>
    <row r="531" spans="1:3" x14ac:dyDescent="0.2">
      <c r="A531" s="1">
        <v>72</v>
      </c>
      <c r="B531" s="1" t="str">
        <v>2020-01-30</v>
      </c>
      <c r="C531" s="1">
        <v>3.1027999999999998</v>
      </c>
    </row>
    <row r="532" spans="1:3" x14ac:dyDescent="0.2">
      <c r="A532" s="1">
        <v>139</v>
      </c>
      <c r="B532" s="1" t="str">
        <v>2020-01-30</v>
      </c>
      <c r="C532" s="1">
        <v>3.6181999999999999</v>
      </c>
    </row>
    <row r="533" spans="1:3" x14ac:dyDescent="0.2">
      <c r="A533" s="1">
        <v>32200</v>
      </c>
      <c r="B533" s="1" t="str">
        <v>2020-01-30</v>
      </c>
      <c r="C533" s="1">
        <v>2.7732000000000001</v>
      </c>
    </row>
    <row r="534" spans="1:3" x14ac:dyDescent="0.2">
      <c r="A534" s="1">
        <v>1</v>
      </c>
      <c r="B534" s="1" t="str">
        <v>2020-01-31</v>
      </c>
      <c r="C534" s="1">
        <v>3.5044</v>
      </c>
    </row>
    <row r="535" spans="1:3" x14ac:dyDescent="0.2">
      <c r="A535" s="1">
        <v>67</v>
      </c>
      <c r="B535" s="1" t="str">
        <v>2020-01-31</v>
      </c>
      <c r="C535" s="1">
        <v>3.2875000000000001</v>
      </c>
    </row>
    <row r="536" spans="1:3" x14ac:dyDescent="0.2">
      <c r="A536" s="1">
        <v>191</v>
      </c>
      <c r="B536" s="1" t="str">
        <v>2020-01-31</v>
      </c>
      <c r="C536" s="1">
        <v>3.2360000000000002</v>
      </c>
    </row>
    <row r="537" spans="1:3" x14ac:dyDescent="0.2">
      <c r="A537" s="1">
        <v>32</v>
      </c>
      <c r="B537" s="1" t="str">
        <v>2020-01-31</v>
      </c>
      <c r="C537" s="1">
        <v>3.4994999999999998</v>
      </c>
    </row>
    <row r="538" spans="1:3" x14ac:dyDescent="0.2">
      <c r="A538" s="1">
        <v>16</v>
      </c>
      <c r="B538" s="1" t="str">
        <v>2020-01-31</v>
      </c>
      <c r="C538" s="1">
        <v>3.39</v>
      </c>
    </row>
    <row r="539" spans="1:3" x14ac:dyDescent="0.2">
      <c r="A539" s="1">
        <v>32480</v>
      </c>
      <c r="B539" s="1" t="str">
        <v>2020-01-31</v>
      </c>
      <c r="C539" s="1">
        <v>3.0310999999999999</v>
      </c>
    </row>
    <row r="540" spans="1:3" x14ac:dyDescent="0.2">
      <c r="A540" s="1">
        <v>147</v>
      </c>
      <c r="B540" s="1" t="str">
        <v>2020-01-31</v>
      </c>
      <c r="C540" s="1">
        <v>3.2564000000000002</v>
      </c>
    </row>
    <row r="541" spans="1:3" x14ac:dyDescent="0.2">
      <c r="A541" s="1">
        <v>102</v>
      </c>
      <c r="B541" s="1" t="str">
        <v>2020-01-31</v>
      </c>
      <c r="C541" s="1">
        <v>3.1747000000000001</v>
      </c>
    </row>
    <row r="542" spans="1:3" x14ac:dyDescent="0.2">
      <c r="A542" s="1">
        <v>32724</v>
      </c>
      <c r="B542" s="1" t="str">
        <v>2020-01-31</v>
      </c>
      <c r="C542" s="1">
        <v>3.3502000000000001</v>
      </c>
    </row>
    <row r="543" spans="1:3" x14ac:dyDescent="0.2">
      <c r="A543" s="1">
        <v>32081</v>
      </c>
      <c r="B543" s="1" t="str">
        <v>2020-01-31</v>
      </c>
      <c r="C543" s="1">
        <v>3.3079000000000001</v>
      </c>
    </row>
    <row r="544" spans="1:3" x14ac:dyDescent="0.2">
      <c r="A544" s="1">
        <v>32260</v>
      </c>
      <c r="B544" s="1" t="str">
        <v>2020-01-31</v>
      </c>
      <c r="C544" s="1">
        <v>3.3496999999999999</v>
      </c>
    </row>
    <row r="545" spans="1:3" x14ac:dyDescent="0.2">
      <c r="A545" s="1">
        <v>13250</v>
      </c>
      <c r="B545" s="1" t="str">
        <v>2020-01-31</v>
      </c>
      <c r="C545" s="1">
        <v>2.7538</v>
      </c>
    </row>
    <row r="546" spans="1:3" x14ac:dyDescent="0.2">
      <c r="A546" s="1">
        <v>32883</v>
      </c>
      <c r="B546" s="1" t="str">
        <v>2020-01-31</v>
      </c>
      <c r="C546" s="1">
        <v>3.3593000000000002</v>
      </c>
    </row>
    <row r="547" spans="1:3" x14ac:dyDescent="0.2">
      <c r="A547" s="1">
        <v>156</v>
      </c>
      <c r="B547" s="1" t="str">
        <v>2020-01-31</v>
      </c>
      <c r="C547" s="1">
        <v>3.5768</v>
      </c>
    </row>
    <row r="548" spans="1:3" x14ac:dyDescent="0.2">
      <c r="A548" s="1">
        <v>31</v>
      </c>
      <c r="B548" s="1" t="str">
        <v>2020-01-31</v>
      </c>
      <c r="C548" s="1">
        <v>3.4</v>
      </c>
    </row>
    <row r="549" spans="1:3" x14ac:dyDescent="0.2">
      <c r="A549" s="1">
        <v>171</v>
      </c>
      <c r="B549" s="1" t="str">
        <v>2020-01-31</v>
      </c>
      <c r="C549" s="1">
        <v>3.1953</v>
      </c>
    </row>
    <row r="550" spans="1:3" x14ac:dyDescent="0.2">
      <c r="A550" s="1">
        <v>24</v>
      </c>
      <c r="B550" s="1" t="str">
        <v>2020-01-31</v>
      </c>
      <c r="C550" s="1">
        <v>3.4220999999999999</v>
      </c>
    </row>
    <row r="551" spans="1:3" x14ac:dyDescent="0.2">
      <c r="A551" s="1">
        <v>37</v>
      </c>
      <c r="B551" s="1" t="str">
        <v>2020-01-31</v>
      </c>
      <c r="C551" s="1">
        <v>3.7526999999999999</v>
      </c>
    </row>
    <row r="552" spans="1:3" x14ac:dyDescent="0.2">
      <c r="A552" s="1">
        <v>72</v>
      </c>
      <c r="B552" s="1" t="str">
        <v>2020-01-31</v>
      </c>
      <c r="C552" s="1">
        <v>3.2056</v>
      </c>
    </row>
    <row r="553" spans="1:3" x14ac:dyDescent="0.2">
      <c r="A553" s="1">
        <v>30400</v>
      </c>
      <c r="B553" s="1" t="str">
        <v>2020-01-31</v>
      </c>
      <c r="C553" s="1">
        <v>3.1671999999999998</v>
      </c>
    </row>
    <row r="554" spans="1:3" x14ac:dyDescent="0.2">
      <c r="A554" s="1">
        <v>32863</v>
      </c>
      <c r="B554" s="1" t="str">
        <v>2020-01-31</v>
      </c>
      <c r="C554" s="1">
        <v>3.3178999999999998</v>
      </c>
    </row>
    <row r="555" spans="1:3" x14ac:dyDescent="0.2">
      <c r="A555" s="1">
        <v>20</v>
      </c>
      <c r="B555" s="1" t="str">
        <v>2020-01-31</v>
      </c>
      <c r="C555" s="1">
        <v>2.9998</v>
      </c>
    </row>
    <row r="556" spans="1:3" x14ac:dyDescent="0.2">
      <c r="A556" s="1">
        <v>10</v>
      </c>
      <c r="B556" s="1" t="str">
        <v>2020-01-31</v>
      </c>
      <c r="C556" s="1">
        <v>3.2570000000000001</v>
      </c>
    </row>
    <row r="557" spans="1:3" x14ac:dyDescent="0.2">
      <c r="A557" s="1">
        <v>109</v>
      </c>
      <c r="B557" s="1" t="str">
        <v>2020-01-31</v>
      </c>
      <c r="C557" s="1">
        <v>3.3498000000000001</v>
      </c>
    </row>
    <row r="558" spans="1:3" x14ac:dyDescent="0.2">
      <c r="A558" s="1">
        <v>30250</v>
      </c>
      <c r="B558" s="1" t="str">
        <v>2020-01-31</v>
      </c>
      <c r="C558" s="1">
        <v>3.1023999999999998</v>
      </c>
    </row>
    <row r="559" spans="1:3" x14ac:dyDescent="0.2">
      <c r="A559" s="1">
        <v>32783</v>
      </c>
      <c r="B559" s="1" t="str">
        <v>2020-01-31</v>
      </c>
      <c r="C559" s="1">
        <v>3.6698</v>
      </c>
    </row>
    <row r="560" spans="1:3" x14ac:dyDescent="0.2">
      <c r="A560" s="1">
        <v>49</v>
      </c>
      <c r="B560" s="1" t="str">
        <v>2020-01-31</v>
      </c>
      <c r="C560" s="1">
        <v>2.9173</v>
      </c>
    </row>
    <row r="561" spans="1:3" x14ac:dyDescent="0.2">
      <c r="A561" s="1">
        <v>99</v>
      </c>
      <c r="B561" s="1" t="str">
        <v>2020-01-31</v>
      </c>
      <c r="C561" s="1">
        <v>3.4424999999999999</v>
      </c>
    </row>
    <row r="562" spans="1:3" x14ac:dyDescent="0.2">
      <c r="A562" s="1">
        <v>59</v>
      </c>
      <c r="B562" s="1" t="str">
        <v>2020-01-31</v>
      </c>
      <c r="C562" s="1">
        <v>3.1949999999999998</v>
      </c>
    </row>
    <row r="563" spans="1:3" x14ac:dyDescent="0.2">
      <c r="A563" s="1">
        <v>68</v>
      </c>
      <c r="B563" s="1" t="str">
        <v>2020-01-31</v>
      </c>
      <c r="C563" s="1">
        <v>3.1124999999999998</v>
      </c>
    </row>
    <row r="564" spans="1:3" x14ac:dyDescent="0.2">
      <c r="A564" s="1">
        <v>94</v>
      </c>
      <c r="B564" s="1" t="str">
        <v>2020-01-31</v>
      </c>
      <c r="C564" s="1">
        <v>3.8</v>
      </c>
    </row>
    <row r="565" spans="1:3" x14ac:dyDescent="0.2">
      <c r="A565" s="1">
        <v>196</v>
      </c>
      <c r="B565" s="1" t="str">
        <v>2020-01-31</v>
      </c>
      <c r="C565" s="1">
        <v>3.2469000000000001</v>
      </c>
    </row>
    <row r="566" spans="1:3" x14ac:dyDescent="0.2">
      <c r="A566" s="1">
        <v>32121</v>
      </c>
      <c r="B566" s="1" t="str">
        <v>2020-01-31</v>
      </c>
      <c r="C566" s="1">
        <v>3.1530999999999998</v>
      </c>
    </row>
    <row r="567" spans="1:3" x14ac:dyDescent="0.2">
      <c r="A567" s="1">
        <v>32582</v>
      </c>
      <c r="B567" s="1" t="str">
        <v>2020-01-31</v>
      </c>
      <c r="C567" s="1">
        <v>3.2469999999999999</v>
      </c>
    </row>
    <row r="568" spans="1:3" x14ac:dyDescent="0.2">
      <c r="A568" s="1">
        <v>32082</v>
      </c>
      <c r="B568" s="1" t="str">
        <v>2020-01-31</v>
      </c>
      <c r="C568" s="1">
        <v>3.431</v>
      </c>
    </row>
    <row r="569" spans="1:3" x14ac:dyDescent="0.2">
      <c r="A569" s="1">
        <v>90</v>
      </c>
      <c r="B569" s="1" t="str">
        <v>2020-01-31</v>
      </c>
      <c r="C569" s="1">
        <v>3.5666000000000002</v>
      </c>
    </row>
    <row r="570" spans="1:3" x14ac:dyDescent="0.2">
      <c r="A570" s="1">
        <v>32180</v>
      </c>
      <c r="B570" s="1" t="str">
        <v>2020-01-31</v>
      </c>
      <c r="C570" s="1">
        <v>3.2486000000000002</v>
      </c>
    </row>
    <row r="571" spans="1:3" x14ac:dyDescent="0.2">
      <c r="A571" s="1">
        <v>136</v>
      </c>
      <c r="B571" s="1" t="str">
        <v>2020-01-31</v>
      </c>
      <c r="C571" s="1">
        <v>3.3292999999999999</v>
      </c>
    </row>
    <row r="572" spans="1:3" x14ac:dyDescent="0.2">
      <c r="A572" s="1">
        <v>33125</v>
      </c>
      <c r="B572" s="1" t="str">
        <v>2020-01-31</v>
      </c>
      <c r="C572" s="1">
        <v>3.1128999999999998</v>
      </c>
    </row>
    <row r="573" spans="1:3" x14ac:dyDescent="0.2">
      <c r="A573" s="1">
        <v>32583</v>
      </c>
      <c r="B573" s="1" t="str">
        <v>2020-01-31</v>
      </c>
      <c r="C573" s="1">
        <v>3.4</v>
      </c>
    </row>
    <row r="574" spans="1:3" x14ac:dyDescent="0.2">
      <c r="A574" s="1">
        <v>98</v>
      </c>
      <c r="B574" s="1" t="str">
        <v>2020-01-31</v>
      </c>
      <c r="C574" s="1">
        <v>3.2153999999999998</v>
      </c>
    </row>
    <row r="575" spans="1:3" x14ac:dyDescent="0.2">
      <c r="A575" s="1">
        <v>101</v>
      </c>
      <c r="B575" s="1" t="str">
        <v>2020-01-31</v>
      </c>
      <c r="C575" s="1">
        <v>3.6777000000000002</v>
      </c>
    </row>
    <row r="576" spans="1:3" x14ac:dyDescent="0.2">
      <c r="A576" s="1">
        <v>53</v>
      </c>
      <c r="B576" s="1" t="str">
        <v>2020-01-31</v>
      </c>
      <c r="C576" s="1">
        <v>3.2464</v>
      </c>
    </row>
    <row r="577" spans="1:3" x14ac:dyDescent="0.2">
      <c r="A577" s="1">
        <v>30300</v>
      </c>
      <c r="B577" s="1" t="str">
        <v>2020-01-31</v>
      </c>
      <c r="C577" s="1">
        <v>3.3083</v>
      </c>
    </row>
    <row r="578" spans="1:3" x14ac:dyDescent="0.2">
      <c r="A578" s="1">
        <v>78</v>
      </c>
      <c r="B578" s="1" t="str">
        <v>2020-01-31</v>
      </c>
      <c r="C578" s="1">
        <v>3.4428000000000001</v>
      </c>
    </row>
    <row r="579" spans="1:3" x14ac:dyDescent="0.2">
      <c r="A579" s="1">
        <v>32340</v>
      </c>
      <c r="B579" s="1" t="str">
        <v>2020-01-31</v>
      </c>
      <c r="C579" s="1">
        <v>3.2667999999999999</v>
      </c>
    </row>
    <row r="580" spans="1:3" x14ac:dyDescent="0.2">
      <c r="A580" s="1">
        <v>146</v>
      </c>
      <c r="B580" s="1" t="str">
        <v>2020-01-31</v>
      </c>
      <c r="C580" s="1">
        <v>3.4013</v>
      </c>
    </row>
    <row r="581" spans="1:3" x14ac:dyDescent="0.2">
      <c r="A581" s="1">
        <v>187</v>
      </c>
      <c r="B581" s="1" t="str">
        <v>2020-01-31</v>
      </c>
      <c r="C581" s="1">
        <v>3.6802000000000001</v>
      </c>
    </row>
    <row r="582" spans="1:3" x14ac:dyDescent="0.2">
      <c r="A582" s="1">
        <v>147</v>
      </c>
      <c r="B582" s="1" t="str">
        <v>2020-02-03</v>
      </c>
      <c r="C582" s="1">
        <v>3.2254</v>
      </c>
    </row>
    <row r="583" spans="1:3" x14ac:dyDescent="0.2">
      <c r="A583" s="1">
        <v>81</v>
      </c>
      <c r="B583" s="1" t="str">
        <v>2020-02-03</v>
      </c>
      <c r="C583" s="1">
        <v>3.6389999999999998</v>
      </c>
    </row>
    <row r="584" spans="1:3" x14ac:dyDescent="0.2">
      <c r="A584" s="1">
        <v>110</v>
      </c>
      <c r="B584" s="1" t="str">
        <v>2020-02-03</v>
      </c>
      <c r="C584" s="1">
        <v>3.5</v>
      </c>
    </row>
    <row r="585" spans="1:3" x14ac:dyDescent="0.2">
      <c r="A585" s="1">
        <v>32863</v>
      </c>
      <c r="B585" s="1" t="str">
        <v>2020-02-03</v>
      </c>
      <c r="C585" s="1">
        <v>3.2355</v>
      </c>
    </row>
    <row r="586" spans="1:3" x14ac:dyDescent="0.2">
      <c r="A586" s="1">
        <v>2250</v>
      </c>
      <c r="B586" s="1" t="str">
        <v>2020-02-03</v>
      </c>
      <c r="C586" s="1">
        <v>3.1023000000000001</v>
      </c>
    </row>
    <row r="587" spans="1:3" x14ac:dyDescent="0.2">
      <c r="A587" s="1">
        <v>32963</v>
      </c>
      <c r="B587" s="1" t="str">
        <v>2020-02-03</v>
      </c>
      <c r="C587" s="1">
        <v>3.7113</v>
      </c>
    </row>
    <row r="588" spans="1:3" x14ac:dyDescent="0.2">
      <c r="A588" s="1">
        <v>32803</v>
      </c>
      <c r="B588" s="1" t="str">
        <v>2020-02-03</v>
      </c>
      <c r="C588" s="1">
        <v>3.0306999999999999</v>
      </c>
    </row>
    <row r="589" spans="1:3" x14ac:dyDescent="0.2">
      <c r="A589" s="1">
        <v>32724</v>
      </c>
      <c r="B589" s="1" t="str">
        <v>2020-02-03</v>
      </c>
      <c r="C589" s="1">
        <v>3.3089</v>
      </c>
    </row>
    <row r="590" spans="1:3" x14ac:dyDescent="0.2">
      <c r="A590" s="1">
        <v>24250</v>
      </c>
      <c r="B590" s="1" t="str">
        <v>2020-02-03</v>
      </c>
      <c r="C590" s="1">
        <v>3.4630000000000001</v>
      </c>
    </row>
    <row r="591" spans="1:3" x14ac:dyDescent="0.2">
      <c r="A591" s="1">
        <v>178</v>
      </c>
      <c r="B591" s="1" t="str">
        <v>2020-02-03</v>
      </c>
      <c r="C591" s="1">
        <v>3.407</v>
      </c>
    </row>
    <row r="592" spans="1:3" x14ac:dyDescent="0.2">
      <c r="A592" s="1">
        <v>32421</v>
      </c>
      <c r="B592" s="1" t="str">
        <v>2020-02-04</v>
      </c>
      <c r="C592" s="1">
        <v>3.3372999999999999</v>
      </c>
    </row>
    <row r="593" spans="1:3" x14ac:dyDescent="0.2">
      <c r="A593" s="1">
        <v>32724</v>
      </c>
      <c r="B593" s="1" t="str">
        <v>2020-02-04</v>
      </c>
      <c r="C593" s="1">
        <v>3.2883</v>
      </c>
    </row>
    <row r="594" spans="1:3" x14ac:dyDescent="0.2">
      <c r="A594" s="1">
        <v>137</v>
      </c>
      <c r="B594" s="1" t="str">
        <v>2020-02-04</v>
      </c>
      <c r="C594" s="1">
        <v>3.1543999999999999</v>
      </c>
    </row>
    <row r="595" spans="1:3" x14ac:dyDescent="0.2">
      <c r="A595" s="1">
        <v>32081</v>
      </c>
      <c r="B595" s="1" t="str">
        <v>2020-02-04</v>
      </c>
      <c r="C595" s="1">
        <v>3.3079000000000001</v>
      </c>
    </row>
    <row r="596" spans="1:3" x14ac:dyDescent="0.2">
      <c r="A596" s="1">
        <v>33143</v>
      </c>
      <c r="B596" s="1" t="str">
        <v>2020-02-04</v>
      </c>
      <c r="C596" s="1">
        <v>3.5</v>
      </c>
    </row>
    <row r="597" spans="1:3" x14ac:dyDescent="0.2">
      <c r="A597" s="1">
        <v>32502</v>
      </c>
      <c r="B597" s="1" t="str">
        <v>2020-02-04</v>
      </c>
      <c r="C597" s="1">
        <v>3.2774999999999999</v>
      </c>
    </row>
    <row r="598" spans="1:3" x14ac:dyDescent="0.2">
      <c r="A598" s="1">
        <v>187</v>
      </c>
      <c r="B598" s="1" t="str">
        <v>2020-02-05</v>
      </c>
      <c r="C598" s="1">
        <v>3.5457000000000001</v>
      </c>
    </row>
    <row r="599" spans="1:3" x14ac:dyDescent="0.2">
      <c r="A599" s="1">
        <v>115</v>
      </c>
      <c r="B599" s="1" t="str">
        <v>2020-02-05</v>
      </c>
      <c r="C599" s="1">
        <v>3.3908999999999998</v>
      </c>
    </row>
    <row r="600" spans="1:3" x14ac:dyDescent="0.2">
      <c r="A600" s="1">
        <v>32</v>
      </c>
      <c r="B600" s="1" t="str">
        <v>2020-02-05</v>
      </c>
      <c r="C600" s="1">
        <v>3.4683999999999999</v>
      </c>
    </row>
    <row r="601" spans="1:3" x14ac:dyDescent="0.2">
      <c r="A601" s="1">
        <v>181</v>
      </c>
      <c r="B601" s="1" t="str">
        <v>2020-02-05</v>
      </c>
      <c r="C601" s="1">
        <v>3.3803999999999998</v>
      </c>
    </row>
    <row r="602" spans="1:3" x14ac:dyDescent="0.2">
      <c r="A602" s="1">
        <v>77</v>
      </c>
      <c r="B602" s="1" t="str">
        <v>2020-02-05</v>
      </c>
      <c r="C602" s="1">
        <v>3.5451999999999999</v>
      </c>
    </row>
    <row r="603" spans="1:3" x14ac:dyDescent="0.2">
      <c r="A603" s="1">
        <v>171</v>
      </c>
      <c r="B603" s="1" t="str">
        <v>2020-02-05</v>
      </c>
      <c r="C603" s="1">
        <v>3.1848999999999998</v>
      </c>
    </row>
    <row r="604" spans="1:3" x14ac:dyDescent="0.2">
      <c r="A604" s="1">
        <v>32603</v>
      </c>
      <c r="B604" s="1" t="str">
        <v>2020-02-06</v>
      </c>
      <c r="C604" s="1">
        <v>3.2875000000000001</v>
      </c>
    </row>
    <row r="605" spans="1:3" x14ac:dyDescent="0.2">
      <c r="A605" s="1">
        <v>33023</v>
      </c>
      <c r="B605" s="1" t="str">
        <v>2020-02-06</v>
      </c>
      <c r="C605" s="1">
        <v>3.7</v>
      </c>
    </row>
    <row r="606" spans="1:3" x14ac:dyDescent="0.2">
      <c r="A606" s="1">
        <v>171</v>
      </c>
      <c r="B606" s="1" t="str">
        <v>2020-02-06</v>
      </c>
      <c r="C606" s="1">
        <v>3.1848999999999998</v>
      </c>
    </row>
    <row r="607" spans="1:3" x14ac:dyDescent="0.2">
      <c r="A607" s="1">
        <v>139</v>
      </c>
      <c r="B607" s="1" t="str">
        <v>2020-02-06</v>
      </c>
      <c r="C607" s="1">
        <v>3.6181999999999999</v>
      </c>
    </row>
    <row r="608" spans="1:3" x14ac:dyDescent="0.2">
      <c r="A608" s="1">
        <v>32724</v>
      </c>
      <c r="B608" s="1" t="str">
        <v>2020-02-06</v>
      </c>
      <c r="C608" s="1">
        <v>3.3913000000000002</v>
      </c>
    </row>
    <row r="609" spans="1:3" x14ac:dyDescent="0.2">
      <c r="A609" s="1">
        <v>32400</v>
      </c>
      <c r="B609" s="1" t="str">
        <v>2020-02-07</v>
      </c>
      <c r="C609" s="1">
        <v>3.5</v>
      </c>
    </row>
    <row r="610" spans="1:3" x14ac:dyDescent="0.2">
      <c r="A610" s="1">
        <v>33103</v>
      </c>
      <c r="B610" s="1" t="str">
        <v>2020-02-07</v>
      </c>
      <c r="C610" s="1">
        <v>4.0160999999999998</v>
      </c>
    </row>
    <row r="611" spans="1:3" x14ac:dyDescent="0.2">
      <c r="A611" s="1">
        <v>33023</v>
      </c>
      <c r="B611" s="1" t="str">
        <v>2020-02-07</v>
      </c>
      <c r="C611" s="1">
        <v>3.5</v>
      </c>
    </row>
    <row r="612" spans="1:3" x14ac:dyDescent="0.2">
      <c r="A612" s="1">
        <v>32480</v>
      </c>
      <c r="B612" s="1" t="str">
        <v>2020-02-07</v>
      </c>
      <c r="C612" s="1">
        <v>2.8872</v>
      </c>
    </row>
    <row r="613" spans="1:3" x14ac:dyDescent="0.2">
      <c r="A613" s="1">
        <v>99</v>
      </c>
      <c r="B613" s="1" t="str">
        <v>2020-02-07</v>
      </c>
      <c r="C613" s="1">
        <v>3.3502000000000001</v>
      </c>
    </row>
    <row r="614" spans="1:3" x14ac:dyDescent="0.2">
      <c r="A614" s="1">
        <v>16</v>
      </c>
      <c r="B614" s="1" t="str">
        <v>2020-02-07</v>
      </c>
      <c r="C614" s="1">
        <v>3.2149000000000001</v>
      </c>
    </row>
    <row r="615" spans="1:3" x14ac:dyDescent="0.2">
      <c r="A615" s="1">
        <v>32</v>
      </c>
      <c r="B615" s="1" t="str">
        <v>2020-02-07</v>
      </c>
      <c r="C615" s="1">
        <v>3.3241000000000001</v>
      </c>
    </row>
    <row r="616" spans="1:3" x14ac:dyDescent="0.2">
      <c r="A616" s="1">
        <v>33125</v>
      </c>
      <c r="B616" s="1" t="str">
        <v>2020-02-07</v>
      </c>
      <c r="C616" s="1">
        <v>3.1949000000000001</v>
      </c>
    </row>
    <row r="617" spans="1:3" x14ac:dyDescent="0.2">
      <c r="A617" s="1">
        <v>150</v>
      </c>
      <c r="B617" s="1" t="str">
        <v>2020-02-07</v>
      </c>
      <c r="C617" s="1">
        <v>3.6432000000000002</v>
      </c>
    </row>
    <row r="618" spans="1:3" x14ac:dyDescent="0.2">
      <c r="A618" s="1">
        <v>32863</v>
      </c>
      <c r="B618" s="1" t="str">
        <v>2020-02-07</v>
      </c>
      <c r="C618" s="1">
        <v>2.9988000000000001</v>
      </c>
    </row>
    <row r="619" spans="1:3" x14ac:dyDescent="0.2">
      <c r="A619" s="1">
        <v>49</v>
      </c>
      <c r="B619" s="1" t="str">
        <v>2020-02-07</v>
      </c>
      <c r="C619" s="1">
        <v>2.8862999999999999</v>
      </c>
    </row>
    <row r="620" spans="1:3" x14ac:dyDescent="0.2">
      <c r="A620" s="1">
        <v>81</v>
      </c>
      <c r="B620" s="1" t="str">
        <v>2020-02-07</v>
      </c>
      <c r="C620" s="1">
        <v>3.2469000000000001</v>
      </c>
    </row>
    <row r="621" spans="1:3" x14ac:dyDescent="0.2">
      <c r="A621" s="1">
        <v>32260</v>
      </c>
      <c r="B621" s="1" t="str">
        <v>2020-02-07</v>
      </c>
      <c r="C621" s="1">
        <v>3.0609999999999999</v>
      </c>
    </row>
    <row r="622" spans="1:3" x14ac:dyDescent="0.2">
      <c r="A622" s="1">
        <v>30250</v>
      </c>
      <c r="B622" s="1" t="str">
        <v>2020-02-07</v>
      </c>
      <c r="C622" s="1">
        <v>3.0510000000000002</v>
      </c>
    </row>
    <row r="623" spans="1:3" x14ac:dyDescent="0.2">
      <c r="A623" s="1">
        <v>115</v>
      </c>
      <c r="B623" s="1" t="str">
        <v>2020-02-07</v>
      </c>
      <c r="C623" s="1">
        <v>3.3702999999999999</v>
      </c>
    </row>
    <row r="624" spans="1:3" x14ac:dyDescent="0.2">
      <c r="A624" s="1">
        <v>55</v>
      </c>
      <c r="B624" s="1" t="str">
        <v>2020-02-07</v>
      </c>
      <c r="C624" s="1">
        <v>3.1747999999999998</v>
      </c>
    </row>
    <row r="625" spans="1:3" x14ac:dyDescent="0.2">
      <c r="A625" s="1">
        <v>156</v>
      </c>
      <c r="B625" s="1" t="str">
        <v>2020-02-07</v>
      </c>
      <c r="C625" s="1">
        <v>3.4944000000000002</v>
      </c>
    </row>
    <row r="626" spans="1:3" x14ac:dyDescent="0.2">
      <c r="A626" s="1">
        <v>101</v>
      </c>
      <c r="B626" s="1" t="str">
        <v>2020-02-07</v>
      </c>
      <c r="C626" s="1">
        <v>3.6898</v>
      </c>
    </row>
    <row r="627" spans="1:3" x14ac:dyDescent="0.2">
      <c r="A627" s="1">
        <v>32200</v>
      </c>
      <c r="B627" s="1" t="str">
        <v>2020-02-07</v>
      </c>
      <c r="C627" s="1">
        <v>2.6604000000000001</v>
      </c>
    </row>
    <row r="628" spans="1:3" x14ac:dyDescent="0.2">
      <c r="A628" s="1">
        <v>13250</v>
      </c>
      <c r="B628" s="1" t="str">
        <v>2020-02-07</v>
      </c>
      <c r="C628" s="1">
        <v>2.6717</v>
      </c>
    </row>
    <row r="629" spans="1:3" x14ac:dyDescent="0.2">
      <c r="A629" s="1">
        <v>10</v>
      </c>
      <c r="B629" s="1" t="str">
        <v>2020-02-10</v>
      </c>
      <c r="C629" s="1">
        <v>3.2158000000000002</v>
      </c>
    </row>
    <row r="630" spans="1:3" x14ac:dyDescent="0.2">
      <c r="A630" s="1">
        <v>53</v>
      </c>
      <c r="B630" s="1" t="str">
        <v>2020-02-10</v>
      </c>
      <c r="C630" s="1">
        <v>3.0815000000000001</v>
      </c>
    </row>
    <row r="631" spans="1:3" x14ac:dyDescent="0.2">
      <c r="A631" s="1">
        <v>171</v>
      </c>
      <c r="B631" s="1" t="str">
        <v>2020-02-10</v>
      </c>
      <c r="C631" s="1">
        <v>3.0306000000000002</v>
      </c>
    </row>
    <row r="632" spans="1:3" x14ac:dyDescent="0.2">
      <c r="A632" s="1">
        <v>32824</v>
      </c>
      <c r="B632" s="1" t="str">
        <v>2020-02-10</v>
      </c>
      <c r="C632" s="1">
        <v>3.4428000000000001</v>
      </c>
    </row>
    <row r="633" spans="1:3" x14ac:dyDescent="0.2">
      <c r="A633" s="1">
        <v>157</v>
      </c>
      <c r="B633" s="1" t="str">
        <v>2020-02-10</v>
      </c>
      <c r="C633" s="1">
        <v>3.5</v>
      </c>
    </row>
    <row r="634" spans="1:3" x14ac:dyDescent="0.2">
      <c r="A634" s="1">
        <v>33023</v>
      </c>
      <c r="B634" s="1" t="str">
        <v>2020-02-10</v>
      </c>
      <c r="C634" s="1">
        <v>3.3</v>
      </c>
    </row>
    <row r="635" spans="1:3" x14ac:dyDescent="0.2">
      <c r="A635" s="1">
        <v>32421</v>
      </c>
      <c r="B635" s="1" t="str">
        <v>2020-02-10</v>
      </c>
      <c r="C635" s="1">
        <v>3.1337000000000002</v>
      </c>
    </row>
    <row r="636" spans="1:3" x14ac:dyDescent="0.2">
      <c r="A636" s="1">
        <v>32724</v>
      </c>
      <c r="B636" s="1" t="str">
        <v>2020-02-10</v>
      </c>
      <c r="C636" s="1">
        <v>3.2881999999999998</v>
      </c>
    </row>
    <row r="637" spans="1:3" x14ac:dyDescent="0.2">
      <c r="A637" s="1">
        <v>32222</v>
      </c>
      <c r="B637" s="1" t="str">
        <v>2020-02-10</v>
      </c>
      <c r="C637" s="1">
        <v>2.9072</v>
      </c>
    </row>
    <row r="638" spans="1:3" x14ac:dyDescent="0.2">
      <c r="A638" s="1">
        <v>178</v>
      </c>
      <c r="B638" s="1" t="str">
        <v>2020-02-10</v>
      </c>
      <c r="C638" s="1">
        <v>3.1959</v>
      </c>
    </row>
    <row r="639" spans="1:3" x14ac:dyDescent="0.2">
      <c r="A639" s="1">
        <v>32380</v>
      </c>
      <c r="B639" s="1" t="str">
        <v>2020-02-10</v>
      </c>
      <c r="C639" s="1">
        <v>3.3538999999999999</v>
      </c>
    </row>
    <row r="640" spans="1:3" x14ac:dyDescent="0.2">
      <c r="A640" s="1">
        <v>32401</v>
      </c>
      <c r="B640" s="1" t="str">
        <v>2020-02-11</v>
      </c>
      <c r="C640" s="1">
        <v>3.9695999999999998</v>
      </c>
    </row>
    <row r="641" spans="1:3" x14ac:dyDescent="0.2">
      <c r="A641" s="1">
        <v>33043</v>
      </c>
      <c r="B641" s="1" t="str">
        <v>2020-02-11</v>
      </c>
      <c r="C641" s="1">
        <v>3.0507</v>
      </c>
    </row>
    <row r="642" spans="1:3" x14ac:dyDescent="0.2">
      <c r="A642" s="1">
        <v>90</v>
      </c>
      <c r="B642" s="1" t="str">
        <v>2020-02-11</v>
      </c>
      <c r="C642" s="1">
        <v>3.2056</v>
      </c>
    </row>
    <row r="643" spans="1:3" x14ac:dyDescent="0.2">
      <c r="A643" s="1">
        <v>32582</v>
      </c>
      <c r="B643" s="1" t="str">
        <v>2020-02-11</v>
      </c>
      <c r="C643" s="1">
        <v>3.2161</v>
      </c>
    </row>
    <row r="644" spans="1:3" x14ac:dyDescent="0.2">
      <c r="A644" s="1">
        <v>32863</v>
      </c>
      <c r="B644" s="1" t="str">
        <v>2020-02-12</v>
      </c>
      <c r="C644" s="1">
        <v>3.0609000000000002</v>
      </c>
    </row>
    <row r="645" spans="1:3" x14ac:dyDescent="0.2">
      <c r="A645" s="1">
        <v>33023</v>
      </c>
      <c r="B645" s="1" t="str">
        <v>2020-02-12</v>
      </c>
      <c r="C645" s="1">
        <v>3.3</v>
      </c>
    </row>
    <row r="646" spans="1:3" x14ac:dyDescent="0.2">
      <c r="A646" s="1">
        <v>32724</v>
      </c>
      <c r="B646" s="1" t="str">
        <v>2020-02-12</v>
      </c>
      <c r="C646" s="1">
        <v>3.3089</v>
      </c>
    </row>
    <row r="647" spans="1:3" x14ac:dyDescent="0.2">
      <c r="A647" s="1">
        <v>32843</v>
      </c>
      <c r="B647" s="1" t="str">
        <v>2020-02-12</v>
      </c>
      <c r="C647" s="1">
        <v>3.1353</v>
      </c>
    </row>
    <row r="648" spans="1:3" x14ac:dyDescent="0.2">
      <c r="A648" s="1">
        <v>32923</v>
      </c>
      <c r="B648" s="1" t="str">
        <v>2020-02-12</v>
      </c>
      <c r="C648" s="1">
        <v>4.0526</v>
      </c>
    </row>
    <row r="649" spans="1:3" x14ac:dyDescent="0.2">
      <c r="A649" s="1">
        <v>32823</v>
      </c>
      <c r="B649" s="1" t="str">
        <v>2020-02-13</v>
      </c>
      <c r="C649" s="1">
        <v>3.7</v>
      </c>
    </row>
    <row r="650" spans="1:3" x14ac:dyDescent="0.2">
      <c r="A650" s="1">
        <v>187</v>
      </c>
      <c r="B650" s="1" t="str">
        <v>2020-02-13</v>
      </c>
      <c r="C650" s="1">
        <v>3.2980999999999998</v>
      </c>
    </row>
    <row r="651" spans="1:3" x14ac:dyDescent="0.2">
      <c r="A651" s="1">
        <v>59</v>
      </c>
      <c r="B651" s="1" t="str">
        <v>2020-02-14</v>
      </c>
      <c r="C651" s="1">
        <v>3.1745000000000001</v>
      </c>
    </row>
    <row r="652" spans="1:3" x14ac:dyDescent="0.2">
      <c r="A652" s="1">
        <v>32</v>
      </c>
      <c r="B652" s="1" t="str">
        <v>2020-02-14</v>
      </c>
      <c r="C652" s="1">
        <v>3.4735999999999998</v>
      </c>
    </row>
    <row r="653" spans="1:3" x14ac:dyDescent="0.2">
      <c r="A653" s="1">
        <v>33103</v>
      </c>
      <c r="B653" s="1" t="str">
        <v>2020-02-14</v>
      </c>
      <c r="C653" s="1">
        <v>4.0160999999999998</v>
      </c>
    </row>
    <row r="654" spans="1:3" x14ac:dyDescent="0.2">
      <c r="A654" s="1">
        <v>102</v>
      </c>
      <c r="B654" s="1" t="str">
        <v>2020-02-14</v>
      </c>
      <c r="C654" s="1">
        <v>3.1949999999999998</v>
      </c>
    </row>
    <row r="655" spans="1:3" x14ac:dyDescent="0.2">
      <c r="A655" s="1">
        <v>49</v>
      </c>
      <c r="B655" s="1" t="str">
        <v>2020-02-14</v>
      </c>
      <c r="C655" s="1">
        <v>2.9994999999999998</v>
      </c>
    </row>
    <row r="656" spans="1:3" x14ac:dyDescent="0.2">
      <c r="A656" s="1">
        <v>99</v>
      </c>
      <c r="B656" s="1" t="str">
        <v>2020-02-14</v>
      </c>
      <c r="C656" s="1">
        <v>3.3502000000000001</v>
      </c>
    </row>
    <row r="657" spans="1:3" x14ac:dyDescent="0.2">
      <c r="A657" s="1">
        <v>16</v>
      </c>
      <c r="B657" s="1" t="str">
        <v>2020-02-14</v>
      </c>
      <c r="C657" s="1">
        <v>3.2149000000000001</v>
      </c>
    </row>
    <row r="658" spans="1:3" x14ac:dyDescent="0.2">
      <c r="A658" s="1">
        <v>181</v>
      </c>
      <c r="B658" s="1" t="str">
        <v>2020-02-14</v>
      </c>
      <c r="C658" s="1">
        <v>3.0510000000000002</v>
      </c>
    </row>
    <row r="659" spans="1:3" x14ac:dyDescent="0.2">
      <c r="A659" s="1">
        <v>32180</v>
      </c>
      <c r="B659" s="1" t="str">
        <v>2020-02-14</v>
      </c>
      <c r="C659" s="1">
        <v>3.1034000000000002</v>
      </c>
    </row>
    <row r="660" spans="1:3" x14ac:dyDescent="0.2">
      <c r="A660" s="1">
        <v>55</v>
      </c>
      <c r="B660" s="1" t="str">
        <v>2020-02-14</v>
      </c>
      <c r="C660" s="1">
        <v>3.2160000000000002</v>
      </c>
    </row>
    <row r="661" spans="1:3" x14ac:dyDescent="0.2">
      <c r="A661" s="1">
        <v>156</v>
      </c>
      <c r="B661" s="1" t="str">
        <v>2020-02-14</v>
      </c>
      <c r="C661" s="1">
        <v>3.4944000000000002</v>
      </c>
    </row>
    <row r="662" spans="1:3" x14ac:dyDescent="0.2">
      <c r="A662" s="1">
        <v>171</v>
      </c>
      <c r="B662" s="1" t="str">
        <v>2020-02-14</v>
      </c>
      <c r="C662" s="1">
        <v>3.0306000000000002</v>
      </c>
    </row>
    <row r="663" spans="1:3" x14ac:dyDescent="0.2">
      <c r="A663" s="1">
        <v>32983</v>
      </c>
      <c r="B663" s="1" t="str">
        <v>2020-02-14</v>
      </c>
      <c r="C663" s="1">
        <v>3.0510000000000002</v>
      </c>
    </row>
    <row r="664" spans="1:3" x14ac:dyDescent="0.2">
      <c r="A664" s="1">
        <v>164</v>
      </c>
      <c r="B664" s="1" t="str">
        <v>2020-02-14</v>
      </c>
      <c r="C664" s="1">
        <v>3.5457000000000001</v>
      </c>
    </row>
    <row r="665" spans="1:3" x14ac:dyDescent="0.2">
      <c r="A665" s="1">
        <v>150</v>
      </c>
      <c r="B665" s="1" t="str">
        <v>2020-02-14</v>
      </c>
      <c r="C665" s="1">
        <v>3.6432000000000002</v>
      </c>
    </row>
    <row r="666" spans="1:3" x14ac:dyDescent="0.2">
      <c r="A666" s="1">
        <v>32783</v>
      </c>
      <c r="B666" s="1" t="str">
        <v>2020-02-14</v>
      </c>
      <c r="C666" s="1">
        <v>3.5560999999999998</v>
      </c>
    </row>
    <row r="667" spans="1:3" x14ac:dyDescent="0.2">
      <c r="A667" s="1">
        <v>32340</v>
      </c>
      <c r="B667" s="1" t="str">
        <v>2020-02-14</v>
      </c>
      <c r="C667" s="1">
        <v>3.1741999999999999</v>
      </c>
    </row>
    <row r="668" spans="1:3" x14ac:dyDescent="0.2">
      <c r="A668" s="1">
        <v>81</v>
      </c>
      <c r="B668" s="1" t="str">
        <v>2020-02-14</v>
      </c>
      <c r="C668" s="1">
        <v>3.2469000000000001</v>
      </c>
    </row>
    <row r="669" spans="1:3" x14ac:dyDescent="0.2">
      <c r="A669" s="1">
        <v>177</v>
      </c>
      <c r="B669" s="1" t="str">
        <v>2020-02-14</v>
      </c>
      <c r="C669" s="1">
        <v>3.5663</v>
      </c>
    </row>
    <row r="670" spans="1:3" x14ac:dyDescent="0.2">
      <c r="A670" s="1">
        <v>2250</v>
      </c>
      <c r="B670" s="1" t="str">
        <v>2020-02-14</v>
      </c>
      <c r="C670" s="1">
        <v>2.9685999999999999</v>
      </c>
    </row>
    <row r="671" spans="1:3" x14ac:dyDescent="0.2">
      <c r="A671" s="1">
        <v>101</v>
      </c>
      <c r="B671" s="1" t="str">
        <v>2020-02-14</v>
      </c>
      <c r="C671" s="1">
        <v>3.597</v>
      </c>
    </row>
    <row r="672" spans="1:3" x14ac:dyDescent="0.2">
      <c r="A672" s="1">
        <v>32420</v>
      </c>
      <c r="B672" s="1" t="str">
        <v>2020-02-14</v>
      </c>
      <c r="C672" s="1">
        <v>3.0594999999999999</v>
      </c>
    </row>
    <row r="673" spans="1:3" x14ac:dyDescent="0.2">
      <c r="A673" s="1">
        <v>32500</v>
      </c>
      <c r="B673" s="1" t="str">
        <v>2020-02-14</v>
      </c>
      <c r="C673" s="1">
        <v>3.1646999999999998</v>
      </c>
    </row>
    <row r="674" spans="1:3" x14ac:dyDescent="0.2">
      <c r="A674" s="1">
        <v>33125</v>
      </c>
      <c r="B674" s="1" t="str">
        <v>2020-02-14</v>
      </c>
      <c r="C674" s="1">
        <v>3.0306999999999999</v>
      </c>
    </row>
    <row r="675" spans="1:3" x14ac:dyDescent="0.2">
      <c r="A675" s="1">
        <v>250</v>
      </c>
      <c r="B675" s="1" t="str">
        <v>2020-02-17</v>
      </c>
      <c r="C675" s="1">
        <v>3.0202</v>
      </c>
    </row>
    <row r="676" spans="1:3" x14ac:dyDescent="0.2">
      <c r="A676" s="1">
        <v>10</v>
      </c>
      <c r="B676" s="1" t="str">
        <v>2020-02-17</v>
      </c>
      <c r="C676" s="1">
        <v>3.1951999999999998</v>
      </c>
    </row>
    <row r="677" spans="1:3" x14ac:dyDescent="0.2">
      <c r="A677" s="1">
        <v>94</v>
      </c>
      <c r="B677" s="1" t="str">
        <v>2020-02-17</v>
      </c>
      <c r="C677" s="1">
        <v>3.35</v>
      </c>
    </row>
    <row r="678" spans="1:3" x14ac:dyDescent="0.2">
      <c r="A678" s="1">
        <v>32400</v>
      </c>
      <c r="B678" s="1" t="str">
        <v>2020-02-17</v>
      </c>
      <c r="C678" s="1">
        <v>3.5</v>
      </c>
    </row>
    <row r="679" spans="1:3" x14ac:dyDescent="0.2">
      <c r="A679" s="1">
        <v>32081</v>
      </c>
      <c r="B679" s="1" t="str">
        <v>2020-02-17</v>
      </c>
      <c r="C679" s="1">
        <v>3.1637</v>
      </c>
    </row>
    <row r="680" spans="1:3" x14ac:dyDescent="0.2">
      <c r="A680" s="1">
        <v>176</v>
      </c>
      <c r="B680" s="1" t="str">
        <v>2020-02-17</v>
      </c>
      <c r="C680" s="1">
        <v>3.1436999999999999</v>
      </c>
    </row>
    <row r="681" spans="1:3" x14ac:dyDescent="0.2">
      <c r="A681" s="1">
        <v>32</v>
      </c>
      <c r="B681" s="1" t="str">
        <v>2020-02-17</v>
      </c>
      <c r="C681" s="1">
        <v>3.4424999999999999</v>
      </c>
    </row>
    <row r="682" spans="1:3" x14ac:dyDescent="0.2">
      <c r="A682" s="1">
        <v>157</v>
      </c>
      <c r="B682" s="1" t="str">
        <v>2020-02-17</v>
      </c>
      <c r="C682" s="1">
        <v>3.5</v>
      </c>
    </row>
    <row r="683" spans="1:3" x14ac:dyDescent="0.2">
      <c r="A683" s="1">
        <v>32421</v>
      </c>
      <c r="B683" s="1" t="str">
        <v>2020-02-17</v>
      </c>
      <c r="C683" s="1">
        <v>3.1644999999999999</v>
      </c>
    </row>
    <row r="684" spans="1:3" x14ac:dyDescent="0.2">
      <c r="A684" s="1">
        <v>1</v>
      </c>
      <c r="B684" s="1" t="str">
        <v>2020-02-17</v>
      </c>
      <c r="C684" s="1">
        <v>3.2056</v>
      </c>
    </row>
    <row r="685" spans="1:3" x14ac:dyDescent="0.2">
      <c r="A685" s="1">
        <v>77</v>
      </c>
      <c r="B685" s="1" t="str">
        <v>2020-02-17</v>
      </c>
      <c r="C685" s="1">
        <v>3.2158000000000002</v>
      </c>
    </row>
    <row r="686" spans="1:3" x14ac:dyDescent="0.2">
      <c r="A686" s="1">
        <v>24</v>
      </c>
      <c r="B686" s="1" t="str">
        <v>2020-02-17</v>
      </c>
      <c r="C686" s="1">
        <v>3.2366000000000001</v>
      </c>
    </row>
    <row r="687" spans="1:3" x14ac:dyDescent="0.2">
      <c r="A687" s="1">
        <v>178</v>
      </c>
      <c r="B687" s="1" t="str">
        <v>2020-02-17</v>
      </c>
      <c r="C687" s="1">
        <v>3.2357</v>
      </c>
    </row>
    <row r="688" spans="1:3" x14ac:dyDescent="0.2">
      <c r="A688" s="1">
        <v>32560</v>
      </c>
      <c r="B688" s="1" t="str">
        <v>2020-02-18</v>
      </c>
      <c r="C688" s="1">
        <v>3.2568000000000001</v>
      </c>
    </row>
    <row r="689" spans="1:3" x14ac:dyDescent="0.2">
      <c r="A689" s="1">
        <v>83</v>
      </c>
      <c r="B689" s="1" t="str">
        <v>2020-02-18</v>
      </c>
      <c r="C689" s="1">
        <v>3.1027999999999998</v>
      </c>
    </row>
    <row r="690" spans="1:3" x14ac:dyDescent="0.2">
      <c r="A690" s="1">
        <v>89</v>
      </c>
      <c r="B690" s="1" t="str">
        <v>2020-02-19</v>
      </c>
      <c r="C690" s="1">
        <v>2.9794999999999998</v>
      </c>
    </row>
    <row r="691" spans="1:3" x14ac:dyDescent="0.2">
      <c r="A691" s="1">
        <v>32803</v>
      </c>
      <c r="B691" s="1" t="str">
        <v>2020-02-19</v>
      </c>
      <c r="C691" s="1">
        <v>3.1337000000000002</v>
      </c>
    </row>
    <row r="692" spans="1:3" x14ac:dyDescent="0.2">
      <c r="A692" s="1">
        <v>49</v>
      </c>
      <c r="B692" s="1" t="str">
        <v>2020-02-19</v>
      </c>
      <c r="C692" s="1">
        <v>3.1230000000000002</v>
      </c>
    </row>
    <row r="693" spans="1:3" x14ac:dyDescent="0.2">
      <c r="A693" s="1">
        <v>32</v>
      </c>
      <c r="B693" s="1" t="str">
        <v>2020-02-19</v>
      </c>
      <c r="C693" s="1">
        <v>3.5249999999999999</v>
      </c>
    </row>
    <row r="694" spans="1:3" x14ac:dyDescent="0.2">
      <c r="A694" s="1">
        <v>32724</v>
      </c>
      <c r="B694" s="1" t="str">
        <v>2020-02-19</v>
      </c>
      <c r="C694" s="1">
        <v>3.2161</v>
      </c>
    </row>
    <row r="695" spans="1:3" x14ac:dyDescent="0.2">
      <c r="A695" s="1">
        <v>143</v>
      </c>
      <c r="B695" s="1" t="str">
        <v>2020-02-19</v>
      </c>
      <c r="C695" s="1">
        <v>2.5994000000000002</v>
      </c>
    </row>
    <row r="696" spans="1:3" x14ac:dyDescent="0.2">
      <c r="A696" s="1">
        <v>32964</v>
      </c>
      <c r="B696" s="1" t="str">
        <v>2020-02-19</v>
      </c>
      <c r="C696" s="1">
        <v>3.0562999999999998</v>
      </c>
    </row>
    <row r="697" spans="1:3" x14ac:dyDescent="0.2">
      <c r="A697" s="1">
        <v>32260</v>
      </c>
      <c r="B697" s="1" t="str">
        <v>2020-02-19</v>
      </c>
      <c r="C697" s="1">
        <v>3.0609999999999999</v>
      </c>
    </row>
    <row r="698" spans="1:3" x14ac:dyDescent="0.2">
      <c r="A698" s="1">
        <v>133</v>
      </c>
      <c r="B698" s="1" t="str">
        <v>2020-02-19</v>
      </c>
      <c r="C698" s="1">
        <v>3.3601000000000001</v>
      </c>
    </row>
    <row r="699" spans="1:3" x14ac:dyDescent="0.2">
      <c r="A699" s="1">
        <v>32480</v>
      </c>
      <c r="B699" s="1" t="str">
        <v>2020-02-19</v>
      </c>
      <c r="C699" s="1">
        <v>2.8872</v>
      </c>
    </row>
    <row r="700" spans="1:3" x14ac:dyDescent="0.2">
      <c r="A700" s="1">
        <v>32823</v>
      </c>
      <c r="B700" s="1" t="str">
        <v>2020-02-20</v>
      </c>
      <c r="C700" s="1">
        <v>3.6</v>
      </c>
    </row>
    <row r="701" spans="1:3" x14ac:dyDescent="0.2">
      <c r="A701" s="1">
        <v>33023</v>
      </c>
      <c r="B701" s="1" t="str">
        <v>2020-02-20</v>
      </c>
      <c r="C701" s="1">
        <v>3.2</v>
      </c>
    </row>
    <row r="702" spans="1:3" x14ac:dyDescent="0.2">
      <c r="A702" s="1">
        <v>32603</v>
      </c>
      <c r="B702" s="1" t="str">
        <v>2020-02-20</v>
      </c>
      <c r="C702" s="1">
        <v>2.9276</v>
      </c>
    </row>
    <row r="703" spans="1:3" x14ac:dyDescent="0.2">
      <c r="A703" s="1">
        <v>33123</v>
      </c>
      <c r="B703" s="1" t="str">
        <v>2020-02-20</v>
      </c>
      <c r="C703" s="1">
        <v>3.3083999999999998</v>
      </c>
    </row>
    <row r="704" spans="1:3" x14ac:dyDescent="0.2">
      <c r="A704" s="1">
        <v>115</v>
      </c>
      <c r="B704" s="1" t="str">
        <v>2020-02-21</v>
      </c>
      <c r="C704" s="1">
        <v>3.4424999999999999</v>
      </c>
    </row>
    <row r="705" spans="1:3" x14ac:dyDescent="0.2">
      <c r="A705" s="1">
        <v>143</v>
      </c>
      <c r="B705" s="1" t="str">
        <v>2020-02-21</v>
      </c>
      <c r="C705" s="1">
        <v>2.8864999999999998</v>
      </c>
    </row>
    <row r="706" spans="1:3" x14ac:dyDescent="0.2">
      <c r="A706" s="1">
        <v>32</v>
      </c>
      <c r="B706" s="1" t="str">
        <v>2020-02-21</v>
      </c>
      <c r="C706" s="1">
        <v>3.5249999999999999</v>
      </c>
    </row>
    <row r="707" spans="1:3" x14ac:dyDescent="0.2">
      <c r="A707" s="1">
        <v>32783</v>
      </c>
      <c r="B707" s="1" t="str">
        <v>2020-02-21</v>
      </c>
      <c r="C707" s="1">
        <v>3.4218000000000002</v>
      </c>
    </row>
    <row r="708" spans="1:3" x14ac:dyDescent="0.2">
      <c r="A708" s="1">
        <v>32863</v>
      </c>
      <c r="B708" s="1" t="str">
        <v>2020-02-21</v>
      </c>
      <c r="C708" s="1">
        <v>2.9887000000000001</v>
      </c>
    </row>
    <row r="709" spans="1:3" x14ac:dyDescent="0.2">
      <c r="A709" s="1">
        <v>32082</v>
      </c>
      <c r="B709" s="1" t="str">
        <v>2020-02-21</v>
      </c>
      <c r="C709" s="1">
        <v>3.2042000000000002</v>
      </c>
    </row>
    <row r="710" spans="1:3" x14ac:dyDescent="0.2">
      <c r="A710" s="1">
        <v>90</v>
      </c>
      <c r="B710" s="1" t="str">
        <v>2020-02-21</v>
      </c>
      <c r="C710" s="1">
        <v>3.298</v>
      </c>
    </row>
    <row r="711" spans="1:3" x14ac:dyDescent="0.2">
      <c r="A711" s="1">
        <v>67</v>
      </c>
      <c r="B711" s="1" t="str">
        <v>2020-02-21</v>
      </c>
      <c r="C711" s="1">
        <v>3.1949000000000001</v>
      </c>
    </row>
    <row r="712" spans="1:3" x14ac:dyDescent="0.2">
      <c r="A712" s="1">
        <v>102</v>
      </c>
      <c r="B712" s="1" t="str">
        <v>2020-02-21</v>
      </c>
      <c r="C712" s="1">
        <v>3.1438999999999999</v>
      </c>
    </row>
    <row r="713" spans="1:3" x14ac:dyDescent="0.2">
      <c r="A713" s="1">
        <v>182</v>
      </c>
      <c r="B713" s="1" t="str">
        <v>2020-02-21</v>
      </c>
      <c r="C713" s="1">
        <v>3.3188</v>
      </c>
    </row>
    <row r="714" spans="1:3" x14ac:dyDescent="0.2">
      <c r="A714" s="1">
        <v>37</v>
      </c>
      <c r="B714" s="1" t="str">
        <v>2020-02-21</v>
      </c>
      <c r="C714" s="1">
        <v>3.4525000000000001</v>
      </c>
    </row>
    <row r="715" spans="1:3" x14ac:dyDescent="0.2">
      <c r="A715" s="1">
        <v>16</v>
      </c>
      <c r="B715" s="1" t="str">
        <v>2020-02-21</v>
      </c>
      <c r="C715" s="1">
        <v>3.2149000000000001</v>
      </c>
    </row>
    <row r="716" spans="1:3" x14ac:dyDescent="0.2">
      <c r="A716" s="1">
        <v>150</v>
      </c>
      <c r="B716" s="1" t="str">
        <v>2020-02-21</v>
      </c>
      <c r="C716" s="1">
        <v>3.6429999999999998</v>
      </c>
    </row>
    <row r="717" spans="1:3" x14ac:dyDescent="0.2">
      <c r="A717" s="1">
        <v>2250</v>
      </c>
      <c r="B717" s="1" t="str">
        <v>2020-02-21</v>
      </c>
      <c r="C717" s="1">
        <v>2.9174000000000002</v>
      </c>
    </row>
    <row r="718" spans="1:3" x14ac:dyDescent="0.2">
      <c r="A718" s="1">
        <v>9250</v>
      </c>
      <c r="B718" s="1" t="str">
        <v>2020-02-21</v>
      </c>
      <c r="C718" s="1">
        <v>3.63</v>
      </c>
    </row>
    <row r="719" spans="1:3" x14ac:dyDescent="0.2">
      <c r="A719" s="1">
        <v>30400</v>
      </c>
      <c r="B719" s="1" t="str">
        <v>2020-02-21</v>
      </c>
      <c r="C719" s="1">
        <v>3.1023999999999998</v>
      </c>
    </row>
    <row r="720" spans="1:3" x14ac:dyDescent="0.2">
      <c r="A720" s="1">
        <v>32803</v>
      </c>
      <c r="B720" s="1" t="str">
        <v>2020-02-21</v>
      </c>
      <c r="C720" s="1">
        <v>3.1850999999999998</v>
      </c>
    </row>
    <row r="721" spans="1:3" x14ac:dyDescent="0.2">
      <c r="A721" s="1">
        <v>176</v>
      </c>
      <c r="B721" s="1" t="str">
        <v>2020-02-21</v>
      </c>
      <c r="C721" s="1">
        <v>3.1539999999999999</v>
      </c>
    </row>
    <row r="722" spans="1:3" x14ac:dyDescent="0.2">
      <c r="A722" s="1">
        <v>10</v>
      </c>
      <c r="B722" s="1" t="str">
        <v>2020-02-21</v>
      </c>
      <c r="C722" s="1">
        <v>3.2776999999999998</v>
      </c>
    </row>
    <row r="723" spans="1:3" x14ac:dyDescent="0.2">
      <c r="A723" s="1">
        <v>31</v>
      </c>
      <c r="B723" s="1" t="str">
        <v>2020-02-21</v>
      </c>
      <c r="C723" s="1">
        <v>3.4</v>
      </c>
    </row>
    <row r="724" spans="1:3" x14ac:dyDescent="0.2">
      <c r="A724" s="1">
        <v>55</v>
      </c>
      <c r="B724" s="1" t="str">
        <v>2020-02-21</v>
      </c>
      <c r="C724" s="1">
        <v>3.2160000000000002</v>
      </c>
    </row>
    <row r="725" spans="1:3" x14ac:dyDescent="0.2">
      <c r="A725" s="1">
        <v>99</v>
      </c>
      <c r="B725" s="1" t="str">
        <v>2020-02-21</v>
      </c>
      <c r="C725" s="1">
        <v>3.4026000000000001</v>
      </c>
    </row>
    <row r="726" spans="1:3" x14ac:dyDescent="0.2">
      <c r="A726" s="1">
        <v>171</v>
      </c>
      <c r="B726" s="1" t="str">
        <v>2020-02-21</v>
      </c>
      <c r="C726" s="1">
        <v>3.0716999999999999</v>
      </c>
    </row>
    <row r="727" spans="1:3" x14ac:dyDescent="0.2">
      <c r="A727" s="1">
        <v>139</v>
      </c>
      <c r="B727" s="1" t="str">
        <v>2020-02-21</v>
      </c>
      <c r="C727" s="1">
        <v>3.4529000000000001</v>
      </c>
    </row>
    <row r="728" spans="1:3" x14ac:dyDescent="0.2">
      <c r="A728" s="1">
        <v>109</v>
      </c>
      <c r="B728" s="1" t="str">
        <v>2020-02-21</v>
      </c>
      <c r="C728" s="1">
        <v>2.8974000000000002</v>
      </c>
    </row>
    <row r="729" spans="1:3" x14ac:dyDescent="0.2">
      <c r="A729" s="1">
        <v>32724</v>
      </c>
      <c r="B729" s="1" t="str">
        <v>2020-02-21</v>
      </c>
      <c r="C729" s="1">
        <v>3.2572999999999999</v>
      </c>
    </row>
    <row r="730" spans="1:3" x14ac:dyDescent="0.2">
      <c r="A730" s="1">
        <v>32923</v>
      </c>
      <c r="B730" s="1" t="str">
        <v>2020-02-21</v>
      </c>
      <c r="C730" s="1">
        <v>4.0526</v>
      </c>
    </row>
    <row r="731" spans="1:3" x14ac:dyDescent="0.2">
      <c r="A731" s="1">
        <v>49</v>
      </c>
      <c r="B731" s="1" t="str">
        <v>2020-02-21</v>
      </c>
      <c r="C731" s="1">
        <v>2.9895999999999998</v>
      </c>
    </row>
    <row r="732" spans="1:3" x14ac:dyDescent="0.2">
      <c r="A732" s="1">
        <v>53</v>
      </c>
      <c r="B732" s="1" t="str">
        <v>2020-02-21</v>
      </c>
      <c r="C732" s="1">
        <v>3.1432000000000002</v>
      </c>
    </row>
    <row r="733" spans="1:3" x14ac:dyDescent="0.2">
      <c r="A733" s="1">
        <v>13250</v>
      </c>
      <c r="B733" s="1" t="str">
        <v>2020-02-21</v>
      </c>
      <c r="C733" s="1">
        <v>2.6815000000000002</v>
      </c>
    </row>
    <row r="734" spans="1:3" x14ac:dyDescent="0.2">
      <c r="A734" s="1">
        <v>33083</v>
      </c>
      <c r="B734" s="1" t="str">
        <v>2020-02-21</v>
      </c>
      <c r="C734" s="1">
        <v>3.2671000000000001</v>
      </c>
    </row>
    <row r="735" spans="1:3" x14ac:dyDescent="0.2">
      <c r="A735" s="1">
        <v>187</v>
      </c>
      <c r="B735" s="1" t="str">
        <v>2020-02-21</v>
      </c>
      <c r="C735" s="1">
        <v>3.1949000000000001</v>
      </c>
    </row>
    <row r="736" spans="1:3" x14ac:dyDescent="0.2">
      <c r="A736" s="1">
        <v>146</v>
      </c>
      <c r="B736" s="1" t="str">
        <v>2020-02-21</v>
      </c>
      <c r="C736" s="1">
        <v>3.2467000000000001</v>
      </c>
    </row>
    <row r="737" spans="1:3" x14ac:dyDescent="0.2">
      <c r="A737" s="1">
        <v>24250</v>
      </c>
      <c r="B737" s="1" t="str">
        <v>2020-02-21</v>
      </c>
      <c r="C737" s="1">
        <v>3.2155</v>
      </c>
    </row>
    <row r="738" spans="1:3" x14ac:dyDescent="0.2">
      <c r="A738" s="1">
        <v>153</v>
      </c>
      <c r="B738" s="1" t="str">
        <v>2020-02-26</v>
      </c>
      <c r="C738" s="1">
        <v>3.3603999999999998</v>
      </c>
    </row>
    <row r="739" spans="1:3" x14ac:dyDescent="0.2">
      <c r="A739" s="1">
        <v>28</v>
      </c>
      <c r="B739" s="1" t="str">
        <v>2020-02-26</v>
      </c>
      <c r="C739" s="1">
        <v>3.0204</v>
      </c>
    </row>
    <row r="740" spans="1:3" x14ac:dyDescent="0.2">
      <c r="A740" s="1">
        <v>32724</v>
      </c>
      <c r="B740" s="1" t="str">
        <v>2020-02-26</v>
      </c>
      <c r="C740" s="1">
        <v>3.2366999999999999</v>
      </c>
    </row>
    <row r="741" spans="1:3" x14ac:dyDescent="0.2">
      <c r="A741" s="1">
        <v>132</v>
      </c>
      <c r="B741" s="1" t="str">
        <v>2020-02-26</v>
      </c>
      <c r="C741" s="1">
        <v>3.0409000000000002</v>
      </c>
    </row>
    <row r="742" spans="1:3" x14ac:dyDescent="0.2">
      <c r="A742" s="1">
        <v>28</v>
      </c>
      <c r="B742" s="1" t="str">
        <v>2020-02-27</v>
      </c>
      <c r="C742" s="1">
        <v>3</v>
      </c>
    </row>
    <row r="743" spans="1:3" x14ac:dyDescent="0.2">
      <c r="A743" s="1">
        <v>90</v>
      </c>
      <c r="B743" s="1" t="str">
        <v>2020-02-27</v>
      </c>
      <c r="C743" s="1">
        <v>3.3908999999999998</v>
      </c>
    </row>
    <row r="744" spans="1:3" x14ac:dyDescent="0.2">
      <c r="A744" s="1">
        <v>34</v>
      </c>
      <c r="B744" s="1" t="str">
        <v>2020-02-27</v>
      </c>
      <c r="C744" s="1">
        <v>3.2265000000000001</v>
      </c>
    </row>
    <row r="745" spans="1:3" x14ac:dyDescent="0.2">
      <c r="A745" s="1">
        <v>30350</v>
      </c>
      <c r="B745" s="1" t="str">
        <v>2020-02-27</v>
      </c>
      <c r="C745" s="1">
        <v>3.4014000000000002</v>
      </c>
    </row>
    <row r="746" spans="1:3" x14ac:dyDescent="0.2">
      <c r="A746" s="1">
        <v>115</v>
      </c>
      <c r="B746" s="1" t="str">
        <v>2020-02-27</v>
      </c>
      <c r="C746" s="1">
        <v>3.4424999999999999</v>
      </c>
    </row>
    <row r="747" spans="1:3" x14ac:dyDescent="0.2">
      <c r="A747" s="1">
        <v>32222</v>
      </c>
      <c r="B747" s="1" t="str">
        <v>2020-02-27</v>
      </c>
      <c r="C747" s="1">
        <v>2.9072</v>
      </c>
    </row>
    <row r="748" spans="1:3" x14ac:dyDescent="0.2">
      <c r="A748" s="1">
        <v>32703</v>
      </c>
      <c r="B748" s="1" t="str">
        <v>2020-02-27</v>
      </c>
      <c r="C748" s="1">
        <v>3.5143</v>
      </c>
    </row>
    <row r="749" spans="1:3" x14ac:dyDescent="0.2">
      <c r="A749" s="1">
        <v>77</v>
      </c>
      <c r="B749" s="1" t="str">
        <v>2020-02-27</v>
      </c>
      <c r="C749" s="1">
        <v>3.2158000000000002</v>
      </c>
    </row>
    <row r="750" spans="1:3" x14ac:dyDescent="0.2">
      <c r="A750" s="1">
        <v>32421</v>
      </c>
      <c r="B750" s="1" t="str">
        <v>2020-02-27</v>
      </c>
      <c r="C750" s="1">
        <v>3.1492</v>
      </c>
    </row>
    <row r="751" spans="1:3" x14ac:dyDescent="0.2">
      <c r="A751" s="1">
        <v>16</v>
      </c>
      <c r="B751" s="1" t="str">
        <v>2020-02-28</v>
      </c>
      <c r="C751" s="1">
        <v>3.2149000000000001</v>
      </c>
    </row>
    <row r="752" spans="1:3" x14ac:dyDescent="0.2">
      <c r="A752" s="1">
        <v>182</v>
      </c>
      <c r="B752" s="1" t="str">
        <v>2020-02-28</v>
      </c>
      <c r="C752" s="1">
        <v>3.3188</v>
      </c>
    </row>
    <row r="753" spans="1:3" x14ac:dyDescent="0.2">
      <c r="A753" s="1">
        <v>33103</v>
      </c>
      <c r="B753" s="1" t="str">
        <v>2020-02-28</v>
      </c>
      <c r="C753" s="1">
        <v>3.9413</v>
      </c>
    </row>
    <row r="754" spans="1:3" x14ac:dyDescent="0.2">
      <c r="A754" s="1">
        <v>32724</v>
      </c>
      <c r="B754" s="1" t="str">
        <v>2020-02-28</v>
      </c>
      <c r="C754" s="1">
        <v>3.1440000000000001</v>
      </c>
    </row>
    <row r="755" spans="1:3" x14ac:dyDescent="0.2">
      <c r="A755" s="1">
        <v>33003</v>
      </c>
      <c r="B755" s="1" t="str">
        <v>2020-02-28</v>
      </c>
      <c r="C755" s="1">
        <v>3</v>
      </c>
    </row>
    <row r="756" spans="1:3" x14ac:dyDescent="0.2">
      <c r="A756" s="1">
        <v>147</v>
      </c>
      <c r="B756" s="1" t="str">
        <v>2020-02-28</v>
      </c>
      <c r="C756" s="1">
        <v>2.9379</v>
      </c>
    </row>
    <row r="757" spans="1:3" x14ac:dyDescent="0.2">
      <c r="A757" s="1">
        <v>99</v>
      </c>
      <c r="B757" s="1" t="str">
        <v>2020-02-28</v>
      </c>
      <c r="C757" s="1">
        <v>3.4013</v>
      </c>
    </row>
    <row r="758" spans="1:3" x14ac:dyDescent="0.2">
      <c r="A758" s="1">
        <v>32863</v>
      </c>
      <c r="B758" s="1" t="str">
        <v>2020-02-28</v>
      </c>
      <c r="C758" s="1">
        <v>3.0295999999999998</v>
      </c>
    </row>
    <row r="759" spans="1:3" x14ac:dyDescent="0.2">
      <c r="A759" s="1">
        <v>81</v>
      </c>
      <c r="B759" s="1" t="str">
        <v>2020-02-28</v>
      </c>
      <c r="C759" s="1">
        <v>3.2469000000000001</v>
      </c>
    </row>
    <row r="760" spans="1:3" x14ac:dyDescent="0.2">
      <c r="A760" s="1">
        <v>156</v>
      </c>
      <c r="B760" s="1" t="str">
        <v>2020-02-28</v>
      </c>
      <c r="C760" s="1">
        <v>3.5047999999999999</v>
      </c>
    </row>
    <row r="761" spans="1:3" x14ac:dyDescent="0.2">
      <c r="A761" s="1">
        <v>171</v>
      </c>
      <c r="B761" s="1" t="str">
        <v>2020-02-28</v>
      </c>
      <c r="C761" s="1">
        <v>3.0512999999999999</v>
      </c>
    </row>
    <row r="762" spans="1:3" x14ac:dyDescent="0.2">
      <c r="A762" s="1">
        <v>176</v>
      </c>
      <c r="B762" s="1" t="str">
        <v>2020-02-28</v>
      </c>
      <c r="C762" s="1">
        <v>3.1128</v>
      </c>
    </row>
    <row r="763" spans="1:3" x14ac:dyDescent="0.2">
      <c r="A763" s="1">
        <v>33023</v>
      </c>
      <c r="B763" s="1" t="str">
        <v>2020-02-28</v>
      </c>
      <c r="C763" s="1">
        <v>3</v>
      </c>
    </row>
    <row r="764" spans="1:3" x14ac:dyDescent="0.2">
      <c r="A764" s="1">
        <v>49</v>
      </c>
      <c r="B764" s="1" t="str">
        <v>2020-02-28</v>
      </c>
      <c r="C764" s="1">
        <v>2.8868999999999998</v>
      </c>
    </row>
    <row r="765" spans="1:3" x14ac:dyDescent="0.2">
      <c r="A765" s="1">
        <v>32260</v>
      </c>
      <c r="B765" s="1" t="str">
        <v>2020-02-28</v>
      </c>
      <c r="C765" s="1">
        <v>3.1844000000000001</v>
      </c>
    </row>
    <row r="766" spans="1:3" x14ac:dyDescent="0.2">
      <c r="A766" s="1">
        <v>33125</v>
      </c>
      <c r="B766" s="1" t="str">
        <v>2020-02-28</v>
      </c>
      <c r="C766" s="1">
        <v>2.9384000000000001</v>
      </c>
    </row>
    <row r="767" spans="1:3" x14ac:dyDescent="0.2">
      <c r="A767" s="1">
        <v>133</v>
      </c>
      <c r="B767" s="1" t="str">
        <v>2020-02-28</v>
      </c>
      <c r="C767" s="1">
        <v>3.2568999999999999</v>
      </c>
    </row>
    <row r="768" spans="1:3" x14ac:dyDescent="0.2">
      <c r="A768" s="1">
        <v>150</v>
      </c>
      <c r="B768" s="1" t="str">
        <v>2020-02-28</v>
      </c>
      <c r="C768" s="1">
        <v>3.6429999999999998</v>
      </c>
    </row>
    <row r="769" spans="1:3" x14ac:dyDescent="0.2">
      <c r="A769" s="1">
        <v>187</v>
      </c>
      <c r="B769" s="1" t="str">
        <v>2020-02-28</v>
      </c>
      <c r="C769" s="1">
        <v>3.133</v>
      </c>
    </row>
    <row r="770" spans="1:3" x14ac:dyDescent="0.2">
      <c r="A770" s="1">
        <v>32923</v>
      </c>
      <c r="B770" s="1" t="str">
        <v>2020-02-28</v>
      </c>
      <c r="C770" s="1">
        <v>4.1565000000000003</v>
      </c>
    </row>
    <row r="771" spans="1:3" x14ac:dyDescent="0.2">
      <c r="A771" s="1">
        <v>33164</v>
      </c>
      <c r="B771" s="1" t="str">
        <v>2020-02-28</v>
      </c>
      <c r="C771" s="1">
        <v>2.8250000000000002</v>
      </c>
    </row>
    <row r="772" spans="1:3" x14ac:dyDescent="0.2">
      <c r="A772" s="1">
        <v>109</v>
      </c>
      <c r="B772" s="1" t="str">
        <v>2020-02-28</v>
      </c>
      <c r="C772" s="1">
        <v>3.0514000000000001</v>
      </c>
    </row>
    <row r="773" spans="1:3" x14ac:dyDescent="0.2">
      <c r="A773" s="1">
        <v>181</v>
      </c>
      <c r="B773" s="1" t="str">
        <v>2020-02-28</v>
      </c>
      <c r="C773" s="1">
        <v>3.0823</v>
      </c>
    </row>
    <row r="774" spans="1:3" x14ac:dyDescent="0.2">
      <c r="A774" s="1">
        <v>2250</v>
      </c>
      <c r="B774" s="1" t="str">
        <v>2020-02-28</v>
      </c>
      <c r="C774" s="1">
        <v>2.9171999999999998</v>
      </c>
    </row>
    <row r="775" spans="1:3" x14ac:dyDescent="0.2">
      <c r="A775" s="1">
        <v>10</v>
      </c>
      <c r="B775" s="1" t="str">
        <v>2020-02-28</v>
      </c>
      <c r="C775" s="1">
        <v>3.3290999999999999</v>
      </c>
    </row>
    <row r="776" spans="1:3" x14ac:dyDescent="0.2">
      <c r="A776" s="1">
        <v>184</v>
      </c>
      <c r="B776" s="1" t="str">
        <v>2020-02-28</v>
      </c>
      <c r="C776" s="1">
        <v>3.1884000000000001</v>
      </c>
    </row>
    <row r="777" spans="1:3" x14ac:dyDescent="0.2">
      <c r="A777" s="1">
        <v>184</v>
      </c>
      <c r="B777" s="1" t="str">
        <v>2020-03-02</v>
      </c>
      <c r="C777" s="1">
        <v>3.0188000000000001</v>
      </c>
    </row>
    <row r="778" spans="1:3" x14ac:dyDescent="0.2">
      <c r="A778" s="1">
        <v>32280</v>
      </c>
      <c r="B778" s="1" t="str">
        <v>2020-03-02</v>
      </c>
      <c r="C778" s="1">
        <v>3.2</v>
      </c>
    </row>
    <row r="779" spans="1:3" x14ac:dyDescent="0.2">
      <c r="A779" s="1">
        <v>32421</v>
      </c>
      <c r="B779" s="1" t="str">
        <v>2020-03-02</v>
      </c>
      <c r="C779" s="1">
        <v>3.0442</v>
      </c>
    </row>
    <row r="780" spans="1:3" x14ac:dyDescent="0.2">
      <c r="A780" s="1">
        <v>33129</v>
      </c>
      <c r="B780" s="1" t="str">
        <v>2020-03-02</v>
      </c>
      <c r="C780" s="1">
        <v>2.9070999999999998</v>
      </c>
    </row>
    <row r="781" spans="1:3" x14ac:dyDescent="0.2">
      <c r="A781" s="1">
        <v>32663</v>
      </c>
      <c r="B781" s="1" t="str">
        <v>2020-03-02</v>
      </c>
      <c r="C781" s="1">
        <v>3.4636999999999998</v>
      </c>
    </row>
    <row r="782" spans="1:3" x14ac:dyDescent="0.2">
      <c r="A782" s="1">
        <v>20</v>
      </c>
      <c r="B782" s="1" t="str">
        <v>2020-03-02</v>
      </c>
      <c r="C782" s="1">
        <v>3.2980999999999998</v>
      </c>
    </row>
    <row r="783" spans="1:3" x14ac:dyDescent="0.2">
      <c r="A783" s="1">
        <v>178</v>
      </c>
      <c r="B783" s="1" t="str">
        <v>2020-03-02</v>
      </c>
      <c r="C783" s="1">
        <v>3.2589999999999999</v>
      </c>
    </row>
    <row r="784" spans="1:3" x14ac:dyDescent="0.2">
      <c r="A784" s="1">
        <v>49</v>
      </c>
      <c r="B784" s="1" t="str">
        <v>2020-03-02</v>
      </c>
      <c r="C784" s="1">
        <v>2.8252000000000002</v>
      </c>
    </row>
    <row r="785" spans="1:3" x14ac:dyDescent="0.2">
      <c r="A785" s="1">
        <v>137</v>
      </c>
      <c r="B785" s="1" t="str">
        <v>2020-03-03</v>
      </c>
      <c r="C785" s="1">
        <v>3.0411000000000001</v>
      </c>
    </row>
    <row r="786" spans="1:3" x14ac:dyDescent="0.2">
      <c r="A786" s="1">
        <v>32082</v>
      </c>
      <c r="B786" s="1" t="str">
        <v>2020-03-03</v>
      </c>
      <c r="C786" s="1">
        <v>3.2665999999999999</v>
      </c>
    </row>
    <row r="787" spans="1:3" x14ac:dyDescent="0.2">
      <c r="A787" s="1">
        <v>32200</v>
      </c>
      <c r="B787" s="1" t="str">
        <v>2020-03-03</v>
      </c>
      <c r="C787" s="1">
        <v>2.6604000000000001</v>
      </c>
    </row>
    <row r="788" spans="1:3" x14ac:dyDescent="0.2">
      <c r="A788" s="1">
        <v>49</v>
      </c>
      <c r="B788" s="1" t="str">
        <v>2020-03-04</v>
      </c>
      <c r="C788" s="1">
        <v>2.7330000000000001</v>
      </c>
    </row>
    <row r="789" spans="1:3" x14ac:dyDescent="0.2">
      <c r="A789" s="1">
        <v>32222</v>
      </c>
      <c r="B789" s="1" t="str">
        <v>2020-03-04</v>
      </c>
      <c r="C789" s="1">
        <v>2.7530000000000001</v>
      </c>
    </row>
    <row r="790" spans="1:3" x14ac:dyDescent="0.2">
      <c r="A790" s="1">
        <v>2250</v>
      </c>
      <c r="B790" s="1" t="str">
        <v>2020-03-04</v>
      </c>
      <c r="C790" s="1">
        <v>2.9171999999999998</v>
      </c>
    </row>
    <row r="791" spans="1:3" x14ac:dyDescent="0.2">
      <c r="A791" s="1">
        <v>101</v>
      </c>
      <c r="B791" s="1" t="str">
        <v>2020-03-04</v>
      </c>
      <c r="C791" s="1">
        <v>3.3187000000000002</v>
      </c>
    </row>
    <row r="792" spans="1:3" x14ac:dyDescent="0.2">
      <c r="A792" s="1">
        <v>164</v>
      </c>
      <c r="B792" s="1" t="str">
        <v>2020-03-04</v>
      </c>
      <c r="C792" s="1">
        <v>3.5457000000000001</v>
      </c>
    </row>
    <row r="793" spans="1:3" x14ac:dyDescent="0.2">
      <c r="A793" s="1">
        <v>32803</v>
      </c>
      <c r="B793" s="1" t="str">
        <v>2020-03-04</v>
      </c>
      <c r="C793" s="1">
        <v>3.0203000000000002</v>
      </c>
    </row>
    <row r="794" spans="1:3" x14ac:dyDescent="0.2">
      <c r="A794" s="1">
        <v>115</v>
      </c>
      <c r="B794" s="1" t="str">
        <v>2020-03-05</v>
      </c>
      <c r="C794" s="1">
        <v>3.4424999999999999</v>
      </c>
    </row>
    <row r="795" spans="1:3" x14ac:dyDescent="0.2">
      <c r="A795" s="1">
        <v>147</v>
      </c>
      <c r="B795" s="1" t="str">
        <v>2020-03-05</v>
      </c>
      <c r="C795" s="1">
        <v>2.61</v>
      </c>
    </row>
    <row r="796" spans="1:3" x14ac:dyDescent="0.2">
      <c r="A796" s="1">
        <v>32</v>
      </c>
      <c r="B796" s="1" t="str">
        <v>2020-03-05</v>
      </c>
      <c r="C796" s="1">
        <v>3.4014000000000002</v>
      </c>
    </row>
    <row r="797" spans="1:3" x14ac:dyDescent="0.2">
      <c r="A797" s="1">
        <v>32500</v>
      </c>
      <c r="B797" s="1" t="str">
        <v>2020-03-05</v>
      </c>
      <c r="C797" s="1">
        <v>3.1646999999999998</v>
      </c>
    </row>
    <row r="798" spans="1:3" x14ac:dyDescent="0.2">
      <c r="A798" s="1">
        <v>67</v>
      </c>
      <c r="B798" s="1" t="str">
        <v>2020-03-05</v>
      </c>
      <c r="C798" s="1">
        <v>3.3290999999999999</v>
      </c>
    </row>
    <row r="799" spans="1:3" x14ac:dyDescent="0.2">
      <c r="A799" s="1">
        <v>30250</v>
      </c>
      <c r="B799" s="1" t="str">
        <v>2020-03-05</v>
      </c>
      <c r="C799" s="1">
        <v>2.9998</v>
      </c>
    </row>
    <row r="800" spans="1:3" x14ac:dyDescent="0.2">
      <c r="A800" s="1">
        <v>139</v>
      </c>
      <c r="B800" s="1" t="str">
        <v>2020-03-05</v>
      </c>
      <c r="C800" s="1">
        <v>3.4426000000000001</v>
      </c>
    </row>
    <row r="801" spans="1:3" x14ac:dyDescent="0.2">
      <c r="A801" s="1">
        <v>32560</v>
      </c>
      <c r="B801" s="1" t="str">
        <v>2020-03-05</v>
      </c>
      <c r="C801" s="1">
        <v>3.2052999999999998</v>
      </c>
    </row>
    <row r="802" spans="1:3" x14ac:dyDescent="0.2">
      <c r="A802" s="1">
        <v>32883</v>
      </c>
      <c r="B802" s="1" t="str">
        <v>2020-03-05</v>
      </c>
      <c r="C802" s="1">
        <v>2.9272</v>
      </c>
    </row>
    <row r="803" spans="1:3" x14ac:dyDescent="0.2">
      <c r="A803" s="1">
        <v>187</v>
      </c>
      <c r="B803" s="1" t="str">
        <v>2020-03-05</v>
      </c>
      <c r="C803" s="1">
        <v>3.133</v>
      </c>
    </row>
    <row r="804" spans="1:3" x14ac:dyDescent="0.2">
      <c r="A804" s="1">
        <v>32724</v>
      </c>
      <c r="B804" s="1" t="str">
        <v>2020-03-05</v>
      </c>
      <c r="C804" s="1">
        <v>3.1440000000000001</v>
      </c>
    </row>
    <row r="805" spans="1:3" x14ac:dyDescent="0.2">
      <c r="A805" s="1">
        <v>33143</v>
      </c>
      <c r="B805" s="1" t="str">
        <v>2020-03-05</v>
      </c>
      <c r="C805" s="1">
        <v>3.6</v>
      </c>
    </row>
    <row r="806" spans="1:3" x14ac:dyDescent="0.2">
      <c r="A806" s="1">
        <v>32400</v>
      </c>
      <c r="B806" s="1" t="str">
        <v>2020-03-06</v>
      </c>
      <c r="C806" s="1">
        <v>3.5</v>
      </c>
    </row>
    <row r="807" spans="1:3" x14ac:dyDescent="0.2">
      <c r="A807" s="1">
        <v>176</v>
      </c>
      <c r="B807" s="1" t="str">
        <v>2020-03-06</v>
      </c>
      <c r="C807" s="1">
        <v>3.1128</v>
      </c>
    </row>
    <row r="808" spans="1:3" x14ac:dyDescent="0.2">
      <c r="A808" s="1">
        <v>67</v>
      </c>
      <c r="B808" s="1" t="str">
        <v>2020-03-06</v>
      </c>
      <c r="C808" s="1">
        <v>3.2568999999999999</v>
      </c>
    </row>
    <row r="809" spans="1:3" x14ac:dyDescent="0.2">
      <c r="A809" s="1">
        <v>33129</v>
      </c>
      <c r="B809" s="1" t="str">
        <v>2020-03-06</v>
      </c>
      <c r="C809" s="1">
        <v>2.9070999999999998</v>
      </c>
    </row>
    <row r="810" spans="1:3" x14ac:dyDescent="0.2">
      <c r="A810" s="1">
        <v>33023</v>
      </c>
      <c r="B810" s="1" t="str">
        <v>2020-03-06</v>
      </c>
      <c r="C810" s="1">
        <v>3</v>
      </c>
    </row>
    <row r="811" spans="1:3" x14ac:dyDescent="0.2">
      <c r="A811" s="1">
        <v>150</v>
      </c>
      <c r="B811" s="1" t="str">
        <v>2020-03-06</v>
      </c>
      <c r="C811" s="1">
        <v>3.6429999999999998</v>
      </c>
    </row>
    <row r="812" spans="1:3" x14ac:dyDescent="0.2">
      <c r="A812" s="1">
        <v>182</v>
      </c>
      <c r="B812" s="1" t="str">
        <v>2020-03-06</v>
      </c>
      <c r="C812" s="1">
        <v>3.2467999999999999</v>
      </c>
    </row>
    <row r="813" spans="1:3" x14ac:dyDescent="0.2">
      <c r="A813" s="1">
        <v>32360</v>
      </c>
      <c r="B813" s="1" t="str">
        <v>2020-03-06</v>
      </c>
      <c r="C813" s="1">
        <v>3.1644000000000001</v>
      </c>
    </row>
    <row r="814" spans="1:3" x14ac:dyDescent="0.2">
      <c r="A814" s="1">
        <v>99</v>
      </c>
      <c r="B814" s="1" t="str">
        <v>2020-03-06</v>
      </c>
      <c r="C814" s="1">
        <v>3.5045999999999999</v>
      </c>
    </row>
    <row r="815" spans="1:3" x14ac:dyDescent="0.2">
      <c r="A815" s="1">
        <v>81</v>
      </c>
      <c r="B815" s="1" t="str">
        <v>2020-03-06</v>
      </c>
      <c r="C815" s="1">
        <v>3.1953999999999998</v>
      </c>
    </row>
    <row r="816" spans="1:3" x14ac:dyDescent="0.2">
      <c r="A816" s="1">
        <v>72</v>
      </c>
      <c r="B816" s="1" t="str">
        <v>2020-03-06</v>
      </c>
      <c r="C816" s="1">
        <v>2.9897999999999998</v>
      </c>
    </row>
    <row r="817" spans="1:3" x14ac:dyDescent="0.2">
      <c r="A817" s="1">
        <v>32803</v>
      </c>
      <c r="B817" s="1" t="str">
        <v>2020-03-06</v>
      </c>
      <c r="C817" s="1">
        <v>2.9382000000000001</v>
      </c>
    </row>
    <row r="818" spans="1:3" x14ac:dyDescent="0.2">
      <c r="A818" s="1">
        <v>191</v>
      </c>
      <c r="B818" s="1" t="str">
        <v>2020-03-06</v>
      </c>
      <c r="C818" s="1">
        <v>3.1640999999999999</v>
      </c>
    </row>
    <row r="819" spans="1:3" x14ac:dyDescent="0.2">
      <c r="A819" s="1">
        <v>33103</v>
      </c>
      <c r="B819" s="1" t="str">
        <v>2020-03-06</v>
      </c>
      <c r="C819" s="1">
        <v>3.9413</v>
      </c>
    </row>
    <row r="820" spans="1:3" x14ac:dyDescent="0.2">
      <c r="A820" s="1">
        <v>102</v>
      </c>
      <c r="B820" s="1" t="str">
        <v>2020-03-06</v>
      </c>
      <c r="C820" s="1">
        <v>3.0821000000000001</v>
      </c>
    </row>
    <row r="821" spans="1:3" x14ac:dyDescent="0.2">
      <c r="A821" s="1">
        <v>78</v>
      </c>
      <c r="B821" s="1" t="str">
        <v>2020-03-06</v>
      </c>
      <c r="C821" s="1">
        <v>3.2982999999999998</v>
      </c>
    </row>
    <row r="822" spans="1:3" x14ac:dyDescent="0.2">
      <c r="A822" s="1">
        <v>32863</v>
      </c>
      <c r="B822" s="1" t="str">
        <v>2020-03-06</v>
      </c>
      <c r="C822" s="1">
        <v>2.8864000000000001</v>
      </c>
    </row>
    <row r="823" spans="1:3" x14ac:dyDescent="0.2">
      <c r="A823" s="1">
        <v>2250</v>
      </c>
      <c r="B823" s="1" t="str">
        <v>2020-03-06</v>
      </c>
      <c r="C823" s="1">
        <v>2.8456000000000001</v>
      </c>
    </row>
    <row r="824" spans="1:3" x14ac:dyDescent="0.2">
      <c r="A824" s="1">
        <v>156</v>
      </c>
      <c r="B824" s="1" t="str">
        <v>2020-03-06</v>
      </c>
      <c r="C824" s="1">
        <v>3.3088000000000002</v>
      </c>
    </row>
    <row r="825" spans="1:3" x14ac:dyDescent="0.2">
      <c r="A825" s="1">
        <v>177</v>
      </c>
      <c r="B825" s="1" t="str">
        <v>2020-03-06</v>
      </c>
      <c r="C825" s="1">
        <v>3.3184999999999998</v>
      </c>
    </row>
    <row r="826" spans="1:3" x14ac:dyDescent="0.2">
      <c r="A826" s="1">
        <v>49</v>
      </c>
      <c r="B826" s="1" t="str">
        <v>2020-03-06</v>
      </c>
      <c r="C826" s="1">
        <v>2.8151000000000002</v>
      </c>
    </row>
    <row r="827" spans="1:3" x14ac:dyDescent="0.2">
      <c r="A827" s="1">
        <v>32583</v>
      </c>
      <c r="B827" s="1" t="str">
        <v>2020-03-06</v>
      </c>
      <c r="C827" s="1">
        <v>3.05</v>
      </c>
    </row>
    <row r="828" spans="1:3" x14ac:dyDescent="0.2">
      <c r="A828" s="1">
        <v>176</v>
      </c>
      <c r="B828" s="1" t="str">
        <v>2020-03-09</v>
      </c>
      <c r="C828" s="1">
        <v>3.1231</v>
      </c>
    </row>
    <row r="829" spans="1:3" x14ac:dyDescent="0.2">
      <c r="A829" s="1">
        <v>10</v>
      </c>
      <c r="B829" s="1" t="str">
        <v>2020-03-09</v>
      </c>
      <c r="C829" s="1">
        <v>3.2158000000000002</v>
      </c>
    </row>
    <row r="830" spans="1:3" x14ac:dyDescent="0.2">
      <c r="A830" s="1">
        <v>90</v>
      </c>
      <c r="B830" s="1" t="str">
        <v>2020-03-09</v>
      </c>
      <c r="C830" s="1">
        <v>3.298</v>
      </c>
    </row>
    <row r="831" spans="1:3" x14ac:dyDescent="0.2">
      <c r="A831" s="1">
        <v>94</v>
      </c>
      <c r="B831" s="1" t="str">
        <v>2020-03-09</v>
      </c>
      <c r="C831" s="1">
        <v>3.35</v>
      </c>
    </row>
    <row r="832" spans="1:3" x14ac:dyDescent="0.2">
      <c r="A832" s="1">
        <v>32360</v>
      </c>
      <c r="B832" s="1" t="str">
        <v>2020-03-09</v>
      </c>
      <c r="C832" s="1">
        <v>2.7534999999999998</v>
      </c>
    </row>
    <row r="833" spans="1:3" x14ac:dyDescent="0.2">
      <c r="A833" s="1">
        <v>33023</v>
      </c>
      <c r="B833" s="1" t="str">
        <v>2020-03-09</v>
      </c>
      <c r="C833" s="1">
        <v>3</v>
      </c>
    </row>
    <row r="834" spans="1:3" x14ac:dyDescent="0.2">
      <c r="A834" s="1">
        <v>32724</v>
      </c>
      <c r="B834" s="1" t="str">
        <v>2020-03-09</v>
      </c>
      <c r="C834" s="1">
        <v>2.9178999999999999</v>
      </c>
    </row>
    <row r="835" spans="1:3" x14ac:dyDescent="0.2">
      <c r="A835" s="1">
        <v>53</v>
      </c>
      <c r="B835" s="1" t="str">
        <v>2020-03-09</v>
      </c>
      <c r="C835" s="1">
        <v>3.1844999999999999</v>
      </c>
    </row>
    <row r="836" spans="1:3" x14ac:dyDescent="0.2">
      <c r="A836" s="1">
        <v>32421</v>
      </c>
      <c r="B836" s="1" t="str">
        <v>2020-03-09</v>
      </c>
      <c r="C836" s="1">
        <v>3.0293000000000001</v>
      </c>
    </row>
    <row r="837" spans="1:3" x14ac:dyDescent="0.2">
      <c r="A837" s="1">
        <v>157</v>
      </c>
      <c r="B837" s="1" t="str">
        <v>2020-03-09</v>
      </c>
      <c r="C837" s="1">
        <v>3.3</v>
      </c>
    </row>
    <row r="838" spans="1:3" x14ac:dyDescent="0.2">
      <c r="A838" s="1">
        <v>132</v>
      </c>
      <c r="B838" s="1" t="str">
        <v>2020-03-09</v>
      </c>
      <c r="C838" s="1">
        <v>2.6614</v>
      </c>
    </row>
    <row r="839" spans="1:3" x14ac:dyDescent="0.2">
      <c r="A839" s="1">
        <v>147</v>
      </c>
      <c r="B839" s="1" t="str">
        <v>2020-03-09</v>
      </c>
      <c r="C839" s="1">
        <v>2.4567000000000001</v>
      </c>
    </row>
    <row r="840" spans="1:3" x14ac:dyDescent="0.2">
      <c r="A840" s="1">
        <v>33125</v>
      </c>
      <c r="B840" s="1" t="str">
        <v>2020-03-09</v>
      </c>
      <c r="C840" s="1">
        <v>2.5689000000000002</v>
      </c>
    </row>
    <row r="841" spans="1:3" x14ac:dyDescent="0.2">
      <c r="A841" s="1">
        <v>32081</v>
      </c>
      <c r="B841" s="1" t="str">
        <v>2020-03-09</v>
      </c>
      <c r="C841" s="1">
        <v>2.4666999999999999</v>
      </c>
    </row>
    <row r="842" spans="1:3" x14ac:dyDescent="0.2">
      <c r="A842" s="1">
        <v>32401</v>
      </c>
      <c r="B842" s="1" t="str">
        <v>2020-03-10</v>
      </c>
      <c r="C842" s="1">
        <v>3.5041000000000002</v>
      </c>
    </row>
    <row r="843" spans="1:3" x14ac:dyDescent="0.2">
      <c r="A843" s="1">
        <v>2250</v>
      </c>
      <c r="B843" s="1" t="str">
        <v>2020-03-10</v>
      </c>
      <c r="C843" s="1">
        <v>2.5994000000000002</v>
      </c>
    </row>
    <row r="844" spans="1:3" x14ac:dyDescent="0.2">
      <c r="A844" s="1">
        <v>178</v>
      </c>
      <c r="B844" s="1" t="str">
        <v>2020-03-10</v>
      </c>
      <c r="C844" s="1">
        <v>3.2644000000000002</v>
      </c>
    </row>
    <row r="845" spans="1:3" x14ac:dyDescent="0.2">
      <c r="A845" s="1">
        <v>32521</v>
      </c>
      <c r="B845" s="1" t="str">
        <v>2020-03-10</v>
      </c>
      <c r="C845" s="1">
        <v>3.7</v>
      </c>
    </row>
    <row r="846" spans="1:3" x14ac:dyDescent="0.2">
      <c r="A846" s="1">
        <v>49</v>
      </c>
      <c r="B846" s="1" t="str">
        <v>2020-03-10</v>
      </c>
      <c r="C846" s="1">
        <v>2.8151000000000002</v>
      </c>
    </row>
    <row r="847" spans="1:3" x14ac:dyDescent="0.2">
      <c r="A847" s="1">
        <v>32502</v>
      </c>
      <c r="B847" s="1" t="str">
        <v>2020-03-10</v>
      </c>
      <c r="C847" s="1">
        <v>3.0409999999999999</v>
      </c>
    </row>
    <row r="848" spans="1:3" x14ac:dyDescent="0.2">
      <c r="A848" s="1">
        <v>32360</v>
      </c>
      <c r="B848" s="1" t="str">
        <v>2020-03-11</v>
      </c>
      <c r="C848" s="1">
        <v>2.5922000000000001</v>
      </c>
    </row>
    <row r="849" spans="1:3" x14ac:dyDescent="0.2">
      <c r="A849" s="1">
        <v>139</v>
      </c>
      <c r="B849" s="1" t="str">
        <v>2020-03-11</v>
      </c>
      <c r="C849" s="1">
        <v>3.2052999999999998</v>
      </c>
    </row>
    <row r="850" spans="1:3" x14ac:dyDescent="0.2">
      <c r="A850" s="1">
        <v>132</v>
      </c>
      <c r="B850" s="1" t="str">
        <v>2020-03-11</v>
      </c>
      <c r="C850" s="1">
        <v>2.6922000000000001</v>
      </c>
    </row>
    <row r="851" spans="1:3" x14ac:dyDescent="0.2">
      <c r="A851" s="1">
        <v>32121</v>
      </c>
      <c r="B851" s="1" t="str">
        <v>2020-03-11</v>
      </c>
      <c r="C851" s="1">
        <v>2.7734999999999999</v>
      </c>
    </row>
    <row r="852" spans="1:3" x14ac:dyDescent="0.2">
      <c r="A852" s="1">
        <v>32923</v>
      </c>
      <c r="B852" s="1" t="str">
        <v>2020-03-11</v>
      </c>
      <c r="C852" s="1">
        <v>3.794</v>
      </c>
    </row>
    <row r="853" spans="1:3" x14ac:dyDescent="0.2">
      <c r="A853" s="1">
        <v>23250</v>
      </c>
      <c r="B853" s="1" t="str">
        <v>2020-03-11</v>
      </c>
      <c r="C853" s="1">
        <v>2.9998999999999998</v>
      </c>
    </row>
    <row r="854" spans="1:3" x14ac:dyDescent="0.2">
      <c r="A854" s="1">
        <v>33023</v>
      </c>
      <c r="B854" s="1" t="str">
        <v>2020-03-11</v>
      </c>
      <c r="C854" s="1">
        <v>3</v>
      </c>
    </row>
    <row r="855" spans="1:3" x14ac:dyDescent="0.2">
      <c r="A855" s="1">
        <v>32340</v>
      </c>
      <c r="B855" s="1" t="str">
        <v>2020-03-11</v>
      </c>
      <c r="C855" s="1">
        <v>3.0406</v>
      </c>
    </row>
    <row r="856" spans="1:3" x14ac:dyDescent="0.2">
      <c r="A856" s="1">
        <v>32081</v>
      </c>
      <c r="B856" s="1" t="str">
        <v>2020-03-11</v>
      </c>
      <c r="C856" s="1">
        <v>2.4771000000000001</v>
      </c>
    </row>
    <row r="857" spans="1:3" x14ac:dyDescent="0.2">
      <c r="A857" s="1">
        <v>147</v>
      </c>
      <c r="B857" s="1" t="str">
        <v>2020-03-11</v>
      </c>
      <c r="C857" s="1">
        <v>2.5589</v>
      </c>
    </row>
    <row r="858" spans="1:3" x14ac:dyDescent="0.2">
      <c r="A858" s="1">
        <v>32</v>
      </c>
      <c r="B858" s="1" t="str">
        <v>2020-03-11</v>
      </c>
      <c r="C858" s="1">
        <v>3.4788999999999999</v>
      </c>
    </row>
    <row r="859" spans="1:3" x14ac:dyDescent="0.2">
      <c r="A859" s="1">
        <v>32803</v>
      </c>
      <c r="B859" s="1" t="str">
        <v>2020-03-11</v>
      </c>
      <c r="C859" s="1">
        <v>2.7124999999999999</v>
      </c>
    </row>
    <row r="860" spans="1:3" x14ac:dyDescent="0.2">
      <c r="A860" s="1">
        <v>72</v>
      </c>
      <c r="B860" s="1" t="str">
        <v>2020-03-11</v>
      </c>
      <c r="C860" s="1">
        <v>3.0306999999999999</v>
      </c>
    </row>
    <row r="861" spans="1:3" x14ac:dyDescent="0.2">
      <c r="A861" s="1">
        <v>33103</v>
      </c>
      <c r="B861" s="1" t="str">
        <v>2020-03-11</v>
      </c>
      <c r="C861" s="1">
        <v>3.9466999999999999</v>
      </c>
    </row>
    <row r="862" spans="1:3" x14ac:dyDescent="0.2">
      <c r="A862" s="1">
        <v>32040</v>
      </c>
      <c r="B862" s="1" t="str">
        <v>2020-03-11</v>
      </c>
      <c r="C862" s="1">
        <v>3.0091000000000001</v>
      </c>
    </row>
    <row r="863" spans="1:3" x14ac:dyDescent="0.2">
      <c r="A863" s="1">
        <v>49</v>
      </c>
      <c r="B863" s="1" t="str">
        <v>2020-03-11</v>
      </c>
      <c r="C863" s="1">
        <v>2.9590000000000001</v>
      </c>
    </row>
    <row r="864" spans="1:3" x14ac:dyDescent="0.2">
      <c r="A864" s="1">
        <v>187</v>
      </c>
      <c r="B864" s="1" t="str">
        <v>2020-03-11</v>
      </c>
      <c r="C864" s="1">
        <v>2.7635000000000001</v>
      </c>
    </row>
    <row r="865" spans="1:3" x14ac:dyDescent="0.2">
      <c r="A865" s="1">
        <v>8</v>
      </c>
      <c r="B865" s="1" t="str">
        <v>2020-03-11</v>
      </c>
      <c r="C865" s="1">
        <v>3.3189000000000002</v>
      </c>
    </row>
    <row r="866" spans="1:3" x14ac:dyDescent="0.2">
      <c r="A866" s="1">
        <v>32843</v>
      </c>
      <c r="B866" s="1" t="str">
        <v>2020-03-12</v>
      </c>
      <c r="C866" s="1">
        <v>2.9483999999999999</v>
      </c>
    </row>
    <row r="867" spans="1:3" x14ac:dyDescent="0.2">
      <c r="A867" s="1">
        <v>90</v>
      </c>
      <c r="B867" s="1" t="str">
        <v>2020-03-12</v>
      </c>
      <c r="C867" s="1">
        <v>3.4117999999999999</v>
      </c>
    </row>
    <row r="868" spans="1:3" x14ac:dyDescent="0.2">
      <c r="A868" s="1">
        <v>67</v>
      </c>
      <c r="B868" s="1" t="str">
        <v>2020-03-12</v>
      </c>
      <c r="C868" s="1">
        <v>3.2980999999999998</v>
      </c>
    </row>
    <row r="869" spans="1:3" x14ac:dyDescent="0.2">
      <c r="A869" s="1">
        <v>30350</v>
      </c>
      <c r="B869" s="1" t="str">
        <v>2020-03-12</v>
      </c>
      <c r="C869" s="1">
        <v>3.4013</v>
      </c>
    </row>
    <row r="870" spans="1:3" x14ac:dyDescent="0.2">
      <c r="A870" s="1">
        <v>191</v>
      </c>
      <c r="B870" s="1" t="str">
        <v>2020-03-12</v>
      </c>
      <c r="C870" s="1">
        <v>3.0918000000000001</v>
      </c>
    </row>
    <row r="871" spans="1:3" x14ac:dyDescent="0.2">
      <c r="A871" s="1">
        <v>30400</v>
      </c>
      <c r="B871" s="1" t="str">
        <v>2020-03-12</v>
      </c>
      <c r="C871" s="1">
        <v>3.2155999999999998</v>
      </c>
    </row>
    <row r="872" spans="1:3" x14ac:dyDescent="0.2">
      <c r="A872" s="1">
        <v>250</v>
      </c>
      <c r="B872" s="1" t="str">
        <v>2020-03-12</v>
      </c>
      <c r="C872" s="1">
        <v>3.2778999999999998</v>
      </c>
    </row>
    <row r="873" spans="1:3" x14ac:dyDescent="0.2">
      <c r="A873" s="1">
        <v>32380</v>
      </c>
      <c r="B873" s="1" t="str">
        <v>2020-03-12</v>
      </c>
      <c r="C873" s="1">
        <v>3.2818999999999998</v>
      </c>
    </row>
    <row r="874" spans="1:3" x14ac:dyDescent="0.2">
      <c r="A874" s="1">
        <v>32724</v>
      </c>
      <c r="B874" s="1" t="str">
        <v>2020-03-12</v>
      </c>
      <c r="C874" s="1">
        <v>3.0617999999999999</v>
      </c>
    </row>
    <row r="875" spans="1:3" x14ac:dyDescent="0.2">
      <c r="A875" s="1">
        <v>83</v>
      </c>
      <c r="B875" s="1" t="str">
        <v>2020-03-12</v>
      </c>
      <c r="C875" s="1">
        <v>3.1027</v>
      </c>
    </row>
    <row r="876" spans="1:3" x14ac:dyDescent="0.2">
      <c r="A876" s="1">
        <v>32803</v>
      </c>
      <c r="B876" s="1" t="str">
        <v>2020-03-12</v>
      </c>
      <c r="C876" s="1">
        <v>2.5179999999999998</v>
      </c>
    </row>
    <row r="877" spans="1:3" x14ac:dyDescent="0.2">
      <c r="A877" s="1">
        <v>30300</v>
      </c>
      <c r="B877" s="1" t="str">
        <v>2020-03-12</v>
      </c>
      <c r="C877" s="1">
        <v>3.3010999999999999</v>
      </c>
    </row>
    <row r="878" spans="1:3" x14ac:dyDescent="0.2">
      <c r="A878" s="1">
        <v>176</v>
      </c>
      <c r="B878" s="1" t="str">
        <v>2020-03-13</v>
      </c>
      <c r="C878" s="1">
        <v>3.4220000000000002</v>
      </c>
    </row>
    <row r="879" spans="1:3" x14ac:dyDescent="0.2">
      <c r="A879" s="1">
        <v>32401</v>
      </c>
      <c r="B879" s="1" t="str">
        <v>2020-03-13</v>
      </c>
      <c r="C879" s="1">
        <v>3.5249000000000001</v>
      </c>
    </row>
    <row r="880" spans="1:3" x14ac:dyDescent="0.2">
      <c r="A880" s="1">
        <v>187</v>
      </c>
      <c r="B880" s="1" t="str">
        <v>2020-03-13</v>
      </c>
      <c r="C880" s="1">
        <v>3.0102000000000002</v>
      </c>
    </row>
    <row r="881" spans="1:3" x14ac:dyDescent="0.2">
      <c r="A881" s="1">
        <v>30300</v>
      </c>
      <c r="B881" s="1" t="str">
        <v>2020-03-13</v>
      </c>
      <c r="C881" s="1">
        <v>3.226</v>
      </c>
    </row>
    <row r="882" spans="1:3" x14ac:dyDescent="0.2">
      <c r="A882" s="1">
        <v>32783</v>
      </c>
      <c r="B882" s="1" t="str">
        <v>2020-03-13</v>
      </c>
      <c r="C882" s="1">
        <v>3.3494999999999999</v>
      </c>
    </row>
    <row r="883" spans="1:3" x14ac:dyDescent="0.2">
      <c r="A883" s="1">
        <v>171</v>
      </c>
      <c r="B883" s="1" t="str">
        <v>2020-03-13</v>
      </c>
      <c r="C883" s="1">
        <v>2.6305000000000001</v>
      </c>
    </row>
    <row r="884" spans="1:3" x14ac:dyDescent="0.2">
      <c r="A884" s="1">
        <v>67</v>
      </c>
      <c r="B884" s="1" t="str">
        <v>2020-03-13</v>
      </c>
      <c r="C884" s="1">
        <v>3.0507</v>
      </c>
    </row>
    <row r="885" spans="1:3" x14ac:dyDescent="0.2">
      <c r="A885" s="1">
        <v>16</v>
      </c>
      <c r="B885" s="1" t="str">
        <v>2020-03-13</v>
      </c>
      <c r="C885" s="1">
        <v>3.3393999999999999</v>
      </c>
    </row>
    <row r="886" spans="1:3" x14ac:dyDescent="0.2">
      <c r="A886" s="1">
        <v>1</v>
      </c>
      <c r="B886" s="1" t="str">
        <v>2020-03-13</v>
      </c>
      <c r="C886" s="1">
        <v>3.2056</v>
      </c>
    </row>
    <row r="887" spans="1:3" x14ac:dyDescent="0.2">
      <c r="A887" s="1">
        <v>13250</v>
      </c>
      <c r="B887" s="1" t="str">
        <v>2020-03-13</v>
      </c>
      <c r="C887" s="1">
        <v>2.5282</v>
      </c>
    </row>
    <row r="888" spans="1:3" x14ac:dyDescent="0.2">
      <c r="A888" s="1">
        <v>72</v>
      </c>
      <c r="B888" s="1" t="str">
        <v>2020-03-13</v>
      </c>
      <c r="C888" s="1">
        <v>3.1027</v>
      </c>
    </row>
    <row r="889" spans="1:3" x14ac:dyDescent="0.2">
      <c r="A889" s="1">
        <v>55</v>
      </c>
      <c r="B889" s="1" t="str">
        <v>2020-03-13</v>
      </c>
      <c r="C889" s="1">
        <v>2.7845</v>
      </c>
    </row>
    <row r="890" spans="1:3" x14ac:dyDescent="0.2">
      <c r="A890" s="1">
        <v>196</v>
      </c>
      <c r="B890" s="1" t="str">
        <v>2020-03-13</v>
      </c>
      <c r="C890" s="1">
        <v>2.5895000000000001</v>
      </c>
    </row>
    <row r="891" spans="1:3" x14ac:dyDescent="0.2">
      <c r="A891" s="1">
        <v>150</v>
      </c>
      <c r="B891" s="1" t="str">
        <v>2020-03-13</v>
      </c>
      <c r="C891" s="1">
        <v>3.5943000000000001</v>
      </c>
    </row>
    <row r="892" spans="1:3" x14ac:dyDescent="0.2">
      <c r="A892" s="1">
        <v>37</v>
      </c>
      <c r="B892" s="1" t="str">
        <v>2020-03-13</v>
      </c>
      <c r="C892" s="1">
        <v>3.5972</v>
      </c>
    </row>
    <row r="893" spans="1:3" x14ac:dyDescent="0.2">
      <c r="A893" s="1">
        <v>33130</v>
      </c>
      <c r="B893" s="1" t="str">
        <v>2020-03-13</v>
      </c>
      <c r="C893" s="1">
        <v>2.7431999999999999</v>
      </c>
    </row>
    <row r="894" spans="1:3" x14ac:dyDescent="0.2">
      <c r="A894" s="1">
        <v>33129</v>
      </c>
      <c r="B894" s="1" t="str">
        <v>2020-03-13</v>
      </c>
      <c r="C894" s="1">
        <v>2.6714000000000002</v>
      </c>
    </row>
    <row r="895" spans="1:3" x14ac:dyDescent="0.2">
      <c r="A895" s="1">
        <v>109</v>
      </c>
      <c r="B895" s="1" t="str">
        <v>2020-03-13</v>
      </c>
      <c r="C895" s="1">
        <v>2.9693999999999998</v>
      </c>
    </row>
    <row r="896" spans="1:3" x14ac:dyDescent="0.2">
      <c r="A896" s="1">
        <v>32500</v>
      </c>
      <c r="B896" s="1" t="str">
        <v>2020-03-13</v>
      </c>
      <c r="C896" s="1">
        <v>2.8972000000000002</v>
      </c>
    </row>
    <row r="897" spans="1:3" x14ac:dyDescent="0.2">
      <c r="A897" s="1">
        <v>9250</v>
      </c>
      <c r="B897" s="1" t="str">
        <v>2020-03-13</v>
      </c>
      <c r="C897" s="1">
        <v>3.04</v>
      </c>
    </row>
    <row r="898" spans="1:3" x14ac:dyDescent="0.2">
      <c r="A898" s="1">
        <v>99</v>
      </c>
      <c r="B898" s="1" t="str">
        <v>2020-03-13</v>
      </c>
      <c r="C898" s="1">
        <v>3.6080000000000001</v>
      </c>
    </row>
    <row r="899" spans="1:3" x14ac:dyDescent="0.2">
      <c r="A899" s="1">
        <v>24</v>
      </c>
      <c r="B899" s="1" t="str">
        <v>2020-03-13</v>
      </c>
      <c r="C899" s="1">
        <v>3.2471000000000001</v>
      </c>
    </row>
    <row r="900" spans="1:3" x14ac:dyDescent="0.2">
      <c r="A900" s="1">
        <v>24250</v>
      </c>
      <c r="B900" s="1" t="str">
        <v>2020-03-13</v>
      </c>
      <c r="C900" s="1">
        <v>3.0202</v>
      </c>
    </row>
    <row r="901" spans="1:3" x14ac:dyDescent="0.2">
      <c r="A901" s="1">
        <v>32180</v>
      </c>
      <c r="B901" s="1" t="str">
        <v>2020-03-13</v>
      </c>
      <c r="C901" s="1">
        <v>2.3986999999999998</v>
      </c>
    </row>
    <row r="902" spans="1:3" x14ac:dyDescent="0.2">
      <c r="A902" s="1">
        <v>34</v>
      </c>
      <c r="B902" s="1" t="str">
        <v>2020-03-13</v>
      </c>
      <c r="C902" s="1">
        <v>2.8767999999999998</v>
      </c>
    </row>
    <row r="903" spans="1:3" x14ac:dyDescent="0.2">
      <c r="A903" s="1">
        <v>102</v>
      </c>
      <c r="B903" s="1" t="str">
        <v>2020-03-13</v>
      </c>
      <c r="C903" s="1">
        <v>3.0716999999999999</v>
      </c>
    </row>
    <row r="904" spans="1:3" x14ac:dyDescent="0.2">
      <c r="A904" s="1">
        <v>30400</v>
      </c>
      <c r="B904" s="1" t="str">
        <v>2020-03-13</v>
      </c>
      <c r="C904" s="1">
        <v>2.4872999999999998</v>
      </c>
    </row>
    <row r="905" spans="1:3" x14ac:dyDescent="0.2">
      <c r="A905" s="1">
        <v>32360</v>
      </c>
      <c r="B905" s="1" t="str">
        <v>2020-03-13</v>
      </c>
      <c r="C905" s="1">
        <v>2.4121999999999999</v>
      </c>
    </row>
    <row r="906" spans="1:3" x14ac:dyDescent="0.2">
      <c r="A906" s="1">
        <v>32883</v>
      </c>
      <c r="B906" s="1" t="str">
        <v>2020-03-13</v>
      </c>
      <c r="C906" s="1">
        <v>3.04</v>
      </c>
    </row>
    <row r="907" spans="1:3" x14ac:dyDescent="0.2">
      <c r="A907" s="1">
        <v>98</v>
      </c>
      <c r="B907" s="1" t="str">
        <v>2020-03-13</v>
      </c>
      <c r="C907" s="1">
        <v>3.2258</v>
      </c>
    </row>
    <row r="908" spans="1:3" x14ac:dyDescent="0.2">
      <c r="A908" s="1">
        <v>32260</v>
      </c>
      <c r="B908" s="1" t="str">
        <v>2020-03-13</v>
      </c>
      <c r="C908" s="1">
        <v>3.2978999999999998</v>
      </c>
    </row>
    <row r="909" spans="1:3" x14ac:dyDescent="0.2">
      <c r="A909" s="1">
        <v>110</v>
      </c>
      <c r="B909" s="1" t="str">
        <v>2020-03-13</v>
      </c>
      <c r="C909" s="1">
        <v>3.1</v>
      </c>
    </row>
    <row r="910" spans="1:3" x14ac:dyDescent="0.2">
      <c r="A910" s="1">
        <v>147</v>
      </c>
      <c r="B910" s="1" t="str">
        <v>2020-03-13</v>
      </c>
      <c r="C910" s="1">
        <v>2.9586000000000001</v>
      </c>
    </row>
    <row r="911" spans="1:3" x14ac:dyDescent="0.2">
      <c r="A911" s="1">
        <v>49</v>
      </c>
      <c r="B911" s="1" t="str">
        <v>2020-03-13</v>
      </c>
      <c r="C911" s="1">
        <v>2.9076</v>
      </c>
    </row>
    <row r="912" spans="1:3" x14ac:dyDescent="0.2">
      <c r="A912" s="1">
        <v>32583</v>
      </c>
      <c r="B912" s="1" t="str">
        <v>2020-03-13</v>
      </c>
      <c r="C912" s="1">
        <v>2.7</v>
      </c>
    </row>
    <row r="913" spans="1:3" x14ac:dyDescent="0.2">
      <c r="A913" s="1">
        <v>32863</v>
      </c>
      <c r="B913" s="1" t="str">
        <v>2020-03-13</v>
      </c>
      <c r="C913" s="1">
        <v>2.5377000000000001</v>
      </c>
    </row>
    <row r="914" spans="1:3" x14ac:dyDescent="0.2">
      <c r="A914" s="1">
        <v>32603</v>
      </c>
      <c r="B914" s="1" t="str">
        <v>2020-03-13</v>
      </c>
      <c r="C914" s="1">
        <v>2.9382000000000001</v>
      </c>
    </row>
    <row r="915" spans="1:3" x14ac:dyDescent="0.2">
      <c r="A915" s="1">
        <v>32340</v>
      </c>
      <c r="B915" s="1" t="str">
        <v>2020-03-13</v>
      </c>
      <c r="C915" s="1">
        <v>2.9891999999999999</v>
      </c>
    </row>
    <row r="916" spans="1:3" x14ac:dyDescent="0.2">
      <c r="A916" s="1">
        <v>32121</v>
      </c>
      <c r="B916" s="1" t="str">
        <v>2020-03-13</v>
      </c>
      <c r="C916" s="1">
        <v>2.7530000000000001</v>
      </c>
    </row>
    <row r="917" spans="1:3" x14ac:dyDescent="0.2">
      <c r="A917" s="1">
        <v>32560</v>
      </c>
      <c r="B917" s="1" t="str">
        <v>2020-03-13</v>
      </c>
      <c r="C917" s="1">
        <v>2.9586999999999999</v>
      </c>
    </row>
    <row r="918" spans="1:3" x14ac:dyDescent="0.2">
      <c r="A918" s="1">
        <v>31</v>
      </c>
      <c r="B918" s="1" t="str">
        <v>2020-03-13</v>
      </c>
      <c r="C918" s="1">
        <v>2.9</v>
      </c>
    </row>
    <row r="919" spans="1:3" x14ac:dyDescent="0.2">
      <c r="A919" s="1">
        <v>32081</v>
      </c>
      <c r="B919" s="1" t="str">
        <v>2020-03-13</v>
      </c>
      <c r="C919" s="1">
        <v>2.5998000000000001</v>
      </c>
    </row>
    <row r="920" spans="1:3" x14ac:dyDescent="0.2">
      <c r="A920" s="1">
        <v>139</v>
      </c>
      <c r="B920" s="1" t="str">
        <v>2020-03-13</v>
      </c>
      <c r="C920" s="1">
        <v>3.2982</v>
      </c>
    </row>
    <row r="921" spans="1:3" x14ac:dyDescent="0.2">
      <c r="A921" s="1">
        <v>136</v>
      </c>
      <c r="B921" s="1" t="str">
        <v>2020-03-13</v>
      </c>
      <c r="C921" s="1">
        <v>2.9277000000000002</v>
      </c>
    </row>
    <row r="922" spans="1:3" x14ac:dyDescent="0.2">
      <c r="A922" s="1">
        <v>90</v>
      </c>
      <c r="B922" s="1" t="str">
        <v>2020-03-13</v>
      </c>
      <c r="C922" s="1">
        <v>3.4426999999999999</v>
      </c>
    </row>
    <row r="923" spans="1:3" x14ac:dyDescent="0.2">
      <c r="A923" s="1">
        <v>33125</v>
      </c>
      <c r="B923" s="1" t="str">
        <v>2020-03-13</v>
      </c>
      <c r="C923" s="1">
        <v>2.7429000000000001</v>
      </c>
    </row>
    <row r="924" spans="1:3" x14ac:dyDescent="0.2">
      <c r="A924" s="1">
        <v>78</v>
      </c>
      <c r="B924" s="1" t="str">
        <v>2020-03-13</v>
      </c>
      <c r="C924" s="1">
        <v>3.113</v>
      </c>
    </row>
    <row r="925" spans="1:3" x14ac:dyDescent="0.2">
      <c r="A925" s="1">
        <v>32</v>
      </c>
      <c r="B925" s="1" t="str">
        <v>2020-03-13</v>
      </c>
      <c r="C925" s="1">
        <v>3.4788999999999999</v>
      </c>
    </row>
    <row r="926" spans="1:3" x14ac:dyDescent="0.2">
      <c r="A926" s="1">
        <v>146</v>
      </c>
      <c r="B926" s="1" t="str">
        <v>2020-03-13</v>
      </c>
      <c r="C926" s="1">
        <v>2.9382999999999999</v>
      </c>
    </row>
    <row r="927" spans="1:3" x14ac:dyDescent="0.2">
      <c r="A927" s="1">
        <v>32582</v>
      </c>
      <c r="B927" s="1" t="str">
        <v>2020-03-13</v>
      </c>
      <c r="C927" s="1">
        <v>2.62</v>
      </c>
    </row>
    <row r="928" spans="1:3" x14ac:dyDescent="0.2">
      <c r="A928" s="1">
        <v>101</v>
      </c>
      <c r="B928" s="1" t="str">
        <v>2020-03-13</v>
      </c>
      <c r="C928" s="1">
        <v>3.0411000000000001</v>
      </c>
    </row>
    <row r="929" spans="1:3" x14ac:dyDescent="0.2">
      <c r="A929" s="1">
        <v>156</v>
      </c>
      <c r="B929" s="1" t="str">
        <v>2020-03-13</v>
      </c>
      <c r="C929" s="1">
        <v>3.2366999999999999</v>
      </c>
    </row>
    <row r="930" spans="1:3" x14ac:dyDescent="0.2">
      <c r="A930" s="1">
        <v>30250</v>
      </c>
      <c r="B930" s="1" t="str">
        <v>2020-03-13</v>
      </c>
      <c r="C930" s="1">
        <v>2.7738</v>
      </c>
    </row>
    <row r="931" spans="1:3" x14ac:dyDescent="0.2">
      <c r="A931" s="1">
        <v>20</v>
      </c>
      <c r="B931" s="1" t="str">
        <v>2020-03-13</v>
      </c>
      <c r="C931" s="1">
        <v>3.2984</v>
      </c>
    </row>
    <row r="932" spans="1:3" x14ac:dyDescent="0.2">
      <c r="A932" s="1">
        <v>59</v>
      </c>
      <c r="B932" s="1" t="str">
        <v>2020-03-13</v>
      </c>
      <c r="C932" s="1">
        <v>2.8355000000000001</v>
      </c>
    </row>
    <row r="933" spans="1:3" x14ac:dyDescent="0.2">
      <c r="A933" s="1">
        <v>2250</v>
      </c>
      <c r="B933" s="1" t="str">
        <v>2020-03-13</v>
      </c>
      <c r="C933" s="1">
        <v>2.5891999999999999</v>
      </c>
    </row>
    <row r="934" spans="1:3" x14ac:dyDescent="0.2">
      <c r="A934" s="1">
        <v>10</v>
      </c>
      <c r="B934" s="1" t="str">
        <v>2020-03-13</v>
      </c>
      <c r="C934" s="1">
        <v>3.1230000000000002</v>
      </c>
    </row>
    <row r="935" spans="1:3" x14ac:dyDescent="0.2">
      <c r="A935" s="1">
        <v>143</v>
      </c>
      <c r="B935" s="1" t="str">
        <v>2020-03-13</v>
      </c>
      <c r="C935" s="1">
        <v>2.589</v>
      </c>
    </row>
    <row r="936" spans="1:3" x14ac:dyDescent="0.2">
      <c r="A936" s="1">
        <v>32502</v>
      </c>
      <c r="B936" s="1" t="str">
        <v>2020-03-13</v>
      </c>
      <c r="C936" s="1">
        <v>2.9279999999999999</v>
      </c>
    </row>
    <row r="937" spans="1:3" x14ac:dyDescent="0.2">
      <c r="A937" s="1">
        <v>53</v>
      </c>
      <c r="B937" s="1" t="str">
        <v>2020-03-16</v>
      </c>
      <c r="C937" s="1">
        <v>2.7738</v>
      </c>
    </row>
    <row r="938" spans="1:3" x14ac:dyDescent="0.2">
      <c r="A938" s="1">
        <v>32863</v>
      </c>
      <c r="B938" s="1" t="str">
        <v>2020-03-16</v>
      </c>
      <c r="C938" s="1">
        <v>2.4455</v>
      </c>
    </row>
    <row r="939" spans="1:3" x14ac:dyDescent="0.2">
      <c r="A939" s="1">
        <v>81</v>
      </c>
      <c r="B939" s="1" t="str">
        <v>2020-03-16</v>
      </c>
      <c r="C939" s="1">
        <v>3.2467999999999999</v>
      </c>
    </row>
    <row r="940" spans="1:3" x14ac:dyDescent="0.2">
      <c r="A940" s="1">
        <v>32724</v>
      </c>
      <c r="B940" s="1" t="str">
        <v>2020-03-16</v>
      </c>
      <c r="C940" s="1">
        <v>3.2057000000000002</v>
      </c>
    </row>
    <row r="941" spans="1:3" x14ac:dyDescent="0.2">
      <c r="A941" s="1">
        <v>150</v>
      </c>
      <c r="B941" s="1" t="str">
        <v>2020-03-16</v>
      </c>
      <c r="C941" s="1">
        <v>3.5943000000000001</v>
      </c>
    </row>
    <row r="942" spans="1:3" x14ac:dyDescent="0.2">
      <c r="A942" s="1">
        <v>32480</v>
      </c>
      <c r="B942" s="1" t="str">
        <v>2020-03-16</v>
      </c>
      <c r="C942" s="1">
        <v>2.6821000000000002</v>
      </c>
    </row>
    <row r="943" spans="1:3" x14ac:dyDescent="0.2">
      <c r="A943" s="1">
        <v>178</v>
      </c>
      <c r="B943" s="1" t="str">
        <v>2020-03-16</v>
      </c>
      <c r="C943" s="1">
        <v>3.1753</v>
      </c>
    </row>
    <row r="944" spans="1:3" x14ac:dyDescent="0.2">
      <c r="A944" s="1">
        <v>32040</v>
      </c>
      <c r="B944" s="1" t="str">
        <v>2020-03-17</v>
      </c>
      <c r="C944" s="1">
        <v>2.9519000000000002</v>
      </c>
    </row>
    <row r="945" spans="1:3" x14ac:dyDescent="0.2">
      <c r="A945" s="1">
        <v>32421</v>
      </c>
      <c r="B945" s="1" t="str">
        <v>2020-03-17</v>
      </c>
      <c r="C945" s="1">
        <v>2.9658000000000002</v>
      </c>
    </row>
    <row r="946" spans="1:3" x14ac:dyDescent="0.2">
      <c r="A946" s="1">
        <v>32360</v>
      </c>
      <c r="B946" s="1" t="str">
        <v>2020-03-17</v>
      </c>
      <c r="C946" s="1">
        <v>2.4121999999999999</v>
      </c>
    </row>
    <row r="947" spans="1:3" x14ac:dyDescent="0.2">
      <c r="A947" s="1">
        <v>49</v>
      </c>
      <c r="B947" s="1" t="str">
        <v>2020-03-17</v>
      </c>
      <c r="C947" s="1">
        <v>2.6406000000000001</v>
      </c>
    </row>
    <row r="948" spans="1:3" x14ac:dyDescent="0.2">
      <c r="A948" s="1">
        <v>115</v>
      </c>
      <c r="B948" s="1" t="str">
        <v>2020-03-17</v>
      </c>
      <c r="C948" s="1">
        <v>3.4630999999999998</v>
      </c>
    </row>
    <row r="949" spans="1:3" x14ac:dyDescent="0.2">
      <c r="A949" s="1">
        <v>32803</v>
      </c>
      <c r="B949" s="1" t="str">
        <v>2020-03-18</v>
      </c>
      <c r="C949" s="1">
        <v>2.2827999999999999</v>
      </c>
    </row>
    <row r="950" spans="1:3" x14ac:dyDescent="0.2">
      <c r="A950" s="1">
        <v>32360</v>
      </c>
      <c r="B950" s="1" t="str">
        <v>2020-03-18</v>
      </c>
      <c r="C950" s="1">
        <v>2.4121999999999999</v>
      </c>
    </row>
    <row r="951" spans="1:3" x14ac:dyDescent="0.2">
      <c r="A951" s="1">
        <v>77</v>
      </c>
      <c r="B951" s="1" t="str">
        <v>2020-03-18</v>
      </c>
      <c r="C951" s="1">
        <v>3.0615999999999999</v>
      </c>
    </row>
    <row r="952" spans="1:3" x14ac:dyDescent="0.2">
      <c r="A952" s="1">
        <v>83</v>
      </c>
      <c r="B952" s="1" t="str">
        <v>2020-03-18</v>
      </c>
      <c r="C952" s="1">
        <v>2.7021999999999999</v>
      </c>
    </row>
    <row r="953" spans="1:3" x14ac:dyDescent="0.2">
      <c r="A953" s="1">
        <v>33103</v>
      </c>
      <c r="B953" s="1" t="str">
        <v>2020-03-18</v>
      </c>
      <c r="C953" s="1">
        <v>3.9466999999999999</v>
      </c>
    </row>
    <row r="954" spans="1:3" x14ac:dyDescent="0.2">
      <c r="A954" s="1">
        <v>32863</v>
      </c>
      <c r="B954" s="1" t="str">
        <v>2020-03-19</v>
      </c>
      <c r="C954" s="1">
        <v>2.4142999999999999</v>
      </c>
    </row>
    <row r="955" spans="1:3" x14ac:dyDescent="0.2">
      <c r="A955" s="1">
        <v>33023</v>
      </c>
      <c r="B955" s="1" t="str">
        <v>2020-03-19</v>
      </c>
      <c r="C955" s="1">
        <v>2.8</v>
      </c>
    </row>
    <row r="956" spans="1:3" x14ac:dyDescent="0.2">
      <c r="A956" s="1">
        <v>32380</v>
      </c>
      <c r="B956" s="1" t="str">
        <v>2020-03-19</v>
      </c>
      <c r="C956" s="1">
        <v>3.2818999999999998</v>
      </c>
    </row>
    <row r="957" spans="1:3" x14ac:dyDescent="0.2">
      <c r="A957" s="1">
        <v>250</v>
      </c>
      <c r="B957" s="1" t="str">
        <v>2020-03-19</v>
      </c>
      <c r="C957" s="1">
        <v>2.9929000000000001</v>
      </c>
    </row>
    <row r="958" spans="1:3" x14ac:dyDescent="0.2">
      <c r="A958" s="1">
        <v>101</v>
      </c>
      <c r="B958" s="1" t="str">
        <v>2020-03-20</v>
      </c>
      <c r="C958" s="1">
        <v>2.5078999999999998</v>
      </c>
    </row>
    <row r="959" spans="1:3" x14ac:dyDescent="0.2">
      <c r="A959" s="1">
        <v>191</v>
      </c>
      <c r="B959" s="1" t="str">
        <v>2020-03-20</v>
      </c>
      <c r="C959" s="1">
        <v>2.8140000000000001</v>
      </c>
    </row>
    <row r="960" spans="1:3" x14ac:dyDescent="0.2">
      <c r="A960" s="1">
        <v>1</v>
      </c>
      <c r="B960" s="1" t="str">
        <v>2020-03-20</v>
      </c>
      <c r="C960" s="1">
        <v>3</v>
      </c>
    </row>
    <row r="961" spans="1:3" x14ac:dyDescent="0.2">
      <c r="A961" s="1">
        <v>32783</v>
      </c>
      <c r="B961" s="1" t="str">
        <v>2020-03-20</v>
      </c>
      <c r="C961" s="1">
        <v>3.0407999999999999</v>
      </c>
    </row>
    <row r="962" spans="1:3" x14ac:dyDescent="0.2">
      <c r="A962" s="1">
        <v>55</v>
      </c>
      <c r="B962" s="1" t="str">
        <v>2020-03-20</v>
      </c>
      <c r="C962" s="1">
        <v>2.6092</v>
      </c>
    </row>
    <row r="963" spans="1:3" x14ac:dyDescent="0.2">
      <c r="A963" s="1">
        <v>99</v>
      </c>
      <c r="B963" s="1" t="str">
        <v>2020-03-20</v>
      </c>
      <c r="C963" s="1">
        <v>3.3088000000000002</v>
      </c>
    </row>
    <row r="964" spans="1:3" x14ac:dyDescent="0.2">
      <c r="A964" s="1">
        <v>250</v>
      </c>
      <c r="B964" s="1" t="str">
        <v>2020-03-20</v>
      </c>
      <c r="C964" s="1">
        <v>2.4977999999999998</v>
      </c>
    </row>
    <row r="965" spans="1:3" x14ac:dyDescent="0.2">
      <c r="A965" s="1">
        <v>32340</v>
      </c>
      <c r="B965" s="1" t="str">
        <v>2020-03-20</v>
      </c>
      <c r="C965" s="1">
        <v>2.5787</v>
      </c>
    </row>
    <row r="966" spans="1:3" x14ac:dyDescent="0.2">
      <c r="A966" s="1">
        <v>59</v>
      </c>
      <c r="B966" s="1" t="str">
        <v>2020-03-20</v>
      </c>
      <c r="C966" s="1">
        <v>2.8355000000000001</v>
      </c>
    </row>
    <row r="967" spans="1:3" x14ac:dyDescent="0.2">
      <c r="A967" s="1">
        <v>102</v>
      </c>
      <c r="B967" s="1" t="str">
        <v>2020-03-20</v>
      </c>
      <c r="C967" s="1">
        <v>2.8458999999999999</v>
      </c>
    </row>
    <row r="968" spans="1:3" x14ac:dyDescent="0.2">
      <c r="A968" s="1">
        <v>156</v>
      </c>
      <c r="B968" s="1" t="str">
        <v>2020-03-20</v>
      </c>
      <c r="C968" s="1">
        <v>3.2366999999999999</v>
      </c>
    </row>
    <row r="969" spans="1:3" x14ac:dyDescent="0.2">
      <c r="A969" s="1">
        <v>67</v>
      </c>
      <c r="B969" s="1" t="str">
        <v>2020-03-20</v>
      </c>
      <c r="C969" s="1">
        <v>2.9377</v>
      </c>
    </row>
    <row r="970" spans="1:3" x14ac:dyDescent="0.2">
      <c r="A970" s="1">
        <v>33129</v>
      </c>
      <c r="B970" s="1" t="str">
        <v>2020-03-20</v>
      </c>
      <c r="C970" s="1">
        <v>2.4359000000000002</v>
      </c>
    </row>
    <row r="971" spans="1:3" x14ac:dyDescent="0.2">
      <c r="A971" s="1">
        <v>32724</v>
      </c>
      <c r="B971" s="1" t="str">
        <v>2020-03-20</v>
      </c>
      <c r="C971" s="1">
        <v>2.3338999999999999</v>
      </c>
    </row>
    <row r="972" spans="1:3" x14ac:dyDescent="0.2">
      <c r="A972" s="1">
        <v>33103</v>
      </c>
      <c r="B972" s="1" t="str">
        <v>2020-03-20</v>
      </c>
      <c r="C972" s="1">
        <v>3.9466999999999999</v>
      </c>
    </row>
    <row r="973" spans="1:3" x14ac:dyDescent="0.2">
      <c r="A973" s="1">
        <v>81</v>
      </c>
      <c r="B973" s="1" t="str">
        <v>2020-03-20</v>
      </c>
      <c r="C973" s="1">
        <v>3.2467999999999999</v>
      </c>
    </row>
    <row r="974" spans="1:3" x14ac:dyDescent="0.2">
      <c r="A974" s="1">
        <v>2250</v>
      </c>
      <c r="B974" s="1" t="str">
        <v>2020-03-20</v>
      </c>
      <c r="C974" s="1">
        <v>1.9967999999999999</v>
      </c>
    </row>
    <row r="975" spans="1:3" x14ac:dyDescent="0.2">
      <c r="A975" s="1">
        <v>32420</v>
      </c>
      <c r="B975" s="1" t="str">
        <v>2020-03-20</v>
      </c>
      <c r="C975" s="1">
        <v>3.2121</v>
      </c>
    </row>
    <row r="976" spans="1:3" x14ac:dyDescent="0.2">
      <c r="A976" s="1">
        <v>187</v>
      </c>
      <c r="B976" s="1" t="str">
        <v>2020-03-20</v>
      </c>
      <c r="C976" s="1">
        <v>2.9070999999999998</v>
      </c>
    </row>
    <row r="977" spans="1:3" x14ac:dyDescent="0.2">
      <c r="A977" s="1">
        <v>33125</v>
      </c>
      <c r="B977" s="1" t="str">
        <v>2020-03-20</v>
      </c>
      <c r="C977" s="1">
        <v>2.4253</v>
      </c>
    </row>
    <row r="978" spans="1:3" x14ac:dyDescent="0.2">
      <c r="A978" s="1">
        <v>115</v>
      </c>
      <c r="B978" s="1" t="str">
        <v>2020-03-20</v>
      </c>
      <c r="C978" s="1">
        <v>3.1642999999999999</v>
      </c>
    </row>
    <row r="979" spans="1:3" x14ac:dyDescent="0.2">
      <c r="A979" s="1">
        <v>34</v>
      </c>
      <c r="B979" s="1" t="str">
        <v>2020-03-20</v>
      </c>
      <c r="C979" s="1">
        <v>2.5688</v>
      </c>
    </row>
    <row r="980" spans="1:3" x14ac:dyDescent="0.2">
      <c r="A980" s="1">
        <v>101</v>
      </c>
      <c r="B980" s="1" t="str">
        <v>2020-03-23</v>
      </c>
      <c r="C980" s="1">
        <v>2.5179999999999998</v>
      </c>
    </row>
    <row r="981" spans="1:3" x14ac:dyDescent="0.2">
      <c r="A981" s="1">
        <v>33130</v>
      </c>
      <c r="B981" s="1" t="str">
        <v>2020-03-23</v>
      </c>
      <c r="C981" s="1">
        <v>2.4357000000000002</v>
      </c>
    </row>
    <row r="982" spans="1:3" x14ac:dyDescent="0.2">
      <c r="A982" s="1">
        <v>32963</v>
      </c>
      <c r="B982" s="1" t="str">
        <v>2020-03-23</v>
      </c>
      <c r="C982" s="1">
        <v>2.9885000000000002</v>
      </c>
    </row>
    <row r="983" spans="1:3" x14ac:dyDescent="0.2">
      <c r="A983" s="1">
        <v>1</v>
      </c>
      <c r="B983" s="1" t="str">
        <v>2020-03-23</v>
      </c>
      <c r="C983" s="1">
        <v>2.8048000000000002</v>
      </c>
    </row>
    <row r="984" spans="1:3" x14ac:dyDescent="0.2">
      <c r="A984" s="1">
        <v>34</v>
      </c>
      <c r="B984" s="1" t="str">
        <v>2020-03-23</v>
      </c>
      <c r="C984" s="1">
        <v>2.5688</v>
      </c>
    </row>
    <row r="985" spans="1:3" x14ac:dyDescent="0.2">
      <c r="A985" s="1">
        <v>32983</v>
      </c>
      <c r="B985" s="1" t="str">
        <v>2020-03-23</v>
      </c>
      <c r="C985" s="1">
        <v>2.8557999999999999</v>
      </c>
    </row>
    <row r="986" spans="1:3" x14ac:dyDescent="0.2">
      <c r="A986" s="1">
        <v>32724</v>
      </c>
      <c r="B986" s="1" t="str">
        <v>2020-03-23</v>
      </c>
      <c r="C986" s="1">
        <v>2.3953000000000002</v>
      </c>
    </row>
    <row r="987" spans="1:3" x14ac:dyDescent="0.2">
      <c r="A987" s="1">
        <v>94</v>
      </c>
      <c r="B987" s="1" t="str">
        <v>2020-03-23</v>
      </c>
      <c r="C987" s="1">
        <v>3.1</v>
      </c>
    </row>
    <row r="988" spans="1:3" x14ac:dyDescent="0.2">
      <c r="A988" s="1">
        <v>32421</v>
      </c>
      <c r="B988" s="1" t="str">
        <v>2020-03-23</v>
      </c>
      <c r="C988" s="1">
        <v>2.7130000000000001</v>
      </c>
    </row>
    <row r="989" spans="1:3" x14ac:dyDescent="0.2">
      <c r="A989" s="1">
        <v>178</v>
      </c>
      <c r="B989" s="1" t="str">
        <v>2020-03-23</v>
      </c>
      <c r="C989" s="1">
        <v>3.0785</v>
      </c>
    </row>
    <row r="990" spans="1:3" x14ac:dyDescent="0.2">
      <c r="A990" s="1">
        <v>32200</v>
      </c>
      <c r="B990" s="1" t="str">
        <v>2020-03-24</v>
      </c>
      <c r="C990" s="1">
        <v>1.5689</v>
      </c>
    </row>
    <row r="991" spans="1:3" x14ac:dyDescent="0.2">
      <c r="A991" s="1">
        <v>32803</v>
      </c>
      <c r="B991" s="1" t="str">
        <v>2020-03-24</v>
      </c>
      <c r="C991" s="1">
        <v>1.1739999999999999</v>
      </c>
    </row>
    <row r="992" spans="1:3" x14ac:dyDescent="0.2">
      <c r="A992" s="1">
        <v>133</v>
      </c>
      <c r="B992" s="1" t="str">
        <v>2020-03-24</v>
      </c>
      <c r="C992" s="1">
        <v>2.6707000000000001</v>
      </c>
    </row>
    <row r="993" spans="1:3" x14ac:dyDescent="0.2">
      <c r="A993" s="1">
        <v>187</v>
      </c>
      <c r="B993" s="1" t="str">
        <v>2020-03-24</v>
      </c>
      <c r="C993" s="1">
        <v>2.7219000000000002</v>
      </c>
    </row>
    <row r="994" spans="1:3" x14ac:dyDescent="0.2">
      <c r="A994" s="1">
        <v>23250</v>
      </c>
      <c r="B994" s="1" t="str">
        <v>2020-03-24</v>
      </c>
      <c r="C994" s="1">
        <v>2.7742</v>
      </c>
    </row>
    <row r="995" spans="1:3" x14ac:dyDescent="0.2">
      <c r="A995" s="1">
        <v>32783</v>
      </c>
      <c r="B995" s="1" t="str">
        <v>2020-03-24</v>
      </c>
      <c r="C995" s="1">
        <v>2.9588000000000001</v>
      </c>
    </row>
    <row r="996" spans="1:3" x14ac:dyDescent="0.2">
      <c r="A996" s="1">
        <v>32400</v>
      </c>
      <c r="B996" s="1" t="str">
        <v>2020-03-24</v>
      </c>
      <c r="C996" s="1">
        <v>2.2000000000000002</v>
      </c>
    </row>
    <row r="997" spans="1:3" x14ac:dyDescent="0.2">
      <c r="A997" s="1">
        <v>30250</v>
      </c>
      <c r="B997" s="1" t="str">
        <v>2020-03-25</v>
      </c>
      <c r="C997" s="1">
        <v>1.8439000000000001</v>
      </c>
    </row>
    <row r="998" spans="1:3" x14ac:dyDescent="0.2">
      <c r="A998" s="1">
        <v>49</v>
      </c>
      <c r="B998" s="1" t="str">
        <v>2020-03-25</v>
      </c>
      <c r="C998" s="1">
        <v>2.6715</v>
      </c>
    </row>
    <row r="999" spans="1:3" x14ac:dyDescent="0.2">
      <c r="A999" s="1">
        <v>23250</v>
      </c>
      <c r="B999" s="1" t="str">
        <v>2020-03-25</v>
      </c>
      <c r="C999" s="1">
        <v>2.3538999999999999</v>
      </c>
    </row>
    <row r="1000" spans="1:3" x14ac:dyDescent="0.2">
      <c r="A1000" s="1">
        <v>176</v>
      </c>
      <c r="B1000" s="1" t="str">
        <v>2020-03-25</v>
      </c>
      <c r="C1000" s="1">
        <v>2.8353999999999999</v>
      </c>
    </row>
    <row r="1001" spans="1:3" x14ac:dyDescent="0.2">
      <c r="A1001" s="1">
        <v>99</v>
      </c>
      <c r="B1001" s="1" t="str">
        <v>2020-03-25</v>
      </c>
      <c r="C1001" s="1">
        <v>3.3089</v>
      </c>
    </row>
    <row r="1002" spans="1:3" x14ac:dyDescent="0.2">
      <c r="A1002" s="1">
        <v>32222</v>
      </c>
      <c r="B1002" s="1" t="str">
        <v>2020-03-26</v>
      </c>
      <c r="C1002" s="1">
        <v>1.3140000000000001</v>
      </c>
    </row>
    <row r="1003" spans="1:3" x14ac:dyDescent="0.2">
      <c r="A1003" s="1">
        <v>1</v>
      </c>
      <c r="B1003" s="1" t="str">
        <v>2020-03-26</v>
      </c>
      <c r="C1003" s="1">
        <v>2.7633999999999999</v>
      </c>
    </row>
    <row r="1004" spans="1:3" x14ac:dyDescent="0.2">
      <c r="A1004" s="1">
        <v>32883</v>
      </c>
      <c r="B1004" s="1" t="str">
        <v>2020-03-26</v>
      </c>
      <c r="C1004" s="1">
        <v>2.7216</v>
      </c>
    </row>
    <row r="1005" spans="1:3" x14ac:dyDescent="0.2">
      <c r="A1005" s="1">
        <v>153</v>
      </c>
      <c r="B1005" s="1" t="str">
        <v>2020-03-26</v>
      </c>
      <c r="C1005" s="1">
        <v>2.5385</v>
      </c>
    </row>
    <row r="1006" spans="1:3" x14ac:dyDescent="0.2">
      <c r="A1006" s="1">
        <v>20</v>
      </c>
      <c r="B1006" s="1" t="str">
        <v>2020-03-26</v>
      </c>
      <c r="C1006" s="1">
        <v>3</v>
      </c>
    </row>
    <row r="1007" spans="1:3" x14ac:dyDescent="0.2">
      <c r="A1007" s="1">
        <v>30400</v>
      </c>
      <c r="B1007" s="1" t="str">
        <v>2020-03-27</v>
      </c>
      <c r="C1007" s="1">
        <v>1.6095999999999999</v>
      </c>
    </row>
    <row r="1008" spans="1:3" x14ac:dyDescent="0.2">
      <c r="A1008" s="1">
        <v>33129</v>
      </c>
      <c r="B1008" s="1" t="str">
        <v>2020-03-27</v>
      </c>
      <c r="C1008" s="1">
        <v>1.7527999999999999</v>
      </c>
    </row>
    <row r="1009" spans="1:3" x14ac:dyDescent="0.2">
      <c r="A1009" s="1">
        <v>102</v>
      </c>
      <c r="B1009" s="1" t="str">
        <v>2020-03-27</v>
      </c>
      <c r="C1009" s="1">
        <v>2.3338000000000001</v>
      </c>
    </row>
    <row r="1010" spans="1:3" x14ac:dyDescent="0.2">
      <c r="A1010" s="1">
        <v>37</v>
      </c>
      <c r="B1010" s="1" t="str">
        <v>2020-03-27</v>
      </c>
      <c r="C1010" s="1">
        <v>3.1749999999999998</v>
      </c>
    </row>
    <row r="1011" spans="1:3" x14ac:dyDescent="0.2">
      <c r="A1011" s="1">
        <v>24</v>
      </c>
      <c r="B1011" s="1" t="str">
        <v>2020-03-27</v>
      </c>
      <c r="C1011" s="1">
        <v>2.9085999999999999</v>
      </c>
    </row>
    <row r="1012" spans="1:3" x14ac:dyDescent="0.2">
      <c r="A1012" s="1">
        <v>31</v>
      </c>
      <c r="B1012" s="1" t="str">
        <v>2020-03-27</v>
      </c>
      <c r="C1012" s="1">
        <v>2.9</v>
      </c>
    </row>
    <row r="1013" spans="1:3" x14ac:dyDescent="0.2">
      <c r="A1013" s="1">
        <v>146</v>
      </c>
      <c r="B1013" s="1" t="str">
        <v>2020-03-27</v>
      </c>
      <c r="C1013" s="1">
        <v>2.5282</v>
      </c>
    </row>
    <row r="1014" spans="1:3" x14ac:dyDescent="0.2">
      <c r="A1014" s="1">
        <v>33125</v>
      </c>
      <c r="B1014" s="1" t="str">
        <v>2020-03-27</v>
      </c>
      <c r="C1014" s="1">
        <v>1.9241999999999999</v>
      </c>
    </row>
    <row r="1015" spans="1:3" x14ac:dyDescent="0.2">
      <c r="A1015" s="1">
        <v>187</v>
      </c>
      <c r="B1015" s="1" t="str">
        <v>2020-03-27</v>
      </c>
      <c r="C1015" s="1">
        <v>2.5369999999999999</v>
      </c>
    </row>
    <row r="1016" spans="1:3" x14ac:dyDescent="0.2">
      <c r="A1016" s="1">
        <v>32380</v>
      </c>
      <c r="B1016" s="1" t="str">
        <v>2020-03-27</v>
      </c>
      <c r="C1016" s="1">
        <v>2.9257</v>
      </c>
    </row>
    <row r="1017" spans="1:3" x14ac:dyDescent="0.2">
      <c r="A1017" s="1">
        <v>32582</v>
      </c>
      <c r="B1017" s="1" t="str">
        <v>2020-03-27</v>
      </c>
      <c r="C1017" s="1">
        <v>1.9452</v>
      </c>
    </row>
    <row r="1018" spans="1:3" x14ac:dyDescent="0.2">
      <c r="A1018" s="1">
        <v>24250</v>
      </c>
      <c r="B1018" s="1" t="str">
        <v>2020-03-27</v>
      </c>
      <c r="C1018" s="1">
        <v>2.3134000000000001</v>
      </c>
    </row>
    <row r="1019" spans="1:3" x14ac:dyDescent="0.2">
      <c r="A1019" s="1">
        <v>32340</v>
      </c>
      <c r="B1019" s="1" t="str">
        <v>2020-03-27</v>
      </c>
      <c r="C1019" s="1">
        <v>2.4039000000000001</v>
      </c>
    </row>
    <row r="1020" spans="1:3" x14ac:dyDescent="0.2">
      <c r="A1020" s="1">
        <v>16</v>
      </c>
      <c r="B1020" s="1" t="str">
        <v>2020-03-27</v>
      </c>
      <c r="C1020" s="1">
        <v>3.3393999999999999</v>
      </c>
    </row>
    <row r="1021" spans="1:3" x14ac:dyDescent="0.2">
      <c r="A1021" s="1">
        <v>32583</v>
      </c>
      <c r="B1021" s="1" t="str">
        <v>2020-03-27</v>
      </c>
      <c r="C1021" s="1">
        <v>2.2000000000000002</v>
      </c>
    </row>
    <row r="1022" spans="1:3" x14ac:dyDescent="0.2">
      <c r="A1022" s="1">
        <v>13250</v>
      </c>
      <c r="B1022" s="1" t="str">
        <v>2020-03-27</v>
      </c>
      <c r="C1022" s="1">
        <v>1.4447000000000001</v>
      </c>
    </row>
    <row r="1023" spans="1:3" x14ac:dyDescent="0.2">
      <c r="A1023" s="1">
        <v>1</v>
      </c>
      <c r="B1023" s="1" t="str">
        <v>2020-03-27</v>
      </c>
      <c r="C1023" s="1">
        <v>2.7019000000000002</v>
      </c>
    </row>
    <row r="1024" spans="1:3" x14ac:dyDescent="0.2">
      <c r="A1024" s="1">
        <v>2250</v>
      </c>
      <c r="B1024" s="1" t="str">
        <v>2020-03-27</v>
      </c>
      <c r="C1024" s="1">
        <v>1.4883999999999999</v>
      </c>
    </row>
    <row r="1025" spans="1:3" x14ac:dyDescent="0.2">
      <c r="A1025" s="1">
        <v>32420</v>
      </c>
      <c r="B1025" s="1" t="str">
        <v>2020-03-27</v>
      </c>
      <c r="C1025" s="1">
        <v>2.9937999999999998</v>
      </c>
    </row>
    <row r="1026" spans="1:3" x14ac:dyDescent="0.2">
      <c r="A1026" s="1">
        <v>81</v>
      </c>
      <c r="B1026" s="1" t="str">
        <v>2020-03-27</v>
      </c>
      <c r="C1026" s="1">
        <v>3.1642999999999999</v>
      </c>
    </row>
    <row r="1027" spans="1:3" x14ac:dyDescent="0.2">
      <c r="A1027" s="1">
        <v>156</v>
      </c>
      <c r="B1027" s="1" t="str">
        <v>2020-03-27</v>
      </c>
      <c r="C1027" s="1">
        <v>3.1436999999999999</v>
      </c>
    </row>
    <row r="1028" spans="1:3" x14ac:dyDescent="0.2">
      <c r="A1028" s="1">
        <v>109</v>
      </c>
      <c r="B1028" s="1" t="str">
        <v>2020-03-27</v>
      </c>
      <c r="C1028" s="1">
        <v>2.7948</v>
      </c>
    </row>
    <row r="1029" spans="1:3" x14ac:dyDescent="0.2">
      <c r="A1029" s="1">
        <v>10</v>
      </c>
      <c r="B1029" s="1" t="str">
        <v>2020-03-30</v>
      </c>
      <c r="C1029" s="1">
        <v>2.3224999999999998</v>
      </c>
    </row>
    <row r="1030" spans="1:3" x14ac:dyDescent="0.2">
      <c r="A1030" s="1">
        <v>33083</v>
      </c>
      <c r="B1030" s="1" t="str">
        <v>2020-03-30</v>
      </c>
      <c r="C1030" s="1">
        <v>2.8485</v>
      </c>
    </row>
    <row r="1031" spans="1:3" x14ac:dyDescent="0.2">
      <c r="A1031" s="1">
        <v>32</v>
      </c>
      <c r="B1031" s="1" t="str">
        <v>2020-03-30</v>
      </c>
      <c r="C1031" s="1">
        <v>2.4605999999999999</v>
      </c>
    </row>
    <row r="1032" spans="1:3" x14ac:dyDescent="0.2">
      <c r="A1032" s="1">
        <v>32360</v>
      </c>
      <c r="B1032" s="1" t="str">
        <v>2020-03-30</v>
      </c>
      <c r="C1032" s="1">
        <v>2.4121999999999999</v>
      </c>
    </row>
    <row r="1033" spans="1:3" x14ac:dyDescent="0.2">
      <c r="A1033" s="1">
        <v>49</v>
      </c>
      <c r="B1033" s="1" t="str">
        <v>2020-03-30</v>
      </c>
      <c r="C1033" s="1">
        <v>2.7227000000000001</v>
      </c>
    </row>
    <row r="1034" spans="1:3" x14ac:dyDescent="0.2">
      <c r="A1034" s="1">
        <v>32121</v>
      </c>
      <c r="B1034" s="1" t="str">
        <v>2020-03-30</v>
      </c>
      <c r="C1034" s="1">
        <v>2.7530000000000001</v>
      </c>
    </row>
    <row r="1035" spans="1:3" x14ac:dyDescent="0.2">
      <c r="A1035" s="1">
        <v>99</v>
      </c>
      <c r="B1035" s="1" t="str">
        <v>2020-03-30</v>
      </c>
      <c r="C1035" s="1">
        <v>3.3089</v>
      </c>
    </row>
    <row r="1036" spans="1:3" x14ac:dyDescent="0.2">
      <c r="A1036" s="1">
        <v>32280</v>
      </c>
      <c r="B1036" s="1" t="str">
        <v>2020-03-30</v>
      </c>
      <c r="C1036" s="1">
        <v>1.8527</v>
      </c>
    </row>
    <row r="1037" spans="1:3" x14ac:dyDescent="0.2">
      <c r="A1037" s="1">
        <v>34</v>
      </c>
      <c r="B1037" s="1" t="str">
        <v>2020-03-30</v>
      </c>
      <c r="C1037" s="1">
        <v>2.2513000000000001</v>
      </c>
    </row>
    <row r="1038" spans="1:3" x14ac:dyDescent="0.2">
      <c r="A1038" s="1">
        <v>28</v>
      </c>
      <c r="B1038" s="1" t="str">
        <v>2020-03-30</v>
      </c>
      <c r="C1038" s="1">
        <v>2.8144999999999998</v>
      </c>
    </row>
    <row r="1039" spans="1:3" x14ac:dyDescent="0.2">
      <c r="A1039" s="1">
        <v>181</v>
      </c>
      <c r="B1039" s="1" t="str">
        <v>2020-03-30</v>
      </c>
      <c r="C1039" s="1">
        <v>2.1696</v>
      </c>
    </row>
    <row r="1040" spans="1:3" x14ac:dyDescent="0.2">
      <c r="A1040" s="1">
        <v>33164</v>
      </c>
      <c r="B1040" s="1" t="str">
        <v>2020-03-30</v>
      </c>
      <c r="C1040" s="1">
        <v>2.7019000000000002</v>
      </c>
    </row>
    <row r="1041" spans="1:3" x14ac:dyDescent="0.2">
      <c r="A1041" s="1">
        <v>178</v>
      </c>
      <c r="B1041" s="1" t="str">
        <v>2020-03-30</v>
      </c>
      <c r="C1041" s="1">
        <v>2.7294999999999998</v>
      </c>
    </row>
    <row r="1042" spans="1:3" x14ac:dyDescent="0.2">
      <c r="A1042" s="1">
        <v>32040</v>
      </c>
      <c r="B1042" s="1" t="str">
        <v>2020-03-31</v>
      </c>
      <c r="C1042" s="1">
        <v>2.4908000000000001</v>
      </c>
    </row>
    <row r="1043" spans="1:3" x14ac:dyDescent="0.2">
      <c r="A1043" s="1">
        <v>32480</v>
      </c>
      <c r="B1043" s="1" t="str">
        <v>2020-03-31</v>
      </c>
      <c r="C1043" s="1">
        <v>1.9968999999999999</v>
      </c>
    </row>
    <row r="1044" spans="1:3" x14ac:dyDescent="0.2">
      <c r="A1044" s="1">
        <v>55</v>
      </c>
      <c r="B1044" s="1" t="str">
        <v>2020-03-31</v>
      </c>
      <c r="C1044" s="1">
        <v>2.1084999999999998</v>
      </c>
    </row>
    <row r="1045" spans="1:3" x14ac:dyDescent="0.2">
      <c r="A1045" s="1">
        <v>250</v>
      </c>
      <c r="B1045" s="1" t="str">
        <v>2020-04-02</v>
      </c>
      <c r="C1045" s="1">
        <v>2.4977999999999998</v>
      </c>
    </row>
    <row r="1046" spans="1:3" x14ac:dyDescent="0.2">
      <c r="A1046" s="1">
        <v>33103</v>
      </c>
      <c r="B1046" s="1" t="str">
        <v>2020-04-02</v>
      </c>
      <c r="C1046" s="1">
        <v>3.7122000000000002</v>
      </c>
    </row>
    <row r="1047" spans="1:3" x14ac:dyDescent="0.2">
      <c r="A1047" s="1">
        <v>115</v>
      </c>
      <c r="B1047" s="1" t="str">
        <v>2020-04-02</v>
      </c>
      <c r="C1047" s="1">
        <v>2.5981000000000001</v>
      </c>
    </row>
    <row r="1048" spans="1:3" x14ac:dyDescent="0.2">
      <c r="A1048" s="1">
        <v>32560</v>
      </c>
      <c r="B1048" s="1" t="str">
        <v>2020-04-02</v>
      </c>
      <c r="C1048" s="1">
        <v>2.5992999999999999</v>
      </c>
    </row>
    <row r="1049" spans="1:3" x14ac:dyDescent="0.2">
      <c r="A1049" s="1">
        <v>1</v>
      </c>
      <c r="B1049" s="1" t="str">
        <v>2020-04-03</v>
      </c>
      <c r="C1049" s="1">
        <v>2.5577999999999999</v>
      </c>
    </row>
    <row r="1050" spans="1:3" x14ac:dyDescent="0.2">
      <c r="A1050" s="1">
        <v>32320</v>
      </c>
      <c r="B1050" s="1" t="str">
        <v>2020-04-03</v>
      </c>
      <c r="C1050" s="1">
        <v>1.9665999999999999</v>
      </c>
    </row>
    <row r="1051" spans="1:3" x14ac:dyDescent="0.2">
      <c r="A1051" s="1">
        <v>13250</v>
      </c>
      <c r="B1051" s="1" t="str">
        <v>2020-04-03</v>
      </c>
      <c r="C1051" s="1">
        <v>1.8340000000000001</v>
      </c>
    </row>
    <row r="1052" spans="1:3" x14ac:dyDescent="0.2">
      <c r="A1052" s="1">
        <v>132</v>
      </c>
      <c r="B1052" s="1" t="str">
        <v>2020-04-03</v>
      </c>
      <c r="C1052" s="1">
        <v>1.7229000000000001</v>
      </c>
    </row>
    <row r="1053" spans="1:3" x14ac:dyDescent="0.2">
      <c r="A1053" s="1">
        <v>32421</v>
      </c>
      <c r="B1053" s="1" t="str">
        <v>2020-04-03</v>
      </c>
      <c r="C1053" s="1">
        <v>2.4060999999999999</v>
      </c>
    </row>
    <row r="1054" spans="1:3" x14ac:dyDescent="0.2">
      <c r="A1054" s="1">
        <v>33023</v>
      </c>
      <c r="B1054" s="1" t="str">
        <v>2020-04-03</v>
      </c>
      <c r="C1054" s="1">
        <v>2.8</v>
      </c>
    </row>
    <row r="1055" spans="1:3" x14ac:dyDescent="0.2">
      <c r="A1055" s="1">
        <v>81</v>
      </c>
      <c r="B1055" s="1" t="str">
        <v>2020-04-03</v>
      </c>
      <c r="C1055" s="1">
        <v>2.4655</v>
      </c>
    </row>
    <row r="1056" spans="1:3" x14ac:dyDescent="0.2">
      <c r="A1056" s="1">
        <v>32843</v>
      </c>
      <c r="B1056" s="1" t="str">
        <v>2020-04-03</v>
      </c>
      <c r="C1056" s="1">
        <v>2.2416</v>
      </c>
    </row>
    <row r="1057" spans="1:3" x14ac:dyDescent="0.2">
      <c r="A1057" s="1">
        <v>32260</v>
      </c>
      <c r="B1057" s="1" t="str">
        <v>2020-04-03</v>
      </c>
      <c r="C1057" s="1">
        <v>2.5369999999999999</v>
      </c>
    </row>
    <row r="1058" spans="1:3" x14ac:dyDescent="0.2">
      <c r="A1058" s="1">
        <v>101</v>
      </c>
      <c r="B1058" s="1" t="str">
        <v>2020-04-03</v>
      </c>
      <c r="C1058" s="1">
        <v>2.1800999999999999</v>
      </c>
    </row>
    <row r="1059" spans="1:3" x14ac:dyDescent="0.2">
      <c r="A1059" s="1">
        <v>32180</v>
      </c>
      <c r="B1059" s="1" t="str">
        <v>2020-04-03</v>
      </c>
      <c r="C1059" s="1">
        <v>1.8204</v>
      </c>
    </row>
    <row r="1060" spans="1:3" x14ac:dyDescent="0.2">
      <c r="A1060" s="1">
        <v>30300</v>
      </c>
      <c r="B1060" s="1" t="str">
        <v>2020-04-03</v>
      </c>
      <c r="C1060" s="1">
        <v>2.3126000000000002</v>
      </c>
    </row>
    <row r="1061" spans="1:3" x14ac:dyDescent="0.2">
      <c r="A1061" s="1">
        <v>99</v>
      </c>
      <c r="B1061" s="1" t="str">
        <v>2020-04-03</v>
      </c>
      <c r="C1061" s="1">
        <v>2.9485000000000001</v>
      </c>
    </row>
    <row r="1062" spans="1:3" x14ac:dyDescent="0.2">
      <c r="A1062" s="1">
        <v>32340</v>
      </c>
      <c r="B1062" s="1" t="str">
        <v>2020-04-03</v>
      </c>
      <c r="C1062" s="1">
        <v>2.3730000000000002</v>
      </c>
    </row>
    <row r="1063" spans="1:3" x14ac:dyDescent="0.2">
      <c r="A1063" s="1">
        <v>187</v>
      </c>
      <c r="B1063" s="1" t="str">
        <v>2020-04-03</v>
      </c>
      <c r="C1063" s="1">
        <v>2.5369999999999999</v>
      </c>
    </row>
    <row r="1064" spans="1:3" x14ac:dyDescent="0.2">
      <c r="A1064" s="1">
        <v>32883</v>
      </c>
      <c r="B1064" s="1" t="str">
        <v>2020-04-03</v>
      </c>
      <c r="C1064" s="1">
        <v>2.3125</v>
      </c>
    </row>
    <row r="1065" spans="1:3" x14ac:dyDescent="0.2">
      <c r="A1065" s="1">
        <v>102</v>
      </c>
      <c r="B1065" s="1" t="str">
        <v>2020-04-03</v>
      </c>
      <c r="C1065" s="1">
        <v>2.2416</v>
      </c>
    </row>
    <row r="1066" spans="1:3" x14ac:dyDescent="0.2">
      <c r="A1066" s="1">
        <v>49</v>
      </c>
      <c r="B1066" s="1" t="str">
        <v>2020-04-03</v>
      </c>
      <c r="C1066" s="1">
        <v>2.3340000000000001</v>
      </c>
    </row>
    <row r="1067" spans="1:3" x14ac:dyDescent="0.2">
      <c r="A1067" s="1">
        <v>32420</v>
      </c>
      <c r="B1067" s="1" t="str">
        <v>2020-04-03</v>
      </c>
      <c r="C1067" s="1">
        <v>3.2570000000000001</v>
      </c>
    </row>
    <row r="1068" spans="1:3" x14ac:dyDescent="0.2">
      <c r="A1068" s="1">
        <v>32964</v>
      </c>
      <c r="B1068" s="1" t="str">
        <v>2020-04-03</v>
      </c>
      <c r="C1068" s="1">
        <v>2.3500999999999999</v>
      </c>
    </row>
    <row r="1069" spans="1:3" x14ac:dyDescent="0.2">
      <c r="A1069" s="1">
        <v>32502</v>
      </c>
      <c r="B1069" s="1" t="str">
        <v>2020-04-03</v>
      </c>
      <c r="C1069" s="1">
        <v>2.4965999999999999</v>
      </c>
    </row>
    <row r="1070" spans="1:3" x14ac:dyDescent="0.2">
      <c r="A1070" s="1">
        <v>2250</v>
      </c>
      <c r="B1070" s="1" t="str">
        <v>2020-04-03</v>
      </c>
      <c r="C1070" s="1">
        <v>1.5085999999999999</v>
      </c>
    </row>
    <row r="1071" spans="1:3" x14ac:dyDescent="0.2">
      <c r="A1071" s="1">
        <v>33130</v>
      </c>
      <c r="B1071" s="1" t="str">
        <v>2020-04-03</v>
      </c>
      <c r="C1071" s="1">
        <v>1.9556</v>
      </c>
    </row>
    <row r="1072" spans="1:3" x14ac:dyDescent="0.2">
      <c r="A1072" s="1">
        <v>33125</v>
      </c>
      <c r="B1072" s="1" t="str">
        <v>2020-04-08</v>
      </c>
      <c r="C1072" s="1">
        <v>1.7008000000000001</v>
      </c>
    </row>
    <row r="1073" spans="1:3" x14ac:dyDescent="0.2">
      <c r="A1073" s="1">
        <v>150</v>
      </c>
      <c r="B1073" s="1" t="str">
        <v>2020-04-08</v>
      </c>
      <c r="C1073" s="1">
        <v>3.5943000000000001</v>
      </c>
    </row>
    <row r="1074" spans="1:3" x14ac:dyDescent="0.2">
      <c r="A1074" s="1">
        <v>67</v>
      </c>
      <c r="B1074" s="1" t="str">
        <v>2020-04-08</v>
      </c>
      <c r="C1074" s="1">
        <v>2.6598999999999999</v>
      </c>
    </row>
    <row r="1075" spans="1:3" x14ac:dyDescent="0.2">
      <c r="A1075" s="1">
        <v>147</v>
      </c>
      <c r="B1075" s="1" t="str">
        <v>2020-04-08</v>
      </c>
      <c r="C1075" s="1">
        <v>1.8130999999999999</v>
      </c>
    </row>
    <row r="1076" spans="1:3" x14ac:dyDescent="0.2">
      <c r="A1076" s="1">
        <v>32400</v>
      </c>
      <c r="B1076" s="1" t="str">
        <v>2020-04-07</v>
      </c>
      <c r="C1076" s="1">
        <v>2.2000000000000002</v>
      </c>
    </row>
    <row r="1077" spans="1:3" x14ac:dyDescent="0.2">
      <c r="A1077" s="1">
        <v>181</v>
      </c>
      <c r="B1077" s="1" t="str">
        <v>2020-04-07</v>
      </c>
      <c r="C1077" s="1">
        <v>2.3188</v>
      </c>
    </row>
    <row r="1078" spans="1:3" x14ac:dyDescent="0.2">
      <c r="A1078" s="1">
        <v>16</v>
      </c>
      <c r="B1078" s="1" t="str">
        <v>2020-04-07</v>
      </c>
      <c r="C1078" s="1">
        <v>2.8149000000000002</v>
      </c>
    </row>
    <row r="1079" spans="1:3" x14ac:dyDescent="0.2">
      <c r="A1079" s="1">
        <v>53</v>
      </c>
      <c r="B1079" s="1" t="str">
        <v>2020-04-07</v>
      </c>
      <c r="C1079" s="1">
        <v>1.528</v>
      </c>
    </row>
    <row r="1080" spans="1:3" x14ac:dyDescent="0.2">
      <c r="A1080" s="1">
        <v>32280</v>
      </c>
      <c r="B1080" s="1" t="str">
        <v>2020-04-07</v>
      </c>
      <c r="C1080" s="1">
        <v>1.6093999999999999</v>
      </c>
    </row>
    <row r="1081" spans="1:3" x14ac:dyDescent="0.2">
      <c r="A1081" s="1">
        <v>176</v>
      </c>
      <c r="B1081" s="1" t="str">
        <v>2020-04-07</v>
      </c>
      <c r="C1081" s="1">
        <v>2.6817000000000002</v>
      </c>
    </row>
    <row r="1082" spans="1:3" x14ac:dyDescent="0.2">
      <c r="A1082" s="1">
        <v>115</v>
      </c>
      <c r="B1082" s="1" t="str">
        <v>2020-04-07</v>
      </c>
      <c r="C1082" s="1">
        <v>2.5167000000000002</v>
      </c>
    </row>
    <row r="1083" spans="1:3" x14ac:dyDescent="0.2">
      <c r="A1083" s="1">
        <v>32603</v>
      </c>
      <c r="B1083" s="1" t="str">
        <v>2020-04-07</v>
      </c>
      <c r="C1083" s="1">
        <v>2.9485000000000001</v>
      </c>
    </row>
    <row r="1084" spans="1:3" x14ac:dyDescent="0.2">
      <c r="A1084" s="1">
        <v>32521</v>
      </c>
      <c r="B1084" s="1" t="str">
        <v>2020-04-07</v>
      </c>
      <c r="C1084" s="1">
        <v>3</v>
      </c>
    </row>
    <row r="1085" spans="1:3" x14ac:dyDescent="0.2">
      <c r="A1085" s="1">
        <v>32663</v>
      </c>
      <c r="B1085" s="1" t="str">
        <v>2020-04-06</v>
      </c>
      <c r="C1085" s="1">
        <v>3.0310999999999999</v>
      </c>
    </row>
    <row r="1086" spans="1:3" x14ac:dyDescent="0.2">
      <c r="A1086" s="1">
        <v>139</v>
      </c>
      <c r="B1086" s="1" t="str">
        <v>2020-04-06</v>
      </c>
      <c r="C1086" s="1">
        <v>2.0379</v>
      </c>
    </row>
    <row r="1087" spans="1:3" x14ac:dyDescent="0.2">
      <c r="A1087" s="1">
        <v>53</v>
      </c>
      <c r="B1087" s="1" t="str">
        <v>2020-04-06</v>
      </c>
      <c r="C1087" s="1">
        <v>2.4146999999999998</v>
      </c>
    </row>
    <row r="1088" spans="1:3" x14ac:dyDescent="0.2">
      <c r="A1088" s="1">
        <v>157</v>
      </c>
      <c r="B1088" s="1" t="str">
        <v>2020-04-06</v>
      </c>
      <c r="C1088" s="1">
        <v>3.1</v>
      </c>
    </row>
    <row r="1089" spans="1:3" x14ac:dyDescent="0.2">
      <c r="A1089" s="1">
        <v>182</v>
      </c>
      <c r="B1089" s="1" t="str">
        <v>2020-04-06</v>
      </c>
      <c r="C1089" s="1">
        <v>3.0306000000000002</v>
      </c>
    </row>
    <row r="1090" spans="1:3" x14ac:dyDescent="0.2">
      <c r="A1090" s="1">
        <v>32724</v>
      </c>
      <c r="B1090" s="1" t="str">
        <v>2020-04-06</v>
      </c>
      <c r="C1090" s="1">
        <v>2.3439999999999999</v>
      </c>
    </row>
    <row r="1091" spans="1:3" x14ac:dyDescent="0.2">
      <c r="A1091" s="1">
        <v>33143</v>
      </c>
      <c r="B1091" s="1" t="str">
        <v>2020-04-06</v>
      </c>
      <c r="C1091" s="1">
        <v>3</v>
      </c>
    </row>
    <row r="1092" spans="1:3" x14ac:dyDescent="0.2">
      <c r="A1092" s="1">
        <v>32421</v>
      </c>
      <c r="B1092" s="1" t="str">
        <v>2020-04-06</v>
      </c>
      <c r="C1092" s="1">
        <v>2.3056999999999999</v>
      </c>
    </row>
    <row r="1093" spans="1:3" x14ac:dyDescent="0.2">
      <c r="A1093" s="1">
        <v>24</v>
      </c>
      <c r="B1093" s="1" t="str">
        <v>2020-04-06</v>
      </c>
      <c r="C1093" s="1">
        <v>2.9691999999999998</v>
      </c>
    </row>
    <row r="1094" spans="1:3" x14ac:dyDescent="0.2">
      <c r="A1094" s="1">
        <v>178</v>
      </c>
      <c r="B1094" s="1" t="str">
        <v>2020-04-06</v>
      </c>
      <c r="C1094" s="1">
        <v>2.7202000000000002</v>
      </c>
    </row>
    <row r="1095" spans="1:3" x14ac:dyDescent="0.2">
      <c r="A1095" s="1">
        <v>77</v>
      </c>
      <c r="B1095" s="1" t="str">
        <v>2020-04-06</v>
      </c>
      <c r="C1095" s="1">
        <v>2.3136999999999999</v>
      </c>
    </row>
    <row r="1096" spans="1:3" x14ac:dyDescent="0.2">
      <c r="A1096" s="1">
        <v>33023</v>
      </c>
      <c r="B1096" s="1" t="str">
        <v>2020-04-09</v>
      </c>
      <c r="C1096" s="1">
        <v>2.5</v>
      </c>
    </row>
    <row r="1097" spans="1:3" x14ac:dyDescent="0.2">
      <c r="A1097" s="1">
        <v>32500</v>
      </c>
      <c r="B1097" s="1" t="str">
        <v>2020-04-09</v>
      </c>
      <c r="C1097" s="1">
        <v>1.6006</v>
      </c>
    </row>
    <row r="1098" spans="1:3" x14ac:dyDescent="0.2">
      <c r="A1098" s="1">
        <v>102</v>
      </c>
      <c r="B1098" s="1" t="str">
        <v>2020-04-09</v>
      </c>
      <c r="C1098" s="1">
        <v>2.0375999999999999</v>
      </c>
    </row>
    <row r="1099" spans="1:3" x14ac:dyDescent="0.2">
      <c r="A1099" s="1">
        <v>32803</v>
      </c>
      <c r="B1099" s="1" t="str">
        <v>2020-04-09</v>
      </c>
      <c r="C1099" s="1">
        <v>1.0727</v>
      </c>
    </row>
    <row r="1100" spans="1:3" x14ac:dyDescent="0.2">
      <c r="A1100" s="1">
        <v>171</v>
      </c>
      <c r="B1100" s="1" t="str">
        <v>2020-04-09</v>
      </c>
      <c r="C1100" s="1">
        <v>1.6901999999999999</v>
      </c>
    </row>
    <row r="1101" spans="1:3" x14ac:dyDescent="0.2">
      <c r="A1101" s="1">
        <v>33103</v>
      </c>
      <c r="B1101" s="1" t="str">
        <v>2020-04-09</v>
      </c>
      <c r="C1101" s="1">
        <v>3.7088000000000001</v>
      </c>
    </row>
    <row r="1102" spans="1:3" x14ac:dyDescent="0.2">
      <c r="A1102" s="1">
        <v>55</v>
      </c>
      <c r="B1102" s="1" t="str">
        <v>2020-04-09</v>
      </c>
      <c r="C1102" s="1">
        <v>2.0876999999999999</v>
      </c>
    </row>
    <row r="1103" spans="1:3" x14ac:dyDescent="0.2">
      <c r="A1103" s="1">
        <v>1</v>
      </c>
      <c r="B1103" s="1" t="str">
        <v>2020-04-09</v>
      </c>
      <c r="C1103" s="1">
        <v>2.3531</v>
      </c>
    </row>
    <row r="1104" spans="1:3" x14ac:dyDescent="0.2">
      <c r="A1104" s="1">
        <v>177</v>
      </c>
      <c r="B1104" s="1" t="str">
        <v>2020-04-09</v>
      </c>
      <c r="C1104" s="1">
        <v>2.9055</v>
      </c>
    </row>
    <row r="1105" spans="1:3" x14ac:dyDescent="0.2">
      <c r="A1105" s="1">
        <v>143</v>
      </c>
      <c r="B1105" s="1" t="str">
        <v>2020-04-09</v>
      </c>
      <c r="C1105" s="1">
        <v>1.9746999999999999</v>
      </c>
    </row>
    <row r="1106" spans="1:3" x14ac:dyDescent="0.2">
      <c r="A1106" s="1">
        <v>32783</v>
      </c>
      <c r="B1106" s="1" t="str">
        <v>2020-04-09</v>
      </c>
      <c r="C1106" s="1">
        <v>2.7216</v>
      </c>
    </row>
    <row r="1107" spans="1:3" x14ac:dyDescent="0.2">
      <c r="A1107" s="1">
        <v>99</v>
      </c>
      <c r="B1107" s="1" t="str">
        <v>2020-04-09</v>
      </c>
      <c r="C1107" s="1">
        <v>2.9380999999999999</v>
      </c>
    </row>
    <row r="1108" spans="1:3" x14ac:dyDescent="0.2">
      <c r="A1108" s="1">
        <v>32040</v>
      </c>
      <c r="B1108" s="1" t="str">
        <v>2020-04-09</v>
      </c>
      <c r="C1108" s="1">
        <v>2.1566000000000001</v>
      </c>
    </row>
    <row r="1109" spans="1:3" x14ac:dyDescent="0.2">
      <c r="A1109" s="1">
        <v>2250</v>
      </c>
      <c r="B1109" s="1" t="str">
        <v>2020-04-09</v>
      </c>
      <c r="C1109" s="1">
        <v>1.468</v>
      </c>
    </row>
    <row r="1110" spans="1:3" x14ac:dyDescent="0.2">
      <c r="A1110" s="1">
        <v>33125</v>
      </c>
      <c r="B1110" s="1" t="str">
        <v>2020-04-09</v>
      </c>
      <c r="C1110" s="1">
        <v>1.7009000000000001</v>
      </c>
    </row>
    <row r="1111" spans="1:3" x14ac:dyDescent="0.2">
      <c r="A1111" s="1">
        <v>49</v>
      </c>
      <c r="B1111" s="1" t="str">
        <v>2020-04-09</v>
      </c>
      <c r="C1111" s="1">
        <v>1.8846000000000001</v>
      </c>
    </row>
    <row r="1112" spans="1:3" x14ac:dyDescent="0.2">
      <c r="A1112" s="1">
        <v>30350</v>
      </c>
      <c r="B1112" s="1" t="str">
        <v>2020-04-13</v>
      </c>
      <c r="C1112" s="1">
        <v>3.0613000000000001</v>
      </c>
    </row>
    <row r="1113" spans="1:3" x14ac:dyDescent="0.2">
      <c r="A1113" s="1">
        <v>10</v>
      </c>
      <c r="B1113" s="1" t="str">
        <v>2020-04-13</v>
      </c>
      <c r="C1113" s="1">
        <v>1.8541000000000001</v>
      </c>
    </row>
    <row r="1114" spans="1:3" x14ac:dyDescent="0.2">
      <c r="A1114" s="1">
        <v>81</v>
      </c>
      <c r="B1114" s="1" t="str">
        <v>2020-04-13</v>
      </c>
      <c r="C1114" s="1">
        <v>2.4552</v>
      </c>
    </row>
    <row r="1115" spans="1:3" x14ac:dyDescent="0.2">
      <c r="A1115" s="1">
        <v>187</v>
      </c>
      <c r="B1115" s="1" t="str">
        <v>2020-04-13</v>
      </c>
      <c r="C1115" s="1">
        <v>2.4716999999999998</v>
      </c>
    </row>
    <row r="1116" spans="1:3" x14ac:dyDescent="0.2">
      <c r="A1116" s="1">
        <v>33023</v>
      </c>
      <c r="B1116" s="1" t="str">
        <v>2020-04-13</v>
      </c>
      <c r="C1116" s="1">
        <v>2.1</v>
      </c>
    </row>
    <row r="1117" spans="1:3" x14ac:dyDescent="0.2">
      <c r="A1117" s="1">
        <v>83</v>
      </c>
      <c r="B1117" s="1" t="str">
        <v>2020-04-13</v>
      </c>
      <c r="C1117" s="1">
        <v>2.5064000000000002</v>
      </c>
    </row>
    <row r="1118" spans="1:3" x14ac:dyDescent="0.2">
      <c r="A1118" s="1">
        <v>32724</v>
      </c>
      <c r="B1118" s="1" t="str">
        <v>2020-04-13</v>
      </c>
      <c r="C1118" s="1">
        <v>2.1293000000000002</v>
      </c>
    </row>
    <row r="1119" spans="1:3" x14ac:dyDescent="0.2">
      <c r="A1119" s="1">
        <v>32421</v>
      </c>
      <c r="B1119" s="1" t="str">
        <v>2020-04-13</v>
      </c>
      <c r="C1119" s="1">
        <v>2.3018999999999998</v>
      </c>
    </row>
    <row r="1120" spans="1:3" x14ac:dyDescent="0.2">
      <c r="A1120" s="1">
        <v>32440</v>
      </c>
      <c r="B1120" s="1" t="str">
        <v>2020-04-13</v>
      </c>
      <c r="C1120" s="1">
        <v>2.9998999999999998</v>
      </c>
    </row>
    <row r="1121" spans="1:3" x14ac:dyDescent="0.2">
      <c r="A1121" s="1">
        <v>32401</v>
      </c>
      <c r="B1121" s="1" t="str">
        <v>2020-04-14</v>
      </c>
      <c r="C1121" s="1">
        <v>2.4866000000000001</v>
      </c>
    </row>
    <row r="1122" spans="1:3" x14ac:dyDescent="0.2">
      <c r="A1122" s="1">
        <v>178</v>
      </c>
      <c r="B1122" s="1" t="str">
        <v>2020-04-14</v>
      </c>
      <c r="C1122" s="1">
        <v>2.33</v>
      </c>
    </row>
    <row r="1123" spans="1:3" x14ac:dyDescent="0.2">
      <c r="A1123" s="1">
        <v>23250</v>
      </c>
      <c r="B1123" s="1" t="str">
        <v>2020-04-14</v>
      </c>
      <c r="C1123" s="1">
        <v>2.2107000000000001</v>
      </c>
    </row>
    <row r="1124" spans="1:3" x14ac:dyDescent="0.2">
      <c r="A1124" s="1">
        <v>176</v>
      </c>
      <c r="B1124" s="1" t="str">
        <v>2020-04-14</v>
      </c>
      <c r="C1124" s="1">
        <v>2.2621000000000002</v>
      </c>
    </row>
    <row r="1125" spans="1:3" x14ac:dyDescent="0.2">
      <c r="A1125" s="1">
        <v>53</v>
      </c>
      <c r="B1125" s="1" t="str">
        <v>2020-04-14</v>
      </c>
      <c r="C1125" s="1">
        <v>1.5075000000000001</v>
      </c>
    </row>
    <row r="1126" spans="1:3" x14ac:dyDescent="0.2">
      <c r="A1126" s="1">
        <v>32803</v>
      </c>
      <c r="B1126" s="1" t="str">
        <v>2020-04-14</v>
      </c>
      <c r="C1126" s="1">
        <v>1.2245999999999999</v>
      </c>
    </row>
    <row r="1127" spans="1:3" x14ac:dyDescent="0.2">
      <c r="A1127" s="1">
        <v>32983</v>
      </c>
      <c r="B1127" s="1" t="str">
        <v>2020-04-14</v>
      </c>
      <c r="C1127" s="1">
        <v>2.2012999999999998</v>
      </c>
    </row>
    <row r="1128" spans="1:3" x14ac:dyDescent="0.2">
      <c r="A1128" s="1">
        <v>33023</v>
      </c>
      <c r="B1128" s="1" t="str">
        <v>2020-04-14</v>
      </c>
      <c r="C1128" s="1">
        <v>2.1</v>
      </c>
    </row>
    <row r="1129" spans="1:3" x14ac:dyDescent="0.2">
      <c r="A1129" s="1">
        <v>33003</v>
      </c>
      <c r="B1129" s="1" t="str">
        <v>2020-04-14</v>
      </c>
      <c r="C1129" s="1">
        <v>3</v>
      </c>
    </row>
    <row r="1130" spans="1:3" x14ac:dyDescent="0.2">
      <c r="A1130" s="1">
        <v>101</v>
      </c>
      <c r="B1130" s="1" t="str">
        <v>2020-04-14</v>
      </c>
      <c r="C1130" s="1">
        <v>1.9142999999999999</v>
      </c>
    </row>
    <row r="1131" spans="1:3" x14ac:dyDescent="0.2">
      <c r="A1131" s="1">
        <v>1</v>
      </c>
      <c r="B1131" s="1" t="str">
        <v>2020-04-15</v>
      </c>
      <c r="C1131" s="1">
        <v>2.2507999999999999</v>
      </c>
    </row>
    <row r="1132" spans="1:3" x14ac:dyDescent="0.2">
      <c r="A1132" s="1">
        <v>32863</v>
      </c>
      <c r="B1132" s="1" t="str">
        <v>2020-04-15</v>
      </c>
      <c r="C1132" s="1">
        <v>1.3248</v>
      </c>
    </row>
    <row r="1133" spans="1:3" x14ac:dyDescent="0.2">
      <c r="A1133" s="1">
        <v>187</v>
      </c>
      <c r="B1133" s="1" t="str">
        <v>2020-04-15</v>
      </c>
      <c r="C1133" s="1">
        <v>2.4443999999999999</v>
      </c>
    </row>
    <row r="1134" spans="1:3" x14ac:dyDescent="0.2">
      <c r="A1134" s="1">
        <v>32</v>
      </c>
      <c r="B1134" s="1" t="str">
        <v>2020-04-15</v>
      </c>
      <c r="C1134" s="1">
        <v>1.8331</v>
      </c>
    </row>
    <row r="1135" spans="1:3" x14ac:dyDescent="0.2">
      <c r="A1135" s="1">
        <v>24</v>
      </c>
      <c r="B1135" s="1" t="str">
        <v>2020-04-15</v>
      </c>
      <c r="C1135" s="1">
        <v>2.6301999999999999</v>
      </c>
    </row>
    <row r="1136" spans="1:3" x14ac:dyDescent="0.2">
      <c r="A1136" s="1">
        <v>37</v>
      </c>
      <c r="B1136" s="1" t="str">
        <v>2020-04-15</v>
      </c>
      <c r="C1136" s="1">
        <v>2.3742999999999999</v>
      </c>
    </row>
    <row r="1137" spans="1:3" x14ac:dyDescent="0.2">
      <c r="A1137" s="1">
        <v>32963</v>
      </c>
      <c r="B1137" s="1" t="str">
        <v>2020-04-15</v>
      </c>
      <c r="C1137" s="1">
        <v>2.8856999999999999</v>
      </c>
    </row>
    <row r="1138" spans="1:3" x14ac:dyDescent="0.2">
      <c r="A1138" s="1">
        <v>153</v>
      </c>
      <c r="B1138" s="1" t="str">
        <v>2020-04-15</v>
      </c>
      <c r="C1138" s="1">
        <v>2.3536000000000001</v>
      </c>
    </row>
    <row r="1139" spans="1:3" x14ac:dyDescent="0.2">
      <c r="A1139" s="1">
        <v>8</v>
      </c>
      <c r="B1139" s="1" t="str">
        <v>2020-04-15</v>
      </c>
      <c r="C1139" s="1">
        <v>1.7024999999999999</v>
      </c>
    </row>
    <row r="1140" spans="1:3" x14ac:dyDescent="0.2">
      <c r="A1140" s="1">
        <v>147</v>
      </c>
      <c r="B1140" s="1" t="str">
        <v>2020-04-15</v>
      </c>
      <c r="C1140" s="1">
        <v>1.8019000000000001</v>
      </c>
    </row>
    <row r="1141" spans="1:3" x14ac:dyDescent="0.2">
      <c r="A1141" s="1">
        <v>90</v>
      </c>
      <c r="B1141" s="1" t="str">
        <v>2020-04-16</v>
      </c>
      <c r="C1141" s="1">
        <v>2.3313999999999999</v>
      </c>
    </row>
    <row r="1142" spans="1:3" x14ac:dyDescent="0.2">
      <c r="A1142" s="1">
        <v>32360</v>
      </c>
      <c r="B1142" s="1" t="str">
        <v>2020-04-16</v>
      </c>
      <c r="C1142" s="1">
        <v>2.3815</v>
      </c>
    </row>
    <row r="1143" spans="1:3" x14ac:dyDescent="0.2">
      <c r="A1143" s="1">
        <v>250</v>
      </c>
      <c r="B1143" s="1" t="str">
        <v>2020-04-16</v>
      </c>
      <c r="C1143" s="1">
        <v>2.2925</v>
      </c>
    </row>
    <row r="1144" spans="1:3" x14ac:dyDescent="0.2">
      <c r="A1144" s="1">
        <v>30300</v>
      </c>
      <c r="B1144" s="1" t="str">
        <v>2020-04-16</v>
      </c>
      <c r="C1144" s="1">
        <v>1.9444999999999999</v>
      </c>
    </row>
    <row r="1145" spans="1:3" x14ac:dyDescent="0.2">
      <c r="A1145" s="1">
        <v>33129</v>
      </c>
      <c r="B1145" s="1" t="str">
        <v>2020-04-16</v>
      </c>
      <c r="C1145" s="1">
        <v>1.6692</v>
      </c>
    </row>
    <row r="1146" spans="1:3" x14ac:dyDescent="0.2">
      <c r="A1146" s="1">
        <v>191</v>
      </c>
      <c r="B1146" s="1" t="str">
        <v>2020-04-16</v>
      </c>
      <c r="C1146" s="1">
        <v>2.1280000000000001</v>
      </c>
    </row>
    <row r="1147" spans="1:3" x14ac:dyDescent="0.2">
      <c r="A1147" s="1">
        <v>30400</v>
      </c>
      <c r="B1147" s="1" t="str">
        <v>2020-04-16</v>
      </c>
      <c r="C1147" s="1">
        <v>1.3554999999999999</v>
      </c>
    </row>
    <row r="1148" spans="1:3" x14ac:dyDescent="0.2">
      <c r="A1148" s="1">
        <v>49</v>
      </c>
      <c r="B1148" s="1" t="str">
        <v>2020-04-17</v>
      </c>
      <c r="C1148" s="1">
        <v>1.6395</v>
      </c>
    </row>
    <row r="1149" spans="1:3" x14ac:dyDescent="0.2">
      <c r="A1149" s="1">
        <v>32</v>
      </c>
      <c r="B1149" s="1" t="str">
        <v>2020-04-17</v>
      </c>
      <c r="C1149" s="1">
        <v>1.8224</v>
      </c>
    </row>
    <row r="1150" spans="1:3" x14ac:dyDescent="0.2">
      <c r="A1150" s="1">
        <v>59</v>
      </c>
      <c r="B1150" s="1" t="str">
        <v>2020-04-17</v>
      </c>
      <c r="C1150" s="1">
        <v>1.5893999999999999</v>
      </c>
    </row>
    <row r="1151" spans="1:3" x14ac:dyDescent="0.2">
      <c r="A1151" s="1">
        <v>32724</v>
      </c>
      <c r="B1151" s="1" t="str">
        <v>2020-04-17</v>
      </c>
      <c r="C1151" s="1">
        <v>2.1804000000000001</v>
      </c>
    </row>
    <row r="1152" spans="1:3" x14ac:dyDescent="0.2">
      <c r="A1152" s="1">
        <v>37</v>
      </c>
      <c r="B1152" s="1" t="str">
        <v>2020-04-17</v>
      </c>
      <c r="C1152" s="1">
        <v>2.3742999999999999</v>
      </c>
    </row>
    <row r="1153" spans="1:3" x14ac:dyDescent="0.2">
      <c r="A1153" s="1">
        <v>32081</v>
      </c>
      <c r="B1153" s="1" t="str">
        <v>2020-04-17</v>
      </c>
      <c r="C1153" s="1">
        <v>1.3751</v>
      </c>
    </row>
    <row r="1154" spans="1:3" x14ac:dyDescent="0.2">
      <c r="A1154" s="1">
        <v>109</v>
      </c>
      <c r="B1154" s="1" t="str">
        <v>2020-04-17</v>
      </c>
      <c r="C1154" s="1">
        <v>2.4565000000000001</v>
      </c>
    </row>
    <row r="1155" spans="1:3" x14ac:dyDescent="0.2">
      <c r="A1155" s="1">
        <v>182</v>
      </c>
      <c r="B1155" s="1" t="str">
        <v>2020-04-17</v>
      </c>
      <c r="C1155" s="1">
        <v>2.7942999999999998</v>
      </c>
    </row>
    <row r="1156" spans="1:3" x14ac:dyDescent="0.2">
      <c r="A1156" s="1">
        <v>33125</v>
      </c>
      <c r="B1156" s="1" t="str">
        <v>2020-04-17</v>
      </c>
      <c r="C1156" s="1">
        <v>1.7212000000000001</v>
      </c>
    </row>
    <row r="1157" spans="1:3" x14ac:dyDescent="0.2">
      <c r="A1157" s="1">
        <v>24</v>
      </c>
      <c r="B1157" s="1" t="str">
        <v>2020-04-17</v>
      </c>
      <c r="C1157" s="1">
        <v>2.4466000000000001</v>
      </c>
    </row>
    <row r="1158" spans="1:3" x14ac:dyDescent="0.2">
      <c r="A1158" s="1">
        <v>32360</v>
      </c>
      <c r="B1158" s="1" t="str">
        <v>2020-04-17</v>
      </c>
      <c r="C1158" s="1">
        <v>2.1092</v>
      </c>
    </row>
    <row r="1159" spans="1:3" x14ac:dyDescent="0.2">
      <c r="A1159" s="1">
        <v>32560</v>
      </c>
      <c r="B1159" s="1" t="str">
        <v>2020-04-17</v>
      </c>
      <c r="C1159" s="1">
        <v>2.0167000000000002</v>
      </c>
    </row>
    <row r="1160" spans="1:3" x14ac:dyDescent="0.2">
      <c r="A1160" s="1">
        <v>150</v>
      </c>
      <c r="B1160" s="1" t="str">
        <v>2020-04-17</v>
      </c>
      <c r="C1160" s="1">
        <v>2.5305</v>
      </c>
    </row>
    <row r="1161" spans="1:3" x14ac:dyDescent="0.2">
      <c r="A1161" s="1">
        <v>99</v>
      </c>
      <c r="B1161" s="1" t="str">
        <v>2020-04-17</v>
      </c>
      <c r="C1161" s="1">
        <v>2.9380999999999999</v>
      </c>
    </row>
    <row r="1162" spans="1:3" x14ac:dyDescent="0.2">
      <c r="A1162" s="1">
        <v>1</v>
      </c>
      <c r="B1162" s="1" t="str">
        <v>2020-04-17</v>
      </c>
      <c r="C1162" s="1">
        <v>2.2917999999999998</v>
      </c>
    </row>
    <row r="1163" spans="1:3" x14ac:dyDescent="0.2">
      <c r="A1163" s="1">
        <v>9250</v>
      </c>
      <c r="B1163" s="1" t="str">
        <v>2020-04-17</v>
      </c>
      <c r="C1163" s="1">
        <v>2.09</v>
      </c>
    </row>
    <row r="1164" spans="1:3" x14ac:dyDescent="0.2">
      <c r="A1164" s="1">
        <v>78</v>
      </c>
      <c r="B1164" s="1" t="str">
        <v>2020-04-17</v>
      </c>
      <c r="C1164" s="1">
        <v>2.3018000000000001</v>
      </c>
    </row>
    <row r="1165" spans="1:3" x14ac:dyDescent="0.2">
      <c r="A1165" s="1">
        <v>33129</v>
      </c>
      <c r="B1165" s="1" t="str">
        <v>2020-04-17</v>
      </c>
      <c r="C1165" s="1">
        <v>1.6588000000000001</v>
      </c>
    </row>
    <row r="1166" spans="1:3" x14ac:dyDescent="0.2">
      <c r="A1166" s="1">
        <v>32883</v>
      </c>
      <c r="B1166" s="1" t="str">
        <v>2020-04-17</v>
      </c>
      <c r="C1166" s="1">
        <v>2.6040999999999999</v>
      </c>
    </row>
    <row r="1167" spans="1:3" x14ac:dyDescent="0.2">
      <c r="A1167" s="1">
        <v>32340</v>
      </c>
      <c r="B1167" s="1" t="str">
        <v>2020-04-17</v>
      </c>
      <c r="C1167" s="1">
        <v>2.1888000000000001</v>
      </c>
    </row>
    <row r="1168" spans="1:3" x14ac:dyDescent="0.2">
      <c r="A1168" s="1">
        <v>102</v>
      </c>
      <c r="B1168" s="1" t="str">
        <v>2020-04-17</v>
      </c>
      <c r="C1168" s="1">
        <v>1.9446000000000001</v>
      </c>
    </row>
    <row r="1169" spans="1:3" x14ac:dyDescent="0.2">
      <c r="A1169" s="1">
        <v>32803</v>
      </c>
      <c r="B1169" s="1" t="str">
        <v>2020-04-17</v>
      </c>
      <c r="C1169" s="1">
        <v>1.1738</v>
      </c>
    </row>
    <row r="1170" spans="1:3" x14ac:dyDescent="0.2">
      <c r="A1170" s="1">
        <v>30250</v>
      </c>
      <c r="B1170" s="1" t="str">
        <v>2020-04-17</v>
      </c>
      <c r="C1170" s="1">
        <v>1.5075000000000001</v>
      </c>
    </row>
    <row r="1171" spans="1:3" x14ac:dyDescent="0.2">
      <c r="A1171" s="1">
        <v>32121</v>
      </c>
      <c r="B1171" s="1" t="str">
        <v>2020-04-17</v>
      </c>
      <c r="C1171" s="1">
        <v>2.2603</v>
      </c>
    </row>
    <row r="1172" spans="1:3" x14ac:dyDescent="0.2">
      <c r="A1172" s="1">
        <v>31</v>
      </c>
      <c r="B1172" s="1" t="str">
        <v>2020-04-17</v>
      </c>
      <c r="C1172" s="1">
        <v>2.25</v>
      </c>
    </row>
    <row r="1173" spans="1:3" x14ac:dyDescent="0.2">
      <c r="A1173" s="1">
        <v>55</v>
      </c>
      <c r="B1173" s="1" t="str">
        <v>2020-04-17</v>
      </c>
      <c r="C1173" s="1">
        <v>1.9139999999999999</v>
      </c>
    </row>
    <row r="1174" spans="1:3" x14ac:dyDescent="0.2">
      <c r="A1174" s="1">
        <v>32260</v>
      </c>
      <c r="B1174" s="1" t="str">
        <v>2020-04-17</v>
      </c>
      <c r="C1174" s="1">
        <v>2.1798000000000002</v>
      </c>
    </row>
    <row r="1175" spans="1:3" x14ac:dyDescent="0.2">
      <c r="A1175" s="1">
        <v>72</v>
      </c>
      <c r="B1175" s="1" t="str">
        <v>2020-04-17</v>
      </c>
      <c r="C1175" s="1">
        <v>1.7547999999999999</v>
      </c>
    </row>
    <row r="1176" spans="1:3" x14ac:dyDescent="0.2">
      <c r="A1176" s="1">
        <v>187</v>
      </c>
      <c r="B1176" s="1" t="str">
        <v>2020-04-17</v>
      </c>
      <c r="C1176" s="1">
        <v>2.4234</v>
      </c>
    </row>
    <row r="1177" spans="1:3" x14ac:dyDescent="0.2">
      <c r="A1177" s="1">
        <v>28</v>
      </c>
      <c r="B1177" s="1" t="str">
        <v>2020-04-17</v>
      </c>
      <c r="C1177" s="1">
        <v>2.1179999999999999</v>
      </c>
    </row>
    <row r="1178" spans="1:3" x14ac:dyDescent="0.2">
      <c r="A1178" s="1">
        <v>32180</v>
      </c>
      <c r="B1178" s="1" t="str">
        <v>2020-04-17</v>
      </c>
      <c r="C1178" s="1">
        <v>2.2258</v>
      </c>
    </row>
    <row r="1179" spans="1:3" x14ac:dyDescent="0.2">
      <c r="A1179" s="1">
        <v>34</v>
      </c>
      <c r="B1179" s="1" t="str">
        <v>2020-04-17</v>
      </c>
      <c r="C1179" s="1">
        <v>2.2399</v>
      </c>
    </row>
    <row r="1180" spans="1:3" x14ac:dyDescent="0.2">
      <c r="A1180" s="1">
        <v>81</v>
      </c>
      <c r="B1180" s="1" t="str">
        <v>2020-04-17</v>
      </c>
      <c r="C1180" s="1">
        <v>2.4552</v>
      </c>
    </row>
    <row r="1181" spans="1:3" x14ac:dyDescent="0.2">
      <c r="A1181" s="1">
        <v>139</v>
      </c>
      <c r="B1181" s="1" t="str">
        <v>2020-04-17</v>
      </c>
      <c r="C1181" s="1">
        <v>1.8331</v>
      </c>
    </row>
    <row r="1182" spans="1:3" x14ac:dyDescent="0.2">
      <c r="A1182" s="1">
        <v>30400</v>
      </c>
      <c r="B1182" s="1" t="str">
        <v>2020-04-17</v>
      </c>
      <c r="C1182" s="1">
        <v>1.264</v>
      </c>
    </row>
    <row r="1183" spans="1:3" x14ac:dyDescent="0.2">
      <c r="A1183" s="1">
        <v>32783</v>
      </c>
      <c r="B1183" s="1" t="str">
        <v>2020-04-17</v>
      </c>
      <c r="C1183" s="1">
        <v>2.3933</v>
      </c>
    </row>
    <row r="1184" spans="1:3" x14ac:dyDescent="0.2">
      <c r="A1184" s="1">
        <v>32863</v>
      </c>
      <c r="B1184" s="1" t="str">
        <v>2020-04-17</v>
      </c>
      <c r="C1184" s="1">
        <v>1.1324000000000001</v>
      </c>
    </row>
    <row r="1185" spans="1:3" x14ac:dyDescent="0.2">
      <c r="A1185" s="1">
        <v>16</v>
      </c>
      <c r="B1185" s="1" t="str">
        <v>2020-04-17</v>
      </c>
      <c r="C1185" s="1">
        <v>2.5893000000000002</v>
      </c>
    </row>
    <row r="1186" spans="1:3" x14ac:dyDescent="0.2">
      <c r="A1186" s="1">
        <v>67</v>
      </c>
      <c r="B1186" s="1" t="str">
        <v>2020-04-17</v>
      </c>
      <c r="C1186" s="1">
        <v>2.2804000000000002</v>
      </c>
    </row>
    <row r="1187" spans="1:3" x14ac:dyDescent="0.2">
      <c r="A1187" s="1">
        <v>20</v>
      </c>
      <c r="B1187" s="1" t="str">
        <v>2020-04-17</v>
      </c>
      <c r="C1187" s="1">
        <v>2.4409999999999998</v>
      </c>
    </row>
    <row r="1188" spans="1:3" x14ac:dyDescent="0.2">
      <c r="A1188" s="1">
        <v>110</v>
      </c>
      <c r="B1188" s="1" t="str">
        <v>2020-04-17</v>
      </c>
      <c r="C1188" s="1">
        <v>2.2000000000000002</v>
      </c>
    </row>
    <row r="1189" spans="1:3" x14ac:dyDescent="0.2">
      <c r="A1189" s="1">
        <v>24250</v>
      </c>
      <c r="B1189" s="1" t="str">
        <v>2020-04-17</v>
      </c>
      <c r="C1189" s="1">
        <v>1.7623</v>
      </c>
    </row>
    <row r="1190" spans="1:3" x14ac:dyDescent="0.2">
      <c r="A1190" s="1">
        <v>146</v>
      </c>
      <c r="B1190" s="1" t="str">
        <v>2020-04-17</v>
      </c>
      <c r="C1190" s="1">
        <v>1.8728</v>
      </c>
    </row>
    <row r="1191" spans="1:3" x14ac:dyDescent="0.2">
      <c r="A1191" s="1">
        <v>196</v>
      </c>
      <c r="B1191" s="1" t="str">
        <v>2020-04-17</v>
      </c>
      <c r="C1191" s="1">
        <v>1.5588</v>
      </c>
    </row>
    <row r="1192" spans="1:3" x14ac:dyDescent="0.2">
      <c r="A1192" s="1">
        <v>32502</v>
      </c>
      <c r="B1192" s="1" t="str">
        <v>2020-04-17</v>
      </c>
      <c r="C1192" s="1">
        <v>1.8734999999999999</v>
      </c>
    </row>
    <row r="1193" spans="1:3" x14ac:dyDescent="0.2">
      <c r="A1193" s="1">
        <v>30300</v>
      </c>
      <c r="B1193" s="1" t="str">
        <v>2020-04-17</v>
      </c>
      <c r="C1193" s="1">
        <v>2.0568</v>
      </c>
    </row>
    <row r="1194" spans="1:3" x14ac:dyDescent="0.2">
      <c r="A1194" s="1">
        <v>2250</v>
      </c>
      <c r="B1194" s="1" t="str">
        <v>2020-04-17</v>
      </c>
      <c r="C1194" s="1">
        <v>1.3960999999999999</v>
      </c>
    </row>
    <row r="1195" spans="1:3" x14ac:dyDescent="0.2">
      <c r="A1195" s="1">
        <v>171</v>
      </c>
      <c r="B1195" s="1" t="str">
        <v>2020-04-17</v>
      </c>
      <c r="C1195" s="1">
        <v>1.6088</v>
      </c>
    </row>
    <row r="1196" spans="1:3" x14ac:dyDescent="0.2">
      <c r="A1196" s="1">
        <v>136</v>
      </c>
      <c r="B1196" s="1" t="str">
        <v>2020-04-17</v>
      </c>
      <c r="C1196" s="1">
        <v>1.7722</v>
      </c>
    </row>
    <row r="1197" spans="1:3" x14ac:dyDescent="0.2">
      <c r="A1197" s="1">
        <v>146</v>
      </c>
      <c r="B1197" s="1" t="str">
        <v>2020-04-20</v>
      </c>
      <c r="C1197" s="1">
        <v>1.8728</v>
      </c>
    </row>
    <row r="1198" spans="1:3" x14ac:dyDescent="0.2">
      <c r="A1198" s="1">
        <v>32200</v>
      </c>
      <c r="B1198" s="1" t="str">
        <v>2020-04-20</v>
      </c>
      <c r="C1198" s="1">
        <v>1.3635999999999999</v>
      </c>
    </row>
    <row r="1199" spans="1:3" x14ac:dyDescent="0.2">
      <c r="A1199" s="1">
        <v>10</v>
      </c>
      <c r="B1199" s="1" t="str">
        <v>2020-04-20</v>
      </c>
      <c r="C1199" s="1">
        <v>1.722</v>
      </c>
    </row>
    <row r="1200" spans="1:3" x14ac:dyDescent="0.2">
      <c r="A1200" s="1">
        <v>33023</v>
      </c>
      <c r="B1200" s="1" t="str">
        <v>2020-04-20</v>
      </c>
      <c r="C1200" s="1">
        <v>2.1</v>
      </c>
    </row>
    <row r="1201" spans="1:3" x14ac:dyDescent="0.2">
      <c r="A1201" s="1">
        <v>53</v>
      </c>
      <c r="B1201" s="1" t="str">
        <v>2020-04-20</v>
      </c>
      <c r="C1201" s="1">
        <v>1.4871000000000001</v>
      </c>
    </row>
    <row r="1202" spans="1:3" x14ac:dyDescent="0.2">
      <c r="A1202" s="1">
        <v>176</v>
      </c>
      <c r="B1202" s="1" t="str">
        <v>2020-04-20</v>
      </c>
      <c r="C1202" s="1">
        <v>1.9248000000000001</v>
      </c>
    </row>
    <row r="1203" spans="1:3" x14ac:dyDescent="0.2">
      <c r="A1203" s="1">
        <v>115</v>
      </c>
      <c r="B1203" s="1" t="str">
        <v>2020-04-20</v>
      </c>
      <c r="C1203" s="1">
        <v>2.4451000000000001</v>
      </c>
    </row>
    <row r="1204" spans="1:3" x14ac:dyDescent="0.2">
      <c r="A1204" s="1">
        <v>94</v>
      </c>
      <c r="B1204" s="1" t="str">
        <v>2020-04-20</v>
      </c>
      <c r="C1204" s="1">
        <v>2.48</v>
      </c>
    </row>
    <row r="1205" spans="1:3" x14ac:dyDescent="0.2">
      <c r="A1205" s="1">
        <v>133</v>
      </c>
      <c r="B1205" s="1" t="str">
        <v>2020-04-20</v>
      </c>
      <c r="C1205" s="1">
        <v>2.4651000000000001</v>
      </c>
    </row>
    <row r="1206" spans="1:3" x14ac:dyDescent="0.2">
      <c r="A1206" s="1">
        <v>32082</v>
      </c>
      <c r="B1206" s="1" t="str">
        <v>2020-04-22</v>
      </c>
      <c r="C1206" s="1">
        <v>1.9039999999999999</v>
      </c>
    </row>
    <row r="1207" spans="1:3" x14ac:dyDescent="0.2">
      <c r="A1207" s="1">
        <v>8</v>
      </c>
      <c r="B1207" s="1" t="str">
        <v>2020-04-22</v>
      </c>
      <c r="C1207" s="1">
        <v>0.95279999999999998</v>
      </c>
    </row>
    <row r="1208" spans="1:3" x14ac:dyDescent="0.2">
      <c r="A1208" s="1">
        <v>32724</v>
      </c>
      <c r="B1208" s="1" t="str">
        <v>2020-04-22</v>
      </c>
      <c r="C1208" s="1">
        <v>2.0985999999999998</v>
      </c>
    </row>
    <row r="1209" spans="1:3" x14ac:dyDescent="0.2">
      <c r="A1209" s="1">
        <v>1</v>
      </c>
      <c r="B1209" s="1" t="str">
        <v>2020-04-22</v>
      </c>
      <c r="C1209" s="1">
        <v>2.1585000000000001</v>
      </c>
    </row>
    <row r="1210" spans="1:3" x14ac:dyDescent="0.2">
      <c r="A1210" s="1">
        <v>2250</v>
      </c>
      <c r="B1210" s="1" t="str">
        <v>2020-04-22</v>
      </c>
      <c r="C1210" s="1">
        <v>1.2844</v>
      </c>
    </row>
    <row r="1211" spans="1:3" x14ac:dyDescent="0.2">
      <c r="A1211" s="1">
        <v>33130</v>
      </c>
      <c r="B1211" s="1" t="str">
        <v>2020-04-23</v>
      </c>
      <c r="C1211" s="1">
        <v>1.8733</v>
      </c>
    </row>
    <row r="1212" spans="1:3" x14ac:dyDescent="0.2">
      <c r="A1212" s="1">
        <v>13250</v>
      </c>
      <c r="B1212" s="1" t="str">
        <v>2020-04-23</v>
      </c>
      <c r="C1212" s="1">
        <v>1.4155</v>
      </c>
    </row>
    <row r="1213" spans="1:3" x14ac:dyDescent="0.2">
      <c r="A1213" s="1">
        <v>33103</v>
      </c>
      <c r="B1213" s="1" t="str">
        <v>2020-04-23</v>
      </c>
      <c r="C1213" s="1">
        <v>3.7088000000000001</v>
      </c>
    </row>
    <row r="1214" spans="1:3" x14ac:dyDescent="0.2">
      <c r="A1214" s="1">
        <v>53</v>
      </c>
      <c r="B1214" s="1" t="str">
        <v>2020-04-23</v>
      </c>
      <c r="C1214" s="1">
        <v>1.3027</v>
      </c>
    </row>
    <row r="1215" spans="1:3" x14ac:dyDescent="0.2">
      <c r="A1215" s="1">
        <v>187</v>
      </c>
      <c r="B1215" s="1" t="str">
        <v>2020-04-23</v>
      </c>
      <c r="C1215" s="1">
        <v>2.2496999999999998</v>
      </c>
    </row>
    <row r="1216" spans="1:3" x14ac:dyDescent="0.2">
      <c r="A1216" s="1">
        <v>178</v>
      </c>
      <c r="B1216" s="1" t="str">
        <v>2020-04-23</v>
      </c>
      <c r="C1216" s="1">
        <v>2.2555999999999998</v>
      </c>
    </row>
    <row r="1217" spans="1:3" x14ac:dyDescent="0.2">
      <c r="A1217" s="1">
        <v>156</v>
      </c>
      <c r="B1217" s="1" t="str">
        <v>2020-04-23</v>
      </c>
      <c r="C1217" s="1">
        <v>2.4857</v>
      </c>
    </row>
    <row r="1218" spans="1:3" x14ac:dyDescent="0.2">
      <c r="A1218" s="1">
        <v>181</v>
      </c>
      <c r="B1218" s="1" t="str">
        <v>2020-04-23</v>
      </c>
      <c r="C1218" s="1">
        <v>2.2715000000000001</v>
      </c>
    </row>
    <row r="1219" spans="1:3" x14ac:dyDescent="0.2">
      <c r="A1219" s="1">
        <v>33183</v>
      </c>
      <c r="B1219" s="1" t="str">
        <v>2020-04-23</v>
      </c>
      <c r="C1219" s="1">
        <v>1.6</v>
      </c>
    </row>
    <row r="1220" spans="1:3" x14ac:dyDescent="0.2">
      <c r="A1220" s="1">
        <v>77</v>
      </c>
      <c r="B1220" s="1" t="str">
        <v>2020-04-24</v>
      </c>
      <c r="C1220" s="1">
        <v>2.2932999999999999</v>
      </c>
    </row>
    <row r="1221" spans="1:3" x14ac:dyDescent="0.2">
      <c r="A1221" s="1">
        <v>16</v>
      </c>
      <c r="B1221" s="1" t="str">
        <v>2020-04-24</v>
      </c>
      <c r="C1221" s="1">
        <v>2.5893000000000002</v>
      </c>
    </row>
    <row r="1222" spans="1:3" x14ac:dyDescent="0.2">
      <c r="A1222" s="1">
        <v>81</v>
      </c>
      <c r="B1222" s="1" t="str">
        <v>2020-04-24</v>
      </c>
      <c r="C1222" s="1">
        <v>2.4552</v>
      </c>
    </row>
    <row r="1223" spans="1:3" x14ac:dyDescent="0.2">
      <c r="A1223" s="1">
        <v>32180</v>
      </c>
      <c r="B1223" s="1" t="str">
        <v>2020-04-24</v>
      </c>
      <c r="C1223" s="1">
        <v>1.8976</v>
      </c>
    </row>
    <row r="1224" spans="1:3" x14ac:dyDescent="0.2">
      <c r="A1224" s="1">
        <v>99</v>
      </c>
      <c r="B1224" s="1" t="str">
        <v>2020-04-24</v>
      </c>
      <c r="C1224" s="1">
        <v>2.9380999999999999</v>
      </c>
    </row>
    <row r="1225" spans="1:3" x14ac:dyDescent="0.2">
      <c r="A1225" s="1">
        <v>32420</v>
      </c>
      <c r="B1225" s="1" t="str">
        <v>2020-04-24</v>
      </c>
      <c r="C1225" s="1">
        <v>2.4355000000000002</v>
      </c>
    </row>
    <row r="1226" spans="1:3" x14ac:dyDescent="0.2">
      <c r="A1226" s="1">
        <v>150</v>
      </c>
      <c r="B1226" s="1" t="str">
        <v>2020-04-24</v>
      </c>
      <c r="C1226" s="1">
        <v>2.5</v>
      </c>
    </row>
    <row r="1227" spans="1:3" x14ac:dyDescent="0.2">
      <c r="A1227" s="1">
        <v>187</v>
      </c>
      <c r="B1227" s="1" t="str">
        <v>2020-04-24</v>
      </c>
      <c r="C1227" s="1">
        <v>2.2496999999999998</v>
      </c>
    </row>
    <row r="1228" spans="1:3" x14ac:dyDescent="0.2">
      <c r="A1228" s="1">
        <v>2250</v>
      </c>
      <c r="B1228" s="1" t="str">
        <v>2020-04-24</v>
      </c>
      <c r="C1228" s="1">
        <v>1.2844</v>
      </c>
    </row>
    <row r="1229" spans="1:3" x14ac:dyDescent="0.2">
      <c r="A1229" s="1">
        <v>101</v>
      </c>
      <c r="B1229" s="1" t="str">
        <v>2020-04-24</v>
      </c>
      <c r="C1229" s="1">
        <v>1.8628</v>
      </c>
    </row>
    <row r="1230" spans="1:3" x14ac:dyDescent="0.2">
      <c r="A1230" s="1">
        <v>10</v>
      </c>
      <c r="B1230" s="1" t="str">
        <v>2020-04-27</v>
      </c>
      <c r="C1230" s="1">
        <v>1.6405000000000001</v>
      </c>
    </row>
    <row r="1231" spans="1:3" x14ac:dyDescent="0.2">
      <c r="A1231" s="1">
        <v>176</v>
      </c>
      <c r="B1231" s="1" t="str">
        <v>2020-04-27</v>
      </c>
      <c r="C1231" s="1">
        <v>1.9238999999999999</v>
      </c>
    </row>
    <row r="1232" spans="1:3" x14ac:dyDescent="0.2">
      <c r="A1232" s="1">
        <v>147</v>
      </c>
      <c r="B1232" s="1" t="str">
        <v>2020-04-27</v>
      </c>
      <c r="C1232" s="1">
        <v>1.8019000000000001</v>
      </c>
    </row>
    <row r="1233" spans="1:3" x14ac:dyDescent="0.2">
      <c r="A1233" s="1">
        <v>32222</v>
      </c>
      <c r="B1233" s="1" t="str">
        <v>2020-04-27</v>
      </c>
      <c r="C1233" s="1">
        <v>1.4046000000000001</v>
      </c>
    </row>
    <row r="1234" spans="1:3" x14ac:dyDescent="0.2">
      <c r="A1234" s="1">
        <v>33103</v>
      </c>
      <c r="B1234" s="1" t="str">
        <v>2020-04-27</v>
      </c>
      <c r="C1234" s="1">
        <v>3.1511999999999998</v>
      </c>
    </row>
    <row r="1235" spans="1:3" x14ac:dyDescent="0.2">
      <c r="A1235" s="1">
        <v>32040</v>
      </c>
      <c r="B1235" s="1" t="str">
        <v>2020-04-27</v>
      </c>
      <c r="C1235" s="1">
        <v>1.5598000000000001</v>
      </c>
    </row>
    <row r="1236" spans="1:3" x14ac:dyDescent="0.2">
      <c r="A1236" s="1">
        <v>28</v>
      </c>
      <c r="B1236" s="1" t="str">
        <v>2020-04-27</v>
      </c>
      <c r="C1236" s="1">
        <v>1.9959</v>
      </c>
    </row>
    <row r="1237" spans="1:3" x14ac:dyDescent="0.2">
      <c r="A1237" s="1">
        <v>32421</v>
      </c>
      <c r="B1237" s="1" t="str">
        <v>2020-04-27</v>
      </c>
      <c r="C1237" s="1">
        <v>1.897</v>
      </c>
    </row>
    <row r="1238" spans="1:3" x14ac:dyDescent="0.2">
      <c r="A1238" s="1">
        <v>178</v>
      </c>
      <c r="B1238" s="1" t="str">
        <v>2020-04-27</v>
      </c>
      <c r="C1238" s="1">
        <v>2.1640000000000001</v>
      </c>
    </row>
    <row r="1239" spans="1:3" x14ac:dyDescent="0.2">
      <c r="A1239" s="1">
        <v>89</v>
      </c>
      <c r="B1239" s="1" t="str">
        <v>2020-04-27</v>
      </c>
      <c r="C1239" s="1">
        <v>1.2746</v>
      </c>
    </row>
    <row r="1240" spans="1:3" x14ac:dyDescent="0.2">
      <c r="A1240" s="1">
        <v>94</v>
      </c>
      <c r="B1240" s="1" t="str">
        <v>2020-04-28</v>
      </c>
      <c r="C1240" s="1">
        <v>2.48</v>
      </c>
    </row>
    <row r="1241" spans="1:3" x14ac:dyDescent="0.2">
      <c r="A1241" s="1">
        <v>32724</v>
      </c>
      <c r="B1241" s="1" t="str">
        <v>2020-04-28</v>
      </c>
      <c r="C1241" s="1">
        <v>2.0169999999999999</v>
      </c>
    </row>
    <row r="1242" spans="1:3" x14ac:dyDescent="0.2">
      <c r="A1242" s="1">
        <v>157</v>
      </c>
      <c r="B1242" s="1" t="str">
        <v>2020-04-28</v>
      </c>
      <c r="C1242" s="1">
        <v>2.5</v>
      </c>
    </row>
    <row r="1243" spans="1:3" x14ac:dyDescent="0.2">
      <c r="A1243" s="1">
        <v>33164</v>
      </c>
      <c r="B1243" s="1" t="str">
        <v>2020-04-28</v>
      </c>
      <c r="C1243" s="1">
        <v>2.2719</v>
      </c>
    </row>
    <row r="1244" spans="1:3" x14ac:dyDescent="0.2">
      <c r="A1244" s="1">
        <v>1</v>
      </c>
      <c r="B1244" s="1" t="str">
        <v>2020-04-28</v>
      </c>
      <c r="C1244" s="1">
        <v>1.9033</v>
      </c>
    </row>
    <row r="1245" spans="1:3" x14ac:dyDescent="0.2">
      <c r="A1245" s="1">
        <v>147</v>
      </c>
      <c r="B1245" s="1" t="str">
        <v>2020-04-28</v>
      </c>
      <c r="C1245" s="1">
        <v>1.7597</v>
      </c>
    </row>
    <row r="1246" spans="1:3" x14ac:dyDescent="0.2">
      <c r="A1246" s="1">
        <v>181</v>
      </c>
      <c r="B1246" s="1" t="str">
        <v>2020-04-28</v>
      </c>
      <c r="C1246" s="1">
        <v>2.1488</v>
      </c>
    </row>
    <row r="1247" spans="1:3" x14ac:dyDescent="0.2">
      <c r="A1247" s="1">
        <v>156</v>
      </c>
      <c r="B1247" s="1" t="str">
        <v>2020-04-28</v>
      </c>
      <c r="C1247" s="1">
        <v>2.5880999999999998</v>
      </c>
    </row>
    <row r="1248" spans="1:3" x14ac:dyDescent="0.2">
      <c r="A1248" s="1">
        <v>1</v>
      </c>
      <c r="B1248" s="1" t="str">
        <v>2020-04-29</v>
      </c>
      <c r="C1248" s="1">
        <v>1.6997</v>
      </c>
    </row>
    <row r="1249" spans="1:3" x14ac:dyDescent="0.2">
      <c r="A1249" s="1">
        <v>53</v>
      </c>
      <c r="B1249" s="1" t="str">
        <v>2020-04-29</v>
      </c>
      <c r="C1249" s="1">
        <v>1.181</v>
      </c>
    </row>
    <row r="1250" spans="1:3" x14ac:dyDescent="0.2">
      <c r="A1250" s="1">
        <v>32360</v>
      </c>
      <c r="B1250" s="1" t="str">
        <v>2020-04-29</v>
      </c>
      <c r="C1250" s="1">
        <v>1.0295000000000001</v>
      </c>
    </row>
    <row r="1251" spans="1:3" x14ac:dyDescent="0.2">
      <c r="A1251" s="1">
        <v>32582</v>
      </c>
      <c r="B1251" s="1" t="str">
        <v>2020-04-29</v>
      </c>
      <c r="C1251" s="1">
        <v>1.4271</v>
      </c>
    </row>
    <row r="1252" spans="1:3" x14ac:dyDescent="0.2">
      <c r="A1252" s="1">
        <v>32081</v>
      </c>
      <c r="B1252" s="1" t="str">
        <v>2020-04-29</v>
      </c>
      <c r="C1252" s="1">
        <v>0.66659999999999997</v>
      </c>
    </row>
    <row r="1253" spans="1:3" x14ac:dyDescent="0.2">
      <c r="A1253" s="1">
        <v>13250</v>
      </c>
      <c r="B1253" s="1" t="str">
        <v>2020-04-29</v>
      </c>
      <c r="C1253" s="1">
        <v>1.3442000000000001</v>
      </c>
    </row>
    <row r="1254" spans="1:3" x14ac:dyDescent="0.2">
      <c r="A1254" s="1">
        <v>32963</v>
      </c>
      <c r="B1254" s="1" t="str">
        <v>2020-04-29</v>
      </c>
      <c r="C1254" s="1">
        <v>1.9746999999999999</v>
      </c>
    </row>
    <row r="1255" spans="1:3" x14ac:dyDescent="0.2">
      <c r="A1255" s="1">
        <v>55</v>
      </c>
      <c r="B1255" s="1" t="str">
        <v>2020-04-29</v>
      </c>
      <c r="C1255" s="1">
        <v>1.3243</v>
      </c>
    </row>
    <row r="1256" spans="1:3" x14ac:dyDescent="0.2">
      <c r="A1256" s="1">
        <v>32200</v>
      </c>
      <c r="B1256" s="1" t="str">
        <v>2020-04-29</v>
      </c>
      <c r="C1256" s="1">
        <v>1.1408</v>
      </c>
    </row>
    <row r="1257" spans="1:3" x14ac:dyDescent="0.2">
      <c r="A1257" s="1">
        <v>49</v>
      </c>
      <c r="B1257" s="1" t="str">
        <v>2020-04-29</v>
      </c>
      <c r="C1257" s="1">
        <v>1.5264</v>
      </c>
    </row>
    <row r="1258" spans="1:3" x14ac:dyDescent="0.2">
      <c r="A1258" s="1">
        <v>32</v>
      </c>
      <c r="B1258" s="1" t="str">
        <v>2020-04-29</v>
      </c>
      <c r="C1258" s="1">
        <v>1.7693000000000001</v>
      </c>
    </row>
    <row r="1259" spans="1:3" x14ac:dyDescent="0.2">
      <c r="A1259" s="1">
        <v>115</v>
      </c>
      <c r="B1259" s="1" t="str">
        <v>2020-04-30</v>
      </c>
      <c r="C1259" s="1">
        <v>2.1678999999999999</v>
      </c>
    </row>
    <row r="1260" spans="1:3" x14ac:dyDescent="0.2">
      <c r="A1260" s="1">
        <v>32340</v>
      </c>
      <c r="B1260" s="1" t="str">
        <v>2020-04-30</v>
      </c>
      <c r="C1260" s="1">
        <v>1.9224000000000001</v>
      </c>
    </row>
    <row r="1261" spans="1:3" x14ac:dyDescent="0.2">
      <c r="A1261" s="1">
        <v>32</v>
      </c>
      <c r="B1261" s="1" t="str">
        <v>2020-04-30</v>
      </c>
      <c r="C1261" s="1">
        <v>1.6876</v>
      </c>
    </row>
    <row r="1262" spans="1:3" x14ac:dyDescent="0.2">
      <c r="A1262" s="1">
        <v>30350</v>
      </c>
      <c r="B1262" s="1" t="str">
        <v>2020-04-30</v>
      </c>
      <c r="C1262" s="1">
        <v>2.2787000000000002</v>
      </c>
    </row>
    <row r="1263" spans="1:3" x14ac:dyDescent="0.2">
      <c r="A1263" s="1">
        <v>32360</v>
      </c>
      <c r="B1263" s="1" t="str">
        <v>2020-04-30</v>
      </c>
      <c r="C1263" s="1">
        <v>1.0295000000000001</v>
      </c>
    </row>
    <row r="1264" spans="1:3" x14ac:dyDescent="0.2">
      <c r="A1264" s="1">
        <v>33129</v>
      </c>
      <c r="B1264" s="1" t="str">
        <v>2020-04-30</v>
      </c>
      <c r="C1264" s="1">
        <v>1.202</v>
      </c>
    </row>
    <row r="1265" spans="1:3" x14ac:dyDescent="0.2">
      <c r="A1265" s="1">
        <v>32222</v>
      </c>
      <c r="B1265" s="1" t="str">
        <v>2020-04-30</v>
      </c>
      <c r="C1265" s="1">
        <v>1.181</v>
      </c>
    </row>
    <row r="1266" spans="1:3" x14ac:dyDescent="0.2">
      <c r="A1266" s="1">
        <v>32724</v>
      </c>
      <c r="B1266" s="1" t="str">
        <v>2020-04-30</v>
      </c>
      <c r="C1266" s="1">
        <v>1.9455</v>
      </c>
    </row>
    <row r="1267" spans="1:3" x14ac:dyDescent="0.2">
      <c r="A1267" s="1">
        <v>102</v>
      </c>
      <c r="B1267" s="1" t="str">
        <v>2020-04-30</v>
      </c>
      <c r="C1267" s="1">
        <v>1.3413999999999999</v>
      </c>
    </row>
    <row r="1268" spans="1:3" x14ac:dyDescent="0.2">
      <c r="A1268" s="1">
        <v>24</v>
      </c>
      <c r="B1268" s="1" t="str">
        <v>2020-04-30</v>
      </c>
      <c r="C1268" s="1">
        <v>2.1981000000000002</v>
      </c>
    </row>
    <row r="1269" spans="1:3" x14ac:dyDescent="0.2">
      <c r="A1269" s="1">
        <v>191</v>
      </c>
      <c r="B1269" s="1" t="str">
        <v>2020-04-30</v>
      </c>
      <c r="C1269" s="1">
        <v>1.8413999999999999</v>
      </c>
    </row>
    <row r="1270" spans="1:3" x14ac:dyDescent="0.2">
      <c r="A1270" s="1">
        <v>32260</v>
      </c>
      <c r="B1270" s="1" t="str">
        <v>2020-04-30</v>
      </c>
      <c r="C1270" s="1">
        <v>1.8211999999999999</v>
      </c>
    </row>
    <row r="1271" spans="1:3" x14ac:dyDescent="0.2">
      <c r="A1271" s="1">
        <v>32420</v>
      </c>
      <c r="B1271" s="1" t="str">
        <v>2020-04-30</v>
      </c>
      <c r="C1271" s="1">
        <v>1.6432</v>
      </c>
    </row>
    <row r="1272" spans="1:3" x14ac:dyDescent="0.2">
      <c r="A1272" s="1">
        <v>31</v>
      </c>
      <c r="B1272" s="1" t="str">
        <v>2020-04-30</v>
      </c>
      <c r="C1272" s="1">
        <v>2</v>
      </c>
    </row>
    <row r="1273" spans="1:3" x14ac:dyDescent="0.2">
      <c r="A1273" s="1">
        <v>30300</v>
      </c>
      <c r="B1273" s="1" t="str">
        <v>2020-04-30</v>
      </c>
      <c r="C1273" s="1">
        <v>1.9941</v>
      </c>
    </row>
    <row r="1274" spans="1:3" x14ac:dyDescent="0.2">
      <c r="A1274" s="1">
        <v>32803</v>
      </c>
      <c r="B1274" s="1" t="str">
        <v>2020-04-30</v>
      </c>
      <c r="C1274" s="1">
        <v>1.2736000000000001</v>
      </c>
    </row>
    <row r="1275" spans="1:3" x14ac:dyDescent="0.2">
      <c r="A1275" s="1">
        <v>67</v>
      </c>
      <c r="B1275" s="1" t="str">
        <v>2020-04-30</v>
      </c>
      <c r="C1275" s="1">
        <v>1.9634</v>
      </c>
    </row>
    <row r="1276" spans="1:3" x14ac:dyDescent="0.2">
      <c r="A1276" s="1">
        <v>32583</v>
      </c>
      <c r="B1276" s="1" t="str">
        <v>2020-04-30</v>
      </c>
      <c r="C1276" s="1">
        <v>1.4</v>
      </c>
    </row>
    <row r="1277" spans="1:3" x14ac:dyDescent="0.2">
      <c r="A1277" s="1">
        <v>37</v>
      </c>
      <c r="B1277" s="1" t="str">
        <v>2020-04-30</v>
      </c>
      <c r="C1277" s="1">
        <v>2.3618000000000001</v>
      </c>
    </row>
    <row r="1278" spans="1:3" x14ac:dyDescent="0.2">
      <c r="A1278" s="1">
        <v>32081</v>
      </c>
      <c r="B1278" s="1" t="str">
        <v>2020-04-30</v>
      </c>
      <c r="C1278" s="1">
        <v>0.67669999999999997</v>
      </c>
    </row>
    <row r="1279" spans="1:3" x14ac:dyDescent="0.2">
      <c r="A1279" s="1">
        <v>1</v>
      </c>
      <c r="B1279" s="1" t="str">
        <v>2020-04-30</v>
      </c>
      <c r="C1279" s="1">
        <v>1.5670999999999999</v>
      </c>
    </row>
    <row r="1280" spans="1:3" x14ac:dyDescent="0.2">
      <c r="A1280" s="1">
        <v>32582</v>
      </c>
      <c r="B1280" s="1" t="str">
        <v>2020-04-30</v>
      </c>
      <c r="C1280" s="1">
        <v>1.5585</v>
      </c>
    </row>
    <row r="1281" spans="1:3" x14ac:dyDescent="0.2">
      <c r="A1281" s="1">
        <v>110</v>
      </c>
      <c r="B1281" s="1" t="str">
        <v>2020-04-30</v>
      </c>
      <c r="C1281" s="1">
        <v>2.16</v>
      </c>
    </row>
    <row r="1282" spans="1:3" x14ac:dyDescent="0.2">
      <c r="A1282" s="1">
        <v>20</v>
      </c>
      <c r="B1282" s="1" t="str">
        <v>2020-04-30</v>
      </c>
      <c r="C1282" s="1">
        <v>2.2151000000000001</v>
      </c>
    </row>
    <row r="1283" spans="1:3" x14ac:dyDescent="0.2">
      <c r="A1283" s="1">
        <v>32883</v>
      </c>
      <c r="B1283" s="1" t="str">
        <v>2020-04-30</v>
      </c>
      <c r="C1283" s="1">
        <v>2.6088</v>
      </c>
    </row>
    <row r="1284" spans="1:3" x14ac:dyDescent="0.2">
      <c r="A1284" s="1">
        <v>139</v>
      </c>
      <c r="B1284" s="1" t="str">
        <v>2020-04-30</v>
      </c>
      <c r="C1284" s="1">
        <v>1.5474000000000001</v>
      </c>
    </row>
    <row r="1285" spans="1:3" x14ac:dyDescent="0.2">
      <c r="A1285" s="1">
        <v>24250</v>
      </c>
      <c r="B1285" s="1" t="str">
        <v>2020-04-30</v>
      </c>
      <c r="C1285" s="1">
        <v>1.4970000000000001</v>
      </c>
    </row>
    <row r="1286" spans="1:3" x14ac:dyDescent="0.2">
      <c r="A1286" s="1">
        <v>33183</v>
      </c>
      <c r="B1286" s="1" t="str">
        <v>2020-04-30</v>
      </c>
      <c r="C1286" s="1">
        <v>1.4</v>
      </c>
    </row>
    <row r="1287" spans="1:3" x14ac:dyDescent="0.2">
      <c r="A1287" s="1">
        <v>101</v>
      </c>
      <c r="B1287" s="1" t="str">
        <v>2020-04-30</v>
      </c>
      <c r="C1287" s="1">
        <v>1.7302999999999999</v>
      </c>
    </row>
    <row r="1288" spans="1:3" x14ac:dyDescent="0.2">
      <c r="A1288" s="1">
        <v>32121</v>
      </c>
      <c r="B1288" s="1" t="str">
        <v>2020-04-30</v>
      </c>
      <c r="C1288" s="1">
        <v>1.6375</v>
      </c>
    </row>
    <row r="1289" spans="1:3" x14ac:dyDescent="0.2">
      <c r="A1289" s="1">
        <v>32863</v>
      </c>
      <c r="B1289" s="1" t="str">
        <v>2020-04-30</v>
      </c>
      <c r="C1289" s="1">
        <v>1.2622</v>
      </c>
    </row>
    <row r="1290" spans="1:3" x14ac:dyDescent="0.2">
      <c r="A1290" s="1">
        <v>72</v>
      </c>
      <c r="B1290" s="1" t="str">
        <v>2020-04-30</v>
      </c>
      <c r="C1290" s="1">
        <v>1.4257</v>
      </c>
    </row>
    <row r="1291" spans="1:3" x14ac:dyDescent="0.2">
      <c r="A1291" s="1">
        <v>196</v>
      </c>
      <c r="B1291" s="1" t="str">
        <v>2020-04-30</v>
      </c>
      <c r="C1291" s="1">
        <v>1.3554999999999999</v>
      </c>
    </row>
    <row r="1292" spans="1:3" x14ac:dyDescent="0.2">
      <c r="A1292" s="1">
        <v>30400</v>
      </c>
      <c r="B1292" s="1" t="str">
        <v>2020-04-30</v>
      </c>
      <c r="C1292" s="1">
        <v>0.8891</v>
      </c>
    </row>
    <row r="1293" spans="1:3" x14ac:dyDescent="0.2">
      <c r="A1293" s="1">
        <v>32923</v>
      </c>
      <c r="B1293" s="1" t="str">
        <v>2020-04-30</v>
      </c>
      <c r="C1293" s="1">
        <v>2.7738</v>
      </c>
    </row>
    <row r="1294" spans="1:3" x14ac:dyDescent="0.2">
      <c r="A1294" s="1">
        <v>32502</v>
      </c>
      <c r="B1294" s="1" t="str">
        <v>2020-04-30</v>
      </c>
      <c r="C1294" s="1">
        <v>1.4765999999999999</v>
      </c>
    </row>
    <row r="1295" spans="1:3" x14ac:dyDescent="0.2">
      <c r="A1295" s="1">
        <v>146</v>
      </c>
      <c r="B1295" s="1" t="str">
        <v>2020-04-30</v>
      </c>
      <c r="C1295" s="1">
        <v>1.8821000000000001</v>
      </c>
    </row>
    <row r="1296" spans="1:3" x14ac:dyDescent="0.2">
      <c r="A1296" s="1">
        <v>78</v>
      </c>
      <c r="B1296" s="1" t="str">
        <v>2020-04-30</v>
      </c>
      <c r="C1296" s="1">
        <v>2.1574</v>
      </c>
    </row>
    <row r="1297" spans="1:3" x14ac:dyDescent="0.2">
      <c r="A1297" s="1">
        <v>90</v>
      </c>
      <c r="B1297" s="1" t="str">
        <v>2020-04-30</v>
      </c>
      <c r="C1297" s="1">
        <v>1.7995000000000001</v>
      </c>
    </row>
    <row r="1298" spans="1:3" x14ac:dyDescent="0.2">
      <c r="A1298" s="1">
        <v>30250</v>
      </c>
      <c r="B1298" s="1" t="str">
        <v>2020-04-30</v>
      </c>
      <c r="C1298" s="1">
        <v>0.98</v>
      </c>
    </row>
    <row r="1299" spans="1:3" x14ac:dyDescent="0.2">
      <c r="A1299" s="1">
        <v>109</v>
      </c>
      <c r="B1299" s="1" t="str">
        <v>2020-04-30</v>
      </c>
      <c r="C1299" s="1">
        <v>2.3536000000000001</v>
      </c>
    </row>
    <row r="1300" spans="1:3" x14ac:dyDescent="0.2">
      <c r="A1300" s="1">
        <v>49</v>
      </c>
      <c r="B1300" s="1" t="str">
        <v>2020-04-30</v>
      </c>
      <c r="C1300" s="1">
        <v>1.5971</v>
      </c>
    </row>
    <row r="1301" spans="1:3" x14ac:dyDescent="0.2">
      <c r="A1301" s="1">
        <v>59</v>
      </c>
      <c r="B1301" s="1" t="str">
        <v>2020-04-30</v>
      </c>
      <c r="C1301" s="1">
        <v>1.1938</v>
      </c>
    </row>
    <row r="1302" spans="1:3" x14ac:dyDescent="0.2">
      <c r="A1302" s="1">
        <v>136</v>
      </c>
      <c r="B1302" s="1" t="str">
        <v>2020-04-30</v>
      </c>
      <c r="C1302" s="1">
        <v>1.5777000000000001</v>
      </c>
    </row>
    <row r="1303" spans="1:3" x14ac:dyDescent="0.2">
      <c r="A1303" s="1">
        <v>171</v>
      </c>
      <c r="B1303" s="1" t="str">
        <v>2020-04-30</v>
      </c>
      <c r="C1303" s="1">
        <v>1.4458</v>
      </c>
    </row>
    <row r="1304" spans="1:3" x14ac:dyDescent="0.2">
      <c r="A1304" s="1">
        <v>176</v>
      </c>
      <c r="B1304" s="1" t="str">
        <v>2020-04-30</v>
      </c>
      <c r="C1304" s="1">
        <v>1.8935999999999999</v>
      </c>
    </row>
    <row r="1305" spans="1:3" x14ac:dyDescent="0.2">
      <c r="A1305" s="1">
        <v>32783</v>
      </c>
      <c r="B1305" s="1" t="str">
        <v>2020-04-30</v>
      </c>
      <c r="C1305" s="1">
        <v>2.2494000000000001</v>
      </c>
    </row>
    <row r="1306" spans="1:3" x14ac:dyDescent="0.2">
      <c r="A1306" s="1">
        <v>33083</v>
      </c>
      <c r="B1306" s="1" t="str">
        <v>2020-04-30</v>
      </c>
      <c r="C1306" s="1">
        <v>2.1720999999999999</v>
      </c>
    </row>
    <row r="1307" spans="1:3" x14ac:dyDescent="0.2">
      <c r="A1307" s="1">
        <v>23250</v>
      </c>
      <c r="B1307" s="1" t="str">
        <v>2020-05-04</v>
      </c>
      <c r="C1307" s="1">
        <v>1.8024</v>
      </c>
    </row>
    <row r="1308" spans="1:3" x14ac:dyDescent="0.2">
      <c r="A1308" s="1">
        <v>33023</v>
      </c>
      <c r="B1308" s="1" t="str">
        <v>2020-05-04</v>
      </c>
      <c r="C1308" s="1">
        <v>2</v>
      </c>
    </row>
    <row r="1309" spans="1:3" x14ac:dyDescent="0.2">
      <c r="A1309" s="1">
        <v>33183</v>
      </c>
      <c r="B1309" s="1" t="str">
        <v>2020-05-04</v>
      </c>
      <c r="C1309" s="1">
        <v>1.4</v>
      </c>
    </row>
    <row r="1310" spans="1:3" x14ac:dyDescent="0.2">
      <c r="A1310" s="1">
        <v>10</v>
      </c>
      <c r="B1310" s="1" t="str">
        <v>2020-05-04</v>
      </c>
      <c r="C1310" s="1">
        <v>1.5382</v>
      </c>
    </row>
    <row r="1311" spans="1:3" x14ac:dyDescent="0.2">
      <c r="A1311" s="1">
        <v>34</v>
      </c>
      <c r="B1311" s="1" t="str">
        <v>2020-05-04</v>
      </c>
      <c r="C1311" s="1">
        <v>1.8512</v>
      </c>
    </row>
    <row r="1312" spans="1:3" x14ac:dyDescent="0.2">
      <c r="A1312" s="1">
        <v>33143</v>
      </c>
      <c r="B1312" s="1" t="str">
        <v>2020-05-04</v>
      </c>
      <c r="C1312" s="1">
        <v>2.5</v>
      </c>
    </row>
    <row r="1313" spans="1:3" x14ac:dyDescent="0.2">
      <c r="A1313" s="1">
        <v>32380</v>
      </c>
      <c r="B1313" s="1" t="str">
        <v>2020-05-04</v>
      </c>
      <c r="C1313" s="1">
        <v>2.3365999999999998</v>
      </c>
    </row>
    <row r="1314" spans="1:3" x14ac:dyDescent="0.2">
      <c r="A1314" s="1">
        <v>182</v>
      </c>
      <c r="B1314" s="1" t="str">
        <v>2020-05-04</v>
      </c>
      <c r="C1314" s="1">
        <v>2.5888</v>
      </c>
    </row>
    <row r="1315" spans="1:3" x14ac:dyDescent="0.2">
      <c r="A1315" s="1">
        <v>32421</v>
      </c>
      <c r="B1315" s="1" t="str">
        <v>2020-05-04</v>
      </c>
      <c r="C1315" s="1">
        <v>1.6357999999999999</v>
      </c>
    </row>
    <row r="1316" spans="1:3" x14ac:dyDescent="0.2">
      <c r="A1316" s="1">
        <v>133</v>
      </c>
      <c r="B1316" s="1" t="str">
        <v>2020-05-04</v>
      </c>
      <c r="C1316" s="1">
        <v>2.1884999999999999</v>
      </c>
    </row>
    <row r="1317" spans="1:3" x14ac:dyDescent="0.2">
      <c r="A1317" s="1">
        <v>83</v>
      </c>
      <c r="B1317" s="1" t="str">
        <v>2020-05-04</v>
      </c>
      <c r="C1317" s="1">
        <v>2.25</v>
      </c>
    </row>
    <row r="1318" spans="1:3" x14ac:dyDescent="0.2">
      <c r="A1318" s="1">
        <v>178</v>
      </c>
      <c r="B1318" s="1" t="str">
        <v>2020-05-04</v>
      </c>
      <c r="C1318" s="1">
        <v>1.8420000000000001</v>
      </c>
    </row>
    <row r="1319" spans="1:3" x14ac:dyDescent="0.2">
      <c r="A1319" s="1">
        <v>33103</v>
      </c>
      <c r="B1319" s="1" t="str">
        <v>2020-05-05</v>
      </c>
      <c r="C1319" s="1">
        <v>3.0823</v>
      </c>
    </row>
    <row r="1320" spans="1:3" x14ac:dyDescent="0.2">
      <c r="A1320" s="1">
        <v>32521</v>
      </c>
      <c r="B1320" s="1" t="str">
        <v>2020-05-05</v>
      </c>
      <c r="C1320" s="1">
        <v>2.57</v>
      </c>
    </row>
    <row r="1321" spans="1:3" x14ac:dyDescent="0.2">
      <c r="A1321" s="1">
        <v>132</v>
      </c>
      <c r="B1321" s="1" t="str">
        <v>2020-05-05</v>
      </c>
      <c r="C1321" s="1">
        <v>0.97250000000000003</v>
      </c>
    </row>
    <row r="1322" spans="1:3" x14ac:dyDescent="0.2">
      <c r="A1322" s="1">
        <v>32843</v>
      </c>
      <c r="B1322" s="1" t="str">
        <v>2020-05-06</v>
      </c>
      <c r="C1322" s="1">
        <v>1.0719000000000001</v>
      </c>
    </row>
    <row r="1323" spans="1:3" x14ac:dyDescent="0.2">
      <c r="A1323" s="1">
        <v>157</v>
      </c>
      <c r="B1323" s="1" t="str">
        <v>2020-05-06</v>
      </c>
      <c r="C1323" s="1">
        <v>2.5</v>
      </c>
    </row>
    <row r="1324" spans="1:3" x14ac:dyDescent="0.2">
      <c r="A1324" s="1">
        <v>33023</v>
      </c>
      <c r="B1324" s="1" t="str">
        <v>2020-05-06</v>
      </c>
      <c r="C1324" s="1">
        <v>2</v>
      </c>
    </row>
    <row r="1325" spans="1:3" x14ac:dyDescent="0.2">
      <c r="A1325" s="1">
        <v>147</v>
      </c>
      <c r="B1325" s="1" t="str">
        <v>2020-05-06</v>
      </c>
      <c r="C1325" s="1">
        <v>1.1021000000000001</v>
      </c>
    </row>
    <row r="1326" spans="1:3" x14ac:dyDescent="0.2">
      <c r="A1326" s="1">
        <v>33130</v>
      </c>
      <c r="B1326" s="1" t="str">
        <v>2020-05-07</v>
      </c>
      <c r="C1326" s="1">
        <v>2.1476999999999999</v>
      </c>
    </row>
    <row r="1327" spans="1:3" x14ac:dyDescent="0.2">
      <c r="A1327" s="1">
        <v>32480</v>
      </c>
      <c r="B1327" s="1" t="str">
        <v>2020-05-07</v>
      </c>
      <c r="C1327" s="1">
        <v>1.6812</v>
      </c>
    </row>
    <row r="1328" spans="1:3" x14ac:dyDescent="0.2">
      <c r="A1328" s="1">
        <v>33103</v>
      </c>
      <c r="B1328" s="1" t="str">
        <v>2020-05-07</v>
      </c>
      <c r="C1328" s="1">
        <v>2.9738000000000002</v>
      </c>
    </row>
    <row r="1329" spans="1:3" x14ac:dyDescent="0.2">
      <c r="A1329" s="1">
        <v>32280</v>
      </c>
      <c r="B1329" s="1" t="str">
        <v>2020-05-07</v>
      </c>
      <c r="C1329" s="1">
        <v>1.3244</v>
      </c>
    </row>
    <row r="1330" spans="1:3" x14ac:dyDescent="0.2">
      <c r="A1330" s="1">
        <v>83</v>
      </c>
      <c r="B1330" s="1" t="str">
        <v>2020-05-07</v>
      </c>
      <c r="C1330" s="1">
        <v>1.7101</v>
      </c>
    </row>
    <row r="1331" spans="1:3" x14ac:dyDescent="0.2">
      <c r="A1331" s="1">
        <v>182</v>
      </c>
      <c r="B1331" s="1" t="str">
        <v>2020-05-08</v>
      </c>
      <c r="C1331" s="1">
        <v>2.5888</v>
      </c>
    </row>
    <row r="1332" spans="1:3" x14ac:dyDescent="0.2">
      <c r="A1332" s="1">
        <v>143</v>
      </c>
      <c r="B1332" s="1" t="str">
        <v>2020-05-08</v>
      </c>
      <c r="C1332" s="1">
        <v>1.9742999999999999</v>
      </c>
    </row>
    <row r="1333" spans="1:3" x14ac:dyDescent="0.2">
      <c r="A1333" s="1">
        <v>133</v>
      </c>
      <c r="B1333" s="1" t="str">
        <v>2020-05-08</v>
      </c>
      <c r="C1333" s="1">
        <v>1.9735</v>
      </c>
    </row>
    <row r="1334" spans="1:3" x14ac:dyDescent="0.2">
      <c r="A1334" s="1">
        <v>187</v>
      </c>
      <c r="B1334" s="1" t="str">
        <v>2020-05-08</v>
      </c>
      <c r="C1334" s="1">
        <v>1.3759999999999999</v>
      </c>
    </row>
    <row r="1335" spans="1:3" x14ac:dyDescent="0.2">
      <c r="A1335" s="1">
        <v>32560</v>
      </c>
      <c r="B1335" s="1" t="str">
        <v>2020-05-08</v>
      </c>
      <c r="C1335" s="1">
        <v>1.4766999999999999</v>
      </c>
    </row>
    <row r="1336" spans="1:3" x14ac:dyDescent="0.2">
      <c r="A1336" s="1">
        <v>32724</v>
      </c>
      <c r="B1336" s="1" t="str">
        <v>2020-05-08</v>
      </c>
      <c r="C1336" s="1">
        <v>0.84989999999999999</v>
      </c>
    </row>
    <row r="1337" spans="1:3" x14ac:dyDescent="0.2">
      <c r="A1337" s="1">
        <v>23250</v>
      </c>
      <c r="B1337" s="1" t="str">
        <v>2020-05-08</v>
      </c>
      <c r="C1337" s="1">
        <v>1.3039000000000001</v>
      </c>
    </row>
    <row r="1338" spans="1:3" x14ac:dyDescent="0.2">
      <c r="A1338" s="1">
        <v>1</v>
      </c>
      <c r="B1338" s="1" t="str">
        <v>2020-05-08</v>
      </c>
      <c r="C1338" s="1">
        <v>1.5168999999999999</v>
      </c>
    </row>
    <row r="1339" spans="1:3" x14ac:dyDescent="0.2">
      <c r="A1339" s="1">
        <v>32180</v>
      </c>
      <c r="B1339" s="1" t="str">
        <v>2020-05-08</v>
      </c>
      <c r="C1339" s="1">
        <v>1.8625</v>
      </c>
    </row>
    <row r="1340" spans="1:3" x14ac:dyDescent="0.2">
      <c r="A1340" s="1">
        <v>150</v>
      </c>
      <c r="B1340" s="1" t="str">
        <v>2020-05-08</v>
      </c>
      <c r="C1340" s="1">
        <v>1.6933</v>
      </c>
    </row>
    <row r="1341" spans="1:3" x14ac:dyDescent="0.2">
      <c r="A1341" s="1">
        <v>81</v>
      </c>
      <c r="B1341" s="1" t="str">
        <v>2020-05-08</v>
      </c>
      <c r="C1341" s="1">
        <v>1.9843999999999999</v>
      </c>
    </row>
    <row r="1342" spans="1:3" x14ac:dyDescent="0.2">
      <c r="A1342" s="1">
        <v>49</v>
      </c>
      <c r="B1342" s="1" t="str">
        <v>2020-05-08</v>
      </c>
      <c r="C1342" s="1">
        <v>1.1830000000000001</v>
      </c>
    </row>
    <row r="1343" spans="1:3" x14ac:dyDescent="0.2">
      <c r="A1343" s="1">
        <v>33103</v>
      </c>
      <c r="B1343" s="1" t="str">
        <v>2020-05-08</v>
      </c>
      <c r="C1343" s="1">
        <v>2.637</v>
      </c>
    </row>
    <row r="1344" spans="1:3" x14ac:dyDescent="0.2">
      <c r="A1344" s="1">
        <v>32783</v>
      </c>
      <c r="B1344" s="1" t="str">
        <v>2020-05-08</v>
      </c>
      <c r="C1344" s="1">
        <v>2.2595999999999998</v>
      </c>
    </row>
    <row r="1345" spans="1:3" x14ac:dyDescent="0.2">
      <c r="A1345" s="1">
        <v>171</v>
      </c>
      <c r="B1345" s="1" t="str">
        <v>2020-05-08</v>
      </c>
      <c r="C1345" s="1">
        <v>1.4155</v>
      </c>
    </row>
    <row r="1346" spans="1:3" x14ac:dyDescent="0.2">
      <c r="A1346" s="1">
        <v>177</v>
      </c>
      <c r="B1346" s="1" t="str">
        <v>2020-05-08</v>
      </c>
      <c r="C1346" s="1">
        <v>2.0047000000000001</v>
      </c>
    </row>
    <row r="1347" spans="1:3" x14ac:dyDescent="0.2">
      <c r="A1347" s="1">
        <v>156</v>
      </c>
      <c r="B1347" s="1" t="str">
        <v>2020-05-08</v>
      </c>
      <c r="C1347" s="1">
        <v>2.0350999999999999</v>
      </c>
    </row>
    <row r="1348" spans="1:3" x14ac:dyDescent="0.2">
      <c r="A1348" s="1">
        <v>101</v>
      </c>
      <c r="B1348" s="1" t="str">
        <v>2020-05-08</v>
      </c>
      <c r="C1348" s="1">
        <v>1.6082000000000001</v>
      </c>
    </row>
    <row r="1349" spans="1:3" x14ac:dyDescent="0.2">
      <c r="A1349" s="1">
        <v>67</v>
      </c>
      <c r="B1349" s="1" t="str">
        <v>2020-05-08</v>
      </c>
      <c r="C1349" s="1">
        <v>1.9424999999999999</v>
      </c>
    </row>
    <row r="1350" spans="1:3" x14ac:dyDescent="0.2">
      <c r="A1350" s="1">
        <v>32502</v>
      </c>
      <c r="B1350" s="1" t="str">
        <v>2020-05-08</v>
      </c>
      <c r="C1350" s="1">
        <v>1.6392</v>
      </c>
    </row>
    <row r="1351" spans="1:3" x14ac:dyDescent="0.2">
      <c r="A1351" s="1">
        <v>55</v>
      </c>
      <c r="B1351" s="1" t="str">
        <v>2020-05-08</v>
      </c>
      <c r="C1351" s="1">
        <v>1.2939000000000001</v>
      </c>
    </row>
    <row r="1352" spans="1:3" x14ac:dyDescent="0.2">
      <c r="A1352" s="1">
        <v>2250</v>
      </c>
      <c r="B1352" s="1" t="str">
        <v>2020-05-08</v>
      </c>
      <c r="C1352" s="1">
        <v>0.49730000000000002</v>
      </c>
    </row>
    <row r="1353" spans="1:3" x14ac:dyDescent="0.2">
      <c r="A1353" s="1">
        <v>32583</v>
      </c>
      <c r="B1353" s="1" t="str">
        <v>2020-05-08</v>
      </c>
      <c r="C1353" s="1">
        <v>1.4</v>
      </c>
    </row>
    <row r="1354" spans="1:3" x14ac:dyDescent="0.2">
      <c r="A1354" s="1">
        <v>102</v>
      </c>
      <c r="B1354" s="1" t="str">
        <v>2020-05-08</v>
      </c>
      <c r="C1354" s="1">
        <v>1.5469999999999999</v>
      </c>
    </row>
    <row r="1355" spans="1:3" x14ac:dyDescent="0.2">
      <c r="A1355" s="1">
        <v>33125</v>
      </c>
      <c r="B1355" s="1" t="str">
        <v>2020-05-08</v>
      </c>
      <c r="C1355" s="1">
        <v>2.2780999999999998</v>
      </c>
    </row>
    <row r="1356" spans="1:3" x14ac:dyDescent="0.2">
      <c r="A1356" s="1">
        <v>16</v>
      </c>
      <c r="B1356" s="1" t="str">
        <v>2020-05-11</v>
      </c>
      <c r="C1356" s="1">
        <v>1.3873</v>
      </c>
    </row>
    <row r="1357" spans="1:3" x14ac:dyDescent="0.2">
      <c r="A1357" s="1">
        <v>32260</v>
      </c>
      <c r="B1357" s="1" t="str">
        <v>2020-05-11</v>
      </c>
      <c r="C1357" s="1">
        <v>1.6997</v>
      </c>
    </row>
    <row r="1358" spans="1:3" x14ac:dyDescent="0.2">
      <c r="A1358" s="1">
        <v>32983</v>
      </c>
      <c r="B1358" s="1" t="str">
        <v>2020-05-11</v>
      </c>
      <c r="C1358" s="1">
        <v>1.2272000000000001</v>
      </c>
    </row>
    <row r="1359" spans="1:3" x14ac:dyDescent="0.2">
      <c r="A1359" s="1">
        <v>13250</v>
      </c>
      <c r="B1359" s="1" t="str">
        <v>2020-05-11</v>
      </c>
      <c r="C1359" s="1">
        <v>1.2325999999999999</v>
      </c>
    </row>
    <row r="1360" spans="1:3" x14ac:dyDescent="0.2">
      <c r="A1360" s="1">
        <v>59</v>
      </c>
      <c r="B1360" s="1" t="str">
        <v>2020-05-11</v>
      </c>
      <c r="C1360" s="1">
        <v>1.204</v>
      </c>
    </row>
    <row r="1361" spans="1:3" x14ac:dyDescent="0.2">
      <c r="A1361" s="1">
        <v>157</v>
      </c>
      <c r="B1361" s="1" t="str">
        <v>2020-05-11</v>
      </c>
      <c r="C1361" s="1">
        <v>2</v>
      </c>
    </row>
    <row r="1362" spans="1:3" x14ac:dyDescent="0.2">
      <c r="A1362" s="1">
        <v>32963</v>
      </c>
      <c r="B1362" s="1" t="str">
        <v>2020-05-11</v>
      </c>
      <c r="C1362" s="1">
        <v>1.7806999999999999</v>
      </c>
    </row>
    <row r="1363" spans="1:3" x14ac:dyDescent="0.2">
      <c r="A1363" s="1">
        <v>32421</v>
      </c>
      <c r="B1363" s="1" t="str">
        <v>2020-05-11</v>
      </c>
      <c r="C1363" s="1">
        <v>1.5297000000000001</v>
      </c>
    </row>
    <row r="1364" spans="1:3" x14ac:dyDescent="0.2">
      <c r="A1364" s="1">
        <v>28</v>
      </c>
      <c r="B1364" s="1" t="str">
        <v>2020-05-11</v>
      </c>
      <c r="C1364" s="1">
        <v>1.5177</v>
      </c>
    </row>
    <row r="1365" spans="1:3" x14ac:dyDescent="0.2">
      <c r="A1365" s="1">
        <v>32724</v>
      </c>
      <c r="B1365" s="1" t="str">
        <v>2020-05-11</v>
      </c>
      <c r="C1365" s="1">
        <v>1.0521</v>
      </c>
    </row>
    <row r="1366" spans="1:3" x14ac:dyDescent="0.2">
      <c r="A1366" s="1">
        <v>77</v>
      </c>
      <c r="B1366" s="1" t="str">
        <v>2020-05-11</v>
      </c>
      <c r="C1366" s="1">
        <v>1.6607000000000001</v>
      </c>
    </row>
    <row r="1367" spans="1:3" x14ac:dyDescent="0.2">
      <c r="A1367" s="1">
        <v>178</v>
      </c>
      <c r="B1367" s="1" t="str">
        <v>2020-05-11</v>
      </c>
      <c r="C1367" s="1">
        <v>1.7939000000000001</v>
      </c>
    </row>
    <row r="1368" spans="1:3" x14ac:dyDescent="0.2">
      <c r="A1368" s="1">
        <v>33023</v>
      </c>
      <c r="B1368" s="1" t="str">
        <v>2020-05-11</v>
      </c>
      <c r="C1368" s="1">
        <v>1.5</v>
      </c>
    </row>
    <row r="1369" spans="1:3" x14ac:dyDescent="0.2">
      <c r="A1369" s="1">
        <v>34</v>
      </c>
      <c r="B1369" s="1" t="str">
        <v>2020-05-12</v>
      </c>
      <c r="C1369" s="1">
        <v>1.7591000000000001</v>
      </c>
    </row>
    <row r="1370" spans="1:3" x14ac:dyDescent="0.2">
      <c r="A1370" s="1">
        <v>32260</v>
      </c>
      <c r="B1370" s="1" t="str">
        <v>2020-05-12</v>
      </c>
      <c r="C1370" s="1">
        <v>1.6997</v>
      </c>
    </row>
    <row r="1371" spans="1:3" x14ac:dyDescent="0.2">
      <c r="A1371" s="1">
        <v>32360</v>
      </c>
      <c r="B1371" s="1" t="str">
        <v>2020-05-12</v>
      </c>
      <c r="C1371" s="1">
        <v>1.0221</v>
      </c>
    </row>
    <row r="1372" spans="1:3" x14ac:dyDescent="0.2">
      <c r="A1372" s="1">
        <v>32964</v>
      </c>
      <c r="B1372" s="1" t="str">
        <v>2020-05-12</v>
      </c>
      <c r="C1372" s="1">
        <v>1.6057999999999999</v>
      </c>
    </row>
    <row r="1373" spans="1:3" x14ac:dyDescent="0.2">
      <c r="A1373" s="1">
        <v>33130</v>
      </c>
      <c r="B1373" s="1" t="str">
        <v>2020-05-13</v>
      </c>
      <c r="C1373" s="1">
        <v>1.893</v>
      </c>
    </row>
    <row r="1374" spans="1:3" x14ac:dyDescent="0.2">
      <c r="A1374" s="1">
        <v>32360</v>
      </c>
      <c r="B1374" s="1" t="str">
        <v>2020-05-13</v>
      </c>
      <c r="C1374" s="1">
        <v>1.0221</v>
      </c>
    </row>
    <row r="1375" spans="1:3" x14ac:dyDescent="0.2">
      <c r="A1375" s="1">
        <v>32081</v>
      </c>
      <c r="B1375" s="1" t="str">
        <v>2020-05-13</v>
      </c>
      <c r="C1375" s="1">
        <v>0.72850000000000004</v>
      </c>
    </row>
    <row r="1376" spans="1:3" x14ac:dyDescent="0.2">
      <c r="A1376" s="1">
        <v>191</v>
      </c>
      <c r="B1376" s="1" t="str">
        <v>2020-05-13</v>
      </c>
      <c r="C1376" s="1">
        <v>1.5431999999999999</v>
      </c>
    </row>
    <row r="1377" spans="1:3" x14ac:dyDescent="0.2">
      <c r="A1377" s="1">
        <v>53</v>
      </c>
      <c r="B1377" s="1" t="str">
        <v>2020-05-13</v>
      </c>
      <c r="C1377" s="1">
        <v>1.2523</v>
      </c>
    </row>
    <row r="1378" spans="1:3" x14ac:dyDescent="0.2">
      <c r="A1378" s="1">
        <v>99</v>
      </c>
      <c r="B1378" s="1" t="str">
        <v>2020-05-13</v>
      </c>
      <c r="C1378" s="1">
        <v>2.7494999999999998</v>
      </c>
    </row>
    <row r="1379" spans="1:3" x14ac:dyDescent="0.2">
      <c r="A1379" s="1">
        <v>32964</v>
      </c>
      <c r="B1379" s="1" t="str">
        <v>2020-05-13</v>
      </c>
      <c r="C1379" s="1">
        <v>1.6057999999999999</v>
      </c>
    </row>
    <row r="1380" spans="1:3" x14ac:dyDescent="0.2">
      <c r="A1380" s="1">
        <v>32082</v>
      </c>
      <c r="B1380" s="1" t="str">
        <v>2020-05-14</v>
      </c>
      <c r="C1380" s="1">
        <v>1.3554999999999999</v>
      </c>
    </row>
    <row r="1381" spans="1:3" x14ac:dyDescent="0.2">
      <c r="A1381" s="1">
        <v>30400</v>
      </c>
      <c r="B1381" s="1" t="str">
        <v>2020-05-14</v>
      </c>
      <c r="C1381" s="1">
        <v>0.99050000000000005</v>
      </c>
    </row>
    <row r="1382" spans="1:3" x14ac:dyDescent="0.2">
      <c r="A1382" s="1">
        <v>37</v>
      </c>
      <c r="B1382" s="1" t="str">
        <v>2020-05-14</v>
      </c>
      <c r="C1382" s="1">
        <v>1.5263</v>
      </c>
    </row>
    <row r="1383" spans="1:3" x14ac:dyDescent="0.2">
      <c r="A1383" s="1">
        <v>8</v>
      </c>
      <c r="B1383" s="1" t="str">
        <v>2020-05-14</v>
      </c>
      <c r="C1383" s="1">
        <v>2.0973000000000002</v>
      </c>
    </row>
    <row r="1384" spans="1:3" x14ac:dyDescent="0.2">
      <c r="A1384" s="1">
        <v>176</v>
      </c>
      <c r="B1384" s="1" t="str">
        <v>2020-05-14</v>
      </c>
      <c r="C1384" s="1">
        <v>1.6989000000000001</v>
      </c>
    </row>
    <row r="1385" spans="1:3" x14ac:dyDescent="0.2">
      <c r="A1385" s="1">
        <v>182</v>
      </c>
      <c r="B1385" s="1" t="str">
        <v>2020-05-15</v>
      </c>
      <c r="C1385" s="1">
        <v>1.7806</v>
      </c>
    </row>
    <row r="1386" spans="1:3" x14ac:dyDescent="0.2">
      <c r="A1386" s="1">
        <v>24</v>
      </c>
      <c r="B1386" s="1" t="str">
        <v>2020-05-15</v>
      </c>
      <c r="C1386" s="1">
        <v>2.1572</v>
      </c>
    </row>
    <row r="1387" spans="1:3" x14ac:dyDescent="0.2">
      <c r="A1387" s="1">
        <v>109</v>
      </c>
      <c r="B1387" s="1" t="str">
        <v>2020-05-15</v>
      </c>
      <c r="C1387" s="1">
        <v>1.8329</v>
      </c>
    </row>
    <row r="1388" spans="1:3" x14ac:dyDescent="0.2">
      <c r="A1388" s="1">
        <v>187</v>
      </c>
      <c r="B1388" s="1" t="str">
        <v>2020-05-15</v>
      </c>
      <c r="C1388" s="1">
        <v>1.4467000000000001</v>
      </c>
    </row>
    <row r="1389" spans="1:3" x14ac:dyDescent="0.2">
      <c r="A1389" s="1">
        <v>81</v>
      </c>
      <c r="B1389" s="1" t="str">
        <v>2020-05-15</v>
      </c>
      <c r="C1389" s="1">
        <v>1.9843999999999999</v>
      </c>
    </row>
    <row r="1390" spans="1:3" x14ac:dyDescent="0.2">
      <c r="A1390" s="1">
        <v>150</v>
      </c>
      <c r="B1390" s="1" t="str">
        <v>2020-05-15</v>
      </c>
      <c r="C1390" s="1">
        <v>1.5913999999999999</v>
      </c>
    </row>
    <row r="1391" spans="1:3" x14ac:dyDescent="0.2">
      <c r="A1391" s="1">
        <v>32180</v>
      </c>
      <c r="B1391" s="1" t="str">
        <v>2020-05-15</v>
      </c>
      <c r="C1391" s="1">
        <v>1.8625</v>
      </c>
    </row>
    <row r="1392" spans="1:3" x14ac:dyDescent="0.2">
      <c r="A1392" s="1">
        <v>49</v>
      </c>
      <c r="B1392" s="1" t="str">
        <v>2020-05-15</v>
      </c>
      <c r="C1392" s="1">
        <v>1.1830000000000001</v>
      </c>
    </row>
    <row r="1393" spans="1:3" x14ac:dyDescent="0.2">
      <c r="A1393" s="1">
        <v>32420</v>
      </c>
      <c r="B1393" s="1" t="str">
        <v>2020-05-15</v>
      </c>
      <c r="C1393" s="1">
        <v>1.5806</v>
      </c>
    </row>
    <row r="1394" spans="1:3" x14ac:dyDescent="0.2">
      <c r="A1394" s="1">
        <v>33103</v>
      </c>
      <c r="B1394" s="1" t="str">
        <v>2020-05-15</v>
      </c>
      <c r="C1394" s="1">
        <v>2.6091000000000002</v>
      </c>
    </row>
    <row r="1395" spans="1:3" x14ac:dyDescent="0.2">
      <c r="A1395" s="1">
        <v>101</v>
      </c>
      <c r="B1395" s="1" t="str">
        <v>2020-05-15</v>
      </c>
      <c r="C1395" s="1">
        <v>1.6487000000000001</v>
      </c>
    </row>
    <row r="1396" spans="1:3" x14ac:dyDescent="0.2">
      <c r="A1396" s="1">
        <v>147</v>
      </c>
      <c r="B1396" s="1" t="str">
        <v>2020-05-15</v>
      </c>
      <c r="C1396" s="1">
        <v>1.1322000000000001</v>
      </c>
    </row>
    <row r="1397" spans="1:3" x14ac:dyDescent="0.2">
      <c r="A1397" s="1">
        <v>10</v>
      </c>
      <c r="B1397" s="1" t="str">
        <v>2020-05-15</v>
      </c>
      <c r="C1397" s="1">
        <v>1.4573</v>
      </c>
    </row>
    <row r="1398" spans="1:3" x14ac:dyDescent="0.2">
      <c r="A1398" s="1">
        <v>102</v>
      </c>
      <c r="B1398" s="1" t="str">
        <v>2020-05-15</v>
      </c>
      <c r="C1398" s="1">
        <v>1.446</v>
      </c>
    </row>
    <row r="1399" spans="1:3" x14ac:dyDescent="0.2">
      <c r="A1399" s="1">
        <v>156</v>
      </c>
      <c r="B1399" s="1" t="str">
        <v>2020-05-15</v>
      </c>
      <c r="C1399" s="1">
        <v>1.9742999999999999</v>
      </c>
    </row>
    <row r="1400" spans="1:3" x14ac:dyDescent="0.2">
      <c r="A1400" s="1">
        <v>16</v>
      </c>
      <c r="B1400" s="1" t="str">
        <v>2020-05-15</v>
      </c>
      <c r="C1400" s="1">
        <v>1.3873</v>
      </c>
    </row>
    <row r="1401" spans="1:3" x14ac:dyDescent="0.2">
      <c r="A1401" s="1">
        <v>30300</v>
      </c>
      <c r="B1401" s="1" t="str">
        <v>2020-05-15</v>
      </c>
      <c r="C1401" s="1">
        <v>1.8621000000000001</v>
      </c>
    </row>
    <row r="1402" spans="1:3" x14ac:dyDescent="0.2">
      <c r="A1402" s="1">
        <v>32421</v>
      </c>
      <c r="B1402" s="1" t="str">
        <v>2020-05-15</v>
      </c>
      <c r="C1402" s="1">
        <v>1.5297000000000001</v>
      </c>
    </row>
    <row r="1403" spans="1:3" x14ac:dyDescent="0.2">
      <c r="A1403" s="1">
        <v>24250</v>
      </c>
      <c r="B1403" s="1" t="str">
        <v>2020-05-15</v>
      </c>
      <c r="C1403" s="1">
        <v>1.5073000000000001</v>
      </c>
    </row>
    <row r="1404" spans="1:3" x14ac:dyDescent="0.2">
      <c r="A1404" s="1">
        <v>32863</v>
      </c>
      <c r="B1404" s="1" t="str">
        <v>2020-05-18</v>
      </c>
      <c r="C1404" s="1">
        <v>1.3028999999999999</v>
      </c>
    </row>
    <row r="1405" spans="1:3" x14ac:dyDescent="0.2">
      <c r="A1405" s="1">
        <v>32401</v>
      </c>
      <c r="B1405" s="1" t="str">
        <v>2020-05-18</v>
      </c>
      <c r="C1405" s="1">
        <v>2.2098</v>
      </c>
    </row>
    <row r="1406" spans="1:3" x14ac:dyDescent="0.2">
      <c r="A1406" s="1">
        <v>49</v>
      </c>
      <c r="B1406" s="1" t="str">
        <v>2020-05-18</v>
      </c>
      <c r="C1406" s="1">
        <v>1.1830000000000001</v>
      </c>
    </row>
    <row r="1407" spans="1:3" x14ac:dyDescent="0.2">
      <c r="A1407" s="1">
        <v>32400</v>
      </c>
      <c r="B1407" s="1" t="str">
        <v>2020-05-18</v>
      </c>
      <c r="C1407" s="1">
        <v>1.9</v>
      </c>
    </row>
    <row r="1408" spans="1:3" x14ac:dyDescent="0.2">
      <c r="A1408" s="1">
        <v>250</v>
      </c>
      <c r="B1408" s="1" t="str">
        <v>2020-05-18</v>
      </c>
      <c r="C1408" s="1">
        <v>1.3658999999999999</v>
      </c>
    </row>
    <row r="1409" spans="1:3" x14ac:dyDescent="0.2">
      <c r="A1409" s="1">
        <v>32421</v>
      </c>
      <c r="B1409" s="1" t="str">
        <v>2020-05-18</v>
      </c>
      <c r="C1409" s="1">
        <v>1.5297000000000001</v>
      </c>
    </row>
    <row r="1410" spans="1:3" x14ac:dyDescent="0.2">
      <c r="A1410" s="1">
        <v>178</v>
      </c>
      <c r="B1410" s="1" t="str">
        <v>2020-05-18</v>
      </c>
      <c r="C1410" s="1">
        <v>1.7939000000000001</v>
      </c>
    </row>
    <row r="1411" spans="1:3" x14ac:dyDescent="0.2">
      <c r="A1411" s="1">
        <v>8</v>
      </c>
      <c r="B1411" s="1" t="str">
        <v>2020-05-19</v>
      </c>
      <c r="C1411" s="1">
        <v>2.0973000000000002</v>
      </c>
    </row>
    <row r="1412" spans="1:3" x14ac:dyDescent="0.2">
      <c r="A1412" s="1">
        <v>34</v>
      </c>
      <c r="B1412" s="1" t="str">
        <v>2020-05-19</v>
      </c>
      <c r="C1412" s="1">
        <v>1.8507</v>
      </c>
    </row>
    <row r="1413" spans="1:3" x14ac:dyDescent="0.2">
      <c r="A1413" s="1">
        <v>37</v>
      </c>
      <c r="B1413" s="1" t="str">
        <v>2020-05-19</v>
      </c>
      <c r="C1413" s="1">
        <v>1.5263</v>
      </c>
    </row>
    <row r="1414" spans="1:3" x14ac:dyDescent="0.2">
      <c r="A1414" s="1">
        <v>13250</v>
      </c>
      <c r="B1414" s="1" t="str">
        <v>2020-05-19</v>
      </c>
      <c r="C1414" s="1">
        <v>1.3434999999999999</v>
      </c>
    </row>
    <row r="1415" spans="1:3" x14ac:dyDescent="0.2">
      <c r="A1415" s="1">
        <v>33103</v>
      </c>
      <c r="B1415" s="1" t="str">
        <v>2020-05-20</v>
      </c>
      <c r="C1415" s="1">
        <v>2.6147999999999998</v>
      </c>
    </row>
    <row r="1416" spans="1:3" x14ac:dyDescent="0.2">
      <c r="A1416" s="1">
        <v>33130</v>
      </c>
      <c r="B1416" s="1" t="str">
        <v>2020-05-20</v>
      </c>
      <c r="C1416" s="1">
        <v>1.7199</v>
      </c>
    </row>
    <row r="1417" spans="1:3" x14ac:dyDescent="0.2">
      <c r="A1417" s="1">
        <v>143</v>
      </c>
      <c r="B1417" s="1" t="str">
        <v>2020-05-20</v>
      </c>
      <c r="C1417" s="1">
        <v>1.4157</v>
      </c>
    </row>
    <row r="1418" spans="1:3" x14ac:dyDescent="0.2">
      <c r="A1418" s="1">
        <v>147</v>
      </c>
      <c r="B1418" s="1" t="str">
        <v>2020-05-20</v>
      </c>
      <c r="C1418" s="1">
        <v>1.3039000000000001</v>
      </c>
    </row>
    <row r="1419" spans="1:3" x14ac:dyDescent="0.2">
      <c r="A1419" s="1">
        <v>32260</v>
      </c>
      <c r="B1419" s="1" t="str">
        <v>2020-05-21</v>
      </c>
      <c r="C1419" s="1">
        <v>1.7097</v>
      </c>
    </row>
    <row r="1420" spans="1:3" x14ac:dyDescent="0.2">
      <c r="A1420" s="1">
        <v>32360</v>
      </c>
      <c r="B1420" s="1" t="str">
        <v>2020-05-21</v>
      </c>
      <c r="C1420" s="1">
        <v>1.0221</v>
      </c>
    </row>
    <row r="1421" spans="1:3" x14ac:dyDescent="0.2">
      <c r="A1421" s="1">
        <v>32803</v>
      </c>
      <c r="B1421" s="1" t="str">
        <v>2020-05-21</v>
      </c>
      <c r="C1421" s="1">
        <v>1.153</v>
      </c>
    </row>
    <row r="1422" spans="1:3" x14ac:dyDescent="0.2">
      <c r="A1422" s="1">
        <v>32783</v>
      </c>
      <c r="B1422" s="1" t="str">
        <v>2020-05-21</v>
      </c>
      <c r="C1422" s="1">
        <v>2.2595999999999998</v>
      </c>
    </row>
    <row r="1423" spans="1:3" x14ac:dyDescent="0.2">
      <c r="A1423" s="1">
        <v>94</v>
      </c>
      <c r="B1423" s="1" t="str">
        <v>2020-05-21</v>
      </c>
      <c r="C1423" s="1">
        <v>1.45</v>
      </c>
    </row>
    <row r="1424" spans="1:3" x14ac:dyDescent="0.2">
      <c r="A1424" s="1">
        <v>32</v>
      </c>
      <c r="B1424" s="1" t="str">
        <v>2020-05-21</v>
      </c>
      <c r="C1424" s="1">
        <v>1.9014</v>
      </c>
    </row>
    <row r="1425" spans="1:3" x14ac:dyDescent="0.2">
      <c r="A1425" s="1">
        <v>137</v>
      </c>
      <c r="B1425" s="1" t="str">
        <v>2020-05-22</v>
      </c>
      <c r="C1425" s="1">
        <v>1.9943</v>
      </c>
    </row>
    <row r="1426" spans="1:3" x14ac:dyDescent="0.2">
      <c r="A1426" s="1">
        <v>182</v>
      </c>
      <c r="B1426" s="1" t="str">
        <v>2020-05-22</v>
      </c>
      <c r="C1426" s="1">
        <v>1.7806</v>
      </c>
    </row>
    <row r="1427" spans="1:3" x14ac:dyDescent="0.2">
      <c r="A1427" s="1">
        <v>83</v>
      </c>
      <c r="B1427" s="1" t="str">
        <v>2020-05-22</v>
      </c>
      <c r="C1427" s="1">
        <v>1.5980000000000001</v>
      </c>
    </row>
    <row r="1428" spans="1:3" x14ac:dyDescent="0.2">
      <c r="A1428" s="1">
        <v>55</v>
      </c>
      <c r="B1428" s="1" t="str">
        <v>2020-05-22</v>
      </c>
      <c r="C1428" s="1">
        <v>1.3349</v>
      </c>
    </row>
    <row r="1429" spans="1:3" x14ac:dyDescent="0.2">
      <c r="A1429" s="1">
        <v>32724</v>
      </c>
      <c r="B1429" s="1" t="str">
        <v>2020-05-22</v>
      </c>
      <c r="C1429" s="1">
        <v>1.2341</v>
      </c>
    </row>
    <row r="1430" spans="1:3" x14ac:dyDescent="0.2">
      <c r="A1430" s="1">
        <v>37</v>
      </c>
      <c r="B1430" s="1" t="str">
        <v>2020-05-22</v>
      </c>
      <c r="C1430" s="1">
        <v>1.5263</v>
      </c>
    </row>
    <row r="1431" spans="1:3" x14ac:dyDescent="0.2">
      <c r="A1431" s="1">
        <v>32420</v>
      </c>
      <c r="B1431" s="1" t="str">
        <v>2020-05-22</v>
      </c>
      <c r="C1431" s="1">
        <v>1.597</v>
      </c>
    </row>
    <row r="1432" spans="1:3" x14ac:dyDescent="0.2">
      <c r="A1432" s="1">
        <v>32081</v>
      </c>
      <c r="B1432" s="1" t="str">
        <v>2020-05-22</v>
      </c>
      <c r="C1432" s="1">
        <v>0.67849999999999999</v>
      </c>
    </row>
    <row r="1433" spans="1:3" x14ac:dyDescent="0.2">
      <c r="A1433" s="1">
        <v>32963</v>
      </c>
      <c r="B1433" s="1" t="str">
        <v>2020-05-22</v>
      </c>
      <c r="C1433" s="1">
        <v>1.2939000000000001</v>
      </c>
    </row>
    <row r="1434" spans="1:3" x14ac:dyDescent="0.2">
      <c r="A1434" s="1">
        <v>81</v>
      </c>
      <c r="B1434" s="1" t="str">
        <v>2020-05-22</v>
      </c>
      <c r="C1434" s="1">
        <v>1.9843999999999999</v>
      </c>
    </row>
    <row r="1435" spans="1:3" x14ac:dyDescent="0.2">
      <c r="A1435" s="1">
        <v>147</v>
      </c>
      <c r="B1435" s="1" t="str">
        <v>2020-05-22</v>
      </c>
      <c r="C1435" s="1">
        <v>1.1418999999999999</v>
      </c>
    </row>
    <row r="1436" spans="1:3" x14ac:dyDescent="0.2">
      <c r="A1436" s="1">
        <v>53</v>
      </c>
      <c r="B1436" s="1" t="str">
        <v>2020-05-22</v>
      </c>
      <c r="C1436" s="1">
        <v>1.2939000000000001</v>
      </c>
    </row>
    <row r="1437" spans="1:3" x14ac:dyDescent="0.2">
      <c r="A1437" s="1">
        <v>150</v>
      </c>
      <c r="B1437" s="1" t="str">
        <v>2020-05-22</v>
      </c>
      <c r="C1437" s="1">
        <v>1.5302</v>
      </c>
    </row>
    <row r="1438" spans="1:3" x14ac:dyDescent="0.2">
      <c r="A1438" s="1">
        <v>16</v>
      </c>
      <c r="B1438" s="1" t="str">
        <v>2020-05-22</v>
      </c>
      <c r="C1438" s="1">
        <v>1.3873</v>
      </c>
    </row>
    <row r="1439" spans="1:3" x14ac:dyDescent="0.2">
      <c r="A1439" s="1">
        <v>32500</v>
      </c>
      <c r="B1439" s="1" t="str">
        <v>2020-05-22</v>
      </c>
      <c r="C1439" s="1">
        <v>1.0212000000000001</v>
      </c>
    </row>
    <row r="1440" spans="1:3" x14ac:dyDescent="0.2">
      <c r="A1440" s="1">
        <v>102</v>
      </c>
      <c r="B1440" s="1" t="str">
        <v>2020-05-22</v>
      </c>
      <c r="C1440" s="1">
        <v>1.446</v>
      </c>
    </row>
    <row r="1441" spans="1:3" x14ac:dyDescent="0.2">
      <c r="A1441" s="1">
        <v>10</v>
      </c>
      <c r="B1441" s="1" t="str">
        <v>2020-05-22</v>
      </c>
      <c r="C1441" s="1">
        <v>1.3759999999999999</v>
      </c>
    </row>
    <row r="1442" spans="1:3" x14ac:dyDescent="0.2">
      <c r="A1442" s="1">
        <v>32340</v>
      </c>
      <c r="B1442" s="1" t="str">
        <v>2020-05-22</v>
      </c>
      <c r="C1442" s="1">
        <v>1.9016</v>
      </c>
    </row>
    <row r="1443" spans="1:3" x14ac:dyDescent="0.2">
      <c r="A1443" s="1">
        <v>94</v>
      </c>
      <c r="B1443" s="1" t="str">
        <v>2020-05-22</v>
      </c>
      <c r="C1443" s="1">
        <v>1.45</v>
      </c>
    </row>
    <row r="1444" spans="1:3" x14ac:dyDescent="0.2">
      <c r="A1444" s="1">
        <v>78</v>
      </c>
      <c r="B1444" s="1" t="str">
        <v>2020-05-22</v>
      </c>
      <c r="C1444" s="1">
        <v>1.9431</v>
      </c>
    </row>
    <row r="1445" spans="1:3" x14ac:dyDescent="0.2">
      <c r="A1445" s="1">
        <v>101</v>
      </c>
      <c r="B1445" s="1" t="str">
        <v>2020-05-22</v>
      </c>
      <c r="C1445" s="1">
        <v>1.7297</v>
      </c>
    </row>
    <row r="1446" spans="1:3" x14ac:dyDescent="0.2">
      <c r="A1446" s="1">
        <v>99</v>
      </c>
      <c r="B1446" s="1" t="str">
        <v>2020-05-22</v>
      </c>
      <c r="C1446" s="1">
        <v>2.7494999999999998</v>
      </c>
    </row>
    <row r="1447" spans="1:3" x14ac:dyDescent="0.2">
      <c r="A1447" s="1">
        <v>115</v>
      </c>
      <c r="B1447" s="1" t="str">
        <v>2020-05-22</v>
      </c>
      <c r="C1447" s="1">
        <v>2.0655999999999999</v>
      </c>
    </row>
    <row r="1448" spans="1:3" x14ac:dyDescent="0.2">
      <c r="A1448" s="1">
        <v>139</v>
      </c>
      <c r="B1448" s="1" t="str">
        <v>2020-05-22</v>
      </c>
      <c r="C1448" s="1">
        <v>1.345</v>
      </c>
    </row>
    <row r="1449" spans="1:3" x14ac:dyDescent="0.2">
      <c r="A1449" s="1">
        <v>32260</v>
      </c>
      <c r="B1449" s="1" t="str">
        <v>2020-05-22</v>
      </c>
      <c r="C1449" s="1">
        <v>1.6587000000000001</v>
      </c>
    </row>
    <row r="1450" spans="1:3" x14ac:dyDescent="0.2">
      <c r="A1450" s="1">
        <v>2250</v>
      </c>
      <c r="B1450" s="1" t="str">
        <v>2020-05-22</v>
      </c>
      <c r="C1450" s="1">
        <v>0.8397</v>
      </c>
    </row>
    <row r="1451" spans="1:3" x14ac:dyDescent="0.2">
      <c r="A1451" s="1">
        <v>32401</v>
      </c>
      <c r="B1451" s="1" t="str">
        <v>2020-05-25</v>
      </c>
      <c r="C1451" s="1">
        <v>1.9737</v>
      </c>
    </row>
    <row r="1452" spans="1:3" x14ac:dyDescent="0.2">
      <c r="A1452" s="1">
        <v>24</v>
      </c>
      <c r="B1452" s="1" t="str">
        <v>2020-05-25</v>
      </c>
      <c r="C1452" s="1">
        <v>2.1572</v>
      </c>
    </row>
    <row r="1453" spans="1:3" x14ac:dyDescent="0.2">
      <c r="A1453" s="1">
        <v>34</v>
      </c>
      <c r="B1453" s="1" t="str">
        <v>2020-05-25</v>
      </c>
      <c r="C1453" s="1">
        <v>1.9628000000000001</v>
      </c>
    </row>
    <row r="1454" spans="1:3" x14ac:dyDescent="0.2">
      <c r="A1454" s="1">
        <v>181</v>
      </c>
      <c r="B1454" s="1" t="str">
        <v>2020-05-25</v>
      </c>
      <c r="C1454" s="1">
        <v>1.8420000000000001</v>
      </c>
    </row>
    <row r="1455" spans="1:3" x14ac:dyDescent="0.2">
      <c r="A1455" s="1">
        <v>32603</v>
      </c>
      <c r="B1455" s="1" t="str">
        <v>2020-05-25</v>
      </c>
      <c r="C1455" s="1">
        <v>0.96160000000000001</v>
      </c>
    </row>
    <row r="1456" spans="1:3" x14ac:dyDescent="0.2">
      <c r="A1456" s="1">
        <v>32723</v>
      </c>
      <c r="B1456" s="1" t="str">
        <v>2020-05-25</v>
      </c>
      <c r="C1456" s="1">
        <v>2.1135999999999999</v>
      </c>
    </row>
    <row r="1457" spans="1:3" x14ac:dyDescent="0.2">
      <c r="A1457" s="1">
        <v>178</v>
      </c>
      <c r="B1457" s="1" t="str">
        <v>2020-05-25</v>
      </c>
      <c r="C1457" s="1">
        <v>1.6998</v>
      </c>
    </row>
    <row r="1458" spans="1:3" x14ac:dyDescent="0.2">
      <c r="A1458" s="1">
        <v>89</v>
      </c>
      <c r="B1458" s="1" t="str">
        <v>2020-05-25</v>
      </c>
      <c r="C1458" s="1">
        <v>1.8816999999999999</v>
      </c>
    </row>
    <row r="1459" spans="1:3" x14ac:dyDescent="0.2">
      <c r="A1459" s="1">
        <v>32421</v>
      </c>
      <c r="B1459" s="1" t="str">
        <v>2020-05-25</v>
      </c>
      <c r="C1459" s="1">
        <v>1.3617999999999999</v>
      </c>
    </row>
    <row r="1460" spans="1:3" x14ac:dyDescent="0.2">
      <c r="A1460" s="1">
        <v>33103</v>
      </c>
      <c r="B1460" s="1" t="str">
        <v>2020-05-26</v>
      </c>
      <c r="C1460" s="1">
        <v>2.0575999999999999</v>
      </c>
    </row>
    <row r="1461" spans="1:3" x14ac:dyDescent="0.2">
      <c r="A1461" s="1">
        <v>32200</v>
      </c>
      <c r="B1461" s="1" t="str">
        <v>2020-05-26</v>
      </c>
      <c r="C1461" s="1">
        <v>1.1617999999999999</v>
      </c>
    </row>
    <row r="1462" spans="1:3" x14ac:dyDescent="0.2">
      <c r="A1462" s="1">
        <v>32582</v>
      </c>
      <c r="B1462" s="1" t="str">
        <v>2020-05-26</v>
      </c>
      <c r="C1462" s="1">
        <v>1.0097</v>
      </c>
    </row>
    <row r="1463" spans="1:3" x14ac:dyDescent="0.2">
      <c r="A1463" s="1">
        <v>33143</v>
      </c>
      <c r="B1463" s="1" t="str">
        <v>2020-05-26</v>
      </c>
      <c r="C1463" s="1">
        <v>2</v>
      </c>
    </row>
    <row r="1464" spans="1:3" x14ac:dyDescent="0.2">
      <c r="A1464" s="1">
        <v>32082</v>
      </c>
      <c r="B1464" s="1" t="str">
        <v>2020-05-26</v>
      </c>
      <c r="C1464" s="1">
        <v>1.3248</v>
      </c>
    </row>
    <row r="1465" spans="1:3" x14ac:dyDescent="0.2">
      <c r="A1465" s="1">
        <v>1</v>
      </c>
      <c r="B1465" s="1" t="str">
        <v>2020-05-26</v>
      </c>
      <c r="C1465" s="1">
        <v>1.5471999999999999</v>
      </c>
    </row>
    <row r="1466" spans="1:3" x14ac:dyDescent="0.2">
      <c r="A1466" s="1">
        <v>32440</v>
      </c>
      <c r="B1466" s="1" t="str">
        <v>2020-05-26</v>
      </c>
      <c r="C1466" s="1">
        <v>2.0554999999999999</v>
      </c>
    </row>
    <row r="1467" spans="1:3" x14ac:dyDescent="0.2">
      <c r="A1467" s="1">
        <v>187</v>
      </c>
      <c r="B1467" s="1" t="str">
        <v>2020-05-26</v>
      </c>
      <c r="C1467" s="1">
        <v>1.6068</v>
      </c>
    </row>
    <row r="1468" spans="1:3" x14ac:dyDescent="0.2">
      <c r="A1468" s="1">
        <v>77</v>
      </c>
      <c r="B1468" s="1" t="str">
        <v>2020-05-26</v>
      </c>
      <c r="C1468" s="1">
        <v>1.1327</v>
      </c>
    </row>
    <row r="1469" spans="1:3" x14ac:dyDescent="0.2">
      <c r="A1469" s="1">
        <v>187</v>
      </c>
      <c r="B1469" s="1" t="str">
        <v>2020-05-27</v>
      </c>
      <c r="C1469" s="1">
        <v>1.5567</v>
      </c>
    </row>
    <row r="1470" spans="1:3" x14ac:dyDescent="0.2">
      <c r="A1470" s="1">
        <v>33125</v>
      </c>
      <c r="B1470" s="1" t="str">
        <v>2020-05-27</v>
      </c>
      <c r="C1470" s="1">
        <v>1.7192000000000001</v>
      </c>
    </row>
    <row r="1471" spans="1:3" x14ac:dyDescent="0.2">
      <c r="A1471" s="1">
        <v>1</v>
      </c>
      <c r="B1471" s="1" t="str">
        <v>2020-05-27</v>
      </c>
      <c r="C1471" s="1">
        <v>1.5569999999999999</v>
      </c>
    </row>
    <row r="1472" spans="1:3" x14ac:dyDescent="0.2">
      <c r="A1472" s="1">
        <v>176</v>
      </c>
      <c r="B1472" s="1" t="str">
        <v>2020-05-27</v>
      </c>
      <c r="C1472" s="1">
        <v>1.2937000000000001</v>
      </c>
    </row>
    <row r="1473" spans="1:3" x14ac:dyDescent="0.2">
      <c r="A1473" s="1">
        <v>2250</v>
      </c>
      <c r="B1473" s="1" t="str">
        <v>2020-05-27</v>
      </c>
      <c r="C1473" s="1">
        <v>0.8397</v>
      </c>
    </row>
    <row r="1474" spans="1:3" x14ac:dyDescent="0.2">
      <c r="A1474" s="1">
        <v>32560</v>
      </c>
      <c r="B1474" s="1" t="str">
        <v>2020-05-27</v>
      </c>
      <c r="C1474" s="1">
        <v>1.486</v>
      </c>
    </row>
    <row r="1475" spans="1:3" x14ac:dyDescent="0.2">
      <c r="A1475" s="1">
        <v>133</v>
      </c>
      <c r="B1475" s="1" t="str">
        <v>2020-05-28</v>
      </c>
      <c r="C1475" s="1">
        <v>1.8304</v>
      </c>
    </row>
    <row r="1476" spans="1:3" x14ac:dyDescent="0.2">
      <c r="A1476" s="1">
        <v>8</v>
      </c>
      <c r="B1476" s="1" t="str">
        <v>2020-05-28</v>
      </c>
      <c r="C1476" s="1">
        <v>2.0042</v>
      </c>
    </row>
    <row r="1477" spans="1:3" x14ac:dyDescent="0.2">
      <c r="A1477" s="1">
        <v>32582</v>
      </c>
      <c r="B1477" s="1" t="str">
        <v>2020-05-28</v>
      </c>
      <c r="C1477" s="1">
        <v>1.1920999999999999</v>
      </c>
    </row>
    <row r="1478" spans="1:3" x14ac:dyDescent="0.2">
      <c r="A1478" s="1">
        <v>49</v>
      </c>
      <c r="B1478" s="1" t="str">
        <v>2020-05-28</v>
      </c>
      <c r="C1478" s="1">
        <v>0.9909</v>
      </c>
    </row>
    <row r="1479" spans="1:3" x14ac:dyDescent="0.2">
      <c r="A1479" s="1">
        <v>83</v>
      </c>
      <c r="B1479" s="1" t="str">
        <v>2020-05-28</v>
      </c>
      <c r="C1479" s="1">
        <v>1.5469999999999999</v>
      </c>
    </row>
    <row r="1480" spans="1:3" x14ac:dyDescent="0.2">
      <c r="A1480" s="1">
        <v>32</v>
      </c>
      <c r="B1480" s="1" t="str">
        <v>2020-05-29</v>
      </c>
      <c r="C1480" s="1">
        <v>1.9014</v>
      </c>
    </row>
    <row r="1481" spans="1:3" x14ac:dyDescent="0.2">
      <c r="A1481" s="1">
        <v>16</v>
      </c>
      <c r="B1481" s="1" t="str">
        <v>2020-05-29</v>
      </c>
      <c r="C1481" s="1">
        <v>1.3873</v>
      </c>
    </row>
    <row r="1482" spans="1:3" x14ac:dyDescent="0.2">
      <c r="A1482" s="1">
        <v>32420</v>
      </c>
      <c r="B1482" s="1" t="str">
        <v>2020-05-29</v>
      </c>
      <c r="C1482" s="1">
        <v>1.6334</v>
      </c>
    </row>
    <row r="1483" spans="1:3" x14ac:dyDescent="0.2">
      <c r="A1483" s="1">
        <v>32340</v>
      </c>
      <c r="B1483" s="1" t="str">
        <v>2020-05-29</v>
      </c>
      <c r="C1483" s="1">
        <v>1.8915</v>
      </c>
    </row>
    <row r="1484" spans="1:3" x14ac:dyDescent="0.2">
      <c r="A1484" s="1">
        <v>33103</v>
      </c>
      <c r="B1484" s="1" t="str">
        <v>2020-05-29</v>
      </c>
      <c r="C1484" s="1">
        <v>2.0575999999999999</v>
      </c>
    </row>
    <row r="1485" spans="1:3" x14ac:dyDescent="0.2">
      <c r="A1485" s="1">
        <v>32260</v>
      </c>
      <c r="B1485" s="1" t="str">
        <v>2020-05-29</v>
      </c>
      <c r="C1485" s="1">
        <v>1.7094</v>
      </c>
    </row>
    <row r="1486" spans="1:3" x14ac:dyDescent="0.2">
      <c r="A1486" s="1">
        <v>72</v>
      </c>
      <c r="B1486" s="1" t="str">
        <v>2020-05-29</v>
      </c>
      <c r="C1486" s="1">
        <v>1.1620999999999999</v>
      </c>
    </row>
    <row r="1487" spans="1:3" x14ac:dyDescent="0.2">
      <c r="A1487" s="1">
        <v>49</v>
      </c>
      <c r="B1487" s="1" t="str">
        <v>2020-05-29</v>
      </c>
      <c r="C1487" s="1">
        <v>0.75929999999999997</v>
      </c>
    </row>
    <row r="1488" spans="1:3" x14ac:dyDescent="0.2">
      <c r="A1488" s="1">
        <v>32180</v>
      </c>
      <c r="B1488" s="1" t="str">
        <v>2020-05-29</v>
      </c>
      <c r="C1488" s="1">
        <v>1.6664000000000001</v>
      </c>
    </row>
    <row r="1489" spans="1:3" x14ac:dyDescent="0.2">
      <c r="A1489" s="1">
        <v>2250</v>
      </c>
      <c r="B1489" s="1" t="str">
        <v>2020-05-29</v>
      </c>
      <c r="C1489" s="1">
        <v>0.72860000000000003</v>
      </c>
    </row>
    <row r="1490" spans="1:3" x14ac:dyDescent="0.2">
      <c r="A1490" s="1">
        <v>143</v>
      </c>
      <c r="B1490" s="1" t="str">
        <v>2020-05-29</v>
      </c>
      <c r="C1490" s="1">
        <v>1.3851</v>
      </c>
    </row>
    <row r="1491" spans="1:3" x14ac:dyDescent="0.2">
      <c r="A1491" s="1">
        <v>143</v>
      </c>
      <c r="B1491" s="1" t="str">
        <v>2020-06-01</v>
      </c>
      <c r="C1491" s="1">
        <v>1.4055</v>
      </c>
    </row>
    <row r="1492" spans="1:3" x14ac:dyDescent="0.2">
      <c r="A1492" s="1">
        <v>53</v>
      </c>
      <c r="B1492" s="1" t="str">
        <v>2020-06-01</v>
      </c>
      <c r="C1492" s="1">
        <v>1.1624000000000001</v>
      </c>
    </row>
    <row r="1493" spans="1:3" x14ac:dyDescent="0.2">
      <c r="A1493" s="1">
        <v>81</v>
      </c>
      <c r="B1493" s="1" t="str">
        <v>2020-06-01</v>
      </c>
      <c r="C1493" s="1">
        <v>1.9843999999999999</v>
      </c>
    </row>
    <row r="1494" spans="1:3" x14ac:dyDescent="0.2">
      <c r="A1494" s="1">
        <v>32963</v>
      </c>
      <c r="B1494" s="1" t="str">
        <v>2020-06-01</v>
      </c>
      <c r="C1494" s="1">
        <v>1.1923999999999999</v>
      </c>
    </row>
    <row r="1495" spans="1:3" x14ac:dyDescent="0.2">
      <c r="A1495" s="1">
        <v>32121</v>
      </c>
      <c r="B1495" s="1" t="str">
        <v>2020-06-01</v>
      </c>
      <c r="C1495" s="1">
        <v>1.6375</v>
      </c>
    </row>
    <row r="1496" spans="1:3" x14ac:dyDescent="0.2">
      <c r="A1496" s="1">
        <v>32883</v>
      </c>
      <c r="B1496" s="1" t="str">
        <v>2020-06-01</v>
      </c>
      <c r="C1496" s="1">
        <v>2.1162999999999998</v>
      </c>
    </row>
    <row r="1497" spans="1:3" x14ac:dyDescent="0.2">
      <c r="A1497" s="1">
        <v>94</v>
      </c>
      <c r="B1497" s="1" t="str">
        <v>2020-06-01</v>
      </c>
      <c r="C1497" s="1">
        <v>1.45</v>
      </c>
    </row>
    <row r="1498" spans="1:3" x14ac:dyDescent="0.2">
      <c r="A1498" s="1">
        <v>182</v>
      </c>
      <c r="B1498" s="1" t="str">
        <v>2020-06-01</v>
      </c>
      <c r="C1498" s="1">
        <v>1.6988000000000001</v>
      </c>
    </row>
    <row r="1499" spans="1:3" x14ac:dyDescent="0.2">
      <c r="A1499" s="1">
        <v>32421</v>
      </c>
      <c r="B1499" s="1" t="str">
        <v>2020-06-01</v>
      </c>
      <c r="C1499" s="1">
        <v>1.4892000000000001</v>
      </c>
    </row>
    <row r="1500" spans="1:3" x14ac:dyDescent="0.2">
      <c r="A1500" s="1">
        <v>178</v>
      </c>
      <c r="B1500" s="1" t="str">
        <v>2020-06-01</v>
      </c>
      <c r="C1500" s="1">
        <v>1.6962999999999999</v>
      </c>
    </row>
    <row r="1501" spans="1:3" x14ac:dyDescent="0.2">
      <c r="A1501" s="1">
        <v>32380</v>
      </c>
      <c r="B1501" s="1" t="str">
        <v>2020-06-01</v>
      </c>
      <c r="C1501" s="1">
        <v>1.363</v>
      </c>
    </row>
    <row r="1502" spans="1:3" x14ac:dyDescent="0.2">
      <c r="A1502" s="1">
        <v>33130</v>
      </c>
      <c r="B1502" s="1" t="str">
        <v>2020-06-02</v>
      </c>
      <c r="C1502" s="1">
        <v>1.4359</v>
      </c>
    </row>
    <row r="1503" spans="1:3" x14ac:dyDescent="0.2">
      <c r="A1503" s="1">
        <v>32280</v>
      </c>
      <c r="B1503" s="1" t="str">
        <v>2020-06-02</v>
      </c>
      <c r="C1503" s="1">
        <v>1.5366</v>
      </c>
    </row>
    <row r="1504" spans="1:3" x14ac:dyDescent="0.2">
      <c r="A1504" s="1">
        <v>250</v>
      </c>
      <c r="B1504" s="1" t="str">
        <v>2020-06-02</v>
      </c>
      <c r="C1504" s="1">
        <v>1.3658999999999999</v>
      </c>
    </row>
    <row r="1505" spans="1:3" x14ac:dyDescent="0.2">
      <c r="A1505" s="1">
        <v>34</v>
      </c>
      <c r="B1505" s="1" t="str">
        <v>2020-06-02</v>
      </c>
      <c r="C1505" s="1">
        <v>2.0034000000000001</v>
      </c>
    </row>
    <row r="1506" spans="1:3" x14ac:dyDescent="0.2">
      <c r="A1506" s="1">
        <v>157</v>
      </c>
      <c r="B1506" s="1" t="str">
        <v>2020-06-02</v>
      </c>
      <c r="C1506" s="1">
        <v>1.6</v>
      </c>
    </row>
    <row r="1507" spans="1:3" x14ac:dyDescent="0.2">
      <c r="A1507" s="1">
        <v>30350</v>
      </c>
      <c r="B1507" s="1" t="str">
        <v>2020-06-02</v>
      </c>
      <c r="C1507" s="1">
        <v>1.2629999999999999</v>
      </c>
    </row>
    <row r="1508" spans="1:3" x14ac:dyDescent="0.2">
      <c r="A1508" s="1">
        <v>32480</v>
      </c>
      <c r="B1508" s="1" t="str">
        <v>2020-06-03</v>
      </c>
      <c r="C1508" s="1">
        <v>1.1625000000000001</v>
      </c>
    </row>
    <row r="1509" spans="1:3" x14ac:dyDescent="0.2">
      <c r="A1509" s="1">
        <v>32</v>
      </c>
      <c r="B1509" s="1" t="str">
        <v>2020-06-03</v>
      </c>
      <c r="C1509" s="1">
        <v>1.9014</v>
      </c>
    </row>
    <row r="1510" spans="1:3" x14ac:dyDescent="0.2">
      <c r="A1510" s="1">
        <v>32724</v>
      </c>
      <c r="B1510" s="1" t="str">
        <v>2020-06-03</v>
      </c>
      <c r="C1510" s="1">
        <v>1.264</v>
      </c>
    </row>
    <row r="1511" spans="1:3" x14ac:dyDescent="0.2">
      <c r="A1511" s="1">
        <v>32521</v>
      </c>
      <c r="B1511" s="1" t="str">
        <v>2020-06-03</v>
      </c>
      <c r="C1511" s="1">
        <v>1.9932000000000001</v>
      </c>
    </row>
    <row r="1512" spans="1:3" x14ac:dyDescent="0.2">
      <c r="A1512" s="1">
        <v>147</v>
      </c>
      <c r="B1512" s="1" t="str">
        <v>2020-06-03</v>
      </c>
      <c r="C1512" s="1">
        <v>1.1418999999999999</v>
      </c>
    </row>
    <row r="1513" spans="1:3" x14ac:dyDescent="0.2">
      <c r="A1513" s="1">
        <v>33130</v>
      </c>
      <c r="B1513" s="1" t="str">
        <v>2020-06-03</v>
      </c>
      <c r="C1513" s="1">
        <v>1.4358</v>
      </c>
    </row>
    <row r="1514" spans="1:3" x14ac:dyDescent="0.2">
      <c r="A1514" s="1">
        <v>150</v>
      </c>
      <c r="B1514" s="1" t="str">
        <v>2020-06-04</v>
      </c>
      <c r="C1514" s="1">
        <v>1.5302</v>
      </c>
    </row>
    <row r="1515" spans="1:3" x14ac:dyDescent="0.2">
      <c r="A1515" s="1">
        <v>31</v>
      </c>
      <c r="B1515" s="1" t="str">
        <v>2020-06-04</v>
      </c>
      <c r="C1515" s="1">
        <v>1.5</v>
      </c>
    </row>
    <row r="1516" spans="1:3" x14ac:dyDescent="0.2">
      <c r="A1516" s="1">
        <v>33023</v>
      </c>
      <c r="B1516" s="1" t="str">
        <v>2020-06-04</v>
      </c>
      <c r="C1516" s="1">
        <v>1.5</v>
      </c>
    </row>
    <row r="1517" spans="1:3" x14ac:dyDescent="0.2">
      <c r="A1517" s="1">
        <v>32360</v>
      </c>
      <c r="B1517" s="1" t="str">
        <v>2020-06-05</v>
      </c>
      <c r="C1517" s="1">
        <v>1.4363999999999999</v>
      </c>
    </row>
    <row r="1518" spans="1:3" x14ac:dyDescent="0.2">
      <c r="A1518" s="1">
        <v>182</v>
      </c>
      <c r="B1518" s="1" t="str">
        <v>2020-06-05</v>
      </c>
      <c r="C1518" s="1">
        <v>1.6988000000000001</v>
      </c>
    </row>
    <row r="1519" spans="1:3" x14ac:dyDescent="0.2">
      <c r="A1519" s="1">
        <v>33129</v>
      </c>
      <c r="B1519" s="1" t="str">
        <v>2020-06-05</v>
      </c>
      <c r="C1519" s="1">
        <v>1.1311</v>
      </c>
    </row>
    <row r="1520" spans="1:3" x14ac:dyDescent="0.2">
      <c r="A1520" s="1">
        <v>67</v>
      </c>
      <c r="B1520" s="1" t="str">
        <v>2020-06-05</v>
      </c>
      <c r="C1520" s="1">
        <v>1.8007</v>
      </c>
    </row>
    <row r="1521" spans="1:3" x14ac:dyDescent="0.2">
      <c r="A1521" s="1">
        <v>32180</v>
      </c>
      <c r="B1521" s="1" t="str">
        <v>2020-06-05</v>
      </c>
      <c r="C1521" s="1">
        <v>1.2692000000000001</v>
      </c>
    </row>
    <row r="1522" spans="1:3" x14ac:dyDescent="0.2">
      <c r="A1522" s="1">
        <v>32400</v>
      </c>
      <c r="B1522" s="1" t="str">
        <v>2020-06-05</v>
      </c>
      <c r="C1522" s="1">
        <v>1.6</v>
      </c>
    </row>
    <row r="1523" spans="1:3" x14ac:dyDescent="0.2">
      <c r="A1523" s="1">
        <v>16</v>
      </c>
      <c r="B1523" s="1" t="str">
        <v>2020-06-05</v>
      </c>
      <c r="C1523" s="1">
        <v>2.1082999999999998</v>
      </c>
    </row>
    <row r="1524" spans="1:3" x14ac:dyDescent="0.2">
      <c r="A1524" s="1">
        <v>250</v>
      </c>
      <c r="B1524" s="1" t="str">
        <v>2020-06-05</v>
      </c>
      <c r="C1524" s="1">
        <v>1.5161</v>
      </c>
    </row>
    <row r="1525" spans="1:3" x14ac:dyDescent="0.2">
      <c r="A1525" s="1">
        <v>32783</v>
      </c>
      <c r="B1525" s="1" t="str">
        <v>2020-06-05</v>
      </c>
      <c r="C1525" s="1">
        <v>1.9429000000000001</v>
      </c>
    </row>
    <row r="1526" spans="1:3" x14ac:dyDescent="0.2">
      <c r="A1526" s="1">
        <v>133</v>
      </c>
      <c r="B1526" s="1" t="str">
        <v>2020-06-05</v>
      </c>
      <c r="C1526" s="1">
        <v>1.8304</v>
      </c>
    </row>
    <row r="1527" spans="1:3" x14ac:dyDescent="0.2">
      <c r="A1527" s="1">
        <v>32803</v>
      </c>
      <c r="B1527" s="1" t="str">
        <v>2020-06-05</v>
      </c>
      <c r="C1527" s="1">
        <v>1.0621</v>
      </c>
    </row>
    <row r="1528" spans="1:3" x14ac:dyDescent="0.2">
      <c r="A1528" s="1">
        <v>33103</v>
      </c>
      <c r="B1528" s="1" t="str">
        <v>2020-06-05</v>
      </c>
      <c r="C1528" s="1">
        <v>2.0575999999999999</v>
      </c>
    </row>
    <row r="1529" spans="1:3" x14ac:dyDescent="0.2">
      <c r="A1529" s="1">
        <v>90</v>
      </c>
      <c r="B1529" s="1" t="str">
        <v>2020-06-05</v>
      </c>
      <c r="C1529" s="1">
        <v>1.8311999999999999</v>
      </c>
    </row>
    <row r="1530" spans="1:3" x14ac:dyDescent="0.2">
      <c r="A1530" s="1">
        <v>115</v>
      </c>
      <c r="B1530" s="1" t="str">
        <v>2020-06-05</v>
      </c>
      <c r="C1530" s="1">
        <v>1.7804</v>
      </c>
    </row>
    <row r="1531" spans="1:3" x14ac:dyDescent="0.2">
      <c r="A1531" s="1">
        <v>187</v>
      </c>
      <c r="B1531" s="1" t="str">
        <v>2020-06-05</v>
      </c>
      <c r="C1531" s="1">
        <v>1.5567</v>
      </c>
    </row>
    <row r="1532" spans="1:3" x14ac:dyDescent="0.2">
      <c r="A1532" s="1">
        <v>81</v>
      </c>
      <c r="B1532" s="1" t="str">
        <v>2020-06-05</v>
      </c>
      <c r="C1532" s="1">
        <v>1.9835</v>
      </c>
    </row>
    <row r="1533" spans="1:3" x14ac:dyDescent="0.2">
      <c r="A1533" s="1">
        <v>49</v>
      </c>
      <c r="B1533" s="1" t="str">
        <v>2020-06-05</v>
      </c>
      <c r="C1533" s="1">
        <v>0.81979999999999997</v>
      </c>
    </row>
    <row r="1534" spans="1:3" x14ac:dyDescent="0.2">
      <c r="A1534" s="1">
        <v>147</v>
      </c>
      <c r="B1534" s="1" t="str">
        <v>2020-06-05</v>
      </c>
      <c r="C1534" s="1">
        <v>1.0015000000000001</v>
      </c>
    </row>
    <row r="1535" spans="1:3" x14ac:dyDescent="0.2">
      <c r="A1535" s="1">
        <v>101</v>
      </c>
      <c r="B1535" s="1" t="str">
        <v>2020-06-05</v>
      </c>
      <c r="C1535" s="1">
        <v>1.5267999999999999</v>
      </c>
    </row>
    <row r="1536" spans="1:3" x14ac:dyDescent="0.2">
      <c r="A1536" s="1">
        <v>136</v>
      </c>
      <c r="B1536" s="1" t="str">
        <v>2020-06-05</v>
      </c>
      <c r="C1536" s="1">
        <v>1.6682999999999999</v>
      </c>
    </row>
    <row r="1537" spans="1:3" x14ac:dyDescent="0.2">
      <c r="A1537" s="1">
        <v>156</v>
      </c>
      <c r="B1537" s="1" t="str">
        <v>2020-06-05</v>
      </c>
      <c r="C1537" s="1">
        <v>2.1573000000000002</v>
      </c>
    </row>
    <row r="1538" spans="1:3" x14ac:dyDescent="0.2">
      <c r="A1538" s="1">
        <v>2250</v>
      </c>
      <c r="B1538" s="1" t="str">
        <v>2020-06-05</v>
      </c>
      <c r="C1538" s="1">
        <v>0.72860000000000003</v>
      </c>
    </row>
    <row r="1539" spans="1:3" x14ac:dyDescent="0.2">
      <c r="A1539" s="1">
        <v>33083</v>
      </c>
      <c r="B1539" s="1" t="str">
        <v>2020-06-08</v>
      </c>
      <c r="C1539" s="1">
        <v>1.1783999999999999</v>
      </c>
    </row>
    <row r="1540" spans="1:3" x14ac:dyDescent="0.2">
      <c r="A1540" s="1">
        <v>53</v>
      </c>
      <c r="B1540" s="1" t="str">
        <v>2020-06-08</v>
      </c>
      <c r="C1540" s="1">
        <v>1.1728000000000001</v>
      </c>
    </row>
    <row r="1541" spans="1:3" x14ac:dyDescent="0.2">
      <c r="A1541" s="1">
        <v>10</v>
      </c>
      <c r="B1541" s="1" t="str">
        <v>2020-06-08</v>
      </c>
      <c r="C1541" s="1">
        <v>1.5069999999999999</v>
      </c>
    </row>
    <row r="1542" spans="1:3" x14ac:dyDescent="0.2">
      <c r="A1542" s="1">
        <v>1</v>
      </c>
      <c r="B1542" s="1" t="str">
        <v>2020-06-08</v>
      </c>
      <c r="C1542" s="1">
        <v>1.5470999999999999</v>
      </c>
    </row>
    <row r="1543" spans="1:3" x14ac:dyDescent="0.2">
      <c r="A1543" s="1">
        <v>34</v>
      </c>
      <c r="B1543" s="1" t="str">
        <v>2020-06-08</v>
      </c>
      <c r="C1543" s="1">
        <v>2.0034000000000001</v>
      </c>
    </row>
    <row r="1544" spans="1:3" x14ac:dyDescent="0.2">
      <c r="A1544" s="1">
        <v>32421</v>
      </c>
      <c r="B1544" s="1" t="str">
        <v>2020-06-08</v>
      </c>
      <c r="C1544" s="1">
        <v>1.4323999999999999</v>
      </c>
    </row>
    <row r="1545" spans="1:3" x14ac:dyDescent="0.2">
      <c r="A1545" s="1">
        <v>28</v>
      </c>
      <c r="B1545" s="1" t="str">
        <v>2020-06-08</v>
      </c>
      <c r="C1545" s="1">
        <v>1.4962</v>
      </c>
    </row>
    <row r="1546" spans="1:3" x14ac:dyDescent="0.2">
      <c r="A1546" s="1">
        <v>13250</v>
      </c>
      <c r="B1546" s="1" t="str">
        <v>2020-06-09</v>
      </c>
      <c r="C1546" s="1">
        <v>1.5971</v>
      </c>
    </row>
    <row r="1547" spans="1:3" x14ac:dyDescent="0.2">
      <c r="A1547" s="1">
        <v>32582</v>
      </c>
      <c r="B1547" s="1" t="str">
        <v>2020-06-09</v>
      </c>
      <c r="C1547" s="1">
        <v>1.3849</v>
      </c>
    </row>
    <row r="1548" spans="1:3" x14ac:dyDescent="0.2">
      <c r="A1548" s="1">
        <v>178</v>
      </c>
      <c r="B1548" s="1" t="str">
        <v>2020-06-09</v>
      </c>
      <c r="C1548" s="1">
        <v>1.9549000000000001</v>
      </c>
    </row>
    <row r="1549" spans="1:3" x14ac:dyDescent="0.2">
      <c r="A1549" s="1">
        <v>132</v>
      </c>
      <c r="B1549" s="1" t="str">
        <v>2020-06-09</v>
      </c>
      <c r="C1549" s="1">
        <v>0.96240000000000003</v>
      </c>
    </row>
    <row r="1550" spans="1:3" x14ac:dyDescent="0.2">
      <c r="A1550" s="1">
        <v>32200</v>
      </c>
      <c r="B1550" s="1" t="str">
        <v>2020-06-09</v>
      </c>
      <c r="C1550" s="1">
        <v>1.1617</v>
      </c>
    </row>
    <row r="1551" spans="1:3" x14ac:dyDescent="0.2">
      <c r="A1551" s="1">
        <v>30350</v>
      </c>
      <c r="B1551" s="1" t="str">
        <v>2020-06-09</v>
      </c>
      <c r="C1551" s="1">
        <v>1.2629999999999999</v>
      </c>
    </row>
    <row r="1552" spans="1:3" x14ac:dyDescent="0.2">
      <c r="A1552" s="1">
        <v>32843</v>
      </c>
      <c r="B1552" s="1" t="str">
        <v>2020-06-09</v>
      </c>
      <c r="C1552" s="1">
        <v>1.5478000000000001</v>
      </c>
    </row>
    <row r="1553" spans="1:3" x14ac:dyDescent="0.2">
      <c r="A1553" s="1">
        <v>32663</v>
      </c>
      <c r="B1553" s="1" t="str">
        <v>2020-06-09</v>
      </c>
      <c r="C1553" s="1">
        <v>1.4972000000000001</v>
      </c>
    </row>
    <row r="1554" spans="1:3" x14ac:dyDescent="0.2">
      <c r="A1554" s="1">
        <v>32582</v>
      </c>
      <c r="B1554" s="1" t="str">
        <v>2020-06-10</v>
      </c>
      <c r="C1554" s="1">
        <v>1.6085</v>
      </c>
    </row>
    <row r="1555" spans="1:3" x14ac:dyDescent="0.2">
      <c r="A1555" s="1">
        <v>59</v>
      </c>
      <c r="B1555" s="1" t="str">
        <v>2020-06-10</v>
      </c>
      <c r="C1555" s="1">
        <v>1.7201</v>
      </c>
    </row>
    <row r="1556" spans="1:3" x14ac:dyDescent="0.2">
      <c r="A1556" s="1">
        <v>32082</v>
      </c>
      <c r="B1556" s="1" t="str">
        <v>2020-06-10</v>
      </c>
      <c r="C1556" s="1">
        <v>1.4257</v>
      </c>
    </row>
    <row r="1557" spans="1:3" x14ac:dyDescent="0.2">
      <c r="A1557" s="1">
        <v>32</v>
      </c>
      <c r="B1557" s="1" t="str">
        <v>2020-06-10</v>
      </c>
      <c r="C1557" s="1">
        <v>1.7303999999999999</v>
      </c>
    </row>
    <row r="1558" spans="1:3" x14ac:dyDescent="0.2">
      <c r="A1558" s="1">
        <v>32963</v>
      </c>
      <c r="B1558" s="1" t="str">
        <v>2020-06-10</v>
      </c>
      <c r="C1558" s="1">
        <v>1.3552</v>
      </c>
    </row>
    <row r="1559" spans="1:3" x14ac:dyDescent="0.2">
      <c r="A1559" s="1">
        <v>133</v>
      </c>
      <c r="B1559" s="1" t="str">
        <v>2020-06-10</v>
      </c>
      <c r="C1559" s="1">
        <v>2.1671999999999998</v>
      </c>
    </row>
    <row r="1560" spans="1:3" x14ac:dyDescent="0.2">
      <c r="A1560" s="1">
        <v>1</v>
      </c>
      <c r="B1560" s="1" t="str">
        <v>2020-06-10</v>
      </c>
      <c r="C1560" s="1">
        <v>1.5476000000000001</v>
      </c>
    </row>
    <row r="1561" spans="1:3" x14ac:dyDescent="0.2">
      <c r="A1561" s="1">
        <v>171</v>
      </c>
      <c r="B1561" s="1" t="str">
        <v>2020-06-10</v>
      </c>
      <c r="C1561" s="1">
        <v>1.4970000000000001</v>
      </c>
    </row>
    <row r="1562" spans="1:3" x14ac:dyDescent="0.2">
      <c r="A1562" s="1">
        <v>153</v>
      </c>
      <c r="B1562" s="1" t="str">
        <v>2020-06-10</v>
      </c>
      <c r="C1562" s="1">
        <v>1.5478000000000001</v>
      </c>
    </row>
    <row r="1563" spans="1:3" x14ac:dyDescent="0.2">
      <c r="A1563" s="1">
        <v>139</v>
      </c>
      <c r="B1563" s="1" t="str">
        <v>2020-06-10</v>
      </c>
      <c r="C1563" s="1">
        <v>1.4972000000000001</v>
      </c>
    </row>
    <row r="1564" spans="1:3" x14ac:dyDescent="0.2">
      <c r="A1564" s="1">
        <v>32081</v>
      </c>
      <c r="B1564" s="1" t="str">
        <v>2020-06-10</v>
      </c>
      <c r="C1564" s="1">
        <v>0.7601</v>
      </c>
    </row>
    <row r="1565" spans="1:3" x14ac:dyDescent="0.2">
      <c r="A1565" s="1">
        <v>33130</v>
      </c>
      <c r="B1565" s="1" t="str">
        <v>2020-06-10</v>
      </c>
      <c r="C1565" s="1">
        <v>1.649</v>
      </c>
    </row>
    <row r="1566" spans="1:3" x14ac:dyDescent="0.2">
      <c r="A1566" s="1">
        <v>72</v>
      </c>
      <c r="B1566" s="1" t="str">
        <v>2020-06-10</v>
      </c>
      <c r="C1566" s="1">
        <v>1.6492</v>
      </c>
    </row>
    <row r="1567" spans="1:3" x14ac:dyDescent="0.2">
      <c r="A1567" s="1">
        <v>187</v>
      </c>
      <c r="B1567" s="1" t="str">
        <v>2020-06-12</v>
      </c>
      <c r="C1567" s="1">
        <v>1.7098</v>
      </c>
    </row>
    <row r="1568" spans="1:3" x14ac:dyDescent="0.2">
      <c r="A1568" s="1">
        <v>23250</v>
      </c>
      <c r="B1568" s="1" t="str">
        <v>2020-06-12</v>
      </c>
      <c r="C1568" s="1">
        <v>1.6388</v>
      </c>
    </row>
    <row r="1569" spans="1:3" x14ac:dyDescent="0.2">
      <c r="A1569" s="1">
        <v>136</v>
      </c>
      <c r="B1569" s="1" t="str">
        <v>2020-06-12</v>
      </c>
      <c r="C1569" s="1">
        <v>1.7906</v>
      </c>
    </row>
    <row r="1570" spans="1:3" x14ac:dyDescent="0.2">
      <c r="A1570" s="1">
        <v>32340</v>
      </c>
      <c r="B1570" s="1" t="str">
        <v>2020-06-12</v>
      </c>
      <c r="C1570" s="1">
        <v>1.7705</v>
      </c>
    </row>
    <row r="1571" spans="1:3" x14ac:dyDescent="0.2">
      <c r="A1571" s="1">
        <v>32724</v>
      </c>
      <c r="B1571" s="1" t="str">
        <v>2020-06-12</v>
      </c>
      <c r="C1571" s="1">
        <v>1.3756999999999999</v>
      </c>
    </row>
    <row r="1572" spans="1:3" x14ac:dyDescent="0.2">
      <c r="A1572" s="1">
        <v>33183</v>
      </c>
      <c r="B1572" s="1" t="str">
        <v>2020-06-12</v>
      </c>
      <c r="C1572" s="1">
        <v>1.4818</v>
      </c>
    </row>
    <row r="1573" spans="1:3" x14ac:dyDescent="0.2">
      <c r="A1573" s="1">
        <v>32401</v>
      </c>
      <c r="B1573" s="1" t="str">
        <v>2020-06-12</v>
      </c>
      <c r="C1573" s="1">
        <v>1.9738</v>
      </c>
    </row>
    <row r="1574" spans="1:3" x14ac:dyDescent="0.2">
      <c r="A1574" s="1">
        <v>32983</v>
      </c>
      <c r="B1574" s="1" t="str">
        <v>2020-06-12</v>
      </c>
      <c r="C1574" s="1">
        <v>0.94350000000000001</v>
      </c>
    </row>
    <row r="1575" spans="1:3" x14ac:dyDescent="0.2">
      <c r="A1575" s="1">
        <v>110</v>
      </c>
      <c r="B1575" s="1" t="str">
        <v>2020-06-12</v>
      </c>
      <c r="C1575" s="1">
        <v>1.5</v>
      </c>
    </row>
    <row r="1576" spans="1:3" x14ac:dyDescent="0.2">
      <c r="A1576" s="1">
        <v>102</v>
      </c>
      <c r="B1576" s="1" t="str">
        <v>2020-06-12</v>
      </c>
      <c r="C1576" s="1">
        <v>1.4968999999999999</v>
      </c>
    </row>
    <row r="1577" spans="1:3" x14ac:dyDescent="0.2">
      <c r="A1577" s="1">
        <v>24</v>
      </c>
      <c r="B1577" s="1" t="str">
        <v>2020-06-12</v>
      </c>
      <c r="C1577" s="1">
        <v>1.7506999999999999</v>
      </c>
    </row>
    <row r="1578" spans="1:3" x14ac:dyDescent="0.2">
      <c r="A1578" s="1">
        <v>83</v>
      </c>
      <c r="B1578" s="1" t="str">
        <v>2020-06-12</v>
      </c>
      <c r="C1578" s="1">
        <v>1.7202</v>
      </c>
    </row>
    <row r="1579" spans="1:3" x14ac:dyDescent="0.2">
      <c r="A1579" s="1">
        <v>191</v>
      </c>
      <c r="B1579" s="1" t="str">
        <v>2020-06-12</v>
      </c>
      <c r="C1579" s="1">
        <v>1.5563</v>
      </c>
    </row>
    <row r="1580" spans="1:3" x14ac:dyDescent="0.2">
      <c r="A1580" s="1">
        <v>32863</v>
      </c>
      <c r="B1580" s="1" t="str">
        <v>2020-06-12</v>
      </c>
      <c r="C1580" s="1">
        <v>1.3453999999999999</v>
      </c>
    </row>
    <row r="1581" spans="1:3" x14ac:dyDescent="0.2">
      <c r="A1581" s="1">
        <v>137</v>
      </c>
      <c r="B1581" s="1" t="str">
        <v>2020-06-12</v>
      </c>
      <c r="C1581" s="1">
        <v>2.0350999999999999</v>
      </c>
    </row>
    <row r="1582" spans="1:3" x14ac:dyDescent="0.2">
      <c r="A1582" s="1">
        <v>32</v>
      </c>
      <c r="B1582" s="1" t="str">
        <v>2020-06-12</v>
      </c>
      <c r="C1582" s="1">
        <v>1.6746000000000001</v>
      </c>
    </row>
    <row r="1583" spans="1:3" x14ac:dyDescent="0.2">
      <c r="A1583" s="1">
        <v>34</v>
      </c>
      <c r="B1583" s="1" t="str">
        <v>2020-06-12</v>
      </c>
      <c r="C1583" s="1">
        <v>2.1568999999999998</v>
      </c>
    </row>
    <row r="1584" spans="1:3" x14ac:dyDescent="0.2">
      <c r="A1584" s="1">
        <v>67</v>
      </c>
      <c r="B1584" s="1" t="str">
        <v>2020-06-12</v>
      </c>
      <c r="C1584" s="1">
        <v>1.9029</v>
      </c>
    </row>
    <row r="1585" spans="1:3" x14ac:dyDescent="0.2">
      <c r="A1585" s="1">
        <v>37</v>
      </c>
      <c r="B1585" s="1" t="str">
        <v>2020-06-12</v>
      </c>
      <c r="C1585" s="1">
        <v>2.6364999999999998</v>
      </c>
    </row>
    <row r="1586" spans="1:3" x14ac:dyDescent="0.2">
      <c r="A1586" s="1">
        <v>31</v>
      </c>
      <c r="B1586" s="1" t="str">
        <v>2020-06-12</v>
      </c>
      <c r="C1586" s="1">
        <v>1.7</v>
      </c>
    </row>
    <row r="1587" spans="1:3" x14ac:dyDescent="0.2">
      <c r="A1587" s="1">
        <v>16</v>
      </c>
      <c r="B1587" s="1" t="str">
        <v>2020-06-12</v>
      </c>
      <c r="C1587" s="1">
        <v>1.5578000000000001</v>
      </c>
    </row>
    <row r="1588" spans="1:3" x14ac:dyDescent="0.2">
      <c r="A1588" s="1">
        <v>30400</v>
      </c>
      <c r="B1588" s="1" t="str">
        <v>2020-06-12</v>
      </c>
      <c r="C1588" s="1">
        <v>1.3147</v>
      </c>
    </row>
    <row r="1589" spans="1:3" x14ac:dyDescent="0.2">
      <c r="A1589" s="1">
        <v>1</v>
      </c>
      <c r="B1589" s="1" t="str">
        <v>2020-06-12</v>
      </c>
      <c r="C1589" s="1">
        <v>1.5477000000000001</v>
      </c>
    </row>
    <row r="1590" spans="1:3" x14ac:dyDescent="0.2">
      <c r="A1590" s="1">
        <v>33103</v>
      </c>
      <c r="B1590" s="1" t="str">
        <v>2020-06-12</v>
      </c>
      <c r="C1590" s="1">
        <v>1.9351</v>
      </c>
    </row>
    <row r="1591" spans="1:3" x14ac:dyDescent="0.2">
      <c r="A1591" s="1">
        <v>32081</v>
      </c>
      <c r="B1591" s="1" t="str">
        <v>2020-06-12</v>
      </c>
      <c r="C1591" s="1">
        <v>0.79020000000000001</v>
      </c>
    </row>
    <row r="1592" spans="1:3" x14ac:dyDescent="0.2">
      <c r="A1592" s="1">
        <v>32260</v>
      </c>
      <c r="B1592" s="1" t="str">
        <v>2020-06-12</v>
      </c>
      <c r="C1592" s="1">
        <v>1.8724000000000001</v>
      </c>
    </row>
    <row r="1593" spans="1:3" x14ac:dyDescent="0.2">
      <c r="A1593" s="1">
        <v>32783</v>
      </c>
      <c r="B1593" s="1" t="str">
        <v>2020-06-12</v>
      </c>
      <c r="C1593" s="1">
        <v>1.9029</v>
      </c>
    </row>
    <row r="1594" spans="1:3" x14ac:dyDescent="0.2">
      <c r="A1594" s="1">
        <v>250</v>
      </c>
      <c r="B1594" s="1" t="str">
        <v>2020-06-12</v>
      </c>
      <c r="C1594" s="1">
        <v>1.5875999999999999</v>
      </c>
    </row>
    <row r="1595" spans="1:3" x14ac:dyDescent="0.2">
      <c r="A1595" s="1">
        <v>139</v>
      </c>
      <c r="B1595" s="1" t="str">
        <v>2020-06-12</v>
      </c>
      <c r="C1595" s="1">
        <v>1.4972000000000001</v>
      </c>
    </row>
    <row r="1596" spans="1:3" x14ac:dyDescent="0.2">
      <c r="A1596" s="1">
        <v>115</v>
      </c>
      <c r="B1596" s="1" t="str">
        <v>2020-06-12</v>
      </c>
      <c r="C1596" s="1">
        <v>1.7404999999999999</v>
      </c>
    </row>
    <row r="1597" spans="1:3" x14ac:dyDescent="0.2">
      <c r="A1597" s="1">
        <v>33129</v>
      </c>
      <c r="B1597" s="1" t="str">
        <v>2020-06-12</v>
      </c>
      <c r="C1597" s="1">
        <v>1.3956</v>
      </c>
    </row>
    <row r="1598" spans="1:3" x14ac:dyDescent="0.2">
      <c r="A1598" s="1">
        <v>9250</v>
      </c>
      <c r="B1598" s="1" t="str">
        <v>2020-06-12</v>
      </c>
      <c r="C1598" s="1">
        <v>1.77</v>
      </c>
    </row>
    <row r="1599" spans="1:3" x14ac:dyDescent="0.2">
      <c r="A1599" s="1">
        <v>55</v>
      </c>
      <c r="B1599" s="1" t="str">
        <v>2020-06-12</v>
      </c>
      <c r="C1599" s="1">
        <v>1.3149</v>
      </c>
    </row>
    <row r="1600" spans="1:3" x14ac:dyDescent="0.2">
      <c r="A1600" s="1">
        <v>72</v>
      </c>
      <c r="B1600" s="1" t="str">
        <v>2020-06-12</v>
      </c>
      <c r="C1600" s="1">
        <v>1.5476000000000001</v>
      </c>
    </row>
    <row r="1601" spans="1:3" x14ac:dyDescent="0.2">
      <c r="A1601" s="1">
        <v>32500</v>
      </c>
      <c r="B1601" s="1" t="str">
        <v>2020-06-12</v>
      </c>
      <c r="C1601" s="1">
        <v>1.4867999999999999</v>
      </c>
    </row>
    <row r="1602" spans="1:3" x14ac:dyDescent="0.2">
      <c r="A1602" s="1">
        <v>32883</v>
      </c>
      <c r="B1602" s="1" t="str">
        <v>2020-06-12</v>
      </c>
      <c r="C1602" s="1">
        <v>2.1366000000000001</v>
      </c>
    </row>
    <row r="1603" spans="1:3" x14ac:dyDescent="0.2">
      <c r="A1603" s="1">
        <v>109</v>
      </c>
      <c r="B1603" s="1" t="str">
        <v>2020-06-12</v>
      </c>
      <c r="C1603" s="1">
        <v>1.8115000000000001</v>
      </c>
    </row>
    <row r="1604" spans="1:3" x14ac:dyDescent="0.2">
      <c r="A1604" s="1">
        <v>30250</v>
      </c>
      <c r="B1604" s="1" t="str">
        <v>2020-06-12</v>
      </c>
      <c r="C1604" s="1">
        <v>1.6591</v>
      </c>
    </row>
    <row r="1605" spans="1:3" x14ac:dyDescent="0.2">
      <c r="A1605" s="1">
        <v>32582</v>
      </c>
      <c r="B1605" s="1" t="str">
        <v>2020-06-12</v>
      </c>
      <c r="C1605" s="1">
        <v>1.6085</v>
      </c>
    </row>
    <row r="1606" spans="1:3" x14ac:dyDescent="0.2">
      <c r="A1606" s="1">
        <v>49</v>
      </c>
      <c r="B1606" s="1" t="str">
        <v>2020-06-12</v>
      </c>
      <c r="C1606" s="1">
        <v>1.002</v>
      </c>
    </row>
    <row r="1607" spans="1:3" x14ac:dyDescent="0.2">
      <c r="A1607" s="1">
        <v>59</v>
      </c>
      <c r="B1607" s="1" t="str">
        <v>2020-06-12</v>
      </c>
      <c r="C1607" s="1">
        <v>1.7606999999999999</v>
      </c>
    </row>
    <row r="1608" spans="1:3" x14ac:dyDescent="0.2">
      <c r="A1608" s="1">
        <v>171</v>
      </c>
      <c r="B1608" s="1" t="str">
        <v>2020-06-12</v>
      </c>
      <c r="C1608" s="1">
        <v>1.5071000000000001</v>
      </c>
    </row>
    <row r="1609" spans="1:3" x14ac:dyDescent="0.2">
      <c r="A1609" s="1">
        <v>81</v>
      </c>
      <c r="B1609" s="1" t="str">
        <v>2020-06-12</v>
      </c>
      <c r="C1609" s="1">
        <v>2.004</v>
      </c>
    </row>
    <row r="1610" spans="1:3" x14ac:dyDescent="0.2">
      <c r="A1610" s="1">
        <v>32121</v>
      </c>
      <c r="B1610" s="1" t="str">
        <v>2020-06-12</v>
      </c>
      <c r="C1610" s="1">
        <v>1.9229000000000001</v>
      </c>
    </row>
    <row r="1611" spans="1:3" x14ac:dyDescent="0.2">
      <c r="A1611" s="1">
        <v>32360</v>
      </c>
      <c r="B1611" s="1" t="str">
        <v>2020-06-12</v>
      </c>
      <c r="C1611" s="1">
        <v>1.3758999999999999</v>
      </c>
    </row>
    <row r="1612" spans="1:3" x14ac:dyDescent="0.2">
      <c r="A1612" s="1">
        <v>24250</v>
      </c>
      <c r="B1612" s="1" t="str">
        <v>2020-06-12</v>
      </c>
      <c r="C1612" s="1">
        <v>1.4971000000000001</v>
      </c>
    </row>
    <row r="1613" spans="1:3" x14ac:dyDescent="0.2">
      <c r="A1613" s="1">
        <v>32583</v>
      </c>
      <c r="B1613" s="1" t="str">
        <v>2020-06-12</v>
      </c>
      <c r="C1613" s="1">
        <v>1.4</v>
      </c>
    </row>
    <row r="1614" spans="1:3" x14ac:dyDescent="0.2">
      <c r="A1614" s="1">
        <v>30300</v>
      </c>
      <c r="B1614" s="1" t="str">
        <v>2020-06-12</v>
      </c>
      <c r="C1614" s="1">
        <v>1.5580000000000001</v>
      </c>
    </row>
    <row r="1615" spans="1:3" x14ac:dyDescent="0.2">
      <c r="A1615" s="1">
        <v>20</v>
      </c>
      <c r="B1615" s="1" t="str">
        <v>2020-06-12</v>
      </c>
      <c r="C1615" s="1">
        <v>1.9028</v>
      </c>
    </row>
    <row r="1616" spans="1:3" x14ac:dyDescent="0.2">
      <c r="A1616" s="1">
        <v>146</v>
      </c>
      <c r="B1616" s="1" t="str">
        <v>2020-06-12</v>
      </c>
      <c r="C1616" s="1">
        <v>1.821</v>
      </c>
    </row>
    <row r="1617" spans="1:3" x14ac:dyDescent="0.2">
      <c r="A1617" s="1">
        <v>94</v>
      </c>
      <c r="B1617" s="1" t="str">
        <v>2020-06-12</v>
      </c>
      <c r="C1617" s="1">
        <v>1.4512</v>
      </c>
    </row>
    <row r="1618" spans="1:3" x14ac:dyDescent="0.2">
      <c r="A1618" s="1">
        <v>143</v>
      </c>
      <c r="B1618" s="1" t="str">
        <v>2020-06-12</v>
      </c>
      <c r="C1618" s="1">
        <v>1.5071000000000001</v>
      </c>
    </row>
    <row r="1619" spans="1:3" x14ac:dyDescent="0.2">
      <c r="A1619" s="1">
        <v>32803</v>
      </c>
      <c r="B1619" s="1" t="str">
        <v>2020-06-12</v>
      </c>
      <c r="C1619" s="1">
        <v>1.2746</v>
      </c>
    </row>
    <row r="1620" spans="1:3" x14ac:dyDescent="0.2">
      <c r="A1620" s="1">
        <v>196</v>
      </c>
      <c r="B1620" s="1" t="str">
        <v>2020-06-12</v>
      </c>
      <c r="C1620" s="1">
        <v>1.4666999999999999</v>
      </c>
    </row>
    <row r="1621" spans="1:3" x14ac:dyDescent="0.2">
      <c r="A1621" s="1">
        <v>177</v>
      </c>
      <c r="B1621" s="1" t="str">
        <v>2020-06-12</v>
      </c>
      <c r="C1621" s="1">
        <v>1.8059000000000001</v>
      </c>
    </row>
    <row r="1622" spans="1:3" x14ac:dyDescent="0.2">
      <c r="A1622" s="1">
        <v>32502</v>
      </c>
      <c r="B1622" s="1" t="str">
        <v>2020-06-12</v>
      </c>
      <c r="C1622" s="1">
        <v>1.8420000000000001</v>
      </c>
    </row>
    <row r="1623" spans="1:3" x14ac:dyDescent="0.2">
      <c r="A1623" s="1">
        <v>78</v>
      </c>
      <c r="B1623" s="1" t="str">
        <v>2020-06-12</v>
      </c>
      <c r="C1623" s="1">
        <v>1.6991000000000001</v>
      </c>
    </row>
    <row r="1624" spans="1:3" x14ac:dyDescent="0.2">
      <c r="A1624" s="1">
        <v>10</v>
      </c>
      <c r="B1624" s="1" t="str">
        <v>2020-06-12</v>
      </c>
      <c r="C1624" s="1">
        <v>1.5275000000000001</v>
      </c>
    </row>
    <row r="1625" spans="1:3" x14ac:dyDescent="0.2">
      <c r="A1625" s="1">
        <v>2250</v>
      </c>
      <c r="B1625" s="1" t="str">
        <v>2020-06-12</v>
      </c>
      <c r="C1625" s="1">
        <v>0.95130000000000003</v>
      </c>
    </row>
    <row r="1626" spans="1:3" x14ac:dyDescent="0.2">
      <c r="A1626" s="1">
        <v>33183</v>
      </c>
      <c r="B1626" s="1" t="str">
        <v>2020-06-15</v>
      </c>
      <c r="C1626" s="1">
        <v>1.4818</v>
      </c>
    </row>
    <row r="1627" spans="1:3" x14ac:dyDescent="0.2">
      <c r="A1627" s="1">
        <v>32360</v>
      </c>
      <c r="B1627" s="1" t="str">
        <v>2020-06-15</v>
      </c>
      <c r="C1627" s="1">
        <v>1.3758999999999999</v>
      </c>
    </row>
    <row r="1628" spans="1:3" x14ac:dyDescent="0.2">
      <c r="A1628" s="1">
        <v>176</v>
      </c>
      <c r="B1628" s="1" t="str">
        <v>2020-06-15</v>
      </c>
      <c r="C1628" s="1">
        <v>1.4361999999999999</v>
      </c>
    </row>
    <row r="1629" spans="1:3" x14ac:dyDescent="0.2">
      <c r="A1629" s="1">
        <v>34</v>
      </c>
      <c r="B1629" s="1" t="str">
        <v>2020-06-15</v>
      </c>
      <c r="C1629" s="1">
        <v>2.2079</v>
      </c>
    </row>
    <row r="1630" spans="1:3" x14ac:dyDescent="0.2">
      <c r="A1630" s="1">
        <v>32421</v>
      </c>
      <c r="B1630" s="1" t="str">
        <v>2020-06-15</v>
      </c>
      <c r="C1630" s="1">
        <v>1.7557</v>
      </c>
    </row>
    <row r="1631" spans="1:3" x14ac:dyDescent="0.2">
      <c r="A1631" s="1">
        <v>178</v>
      </c>
      <c r="B1631" s="1" t="str">
        <v>2020-06-15</v>
      </c>
      <c r="C1631" s="1">
        <v>2.0074000000000001</v>
      </c>
    </row>
    <row r="1632" spans="1:3" x14ac:dyDescent="0.2">
      <c r="A1632" s="1">
        <v>53</v>
      </c>
      <c r="B1632" s="1" t="str">
        <v>2020-06-16</v>
      </c>
      <c r="C1632" s="1">
        <v>1.2947</v>
      </c>
    </row>
    <row r="1633" spans="1:3" x14ac:dyDescent="0.2">
      <c r="A1633" s="1">
        <v>33130</v>
      </c>
      <c r="B1633" s="1" t="str">
        <v>2020-06-16</v>
      </c>
      <c r="C1633" s="1">
        <v>1.4464999999999999</v>
      </c>
    </row>
    <row r="1634" spans="1:3" x14ac:dyDescent="0.2">
      <c r="A1634" s="1">
        <v>32200</v>
      </c>
      <c r="B1634" s="1" t="str">
        <v>2020-06-17</v>
      </c>
      <c r="C1634" s="1">
        <v>1.3958999999999999</v>
      </c>
    </row>
    <row r="1635" spans="1:3" x14ac:dyDescent="0.2">
      <c r="A1635" s="1">
        <v>8</v>
      </c>
      <c r="B1635" s="1" t="str">
        <v>2020-06-17</v>
      </c>
      <c r="C1635" s="1">
        <v>2.0247000000000002</v>
      </c>
    </row>
    <row r="1636" spans="1:3" x14ac:dyDescent="0.2">
      <c r="A1636" s="1">
        <v>33103</v>
      </c>
      <c r="B1636" s="1" t="str">
        <v>2020-06-17</v>
      </c>
      <c r="C1636" s="1">
        <v>2.0026000000000002</v>
      </c>
    </row>
    <row r="1637" spans="1:3" x14ac:dyDescent="0.2">
      <c r="A1637" s="1">
        <v>32963</v>
      </c>
      <c r="B1637" s="1" t="str">
        <v>2020-06-17</v>
      </c>
      <c r="C1637" s="1">
        <v>1.4362999999999999</v>
      </c>
    </row>
    <row r="1638" spans="1:3" x14ac:dyDescent="0.2">
      <c r="A1638" s="1">
        <v>32222</v>
      </c>
      <c r="B1638" s="1" t="str">
        <v>2020-06-26</v>
      </c>
      <c r="C1638" s="1">
        <v>1.6285000000000001</v>
      </c>
    </row>
    <row r="1639" spans="1:3" x14ac:dyDescent="0.2">
      <c r="A1639" s="1">
        <v>32200</v>
      </c>
      <c r="B1639" s="1" t="str">
        <v>2020-06-26</v>
      </c>
      <c r="C1639" s="1">
        <v>1.3958999999999999</v>
      </c>
    </row>
    <row r="1640" spans="1:3" x14ac:dyDescent="0.2">
      <c r="A1640" s="1">
        <v>33130</v>
      </c>
      <c r="B1640" s="1" t="str">
        <v>2020-06-26</v>
      </c>
      <c r="C1640" s="1">
        <v>1.5983000000000001</v>
      </c>
    </row>
    <row r="1641" spans="1:3" x14ac:dyDescent="0.2">
      <c r="A1641" s="1">
        <v>156</v>
      </c>
      <c r="B1641" s="1" t="str">
        <v>2020-06-26</v>
      </c>
      <c r="C1641" s="1">
        <v>2.1164999999999998</v>
      </c>
    </row>
    <row r="1642" spans="1:3" x14ac:dyDescent="0.2">
      <c r="A1642" s="1">
        <v>147</v>
      </c>
      <c r="B1642" s="1" t="str">
        <v>2020-06-26</v>
      </c>
      <c r="C1642" s="1">
        <v>1.1327</v>
      </c>
    </row>
    <row r="1643" spans="1:3" x14ac:dyDescent="0.2">
      <c r="A1643" s="1">
        <v>24</v>
      </c>
      <c r="B1643" s="1" t="str">
        <v>2020-06-26</v>
      </c>
      <c r="C1643" s="1">
        <v>1.8218000000000001</v>
      </c>
    </row>
    <row r="1644" spans="1:3" x14ac:dyDescent="0.2">
      <c r="A1644" s="1">
        <v>153</v>
      </c>
      <c r="B1644" s="1" t="str">
        <v>2020-06-26</v>
      </c>
      <c r="C1644" s="1">
        <v>1.6796</v>
      </c>
    </row>
    <row r="1645" spans="1:3" x14ac:dyDescent="0.2">
      <c r="A1645" s="1">
        <v>16</v>
      </c>
      <c r="B1645" s="1" t="str">
        <v>2020-06-26</v>
      </c>
      <c r="C1645" s="1">
        <v>1.3858999999999999</v>
      </c>
    </row>
    <row r="1646" spans="1:3" x14ac:dyDescent="0.2">
      <c r="A1646" s="1">
        <v>32783</v>
      </c>
      <c r="B1646" s="1" t="str">
        <v>2020-06-26</v>
      </c>
      <c r="C1646" s="1">
        <v>2.0047000000000001</v>
      </c>
    </row>
    <row r="1647" spans="1:3" x14ac:dyDescent="0.2">
      <c r="A1647" s="1">
        <v>33125</v>
      </c>
      <c r="B1647" s="1" t="str">
        <v>2020-06-26</v>
      </c>
      <c r="C1647" s="1">
        <v>1.7604</v>
      </c>
    </row>
    <row r="1648" spans="1:3" x14ac:dyDescent="0.2">
      <c r="A1648" s="1">
        <v>150</v>
      </c>
      <c r="B1648" s="1" t="str">
        <v>2020-06-26</v>
      </c>
      <c r="C1648" s="1">
        <v>1.4066000000000001</v>
      </c>
    </row>
    <row r="1649" spans="1:3" x14ac:dyDescent="0.2">
      <c r="A1649" s="1">
        <v>139</v>
      </c>
      <c r="B1649" s="1" t="str">
        <v>2020-06-26</v>
      </c>
      <c r="C1649" s="1">
        <v>1.6084000000000001</v>
      </c>
    </row>
    <row r="1650" spans="1:3" x14ac:dyDescent="0.2">
      <c r="A1650" s="1">
        <v>181</v>
      </c>
      <c r="B1650" s="1" t="str">
        <v>2020-06-26</v>
      </c>
      <c r="C1650" s="1">
        <v>1.9433</v>
      </c>
    </row>
    <row r="1651" spans="1:3" x14ac:dyDescent="0.2">
      <c r="A1651" s="1">
        <v>32724</v>
      </c>
      <c r="B1651" s="1" t="str">
        <v>2020-06-26</v>
      </c>
      <c r="C1651" s="1">
        <v>1.7201</v>
      </c>
    </row>
    <row r="1652" spans="1:3" x14ac:dyDescent="0.2">
      <c r="A1652" s="1">
        <v>30400</v>
      </c>
      <c r="B1652" s="1" t="str">
        <v>2020-06-26</v>
      </c>
      <c r="C1652" s="1">
        <v>1.5674999999999999</v>
      </c>
    </row>
    <row r="1653" spans="1:3" x14ac:dyDescent="0.2">
      <c r="A1653" s="1">
        <v>250</v>
      </c>
      <c r="B1653" s="1" t="str">
        <v>2020-06-26</v>
      </c>
      <c r="C1653" s="1">
        <v>1.6893</v>
      </c>
    </row>
    <row r="1654" spans="1:3" x14ac:dyDescent="0.2">
      <c r="A1654" s="1">
        <v>32883</v>
      </c>
      <c r="B1654" s="1" t="str">
        <v>2020-06-26</v>
      </c>
      <c r="C1654" s="1">
        <v>2.1366000000000001</v>
      </c>
    </row>
    <row r="1655" spans="1:3" x14ac:dyDescent="0.2">
      <c r="A1655" s="1">
        <v>81</v>
      </c>
      <c r="B1655" s="1" t="str">
        <v>2020-06-26</v>
      </c>
      <c r="C1655" s="1">
        <v>2.0043000000000002</v>
      </c>
    </row>
    <row r="1656" spans="1:3" x14ac:dyDescent="0.2">
      <c r="A1656" s="1">
        <v>102</v>
      </c>
      <c r="B1656" s="1" t="str">
        <v>2020-06-26</v>
      </c>
      <c r="C1656" s="1">
        <v>1.4968999999999999</v>
      </c>
    </row>
    <row r="1657" spans="1:3" x14ac:dyDescent="0.2">
      <c r="A1657" s="1">
        <v>115</v>
      </c>
      <c r="B1657" s="1" t="str">
        <v>2020-06-26</v>
      </c>
      <c r="C1657" s="1">
        <v>1.8115000000000001</v>
      </c>
    </row>
    <row r="1658" spans="1:3" x14ac:dyDescent="0.2">
      <c r="A1658" s="1">
        <v>109</v>
      </c>
      <c r="B1658" s="1" t="str">
        <v>2020-06-26</v>
      </c>
      <c r="C1658" s="1">
        <v>1.8113999999999999</v>
      </c>
    </row>
    <row r="1659" spans="1:3" x14ac:dyDescent="0.2">
      <c r="A1659" s="1">
        <v>24250</v>
      </c>
      <c r="B1659" s="1" t="str">
        <v>2020-06-26</v>
      </c>
      <c r="C1659" s="1">
        <v>1.5172000000000001</v>
      </c>
    </row>
    <row r="1660" spans="1:3" x14ac:dyDescent="0.2">
      <c r="A1660" s="1">
        <v>10</v>
      </c>
      <c r="B1660" s="1" t="str">
        <v>2020-06-26</v>
      </c>
      <c r="C1660" s="1">
        <v>1.649</v>
      </c>
    </row>
    <row r="1661" spans="1:3" x14ac:dyDescent="0.2">
      <c r="A1661" s="1">
        <v>32582</v>
      </c>
      <c r="B1661" s="1" t="str">
        <v>2020-06-26</v>
      </c>
      <c r="C1661" s="1">
        <v>1.6085</v>
      </c>
    </row>
    <row r="1662" spans="1:3" x14ac:dyDescent="0.2">
      <c r="A1662" s="1">
        <v>187</v>
      </c>
      <c r="B1662" s="1" t="str">
        <v>2020-06-26</v>
      </c>
      <c r="C1662" s="1">
        <v>1.6896</v>
      </c>
    </row>
    <row r="1663" spans="1:3" x14ac:dyDescent="0.2">
      <c r="A1663" s="1">
        <v>101</v>
      </c>
      <c r="B1663" s="1" t="str">
        <v>2020-06-26</v>
      </c>
      <c r="C1663" s="1">
        <v>1.7097</v>
      </c>
    </row>
    <row r="1664" spans="1:3" x14ac:dyDescent="0.2">
      <c r="A1664" s="1">
        <v>177</v>
      </c>
      <c r="B1664" s="1" t="str">
        <v>2020-06-26</v>
      </c>
      <c r="C1664" s="1">
        <v>1.9888999999999999</v>
      </c>
    </row>
    <row r="1665" spans="1:3" x14ac:dyDescent="0.2">
      <c r="A1665" s="1">
        <v>32560</v>
      </c>
      <c r="B1665" s="1" t="str">
        <v>2020-06-25</v>
      </c>
      <c r="C1665" s="1">
        <v>1.6188</v>
      </c>
    </row>
    <row r="1666" spans="1:3" x14ac:dyDescent="0.2">
      <c r="A1666" s="1">
        <v>32040</v>
      </c>
      <c r="B1666" s="1" t="str">
        <v>2020-06-25</v>
      </c>
      <c r="C1666" s="1">
        <v>1.4804999999999999</v>
      </c>
    </row>
    <row r="1667" spans="1:3" x14ac:dyDescent="0.2">
      <c r="A1667" s="1">
        <v>133</v>
      </c>
      <c r="B1667" s="1" t="str">
        <v>2020-06-25</v>
      </c>
      <c r="C1667" s="1">
        <v>1.8011999999999999</v>
      </c>
    </row>
    <row r="1668" spans="1:3" x14ac:dyDescent="0.2">
      <c r="A1668" s="1">
        <v>157</v>
      </c>
      <c r="B1668" s="1" t="str">
        <v>2020-06-25</v>
      </c>
      <c r="C1668" s="1">
        <v>1.6</v>
      </c>
    </row>
    <row r="1669" spans="1:3" x14ac:dyDescent="0.2">
      <c r="A1669" s="1">
        <v>32724</v>
      </c>
      <c r="B1669" s="1" t="str">
        <v>2020-06-25</v>
      </c>
      <c r="C1669" s="1">
        <v>1.6086</v>
      </c>
    </row>
    <row r="1670" spans="1:3" x14ac:dyDescent="0.2">
      <c r="A1670" s="1">
        <v>55</v>
      </c>
      <c r="B1670" s="1" t="str">
        <v>2020-06-25</v>
      </c>
      <c r="C1670" s="1">
        <v>1.3754999999999999</v>
      </c>
    </row>
    <row r="1671" spans="1:3" x14ac:dyDescent="0.2">
      <c r="A1671" s="1">
        <v>89</v>
      </c>
      <c r="B1671" s="1" t="str">
        <v>2020-06-24</v>
      </c>
      <c r="C1671" s="1">
        <v>2.0449999999999999</v>
      </c>
    </row>
    <row r="1672" spans="1:3" x14ac:dyDescent="0.2">
      <c r="A1672" s="1">
        <v>32400</v>
      </c>
      <c r="B1672" s="1" t="str">
        <v>2020-06-24</v>
      </c>
      <c r="C1672" s="1">
        <v>1.7</v>
      </c>
    </row>
    <row r="1673" spans="1:3" x14ac:dyDescent="0.2">
      <c r="A1673" s="1">
        <v>187</v>
      </c>
      <c r="B1673" s="1" t="str">
        <v>2020-06-24</v>
      </c>
      <c r="C1673" s="1">
        <v>1.5985</v>
      </c>
    </row>
    <row r="1674" spans="1:3" x14ac:dyDescent="0.2">
      <c r="A1674" s="1">
        <v>32</v>
      </c>
      <c r="B1674" s="1" t="str">
        <v>2020-06-24</v>
      </c>
      <c r="C1674" s="1">
        <v>1.7250000000000001</v>
      </c>
    </row>
    <row r="1675" spans="1:3" x14ac:dyDescent="0.2">
      <c r="A1675" s="1">
        <v>33103</v>
      </c>
      <c r="B1675" s="1" t="str">
        <v>2020-06-23</v>
      </c>
      <c r="C1675" s="1">
        <v>2.0956999999999999</v>
      </c>
    </row>
    <row r="1676" spans="1:3" x14ac:dyDescent="0.2">
      <c r="A1676" s="1">
        <v>33130</v>
      </c>
      <c r="B1676" s="1" t="str">
        <v>2020-06-23</v>
      </c>
      <c r="C1676" s="1">
        <v>1.8214999999999999</v>
      </c>
    </row>
    <row r="1677" spans="1:3" x14ac:dyDescent="0.2">
      <c r="A1677" s="1">
        <v>33023</v>
      </c>
      <c r="B1677" s="1" t="str">
        <v>2020-06-23</v>
      </c>
      <c r="C1677" s="1">
        <v>1.5</v>
      </c>
    </row>
    <row r="1678" spans="1:3" x14ac:dyDescent="0.2">
      <c r="A1678" s="1">
        <v>32380</v>
      </c>
      <c r="B1678" s="1" t="str">
        <v>2020-06-23</v>
      </c>
      <c r="C1678" s="1">
        <v>2.0706000000000002</v>
      </c>
    </row>
    <row r="1679" spans="1:3" x14ac:dyDescent="0.2">
      <c r="A1679" s="1">
        <v>89</v>
      </c>
      <c r="B1679" s="1" t="str">
        <v>2020-06-23</v>
      </c>
      <c r="C1679" s="1">
        <v>2.0449999999999999</v>
      </c>
    </row>
    <row r="1680" spans="1:3" x14ac:dyDescent="0.2">
      <c r="A1680" s="1">
        <v>33143</v>
      </c>
      <c r="B1680" s="1" t="str">
        <v>2020-06-22</v>
      </c>
      <c r="C1680" s="1">
        <v>1.5</v>
      </c>
    </row>
    <row r="1681" spans="1:3" x14ac:dyDescent="0.2">
      <c r="A1681" s="1">
        <v>77</v>
      </c>
      <c r="B1681" s="1" t="str">
        <v>2020-06-22</v>
      </c>
      <c r="C1681" s="1">
        <v>1.6287</v>
      </c>
    </row>
    <row r="1682" spans="1:3" x14ac:dyDescent="0.2">
      <c r="A1682" s="1">
        <v>34</v>
      </c>
      <c r="B1682" s="1" t="str">
        <v>2020-06-22</v>
      </c>
      <c r="C1682" s="1">
        <v>2.2079</v>
      </c>
    </row>
    <row r="1683" spans="1:3" x14ac:dyDescent="0.2">
      <c r="A1683" s="1">
        <v>10</v>
      </c>
      <c r="B1683" s="1" t="str">
        <v>2020-06-22</v>
      </c>
      <c r="C1683" s="1">
        <v>1.6693</v>
      </c>
    </row>
    <row r="1684" spans="1:3" x14ac:dyDescent="0.2">
      <c r="A1684" s="1">
        <v>178</v>
      </c>
      <c r="B1684" s="1" t="str">
        <v>2020-06-22</v>
      </c>
      <c r="C1684" s="1">
        <v>1.9734</v>
      </c>
    </row>
    <row r="1685" spans="1:3" x14ac:dyDescent="0.2">
      <c r="A1685" s="1">
        <v>16</v>
      </c>
      <c r="B1685" s="1" t="str">
        <v>2020-06-19</v>
      </c>
      <c r="C1685" s="1">
        <v>1.3858999999999999</v>
      </c>
    </row>
    <row r="1686" spans="1:3" x14ac:dyDescent="0.2">
      <c r="A1686" s="1">
        <v>30350</v>
      </c>
      <c r="B1686" s="1" t="str">
        <v>2020-06-19</v>
      </c>
      <c r="C1686" s="1">
        <v>1.3452999999999999</v>
      </c>
    </row>
    <row r="1687" spans="1:3" x14ac:dyDescent="0.2">
      <c r="A1687" s="1">
        <v>187</v>
      </c>
      <c r="B1687" s="1" t="str">
        <v>2020-06-19</v>
      </c>
      <c r="C1687" s="1">
        <v>1.6592</v>
      </c>
    </row>
    <row r="1688" spans="1:3" x14ac:dyDescent="0.2">
      <c r="A1688" s="1">
        <v>81</v>
      </c>
      <c r="B1688" s="1" t="str">
        <v>2020-06-19</v>
      </c>
      <c r="C1688" s="1">
        <v>2.004</v>
      </c>
    </row>
    <row r="1689" spans="1:3" x14ac:dyDescent="0.2">
      <c r="A1689" s="1">
        <v>250</v>
      </c>
      <c r="B1689" s="1" t="str">
        <v>2020-06-19</v>
      </c>
      <c r="C1689" s="1">
        <v>1.5875999999999999</v>
      </c>
    </row>
    <row r="1690" spans="1:3" x14ac:dyDescent="0.2">
      <c r="A1690" s="1">
        <v>8</v>
      </c>
      <c r="B1690" s="1" t="str">
        <v>2020-06-19</v>
      </c>
      <c r="C1690" s="1">
        <v>2.1674000000000002</v>
      </c>
    </row>
    <row r="1691" spans="1:3" x14ac:dyDescent="0.2">
      <c r="A1691" s="1">
        <v>139</v>
      </c>
      <c r="B1691" s="1" t="str">
        <v>2020-06-19</v>
      </c>
      <c r="C1691" s="1">
        <v>1.4972000000000001</v>
      </c>
    </row>
    <row r="1692" spans="1:3" x14ac:dyDescent="0.2">
      <c r="A1692" s="1">
        <v>32081</v>
      </c>
      <c r="B1692" s="1" t="str">
        <v>2020-06-19</v>
      </c>
      <c r="C1692" s="1">
        <v>0.82020000000000004</v>
      </c>
    </row>
    <row r="1693" spans="1:3" x14ac:dyDescent="0.2">
      <c r="A1693" s="1">
        <v>32724</v>
      </c>
      <c r="B1693" s="1" t="str">
        <v>2020-06-19</v>
      </c>
      <c r="C1693" s="1">
        <v>1.4870000000000001</v>
      </c>
    </row>
    <row r="1694" spans="1:3" x14ac:dyDescent="0.2">
      <c r="A1694" s="1">
        <v>32222</v>
      </c>
      <c r="B1694" s="1" t="str">
        <v>2020-06-19</v>
      </c>
      <c r="C1694" s="1">
        <v>1.6285000000000001</v>
      </c>
    </row>
    <row r="1695" spans="1:3" x14ac:dyDescent="0.2">
      <c r="A1695" s="1">
        <v>13250</v>
      </c>
      <c r="B1695" s="1" t="str">
        <v>2020-06-19</v>
      </c>
      <c r="C1695" s="1">
        <v>1.7298</v>
      </c>
    </row>
    <row r="1696" spans="1:3" x14ac:dyDescent="0.2">
      <c r="A1696" s="1">
        <v>101</v>
      </c>
      <c r="B1696" s="1" t="str">
        <v>2020-06-19</v>
      </c>
      <c r="C1696" s="1">
        <v>1.7402</v>
      </c>
    </row>
    <row r="1697" spans="1:3" x14ac:dyDescent="0.2">
      <c r="A1697" s="1">
        <v>32200</v>
      </c>
      <c r="B1697" s="1" t="str">
        <v>2020-06-19</v>
      </c>
      <c r="C1697" s="1">
        <v>1.3958999999999999</v>
      </c>
    </row>
    <row r="1698" spans="1:3" x14ac:dyDescent="0.2">
      <c r="A1698" s="1">
        <v>49</v>
      </c>
      <c r="B1698" s="1" t="str">
        <v>2020-06-19</v>
      </c>
      <c r="C1698" s="1">
        <v>1.002</v>
      </c>
    </row>
    <row r="1699" spans="1:3" x14ac:dyDescent="0.2">
      <c r="A1699" s="1">
        <v>53</v>
      </c>
      <c r="B1699" s="1" t="str">
        <v>2020-06-19</v>
      </c>
      <c r="C1699" s="1">
        <v>1.4769000000000001</v>
      </c>
    </row>
    <row r="1700" spans="1:3" x14ac:dyDescent="0.2">
      <c r="A1700" s="1">
        <v>33125</v>
      </c>
      <c r="B1700" s="1" t="str">
        <v>2020-06-18</v>
      </c>
      <c r="C1700" s="1">
        <v>2.0246</v>
      </c>
    </row>
    <row r="1701" spans="1:3" x14ac:dyDescent="0.2">
      <c r="A1701" s="1">
        <v>32</v>
      </c>
      <c r="B1701" s="1" t="str">
        <v>2020-06-18</v>
      </c>
      <c r="C1701" s="1">
        <v>1.7050000000000001</v>
      </c>
    </row>
    <row r="1702" spans="1:3" x14ac:dyDescent="0.2">
      <c r="A1702" s="1">
        <v>33103</v>
      </c>
      <c r="B1702" s="1" t="str">
        <v>2020-06-29</v>
      </c>
      <c r="C1702" s="1">
        <v>2.0956999999999999</v>
      </c>
    </row>
    <row r="1703" spans="1:3" x14ac:dyDescent="0.2">
      <c r="A1703" s="1">
        <v>67</v>
      </c>
      <c r="B1703" s="1" t="str">
        <v>2020-06-29</v>
      </c>
      <c r="C1703" s="1">
        <v>1.8927</v>
      </c>
    </row>
    <row r="1704" spans="1:3" x14ac:dyDescent="0.2">
      <c r="A1704" s="1">
        <v>32582</v>
      </c>
      <c r="B1704" s="1" t="str">
        <v>2020-06-29</v>
      </c>
      <c r="C1704" s="1">
        <v>1.5779000000000001</v>
      </c>
    </row>
    <row r="1705" spans="1:3" x14ac:dyDescent="0.2">
      <c r="A1705" s="1">
        <v>32421</v>
      </c>
      <c r="B1705" s="1" t="str">
        <v>2020-06-29</v>
      </c>
      <c r="C1705" s="1">
        <v>1.7803</v>
      </c>
    </row>
    <row r="1706" spans="1:3" x14ac:dyDescent="0.2">
      <c r="A1706" s="1">
        <v>32400</v>
      </c>
      <c r="B1706" s="1" t="str">
        <v>2020-06-29</v>
      </c>
      <c r="C1706" s="1">
        <v>1.79</v>
      </c>
    </row>
    <row r="1707" spans="1:3" x14ac:dyDescent="0.2">
      <c r="A1707" s="1">
        <v>32963</v>
      </c>
      <c r="B1707" s="1" t="str">
        <v>2020-06-29</v>
      </c>
      <c r="C1707" s="1">
        <v>1.5071000000000001</v>
      </c>
    </row>
    <row r="1708" spans="1:3" x14ac:dyDescent="0.2">
      <c r="A1708" s="1">
        <v>178</v>
      </c>
      <c r="B1708" s="1" t="str">
        <v>2020-06-29</v>
      </c>
      <c r="C1708" s="1">
        <v>1.9158999999999999</v>
      </c>
    </row>
    <row r="1709" spans="1:3" x14ac:dyDescent="0.2">
      <c r="A1709" s="1">
        <v>32260</v>
      </c>
      <c r="B1709" s="1" t="str">
        <v>2020-06-29</v>
      </c>
      <c r="C1709" s="1">
        <v>1.7909999999999999</v>
      </c>
    </row>
    <row r="1710" spans="1:3" x14ac:dyDescent="0.2">
      <c r="A1710" s="1">
        <v>187</v>
      </c>
      <c r="B1710" s="1" t="str">
        <v>2020-07-01</v>
      </c>
      <c r="C1710" s="1">
        <v>1.6289</v>
      </c>
    </row>
    <row r="1711" spans="1:3" x14ac:dyDescent="0.2">
      <c r="A1711" s="1">
        <v>115</v>
      </c>
      <c r="B1711" s="1" t="str">
        <v>2020-07-01</v>
      </c>
      <c r="C1711" s="1">
        <v>1.8115000000000001</v>
      </c>
    </row>
    <row r="1712" spans="1:3" x14ac:dyDescent="0.2">
      <c r="A1712" s="1">
        <v>94</v>
      </c>
      <c r="B1712" s="1" t="str">
        <v>2020-07-01</v>
      </c>
      <c r="C1712" s="1">
        <v>1.4512</v>
      </c>
    </row>
    <row r="1713" spans="1:3" x14ac:dyDescent="0.2">
      <c r="A1713" s="1">
        <v>32200</v>
      </c>
      <c r="B1713" s="1" t="str">
        <v>2020-07-01</v>
      </c>
      <c r="C1713" s="1">
        <v>1.4258999999999999</v>
      </c>
    </row>
    <row r="1714" spans="1:3" x14ac:dyDescent="0.2">
      <c r="A1714" s="1">
        <v>33183</v>
      </c>
      <c r="B1714" s="1" t="str">
        <v>2020-07-01</v>
      </c>
      <c r="C1714" s="1">
        <v>1.4818</v>
      </c>
    </row>
    <row r="1715" spans="1:3" x14ac:dyDescent="0.2">
      <c r="A1715" s="1">
        <v>32480</v>
      </c>
      <c r="B1715" s="1" t="str">
        <v>2020-07-01</v>
      </c>
      <c r="C1715" s="1">
        <v>1.5885</v>
      </c>
    </row>
    <row r="1716" spans="1:3" x14ac:dyDescent="0.2">
      <c r="A1716" s="1">
        <v>77</v>
      </c>
      <c r="B1716" s="1" t="str">
        <v>2020-07-01</v>
      </c>
      <c r="C1716" s="1">
        <v>1.6287</v>
      </c>
    </row>
    <row r="1717" spans="1:3" x14ac:dyDescent="0.2">
      <c r="A1717" s="1">
        <v>33130</v>
      </c>
      <c r="B1717" s="1" t="str">
        <v>2020-07-01</v>
      </c>
      <c r="C1717" s="1">
        <v>1.6487000000000001</v>
      </c>
    </row>
    <row r="1718" spans="1:3" x14ac:dyDescent="0.2">
      <c r="A1718" s="1">
        <v>139</v>
      </c>
      <c r="B1718" s="1" t="str">
        <v>2020-06-30</v>
      </c>
      <c r="C1718" s="1">
        <v>1.6084000000000001</v>
      </c>
    </row>
    <row r="1719" spans="1:3" x14ac:dyDescent="0.2">
      <c r="A1719" s="1">
        <v>34</v>
      </c>
      <c r="B1719" s="1" t="str">
        <v>2020-06-30</v>
      </c>
      <c r="C1719" s="1">
        <v>2.2793000000000001</v>
      </c>
    </row>
    <row r="1720" spans="1:3" x14ac:dyDescent="0.2">
      <c r="A1720" s="1">
        <v>83</v>
      </c>
      <c r="B1720" s="1" t="str">
        <v>2020-06-30</v>
      </c>
      <c r="C1720" s="1">
        <v>1.7199</v>
      </c>
    </row>
    <row r="1721" spans="1:3" x14ac:dyDescent="0.2">
      <c r="A1721" s="1">
        <v>32440</v>
      </c>
      <c r="B1721" s="1" t="str">
        <v>2020-06-30</v>
      </c>
      <c r="C1721" s="1">
        <v>2.0247999999999999</v>
      </c>
    </row>
    <row r="1722" spans="1:3" x14ac:dyDescent="0.2">
      <c r="A1722" s="1">
        <v>139</v>
      </c>
      <c r="B1722" s="1" t="str">
        <v>2020-07-02</v>
      </c>
      <c r="C1722" s="1">
        <v>1.6084000000000001</v>
      </c>
    </row>
    <row r="1723" spans="1:3" x14ac:dyDescent="0.2">
      <c r="A1723" s="1">
        <v>32401</v>
      </c>
      <c r="B1723" s="1" t="str">
        <v>2020-07-02</v>
      </c>
      <c r="C1723" s="1">
        <v>1.6186</v>
      </c>
    </row>
    <row r="1724" spans="1:3" x14ac:dyDescent="0.2">
      <c r="A1724" s="1">
        <v>32560</v>
      </c>
      <c r="B1724" s="1" t="str">
        <v>2020-07-02</v>
      </c>
      <c r="C1724" s="1">
        <v>1.5983000000000001</v>
      </c>
    </row>
    <row r="1725" spans="1:3" x14ac:dyDescent="0.2">
      <c r="A1725" s="1">
        <v>32923</v>
      </c>
      <c r="B1725" s="1" t="str">
        <v>2020-07-02</v>
      </c>
      <c r="C1725" s="1">
        <v>1.964</v>
      </c>
    </row>
    <row r="1726" spans="1:3" x14ac:dyDescent="0.2">
      <c r="A1726" s="1">
        <v>32280</v>
      </c>
      <c r="B1726" s="1" t="str">
        <v>2020-07-02</v>
      </c>
      <c r="C1726" s="1">
        <v>1.8521000000000001</v>
      </c>
    </row>
    <row r="1727" spans="1:3" x14ac:dyDescent="0.2">
      <c r="A1727" s="1">
        <v>33203</v>
      </c>
      <c r="B1727" s="1" t="str">
        <v>2020-07-03</v>
      </c>
      <c r="C1727" s="1">
        <v>1.335</v>
      </c>
    </row>
    <row r="1728" spans="1:3" x14ac:dyDescent="0.2">
      <c r="A1728" s="1">
        <v>16</v>
      </c>
      <c r="B1728" s="1" t="str">
        <v>2020-07-03</v>
      </c>
      <c r="C1728" s="1">
        <v>1.3858999999999999</v>
      </c>
    </row>
    <row r="1729" spans="1:3" x14ac:dyDescent="0.2">
      <c r="A1729" s="1">
        <v>67</v>
      </c>
      <c r="B1729" s="1" t="str">
        <v>2020-07-03</v>
      </c>
      <c r="C1729" s="1">
        <v>1.7604</v>
      </c>
    </row>
    <row r="1730" spans="1:3" x14ac:dyDescent="0.2">
      <c r="A1730" s="1">
        <v>32180</v>
      </c>
      <c r="B1730" s="1" t="str">
        <v>2020-07-03</v>
      </c>
      <c r="C1730" s="1">
        <v>1.6037999999999999</v>
      </c>
    </row>
    <row r="1731" spans="1:3" x14ac:dyDescent="0.2">
      <c r="A1731" s="1">
        <v>32420</v>
      </c>
      <c r="B1731" s="1" t="str">
        <v>2020-07-03</v>
      </c>
      <c r="C1731" s="1">
        <v>1.8980999999999999</v>
      </c>
    </row>
    <row r="1732" spans="1:3" x14ac:dyDescent="0.2">
      <c r="A1732" s="1">
        <v>24</v>
      </c>
      <c r="B1732" s="1" t="str">
        <v>2020-07-03</v>
      </c>
      <c r="C1732" s="1">
        <v>1.9029</v>
      </c>
    </row>
    <row r="1733" spans="1:3" x14ac:dyDescent="0.2">
      <c r="A1733" s="1">
        <v>81</v>
      </c>
      <c r="B1733" s="1" t="str">
        <v>2020-07-03</v>
      </c>
      <c r="C1733" s="1">
        <v>2.0449999999999999</v>
      </c>
    </row>
    <row r="1734" spans="1:3" x14ac:dyDescent="0.2">
      <c r="A1734" s="1">
        <v>32340</v>
      </c>
      <c r="B1734" s="1" t="str">
        <v>2020-07-03</v>
      </c>
      <c r="C1734" s="1">
        <v>1.6689000000000001</v>
      </c>
    </row>
    <row r="1735" spans="1:3" x14ac:dyDescent="0.2">
      <c r="A1735" s="1">
        <v>32</v>
      </c>
      <c r="B1735" s="1" t="str">
        <v>2020-07-03</v>
      </c>
      <c r="C1735" s="1">
        <v>1.7806999999999999</v>
      </c>
    </row>
    <row r="1736" spans="1:3" x14ac:dyDescent="0.2">
      <c r="A1736" s="1">
        <v>32260</v>
      </c>
      <c r="B1736" s="1" t="str">
        <v>2020-07-03</v>
      </c>
      <c r="C1736" s="1">
        <v>1.7909999999999999</v>
      </c>
    </row>
    <row r="1737" spans="1:3" x14ac:dyDescent="0.2">
      <c r="A1737" s="1">
        <v>32521</v>
      </c>
      <c r="B1737" s="1" t="str">
        <v>2020-07-03</v>
      </c>
      <c r="C1737" s="1">
        <v>1.9639</v>
      </c>
    </row>
    <row r="1738" spans="1:3" x14ac:dyDescent="0.2">
      <c r="A1738" s="1">
        <v>150</v>
      </c>
      <c r="B1738" s="1" t="str">
        <v>2020-07-03</v>
      </c>
      <c r="C1738" s="1">
        <v>1.4066000000000001</v>
      </c>
    </row>
    <row r="1739" spans="1:3" x14ac:dyDescent="0.2">
      <c r="A1739" s="1">
        <v>13250</v>
      </c>
      <c r="B1739" s="1" t="str">
        <v>2020-07-03</v>
      </c>
      <c r="C1739" s="1">
        <v>1.5883</v>
      </c>
    </row>
    <row r="1740" spans="1:3" x14ac:dyDescent="0.2">
      <c r="A1740" s="1">
        <v>187</v>
      </c>
      <c r="B1740" s="1" t="str">
        <v>2020-07-03</v>
      </c>
      <c r="C1740" s="1">
        <v>1.6289</v>
      </c>
    </row>
    <row r="1741" spans="1:3" x14ac:dyDescent="0.2">
      <c r="A1741" s="1">
        <v>10</v>
      </c>
      <c r="B1741" s="1" t="str">
        <v>2020-07-03</v>
      </c>
      <c r="C1741" s="1">
        <v>1.7201</v>
      </c>
    </row>
    <row r="1742" spans="1:3" x14ac:dyDescent="0.2">
      <c r="A1742" s="1">
        <v>101</v>
      </c>
      <c r="B1742" s="1" t="str">
        <v>2020-07-06</v>
      </c>
      <c r="C1742" s="1">
        <v>1.7097</v>
      </c>
    </row>
    <row r="1743" spans="1:3" x14ac:dyDescent="0.2">
      <c r="A1743" s="1">
        <v>33063</v>
      </c>
      <c r="B1743" s="1" t="str">
        <v>2020-07-06</v>
      </c>
      <c r="C1743" s="1">
        <v>2.073</v>
      </c>
    </row>
    <row r="1744" spans="1:3" x14ac:dyDescent="0.2">
      <c r="A1744" s="1">
        <v>33164</v>
      </c>
      <c r="B1744" s="1" t="str">
        <v>2020-07-06</v>
      </c>
      <c r="C1744" s="1">
        <v>1.7201</v>
      </c>
    </row>
    <row r="1745" spans="1:3" x14ac:dyDescent="0.2">
      <c r="A1745" s="1">
        <v>34</v>
      </c>
      <c r="B1745" s="1" t="str">
        <v>2020-07-06</v>
      </c>
      <c r="C1745" s="1">
        <v>2.3302999999999998</v>
      </c>
    </row>
    <row r="1746" spans="1:3" x14ac:dyDescent="0.2">
      <c r="A1746" s="1">
        <v>137</v>
      </c>
      <c r="B1746" s="1" t="str">
        <v>2020-07-06</v>
      </c>
      <c r="C1746" s="1">
        <v>2.1877</v>
      </c>
    </row>
    <row r="1747" spans="1:3" x14ac:dyDescent="0.2">
      <c r="A1747" s="1">
        <v>157</v>
      </c>
      <c r="B1747" s="1" t="str">
        <v>2020-07-06</v>
      </c>
      <c r="C1747" s="1">
        <v>1.6</v>
      </c>
    </row>
    <row r="1748" spans="1:3" x14ac:dyDescent="0.2">
      <c r="A1748" s="1">
        <v>28</v>
      </c>
      <c r="B1748" s="1" t="str">
        <v>2020-07-06</v>
      </c>
      <c r="C1748" s="1">
        <v>1.5165999999999999</v>
      </c>
    </row>
    <row r="1749" spans="1:3" x14ac:dyDescent="0.2">
      <c r="A1749" s="1">
        <v>32963</v>
      </c>
      <c r="B1749" s="1" t="str">
        <v>2020-07-06</v>
      </c>
      <c r="C1749" s="1">
        <v>1.5476000000000001</v>
      </c>
    </row>
    <row r="1750" spans="1:3" x14ac:dyDescent="0.2">
      <c r="A1750" s="1">
        <v>32421</v>
      </c>
      <c r="B1750" s="1" t="str">
        <v>2020-07-06</v>
      </c>
      <c r="C1750" s="1">
        <v>1.6991000000000001</v>
      </c>
    </row>
    <row r="1751" spans="1:3" x14ac:dyDescent="0.2">
      <c r="A1751" s="1">
        <v>32803</v>
      </c>
      <c r="B1751" s="1" t="str">
        <v>2020-07-06</v>
      </c>
      <c r="C1751" s="1">
        <v>1.3551</v>
      </c>
    </row>
    <row r="1752" spans="1:3" x14ac:dyDescent="0.2">
      <c r="A1752" s="1">
        <v>182</v>
      </c>
      <c r="B1752" s="1" t="str">
        <v>2020-07-06</v>
      </c>
      <c r="C1752" s="1">
        <v>2.0453000000000001</v>
      </c>
    </row>
    <row r="1753" spans="1:3" x14ac:dyDescent="0.2">
      <c r="A1753" s="1">
        <v>32</v>
      </c>
      <c r="B1753" s="1" t="str">
        <v>2020-07-06</v>
      </c>
      <c r="C1753" s="1">
        <v>1.7806999999999999</v>
      </c>
    </row>
    <row r="1754" spans="1:3" x14ac:dyDescent="0.2">
      <c r="A1754" s="1">
        <v>32724</v>
      </c>
      <c r="B1754" s="1" t="str">
        <v>2020-07-06</v>
      </c>
      <c r="C1754" s="1">
        <v>1.6897</v>
      </c>
    </row>
    <row r="1755" spans="1:3" x14ac:dyDescent="0.2">
      <c r="A1755" s="1">
        <v>32200</v>
      </c>
      <c r="B1755" s="1" t="str">
        <v>2020-07-06</v>
      </c>
      <c r="C1755" s="1">
        <v>1.5469999999999999</v>
      </c>
    </row>
    <row r="1756" spans="1:3" x14ac:dyDescent="0.2">
      <c r="A1756" s="1">
        <v>178</v>
      </c>
      <c r="B1756" s="1" t="str">
        <v>2020-07-06</v>
      </c>
      <c r="C1756" s="1">
        <v>1.9883999999999999</v>
      </c>
    </row>
    <row r="1757" spans="1:3" x14ac:dyDescent="0.2">
      <c r="A1757" s="1">
        <v>181</v>
      </c>
      <c r="B1757" s="1" t="str">
        <v>2020-07-06</v>
      </c>
      <c r="C1757" s="1">
        <v>1.9431</v>
      </c>
    </row>
    <row r="1758" spans="1:3" x14ac:dyDescent="0.2">
      <c r="A1758" s="1">
        <v>1</v>
      </c>
      <c r="B1758" s="1" t="str">
        <v>2020-07-06</v>
      </c>
      <c r="C1758" s="1">
        <v>1.6085</v>
      </c>
    </row>
    <row r="1759" spans="1:3" x14ac:dyDescent="0.2">
      <c r="A1759" s="1">
        <v>99</v>
      </c>
      <c r="B1759" s="1" t="str">
        <v>2020-07-07</v>
      </c>
      <c r="C1759" s="1">
        <v>2.6671</v>
      </c>
    </row>
    <row r="1760" spans="1:3" x14ac:dyDescent="0.2">
      <c r="A1760" s="1">
        <v>30350</v>
      </c>
      <c r="B1760" s="1" t="str">
        <v>2020-07-07</v>
      </c>
      <c r="C1760" s="1">
        <v>1.6087</v>
      </c>
    </row>
    <row r="1761" spans="1:3" x14ac:dyDescent="0.2">
      <c r="A1761" s="1">
        <v>2250</v>
      </c>
      <c r="B1761" s="1" t="str">
        <v>2020-07-07</v>
      </c>
      <c r="C1761" s="1">
        <v>1.4562999999999999</v>
      </c>
    </row>
    <row r="1762" spans="1:3" x14ac:dyDescent="0.2">
      <c r="A1762" s="1">
        <v>32560</v>
      </c>
      <c r="B1762" s="1" t="str">
        <v>2020-07-07</v>
      </c>
      <c r="C1762" s="1">
        <v>1.7099</v>
      </c>
    </row>
    <row r="1763" spans="1:3" x14ac:dyDescent="0.2">
      <c r="A1763" s="1">
        <v>32964</v>
      </c>
      <c r="B1763" s="1" t="str">
        <v>2020-07-07</v>
      </c>
      <c r="C1763" s="1">
        <v>1.4423999999999999</v>
      </c>
    </row>
    <row r="1764" spans="1:3" x14ac:dyDescent="0.2">
      <c r="A1764" s="1">
        <v>176</v>
      </c>
      <c r="B1764" s="1" t="str">
        <v>2020-07-07</v>
      </c>
      <c r="C1764" s="1">
        <v>1.6996</v>
      </c>
    </row>
    <row r="1765" spans="1:3" x14ac:dyDescent="0.2">
      <c r="A1765" s="1">
        <v>32663</v>
      </c>
      <c r="B1765" s="1" t="str">
        <v>2020-07-08</v>
      </c>
      <c r="C1765" s="1">
        <v>1.6183000000000001</v>
      </c>
    </row>
    <row r="1766" spans="1:3" x14ac:dyDescent="0.2">
      <c r="A1766" s="1">
        <v>32400</v>
      </c>
      <c r="B1766" s="1" t="str">
        <v>2020-07-08</v>
      </c>
      <c r="C1766" s="1">
        <v>1.79</v>
      </c>
    </row>
    <row r="1767" spans="1:3" x14ac:dyDescent="0.2">
      <c r="A1767" s="1">
        <v>32783</v>
      </c>
      <c r="B1767" s="1" t="str">
        <v>2020-07-08</v>
      </c>
      <c r="C1767" s="1">
        <v>2.0047000000000001</v>
      </c>
    </row>
    <row r="1768" spans="1:3" x14ac:dyDescent="0.2">
      <c r="A1768" s="1">
        <v>32724</v>
      </c>
      <c r="B1768" s="1" t="str">
        <v>2020-07-08</v>
      </c>
      <c r="C1768" s="1">
        <v>1.8722000000000001</v>
      </c>
    </row>
    <row r="1769" spans="1:3" x14ac:dyDescent="0.2">
      <c r="A1769" s="1">
        <v>143</v>
      </c>
      <c r="B1769" s="1" t="str">
        <v>2020-07-08</v>
      </c>
      <c r="C1769" s="1">
        <v>1.5876999999999999</v>
      </c>
    </row>
    <row r="1770" spans="1:3" x14ac:dyDescent="0.2">
      <c r="A1770" s="1">
        <v>33103</v>
      </c>
      <c r="B1770" s="1" t="str">
        <v>2020-07-09</v>
      </c>
      <c r="C1770" s="1">
        <v>2.2707000000000002</v>
      </c>
    </row>
    <row r="1771" spans="1:3" x14ac:dyDescent="0.2">
      <c r="A1771" s="1">
        <v>49</v>
      </c>
      <c r="B1771" s="1" t="str">
        <v>2020-07-10</v>
      </c>
      <c r="C1771" s="1">
        <v>1.1027</v>
      </c>
    </row>
    <row r="1772" spans="1:3" x14ac:dyDescent="0.2">
      <c r="A1772" s="1">
        <v>139</v>
      </c>
      <c r="B1772" s="1" t="str">
        <v>2020-07-10</v>
      </c>
      <c r="C1772" s="1">
        <v>1.6084000000000001</v>
      </c>
    </row>
    <row r="1773" spans="1:3" x14ac:dyDescent="0.2">
      <c r="A1773" s="1">
        <v>171</v>
      </c>
      <c r="B1773" s="1" t="str">
        <v>2020-07-10</v>
      </c>
      <c r="C1773" s="1">
        <v>1.5673999999999999</v>
      </c>
    </row>
    <row r="1774" spans="1:3" x14ac:dyDescent="0.2">
      <c r="A1774" s="1">
        <v>33103</v>
      </c>
      <c r="B1774" s="1" t="str">
        <v>2020-07-10</v>
      </c>
      <c r="C1774" s="1">
        <v>2.3445999999999998</v>
      </c>
    </row>
    <row r="1775" spans="1:3" x14ac:dyDescent="0.2">
      <c r="A1775" s="1">
        <v>32420</v>
      </c>
      <c r="B1775" s="1" t="str">
        <v>2020-07-10</v>
      </c>
      <c r="C1775" s="1">
        <v>1.8689</v>
      </c>
    </row>
    <row r="1776" spans="1:3" x14ac:dyDescent="0.2">
      <c r="A1776" s="1">
        <v>33125</v>
      </c>
      <c r="B1776" s="1" t="str">
        <v>2020-07-10</v>
      </c>
      <c r="C1776" s="1">
        <v>1.7196</v>
      </c>
    </row>
    <row r="1777" spans="1:3" x14ac:dyDescent="0.2">
      <c r="A1777" s="1">
        <v>143</v>
      </c>
      <c r="B1777" s="1" t="str">
        <v>2020-07-10</v>
      </c>
      <c r="C1777" s="1">
        <v>1.6180000000000001</v>
      </c>
    </row>
    <row r="1778" spans="1:3" x14ac:dyDescent="0.2">
      <c r="A1778" s="1">
        <v>33203</v>
      </c>
      <c r="B1778" s="1" t="str">
        <v>2020-07-10</v>
      </c>
      <c r="C1778" s="1">
        <v>1.6692</v>
      </c>
    </row>
    <row r="1779" spans="1:3" x14ac:dyDescent="0.2">
      <c r="A1779" s="1">
        <v>32081</v>
      </c>
      <c r="B1779" s="1" t="str">
        <v>2020-07-10</v>
      </c>
      <c r="C1779" s="1">
        <v>0.9002</v>
      </c>
    </row>
    <row r="1780" spans="1:3" x14ac:dyDescent="0.2">
      <c r="A1780" s="1">
        <v>81</v>
      </c>
      <c r="B1780" s="1" t="str">
        <v>2020-07-10</v>
      </c>
      <c r="C1780" s="1">
        <v>2.0041000000000002</v>
      </c>
    </row>
    <row r="1781" spans="1:3" x14ac:dyDescent="0.2">
      <c r="A1781" s="1">
        <v>55</v>
      </c>
      <c r="B1781" s="1" t="str">
        <v>2020-07-10</v>
      </c>
      <c r="C1781" s="1">
        <v>1.355</v>
      </c>
    </row>
    <row r="1782" spans="1:3" x14ac:dyDescent="0.2">
      <c r="A1782" s="1">
        <v>32121</v>
      </c>
      <c r="B1782" s="1" t="str">
        <v>2020-07-10</v>
      </c>
      <c r="C1782" s="1">
        <v>2.0449999999999999</v>
      </c>
    </row>
    <row r="1783" spans="1:3" x14ac:dyDescent="0.2">
      <c r="A1783" s="1">
        <v>1</v>
      </c>
      <c r="B1783" s="1" t="str">
        <v>2020-07-10</v>
      </c>
      <c r="C1783" s="1">
        <v>1.5469999999999999</v>
      </c>
    </row>
    <row r="1784" spans="1:3" x14ac:dyDescent="0.2">
      <c r="A1784" s="1">
        <v>133</v>
      </c>
      <c r="B1784" s="1" t="str">
        <v>2020-07-10</v>
      </c>
      <c r="C1784" s="1">
        <v>1.74</v>
      </c>
    </row>
    <row r="1785" spans="1:3" x14ac:dyDescent="0.2">
      <c r="A1785" s="1">
        <v>8</v>
      </c>
      <c r="B1785" s="1" t="str">
        <v>2020-07-10</v>
      </c>
      <c r="C1785" s="1">
        <v>2.4119000000000002</v>
      </c>
    </row>
    <row r="1786" spans="1:3" x14ac:dyDescent="0.2">
      <c r="A1786" s="1">
        <v>90</v>
      </c>
      <c r="B1786" s="1" t="str">
        <v>2020-07-10</v>
      </c>
      <c r="C1786" s="1">
        <v>1.8620000000000001</v>
      </c>
    </row>
    <row r="1787" spans="1:3" x14ac:dyDescent="0.2">
      <c r="A1787" s="1">
        <v>150</v>
      </c>
      <c r="B1787" s="1" t="str">
        <v>2020-07-10</v>
      </c>
      <c r="C1787" s="1">
        <v>1.899</v>
      </c>
    </row>
    <row r="1788" spans="1:3" x14ac:dyDescent="0.2">
      <c r="A1788" s="1">
        <v>156</v>
      </c>
      <c r="B1788" s="1" t="str">
        <v>2020-07-10</v>
      </c>
      <c r="C1788" s="1">
        <v>2.1164999999999998</v>
      </c>
    </row>
    <row r="1789" spans="1:3" x14ac:dyDescent="0.2">
      <c r="A1789" s="1">
        <v>101</v>
      </c>
      <c r="B1789" s="1" t="str">
        <v>2020-07-10</v>
      </c>
      <c r="C1789" s="1">
        <v>1.7198</v>
      </c>
    </row>
    <row r="1790" spans="1:3" x14ac:dyDescent="0.2">
      <c r="A1790" s="1">
        <v>115</v>
      </c>
      <c r="B1790" s="1" t="str">
        <v>2020-07-10</v>
      </c>
      <c r="C1790" s="1">
        <v>2.0449000000000002</v>
      </c>
    </row>
    <row r="1791" spans="1:3" x14ac:dyDescent="0.2">
      <c r="A1791" s="1">
        <v>33130</v>
      </c>
      <c r="B1791" s="1" t="str">
        <v>2020-07-10</v>
      </c>
      <c r="C1791" s="1">
        <v>1.7602</v>
      </c>
    </row>
    <row r="1792" spans="1:3" x14ac:dyDescent="0.2">
      <c r="A1792" s="1">
        <v>102</v>
      </c>
      <c r="B1792" s="1" t="str">
        <v>2020-07-10</v>
      </c>
      <c r="C1792" s="1">
        <v>1.5982000000000001</v>
      </c>
    </row>
    <row r="1793" spans="1:3" x14ac:dyDescent="0.2">
      <c r="A1793" s="1">
        <v>33083</v>
      </c>
      <c r="B1793" s="1" t="str">
        <v>2020-07-10</v>
      </c>
      <c r="C1793" s="1">
        <v>1.6942999999999999</v>
      </c>
    </row>
    <row r="1794" spans="1:3" x14ac:dyDescent="0.2">
      <c r="A1794" s="1">
        <v>187</v>
      </c>
      <c r="B1794" s="1" t="str">
        <v>2020-07-10</v>
      </c>
      <c r="C1794" s="1">
        <v>1.8112999999999999</v>
      </c>
    </row>
    <row r="1795" spans="1:3" x14ac:dyDescent="0.2">
      <c r="A1795" s="1">
        <v>23250</v>
      </c>
      <c r="B1795" s="1" t="str">
        <v>2020-07-10</v>
      </c>
      <c r="C1795" s="1">
        <v>1.7398</v>
      </c>
    </row>
    <row r="1796" spans="1:3" x14ac:dyDescent="0.2">
      <c r="A1796" s="1">
        <v>94</v>
      </c>
      <c r="B1796" s="1" t="str">
        <v>2020-07-10</v>
      </c>
      <c r="C1796" s="1">
        <v>1.7458</v>
      </c>
    </row>
    <row r="1797" spans="1:3" x14ac:dyDescent="0.2">
      <c r="A1797" s="1">
        <v>33023</v>
      </c>
      <c r="B1797" s="1" t="str">
        <v>2020-07-10</v>
      </c>
      <c r="C1797" s="1">
        <v>1.5074000000000001</v>
      </c>
    </row>
    <row r="1798" spans="1:3" x14ac:dyDescent="0.2">
      <c r="A1798" s="1">
        <v>32583</v>
      </c>
      <c r="B1798" s="1" t="str">
        <v>2020-07-10</v>
      </c>
      <c r="C1798" s="1">
        <v>1.6</v>
      </c>
    </row>
    <row r="1799" spans="1:3" x14ac:dyDescent="0.2">
      <c r="A1799" s="1">
        <v>13250</v>
      </c>
      <c r="B1799" s="1" t="str">
        <v>2020-07-10</v>
      </c>
      <c r="C1799" s="1">
        <v>1.5375000000000001</v>
      </c>
    </row>
    <row r="1800" spans="1:3" x14ac:dyDescent="0.2">
      <c r="A1800" s="1">
        <v>32260</v>
      </c>
      <c r="B1800" s="1" t="str">
        <v>2020-07-10</v>
      </c>
      <c r="C1800" s="1">
        <v>1.8515999999999999</v>
      </c>
    </row>
    <row r="1801" spans="1:3" x14ac:dyDescent="0.2">
      <c r="A1801" s="1">
        <v>10</v>
      </c>
      <c r="B1801" s="1" t="str">
        <v>2020-07-13</v>
      </c>
      <c r="C1801" s="1">
        <v>1.7501</v>
      </c>
    </row>
    <row r="1802" spans="1:3" x14ac:dyDescent="0.2">
      <c r="A1802" s="1">
        <v>33130</v>
      </c>
      <c r="B1802" s="1" t="str">
        <v>2020-07-13</v>
      </c>
      <c r="C1802" s="1">
        <v>1.7907</v>
      </c>
    </row>
    <row r="1803" spans="1:3" x14ac:dyDescent="0.2">
      <c r="A1803" s="1">
        <v>33023</v>
      </c>
      <c r="B1803" s="1" t="str">
        <v>2020-07-13</v>
      </c>
      <c r="C1803" s="1">
        <v>1.6086</v>
      </c>
    </row>
    <row r="1804" spans="1:3" x14ac:dyDescent="0.2">
      <c r="A1804" s="1">
        <v>32983</v>
      </c>
      <c r="B1804" s="1" t="str">
        <v>2020-07-13</v>
      </c>
      <c r="C1804" s="1">
        <v>1.2746999999999999</v>
      </c>
    </row>
    <row r="1805" spans="1:3" x14ac:dyDescent="0.2">
      <c r="A1805" s="1">
        <v>32082</v>
      </c>
      <c r="B1805" s="1" t="str">
        <v>2020-07-13</v>
      </c>
      <c r="C1805" s="1">
        <v>1.5472999999999999</v>
      </c>
    </row>
    <row r="1806" spans="1:3" x14ac:dyDescent="0.2">
      <c r="A1806" s="1">
        <v>32222</v>
      </c>
      <c r="B1806" s="1" t="str">
        <v>2020-07-13</v>
      </c>
      <c r="C1806" s="1">
        <v>1.7093</v>
      </c>
    </row>
    <row r="1807" spans="1:3" x14ac:dyDescent="0.2">
      <c r="A1807" s="1">
        <v>32863</v>
      </c>
      <c r="B1807" s="1" t="str">
        <v>2020-07-13</v>
      </c>
      <c r="C1807" s="1">
        <v>1.4565999999999999</v>
      </c>
    </row>
    <row r="1808" spans="1:3" x14ac:dyDescent="0.2">
      <c r="A1808" s="1">
        <v>31</v>
      </c>
      <c r="B1808" s="1" t="str">
        <v>2020-07-13</v>
      </c>
      <c r="C1808" s="1">
        <v>1.7</v>
      </c>
    </row>
    <row r="1809" spans="1:3" x14ac:dyDescent="0.2">
      <c r="A1809" s="1">
        <v>33203</v>
      </c>
      <c r="B1809" s="1" t="str">
        <v>2020-07-13</v>
      </c>
      <c r="C1809" s="1">
        <v>1.6681999999999999</v>
      </c>
    </row>
    <row r="1810" spans="1:3" x14ac:dyDescent="0.2">
      <c r="A1810" s="1">
        <v>34</v>
      </c>
      <c r="B1810" s="1" t="str">
        <v>2020-07-13</v>
      </c>
      <c r="C1810" s="1">
        <v>2.1362000000000001</v>
      </c>
    </row>
    <row r="1811" spans="1:3" x14ac:dyDescent="0.2">
      <c r="A1811" s="1">
        <v>59</v>
      </c>
      <c r="B1811" s="1" t="str">
        <v>2020-07-13</v>
      </c>
      <c r="C1811" s="1">
        <v>1.7910999999999999</v>
      </c>
    </row>
    <row r="1812" spans="1:3" x14ac:dyDescent="0.2">
      <c r="A1812" s="1">
        <v>32400</v>
      </c>
      <c r="B1812" s="1" t="str">
        <v>2020-07-13</v>
      </c>
      <c r="C1812" s="1">
        <v>1.79</v>
      </c>
    </row>
    <row r="1813" spans="1:3" x14ac:dyDescent="0.2">
      <c r="A1813" s="1">
        <v>37</v>
      </c>
      <c r="B1813" s="1" t="str">
        <v>2020-07-13</v>
      </c>
      <c r="C1813" s="1">
        <v>2.0851999999999999</v>
      </c>
    </row>
    <row r="1814" spans="1:3" x14ac:dyDescent="0.2">
      <c r="A1814" s="1">
        <v>32360</v>
      </c>
      <c r="B1814" s="1" t="str">
        <v>2020-07-13</v>
      </c>
      <c r="C1814" s="1">
        <v>1.7198</v>
      </c>
    </row>
    <row r="1815" spans="1:3" x14ac:dyDescent="0.2">
      <c r="A1815" s="1">
        <v>32421</v>
      </c>
      <c r="B1815" s="1" t="str">
        <v>2020-07-13</v>
      </c>
      <c r="C1815" s="1">
        <v>1.778</v>
      </c>
    </row>
    <row r="1816" spans="1:3" x14ac:dyDescent="0.2">
      <c r="A1816" s="1">
        <v>178</v>
      </c>
      <c r="B1816" s="1" t="str">
        <v>2020-07-13</v>
      </c>
      <c r="C1816" s="1">
        <v>2.0013000000000001</v>
      </c>
    </row>
    <row r="1817" spans="1:3" x14ac:dyDescent="0.2">
      <c r="A1817" s="1">
        <v>32963</v>
      </c>
      <c r="B1817" s="1" t="str">
        <v>2020-07-13</v>
      </c>
      <c r="C1817" s="1">
        <v>1.4964</v>
      </c>
    </row>
    <row r="1818" spans="1:3" x14ac:dyDescent="0.2">
      <c r="A1818" s="1">
        <v>32783</v>
      </c>
      <c r="B1818" s="1" t="str">
        <v>2020-07-14</v>
      </c>
      <c r="C1818" s="1">
        <v>1.9433</v>
      </c>
    </row>
    <row r="1819" spans="1:3" x14ac:dyDescent="0.2">
      <c r="A1819" s="1">
        <v>67</v>
      </c>
      <c r="B1819" s="1" t="str">
        <v>2020-07-14</v>
      </c>
      <c r="C1819" s="1">
        <v>1.8109999999999999</v>
      </c>
    </row>
    <row r="1820" spans="1:3" x14ac:dyDescent="0.2">
      <c r="A1820" s="1">
        <v>32400</v>
      </c>
      <c r="B1820" s="1" t="str">
        <v>2020-07-14</v>
      </c>
      <c r="C1820" s="1">
        <v>1.8</v>
      </c>
    </row>
    <row r="1821" spans="1:3" x14ac:dyDescent="0.2">
      <c r="A1821" s="1">
        <v>30350</v>
      </c>
      <c r="B1821" s="1" t="str">
        <v>2020-07-16</v>
      </c>
      <c r="C1821" s="1">
        <v>1.5375000000000001</v>
      </c>
    </row>
    <row r="1822" spans="1:3" x14ac:dyDescent="0.2">
      <c r="A1822" s="1">
        <v>157</v>
      </c>
      <c r="B1822" s="1" t="str">
        <v>2020-07-16</v>
      </c>
      <c r="C1822" s="1">
        <v>1.7</v>
      </c>
    </row>
    <row r="1823" spans="1:3" x14ac:dyDescent="0.2">
      <c r="A1823" s="1">
        <v>32724</v>
      </c>
      <c r="B1823" s="1" t="str">
        <v>2020-07-16</v>
      </c>
      <c r="C1823" s="1">
        <v>1.8721000000000001</v>
      </c>
    </row>
    <row r="1824" spans="1:3" x14ac:dyDescent="0.2">
      <c r="A1824" s="1">
        <v>99</v>
      </c>
      <c r="B1824" s="1" t="str">
        <v>2020-07-16</v>
      </c>
      <c r="C1824" s="1">
        <v>2.9020000000000001</v>
      </c>
    </row>
    <row r="1825" spans="1:3" x14ac:dyDescent="0.2">
      <c r="A1825" s="1">
        <v>32040</v>
      </c>
      <c r="B1825" s="1" t="str">
        <v>2020-07-15</v>
      </c>
      <c r="C1825" s="1">
        <v>1.7397</v>
      </c>
    </row>
    <row r="1826" spans="1:3" x14ac:dyDescent="0.2">
      <c r="A1826" s="1">
        <v>83</v>
      </c>
      <c r="B1826" s="1" t="str">
        <v>2020-07-15</v>
      </c>
      <c r="C1826" s="1">
        <v>1.8312999999999999</v>
      </c>
    </row>
    <row r="1827" spans="1:3" x14ac:dyDescent="0.2">
      <c r="A1827" s="1">
        <v>32803</v>
      </c>
      <c r="B1827" s="1" t="str">
        <v>2020-07-15</v>
      </c>
      <c r="C1827" s="1">
        <v>1.4864999999999999</v>
      </c>
    </row>
    <row r="1828" spans="1:3" x14ac:dyDescent="0.2">
      <c r="A1828" s="1">
        <v>137</v>
      </c>
      <c r="B1828" s="1" t="str">
        <v>2020-07-15</v>
      </c>
      <c r="C1828" s="1">
        <v>2.0653000000000001</v>
      </c>
    </row>
    <row r="1829" spans="1:3" x14ac:dyDescent="0.2">
      <c r="A1829" s="1">
        <v>32724</v>
      </c>
      <c r="B1829" s="1" t="str">
        <v>2020-07-15</v>
      </c>
      <c r="C1829" s="1">
        <v>1.8213999999999999</v>
      </c>
    </row>
    <row r="1830" spans="1:3" x14ac:dyDescent="0.2">
      <c r="A1830" s="1">
        <v>32843</v>
      </c>
      <c r="B1830" s="1" t="str">
        <v>2020-07-15</v>
      </c>
      <c r="C1830" s="1">
        <v>1.8714999999999999</v>
      </c>
    </row>
    <row r="1831" spans="1:3" x14ac:dyDescent="0.2">
      <c r="A1831" s="1">
        <v>30300</v>
      </c>
      <c r="B1831" s="1" t="str">
        <v>2020-07-15</v>
      </c>
      <c r="C1831" s="1">
        <v>1.5478000000000001</v>
      </c>
    </row>
    <row r="1832" spans="1:3" x14ac:dyDescent="0.2">
      <c r="A1832" s="1">
        <v>32420</v>
      </c>
      <c r="B1832" s="1" t="str">
        <v>2020-07-15</v>
      </c>
      <c r="C1832" s="1">
        <v>1.8689</v>
      </c>
    </row>
    <row r="1833" spans="1:3" x14ac:dyDescent="0.2">
      <c r="A1833" s="1">
        <v>72</v>
      </c>
      <c r="B1833" s="1" t="str">
        <v>2020-07-15</v>
      </c>
      <c r="C1833" s="1">
        <v>1.5777000000000001</v>
      </c>
    </row>
    <row r="1834" spans="1:3" x14ac:dyDescent="0.2">
      <c r="A1834" s="1">
        <v>20</v>
      </c>
      <c r="B1834" s="1" t="str">
        <v>2020-07-15</v>
      </c>
      <c r="C1834" s="1">
        <v>1.9739</v>
      </c>
    </row>
    <row r="1835" spans="1:3" x14ac:dyDescent="0.2">
      <c r="A1835" s="1">
        <v>191</v>
      </c>
      <c r="B1835" s="1" t="str">
        <v>2020-07-17</v>
      </c>
      <c r="C1835" s="1">
        <v>1.5373000000000001</v>
      </c>
    </row>
    <row r="1836" spans="1:3" x14ac:dyDescent="0.2">
      <c r="A1836" s="1">
        <v>32603</v>
      </c>
      <c r="B1836" s="1" t="str">
        <v>2020-07-17</v>
      </c>
      <c r="C1836" s="1">
        <v>1.4966999999999999</v>
      </c>
    </row>
    <row r="1837" spans="1:3" x14ac:dyDescent="0.2">
      <c r="A1837" s="1">
        <v>250</v>
      </c>
      <c r="B1837" s="1" t="str">
        <v>2020-07-17</v>
      </c>
      <c r="C1837" s="1">
        <v>1.9026000000000001</v>
      </c>
    </row>
    <row r="1838" spans="1:3" x14ac:dyDescent="0.2">
      <c r="A1838" s="1">
        <v>147</v>
      </c>
      <c r="B1838" s="1" t="str">
        <v>2020-07-17</v>
      </c>
      <c r="C1838" s="1">
        <v>1.1426000000000001</v>
      </c>
    </row>
    <row r="1839" spans="1:3" x14ac:dyDescent="0.2">
      <c r="A1839" s="1">
        <v>1</v>
      </c>
      <c r="B1839" s="1" t="str">
        <v>2020-07-17</v>
      </c>
      <c r="C1839" s="1">
        <v>1.5469999999999999</v>
      </c>
    </row>
    <row r="1840" spans="1:3" x14ac:dyDescent="0.2">
      <c r="A1840" s="1">
        <v>32260</v>
      </c>
      <c r="B1840" s="1" t="str">
        <v>2020-07-17</v>
      </c>
      <c r="C1840" s="1">
        <v>1.8821000000000001</v>
      </c>
    </row>
    <row r="1841" spans="1:3" x14ac:dyDescent="0.2">
      <c r="A1841" s="1">
        <v>115</v>
      </c>
      <c r="B1841" s="1" t="str">
        <v>2020-07-17</v>
      </c>
      <c r="C1841" s="1">
        <v>1.7908999999999999</v>
      </c>
    </row>
    <row r="1842" spans="1:3" x14ac:dyDescent="0.2">
      <c r="A1842" s="1">
        <v>81</v>
      </c>
      <c r="B1842" s="1" t="str">
        <v>2020-07-17</v>
      </c>
      <c r="C1842" s="1">
        <v>2.0041000000000002</v>
      </c>
    </row>
    <row r="1843" spans="1:3" x14ac:dyDescent="0.2">
      <c r="A1843" s="1">
        <v>10</v>
      </c>
      <c r="B1843" s="1" t="str">
        <v>2020-07-17</v>
      </c>
      <c r="C1843" s="1">
        <v>1.73</v>
      </c>
    </row>
    <row r="1844" spans="1:3" x14ac:dyDescent="0.2">
      <c r="A1844" s="1">
        <v>150</v>
      </c>
      <c r="B1844" s="1" t="str">
        <v>2020-07-17</v>
      </c>
      <c r="C1844" s="1">
        <v>1.899</v>
      </c>
    </row>
    <row r="1845" spans="1:3" x14ac:dyDescent="0.2">
      <c r="A1845" s="1">
        <v>32560</v>
      </c>
      <c r="B1845" s="1" t="str">
        <v>2020-07-17</v>
      </c>
      <c r="C1845" s="1">
        <v>1.6994</v>
      </c>
    </row>
    <row r="1846" spans="1:3" x14ac:dyDescent="0.2">
      <c r="A1846" s="1">
        <v>32340</v>
      </c>
      <c r="B1846" s="1" t="str">
        <v>2020-07-17</v>
      </c>
      <c r="C1846" s="1">
        <v>1.6384000000000001</v>
      </c>
    </row>
    <row r="1847" spans="1:3" x14ac:dyDescent="0.2">
      <c r="A1847" s="1">
        <v>32724</v>
      </c>
      <c r="B1847" s="1" t="str">
        <v>2020-07-17</v>
      </c>
      <c r="C1847" s="1">
        <v>1.8924000000000001</v>
      </c>
    </row>
    <row r="1848" spans="1:3" x14ac:dyDescent="0.2">
      <c r="A1848" s="1">
        <v>33130</v>
      </c>
      <c r="B1848" s="1" t="str">
        <v>2020-07-17</v>
      </c>
      <c r="C1848" s="1">
        <v>1.8416999999999999</v>
      </c>
    </row>
    <row r="1849" spans="1:3" x14ac:dyDescent="0.2">
      <c r="A1849" s="1">
        <v>187</v>
      </c>
      <c r="B1849" s="1" t="str">
        <v>2020-07-17</v>
      </c>
      <c r="C1849" s="1">
        <v>1.8112999999999999</v>
      </c>
    </row>
    <row r="1850" spans="1:3" x14ac:dyDescent="0.2">
      <c r="A1850" s="1">
        <v>101</v>
      </c>
      <c r="B1850" s="1" t="str">
        <v>2020-07-17</v>
      </c>
      <c r="C1850" s="1">
        <v>1.6994</v>
      </c>
    </row>
    <row r="1851" spans="1:3" x14ac:dyDescent="0.2">
      <c r="A1851" s="1">
        <v>28</v>
      </c>
      <c r="B1851" s="1" t="str">
        <v>2020-07-17</v>
      </c>
      <c r="C1851" s="1">
        <v>1.4861</v>
      </c>
    </row>
    <row r="1852" spans="1:3" x14ac:dyDescent="0.2">
      <c r="A1852" s="1">
        <v>2250</v>
      </c>
      <c r="B1852" s="1" t="str">
        <v>2020-07-17</v>
      </c>
      <c r="C1852" s="1">
        <v>1.5779000000000001</v>
      </c>
    </row>
    <row r="1853" spans="1:3" x14ac:dyDescent="0.2">
      <c r="A1853" s="1">
        <v>53</v>
      </c>
      <c r="B1853" s="1" t="str">
        <v>2020-07-20</v>
      </c>
      <c r="C1853" s="1">
        <v>1.6073999999999999</v>
      </c>
    </row>
    <row r="1854" spans="1:3" x14ac:dyDescent="0.2">
      <c r="A1854" s="1">
        <v>34</v>
      </c>
      <c r="B1854" s="1" t="str">
        <v>2020-07-20</v>
      </c>
      <c r="C1854" s="1">
        <v>2.1869999999999998</v>
      </c>
    </row>
    <row r="1855" spans="1:3" x14ac:dyDescent="0.2">
      <c r="A1855" s="1">
        <v>33143</v>
      </c>
      <c r="B1855" s="1" t="str">
        <v>2020-07-20</v>
      </c>
      <c r="C1855" s="1">
        <v>1.7</v>
      </c>
    </row>
    <row r="1856" spans="1:3" x14ac:dyDescent="0.2">
      <c r="A1856" s="1">
        <v>32200</v>
      </c>
      <c r="B1856" s="1" t="str">
        <v>2020-07-20</v>
      </c>
      <c r="C1856" s="1">
        <v>1.3447</v>
      </c>
    </row>
    <row r="1857" spans="1:3" x14ac:dyDescent="0.2">
      <c r="A1857" s="1">
        <v>32421</v>
      </c>
      <c r="B1857" s="1" t="str">
        <v>2020-07-20</v>
      </c>
      <c r="C1857" s="1">
        <v>1.6706000000000001</v>
      </c>
    </row>
    <row r="1858" spans="1:3" x14ac:dyDescent="0.2">
      <c r="A1858" s="1">
        <v>32380</v>
      </c>
      <c r="B1858" s="1" t="str">
        <v>2020-07-20</v>
      </c>
      <c r="C1858" s="1">
        <v>1.9024000000000001</v>
      </c>
    </row>
    <row r="1859" spans="1:3" x14ac:dyDescent="0.2">
      <c r="A1859" s="1">
        <v>1</v>
      </c>
      <c r="B1859" s="1" t="str">
        <v>2020-07-20</v>
      </c>
      <c r="C1859" s="1">
        <v>1.5774999999999999</v>
      </c>
    </row>
    <row r="1860" spans="1:3" x14ac:dyDescent="0.2">
      <c r="A1860" s="1">
        <v>178</v>
      </c>
      <c r="B1860" s="1" t="str">
        <v>2020-07-21</v>
      </c>
      <c r="C1860" s="1">
        <v>1.9702</v>
      </c>
    </row>
    <row r="1861" spans="1:3" x14ac:dyDescent="0.2">
      <c r="A1861" s="1">
        <v>33103</v>
      </c>
      <c r="B1861" s="1" t="str">
        <v>2020-07-21</v>
      </c>
      <c r="C1861" s="1">
        <v>2.4148999999999998</v>
      </c>
    </row>
    <row r="1862" spans="1:3" x14ac:dyDescent="0.2">
      <c r="A1862" s="1">
        <v>33130</v>
      </c>
      <c r="B1862" s="1" t="str">
        <v>2020-07-21</v>
      </c>
      <c r="C1862" s="1">
        <v>1.7806</v>
      </c>
    </row>
    <row r="1863" spans="1:3" x14ac:dyDescent="0.2">
      <c r="A1863" s="1">
        <v>32400</v>
      </c>
      <c r="B1863" s="1" t="str">
        <v>2020-07-21</v>
      </c>
      <c r="C1863" s="1">
        <v>1.8722000000000001</v>
      </c>
    </row>
    <row r="1864" spans="1:3" x14ac:dyDescent="0.2">
      <c r="A1864" s="1">
        <v>32582</v>
      </c>
      <c r="B1864" s="1" t="str">
        <v>2020-07-21</v>
      </c>
      <c r="C1864" s="1">
        <v>1.7603</v>
      </c>
    </row>
    <row r="1865" spans="1:3" x14ac:dyDescent="0.2">
      <c r="A1865" s="1">
        <v>32963</v>
      </c>
      <c r="B1865" s="1" t="str">
        <v>2020-07-22</v>
      </c>
      <c r="C1865" s="1">
        <v>1.5778000000000001</v>
      </c>
    </row>
    <row r="1866" spans="1:3" x14ac:dyDescent="0.2">
      <c r="A1866" s="1">
        <v>32</v>
      </c>
      <c r="B1866" s="1" t="str">
        <v>2020-07-22</v>
      </c>
      <c r="C1866" s="1">
        <v>1.6691</v>
      </c>
    </row>
    <row r="1867" spans="1:3" x14ac:dyDescent="0.2">
      <c r="A1867" s="1">
        <v>250</v>
      </c>
      <c r="B1867" s="1" t="str">
        <v>2020-07-22</v>
      </c>
      <c r="C1867" s="1">
        <v>1.8110999999999999</v>
      </c>
    </row>
    <row r="1868" spans="1:3" x14ac:dyDescent="0.2">
      <c r="A1868" s="1">
        <v>1</v>
      </c>
      <c r="B1868" s="1" t="str">
        <v>2020-07-22</v>
      </c>
      <c r="C1868" s="1">
        <v>1.5774999999999999</v>
      </c>
    </row>
    <row r="1869" spans="1:3" x14ac:dyDescent="0.2">
      <c r="A1869" s="1">
        <v>157</v>
      </c>
      <c r="B1869" s="1" t="str">
        <v>2020-07-22</v>
      </c>
      <c r="C1869" s="1">
        <v>1.7</v>
      </c>
    </row>
    <row r="1870" spans="1:3" x14ac:dyDescent="0.2">
      <c r="A1870" s="1">
        <v>72</v>
      </c>
      <c r="B1870" s="1" t="str">
        <v>2020-07-22</v>
      </c>
      <c r="C1870" s="1">
        <v>1.7299</v>
      </c>
    </row>
    <row r="1871" spans="1:3" x14ac:dyDescent="0.2">
      <c r="A1871" s="1">
        <v>161</v>
      </c>
      <c r="B1871" s="1" t="str">
        <v>2020-07-23</v>
      </c>
      <c r="C1871" s="1">
        <v>1.8109</v>
      </c>
    </row>
    <row r="1872" spans="1:3" x14ac:dyDescent="0.2">
      <c r="A1872" s="1">
        <v>24</v>
      </c>
      <c r="B1872" s="1" t="str">
        <v>2020-07-23</v>
      </c>
      <c r="C1872" s="1">
        <v>1.7808999999999999</v>
      </c>
    </row>
    <row r="1873" spans="1:3" x14ac:dyDescent="0.2">
      <c r="A1873" s="1">
        <v>32400</v>
      </c>
      <c r="B1873" s="1" t="str">
        <v>2020-07-23</v>
      </c>
      <c r="C1873" s="1">
        <v>1.9026000000000001</v>
      </c>
    </row>
    <row r="1874" spans="1:3" x14ac:dyDescent="0.2">
      <c r="A1874" s="1">
        <v>32803</v>
      </c>
      <c r="B1874" s="1" t="str">
        <v>2020-07-23</v>
      </c>
      <c r="C1874" s="1">
        <v>1.5474000000000001</v>
      </c>
    </row>
    <row r="1875" spans="1:3" x14ac:dyDescent="0.2">
      <c r="A1875" s="1">
        <v>33129</v>
      </c>
      <c r="B1875" s="1" t="str">
        <v>2020-07-23</v>
      </c>
      <c r="C1875" s="1">
        <v>1.5472999999999999</v>
      </c>
    </row>
    <row r="1876" spans="1:3" x14ac:dyDescent="0.2">
      <c r="A1876" s="1">
        <v>139</v>
      </c>
      <c r="B1876" s="1" t="str">
        <v>2020-07-23</v>
      </c>
      <c r="C1876" s="1">
        <v>1.8313999999999999</v>
      </c>
    </row>
    <row r="1877" spans="1:3" x14ac:dyDescent="0.2">
      <c r="A1877" s="1">
        <v>32783</v>
      </c>
      <c r="B1877" s="1" t="str">
        <v>2020-07-23</v>
      </c>
      <c r="C1877" s="1">
        <v>1.9433</v>
      </c>
    </row>
    <row r="1878" spans="1:3" x14ac:dyDescent="0.2">
      <c r="A1878" s="1">
        <v>32081</v>
      </c>
      <c r="B1878" s="1" t="str">
        <v>2020-07-23</v>
      </c>
      <c r="C1878" s="1">
        <v>1.0013000000000001</v>
      </c>
    </row>
    <row r="1879" spans="1:3" x14ac:dyDescent="0.2">
      <c r="A1879" s="1">
        <v>89</v>
      </c>
      <c r="B1879" s="1" t="str">
        <v>2020-07-23</v>
      </c>
      <c r="C1879" s="1">
        <v>2.1158000000000001</v>
      </c>
    </row>
    <row r="1880" spans="1:3" x14ac:dyDescent="0.2">
      <c r="A1880" s="1">
        <v>30400</v>
      </c>
      <c r="B1880" s="1" t="str">
        <v>2020-07-23</v>
      </c>
      <c r="C1880" s="1">
        <v>1.6486000000000001</v>
      </c>
    </row>
    <row r="1881" spans="1:3" x14ac:dyDescent="0.2">
      <c r="A1881" s="1">
        <v>33130</v>
      </c>
      <c r="B1881" s="1" t="str">
        <v>2020-07-23</v>
      </c>
      <c r="C1881" s="1">
        <v>1.8008999999999999</v>
      </c>
    </row>
    <row r="1882" spans="1:3" x14ac:dyDescent="0.2">
      <c r="A1882" s="1">
        <v>176</v>
      </c>
      <c r="B1882" s="1" t="str">
        <v>2020-07-23</v>
      </c>
      <c r="C1882" s="1">
        <v>1.659</v>
      </c>
    </row>
    <row r="1883" spans="1:3" x14ac:dyDescent="0.2">
      <c r="A1883" s="1">
        <v>32863</v>
      </c>
      <c r="B1883" s="1" t="str">
        <v>2020-07-24</v>
      </c>
      <c r="C1883" s="1">
        <v>1.5071000000000001</v>
      </c>
    </row>
    <row r="1884" spans="1:3" x14ac:dyDescent="0.2">
      <c r="A1884" s="1">
        <v>191</v>
      </c>
      <c r="B1884" s="1" t="str">
        <v>2020-07-24</v>
      </c>
      <c r="C1884" s="1">
        <v>1.5069999999999999</v>
      </c>
    </row>
    <row r="1885" spans="1:3" x14ac:dyDescent="0.2">
      <c r="A1885" s="1">
        <v>137</v>
      </c>
      <c r="B1885" s="1" t="str">
        <v>2020-07-24</v>
      </c>
      <c r="C1885" s="1">
        <v>2.0653000000000001</v>
      </c>
    </row>
    <row r="1886" spans="1:3" x14ac:dyDescent="0.2">
      <c r="A1886" s="1">
        <v>32</v>
      </c>
      <c r="B1886" s="1" t="str">
        <v>2020-07-24</v>
      </c>
      <c r="C1886" s="1">
        <v>1.6337999999999999</v>
      </c>
    </row>
    <row r="1887" spans="1:3" x14ac:dyDescent="0.2">
      <c r="A1887" s="1">
        <v>33143</v>
      </c>
      <c r="B1887" s="1" t="str">
        <v>2020-07-24</v>
      </c>
      <c r="C1887" s="1">
        <v>1.5</v>
      </c>
    </row>
    <row r="1888" spans="1:3" x14ac:dyDescent="0.2">
      <c r="A1888" s="1">
        <v>32480</v>
      </c>
      <c r="B1888" s="1" t="str">
        <v>2020-07-24</v>
      </c>
      <c r="C1888" s="1">
        <v>1.6999</v>
      </c>
    </row>
    <row r="1889" spans="1:3" x14ac:dyDescent="0.2">
      <c r="A1889" s="1">
        <v>32400</v>
      </c>
      <c r="B1889" s="1" t="str">
        <v>2020-07-24</v>
      </c>
      <c r="C1889" s="1">
        <v>1.6795</v>
      </c>
    </row>
    <row r="1890" spans="1:3" x14ac:dyDescent="0.2">
      <c r="A1890" s="1">
        <v>32180</v>
      </c>
      <c r="B1890" s="1" t="str">
        <v>2020-07-24</v>
      </c>
      <c r="C1890" s="1">
        <v>1.5631999999999999</v>
      </c>
    </row>
    <row r="1891" spans="1:3" x14ac:dyDescent="0.2">
      <c r="A1891" s="1">
        <v>13250</v>
      </c>
      <c r="B1891" s="1" t="str">
        <v>2020-07-24</v>
      </c>
      <c r="C1891" s="1">
        <v>1.2746</v>
      </c>
    </row>
    <row r="1892" spans="1:3" x14ac:dyDescent="0.2">
      <c r="A1892" s="1">
        <v>32081</v>
      </c>
      <c r="B1892" s="1" t="str">
        <v>2020-07-24</v>
      </c>
      <c r="C1892" s="1">
        <v>0.98150000000000004</v>
      </c>
    </row>
    <row r="1893" spans="1:3" x14ac:dyDescent="0.2">
      <c r="A1893" s="1">
        <v>20</v>
      </c>
      <c r="B1893" s="1" t="str">
        <v>2020-07-24</v>
      </c>
      <c r="C1893" s="1">
        <v>1.9028</v>
      </c>
    </row>
    <row r="1894" spans="1:3" x14ac:dyDescent="0.2">
      <c r="A1894" s="1">
        <v>55</v>
      </c>
      <c r="B1894" s="1" t="str">
        <v>2020-07-24</v>
      </c>
      <c r="C1894" s="1">
        <v>1.3249</v>
      </c>
    </row>
    <row r="1895" spans="1:3" x14ac:dyDescent="0.2">
      <c r="A1895" s="1">
        <v>33125</v>
      </c>
      <c r="B1895" s="1" t="str">
        <v>2020-07-24</v>
      </c>
      <c r="C1895" s="1">
        <v>1.6487000000000001</v>
      </c>
    </row>
    <row r="1896" spans="1:3" x14ac:dyDescent="0.2">
      <c r="A1896" s="1">
        <v>32360</v>
      </c>
      <c r="B1896" s="1" t="str">
        <v>2020-07-24</v>
      </c>
      <c r="C1896" s="1">
        <v>1.3653999999999999</v>
      </c>
    </row>
    <row r="1897" spans="1:3" x14ac:dyDescent="0.2">
      <c r="A1897" s="1">
        <v>32280</v>
      </c>
      <c r="B1897" s="1" t="str">
        <v>2020-07-24</v>
      </c>
      <c r="C1897" s="1">
        <v>1.6895</v>
      </c>
    </row>
    <row r="1898" spans="1:3" x14ac:dyDescent="0.2">
      <c r="A1898" s="1">
        <v>33023</v>
      </c>
      <c r="B1898" s="1" t="str">
        <v>2020-07-24</v>
      </c>
      <c r="C1898" s="1">
        <v>1.9027000000000001</v>
      </c>
    </row>
    <row r="1899" spans="1:3" x14ac:dyDescent="0.2">
      <c r="A1899" s="1">
        <v>31</v>
      </c>
      <c r="B1899" s="1" t="str">
        <v>2020-07-24</v>
      </c>
      <c r="C1899" s="1">
        <v>1.5989</v>
      </c>
    </row>
    <row r="1900" spans="1:3" x14ac:dyDescent="0.2">
      <c r="A1900" s="1">
        <v>156</v>
      </c>
      <c r="B1900" s="1" t="str">
        <v>2020-07-24</v>
      </c>
      <c r="C1900" s="1">
        <v>2.1164999999999998</v>
      </c>
    </row>
    <row r="1901" spans="1:3" x14ac:dyDescent="0.2">
      <c r="A1901" s="1">
        <v>30400</v>
      </c>
      <c r="B1901" s="1" t="str">
        <v>2020-07-24</v>
      </c>
      <c r="C1901" s="1">
        <v>1.1531</v>
      </c>
    </row>
    <row r="1902" spans="1:3" x14ac:dyDescent="0.2">
      <c r="A1902" s="1">
        <v>67</v>
      </c>
      <c r="B1902" s="1" t="str">
        <v>2020-07-24</v>
      </c>
      <c r="C1902" s="1">
        <v>1.6691</v>
      </c>
    </row>
    <row r="1903" spans="1:3" x14ac:dyDescent="0.2">
      <c r="A1903" s="1">
        <v>133</v>
      </c>
      <c r="B1903" s="1" t="str">
        <v>2020-07-24</v>
      </c>
      <c r="C1903" s="1">
        <v>1.4968999999999999</v>
      </c>
    </row>
    <row r="1904" spans="1:3" x14ac:dyDescent="0.2">
      <c r="A1904" s="1">
        <v>139</v>
      </c>
      <c r="B1904" s="1" t="str">
        <v>2020-07-24</v>
      </c>
      <c r="C1904" s="1">
        <v>1.7605999999999999</v>
      </c>
    </row>
    <row r="1905" spans="1:3" x14ac:dyDescent="0.2">
      <c r="A1905" s="1">
        <v>34</v>
      </c>
      <c r="B1905" s="1" t="str">
        <v>2020-07-24</v>
      </c>
      <c r="C1905" s="1">
        <v>1.9428000000000001</v>
      </c>
    </row>
    <row r="1906" spans="1:3" x14ac:dyDescent="0.2">
      <c r="A1906" s="1">
        <v>115</v>
      </c>
      <c r="B1906" s="1" t="str">
        <v>2020-07-24</v>
      </c>
      <c r="C1906" s="1">
        <v>1.6998</v>
      </c>
    </row>
    <row r="1907" spans="1:3" x14ac:dyDescent="0.2">
      <c r="A1907" s="1">
        <v>33203</v>
      </c>
      <c r="B1907" s="1" t="str">
        <v>2020-07-24</v>
      </c>
      <c r="C1907" s="1">
        <v>1.7949999999999999</v>
      </c>
    </row>
    <row r="1908" spans="1:3" x14ac:dyDescent="0.2">
      <c r="A1908" s="1">
        <v>10</v>
      </c>
      <c r="B1908" s="1" t="str">
        <v>2020-07-24</v>
      </c>
      <c r="C1908" s="1">
        <v>1.5882000000000001</v>
      </c>
    </row>
    <row r="1909" spans="1:3" x14ac:dyDescent="0.2">
      <c r="A1909" s="1">
        <v>1</v>
      </c>
      <c r="B1909" s="1" t="str">
        <v>2020-07-24</v>
      </c>
      <c r="C1909" s="1">
        <v>1.4766999999999999</v>
      </c>
    </row>
    <row r="1910" spans="1:3" x14ac:dyDescent="0.2">
      <c r="A1910" s="1">
        <v>32724</v>
      </c>
      <c r="B1910" s="1" t="str">
        <v>2020-07-24</v>
      </c>
      <c r="C1910" s="1">
        <v>1.7504</v>
      </c>
    </row>
    <row r="1911" spans="1:3" x14ac:dyDescent="0.2">
      <c r="A1911" s="1">
        <v>32340</v>
      </c>
      <c r="B1911" s="1" t="str">
        <v>2020-07-24</v>
      </c>
      <c r="C1911" s="1">
        <v>1.5374000000000001</v>
      </c>
    </row>
    <row r="1912" spans="1:3" x14ac:dyDescent="0.2">
      <c r="A1912" s="1">
        <v>102</v>
      </c>
      <c r="B1912" s="1" t="str">
        <v>2020-07-24</v>
      </c>
      <c r="C1912" s="1">
        <v>1.5874999999999999</v>
      </c>
    </row>
    <row r="1913" spans="1:3" x14ac:dyDescent="0.2">
      <c r="A1913" s="1">
        <v>32803</v>
      </c>
      <c r="B1913" s="1" t="str">
        <v>2020-07-24</v>
      </c>
      <c r="C1913" s="1">
        <v>1.3754</v>
      </c>
    </row>
    <row r="1914" spans="1:3" x14ac:dyDescent="0.2">
      <c r="A1914" s="1">
        <v>81</v>
      </c>
      <c r="B1914" s="1" t="str">
        <v>2020-07-24</v>
      </c>
      <c r="C1914" s="1">
        <v>2.0041000000000002</v>
      </c>
    </row>
    <row r="1915" spans="1:3" x14ac:dyDescent="0.2">
      <c r="A1915" s="1">
        <v>33063</v>
      </c>
      <c r="B1915" s="1" t="str">
        <v>2020-07-24</v>
      </c>
      <c r="C1915" s="1">
        <v>2.2357999999999998</v>
      </c>
    </row>
    <row r="1916" spans="1:3" x14ac:dyDescent="0.2">
      <c r="A1916" s="1">
        <v>146</v>
      </c>
      <c r="B1916" s="1" t="str">
        <v>2020-07-24</v>
      </c>
      <c r="C1916" s="1">
        <v>1.7402</v>
      </c>
    </row>
    <row r="1917" spans="1:3" x14ac:dyDescent="0.2">
      <c r="A1917" s="1">
        <v>72</v>
      </c>
      <c r="B1917" s="1" t="str">
        <v>2020-07-24</v>
      </c>
      <c r="C1917" s="1">
        <v>1.3673</v>
      </c>
    </row>
    <row r="1918" spans="1:3" x14ac:dyDescent="0.2">
      <c r="A1918" s="1">
        <v>30250</v>
      </c>
      <c r="B1918" s="1" t="str">
        <v>2020-07-24</v>
      </c>
      <c r="C1918" s="1">
        <v>1.5475000000000001</v>
      </c>
    </row>
    <row r="1919" spans="1:3" x14ac:dyDescent="0.2">
      <c r="A1919" s="1">
        <v>32560</v>
      </c>
      <c r="B1919" s="1" t="str">
        <v>2020-07-24</v>
      </c>
      <c r="C1919" s="1">
        <v>1.5577000000000001</v>
      </c>
    </row>
    <row r="1920" spans="1:3" x14ac:dyDescent="0.2">
      <c r="A1920" s="1">
        <v>30300</v>
      </c>
      <c r="B1920" s="1" t="str">
        <v>2020-07-24</v>
      </c>
      <c r="C1920" s="1">
        <v>1.6796</v>
      </c>
    </row>
    <row r="1921" spans="1:3" x14ac:dyDescent="0.2">
      <c r="A1921" s="1">
        <v>33129</v>
      </c>
      <c r="B1921" s="1" t="str">
        <v>2020-07-24</v>
      </c>
      <c r="C1921" s="1">
        <v>1.345</v>
      </c>
    </row>
    <row r="1922" spans="1:3" x14ac:dyDescent="0.2">
      <c r="A1922" s="1">
        <v>161</v>
      </c>
      <c r="B1922" s="1" t="str">
        <v>2020-07-24</v>
      </c>
      <c r="C1922" s="1">
        <v>1.6692</v>
      </c>
    </row>
    <row r="1923" spans="1:3" x14ac:dyDescent="0.2">
      <c r="A1923" s="1">
        <v>9250</v>
      </c>
      <c r="B1923" s="1" t="str">
        <v>2020-07-24</v>
      </c>
      <c r="C1923" s="1">
        <v>1.93</v>
      </c>
    </row>
    <row r="1924" spans="1:3" x14ac:dyDescent="0.2">
      <c r="A1924" s="1">
        <v>32582</v>
      </c>
      <c r="B1924" s="1" t="str">
        <v>2020-07-24</v>
      </c>
      <c r="C1924" s="1">
        <v>1.5170999999999999</v>
      </c>
    </row>
    <row r="1925" spans="1:3" x14ac:dyDescent="0.2">
      <c r="A1925" s="1">
        <v>53</v>
      </c>
      <c r="B1925" s="1" t="str">
        <v>2020-07-24</v>
      </c>
      <c r="C1925" s="1">
        <v>1.3749</v>
      </c>
    </row>
    <row r="1926" spans="1:3" x14ac:dyDescent="0.2">
      <c r="A1926" s="1">
        <v>32121</v>
      </c>
      <c r="B1926" s="1" t="str">
        <v>2020-07-24</v>
      </c>
      <c r="C1926" s="1">
        <v>1.5071000000000001</v>
      </c>
    </row>
    <row r="1927" spans="1:3" x14ac:dyDescent="0.2">
      <c r="A1927" s="1">
        <v>150</v>
      </c>
      <c r="B1927" s="1" t="str">
        <v>2020-07-24</v>
      </c>
      <c r="C1927" s="1">
        <v>1.899</v>
      </c>
    </row>
    <row r="1928" spans="1:3" x14ac:dyDescent="0.2">
      <c r="A1928" s="1">
        <v>59</v>
      </c>
      <c r="B1928" s="1" t="str">
        <v>2020-07-24</v>
      </c>
      <c r="C1928" s="1">
        <v>1.6591</v>
      </c>
    </row>
    <row r="1929" spans="1:3" x14ac:dyDescent="0.2">
      <c r="A1929" s="1">
        <v>32260</v>
      </c>
      <c r="B1929" s="1" t="str">
        <v>2020-07-24</v>
      </c>
      <c r="C1929" s="1">
        <v>1.7098</v>
      </c>
    </row>
    <row r="1930" spans="1:3" x14ac:dyDescent="0.2">
      <c r="A1930" s="1">
        <v>37</v>
      </c>
      <c r="B1930" s="1" t="str">
        <v>2020-07-24</v>
      </c>
      <c r="C1930" s="1">
        <v>1.9632000000000001</v>
      </c>
    </row>
    <row r="1931" spans="1:3" x14ac:dyDescent="0.2">
      <c r="A1931" s="1">
        <v>99</v>
      </c>
      <c r="B1931" s="1" t="str">
        <v>2020-07-24</v>
      </c>
      <c r="C1931" s="1">
        <v>2.7589000000000001</v>
      </c>
    </row>
    <row r="1932" spans="1:3" x14ac:dyDescent="0.2">
      <c r="A1932" s="1">
        <v>110</v>
      </c>
      <c r="B1932" s="1" t="str">
        <v>2020-07-24</v>
      </c>
      <c r="C1932" s="1">
        <v>1.6489</v>
      </c>
    </row>
    <row r="1933" spans="1:3" x14ac:dyDescent="0.2">
      <c r="A1933" s="1">
        <v>32783</v>
      </c>
      <c r="B1933" s="1" t="str">
        <v>2020-07-24</v>
      </c>
      <c r="C1933" s="1">
        <v>1.8313999999999999</v>
      </c>
    </row>
    <row r="1934" spans="1:3" x14ac:dyDescent="0.2">
      <c r="A1934" s="1">
        <v>143</v>
      </c>
      <c r="B1934" s="1" t="str">
        <v>2020-07-24</v>
      </c>
      <c r="C1934" s="1">
        <v>1.5370999999999999</v>
      </c>
    </row>
    <row r="1935" spans="1:3" x14ac:dyDescent="0.2">
      <c r="A1935" s="1">
        <v>136</v>
      </c>
      <c r="B1935" s="1" t="str">
        <v>2020-07-24</v>
      </c>
      <c r="C1935" s="1">
        <v>1.6689000000000001</v>
      </c>
    </row>
    <row r="1936" spans="1:3" x14ac:dyDescent="0.2">
      <c r="A1936" s="1">
        <v>94</v>
      </c>
      <c r="B1936" s="1" t="str">
        <v>2020-07-24</v>
      </c>
      <c r="C1936" s="1">
        <v>1.7458</v>
      </c>
    </row>
    <row r="1937" spans="1:3" x14ac:dyDescent="0.2">
      <c r="A1937" s="1">
        <v>32500</v>
      </c>
      <c r="B1937" s="1" t="str">
        <v>2020-07-24</v>
      </c>
      <c r="C1937" s="1">
        <v>1.5472999999999999</v>
      </c>
    </row>
    <row r="1938" spans="1:3" x14ac:dyDescent="0.2">
      <c r="A1938" s="1">
        <v>32923</v>
      </c>
      <c r="B1938" s="1" t="str">
        <v>2020-07-24</v>
      </c>
      <c r="C1938" s="1">
        <v>2.0045999999999999</v>
      </c>
    </row>
    <row r="1939" spans="1:3" x14ac:dyDescent="0.2">
      <c r="A1939" s="1">
        <v>196</v>
      </c>
      <c r="B1939" s="1" t="str">
        <v>2020-07-24</v>
      </c>
      <c r="C1939" s="1">
        <v>1.5679000000000001</v>
      </c>
    </row>
    <row r="1940" spans="1:3" x14ac:dyDescent="0.2">
      <c r="A1940" s="1">
        <v>77</v>
      </c>
      <c r="B1940" s="1" t="str">
        <v>2020-07-24</v>
      </c>
      <c r="C1940" s="1">
        <v>2.0859000000000001</v>
      </c>
    </row>
    <row r="1941" spans="1:3" x14ac:dyDescent="0.2">
      <c r="A1941" s="1">
        <v>187</v>
      </c>
      <c r="B1941" s="1" t="str">
        <v>2020-07-24</v>
      </c>
      <c r="C1941" s="1">
        <v>1.6085</v>
      </c>
    </row>
    <row r="1942" spans="1:3" x14ac:dyDescent="0.2">
      <c r="A1942" s="1">
        <v>177</v>
      </c>
      <c r="B1942" s="1" t="str">
        <v>2020-07-24</v>
      </c>
      <c r="C1942" s="1">
        <v>2.0042</v>
      </c>
    </row>
    <row r="1943" spans="1:3" x14ac:dyDescent="0.2">
      <c r="A1943" s="1">
        <v>32502</v>
      </c>
      <c r="B1943" s="1" t="str">
        <v>2020-07-24</v>
      </c>
      <c r="C1943" s="1">
        <v>1.649</v>
      </c>
    </row>
    <row r="1944" spans="1:3" x14ac:dyDescent="0.2">
      <c r="A1944" s="1">
        <v>24</v>
      </c>
      <c r="B1944" s="1" t="str">
        <v>2020-07-24</v>
      </c>
      <c r="C1944" s="1">
        <v>1.8217000000000001</v>
      </c>
    </row>
    <row r="1945" spans="1:3" x14ac:dyDescent="0.2">
      <c r="A1945" s="1">
        <v>78</v>
      </c>
      <c r="B1945" s="1" t="str">
        <v>2020-07-24</v>
      </c>
      <c r="C1945" s="1">
        <v>1.7907</v>
      </c>
    </row>
    <row r="1946" spans="1:3" x14ac:dyDescent="0.2">
      <c r="A1946" s="1">
        <v>33183</v>
      </c>
      <c r="B1946" s="1" t="str">
        <v>2020-07-24</v>
      </c>
      <c r="C1946" s="1">
        <v>1.411</v>
      </c>
    </row>
    <row r="1947" spans="1:3" x14ac:dyDescent="0.2">
      <c r="A1947" s="1">
        <v>2250</v>
      </c>
      <c r="B1947" s="1" t="str">
        <v>2020-07-24</v>
      </c>
      <c r="C1947" s="1">
        <v>1.5577000000000001</v>
      </c>
    </row>
    <row r="1948" spans="1:3" x14ac:dyDescent="0.2">
      <c r="A1948" s="1">
        <v>24250</v>
      </c>
      <c r="B1948" s="1" t="str">
        <v>2020-07-24</v>
      </c>
      <c r="C1948" s="1">
        <v>1.4767999999999999</v>
      </c>
    </row>
    <row r="1949" spans="1:3" x14ac:dyDescent="0.2">
      <c r="A1949" s="1">
        <v>147</v>
      </c>
      <c r="B1949" s="1" t="str">
        <v>2020-07-27</v>
      </c>
      <c r="C1949" s="1">
        <v>0.99170000000000003</v>
      </c>
    </row>
    <row r="1950" spans="1:3" x14ac:dyDescent="0.2">
      <c r="A1950" s="1">
        <v>32360</v>
      </c>
      <c r="B1950" s="1" t="str">
        <v>2020-07-27</v>
      </c>
      <c r="C1950" s="1">
        <v>1.3653999999999999</v>
      </c>
    </row>
    <row r="1951" spans="1:3" x14ac:dyDescent="0.2">
      <c r="A1951" s="1">
        <v>136</v>
      </c>
      <c r="B1951" s="1" t="str">
        <v>2020-07-27</v>
      </c>
      <c r="C1951" s="1">
        <v>1.6587000000000001</v>
      </c>
    </row>
    <row r="1952" spans="1:3" x14ac:dyDescent="0.2">
      <c r="A1952" s="1">
        <v>49</v>
      </c>
      <c r="B1952" s="1" t="str">
        <v>2020-07-27</v>
      </c>
      <c r="C1952" s="1">
        <v>1.1328</v>
      </c>
    </row>
    <row r="1953" spans="1:3" x14ac:dyDescent="0.2">
      <c r="A1953" s="1">
        <v>32421</v>
      </c>
      <c r="B1953" s="1" t="str">
        <v>2020-07-27</v>
      </c>
      <c r="C1953" s="1">
        <v>1.5813999999999999</v>
      </c>
    </row>
    <row r="1954" spans="1:3" x14ac:dyDescent="0.2">
      <c r="A1954" s="1">
        <v>32400</v>
      </c>
      <c r="B1954" s="1" t="str">
        <v>2020-07-27</v>
      </c>
      <c r="C1954" s="1">
        <v>1.7606999999999999</v>
      </c>
    </row>
    <row r="1955" spans="1:3" x14ac:dyDescent="0.2">
      <c r="A1955" s="1">
        <v>34</v>
      </c>
      <c r="B1955" s="1" t="str">
        <v>2020-07-27</v>
      </c>
      <c r="C1955" s="1">
        <v>1.9428000000000001</v>
      </c>
    </row>
    <row r="1956" spans="1:3" x14ac:dyDescent="0.2">
      <c r="A1956" s="1">
        <v>30350</v>
      </c>
      <c r="B1956" s="1" t="str">
        <v>2020-07-27</v>
      </c>
      <c r="C1956" s="1">
        <v>1.5072000000000001</v>
      </c>
    </row>
    <row r="1957" spans="1:3" x14ac:dyDescent="0.2">
      <c r="A1957" s="1">
        <v>33183</v>
      </c>
      <c r="B1957" s="1" t="str">
        <v>2020-07-27</v>
      </c>
      <c r="C1957" s="1">
        <v>1.411</v>
      </c>
    </row>
    <row r="1958" spans="1:3" x14ac:dyDescent="0.2">
      <c r="A1958" s="1">
        <v>101</v>
      </c>
      <c r="B1958" s="1" t="str">
        <v>2020-07-27</v>
      </c>
      <c r="C1958" s="1">
        <v>1.5779000000000001</v>
      </c>
    </row>
    <row r="1959" spans="1:3" x14ac:dyDescent="0.2">
      <c r="A1959" s="1">
        <v>32222</v>
      </c>
      <c r="B1959" s="1" t="str">
        <v>2020-07-28</v>
      </c>
      <c r="C1959" s="1">
        <v>1.6489</v>
      </c>
    </row>
    <row r="1960" spans="1:3" x14ac:dyDescent="0.2">
      <c r="A1960" s="1">
        <v>178</v>
      </c>
      <c r="B1960" s="1" t="str">
        <v>2020-07-28</v>
      </c>
      <c r="C1960" s="1">
        <v>1.7794000000000001</v>
      </c>
    </row>
    <row r="1961" spans="1:3" x14ac:dyDescent="0.2">
      <c r="A1961" s="1">
        <v>33103</v>
      </c>
      <c r="B1961" s="1" t="str">
        <v>2020-07-28</v>
      </c>
      <c r="C1961" s="1">
        <v>2.4148999999999998</v>
      </c>
    </row>
    <row r="1962" spans="1:3" x14ac:dyDescent="0.2">
      <c r="A1962" s="1">
        <v>49</v>
      </c>
      <c r="B1962" s="1" t="str">
        <v>2020-07-29</v>
      </c>
      <c r="C1962" s="1">
        <v>1.1229</v>
      </c>
    </row>
    <row r="1963" spans="1:3" x14ac:dyDescent="0.2">
      <c r="A1963" s="1">
        <v>132</v>
      </c>
      <c r="B1963" s="1" t="str">
        <v>2020-07-29</v>
      </c>
      <c r="C1963" s="1">
        <v>1.2845</v>
      </c>
    </row>
    <row r="1964" spans="1:3" x14ac:dyDescent="0.2">
      <c r="A1964" s="1">
        <v>33129</v>
      </c>
      <c r="B1964" s="1" t="str">
        <v>2020-07-29</v>
      </c>
      <c r="C1964" s="1">
        <v>1.345</v>
      </c>
    </row>
    <row r="1965" spans="1:3" x14ac:dyDescent="0.2">
      <c r="A1965" s="1">
        <v>33130</v>
      </c>
      <c r="B1965" s="1" t="str">
        <v>2020-07-29</v>
      </c>
      <c r="C1965" s="1">
        <v>1.6388</v>
      </c>
    </row>
    <row r="1966" spans="1:3" x14ac:dyDescent="0.2">
      <c r="A1966" s="1">
        <v>32963</v>
      </c>
      <c r="B1966" s="1" t="str">
        <v>2020-07-29</v>
      </c>
      <c r="C1966" s="1">
        <v>1.4361999999999999</v>
      </c>
    </row>
    <row r="1967" spans="1:3" x14ac:dyDescent="0.2">
      <c r="A1967" s="1">
        <v>83</v>
      </c>
      <c r="B1967" s="1" t="str">
        <v>2020-07-29</v>
      </c>
      <c r="C1967" s="1">
        <v>1.7094</v>
      </c>
    </row>
    <row r="1968" spans="1:3" x14ac:dyDescent="0.2">
      <c r="A1968" s="1">
        <v>33125</v>
      </c>
      <c r="B1968" s="1" t="str">
        <v>2020-07-29</v>
      </c>
      <c r="C1968" s="1">
        <v>1.6286</v>
      </c>
    </row>
    <row r="1969" spans="1:3" x14ac:dyDescent="0.2">
      <c r="A1969" s="1">
        <v>32081</v>
      </c>
      <c r="B1969" s="1" t="str">
        <v>2020-07-30</v>
      </c>
      <c r="C1969" s="1">
        <v>1.0118</v>
      </c>
    </row>
    <row r="1970" spans="1:3" x14ac:dyDescent="0.2">
      <c r="A1970" s="1">
        <v>132</v>
      </c>
      <c r="B1970" s="1" t="str">
        <v>2020-07-30</v>
      </c>
      <c r="C1970" s="1">
        <v>1.2845</v>
      </c>
    </row>
    <row r="1971" spans="1:3" x14ac:dyDescent="0.2">
      <c r="A1971" s="1">
        <v>33023</v>
      </c>
      <c r="B1971" s="1" t="str">
        <v>2020-07-30</v>
      </c>
      <c r="C1971" s="1">
        <v>1.5983000000000001</v>
      </c>
    </row>
    <row r="1972" spans="1:3" x14ac:dyDescent="0.2">
      <c r="A1972" s="1">
        <v>191</v>
      </c>
      <c r="B1972" s="1" t="str">
        <v>2020-07-30</v>
      </c>
      <c r="C1972" s="1">
        <v>1.5069999999999999</v>
      </c>
    </row>
    <row r="1973" spans="1:3" x14ac:dyDescent="0.2">
      <c r="A1973" s="1">
        <v>32082</v>
      </c>
      <c r="B1973" s="1" t="str">
        <v>2020-07-30</v>
      </c>
      <c r="C1973" s="1">
        <v>1.5168999999999999</v>
      </c>
    </row>
    <row r="1974" spans="1:3" x14ac:dyDescent="0.2">
      <c r="A1974" s="1">
        <v>34</v>
      </c>
      <c r="B1974" s="1" t="str">
        <v>2020-07-30</v>
      </c>
      <c r="C1974" s="1">
        <v>1.6894</v>
      </c>
    </row>
    <row r="1975" spans="1:3" x14ac:dyDescent="0.2">
      <c r="A1975" s="1">
        <v>33129</v>
      </c>
      <c r="B1975" s="1" t="str">
        <v>2020-07-30</v>
      </c>
      <c r="C1975" s="1">
        <v>1.345</v>
      </c>
    </row>
    <row r="1976" spans="1:3" x14ac:dyDescent="0.2">
      <c r="A1976" s="1">
        <v>32081</v>
      </c>
      <c r="B1976" s="1" t="str">
        <v>2020-07-31</v>
      </c>
      <c r="C1976" s="1">
        <v>1.0118</v>
      </c>
    </row>
    <row r="1977" spans="1:3" x14ac:dyDescent="0.2">
      <c r="A1977" s="1">
        <v>32</v>
      </c>
      <c r="B1977" s="1" t="str">
        <v>2020-07-31</v>
      </c>
      <c r="C1977" s="1">
        <v>1.6944999999999999</v>
      </c>
    </row>
    <row r="1978" spans="1:3" x14ac:dyDescent="0.2">
      <c r="A1978" s="1">
        <v>32340</v>
      </c>
      <c r="B1978" s="1" t="str">
        <v>2020-07-31</v>
      </c>
      <c r="C1978" s="1">
        <v>1.5373000000000001</v>
      </c>
    </row>
    <row r="1979" spans="1:3" x14ac:dyDescent="0.2">
      <c r="A1979" s="1">
        <v>32180</v>
      </c>
      <c r="B1979" s="1" t="str">
        <v>2020-07-31</v>
      </c>
      <c r="C1979" s="1">
        <v>1.5133000000000001</v>
      </c>
    </row>
    <row r="1980" spans="1:3" x14ac:dyDescent="0.2">
      <c r="A1980" s="1">
        <v>102</v>
      </c>
      <c r="B1980" s="1" t="str">
        <v>2020-07-31</v>
      </c>
      <c r="C1980" s="1">
        <v>1.5874999999999999</v>
      </c>
    </row>
    <row r="1981" spans="1:3" x14ac:dyDescent="0.2">
      <c r="A1981" s="1">
        <v>55</v>
      </c>
      <c r="B1981" s="1" t="str">
        <v>2020-07-31</v>
      </c>
      <c r="C1981" s="1">
        <v>1.335</v>
      </c>
    </row>
    <row r="1982" spans="1:3" x14ac:dyDescent="0.2">
      <c r="A1982" s="1">
        <v>32724</v>
      </c>
      <c r="B1982" s="1" t="str">
        <v>2020-07-31</v>
      </c>
      <c r="C1982" s="1">
        <v>1.5578000000000001</v>
      </c>
    </row>
    <row r="1983" spans="1:3" x14ac:dyDescent="0.2">
      <c r="A1983" s="1">
        <v>109</v>
      </c>
      <c r="B1983" s="1" t="str">
        <v>2020-07-31</v>
      </c>
      <c r="C1983" s="1">
        <v>1.7808999999999999</v>
      </c>
    </row>
    <row r="1984" spans="1:3" x14ac:dyDescent="0.2">
      <c r="A1984" s="1">
        <v>32260</v>
      </c>
      <c r="B1984" s="1" t="str">
        <v>2020-07-31</v>
      </c>
      <c r="C1984" s="1">
        <v>1.5982000000000001</v>
      </c>
    </row>
    <row r="1985" spans="1:3" x14ac:dyDescent="0.2">
      <c r="A1985" s="1">
        <v>67</v>
      </c>
      <c r="B1985" s="1" t="str">
        <v>2020-07-31</v>
      </c>
      <c r="C1985" s="1">
        <v>1.7197</v>
      </c>
    </row>
    <row r="1986" spans="1:3" x14ac:dyDescent="0.2">
      <c r="A1986" s="1">
        <v>32501</v>
      </c>
      <c r="B1986" s="1" t="str">
        <v>2020-07-31</v>
      </c>
      <c r="C1986" s="1">
        <v>1.9433</v>
      </c>
    </row>
    <row r="1987" spans="1:3" x14ac:dyDescent="0.2">
      <c r="A1987" s="1">
        <v>139</v>
      </c>
      <c r="B1987" s="1" t="str">
        <v>2020-07-31</v>
      </c>
      <c r="C1987" s="1">
        <v>1.7199</v>
      </c>
    </row>
    <row r="1988" spans="1:3" x14ac:dyDescent="0.2">
      <c r="A1988" s="1">
        <v>31</v>
      </c>
      <c r="B1988" s="1" t="str">
        <v>2020-07-31</v>
      </c>
      <c r="C1988" s="1">
        <v>1.6797</v>
      </c>
    </row>
    <row r="1989" spans="1:3" x14ac:dyDescent="0.2">
      <c r="A1989" s="1">
        <v>133</v>
      </c>
      <c r="B1989" s="1" t="str">
        <v>2020-07-31</v>
      </c>
      <c r="C1989" s="1">
        <v>1.4968999999999999</v>
      </c>
    </row>
    <row r="1990" spans="1:3" x14ac:dyDescent="0.2">
      <c r="A1990" s="1">
        <v>49</v>
      </c>
      <c r="B1990" s="1" t="str">
        <v>2020-07-31</v>
      </c>
      <c r="C1990" s="1">
        <v>1.0924</v>
      </c>
    </row>
    <row r="1991" spans="1:3" x14ac:dyDescent="0.2">
      <c r="A1991" s="1">
        <v>32400</v>
      </c>
      <c r="B1991" s="1" t="str">
        <v>2020-07-31</v>
      </c>
      <c r="C1991" s="1">
        <v>1.6692</v>
      </c>
    </row>
    <row r="1992" spans="1:3" x14ac:dyDescent="0.2">
      <c r="A1992" s="1">
        <v>37</v>
      </c>
      <c r="B1992" s="1" t="str">
        <v>2020-07-31</v>
      </c>
      <c r="C1992" s="1">
        <v>1.9634</v>
      </c>
    </row>
    <row r="1993" spans="1:3" x14ac:dyDescent="0.2">
      <c r="A1993" s="1">
        <v>146</v>
      </c>
      <c r="B1993" s="1" t="str">
        <v>2020-07-31</v>
      </c>
      <c r="C1993" s="1">
        <v>1.74</v>
      </c>
    </row>
    <row r="1994" spans="1:3" x14ac:dyDescent="0.2">
      <c r="A1994" s="1">
        <v>32121</v>
      </c>
      <c r="B1994" s="1" t="str">
        <v>2020-07-31</v>
      </c>
      <c r="C1994" s="1">
        <v>1.4664999999999999</v>
      </c>
    </row>
    <row r="1995" spans="1:3" x14ac:dyDescent="0.2">
      <c r="A1995" s="1">
        <v>24</v>
      </c>
      <c r="B1995" s="1" t="str">
        <v>2020-07-31</v>
      </c>
      <c r="C1995" s="1">
        <v>1.7910999999999999</v>
      </c>
    </row>
    <row r="1996" spans="1:3" x14ac:dyDescent="0.2">
      <c r="A1996" s="1">
        <v>33129</v>
      </c>
      <c r="B1996" s="1" t="str">
        <v>2020-07-31</v>
      </c>
      <c r="C1996" s="1">
        <v>1.3554999999999999</v>
      </c>
    </row>
    <row r="1997" spans="1:3" x14ac:dyDescent="0.2">
      <c r="A1997" s="1">
        <v>32863</v>
      </c>
      <c r="B1997" s="1" t="str">
        <v>2020-07-31</v>
      </c>
      <c r="C1997" s="1">
        <v>1.4665999999999999</v>
      </c>
    </row>
    <row r="1998" spans="1:3" x14ac:dyDescent="0.2">
      <c r="A1998" s="1">
        <v>32803</v>
      </c>
      <c r="B1998" s="1" t="str">
        <v>2020-07-31</v>
      </c>
      <c r="C1998" s="1">
        <v>1.4561999999999999</v>
      </c>
    </row>
    <row r="1999" spans="1:3" x14ac:dyDescent="0.2">
      <c r="A1999" s="1">
        <v>136</v>
      </c>
      <c r="B1999" s="1" t="str">
        <v>2020-07-31</v>
      </c>
      <c r="C1999" s="1">
        <v>1.6182000000000001</v>
      </c>
    </row>
    <row r="2000" spans="1:3" x14ac:dyDescent="0.2">
      <c r="A2000" s="1">
        <v>150</v>
      </c>
      <c r="B2000" s="1" t="str">
        <v>2020-07-31</v>
      </c>
      <c r="C2000" s="1">
        <v>1.899</v>
      </c>
    </row>
    <row r="2001" spans="1:3" x14ac:dyDescent="0.2">
      <c r="A2001" s="1">
        <v>1</v>
      </c>
      <c r="B2001" s="1" t="str">
        <v>2020-07-31</v>
      </c>
      <c r="C2001" s="1">
        <v>1.4766999999999999</v>
      </c>
    </row>
    <row r="2002" spans="1:3" x14ac:dyDescent="0.2">
      <c r="A2002" s="1">
        <v>156</v>
      </c>
      <c r="B2002" s="1" t="str">
        <v>2020-07-31</v>
      </c>
      <c r="C2002" s="1">
        <v>2.1164999999999998</v>
      </c>
    </row>
    <row r="2003" spans="1:3" x14ac:dyDescent="0.2">
      <c r="A2003" s="1">
        <v>33125</v>
      </c>
      <c r="B2003" s="1" t="str">
        <v>2020-07-31</v>
      </c>
      <c r="C2003" s="1">
        <v>1.5983000000000001</v>
      </c>
    </row>
    <row r="2004" spans="1:3" x14ac:dyDescent="0.2">
      <c r="A2004" s="1">
        <v>20</v>
      </c>
      <c r="B2004" s="1" t="str">
        <v>2020-07-31</v>
      </c>
      <c r="C2004" s="1">
        <v>1.76</v>
      </c>
    </row>
    <row r="2005" spans="1:3" x14ac:dyDescent="0.2">
      <c r="A2005" s="1">
        <v>59</v>
      </c>
      <c r="B2005" s="1" t="str">
        <v>2020-07-31</v>
      </c>
      <c r="C2005" s="1">
        <v>1.5780000000000001</v>
      </c>
    </row>
    <row r="2006" spans="1:3" x14ac:dyDescent="0.2">
      <c r="A2006" s="1">
        <v>30250</v>
      </c>
      <c r="B2006" s="1" t="str">
        <v>2020-07-31</v>
      </c>
      <c r="C2006" s="1">
        <v>1.4967999999999999</v>
      </c>
    </row>
    <row r="2007" spans="1:3" x14ac:dyDescent="0.2">
      <c r="A2007" s="1">
        <v>10</v>
      </c>
      <c r="B2007" s="1" t="str">
        <v>2020-07-31</v>
      </c>
      <c r="C2007" s="1">
        <v>1.5274000000000001</v>
      </c>
    </row>
    <row r="2008" spans="1:3" x14ac:dyDescent="0.2">
      <c r="A2008" s="1">
        <v>33203</v>
      </c>
      <c r="B2008" s="1" t="str">
        <v>2020-07-31</v>
      </c>
      <c r="C2008" s="1">
        <v>1.6886000000000001</v>
      </c>
    </row>
    <row r="2009" spans="1:3" x14ac:dyDescent="0.2">
      <c r="A2009" s="1">
        <v>32360</v>
      </c>
      <c r="B2009" s="1" t="str">
        <v>2020-07-31</v>
      </c>
      <c r="C2009" s="1">
        <v>1.2542</v>
      </c>
    </row>
    <row r="2010" spans="1:3" x14ac:dyDescent="0.2">
      <c r="A2010" s="1">
        <v>32502</v>
      </c>
      <c r="B2010" s="1" t="str">
        <v>2020-07-31</v>
      </c>
      <c r="C2010" s="1">
        <v>1.649</v>
      </c>
    </row>
    <row r="2011" spans="1:3" x14ac:dyDescent="0.2">
      <c r="A2011" s="1">
        <v>32500</v>
      </c>
      <c r="B2011" s="1" t="str">
        <v>2020-07-31</v>
      </c>
      <c r="C2011" s="1">
        <v>1.5472999999999999</v>
      </c>
    </row>
    <row r="2012" spans="1:3" x14ac:dyDescent="0.2">
      <c r="A2012" s="1">
        <v>32521</v>
      </c>
      <c r="B2012" s="1" t="str">
        <v>2020-07-31</v>
      </c>
      <c r="C2012" s="1">
        <v>1.9638</v>
      </c>
    </row>
    <row r="2013" spans="1:3" x14ac:dyDescent="0.2">
      <c r="A2013" s="1">
        <v>115</v>
      </c>
      <c r="B2013" s="1" t="str">
        <v>2020-07-31</v>
      </c>
      <c r="C2013" s="1">
        <v>1.8011999999999999</v>
      </c>
    </row>
    <row r="2014" spans="1:3" x14ac:dyDescent="0.2">
      <c r="A2014" s="1">
        <v>33183</v>
      </c>
      <c r="B2014" s="1" t="str">
        <v>2020-07-31</v>
      </c>
      <c r="C2014" s="1">
        <v>1.3654999999999999</v>
      </c>
    </row>
    <row r="2015" spans="1:3" x14ac:dyDescent="0.2">
      <c r="A2015" s="1">
        <v>30400</v>
      </c>
      <c r="B2015" s="1" t="str">
        <v>2020-07-31</v>
      </c>
      <c r="C2015" s="1">
        <v>1.2522</v>
      </c>
    </row>
    <row r="2016" spans="1:3" x14ac:dyDescent="0.2">
      <c r="A2016" s="1">
        <v>110</v>
      </c>
      <c r="B2016" s="1" t="str">
        <v>2020-07-31</v>
      </c>
      <c r="C2016" s="1">
        <v>1.6996</v>
      </c>
    </row>
    <row r="2017" spans="1:3" x14ac:dyDescent="0.2">
      <c r="A2017" s="1">
        <v>9250</v>
      </c>
      <c r="B2017" s="1" t="str">
        <v>2020-07-31</v>
      </c>
      <c r="C2017" s="1">
        <v>1.8416999999999999</v>
      </c>
    </row>
    <row r="2018" spans="1:3" x14ac:dyDescent="0.2">
      <c r="A2018" s="1">
        <v>72</v>
      </c>
      <c r="B2018" s="1" t="str">
        <v>2020-07-31</v>
      </c>
      <c r="C2018" s="1">
        <v>1.2338</v>
      </c>
    </row>
    <row r="2019" spans="1:3" x14ac:dyDescent="0.2">
      <c r="A2019" s="1">
        <v>187</v>
      </c>
      <c r="B2019" s="1" t="str">
        <v>2020-07-31</v>
      </c>
      <c r="C2019" s="1">
        <v>1.6085</v>
      </c>
    </row>
    <row r="2020" spans="1:3" x14ac:dyDescent="0.2">
      <c r="A2020" s="1">
        <v>32783</v>
      </c>
      <c r="B2020" s="1" t="str">
        <v>2020-07-31</v>
      </c>
      <c r="C2020" s="1">
        <v>1.8515999999999999</v>
      </c>
    </row>
    <row r="2021" spans="1:3" x14ac:dyDescent="0.2">
      <c r="A2021" s="1">
        <v>196</v>
      </c>
      <c r="B2021" s="1" t="str">
        <v>2020-07-31</v>
      </c>
      <c r="C2021" s="1">
        <v>1.5274000000000001</v>
      </c>
    </row>
    <row r="2022" spans="1:3" x14ac:dyDescent="0.2">
      <c r="A2022" s="1">
        <v>30300</v>
      </c>
      <c r="B2022" s="1" t="str">
        <v>2020-07-31</v>
      </c>
      <c r="C2022" s="1">
        <v>1.6185</v>
      </c>
    </row>
    <row r="2023" spans="1:3" x14ac:dyDescent="0.2">
      <c r="A2023" s="1">
        <v>81</v>
      </c>
      <c r="B2023" s="1" t="str">
        <v>2020-07-31</v>
      </c>
      <c r="C2023" s="1">
        <v>2.0041000000000002</v>
      </c>
    </row>
    <row r="2024" spans="1:3" x14ac:dyDescent="0.2">
      <c r="A2024" s="1">
        <v>53</v>
      </c>
      <c r="B2024" s="1" t="str">
        <v>2020-07-31</v>
      </c>
      <c r="C2024" s="1">
        <v>1.3749</v>
      </c>
    </row>
    <row r="2025" spans="1:3" x14ac:dyDescent="0.2">
      <c r="A2025" s="1">
        <v>78</v>
      </c>
      <c r="B2025" s="1" t="str">
        <v>2020-07-31</v>
      </c>
      <c r="C2025" s="1">
        <v>1.8211999999999999</v>
      </c>
    </row>
    <row r="2026" spans="1:3" x14ac:dyDescent="0.2">
      <c r="A2026" s="1">
        <v>32582</v>
      </c>
      <c r="B2026" s="1" t="str">
        <v>2020-07-31</v>
      </c>
      <c r="C2026" s="1">
        <v>1.4157999999999999</v>
      </c>
    </row>
    <row r="2027" spans="1:3" x14ac:dyDescent="0.2">
      <c r="A2027" s="1">
        <v>90</v>
      </c>
      <c r="B2027" s="1" t="str">
        <v>2020-07-31</v>
      </c>
      <c r="C2027" s="1">
        <v>1.7201</v>
      </c>
    </row>
    <row r="2028" spans="1:3" x14ac:dyDescent="0.2">
      <c r="A2028" s="1">
        <v>2250</v>
      </c>
      <c r="B2028" s="1" t="str">
        <v>2020-07-31</v>
      </c>
      <c r="C2028" s="1">
        <v>1.4258999999999999</v>
      </c>
    </row>
    <row r="2029" spans="1:3" x14ac:dyDescent="0.2">
      <c r="A2029" s="1">
        <v>32340</v>
      </c>
      <c r="B2029" s="1" t="str">
        <v>2020-08-03</v>
      </c>
      <c r="C2029" s="1">
        <v>1.5373000000000001</v>
      </c>
    </row>
    <row r="2030" spans="1:3" x14ac:dyDescent="0.2">
      <c r="A2030" s="1">
        <v>99</v>
      </c>
      <c r="B2030" s="1" t="str">
        <v>2020-08-03</v>
      </c>
      <c r="C2030" s="1">
        <v>2.7589000000000001</v>
      </c>
    </row>
    <row r="2031" spans="1:3" x14ac:dyDescent="0.2">
      <c r="A2031" s="1">
        <v>32421</v>
      </c>
      <c r="B2031" s="1" t="str">
        <v>2020-08-03</v>
      </c>
      <c r="C2031" s="1">
        <v>1.5183</v>
      </c>
    </row>
    <row r="2032" spans="1:3" x14ac:dyDescent="0.2">
      <c r="A2032" s="1">
        <v>182</v>
      </c>
      <c r="B2032" s="1" t="str">
        <v>2020-08-03</v>
      </c>
      <c r="C2032" s="1">
        <v>2.0249000000000001</v>
      </c>
    </row>
    <row r="2033" spans="1:3" x14ac:dyDescent="0.2">
      <c r="A2033" s="1">
        <v>178</v>
      </c>
      <c r="B2033" s="1" t="str">
        <v>2020-08-03</v>
      </c>
      <c r="C2033" s="1">
        <v>1.7814000000000001</v>
      </c>
    </row>
    <row r="2034" spans="1:3" x14ac:dyDescent="0.2">
      <c r="A2034" s="1">
        <v>24250</v>
      </c>
      <c r="B2034" s="1" t="str">
        <v>2020-08-04</v>
      </c>
      <c r="C2034" s="1">
        <v>1.4869000000000001</v>
      </c>
    </row>
    <row r="2035" spans="1:3" x14ac:dyDescent="0.2">
      <c r="A2035" s="1">
        <v>33130</v>
      </c>
      <c r="B2035" s="1" t="str">
        <v>2020-08-04</v>
      </c>
      <c r="C2035" s="1">
        <v>1.5172000000000001</v>
      </c>
    </row>
    <row r="2036" spans="1:3" x14ac:dyDescent="0.2">
      <c r="A2036" s="1">
        <v>33164</v>
      </c>
      <c r="B2036" s="1" t="str">
        <v>2020-08-05</v>
      </c>
      <c r="C2036" s="1">
        <v>1.6693</v>
      </c>
    </row>
    <row r="2037" spans="1:3" x14ac:dyDescent="0.2">
      <c r="A2037" s="1">
        <v>32963</v>
      </c>
      <c r="B2037" s="1" t="str">
        <v>2020-08-05</v>
      </c>
      <c r="C2037" s="1">
        <v>1.3956999999999999</v>
      </c>
    </row>
    <row r="2038" spans="1:3" x14ac:dyDescent="0.2">
      <c r="A2038" s="1">
        <v>32400</v>
      </c>
      <c r="B2038" s="1" t="str">
        <v>2020-08-06</v>
      </c>
      <c r="C2038" s="1">
        <v>1.6692</v>
      </c>
    </row>
    <row r="2039" spans="1:3" x14ac:dyDescent="0.2">
      <c r="A2039" s="1">
        <v>147</v>
      </c>
      <c r="B2039" s="1" t="str">
        <v>2020-08-06</v>
      </c>
      <c r="C2039" s="1">
        <v>1.0321</v>
      </c>
    </row>
    <row r="2040" spans="1:3" x14ac:dyDescent="0.2">
      <c r="A2040" s="1">
        <v>146</v>
      </c>
      <c r="B2040" s="1" t="str">
        <v>2020-08-06</v>
      </c>
      <c r="C2040" s="1">
        <v>1.74</v>
      </c>
    </row>
    <row r="2041" spans="1:3" x14ac:dyDescent="0.2">
      <c r="A2041" s="1">
        <v>32200</v>
      </c>
      <c r="B2041" s="1" t="str">
        <v>2020-08-07</v>
      </c>
      <c r="C2041" s="1">
        <v>1.3447</v>
      </c>
    </row>
    <row r="2042" spans="1:3" x14ac:dyDescent="0.2">
      <c r="A2042" s="1">
        <v>28</v>
      </c>
      <c r="B2042" s="1" t="str">
        <v>2020-08-07</v>
      </c>
      <c r="C2042" s="1">
        <v>1.4861</v>
      </c>
    </row>
    <row r="2043" spans="1:3" x14ac:dyDescent="0.2">
      <c r="A2043" s="1">
        <v>33183</v>
      </c>
      <c r="B2043" s="1" t="str">
        <v>2020-08-07</v>
      </c>
      <c r="C2043" s="1">
        <v>1.3705000000000001</v>
      </c>
    </row>
    <row r="2044" spans="1:3" x14ac:dyDescent="0.2">
      <c r="A2044" s="1">
        <v>150</v>
      </c>
      <c r="B2044" s="1" t="str">
        <v>2020-08-07</v>
      </c>
      <c r="C2044" s="1">
        <v>1.8463000000000001</v>
      </c>
    </row>
    <row r="2045" spans="1:3" x14ac:dyDescent="0.2">
      <c r="A2045" s="1">
        <v>32180</v>
      </c>
      <c r="B2045" s="1" t="str">
        <v>2020-08-07</v>
      </c>
      <c r="C2045" s="1">
        <v>1.5447</v>
      </c>
    </row>
    <row r="2046" spans="1:3" x14ac:dyDescent="0.2">
      <c r="A2046" s="1">
        <v>139</v>
      </c>
      <c r="B2046" s="1" t="str">
        <v>2020-08-07</v>
      </c>
      <c r="C2046" s="1">
        <v>1.6996</v>
      </c>
    </row>
    <row r="2047" spans="1:3" x14ac:dyDescent="0.2">
      <c r="A2047" s="1">
        <v>133</v>
      </c>
      <c r="B2047" s="1" t="str">
        <v>2020-08-07</v>
      </c>
      <c r="C2047" s="1">
        <v>1.6083000000000001</v>
      </c>
    </row>
    <row r="2048" spans="1:3" x14ac:dyDescent="0.2">
      <c r="A2048" s="1">
        <v>81</v>
      </c>
      <c r="B2048" s="1" t="str">
        <v>2020-08-07</v>
      </c>
      <c r="C2048" s="1">
        <v>1.9635</v>
      </c>
    </row>
    <row r="2049" spans="1:3" x14ac:dyDescent="0.2">
      <c r="A2049" s="1">
        <v>67</v>
      </c>
      <c r="B2049" s="1" t="str">
        <v>2020-08-07</v>
      </c>
      <c r="C2049" s="1">
        <v>1.6994</v>
      </c>
    </row>
    <row r="2050" spans="1:3" x14ac:dyDescent="0.2">
      <c r="A2050" s="1">
        <v>147</v>
      </c>
      <c r="B2050" s="1" t="str">
        <v>2020-08-07</v>
      </c>
      <c r="C2050" s="1">
        <v>1.0623</v>
      </c>
    </row>
    <row r="2051" spans="1:3" x14ac:dyDescent="0.2">
      <c r="A2051" s="1">
        <v>13250</v>
      </c>
      <c r="B2051" s="1" t="str">
        <v>2020-08-07</v>
      </c>
      <c r="C2051" s="1">
        <v>1.3148</v>
      </c>
    </row>
    <row r="2052" spans="1:3" x14ac:dyDescent="0.2">
      <c r="A2052" s="1">
        <v>32724</v>
      </c>
      <c r="B2052" s="1" t="str">
        <v>2020-08-07</v>
      </c>
      <c r="C2052" s="1">
        <v>1.6288</v>
      </c>
    </row>
    <row r="2053" spans="1:3" x14ac:dyDescent="0.2">
      <c r="A2053" s="1">
        <v>20</v>
      </c>
      <c r="B2053" s="1" t="str">
        <v>2020-08-07</v>
      </c>
      <c r="C2053" s="1">
        <v>1.7904</v>
      </c>
    </row>
    <row r="2054" spans="1:3" x14ac:dyDescent="0.2">
      <c r="A2054" s="1">
        <v>161</v>
      </c>
      <c r="B2054" s="1" t="str">
        <v>2020-08-07</v>
      </c>
      <c r="C2054" s="1">
        <v>1.5576000000000001</v>
      </c>
    </row>
    <row r="2055" spans="1:3" x14ac:dyDescent="0.2">
      <c r="A2055" s="1">
        <v>33103</v>
      </c>
      <c r="B2055" s="1" t="str">
        <v>2020-08-07</v>
      </c>
      <c r="C2055" s="1">
        <v>2.2212999999999998</v>
      </c>
    </row>
    <row r="2056" spans="1:3" x14ac:dyDescent="0.2">
      <c r="A2056" s="1">
        <v>164</v>
      </c>
      <c r="B2056" s="1" t="str">
        <v>2020-08-07</v>
      </c>
      <c r="C2056" s="1">
        <v>1.8112999999999999</v>
      </c>
    </row>
    <row r="2057" spans="1:3" x14ac:dyDescent="0.2">
      <c r="A2057" s="1">
        <v>16</v>
      </c>
      <c r="B2057" s="1" t="str">
        <v>2020-08-07</v>
      </c>
      <c r="C2057" s="1">
        <v>1.3853</v>
      </c>
    </row>
    <row r="2058" spans="1:3" x14ac:dyDescent="0.2">
      <c r="A2058" s="1">
        <v>10</v>
      </c>
      <c r="B2058" s="1" t="str">
        <v>2020-08-07</v>
      </c>
      <c r="C2058" s="1">
        <v>1.4970000000000001</v>
      </c>
    </row>
    <row r="2059" spans="1:3" x14ac:dyDescent="0.2">
      <c r="A2059" s="1">
        <v>115</v>
      </c>
      <c r="B2059" s="1" t="str">
        <v>2020-08-07</v>
      </c>
      <c r="C2059" s="1">
        <v>1.8825000000000001</v>
      </c>
    </row>
    <row r="2060" spans="1:3" x14ac:dyDescent="0.2">
      <c r="A2060" s="1">
        <v>33203</v>
      </c>
      <c r="B2060" s="1" t="str">
        <v>2020-08-07</v>
      </c>
      <c r="C2060" s="1">
        <v>1.6667000000000001</v>
      </c>
    </row>
    <row r="2061" spans="1:3" x14ac:dyDescent="0.2">
      <c r="A2061" s="1">
        <v>33130</v>
      </c>
      <c r="B2061" s="1" t="str">
        <v>2020-08-07</v>
      </c>
      <c r="C2061" s="1">
        <v>1.5475000000000001</v>
      </c>
    </row>
    <row r="2062" spans="1:3" x14ac:dyDescent="0.2">
      <c r="A2062" s="1">
        <v>187</v>
      </c>
      <c r="B2062" s="1" t="str">
        <v>2020-08-07</v>
      </c>
      <c r="C2062" s="1">
        <v>1.6289</v>
      </c>
    </row>
    <row r="2063" spans="1:3" x14ac:dyDescent="0.2">
      <c r="A2063" s="1">
        <v>101</v>
      </c>
      <c r="B2063" s="1" t="str">
        <v>2020-08-10</v>
      </c>
      <c r="C2063" s="1">
        <v>1.5576000000000001</v>
      </c>
    </row>
    <row r="2064" spans="1:3" x14ac:dyDescent="0.2">
      <c r="A2064" s="1">
        <v>32400</v>
      </c>
      <c r="B2064" s="1" t="str">
        <v>2020-08-10</v>
      </c>
      <c r="C2064" s="1">
        <v>1.7301</v>
      </c>
    </row>
    <row r="2065" spans="1:3" x14ac:dyDescent="0.2">
      <c r="A2065" s="1">
        <v>33023</v>
      </c>
      <c r="B2065" s="1" t="str">
        <v>2020-08-10</v>
      </c>
      <c r="C2065" s="1">
        <v>1.6693</v>
      </c>
    </row>
    <row r="2066" spans="1:3" x14ac:dyDescent="0.2">
      <c r="A2066" s="1">
        <v>8</v>
      </c>
      <c r="B2066" s="1" t="str">
        <v>2020-08-10</v>
      </c>
      <c r="C2066" s="1">
        <v>2.2692000000000001</v>
      </c>
    </row>
    <row r="2067" spans="1:3" x14ac:dyDescent="0.2">
      <c r="A2067" s="1">
        <v>32260</v>
      </c>
      <c r="B2067" s="1" t="str">
        <v>2020-08-10</v>
      </c>
      <c r="C2067" s="1">
        <v>1.5881000000000001</v>
      </c>
    </row>
    <row r="2068" spans="1:3" x14ac:dyDescent="0.2">
      <c r="A2068" s="1">
        <v>32663</v>
      </c>
      <c r="B2068" s="1" t="str">
        <v>2020-08-10</v>
      </c>
      <c r="C2068" s="1">
        <v>1.5681</v>
      </c>
    </row>
    <row r="2069" spans="1:3" x14ac:dyDescent="0.2">
      <c r="A2069" s="1">
        <v>32421</v>
      </c>
      <c r="B2069" s="1" t="str">
        <v>2020-08-10</v>
      </c>
      <c r="C2069" s="1">
        <v>1.6593</v>
      </c>
    </row>
    <row r="2070" spans="1:3" x14ac:dyDescent="0.2">
      <c r="A2070" s="1">
        <v>24250</v>
      </c>
      <c r="B2070" s="1" t="str">
        <v>2020-08-10</v>
      </c>
      <c r="C2070" s="1">
        <v>1.5071000000000001</v>
      </c>
    </row>
    <row r="2071" spans="1:3" x14ac:dyDescent="0.2">
      <c r="A2071" s="1">
        <v>33103</v>
      </c>
      <c r="B2071" s="1" t="str">
        <v>2020-08-10</v>
      </c>
      <c r="C2071" s="1">
        <v>2.3938999999999999</v>
      </c>
    </row>
    <row r="2072" spans="1:3" x14ac:dyDescent="0.2">
      <c r="A2072" s="1">
        <v>178</v>
      </c>
      <c r="B2072" s="1" t="str">
        <v>2020-08-10</v>
      </c>
      <c r="C2072" s="1">
        <v>1.7932999999999999</v>
      </c>
    </row>
    <row r="2073" spans="1:3" x14ac:dyDescent="0.2">
      <c r="A2073" s="1">
        <v>8</v>
      </c>
      <c r="B2073" s="1" t="str">
        <v>2020-08-11</v>
      </c>
      <c r="C2073" s="1">
        <v>2.1059999999999999</v>
      </c>
    </row>
    <row r="2074" spans="1:3" x14ac:dyDescent="0.2">
      <c r="A2074" s="1">
        <v>33125</v>
      </c>
      <c r="B2074" s="1" t="str">
        <v>2020-08-11</v>
      </c>
      <c r="C2074" s="1">
        <v>1.5983000000000001</v>
      </c>
    </row>
    <row r="2075" spans="1:3" x14ac:dyDescent="0.2">
      <c r="A2075" s="1">
        <v>32222</v>
      </c>
      <c r="B2075" s="1" t="str">
        <v>2020-08-11</v>
      </c>
      <c r="C2075" s="1">
        <v>1.7806</v>
      </c>
    </row>
    <row r="2076" spans="1:3" x14ac:dyDescent="0.2">
      <c r="A2076" s="1">
        <v>32040</v>
      </c>
      <c r="B2076" s="1" t="str">
        <v>2020-08-11</v>
      </c>
      <c r="C2076" s="1">
        <v>1.6378999999999999</v>
      </c>
    </row>
    <row r="2077" spans="1:3" x14ac:dyDescent="0.2">
      <c r="A2077" s="1">
        <v>115</v>
      </c>
      <c r="B2077" s="1" t="str">
        <v>2020-08-11</v>
      </c>
      <c r="C2077" s="1">
        <v>1.8216000000000001</v>
      </c>
    </row>
    <row r="2078" spans="1:3" x14ac:dyDescent="0.2">
      <c r="A2078" s="1">
        <v>32964</v>
      </c>
      <c r="B2078" s="1" t="str">
        <v>2020-08-11</v>
      </c>
      <c r="C2078" s="1">
        <v>1.5128999999999999</v>
      </c>
    </row>
    <row r="2079" spans="1:3" x14ac:dyDescent="0.2">
      <c r="A2079" s="1">
        <v>2250</v>
      </c>
      <c r="B2079" s="1" t="str">
        <v>2020-08-12</v>
      </c>
      <c r="C2079" s="1">
        <v>1.4056999999999999</v>
      </c>
    </row>
    <row r="2080" spans="1:3" x14ac:dyDescent="0.2">
      <c r="A2080" s="1">
        <v>32963</v>
      </c>
      <c r="B2080" s="1" t="str">
        <v>2020-08-12</v>
      </c>
      <c r="C2080" s="1">
        <v>1.5477000000000001</v>
      </c>
    </row>
    <row r="2081" spans="1:3" x14ac:dyDescent="0.2">
      <c r="A2081" s="1">
        <v>32583</v>
      </c>
      <c r="B2081" s="1" t="str">
        <v>2020-08-12</v>
      </c>
      <c r="C2081" s="1">
        <v>1.6</v>
      </c>
    </row>
    <row r="2082" spans="1:3" x14ac:dyDescent="0.2">
      <c r="A2082" s="1">
        <v>77</v>
      </c>
      <c r="B2082" s="1" t="str">
        <v>2020-08-12</v>
      </c>
      <c r="C2082" s="1">
        <v>1.9944</v>
      </c>
    </row>
    <row r="2083" spans="1:3" x14ac:dyDescent="0.2">
      <c r="A2083" s="1">
        <v>30350</v>
      </c>
      <c r="B2083" s="1" t="str">
        <v>2020-08-12</v>
      </c>
      <c r="C2083" s="1">
        <v>1.5172000000000001</v>
      </c>
    </row>
    <row r="2084" spans="1:3" x14ac:dyDescent="0.2">
      <c r="A2084" s="1">
        <v>32400</v>
      </c>
      <c r="B2084" s="1" t="str">
        <v>2020-08-13</v>
      </c>
      <c r="C2084" s="1">
        <v>1.8520000000000001</v>
      </c>
    </row>
    <row r="2085" spans="1:3" x14ac:dyDescent="0.2">
      <c r="A2085" s="1">
        <v>32803</v>
      </c>
      <c r="B2085" s="1" t="str">
        <v>2020-08-13</v>
      </c>
      <c r="C2085" s="1">
        <v>1.6997</v>
      </c>
    </row>
    <row r="2086" spans="1:3" x14ac:dyDescent="0.2">
      <c r="A2086" s="1">
        <v>32360</v>
      </c>
      <c r="B2086" s="1" t="str">
        <v>2020-08-13</v>
      </c>
      <c r="C2086" s="1">
        <v>1.2642</v>
      </c>
    </row>
    <row r="2087" spans="1:3" x14ac:dyDescent="0.2">
      <c r="A2087" s="1">
        <v>53</v>
      </c>
      <c r="B2087" s="1" t="str">
        <v>2020-08-13</v>
      </c>
      <c r="C2087" s="1">
        <v>1.7603</v>
      </c>
    </row>
    <row r="2088" spans="1:3" x14ac:dyDescent="0.2">
      <c r="A2088" s="1">
        <v>32401</v>
      </c>
      <c r="B2088" s="1" t="str">
        <v>2020-08-13</v>
      </c>
      <c r="C2088" s="1">
        <v>1.6083000000000001</v>
      </c>
    </row>
    <row r="2089" spans="1:3" x14ac:dyDescent="0.2">
      <c r="A2089" s="1">
        <v>32723</v>
      </c>
      <c r="B2089" s="1" t="str">
        <v>2020-08-14</v>
      </c>
      <c r="C2089" s="1">
        <v>1.7706</v>
      </c>
    </row>
    <row r="2090" spans="1:3" x14ac:dyDescent="0.2">
      <c r="A2090" s="1">
        <v>156</v>
      </c>
      <c r="B2090" s="1" t="str">
        <v>2020-08-14</v>
      </c>
      <c r="C2090" s="1">
        <v>2.1265999999999998</v>
      </c>
    </row>
    <row r="2091" spans="1:3" x14ac:dyDescent="0.2">
      <c r="A2091" s="1">
        <v>150</v>
      </c>
      <c r="B2091" s="1" t="str">
        <v>2020-08-14</v>
      </c>
      <c r="C2091" s="1">
        <v>1.8463000000000001</v>
      </c>
    </row>
    <row r="2092" spans="1:3" x14ac:dyDescent="0.2">
      <c r="A2092" s="1">
        <v>32983</v>
      </c>
      <c r="B2092" s="1" t="str">
        <v>2020-08-14</v>
      </c>
      <c r="C2092" s="1">
        <v>1.6492</v>
      </c>
    </row>
    <row r="2093" spans="1:3" x14ac:dyDescent="0.2">
      <c r="A2093" s="1">
        <v>32783</v>
      </c>
      <c r="B2093" s="1" t="str">
        <v>2020-08-14</v>
      </c>
      <c r="C2093" s="1">
        <v>1.8517999999999999</v>
      </c>
    </row>
    <row r="2094" spans="1:3" x14ac:dyDescent="0.2">
      <c r="A2094" s="1">
        <v>102</v>
      </c>
      <c r="B2094" s="1" t="str">
        <v>2020-08-14</v>
      </c>
      <c r="C2094" s="1">
        <v>1.6583000000000001</v>
      </c>
    </row>
    <row r="2095" spans="1:3" x14ac:dyDescent="0.2">
      <c r="A2095" s="1">
        <v>59</v>
      </c>
      <c r="B2095" s="1" t="str">
        <v>2020-08-14</v>
      </c>
      <c r="C2095" s="1">
        <v>1.5375000000000001</v>
      </c>
    </row>
    <row r="2096" spans="1:3" x14ac:dyDescent="0.2">
      <c r="A2096" s="1">
        <v>24</v>
      </c>
      <c r="B2096" s="1" t="str">
        <v>2020-08-14</v>
      </c>
      <c r="C2096" s="1">
        <v>1.7909999999999999</v>
      </c>
    </row>
    <row r="2097" spans="1:3" x14ac:dyDescent="0.2">
      <c r="A2097" s="1">
        <v>32081</v>
      </c>
      <c r="B2097" s="1" t="str">
        <v>2020-08-14</v>
      </c>
      <c r="C2097" s="1">
        <v>1.1632</v>
      </c>
    </row>
    <row r="2098" spans="1:3" x14ac:dyDescent="0.2">
      <c r="A2098" s="1">
        <v>146</v>
      </c>
      <c r="B2098" s="1" t="str">
        <v>2020-08-14</v>
      </c>
      <c r="C2098" s="1">
        <v>1.7907</v>
      </c>
    </row>
    <row r="2099" spans="1:3" x14ac:dyDescent="0.2">
      <c r="A2099" s="1">
        <v>32400</v>
      </c>
      <c r="B2099" s="1" t="str">
        <v>2020-08-14</v>
      </c>
      <c r="C2099" s="1">
        <v>1.8723000000000001</v>
      </c>
    </row>
    <row r="2100" spans="1:3" x14ac:dyDescent="0.2">
      <c r="A2100" s="1">
        <v>81</v>
      </c>
      <c r="B2100" s="1" t="str">
        <v>2020-08-14</v>
      </c>
      <c r="C2100" s="1">
        <v>1.9635</v>
      </c>
    </row>
    <row r="2101" spans="1:3" x14ac:dyDescent="0.2">
      <c r="A2101" s="1">
        <v>109</v>
      </c>
      <c r="B2101" s="1" t="str">
        <v>2020-08-14</v>
      </c>
      <c r="C2101" s="1">
        <v>1.7706999999999999</v>
      </c>
    </row>
    <row r="2102" spans="1:3" x14ac:dyDescent="0.2">
      <c r="A2102" s="1">
        <v>32</v>
      </c>
      <c r="B2102" s="1" t="str">
        <v>2020-08-14</v>
      </c>
      <c r="C2102" s="1">
        <v>1.6894</v>
      </c>
    </row>
    <row r="2103" spans="1:3" x14ac:dyDescent="0.2">
      <c r="A2103" s="1">
        <v>133</v>
      </c>
      <c r="B2103" s="1" t="str">
        <v>2020-08-14</v>
      </c>
      <c r="C2103" s="1">
        <v>1.6083000000000001</v>
      </c>
    </row>
    <row r="2104" spans="1:3" x14ac:dyDescent="0.2">
      <c r="A2104" s="1">
        <v>32724</v>
      </c>
      <c r="B2104" s="1" t="str">
        <v>2020-08-14</v>
      </c>
      <c r="C2104" s="1">
        <v>1.6796</v>
      </c>
    </row>
    <row r="2105" spans="1:3" x14ac:dyDescent="0.2">
      <c r="A2105" s="1">
        <v>32200</v>
      </c>
      <c r="B2105" s="1" t="str">
        <v>2020-08-14</v>
      </c>
      <c r="C2105" s="1">
        <v>1.3043</v>
      </c>
    </row>
    <row r="2106" spans="1:3" x14ac:dyDescent="0.2">
      <c r="A2106" s="1">
        <v>147</v>
      </c>
      <c r="B2106" s="1" t="str">
        <v>2020-08-14</v>
      </c>
      <c r="C2106" s="1">
        <v>1.0623</v>
      </c>
    </row>
    <row r="2107" spans="1:3" x14ac:dyDescent="0.2">
      <c r="A2107" s="1">
        <v>30400</v>
      </c>
      <c r="B2107" s="1" t="str">
        <v>2020-08-14</v>
      </c>
      <c r="C2107" s="1">
        <v>1.6187</v>
      </c>
    </row>
    <row r="2108" spans="1:3" x14ac:dyDescent="0.2">
      <c r="A2108" s="1">
        <v>32340</v>
      </c>
      <c r="B2108" s="1" t="str">
        <v>2020-08-14</v>
      </c>
      <c r="C2108" s="1">
        <v>1.5476000000000001</v>
      </c>
    </row>
    <row r="2109" spans="1:3" x14ac:dyDescent="0.2">
      <c r="A2109" s="1">
        <v>32401</v>
      </c>
      <c r="B2109" s="1" t="str">
        <v>2020-08-14</v>
      </c>
      <c r="C2109" s="1">
        <v>1.6083000000000001</v>
      </c>
    </row>
    <row r="2110" spans="1:3" x14ac:dyDescent="0.2">
      <c r="A2110" s="1">
        <v>33129</v>
      </c>
      <c r="B2110" s="1" t="str">
        <v>2020-08-14</v>
      </c>
      <c r="C2110" s="1">
        <v>1.8008999999999999</v>
      </c>
    </row>
    <row r="2111" spans="1:3" x14ac:dyDescent="0.2">
      <c r="A2111" s="1">
        <v>33083</v>
      </c>
      <c r="B2111" s="1" t="str">
        <v>2020-08-14</v>
      </c>
      <c r="C2111" s="1">
        <v>1.7524</v>
      </c>
    </row>
    <row r="2112" spans="1:3" x14ac:dyDescent="0.2">
      <c r="A2112" s="1">
        <v>32501</v>
      </c>
      <c r="B2112" s="1" t="str">
        <v>2020-08-14</v>
      </c>
      <c r="C2112" s="1">
        <v>2.0552000000000001</v>
      </c>
    </row>
    <row r="2113" spans="1:3" x14ac:dyDescent="0.2">
      <c r="A2113" s="1">
        <v>16</v>
      </c>
      <c r="B2113" s="1" t="str">
        <v>2020-08-14</v>
      </c>
      <c r="C2113" s="1">
        <v>1.4259999999999999</v>
      </c>
    </row>
    <row r="2114" spans="1:3" x14ac:dyDescent="0.2">
      <c r="A2114" s="1">
        <v>32963</v>
      </c>
      <c r="B2114" s="1" t="str">
        <v>2020-08-14</v>
      </c>
      <c r="C2114" s="1">
        <v>1.5477000000000001</v>
      </c>
    </row>
    <row r="2115" spans="1:3" x14ac:dyDescent="0.2">
      <c r="A2115" s="1">
        <v>10</v>
      </c>
      <c r="B2115" s="1" t="str">
        <v>2020-08-14</v>
      </c>
      <c r="C2115" s="1">
        <v>1.6289</v>
      </c>
    </row>
    <row r="2116" spans="1:3" x14ac:dyDescent="0.2">
      <c r="A2116" s="1">
        <v>32180</v>
      </c>
      <c r="B2116" s="1" t="str">
        <v>2020-08-14</v>
      </c>
      <c r="C2116" s="1">
        <v>1.5132000000000001</v>
      </c>
    </row>
    <row r="2117" spans="1:3" x14ac:dyDescent="0.2">
      <c r="A2117" s="1">
        <v>161</v>
      </c>
      <c r="B2117" s="1" t="str">
        <v>2020-08-14</v>
      </c>
      <c r="C2117" s="1">
        <v>1.6386000000000001</v>
      </c>
    </row>
    <row r="2118" spans="1:3" x14ac:dyDescent="0.2">
      <c r="A2118" s="1">
        <v>33183</v>
      </c>
      <c r="B2118" s="1" t="str">
        <v>2020-08-14</v>
      </c>
      <c r="C2118" s="1">
        <v>1.7404999999999999</v>
      </c>
    </row>
    <row r="2119" spans="1:3" x14ac:dyDescent="0.2">
      <c r="A2119" s="1">
        <v>32260</v>
      </c>
      <c r="B2119" s="1" t="str">
        <v>2020-08-14</v>
      </c>
      <c r="C2119" s="1">
        <v>1.5982000000000001</v>
      </c>
    </row>
    <row r="2120" spans="1:3" x14ac:dyDescent="0.2">
      <c r="A2120" s="1">
        <v>182</v>
      </c>
      <c r="B2120" s="1" t="str">
        <v>2020-08-14</v>
      </c>
      <c r="C2120" s="1">
        <v>2.1366999999999998</v>
      </c>
    </row>
    <row r="2121" spans="1:3" x14ac:dyDescent="0.2">
      <c r="A2121" s="1">
        <v>32663</v>
      </c>
      <c r="B2121" s="1" t="str">
        <v>2020-08-14</v>
      </c>
      <c r="C2121" s="1">
        <v>1.7199</v>
      </c>
    </row>
    <row r="2122" spans="1:3" x14ac:dyDescent="0.2">
      <c r="A2122" s="1">
        <v>32420</v>
      </c>
      <c r="B2122" s="1" t="str">
        <v>2020-08-14</v>
      </c>
      <c r="C2122" s="1">
        <v>1.6766000000000001</v>
      </c>
    </row>
    <row r="2123" spans="1:3" x14ac:dyDescent="0.2">
      <c r="A2123" s="1">
        <v>2250</v>
      </c>
      <c r="B2123" s="1" t="str">
        <v>2020-08-14</v>
      </c>
      <c r="C2123" s="1">
        <v>1.5069999999999999</v>
      </c>
    </row>
    <row r="2124" spans="1:3" x14ac:dyDescent="0.2">
      <c r="A2124" s="1">
        <v>136</v>
      </c>
      <c r="B2124" s="1" t="str">
        <v>2020-08-17</v>
      </c>
      <c r="C2124" s="1">
        <v>1.7401</v>
      </c>
    </row>
    <row r="2125" spans="1:3" x14ac:dyDescent="0.2">
      <c r="A2125" s="1">
        <v>32200</v>
      </c>
      <c r="B2125" s="1" t="str">
        <v>2020-08-17</v>
      </c>
      <c r="C2125" s="1">
        <v>1.3043</v>
      </c>
    </row>
    <row r="2126" spans="1:3" x14ac:dyDescent="0.2">
      <c r="A2126" s="1">
        <v>157</v>
      </c>
      <c r="B2126" s="1" t="str">
        <v>2020-08-17</v>
      </c>
      <c r="C2126" s="1">
        <v>1.7</v>
      </c>
    </row>
    <row r="2127" spans="1:3" x14ac:dyDescent="0.2">
      <c r="A2127" s="1">
        <v>32260</v>
      </c>
      <c r="B2127" s="1" t="str">
        <v>2020-08-17</v>
      </c>
      <c r="C2127" s="1">
        <v>1.6287</v>
      </c>
    </row>
    <row r="2128" spans="1:3" x14ac:dyDescent="0.2">
      <c r="A2128" s="1">
        <v>33143</v>
      </c>
      <c r="B2128" s="1" t="str">
        <v>2020-08-17</v>
      </c>
      <c r="C2128" s="1">
        <v>1.8</v>
      </c>
    </row>
    <row r="2129" spans="1:3" x14ac:dyDescent="0.2">
      <c r="A2129" s="1">
        <v>32421</v>
      </c>
      <c r="B2129" s="1" t="str">
        <v>2020-08-17</v>
      </c>
      <c r="C2129" s="1">
        <v>1.7645999999999999</v>
      </c>
    </row>
    <row r="2130" spans="1:3" x14ac:dyDescent="0.2">
      <c r="A2130" s="1">
        <v>34</v>
      </c>
      <c r="B2130" s="1" t="str">
        <v>2020-08-17</v>
      </c>
      <c r="C2130" s="1">
        <v>1.6894</v>
      </c>
    </row>
    <row r="2131" spans="1:3" x14ac:dyDescent="0.2">
      <c r="A2131" s="1">
        <v>8</v>
      </c>
      <c r="B2131" s="1" t="str">
        <v>2020-08-17</v>
      </c>
      <c r="C2131" s="1">
        <v>2.1467999999999998</v>
      </c>
    </row>
    <row r="2132" spans="1:3" x14ac:dyDescent="0.2">
      <c r="A2132" s="1">
        <v>178</v>
      </c>
      <c r="B2132" s="1" t="str">
        <v>2020-08-17</v>
      </c>
      <c r="C2132" s="1">
        <v>1.9857</v>
      </c>
    </row>
    <row r="2133" spans="1:3" x14ac:dyDescent="0.2">
      <c r="A2133" s="1">
        <v>153</v>
      </c>
      <c r="B2133" s="1" t="str">
        <v>2020-08-17</v>
      </c>
      <c r="C2133" s="1">
        <v>1.7707999999999999</v>
      </c>
    </row>
    <row r="2134" spans="1:3" x14ac:dyDescent="0.2">
      <c r="A2134" s="1">
        <v>32380</v>
      </c>
      <c r="B2134" s="1" t="str">
        <v>2020-08-17</v>
      </c>
      <c r="C2134" s="1">
        <v>2.2690000000000001</v>
      </c>
    </row>
    <row r="2135" spans="1:3" x14ac:dyDescent="0.2">
      <c r="A2135" s="1">
        <v>32040</v>
      </c>
      <c r="B2135" s="1" t="str">
        <v>2020-08-18</v>
      </c>
      <c r="C2135" s="1">
        <v>1.8105</v>
      </c>
    </row>
    <row r="2136" spans="1:3" x14ac:dyDescent="0.2">
      <c r="A2136" s="1">
        <v>33203</v>
      </c>
      <c r="B2136" s="1" t="str">
        <v>2020-08-18</v>
      </c>
      <c r="C2136" s="1">
        <v>1.6338999999999999</v>
      </c>
    </row>
    <row r="2137" spans="1:3" x14ac:dyDescent="0.2">
      <c r="A2137" s="1">
        <v>101</v>
      </c>
      <c r="B2137" s="1" t="str">
        <v>2020-08-18</v>
      </c>
      <c r="C2137" s="1">
        <v>1.7302</v>
      </c>
    </row>
    <row r="2138" spans="1:3" x14ac:dyDescent="0.2">
      <c r="A2138" s="1">
        <v>34</v>
      </c>
      <c r="B2138" s="1" t="str">
        <v>2020-08-18</v>
      </c>
      <c r="C2138" s="1">
        <v>1.6894</v>
      </c>
    </row>
    <row r="2139" spans="1:3" x14ac:dyDescent="0.2">
      <c r="A2139" s="1">
        <v>178</v>
      </c>
      <c r="B2139" s="1" t="str">
        <v>2020-08-18</v>
      </c>
      <c r="C2139" s="1">
        <v>1.9857</v>
      </c>
    </row>
    <row r="2140" spans="1:3" x14ac:dyDescent="0.2">
      <c r="A2140" s="1">
        <v>181</v>
      </c>
      <c r="B2140" s="1" t="str">
        <v>2020-08-18</v>
      </c>
      <c r="C2140" s="1">
        <v>1.9941</v>
      </c>
    </row>
    <row r="2141" spans="1:3" x14ac:dyDescent="0.2">
      <c r="A2141" s="1">
        <v>28</v>
      </c>
      <c r="B2141" s="1" t="str">
        <v>2020-08-18</v>
      </c>
      <c r="C2141" s="1">
        <v>1.5273000000000001</v>
      </c>
    </row>
    <row r="2142" spans="1:3" x14ac:dyDescent="0.2">
      <c r="A2142" s="1">
        <v>187</v>
      </c>
      <c r="B2142" s="1" t="str">
        <v>2020-08-18</v>
      </c>
      <c r="C2142" s="1">
        <v>1.6289</v>
      </c>
    </row>
    <row r="2143" spans="1:3" x14ac:dyDescent="0.2">
      <c r="A2143" s="1">
        <v>33125</v>
      </c>
      <c r="B2143" s="1" t="str">
        <v>2020-08-18</v>
      </c>
      <c r="C2143" s="1">
        <v>1.6998</v>
      </c>
    </row>
    <row r="2144" spans="1:3" x14ac:dyDescent="0.2">
      <c r="A2144" s="1">
        <v>1</v>
      </c>
      <c r="B2144" s="1" t="str">
        <v>2020-08-18</v>
      </c>
      <c r="C2144" s="1">
        <v>1.5578000000000001</v>
      </c>
    </row>
    <row r="2145" spans="1:3" x14ac:dyDescent="0.2">
      <c r="A2145" s="1">
        <v>32040</v>
      </c>
      <c r="B2145" s="1" t="str">
        <v>2020-08-19</v>
      </c>
      <c r="C2145" s="1">
        <v>1.9807999999999999</v>
      </c>
    </row>
    <row r="2146" spans="1:3" x14ac:dyDescent="0.2">
      <c r="A2146" s="1">
        <v>32963</v>
      </c>
      <c r="B2146" s="1" t="str">
        <v>2020-08-19</v>
      </c>
      <c r="C2146" s="1">
        <v>1.5679000000000001</v>
      </c>
    </row>
    <row r="2147" spans="1:3" x14ac:dyDescent="0.2">
      <c r="A2147" s="1">
        <v>37</v>
      </c>
      <c r="B2147" s="1" t="str">
        <v>2020-08-20</v>
      </c>
      <c r="C2147" s="1">
        <v>1.9530000000000001</v>
      </c>
    </row>
    <row r="2148" spans="1:3" x14ac:dyDescent="0.2">
      <c r="A2148" s="1">
        <v>32400</v>
      </c>
      <c r="B2148" s="1" t="str">
        <v>2020-08-20</v>
      </c>
      <c r="C2148" s="1">
        <v>1.8113999999999999</v>
      </c>
    </row>
    <row r="2149" spans="1:3" x14ac:dyDescent="0.2">
      <c r="A2149" s="1">
        <v>33043</v>
      </c>
      <c r="B2149" s="1" t="str">
        <v>2020-08-20</v>
      </c>
      <c r="C2149" s="1">
        <v>1.8314999999999999</v>
      </c>
    </row>
    <row r="2150" spans="1:3" x14ac:dyDescent="0.2">
      <c r="A2150" s="1">
        <v>33125</v>
      </c>
      <c r="B2150" s="1" t="str">
        <v>2020-08-20</v>
      </c>
      <c r="C2150" s="1">
        <v>1.8826000000000001</v>
      </c>
    </row>
    <row r="2151" spans="1:3" x14ac:dyDescent="0.2">
      <c r="A2151" s="1">
        <v>115</v>
      </c>
      <c r="B2151" s="1" t="str">
        <v>2020-08-20</v>
      </c>
      <c r="C2151" s="1">
        <v>2.0045999999999999</v>
      </c>
    </row>
    <row r="2152" spans="1:3" x14ac:dyDescent="0.2">
      <c r="A2152" s="1">
        <v>139</v>
      </c>
      <c r="B2152" s="1" t="str">
        <v>2020-08-20</v>
      </c>
      <c r="C2152" s="1">
        <v>1.9739</v>
      </c>
    </row>
    <row r="2153" spans="1:3" x14ac:dyDescent="0.2">
      <c r="A2153" s="1">
        <v>137</v>
      </c>
      <c r="B2153" s="1" t="str">
        <v>2020-08-20</v>
      </c>
      <c r="C2153" s="1">
        <v>1.9738</v>
      </c>
    </row>
    <row r="2154" spans="1:3" x14ac:dyDescent="0.2">
      <c r="A2154" s="1">
        <v>33130</v>
      </c>
      <c r="B2154" s="1" t="str">
        <v>2020-08-21</v>
      </c>
      <c r="C2154" s="1">
        <v>2.0045999999999999</v>
      </c>
    </row>
    <row r="2155" spans="1:3" x14ac:dyDescent="0.2">
      <c r="A2155" s="1">
        <v>150</v>
      </c>
      <c r="B2155" s="1" t="str">
        <v>2020-08-21</v>
      </c>
      <c r="C2155" s="1">
        <v>1.9479</v>
      </c>
    </row>
    <row r="2156" spans="1:3" x14ac:dyDescent="0.2">
      <c r="A2156" s="1">
        <v>37</v>
      </c>
      <c r="B2156" s="1" t="str">
        <v>2020-08-21</v>
      </c>
      <c r="C2156" s="1">
        <v>1.9530000000000001</v>
      </c>
    </row>
    <row r="2157" spans="1:3" x14ac:dyDescent="0.2">
      <c r="A2157" s="1">
        <v>24</v>
      </c>
      <c r="B2157" s="1" t="str">
        <v>2020-08-21</v>
      </c>
      <c r="C2157" s="1">
        <v>1.7808999999999999</v>
      </c>
    </row>
    <row r="2158" spans="1:3" x14ac:dyDescent="0.2">
      <c r="A2158" s="1">
        <v>32420</v>
      </c>
      <c r="B2158" s="1" t="str">
        <v>2020-08-21</v>
      </c>
      <c r="C2158" s="1">
        <v>1.6766000000000001</v>
      </c>
    </row>
    <row r="2159" spans="1:3" x14ac:dyDescent="0.2">
      <c r="A2159" s="1">
        <v>81</v>
      </c>
      <c r="B2159" s="1" t="str">
        <v>2020-08-21</v>
      </c>
      <c r="C2159" s="1">
        <v>1.9635</v>
      </c>
    </row>
    <row r="2160" spans="1:3" x14ac:dyDescent="0.2">
      <c r="A2160" s="1">
        <v>49</v>
      </c>
      <c r="B2160" s="1" t="str">
        <v>2020-08-21</v>
      </c>
      <c r="C2160" s="1">
        <v>1.3958999999999999</v>
      </c>
    </row>
    <row r="2161" spans="1:3" x14ac:dyDescent="0.2">
      <c r="A2161" s="1">
        <v>16</v>
      </c>
      <c r="B2161" s="1" t="str">
        <v>2020-08-21</v>
      </c>
      <c r="C2161" s="1">
        <v>1.4259999999999999</v>
      </c>
    </row>
    <row r="2162" spans="1:3" x14ac:dyDescent="0.2">
      <c r="A2162" s="1">
        <v>55</v>
      </c>
      <c r="B2162" s="1" t="str">
        <v>2020-08-21</v>
      </c>
      <c r="C2162" s="1">
        <v>1.4564999999999999</v>
      </c>
    </row>
    <row r="2163" spans="1:3" x14ac:dyDescent="0.2">
      <c r="A2163" s="1">
        <v>161</v>
      </c>
      <c r="B2163" s="1" t="str">
        <v>2020-08-21</v>
      </c>
      <c r="C2163" s="1">
        <v>1.9435</v>
      </c>
    </row>
    <row r="2164" spans="1:3" x14ac:dyDescent="0.2">
      <c r="A2164" s="1">
        <v>94</v>
      </c>
      <c r="B2164" s="1" t="str">
        <v>2020-08-21</v>
      </c>
      <c r="C2164" s="1">
        <v>1.7458</v>
      </c>
    </row>
    <row r="2165" spans="1:3" x14ac:dyDescent="0.2">
      <c r="A2165" s="1">
        <v>32</v>
      </c>
      <c r="B2165" s="1" t="str">
        <v>2020-08-21</v>
      </c>
      <c r="C2165" s="1">
        <v>1.6894</v>
      </c>
    </row>
    <row r="2166" spans="1:3" x14ac:dyDescent="0.2">
      <c r="A2166" s="1">
        <v>78</v>
      </c>
      <c r="B2166" s="1" t="str">
        <v>2020-08-21</v>
      </c>
      <c r="C2166" s="1">
        <v>2.0044</v>
      </c>
    </row>
    <row r="2167" spans="1:3" x14ac:dyDescent="0.2">
      <c r="A2167" s="1">
        <v>13250</v>
      </c>
      <c r="B2167" s="1" t="str">
        <v>2020-08-21</v>
      </c>
      <c r="C2167" s="1">
        <v>1.6489</v>
      </c>
    </row>
    <row r="2168" spans="1:3" x14ac:dyDescent="0.2">
      <c r="A2168" s="1">
        <v>139</v>
      </c>
      <c r="B2168" s="1" t="str">
        <v>2020-08-21</v>
      </c>
      <c r="C2168" s="1">
        <v>1.8824000000000001</v>
      </c>
    </row>
    <row r="2169" spans="1:3" x14ac:dyDescent="0.2">
      <c r="A2169" s="1">
        <v>30300</v>
      </c>
      <c r="B2169" s="1" t="str">
        <v>2020-08-21</v>
      </c>
      <c r="C2169" s="1">
        <v>1.7098</v>
      </c>
    </row>
    <row r="2170" spans="1:3" x14ac:dyDescent="0.2">
      <c r="A2170" s="1">
        <v>32783</v>
      </c>
      <c r="B2170" s="1" t="str">
        <v>2020-08-21</v>
      </c>
      <c r="C2170" s="1">
        <v>1.9638</v>
      </c>
    </row>
    <row r="2171" spans="1:3" x14ac:dyDescent="0.2">
      <c r="A2171" s="1">
        <v>2250</v>
      </c>
      <c r="B2171" s="1" t="str">
        <v>2020-08-21</v>
      </c>
      <c r="C2171" s="1">
        <v>1.6288</v>
      </c>
    </row>
    <row r="2172" spans="1:3" x14ac:dyDescent="0.2">
      <c r="A2172" s="1">
        <v>101</v>
      </c>
      <c r="B2172" s="1" t="str">
        <v>2020-08-21</v>
      </c>
      <c r="C2172" s="1">
        <v>1.7301</v>
      </c>
    </row>
    <row r="2173" spans="1:3" x14ac:dyDescent="0.2">
      <c r="A2173" s="1">
        <v>10</v>
      </c>
      <c r="B2173" s="1" t="str">
        <v>2020-08-21</v>
      </c>
      <c r="C2173" s="1">
        <v>1.8318000000000001</v>
      </c>
    </row>
    <row r="2174" spans="1:3" x14ac:dyDescent="0.2">
      <c r="A2174" s="1">
        <v>187</v>
      </c>
      <c r="B2174" s="1" t="str">
        <v>2020-08-21</v>
      </c>
      <c r="C2174" s="1">
        <v>1.7708999999999999</v>
      </c>
    </row>
    <row r="2175" spans="1:3" x14ac:dyDescent="0.2">
      <c r="A2175" s="1">
        <v>32280</v>
      </c>
      <c r="B2175" s="1" t="str">
        <v>2020-08-24</v>
      </c>
      <c r="C2175" s="1">
        <v>1.974</v>
      </c>
    </row>
    <row r="2176" spans="1:3" x14ac:dyDescent="0.2">
      <c r="A2176" s="1">
        <v>55</v>
      </c>
      <c r="B2176" s="1" t="str">
        <v>2020-08-24</v>
      </c>
      <c r="C2176" s="1">
        <v>1.4564999999999999</v>
      </c>
    </row>
    <row r="2177" spans="1:3" x14ac:dyDescent="0.2">
      <c r="A2177" s="1">
        <v>32560</v>
      </c>
      <c r="B2177" s="1" t="str">
        <v>2020-08-24</v>
      </c>
      <c r="C2177" s="1">
        <v>1.6486000000000001</v>
      </c>
    </row>
    <row r="2178" spans="1:3" x14ac:dyDescent="0.2">
      <c r="A2178" s="1">
        <v>8</v>
      </c>
      <c r="B2178" s="1" t="str">
        <v>2020-08-24</v>
      </c>
      <c r="C2178" s="1">
        <v>2.157</v>
      </c>
    </row>
    <row r="2179" spans="1:3" x14ac:dyDescent="0.2">
      <c r="A2179" s="1">
        <v>187</v>
      </c>
      <c r="B2179" s="1" t="str">
        <v>2020-08-24</v>
      </c>
      <c r="C2179" s="1">
        <v>1.6593</v>
      </c>
    </row>
    <row r="2180" spans="1:3" x14ac:dyDescent="0.2">
      <c r="A2180" s="1">
        <v>133</v>
      </c>
      <c r="B2180" s="1" t="str">
        <v>2020-08-24</v>
      </c>
      <c r="C2180" s="1">
        <v>1.5475000000000001</v>
      </c>
    </row>
    <row r="2181" spans="1:3" x14ac:dyDescent="0.2">
      <c r="A2181" s="1">
        <v>32421</v>
      </c>
      <c r="B2181" s="1" t="str">
        <v>2020-08-24</v>
      </c>
      <c r="C2181" s="1">
        <v>1.7258</v>
      </c>
    </row>
    <row r="2182" spans="1:3" x14ac:dyDescent="0.2">
      <c r="A2182" s="1">
        <v>30400</v>
      </c>
      <c r="B2182" s="1" t="str">
        <v>2020-08-24</v>
      </c>
      <c r="C2182" s="1">
        <v>1.6187</v>
      </c>
    </row>
    <row r="2183" spans="1:3" x14ac:dyDescent="0.2">
      <c r="A2183" s="1">
        <v>89</v>
      </c>
      <c r="B2183" s="1" t="str">
        <v>2020-08-24</v>
      </c>
      <c r="C2183" s="1">
        <v>1.6286</v>
      </c>
    </row>
    <row r="2184" spans="1:3" x14ac:dyDescent="0.2">
      <c r="A2184" s="1">
        <v>83</v>
      </c>
      <c r="B2184" s="1" t="str">
        <v>2020-08-24</v>
      </c>
      <c r="C2184" s="1">
        <v>1.7098</v>
      </c>
    </row>
    <row r="2185" spans="1:3" x14ac:dyDescent="0.2">
      <c r="A2185" s="1">
        <v>32400</v>
      </c>
      <c r="B2185" s="1" t="str">
        <v>2020-08-24</v>
      </c>
      <c r="C2185" s="1">
        <v>2.0249000000000001</v>
      </c>
    </row>
    <row r="2186" spans="1:3" x14ac:dyDescent="0.2">
      <c r="A2186" s="1">
        <v>32081</v>
      </c>
      <c r="B2186" s="1" t="str">
        <v>2020-08-24</v>
      </c>
      <c r="C2186" s="1">
        <v>1.3957999999999999</v>
      </c>
    </row>
    <row r="2187" spans="1:3" x14ac:dyDescent="0.2">
      <c r="A2187" s="1">
        <v>32480</v>
      </c>
      <c r="B2187" s="1" t="str">
        <v>2020-08-24</v>
      </c>
      <c r="C2187" s="1">
        <v>1.7606999999999999</v>
      </c>
    </row>
    <row r="2188" spans="1:3" x14ac:dyDescent="0.2">
      <c r="A2188" s="1">
        <v>178</v>
      </c>
      <c r="B2188" s="1" t="str">
        <v>2020-08-24</v>
      </c>
      <c r="C2188" s="1">
        <v>1.7655000000000001</v>
      </c>
    </row>
    <row r="2189" spans="1:3" x14ac:dyDescent="0.2">
      <c r="A2189" s="1">
        <v>32082</v>
      </c>
      <c r="B2189" s="1" t="str">
        <v>2020-08-24</v>
      </c>
      <c r="C2189" s="1">
        <v>1.9127000000000001</v>
      </c>
    </row>
    <row r="2190" spans="1:3" x14ac:dyDescent="0.2">
      <c r="A2190" s="1">
        <v>33130</v>
      </c>
      <c r="B2190" s="1" t="str">
        <v>2020-08-25</v>
      </c>
      <c r="C2190" s="1">
        <v>1.8115000000000001</v>
      </c>
    </row>
    <row r="2191" spans="1:3" x14ac:dyDescent="0.2">
      <c r="A2191" s="1">
        <v>81</v>
      </c>
      <c r="B2191" s="1" t="str">
        <v>2020-08-25</v>
      </c>
      <c r="C2191" s="1">
        <v>1.9635</v>
      </c>
    </row>
    <row r="2192" spans="1:3" x14ac:dyDescent="0.2">
      <c r="A2192" s="1">
        <v>32400</v>
      </c>
      <c r="B2192" s="1" t="str">
        <v>2020-08-25</v>
      </c>
      <c r="C2192" s="1">
        <v>1.8217000000000001</v>
      </c>
    </row>
    <row r="2193" spans="1:3" x14ac:dyDescent="0.2">
      <c r="A2193" s="1">
        <v>94</v>
      </c>
      <c r="B2193" s="1" t="str">
        <v>2020-08-25</v>
      </c>
      <c r="C2193" s="1">
        <v>1.9494</v>
      </c>
    </row>
    <row r="2194" spans="1:3" x14ac:dyDescent="0.2">
      <c r="A2194" s="1">
        <v>20</v>
      </c>
      <c r="B2194" s="1" t="str">
        <v>2020-08-25</v>
      </c>
      <c r="C2194" s="1">
        <v>1.8010999999999999</v>
      </c>
    </row>
    <row r="2195" spans="1:3" x14ac:dyDescent="0.2">
      <c r="A2195" s="1">
        <v>115</v>
      </c>
      <c r="B2195" s="1" t="str">
        <v>2020-08-25</v>
      </c>
      <c r="C2195" s="1">
        <v>2.0045999999999999</v>
      </c>
    </row>
    <row r="2196" spans="1:3" x14ac:dyDescent="0.2">
      <c r="A2196" s="1">
        <v>32260</v>
      </c>
      <c r="B2196" s="1" t="str">
        <v>2020-08-25</v>
      </c>
      <c r="C2196" s="1">
        <v>1.7707999999999999</v>
      </c>
    </row>
    <row r="2197" spans="1:3" x14ac:dyDescent="0.2">
      <c r="A2197" s="1">
        <v>67</v>
      </c>
      <c r="B2197" s="1" t="str">
        <v>2020-08-25</v>
      </c>
      <c r="C2197" s="1">
        <v>1.7098</v>
      </c>
    </row>
    <row r="2198" spans="1:3" x14ac:dyDescent="0.2">
      <c r="A2198" s="1">
        <v>32803</v>
      </c>
      <c r="B2198" s="1" t="str">
        <v>2020-08-25</v>
      </c>
      <c r="C2198" s="1">
        <v>2.0350000000000001</v>
      </c>
    </row>
    <row r="2199" spans="1:3" x14ac:dyDescent="0.2">
      <c r="A2199" s="1">
        <v>33125</v>
      </c>
      <c r="B2199" s="1" t="str">
        <v>2020-08-25</v>
      </c>
      <c r="C2199" s="1">
        <v>1.7302</v>
      </c>
    </row>
    <row r="2200" spans="1:3" x14ac:dyDescent="0.2">
      <c r="A2200" s="1">
        <v>32200</v>
      </c>
      <c r="B2200" s="1" t="str">
        <v>2020-08-25</v>
      </c>
      <c r="C2200" s="1">
        <v>1.6086</v>
      </c>
    </row>
    <row r="2201" spans="1:3" x14ac:dyDescent="0.2">
      <c r="A2201" s="1">
        <v>55</v>
      </c>
      <c r="B2201" s="1" t="str">
        <v>2020-08-26</v>
      </c>
      <c r="C2201" s="1">
        <v>1.4564999999999999</v>
      </c>
    </row>
    <row r="2202" spans="1:3" x14ac:dyDescent="0.2">
      <c r="A2202" s="1">
        <v>33183</v>
      </c>
      <c r="B2202" s="1" t="str">
        <v>2020-08-26</v>
      </c>
      <c r="C2202" s="1">
        <v>1.6998</v>
      </c>
    </row>
    <row r="2203" spans="1:3" x14ac:dyDescent="0.2">
      <c r="A2203" s="1">
        <v>147</v>
      </c>
      <c r="B2203" s="1" t="str">
        <v>2020-08-26</v>
      </c>
      <c r="C2203" s="1">
        <v>1.0017</v>
      </c>
    </row>
    <row r="2204" spans="1:3" x14ac:dyDescent="0.2">
      <c r="A2204" s="1">
        <v>33130</v>
      </c>
      <c r="B2204" s="1" t="str">
        <v>2020-08-26</v>
      </c>
      <c r="C2204" s="1">
        <v>1.8520000000000001</v>
      </c>
    </row>
    <row r="2205" spans="1:3" x14ac:dyDescent="0.2">
      <c r="A2205" s="1">
        <v>77</v>
      </c>
      <c r="B2205" s="1" t="str">
        <v>2020-08-26</v>
      </c>
      <c r="C2205" s="1">
        <v>1.9944</v>
      </c>
    </row>
    <row r="2206" spans="1:3" x14ac:dyDescent="0.2">
      <c r="A2206" s="1">
        <v>102</v>
      </c>
      <c r="B2206" s="1" t="str">
        <v>2020-08-26</v>
      </c>
      <c r="C2206" s="1">
        <v>1.8212999999999999</v>
      </c>
    </row>
    <row r="2207" spans="1:3" x14ac:dyDescent="0.2">
      <c r="A2207" s="1">
        <v>32480</v>
      </c>
      <c r="B2207" s="1" t="str">
        <v>2020-08-26</v>
      </c>
      <c r="C2207" s="1">
        <v>1.6287</v>
      </c>
    </row>
    <row r="2208" spans="1:3" x14ac:dyDescent="0.2">
      <c r="A2208" s="1">
        <v>110</v>
      </c>
      <c r="B2208" s="1" t="str">
        <v>2020-08-26</v>
      </c>
      <c r="C2208" s="1">
        <v>1.71</v>
      </c>
    </row>
    <row r="2209" spans="1:3" x14ac:dyDescent="0.2">
      <c r="A2209" s="1">
        <v>33043</v>
      </c>
      <c r="B2209" s="1" t="str">
        <v>2020-08-27</v>
      </c>
      <c r="C2209" s="1">
        <v>1.8314999999999999</v>
      </c>
    </row>
    <row r="2210" spans="1:3" x14ac:dyDescent="0.2">
      <c r="A2210" s="1">
        <v>83</v>
      </c>
      <c r="B2210" s="1" t="str">
        <v>2020-08-27</v>
      </c>
      <c r="C2210" s="1">
        <v>1.8011999999999999</v>
      </c>
    </row>
    <row r="2211" spans="1:3" x14ac:dyDescent="0.2">
      <c r="A2211" s="1">
        <v>150</v>
      </c>
      <c r="B2211" s="1" t="str">
        <v>2020-08-27</v>
      </c>
      <c r="C2211" s="1">
        <v>2.0466000000000002</v>
      </c>
    </row>
    <row r="2212" spans="1:3" x14ac:dyDescent="0.2">
      <c r="A2212" s="1">
        <v>30350</v>
      </c>
      <c r="B2212" s="1" t="str">
        <v>2020-08-27</v>
      </c>
      <c r="C2212" s="1">
        <v>1.6692</v>
      </c>
    </row>
    <row r="2213" spans="1:3" x14ac:dyDescent="0.2">
      <c r="A2213" s="1">
        <v>250</v>
      </c>
      <c r="B2213" s="1" t="str">
        <v>2020-08-27</v>
      </c>
      <c r="C2213" s="1">
        <v>1.7706</v>
      </c>
    </row>
    <row r="2214" spans="1:3" x14ac:dyDescent="0.2">
      <c r="A2214" s="1">
        <v>33129</v>
      </c>
      <c r="B2214" s="1" t="str">
        <v>2020-08-27</v>
      </c>
      <c r="C2214" s="1">
        <v>1.8313999999999999</v>
      </c>
    </row>
    <row r="2215" spans="1:3" x14ac:dyDescent="0.2">
      <c r="A2215" s="1">
        <v>32121</v>
      </c>
      <c r="B2215" s="1" t="str">
        <v>2020-08-27</v>
      </c>
      <c r="C2215" s="1">
        <v>1.8313999999999999</v>
      </c>
    </row>
    <row r="2216" spans="1:3" x14ac:dyDescent="0.2">
      <c r="A2216" s="1">
        <v>8</v>
      </c>
      <c r="B2216" s="1" t="str">
        <v>2020-08-27</v>
      </c>
      <c r="C2216" s="1">
        <v>2.0857000000000001</v>
      </c>
    </row>
    <row r="2217" spans="1:3" x14ac:dyDescent="0.2">
      <c r="A2217" s="1">
        <v>32121</v>
      </c>
      <c r="B2217" s="1" t="str">
        <v>2020-08-28</v>
      </c>
      <c r="C2217" s="1">
        <v>1.8313999999999999</v>
      </c>
    </row>
    <row r="2218" spans="1:3" x14ac:dyDescent="0.2">
      <c r="A2218" s="1">
        <v>143</v>
      </c>
      <c r="B2218" s="1" t="str">
        <v>2020-08-28</v>
      </c>
      <c r="C2218" s="1">
        <v>1.8824000000000001</v>
      </c>
    </row>
    <row r="2219" spans="1:3" x14ac:dyDescent="0.2">
      <c r="A2219" s="1">
        <v>53</v>
      </c>
      <c r="B2219" s="1" t="str">
        <v>2020-08-28</v>
      </c>
      <c r="C2219" s="1">
        <v>2.0752999999999999</v>
      </c>
    </row>
    <row r="2220" spans="1:3" x14ac:dyDescent="0.2">
      <c r="A2220" s="1">
        <v>32963</v>
      </c>
      <c r="B2220" s="1" t="str">
        <v>2020-08-28</v>
      </c>
      <c r="C2220" s="1">
        <v>1.5679000000000001</v>
      </c>
    </row>
    <row r="2221" spans="1:3" x14ac:dyDescent="0.2">
      <c r="A2221" s="1">
        <v>156</v>
      </c>
      <c r="B2221" s="1" t="str">
        <v>2020-08-28</v>
      </c>
      <c r="C2221" s="1">
        <v>2.1164000000000001</v>
      </c>
    </row>
    <row r="2222" spans="1:3" x14ac:dyDescent="0.2">
      <c r="A2222" s="1">
        <v>32863</v>
      </c>
      <c r="B2222" s="1" t="str">
        <v>2020-08-28</v>
      </c>
      <c r="C2222" s="1">
        <v>1.6693</v>
      </c>
    </row>
    <row r="2223" spans="1:3" x14ac:dyDescent="0.2">
      <c r="A2223" s="1">
        <v>33103</v>
      </c>
      <c r="B2223" s="1" t="str">
        <v>2020-08-28</v>
      </c>
      <c r="C2223" s="1">
        <v>2.3938999999999999</v>
      </c>
    </row>
    <row r="2224" spans="1:3" x14ac:dyDescent="0.2">
      <c r="A2224" s="1">
        <v>33123</v>
      </c>
      <c r="B2224" s="1" t="str">
        <v>2020-08-28</v>
      </c>
      <c r="C2224" s="1">
        <v>1.7403999999999999</v>
      </c>
    </row>
    <row r="2225" spans="1:3" x14ac:dyDescent="0.2">
      <c r="A2225" s="1">
        <v>32180</v>
      </c>
      <c r="B2225" s="1" t="str">
        <v>2020-08-28</v>
      </c>
      <c r="C2225" s="1">
        <v>1.8654999999999999</v>
      </c>
    </row>
    <row r="2226" spans="1:3" x14ac:dyDescent="0.2">
      <c r="A2226" s="1">
        <v>32420</v>
      </c>
      <c r="B2226" s="1" t="str">
        <v>2020-08-28</v>
      </c>
      <c r="C2226" s="1">
        <v>1.6766000000000001</v>
      </c>
    </row>
    <row r="2227" spans="1:3" x14ac:dyDescent="0.2">
      <c r="A2227" s="1">
        <v>13250</v>
      </c>
      <c r="B2227" s="1" t="str">
        <v>2020-08-28</v>
      </c>
      <c r="C2227" s="1">
        <v>1.6083000000000001</v>
      </c>
    </row>
    <row r="2228" spans="1:3" x14ac:dyDescent="0.2">
      <c r="A2228" s="1">
        <v>177</v>
      </c>
      <c r="B2228" s="1" t="str">
        <v>2020-08-28</v>
      </c>
      <c r="C2228" s="1">
        <v>2.0956999999999999</v>
      </c>
    </row>
    <row r="2229" spans="1:3" x14ac:dyDescent="0.2">
      <c r="A2229" s="1">
        <v>1</v>
      </c>
      <c r="B2229" s="1" t="str">
        <v>2020-08-28</v>
      </c>
      <c r="C2229" s="1">
        <v>1.5679000000000001</v>
      </c>
    </row>
    <row r="2230" spans="1:3" x14ac:dyDescent="0.2">
      <c r="A2230" s="1">
        <v>33063</v>
      </c>
      <c r="B2230" s="1" t="str">
        <v>2020-08-28</v>
      </c>
      <c r="C2230" s="1">
        <v>1.7807999999999999</v>
      </c>
    </row>
    <row r="2231" spans="1:3" x14ac:dyDescent="0.2">
      <c r="A2231" s="1">
        <v>157</v>
      </c>
      <c r="B2231" s="1" t="str">
        <v>2020-08-28</v>
      </c>
      <c r="C2231" s="1">
        <v>1.7404999999999999</v>
      </c>
    </row>
    <row r="2232" spans="1:3" x14ac:dyDescent="0.2">
      <c r="A2232" s="1">
        <v>32724</v>
      </c>
      <c r="B2232" s="1" t="str">
        <v>2020-08-28</v>
      </c>
      <c r="C2232" s="1">
        <v>1.6897</v>
      </c>
    </row>
    <row r="2233" spans="1:3" x14ac:dyDescent="0.2">
      <c r="A2233" s="1">
        <v>191</v>
      </c>
      <c r="B2233" s="1" t="str">
        <v>2020-08-28</v>
      </c>
      <c r="C2233" s="1">
        <v>1.4764999999999999</v>
      </c>
    </row>
    <row r="2234" spans="1:3" x14ac:dyDescent="0.2">
      <c r="A2234" s="1">
        <v>147</v>
      </c>
      <c r="B2234" s="1" t="str">
        <v>2020-08-28</v>
      </c>
      <c r="C2234" s="1">
        <v>1.0219</v>
      </c>
    </row>
    <row r="2235" spans="1:3" x14ac:dyDescent="0.2">
      <c r="A2235" s="1">
        <v>182</v>
      </c>
      <c r="B2235" s="1" t="str">
        <v>2020-08-28</v>
      </c>
      <c r="C2235" s="1">
        <v>2.1366999999999998</v>
      </c>
    </row>
    <row r="2236" spans="1:3" x14ac:dyDescent="0.2">
      <c r="A2236" s="1">
        <v>90</v>
      </c>
      <c r="B2236" s="1" t="str">
        <v>2020-08-28</v>
      </c>
      <c r="C2236" s="1">
        <v>2.0045000000000002</v>
      </c>
    </row>
    <row r="2237" spans="1:3" x14ac:dyDescent="0.2">
      <c r="A2237" s="1">
        <v>32260</v>
      </c>
      <c r="B2237" s="1" t="str">
        <v>2020-08-28</v>
      </c>
      <c r="C2237" s="1">
        <v>1.7707999999999999</v>
      </c>
    </row>
    <row r="2238" spans="1:3" x14ac:dyDescent="0.2">
      <c r="A2238" s="1">
        <v>16</v>
      </c>
      <c r="B2238" s="1" t="str">
        <v>2020-08-28</v>
      </c>
      <c r="C2238" s="1">
        <v>1.4259999999999999</v>
      </c>
    </row>
    <row r="2239" spans="1:3" x14ac:dyDescent="0.2">
      <c r="A2239" s="1">
        <v>139</v>
      </c>
      <c r="B2239" s="1" t="str">
        <v>2020-08-28</v>
      </c>
      <c r="C2239" s="1">
        <v>1.8112999999999999</v>
      </c>
    </row>
    <row r="2240" spans="1:3" x14ac:dyDescent="0.2">
      <c r="A2240" s="1">
        <v>81</v>
      </c>
      <c r="B2240" s="1" t="str">
        <v>2020-08-28</v>
      </c>
      <c r="C2240" s="1">
        <v>1.9635</v>
      </c>
    </row>
    <row r="2241" spans="1:3" x14ac:dyDescent="0.2">
      <c r="A2241" s="1">
        <v>32500</v>
      </c>
      <c r="B2241" s="1" t="str">
        <v>2020-08-28</v>
      </c>
      <c r="C2241" s="1">
        <v>1.7909999999999999</v>
      </c>
    </row>
    <row r="2242" spans="1:3" x14ac:dyDescent="0.2">
      <c r="A2242" s="1">
        <v>175</v>
      </c>
      <c r="B2242" s="1" t="str">
        <v>2020-08-28</v>
      </c>
      <c r="C2242" s="1">
        <v>1.639</v>
      </c>
    </row>
    <row r="2243" spans="1:3" x14ac:dyDescent="0.2">
      <c r="A2243" s="1">
        <v>24250</v>
      </c>
      <c r="B2243" s="1" t="str">
        <v>2020-08-28</v>
      </c>
      <c r="C2243" s="1">
        <v>1.9028</v>
      </c>
    </row>
    <row r="2244" spans="1:3" x14ac:dyDescent="0.2">
      <c r="A2244" s="1">
        <v>32583</v>
      </c>
      <c r="B2244" s="1" t="str">
        <v>2020-08-28</v>
      </c>
      <c r="C2244" s="1">
        <v>1.913</v>
      </c>
    </row>
    <row r="2245" spans="1:3" x14ac:dyDescent="0.2">
      <c r="A2245" s="1">
        <v>32082</v>
      </c>
      <c r="B2245" s="1" t="str">
        <v>2020-08-28</v>
      </c>
      <c r="C2245" s="1">
        <v>1.8313999999999999</v>
      </c>
    </row>
    <row r="2246" spans="1:3" x14ac:dyDescent="0.2">
      <c r="A2246" s="1">
        <v>10</v>
      </c>
      <c r="B2246" s="1" t="str">
        <v>2020-08-28</v>
      </c>
      <c r="C2246" s="1">
        <v>1.6998</v>
      </c>
    </row>
    <row r="2247" spans="1:3" x14ac:dyDescent="0.2">
      <c r="A2247" s="1">
        <v>33083</v>
      </c>
      <c r="B2247" s="1" t="str">
        <v>2020-08-28</v>
      </c>
      <c r="C2247" s="1">
        <v>1.7726999999999999</v>
      </c>
    </row>
    <row r="2248" spans="1:3" x14ac:dyDescent="0.2">
      <c r="A2248" s="1">
        <v>101</v>
      </c>
      <c r="B2248" s="1" t="str">
        <v>2020-08-28</v>
      </c>
      <c r="C2248" s="1">
        <v>1.7098</v>
      </c>
    </row>
    <row r="2249" spans="1:3" x14ac:dyDescent="0.2">
      <c r="A2249" s="1">
        <v>78</v>
      </c>
      <c r="B2249" s="1" t="str">
        <v>2020-08-28</v>
      </c>
      <c r="C2249" s="1">
        <v>1.9231</v>
      </c>
    </row>
    <row r="2250" spans="1:3" x14ac:dyDescent="0.2">
      <c r="A2250" s="1">
        <v>59</v>
      </c>
      <c r="B2250" s="1" t="str">
        <v>2020-08-28</v>
      </c>
      <c r="C2250" s="1">
        <v>1.7605</v>
      </c>
    </row>
    <row r="2251" spans="1:3" x14ac:dyDescent="0.2">
      <c r="A2251" s="1">
        <v>33023</v>
      </c>
      <c r="B2251" s="1" t="str">
        <v>2020-08-28</v>
      </c>
      <c r="C2251" s="1">
        <v>1.6693</v>
      </c>
    </row>
    <row r="2252" spans="1:3" x14ac:dyDescent="0.2">
      <c r="A2252" s="1">
        <v>187</v>
      </c>
      <c r="B2252" s="1" t="str">
        <v>2020-08-28</v>
      </c>
      <c r="C2252" s="1">
        <v>1.6492</v>
      </c>
    </row>
    <row r="2253" spans="1:3" x14ac:dyDescent="0.2">
      <c r="A2253" s="1">
        <v>72</v>
      </c>
      <c r="B2253" s="1" t="str">
        <v>2020-08-28</v>
      </c>
      <c r="C2253" s="1">
        <v>1.5578000000000001</v>
      </c>
    </row>
    <row r="2254" spans="1:3" x14ac:dyDescent="0.2">
      <c r="A2254" s="1">
        <v>109</v>
      </c>
      <c r="B2254" s="1" t="str">
        <v>2020-08-31</v>
      </c>
      <c r="C2254" s="1">
        <v>1.72</v>
      </c>
    </row>
    <row r="2255" spans="1:3" x14ac:dyDescent="0.2">
      <c r="A2255" s="1">
        <v>161</v>
      </c>
      <c r="B2255" s="1" t="str">
        <v>2020-08-31</v>
      </c>
      <c r="C2255" s="1">
        <v>1.8521000000000001</v>
      </c>
    </row>
    <row r="2256" spans="1:3" x14ac:dyDescent="0.2">
      <c r="A2256" s="1">
        <v>49</v>
      </c>
      <c r="B2256" s="1" t="str">
        <v>2020-08-31</v>
      </c>
      <c r="C2256" s="1">
        <v>1.5376000000000001</v>
      </c>
    </row>
    <row r="2257" spans="1:3" x14ac:dyDescent="0.2">
      <c r="A2257" s="1">
        <v>32521</v>
      </c>
      <c r="B2257" s="1" t="str">
        <v>2020-08-31</v>
      </c>
      <c r="C2257" s="1">
        <v>1.9536</v>
      </c>
    </row>
    <row r="2258" spans="1:3" x14ac:dyDescent="0.2">
      <c r="A2258" s="1">
        <v>32222</v>
      </c>
      <c r="B2258" s="1" t="str">
        <v>2020-08-31</v>
      </c>
      <c r="C2258" s="1">
        <v>1.8723000000000001</v>
      </c>
    </row>
    <row r="2259" spans="1:3" x14ac:dyDescent="0.2">
      <c r="A2259" s="1">
        <v>34</v>
      </c>
      <c r="B2259" s="1" t="str">
        <v>2020-08-31</v>
      </c>
      <c r="C2259" s="1">
        <v>1.8620000000000001</v>
      </c>
    </row>
    <row r="2260" spans="1:3" x14ac:dyDescent="0.2">
      <c r="A2260" s="1">
        <v>32923</v>
      </c>
      <c r="B2260" s="1" t="str">
        <v>2020-08-31</v>
      </c>
      <c r="C2260" s="1">
        <v>2.0655000000000001</v>
      </c>
    </row>
    <row r="2261" spans="1:3" x14ac:dyDescent="0.2">
      <c r="A2261" s="1">
        <v>32421</v>
      </c>
      <c r="B2261" s="1" t="str">
        <v>2020-08-31</v>
      </c>
      <c r="C2261" s="1">
        <v>1.7842</v>
      </c>
    </row>
    <row r="2262" spans="1:3" x14ac:dyDescent="0.2">
      <c r="A2262" s="1">
        <v>30350</v>
      </c>
      <c r="B2262" s="1" t="str">
        <v>2020-08-31</v>
      </c>
      <c r="C2262" s="1">
        <v>1.6998</v>
      </c>
    </row>
    <row r="2263" spans="1:3" x14ac:dyDescent="0.2">
      <c r="A2263" s="1">
        <v>99</v>
      </c>
      <c r="B2263" s="1" t="str">
        <v>2020-08-31</v>
      </c>
      <c r="C2263" s="1">
        <v>2.6974</v>
      </c>
    </row>
    <row r="2264" spans="1:3" x14ac:dyDescent="0.2">
      <c r="A2264" s="1">
        <v>31</v>
      </c>
      <c r="B2264" s="1" t="str">
        <v>2020-08-31</v>
      </c>
      <c r="C2264" s="1">
        <v>1.8926000000000001</v>
      </c>
    </row>
    <row r="2265" spans="1:3" x14ac:dyDescent="0.2">
      <c r="A2265" s="1">
        <v>8</v>
      </c>
      <c r="B2265" s="1" t="str">
        <v>2020-08-31</v>
      </c>
      <c r="C2265" s="1">
        <v>1.9335</v>
      </c>
    </row>
    <row r="2266" spans="1:3" x14ac:dyDescent="0.2">
      <c r="A2266" s="1">
        <v>178</v>
      </c>
      <c r="B2266" s="1" t="str">
        <v>2020-08-31</v>
      </c>
      <c r="C2266" s="1">
        <v>1.8056000000000001</v>
      </c>
    </row>
    <row r="2267" spans="1:3" x14ac:dyDescent="0.2">
      <c r="A2267" s="1">
        <v>32843</v>
      </c>
      <c r="B2267" s="1" t="str">
        <v>2020-08-31</v>
      </c>
      <c r="C2267" s="1">
        <v>2.1469</v>
      </c>
    </row>
    <row r="2268" spans="1:3" x14ac:dyDescent="0.2">
      <c r="A2268" s="1">
        <v>33003</v>
      </c>
      <c r="B2268" s="1" t="str">
        <v>2020-09-01</v>
      </c>
      <c r="C2268" s="1">
        <v>1.7708999999999999</v>
      </c>
    </row>
    <row r="2269" spans="1:3" x14ac:dyDescent="0.2">
      <c r="A2269" s="1">
        <v>157</v>
      </c>
      <c r="B2269" s="1" t="str">
        <v>2020-09-02</v>
      </c>
      <c r="C2269" s="1">
        <v>1.7404999999999999</v>
      </c>
    </row>
    <row r="2270" spans="1:3" x14ac:dyDescent="0.2">
      <c r="A2270" s="1">
        <v>33125</v>
      </c>
      <c r="B2270" s="1" t="str">
        <v>2020-09-02</v>
      </c>
      <c r="C2270" s="1">
        <v>1.7302</v>
      </c>
    </row>
    <row r="2271" spans="1:3" x14ac:dyDescent="0.2">
      <c r="A2271" s="1">
        <v>115</v>
      </c>
      <c r="B2271" s="1" t="str">
        <v>2020-09-03</v>
      </c>
      <c r="C2271" s="1">
        <v>2.0045999999999999</v>
      </c>
    </row>
    <row r="2272" spans="1:3" x14ac:dyDescent="0.2">
      <c r="A2272" s="1">
        <v>32420</v>
      </c>
      <c r="B2272" s="1" t="str">
        <v>2020-09-03</v>
      </c>
      <c r="C2272" s="1">
        <v>1.6766000000000001</v>
      </c>
    </row>
    <row r="2273" spans="1:3" x14ac:dyDescent="0.2">
      <c r="A2273" s="1">
        <v>32963</v>
      </c>
      <c r="B2273" s="1" t="str">
        <v>2020-09-03</v>
      </c>
      <c r="C2273" s="1">
        <v>1.5781000000000001</v>
      </c>
    </row>
    <row r="2274" spans="1:3" x14ac:dyDescent="0.2">
      <c r="A2274" s="1">
        <v>49</v>
      </c>
      <c r="B2274" s="1" t="str">
        <v>2020-09-03</v>
      </c>
      <c r="C2274" s="1">
        <v>1.4870000000000001</v>
      </c>
    </row>
    <row r="2275" spans="1:3" x14ac:dyDescent="0.2">
      <c r="A2275" s="1">
        <v>32340</v>
      </c>
      <c r="B2275" s="1" t="str">
        <v>2020-09-04</v>
      </c>
      <c r="C2275" s="1">
        <v>1.6895</v>
      </c>
    </row>
    <row r="2276" spans="1:3" x14ac:dyDescent="0.2">
      <c r="A2276" s="1">
        <v>67</v>
      </c>
      <c r="B2276" s="1" t="str">
        <v>2020-09-04</v>
      </c>
      <c r="C2276" s="1">
        <v>1.9638</v>
      </c>
    </row>
    <row r="2277" spans="1:3" x14ac:dyDescent="0.2">
      <c r="A2277" s="1">
        <v>161</v>
      </c>
      <c r="B2277" s="1" t="str">
        <v>2020-09-04</v>
      </c>
      <c r="C2277" s="1">
        <v>1.7403999999999999</v>
      </c>
    </row>
    <row r="2278" spans="1:3" x14ac:dyDescent="0.2">
      <c r="A2278" s="1">
        <v>139</v>
      </c>
      <c r="B2278" s="1" t="str">
        <v>2020-09-04</v>
      </c>
      <c r="C2278" s="1">
        <v>1.8419000000000001</v>
      </c>
    </row>
    <row r="2279" spans="1:3" x14ac:dyDescent="0.2">
      <c r="A2279" s="1">
        <v>133</v>
      </c>
      <c r="B2279" s="1" t="str">
        <v>2020-09-04</v>
      </c>
      <c r="C2279" s="1">
        <v>1.6995</v>
      </c>
    </row>
    <row r="2280" spans="1:3" x14ac:dyDescent="0.2">
      <c r="A2280" s="1">
        <v>32400</v>
      </c>
      <c r="B2280" s="1" t="str">
        <v>2020-09-04</v>
      </c>
      <c r="C2280" s="1">
        <v>1.8724000000000001</v>
      </c>
    </row>
    <row r="2281" spans="1:3" x14ac:dyDescent="0.2">
      <c r="A2281" s="1">
        <v>132</v>
      </c>
      <c r="B2281" s="1" t="str">
        <v>2020-09-04</v>
      </c>
      <c r="C2281" s="1">
        <v>1.5780000000000001</v>
      </c>
    </row>
    <row r="2282" spans="1:3" x14ac:dyDescent="0.2">
      <c r="A2282" s="1">
        <v>16</v>
      </c>
      <c r="B2282" s="1" t="str">
        <v>2020-09-04</v>
      </c>
      <c r="C2282" s="1">
        <v>1.4259999999999999</v>
      </c>
    </row>
    <row r="2283" spans="1:3" x14ac:dyDescent="0.2">
      <c r="A2283" s="1">
        <v>81</v>
      </c>
      <c r="B2283" s="1" t="str">
        <v>2020-09-04</v>
      </c>
      <c r="C2283" s="1">
        <v>2.0044</v>
      </c>
    </row>
    <row r="2284" spans="1:3" x14ac:dyDescent="0.2">
      <c r="A2284" s="1">
        <v>13250</v>
      </c>
      <c r="B2284" s="1" t="str">
        <v>2020-09-04</v>
      </c>
      <c r="C2284" s="1">
        <v>1.8824000000000001</v>
      </c>
    </row>
    <row r="2285" spans="1:3" x14ac:dyDescent="0.2">
      <c r="A2285" s="1">
        <v>147</v>
      </c>
      <c r="B2285" s="1" t="str">
        <v>2020-09-04</v>
      </c>
      <c r="C2285" s="1">
        <v>1.0117</v>
      </c>
    </row>
    <row r="2286" spans="1:3" x14ac:dyDescent="0.2">
      <c r="A2286" s="1">
        <v>32724</v>
      </c>
      <c r="B2286" s="1" t="str">
        <v>2020-09-04</v>
      </c>
      <c r="C2286" s="1">
        <v>1.7607999999999999</v>
      </c>
    </row>
    <row r="2287" spans="1:3" x14ac:dyDescent="0.2">
      <c r="A2287" s="1">
        <v>32582</v>
      </c>
      <c r="B2287" s="1" t="str">
        <v>2020-09-04</v>
      </c>
      <c r="C2287" s="1">
        <v>2.0756999999999999</v>
      </c>
    </row>
    <row r="2288" spans="1:3" x14ac:dyDescent="0.2">
      <c r="A2288" s="1">
        <v>32260</v>
      </c>
      <c r="B2288" s="1" t="str">
        <v>2020-09-04</v>
      </c>
      <c r="C2288" s="1">
        <v>1.8724000000000001</v>
      </c>
    </row>
    <row r="2289" spans="1:3" x14ac:dyDescent="0.2">
      <c r="A2289" s="1">
        <v>187</v>
      </c>
      <c r="B2289" s="1" t="str">
        <v>2020-09-04</v>
      </c>
      <c r="C2289" s="1">
        <v>1.7707999999999999</v>
      </c>
    </row>
    <row r="2290" spans="1:3" x14ac:dyDescent="0.2">
      <c r="A2290" s="1">
        <v>33103</v>
      </c>
      <c r="B2290" s="1" t="str">
        <v>2020-09-04</v>
      </c>
      <c r="C2290" s="1">
        <v>2.3938999999999999</v>
      </c>
    </row>
    <row r="2291" spans="1:3" x14ac:dyDescent="0.2">
      <c r="A2291" s="1">
        <v>10</v>
      </c>
      <c r="B2291" s="1" t="str">
        <v>2020-09-04</v>
      </c>
      <c r="C2291" s="1">
        <v>1.7505999999999999</v>
      </c>
    </row>
    <row r="2292" spans="1:3" x14ac:dyDescent="0.2">
      <c r="A2292" s="1">
        <v>156</v>
      </c>
      <c r="B2292" s="1" t="str">
        <v>2020-09-04</v>
      </c>
      <c r="C2292" s="1">
        <v>2.0756999999999999</v>
      </c>
    </row>
    <row r="2293" spans="1:3" x14ac:dyDescent="0.2">
      <c r="A2293" s="1">
        <v>115</v>
      </c>
      <c r="B2293" s="1" t="str">
        <v>2020-09-04</v>
      </c>
      <c r="C2293" s="1">
        <v>2.0045000000000002</v>
      </c>
    </row>
    <row r="2294" spans="1:3" x14ac:dyDescent="0.2">
      <c r="A2294" s="1">
        <v>33130</v>
      </c>
      <c r="B2294" s="1" t="str">
        <v>2020-09-04</v>
      </c>
      <c r="C2294" s="1">
        <v>1.7201</v>
      </c>
    </row>
    <row r="2295" spans="1:3" x14ac:dyDescent="0.2">
      <c r="A2295" s="1">
        <v>49</v>
      </c>
      <c r="B2295" s="1" t="str">
        <v>2020-09-04</v>
      </c>
      <c r="C2295" s="1">
        <v>1.5883</v>
      </c>
    </row>
    <row r="2296" spans="1:3" x14ac:dyDescent="0.2">
      <c r="A2296" s="1">
        <v>2250</v>
      </c>
      <c r="B2296" s="1" t="str">
        <v>2020-09-04</v>
      </c>
      <c r="C2296" s="1">
        <v>1.6288</v>
      </c>
    </row>
    <row r="2297" spans="1:3" x14ac:dyDescent="0.2">
      <c r="A2297" s="1">
        <v>187</v>
      </c>
      <c r="B2297" s="1" t="str">
        <v>2020-09-08</v>
      </c>
      <c r="C2297" s="1">
        <v>1.9028</v>
      </c>
    </row>
    <row r="2298" spans="1:3" x14ac:dyDescent="0.2">
      <c r="A2298" s="1">
        <v>33203</v>
      </c>
      <c r="B2298" s="1" t="str">
        <v>2020-09-08</v>
      </c>
      <c r="C2298" s="1">
        <v>1.8573999999999999</v>
      </c>
    </row>
    <row r="2299" spans="1:3" x14ac:dyDescent="0.2">
      <c r="A2299" s="1">
        <v>33130</v>
      </c>
      <c r="B2299" s="1" t="str">
        <v>2020-09-08</v>
      </c>
      <c r="C2299" s="1">
        <v>1.8216000000000001</v>
      </c>
    </row>
    <row r="2300" spans="1:3" x14ac:dyDescent="0.2">
      <c r="A2300" s="1">
        <v>32</v>
      </c>
      <c r="B2300" s="1" t="str">
        <v>2020-09-08</v>
      </c>
      <c r="C2300" s="1">
        <v>1.6894</v>
      </c>
    </row>
    <row r="2301" spans="1:3" x14ac:dyDescent="0.2">
      <c r="A2301" s="1">
        <v>32222</v>
      </c>
      <c r="B2301" s="1" t="str">
        <v>2020-09-08</v>
      </c>
      <c r="C2301" s="1">
        <v>2.1162999999999998</v>
      </c>
    </row>
    <row r="2302" spans="1:3" x14ac:dyDescent="0.2">
      <c r="A2302" s="1">
        <v>34</v>
      </c>
      <c r="B2302" s="1" t="str">
        <v>2020-09-08</v>
      </c>
      <c r="C2302" s="1">
        <v>1.9231</v>
      </c>
    </row>
    <row r="2303" spans="1:3" x14ac:dyDescent="0.2">
      <c r="A2303" s="1">
        <v>32421</v>
      </c>
      <c r="B2303" s="1" t="str">
        <v>2020-09-08</v>
      </c>
      <c r="C2303" s="1">
        <v>1.7911999999999999</v>
      </c>
    </row>
    <row r="2304" spans="1:3" x14ac:dyDescent="0.2">
      <c r="A2304" s="1">
        <v>32420</v>
      </c>
      <c r="B2304" s="1" t="str">
        <v>2020-09-08</v>
      </c>
      <c r="C2304" s="1">
        <v>1.8983000000000001</v>
      </c>
    </row>
    <row r="2305" spans="1:3" x14ac:dyDescent="0.2">
      <c r="A2305" s="1">
        <v>178</v>
      </c>
      <c r="B2305" s="1" t="str">
        <v>2020-09-08</v>
      </c>
      <c r="C2305" s="1">
        <v>1.8748</v>
      </c>
    </row>
    <row r="2306" spans="1:3" x14ac:dyDescent="0.2">
      <c r="A2306" s="1">
        <v>101</v>
      </c>
      <c r="B2306" s="1" t="str">
        <v>2020-09-08</v>
      </c>
      <c r="C2306" s="1">
        <v>1.7707999999999999</v>
      </c>
    </row>
    <row r="2307" spans="1:3" x14ac:dyDescent="0.2">
      <c r="A2307" s="1">
        <v>89</v>
      </c>
      <c r="B2307" s="1" t="str">
        <v>2020-09-08</v>
      </c>
      <c r="C2307" s="1">
        <v>2.0146000000000002</v>
      </c>
    </row>
    <row r="2308" spans="1:3" x14ac:dyDescent="0.2">
      <c r="A2308" s="1">
        <v>55</v>
      </c>
      <c r="B2308" s="1" t="str">
        <v>2020-09-08</v>
      </c>
      <c r="C2308" s="1">
        <v>1.9435</v>
      </c>
    </row>
    <row r="2309" spans="1:3" x14ac:dyDescent="0.2">
      <c r="A2309" s="1">
        <v>33164</v>
      </c>
      <c r="B2309" s="1" t="str">
        <v>2020-09-08</v>
      </c>
      <c r="C2309" s="1">
        <v>1.9638</v>
      </c>
    </row>
    <row r="2310" spans="1:3" x14ac:dyDescent="0.2">
      <c r="A2310" s="1">
        <v>49</v>
      </c>
      <c r="B2310" s="1" t="str">
        <v>2020-09-09</v>
      </c>
      <c r="C2310" s="1">
        <v>1.8927</v>
      </c>
    </row>
    <row r="2311" spans="1:3" x14ac:dyDescent="0.2">
      <c r="A2311" s="1">
        <v>8</v>
      </c>
      <c r="B2311" s="1" t="str">
        <v>2020-09-09</v>
      </c>
      <c r="C2311" s="1">
        <v>1.9231</v>
      </c>
    </row>
    <row r="2312" spans="1:3" x14ac:dyDescent="0.2">
      <c r="A2312" s="1">
        <v>156</v>
      </c>
      <c r="B2312" s="1" t="str">
        <v>2020-09-09</v>
      </c>
      <c r="C2312" s="1">
        <v>2.1164000000000001</v>
      </c>
    </row>
    <row r="2313" spans="1:3" x14ac:dyDescent="0.2">
      <c r="A2313" s="1">
        <v>32560</v>
      </c>
      <c r="B2313" s="1" t="str">
        <v>2020-09-09</v>
      </c>
      <c r="C2313" s="1">
        <v>1.9434</v>
      </c>
    </row>
    <row r="2314" spans="1:3" x14ac:dyDescent="0.2">
      <c r="A2314" s="1">
        <v>33125</v>
      </c>
      <c r="B2314" s="1" t="str">
        <v>2020-09-09</v>
      </c>
      <c r="C2314" s="1">
        <v>1.9132</v>
      </c>
    </row>
    <row r="2315" spans="1:3" x14ac:dyDescent="0.2">
      <c r="A2315" s="1">
        <v>33103</v>
      </c>
      <c r="B2315" s="1" t="str">
        <v>2020-09-09</v>
      </c>
      <c r="C2315" s="1">
        <v>2.3828</v>
      </c>
    </row>
    <row r="2316" spans="1:3" x14ac:dyDescent="0.2">
      <c r="A2316" s="1">
        <v>32724</v>
      </c>
      <c r="B2316" s="1" t="str">
        <v>2020-09-09</v>
      </c>
      <c r="C2316" s="1">
        <v>1.7506999999999999</v>
      </c>
    </row>
    <row r="2317" spans="1:3" x14ac:dyDescent="0.2">
      <c r="A2317" s="1">
        <v>32121</v>
      </c>
      <c r="B2317" s="1" t="str">
        <v>2020-09-09</v>
      </c>
      <c r="C2317" s="1">
        <v>1.8519000000000001</v>
      </c>
    </row>
    <row r="2318" spans="1:3" x14ac:dyDescent="0.2">
      <c r="A2318" s="1">
        <v>187</v>
      </c>
      <c r="B2318" s="1" t="str">
        <v>2020-09-09</v>
      </c>
      <c r="C2318" s="1">
        <v>1.9028</v>
      </c>
    </row>
    <row r="2319" spans="1:3" x14ac:dyDescent="0.2">
      <c r="A2319" s="1">
        <v>55</v>
      </c>
      <c r="B2319" s="1" t="str">
        <v>2020-09-09</v>
      </c>
      <c r="C2319" s="1">
        <v>1.903</v>
      </c>
    </row>
    <row r="2320" spans="1:3" x14ac:dyDescent="0.2">
      <c r="A2320" s="1">
        <v>32963</v>
      </c>
      <c r="B2320" s="1" t="str">
        <v>2020-09-09</v>
      </c>
      <c r="C2320" s="1">
        <v>1.6086</v>
      </c>
    </row>
    <row r="2321" spans="1:3" x14ac:dyDescent="0.2">
      <c r="A2321" s="1">
        <v>32081</v>
      </c>
      <c r="B2321" s="1" t="str">
        <v>2020-09-09</v>
      </c>
      <c r="C2321" s="1">
        <v>1.7098</v>
      </c>
    </row>
    <row r="2322" spans="1:3" x14ac:dyDescent="0.2">
      <c r="A2322" s="1">
        <v>1</v>
      </c>
      <c r="B2322" s="1" t="str">
        <v>2020-09-09</v>
      </c>
      <c r="C2322" s="1">
        <v>1.7910999999999999</v>
      </c>
    </row>
    <row r="2323" spans="1:3" x14ac:dyDescent="0.2">
      <c r="A2323" s="1">
        <v>32663</v>
      </c>
      <c r="B2323" s="1" t="str">
        <v>2020-09-09</v>
      </c>
      <c r="C2323" s="1">
        <v>2.0045999999999999</v>
      </c>
    </row>
    <row r="2324" spans="1:3" x14ac:dyDescent="0.2">
      <c r="A2324" s="1">
        <v>34</v>
      </c>
      <c r="B2324" s="1" t="str">
        <v>2020-09-09</v>
      </c>
      <c r="C2324" s="1">
        <v>2.0962000000000001</v>
      </c>
    </row>
    <row r="2325" spans="1:3" x14ac:dyDescent="0.2">
      <c r="A2325" s="1">
        <v>28</v>
      </c>
      <c r="B2325" s="1" t="str">
        <v>2020-09-10</v>
      </c>
      <c r="C2325" s="1">
        <v>1.7810999999999999</v>
      </c>
    </row>
    <row r="2326" spans="1:3" x14ac:dyDescent="0.2">
      <c r="A2326" s="1">
        <v>1</v>
      </c>
      <c r="B2326" s="1" t="str">
        <v>2020-09-10</v>
      </c>
      <c r="C2326" s="1">
        <v>1.7910999999999999</v>
      </c>
    </row>
    <row r="2327" spans="1:3" x14ac:dyDescent="0.2">
      <c r="A2327" s="1">
        <v>32340</v>
      </c>
      <c r="B2327" s="1" t="str">
        <v>2020-09-10</v>
      </c>
      <c r="C2327" s="1">
        <v>1.7099</v>
      </c>
    </row>
    <row r="2328" spans="1:3" x14ac:dyDescent="0.2">
      <c r="A2328" s="1">
        <v>32400</v>
      </c>
      <c r="B2328" s="1" t="str">
        <v>2020-09-10</v>
      </c>
      <c r="C2328" s="1">
        <v>1.9437</v>
      </c>
    </row>
    <row r="2329" spans="1:3" x14ac:dyDescent="0.2">
      <c r="A2329" s="1">
        <v>150</v>
      </c>
      <c r="B2329" s="1" t="str">
        <v>2020-09-10</v>
      </c>
      <c r="C2329" s="1">
        <v>2.0030999999999999</v>
      </c>
    </row>
    <row r="2330" spans="1:3" x14ac:dyDescent="0.2">
      <c r="A2330" s="1">
        <v>136</v>
      </c>
      <c r="B2330" s="1" t="str">
        <v>2020-09-10</v>
      </c>
      <c r="C2330" s="1">
        <v>1.8633</v>
      </c>
    </row>
    <row r="2331" spans="1:3" x14ac:dyDescent="0.2">
      <c r="A2331" s="1">
        <v>147</v>
      </c>
      <c r="B2331" s="1" t="str">
        <v>2020-09-10</v>
      </c>
      <c r="C2331" s="1">
        <v>1.1489</v>
      </c>
    </row>
    <row r="2332" spans="1:3" x14ac:dyDescent="0.2">
      <c r="A2332" s="1">
        <v>33043</v>
      </c>
      <c r="B2332" s="1" t="str">
        <v>2020-09-10</v>
      </c>
      <c r="C2332" s="1">
        <v>2.0041000000000002</v>
      </c>
    </row>
    <row r="2333" spans="1:3" x14ac:dyDescent="0.2">
      <c r="A2333" s="1">
        <v>32963</v>
      </c>
      <c r="B2333" s="1" t="str">
        <v>2020-09-10</v>
      </c>
      <c r="C2333" s="1">
        <v>1.6086</v>
      </c>
    </row>
    <row r="2334" spans="1:3" x14ac:dyDescent="0.2">
      <c r="A2334" s="1">
        <v>94</v>
      </c>
      <c r="B2334" s="1" t="str">
        <v>2020-09-10</v>
      </c>
      <c r="C2334" s="1">
        <v>1.7498</v>
      </c>
    </row>
    <row r="2335" spans="1:3" x14ac:dyDescent="0.2">
      <c r="A2335" s="1">
        <v>32081</v>
      </c>
      <c r="B2335" s="1" t="str">
        <v>2020-09-10</v>
      </c>
      <c r="C2335" s="1">
        <v>1.7502</v>
      </c>
    </row>
    <row r="2336" spans="1:3" x14ac:dyDescent="0.2">
      <c r="A2336" s="1">
        <v>83</v>
      </c>
      <c r="B2336" s="1" t="str">
        <v>2020-09-10</v>
      </c>
      <c r="C2336" s="1">
        <v>1.8827</v>
      </c>
    </row>
    <row r="2337" spans="1:3" x14ac:dyDescent="0.2">
      <c r="A2337" s="1">
        <v>115</v>
      </c>
      <c r="B2337" s="1" t="str">
        <v>2020-09-10</v>
      </c>
      <c r="C2337" s="1">
        <v>1.9944</v>
      </c>
    </row>
    <row r="2338" spans="1:3" x14ac:dyDescent="0.2">
      <c r="A2338" s="1">
        <v>250</v>
      </c>
      <c r="B2338" s="1" t="str">
        <v>2020-09-10</v>
      </c>
      <c r="C2338" s="1">
        <v>1.8318000000000001</v>
      </c>
    </row>
    <row r="2339" spans="1:3" x14ac:dyDescent="0.2">
      <c r="A2339" s="1">
        <v>176</v>
      </c>
      <c r="B2339" s="1" t="str">
        <v>2020-09-10</v>
      </c>
      <c r="C2339" s="1">
        <v>2.0148000000000001</v>
      </c>
    </row>
    <row r="2340" spans="1:3" x14ac:dyDescent="0.2">
      <c r="A2340" s="1">
        <v>32583</v>
      </c>
      <c r="B2340" s="1" t="str">
        <v>2020-09-10</v>
      </c>
      <c r="C2340" s="1">
        <v>1.9029</v>
      </c>
    </row>
    <row r="2341" spans="1:3" x14ac:dyDescent="0.2">
      <c r="A2341" s="1">
        <v>32502</v>
      </c>
      <c r="B2341" s="1" t="str">
        <v>2020-09-10</v>
      </c>
      <c r="C2341" s="1">
        <v>1.9234</v>
      </c>
    </row>
    <row r="2342" spans="1:3" x14ac:dyDescent="0.2">
      <c r="A2342" s="1">
        <v>175</v>
      </c>
      <c r="B2342" s="1" t="str">
        <v>2020-09-10</v>
      </c>
      <c r="C2342" s="1">
        <v>1.7506999999999999</v>
      </c>
    </row>
    <row r="2343" spans="1:3" x14ac:dyDescent="0.2">
      <c r="A2343" s="1">
        <v>24</v>
      </c>
      <c r="B2343" s="1" t="str">
        <v>2020-09-11</v>
      </c>
      <c r="C2343" s="1">
        <v>2.0962000000000001</v>
      </c>
    </row>
    <row r="2344" spans="1:3" x14ac:dyDescent="0.2">
      <c r="A2344" s="1">
        <v>191</v>
      </c>
      <c r="B2344" s="1" t="str">
        <v>2020-09-11</v>
      </c>
      <c r="C2344" s="1">
        <v>1.6695</v>
      </c>
    </row>
    <row r="2345" spans="1:3" x14ac:dyDescent="0.2">
      <c r="A2345" s="1">
        <v>32783</v>
      </c>
      <c r="B2345" s="1" t="str">
        <v>2020-09-11</v>
      </c>
      <c r="C2345" s="1">
        <v>1.9944999999999999</v>
      </c>
    </row>
    <row r="2346" spans="1:3" x14ac:dyDescent="0.2">
      <c r="A2346" s="1">
        <v>32082</v>
      </c>
      <c r="B2346" s="1" t="str">
        <v>2020-09-11</v>
      </c>
      <c r="C2346" s="1">
        <v>1.9637</v>
      </c>
    </row>
    <row r="2347" spans="1:3" x14ac:dyDescent="0.2">
      <c r="A2347" s="1">
        <v>13250</v>
      </c>
      <c r="B2347" s="1" t="str">
        <v>2020-09-11</v>
      </c>
      <c r="C2347" s="1">
        <v>1.8927</v>
      </c>
    </row>
    <row r="2348" spans="1:3" x14ac:dyDescent="0.2">
      <c r="A2348" s="1">
        <v>32081</v>
      </c>
      <c r="B2348" s="1" t="str">
        <v>2020-09-11</v>
      </c>
      <c r="C2348" s="1">
        <v>1.7502</v>
      </c>
    </row>
    <row r="2349" spans="1:3" x14ac:dyDescent="0.2">
      <c r="A2349" s="1">
        <v>16</v>
      </c>
      <c r="B2349" s="1" t="str">
        <v>2020-09-11</v>
      </c>
      <c r="C2349" s="1">
        <v>1.6288</v>
      </c>
    </row>
    <row r="2350" spans="1:3" x14ac:dyDescent="0.2">
      <c r="A2350" s="1">
        <v>157</v>
      </c>
      <c r="B2350" s="1" t="str">
        <v>2020-09-11</v>
      </c>
      <c r="C2350" s="1">
        <v>1.8624000000000001</v>
      </c>
    </row>
    <row r="2351" spans="1:3" x14ac:dyDescent="0.2">
      <c r="A2351" s="1">
        <v>32863</v>
      </c>
      <c r="B2351" s="1" t="str">
        <v>2020-09-11</v>
      </c>
      <c r="C2351" s="1">
        <v>1.8318000000000001</v>
      </c>
    </row>
    <row r="2352" spans="1:3" x14ac:dyDescent="0.2">
      <c r="A2352" s="1">
        <v>32</v>
      </c>
      <c r="B2352" s="1" t="str">
        <v>2020-09-11</v>
      </c>
      <c r="C2352" s="1">
        <v>2.0554999999999999</v>
      </c>
    </row>
    <row r="2353" spans="1:3" x14ac:dyDescent="0.2">
      <c r="A2353" s="1">
        <v>24250</v>
      </c>
      <c r="B2353" s="1" t="str">
        <v>2020-09-11</v>
      </c>
      <c r="C2353" s="1">
        <v>1.8927</v>
      </c>
    </row>
    <row r="2354" spans="1:3" x14ac:dyDescent="0.2">
      <c r="A2354" s="1">
        <v>67</v>
      </c>
      <c r="B2354" s="1" t="str">
        <v>2020-09-11</v>
      </c>
      <c r="C2354" s="1">
        <v>2.1063000000000001</v>
      </c>
    </row>
    <row r="2355" spans="1:3" x14ac:dyDescent="0.2">
      <c r="A2355" s="1">
        <v>32180</v>
      </c>
      <c r="B2355" s="1" t="str">
        <v>2020-09-11</v>
      </c>
      <c r="C2355" s="1">
        <v>2.4102000000000001</v>
      </c>
    </row>
    <row r="2356" spans="1:3" x14ac:dyDescent="0.2">
      <c r="A2356" s="1">
        <v>32401</v>
      </c>
      <c r="B2356" s="1" t="str">
        <v>2020-09-11</v>
      </c>
      <c r="C2356" s="1">
        <v>1.6695</v>
      </c>
    </row>
    <row r="2357" spans="1:3" x14ac:dyDescent="0.2">
      <c r="A2357" s="1">
        <v>94</v>
      </c>
      <c r="B2357" s="1" t="str">
        <v>2020-09-11</v>
      </c>
      <c r="C2357" s="1">
        <v>2</v>
      </c>
    </row>
    <row r="2358" spans="1:3" x14ac:dyDescent="0.2">
      <c r="A2358" s="1">
        <v>115</v>
      </c>
      <c r="B2358" s="1" t="str">
        <v>2020-09-11</v>
      </c>
      <c r="C2358" s="1">
        <v>1.9944</v>
      </c>
    </row>
    <row r="2359" spans="1:3" x14ac:dyDescent="0.2">
      <c r="A2359" s="1">
        <v>28</v>
      </c>
      <c r="B2359" s="1" t="str">
        <v>2020-09-11</v>
      </c>
      <c r="C2359" s="1">
        <v>1.6897</v>
      </c>
    </row>
    <row r="2360" spans="1:3" x14ac:dyDescent="0.2">
      <c r="A2360" s="1">
        <v>20</v>
      </c>
      <c r="B2360" s="1" t="str">
        <v>2020-09-11</v>
      </c>
      <c r="C2360" s="1">
        <v>1.9944</v>
      </c>
    </row>
    <row r="2361" spans="1:3" x14ac:dyDescent="0.2">
      <c r="A2361" s="1">
        <v>137</v>
      </c>
      <c r="B2361" s="1" t="str">
        <v>2020-09-11</v>
      </c>
      <c r="C2361" s="1">
        <v>2.2183000000000002</v>
      </c>
    </row>
    <row r="2362" spans="1:3" x14ac:dyDescent="0.2">
      <c r="A2362" s="1">
        <v>32724</v>
      </c>
      <c r="B2362" s="1" t="str">
        <v>2020-09-11</v>
      </c>
      <c r="C2362" s="1">
        <v>1.9741</v>
      </c>
    </row>
    <row r="2363" spans="1:3" x14ac:dyDescent="0.2">
      <c r="A2363" s="1">
        <v>161</v>
      </c>
      <c r="B2363" s="1" t="str">
        <v>2020-09-11</v>
      </c>
      <c r="C2363" s="1">
        <v>2.0148000000000001</v>
      </c>
    </row>
    <row r="2364" spans="1:3" x14ac:dyDescent="0.2">
      <c r="A2364" s="1">
        <v>33129</v>
      </c>
      <c r="B2364" s="1" t="str">
        <v>2020-09-11</v>
      </c>
      <c r="C2364" s="1">
        <v>2.0348999999999999</v>
      </c>
    </row>
    <row r="2365" spans="1:3" x14ac:dyDescent="0.2">
      <c r="A2365" s="1">
        <v>196</v>
      </c>
      <c r="B2365" s="1" t="str">
        <v>2020-09-11</v>
      </c>
      <c r="C2365" s="1">
        <v>2.0756999999999999</v>
      </c>
    </row>
    <row r="2366" spans="1:3" x14ac:dyDescent="0.2">
      <c r="A2366" s="1">
        <v>33083</v>
      </c>
      <c r="B2366" s="1" t="str">
        <v>2020-09-11</v>
      </c>
      <c r="C2366" s="1">
        <v>1.9142999999999999</v>
      </c>
    </row>
    <row r="2367" spans="1:3" x14ac:dyDescent="0.2">
      <c r="A2367" s="1">
        <v>109</v>
      </c>
      <c r="B2367" s="1" t="str">
        <v>2020-09-11</v>
      </c>
      <c r="C2367" s="1">
        <v>2.0962000000000001</v>
      </c>
    </row>
    <row r="2368" spans="1:3" x14ac:dyDescent="0.2">
      <c r="A2368" s="1">
        <v>59</v>
      </c>
      <c r="B2368" s="1" t="str">
        <v>2020-09-11</v>
      </c>
      <c r="C2368" s="1">
        <v>1.9335</v>
      </c>
    </row>
    <row r="2369" spans="1:3" x14ac:dyDescent="0.2">
      <c r="A2369" s="1">
        <v>102</v>
      </c>
      <c r="B2369" s="1" t="str">
        <v>2020-09-11</v>
      </c>
      <c r="C2369" s="1">
        <v>2.0146999999999999</v>
      </c>
    </row>
    <row r="2370" spans="1:3" x14ac:dyDescent="0.2">
      <c r="A2370" s="1">
        <v>37</v>
      </c>
      <c r="B2370" s="1" t="str">
        <v>2020-09-11</v>
      </c>
      <c r="C2370" s="1">
        <v>2.0146999999999999</v>
      </c>
    </row>
    <row r="2371" spans="1:3" x14ac:dyDescent="0.2">
      <c r="A2371" s="1">
        <v>33183</v>
      </c>
      <c r="B2371" s="1" t="str">
        <v>2020-09-11</v>
      </c>
      <c r="C2371" s="1">
        <v>1.8978999999999999</v>
      </c>
    </row>
    <row r="2372" spans="1:3" x14ac:dyDescent="0.2">
      <c r="A2372" s="1">
        <v>9250</v>
      </c>
      <c r="B2372" s="1" t="str">
        <v>2020-09-11</v>
      </c>
      <c r="C2372" s="1">
        <v>2.0453000000000001</v>
      </c>
    </row>
    <row r="2373" spans="1:3" x14ac:dyDescent="0.2">
      <c r="A2373" s="1">
        <v>32200</v>
      </c>
      <c r="B2373" s="1" t="str">
        <v>2020-09-11</v>
      </c>
      <c r="C2373" s="1">
        <v>1.6188</v>
      </c>
    </row>
    <row r="2374" spans="1:3" x14ac:dyDescent="0.2">
      <c r="A2374" s="1">
        <v>23250</v>
      </c>
      <c r="B2374" s="1" t="str">
        <v>2020-09-11</v>
      </c>
      <c r="C2374" s="1">
        <v>1.8522000000000001</v>
      </c>
    </row>
    <row r="2375" spans="1:3" x14ac:dyDescent="0.2">
      <c r="A2375" s="1">
        <v>32983</v>
      </c>
      <c r="B2375" s="1" t="str">
        <v>2020-09-11</v>
      </c>
      <c r="C2375" s="1">
        <v>1.8421000000000001</v>
      </c>
    </row>
    <row r="2376" spans="1:3" x14ac:dyDescent="0.2">
      <c r="A2376" s="1">
        <v>30250</v>
      </c>
      <c r="B2376" s="1" t="str">
        <v>2020-09-11</v>
      </c>
      <c r="C2376" s="1">
        <v>2.0143</v>
      </c>
    </row>
    <row r="2377" spans="1:3" x14ac:dyDescent="0.2">
      <c r="A2377" s="1">
        <v>32260</v>
      </c>
      <c r="B2377" s="1" t="str">
        <v>2020-09-11</v>
      </c>
      <c r="C2377" s="1">
        <v>1.9944</v>
      </c>
    </row>
    <row r="2378" spans="1:3" x14ac:dyDescent="0.2">
      <c r="A2378" s="1">
        <v>81</v>
      </c>
      <c r="B2378" s="1" t="str">
        <v>2020-09-11</v>
      </c>
      <c r="C2378" s="1">
        <v>1.9943</v>
      </c>
    </row>
    <row r="2379" spans="1:3" x14ac:dyDescent="0.2">
      <c r="A2379" s="1">
        <v>34</v>
      </c>
      <c r="B2379" s="1" t="str">
        <v>2020-09-11</v>
      </c>
      <c r="C2379" s="1">
        <v>1.9436</v>
      </c>
    </row>
    <row r="2380" spans="1:3" x14ac:dyDescent="0.2">
      <c r="A2380" s="1">
        <v>31</v>
      </c>
      <c r="B2380" s="1" t="str">
        <v>2020-09-11</v>
      </c>
      <c r="C2380" s="1">
        <v>1.9233</v>
      </c>
    </row>
    <row r="2381" spans="1:3" x14ac:dyDescent="0.2">
      <c r="A2381" s="1">
        <v>32803</v>
      </c>
      <c r="B2381" s="1" t="str">
        <v>2020-09-11</v>
      </c>
      <c r="C2381" s="1">
        <v>2.1572</v>
      </c>
    </row>
    <row r="2382" spans="1:3" x14ac:dyDescent="0.2">
      <c r="A2382" s="1">
        <v>101</v>
      </c>
      <c r="B2382" s="1" t="str">
        <v>2020-09-11</v>
      </c>
      <c r="C2382" s="1">
        <v>1.8521000000000001</v>
      </c>
    </row>
    <row r="2383" spans="1:3" x14ac:dyDescent="0.2">
      <c r="A2383" s="1">
        <v>32121</v>
      </c>
      <c r="B2383" s="1" t="str">
        <v>2020-09-11</v>
      </c>
      <c r="C2383" s="1">
        <v>2.4116</v>
      </c>
    </row>
    <row r="2384" spans="1:3" x14ac:dyDescent="0.2">
      <c r="A2384" s="1">
        <v>110</v>
      </c>
      <c r="B2384" s="1" t="str">
        <v>2020-09-11</v>
      </c>
      <c r="C2384" s="1">
        <v>2.0554999999999999</v>
      </c>
    </row>
    <row r="2385" spans="1:3" x14ac:dyDescent="0.2">
      <c r="A2385" s="1">
        <v>32360</v>
      </c>
      <c r="B2385" s="1" t="str">
        <v>2020-09-11</v>
      </c>
      <c r="C2385" s="1">
        <v>1.964</v>
      </c>
    </row>
    <row r="2386" spans="1:3" x14ac:dyDescent="0.2">
      <c r="A2386" s="1">
        <v>49</v>
      </c>
      <c r="B2386" s="1" t="str">
        <v>2020-09-11</v>
      </c>
      <c r="C2386" s="1">
        <v>1.8927</v>
      </c>
    </row>
    <row r="2387" spans="1:3" x14ac:dyDescent="0.2">
      <c r="A2387" s="1">
        <v>30400</v>
      </c>
      <c r="B2387" s="1" t="str">
        <v>2020-09-11</v>
      </c>
      <c r="C2387" s="1">
        <v>2.0247000000000002</v>
      </c>
    </row>
    <row r="2388" spans="1:3" x14ac:dyDescent="0.2">
      <c r="A2388" s="1">
        <v>10</v>
      </c>
      <c r="B2388" s="1" t="str">
        <v>2020-09-11</v>
      </c>
      <c r="C2388" s="1">
        <v>2.0962000000000001</v>
      </c>
    </row>
    <row r="2389" spans="1:3" x14ac:dyDescent="0.2">
      <c r="A2389" s="1">
        <v>72</v>
      </c>
      <c r="B2389" s="1" t="str">
        <v>2020-09-11</v>
      </c>
      <c r="C2389" s="1">
        <v>2.0045999999999999</v>
      </c>
    </row>
    <row r="2390" spans="1:3" x14ac:dyDescent="0.2">
      <c r="A2390" s="1">
        <v>146</v>
      </c>
      <c r="B2390" s="1" t="str">
        <v>2020-09-11</v>
      </c>
      <c r="C2390" s="1">
        <v>1.9537</v>
      </c>
    </row>
    <row r="2391" spans="1:3" x14ac:dyDescent="0.2">
      <c r="A2391" s="1">
        <v>139</v>
      </c>
      <c r="B2391" s="1" t="str">
        <v>2020-09-11</v>
      </c>
      <c r="C2391" s="1">
        <v>1.903</v>
      </c>
    </row>
    <row r="2392" spans="1:3" x14ac:dyDescent="0.2">
      <c r="A2392" s="1">
        <v>77</v>
      </c>
      <c r="B2392" s="1" t="str">
        <v>2020-09-11</v>
      </c>
      <c r="C2392" s="1">
        <v>2.198</v>
      </c>
    </row>
    <row r="2393" spans="1:3" x14ac:dyDescent="0.2">
      <c r="A2393" s="1">
        <v>187</v>
      </c>
      <c r="B2393" s="1" t="str">
        <v>2020-09-11</v>
      </c>
      <c r="C2393" s="1">
        <v>1.8825000000000001</v>
      </c>
    </row>
    <row r="2394" spans="1:3" x14ac:dyDescent="0.2">
      <c r="A2394" s="1">
        <v>181</v>
      </c>
      <c r="B2394" s="1" t="str">
        <v>2020-09-11</v>
      </c>
      <c r="C2394" s="1">
        <v>1.9026000000000001</v>
      </c>
    </row>
    <row r="2395" spans="1:3" x14ac:dyDescent="0.2">
      <c r="A2395" s="1">
        <v>32340</v>
      </c>
      <c r="B2395" s="1" t="str">
        <v>2020-09-11</v>
      </c>
      <c r="C2395" s="1">
        <v>1.8194999999999999</v>
      </c>
    </row>
    <row r="2396" spans="1:3" x14ac:dyDescent="0.2">
      <c r="A2396" s="1">
        <v>90</v>
      </c>
      <c r="B2396" s="1" t="str">
        <v>2020-09-11</v>
      </c>
      <c r="C2396" s="1">
        <v>2.1265999999999998</v>
      </c>
    </row>
    <row r="2397" spans="1:3" x14ac:dyDescent="0.2">
      <c r="A2397" s="1">
        <v>1</v>
      </c>
      <c r="B2397" s="1" t="str">
        <v>2020-09-11</v>
      </c>
      <c r="C2397" s="1">
        <v>1.8317000000000001</v>
      </c>
    </row>
    <row r="2398" spans="1:3" x14ac:dyDescent="0.2">
      <c r="A2398" s="1">
        <v>78</v>
      </c>
      <c r="B2398" s="1" t="str">
        <v>2020-09-11</v>
      </c>
      <c r="C2398" s="1">
        <v>2.0758000000000001</v>
      </c>
    </row>
    <row r="2399" spans="1:3" x14ac:dyDescent="0.2">
      <c r="A2399" s="1">
        <v>33130</v>
      </c>
      <c r="B2399" s="1" t="str">
        <v>2020-09-11</v>
      </c>
      <c r="C2399" s="1">
        <v>1.9334</v>
      </c>
    </row>
    <row r="2400" spans="1:3" x14ac:dyDescent="0.2">
      <c r="A2400" s="1">
        <v>30300</v>
      </c>
      <c r="B2400" s="1" t="str">
        <v>2020-09-11</v>
      </c>
      <c r="C2400" s="1">
        <v>1.9437</v>
      </c>
    </row>
    <row r="2401" spans="1:3" x14ac:dyDescent="0.2">
      <c r="A2401" s="1">
        <v>133</v>
      </c>
      <c r="B2401" s="1" t="str">
        <v>2020-09-11</v>
      </c>
      <c r="C2401" s="1">
        <v>1.9538</v>
      </c>
    </row>
    <row r="2402" spans="1:3" x14ac:dyDescent="0.2">
      <c r="A2402" s="1">
        <v>2250</v>
      </c>
      <c r="B2402" s="1" t="str">
        <v>2020-09-11</v>
      </c>
      <c r="C2402" s="1">
        <v>1.6087</v>
      </c>
    </row>
    <row r="2403" spans="1:3" x14ac:dyDescent="0.2">
      <c r="A2403" s="1">
        <v>33125</v>
      </c>
      <c r="B2403" s="1" t="str">
        <v>2020-09-11</v>
      </c>
      <c r="C2403" s="1">
        <v>1.9233</v>
      </c>
    </row>
    <row r="2404" spans="1:3" x14ac:dyDescent="0.2">
      <c r="A2404" s="1">
        <v>32420</v>
      </c>
      <c r="B2404" s="1" t="str">
        <v>2020-09-11</v>
      </c>
      <c r="C2404" s="1">
        <v>1.9514</v>
      </c>
    </row>
    <row r="2405" spans="1:3" x14ac:dyDescent="0.2">
      <c r="A2405" s="1">
        <v>32360</v>
      </c>
      <c r="B2405" s="1" t="str">
        <v>2020-09-14</v>
      </c>
      <c r="C2405" s="1">
        <v>1.964</v>
      </c>
    </row>
    <row r="2406" spans="1:3" x14ac:dyDescent="0.2">
      <c r="A2406" s="1">
        <v>33130</v>
      </c>
      <c r="B2406" s="1" t="str">
        <v>2020-09-14</v>
      </c>
      <c r="C2406" s="1">
        <v>1.9435</v>
      </c>
    </row>
    <row r="2407" spans="1:3" x14ac:dyDescent="0.2">
      <c r="A2407" s="1">
        <v>53</v>
      </c>
      <c r="B2407" s="1" t="str">
        <v>2020-09-14</v>
      </c>
      <c r="C2407" s="1">
        <v>2.1873</v>
      </c>
    </row>
    <row r="2408" spans="1:3" x14ac:dyDescent="0.2">
      <c r="A2408" s="1">
        <v>32603</v>
      </c>
      <c r="B2408" s="1" t="str">
        <v>2020-09-14</v>
      </c>
      <c r="C2408" s="1">
        <v>1.8317000000000001</v>
      </c>
    </row>
    <row r="2409" spans="1:3" x14ac:dyDescent="0.2">
      <c r="A2409" s="1">
        <v>34</v>
      </c>
      <c r="B2409" s="1" t="str">
        <v>2020-09-14</v>
      </c>
      <c r="C2409" s="1">
        <v>1.9436</v>
      </c>
    </row>
    <row r="2410" spans="1:3" x14ac:dyDescent="0.2">
      <c r="A2410" s="1">
        <v>31</v>
      </c>
      <c r="B2410" s="1" t="str">
        <v>2020-09-14</v>
      </c>
      <c r="C2410" s="1">
        <v>1.9233</v>
      </c>
    </row>
    <row r="2411" spans="1:3" x14ac:dyDescent="0.2">
      <c r="A2411" s="1">
        <v>33143</v>
      </c>
      <c r="B2411" s="1" t="str">
        <v>2020-09-14</v>
      </c>
      <c r="C2411" s="1">
        <v>1.9</v>
      </c>
    </row>
    <row r="2412" spans="1:3" x14ac:dyDescent="0.2">
      <c r="A2412" s="1">
        <v>33023</v>
      </c>
      <c r="B2412" s="1" t="str">
        <v>2020-09-14</v>
      </c>
      <c r="C2412" s="1">
        <v>1.8319000000000001</v>
      </c>
    </row>
    <row r="2413" spans="1:3" x14ac:dyDescent="0.2">
      <c r="A2413" s="1">
        <v>178</v>
      </c>
      <c r="B2413" s="1" t="str">
        <v>2020-09-14</v>
      </c>
      <c r="C2413" s="1">
        <v>2.1335999999999999</v>
      </c>
    </row>
    <row r="2414" spans="1:3" x14ac:dyDescent="0.2">
      <c r="A2414" s="1">
        <v>8</v>
      </c>
      <c r="B2414" s="1" t="str">
        <v>2020-09-15</v>
      </c>
      <c r="C2414" s="1">
        <v>1.8827</v>
      </c>
    </row>
    <row r="2415" spans="1:3" x14ac:dyDescent="0.2">
      <c r="A2415" s="1">
        <v>32480</v>
      </c>
      <c r="B2415" s="1" t="str">
        <v>2020-09-15</v>
      </c>
      <c r="C2415" s="1">
        <v>1.8522000000000001</v>
      </c>
    </row>
    <row r="2416" spans="1:3" x14ac:dyDescent="0.2">
      <c r="A2416" s="1">
        <v>32380</v>
      </c>
      <c r="B2416" s="1" t="str">
        <v>2020-09-15</v>
      </c>
      <c r="C2416" s="1">
        <v>2.1570999999999998</v>
      </c>
    </row>
    <row r="2417" spans="1:3" x14ac:dyDescent="0.2">
      <c r="A2417" s="1">
        <v>32421</v>
      </c>
      <c r="B2417" s="1" t="str">
        <v>2020-09-16</v>
      </c>
      <c r="C2417" s="1">
        <v>1.9419999999999999</v>
      </c>
    </row>
    <row r="2418" spans="1:3" x14ac:dyDescent="0.2">
      <c r="A2418" s="1">
        <v>1</v>
      </c>
      <c r="B2418" s="1" t="str">
        <v>2020-09-16</v>
      </c>
      <c r="C2418" s="1">
        <v>1.8419000000000001</v>
      </c>
    </row>
    <row r="2419" spans="1:3" x14ac:dyDescent="0.2">
      <c r="A2419" s="1">
        <v>34</v>
      </c>
      <c r="B2419" s="1" t="str">
        <v>2020-09-16</v>
      </c>
      <c r="C2419" s="1">
        <v>1.9436</v>
      </c>
    </row>
    <row r="2420" spans="1:3" x14ac:dyDescent="0.2">
      <c r="A2420" s="1">
        <v>55</v>
      </c>
      <c r="B2420" s="1" t="str">
        <v>2020-09-17</v>
      </c>
      <c r="C2420" s="1">
        <v>2.0045000000000002</v>
      </c>
    </row>
    <row r="2421" spans="1:3" x14ac:dyDescent="0.2">
      <c r="A2421" s="1">
        <v>32400</v>
      </c>
      <c r="B2421" s="1" t="str">
        <v>2020-09-17</v>
      </c>
      <c r="C2421" s="1">
        <v>2.1469999999999998</v>
      </c>
    </row>
    <row r="2422" spans="1:3" x14ac:dyDescent="0.2">
      <c r="A2422" s="1">
        <v>32863</v>
      </c>
      <c r="B2422" s="1" t="str">
        <v>2020-09-18</v>
      </c>
      <c r="C2422" s="1">
        <v>1.8318000000000001</v>
      </c>
    </row>
    <row r="2423" spans="1:3" x14ac:dyDescent="0.2">
      <c r="A2423" s="1">
        <v>32724</v>
      </c>
      <c r="B2423" s="1" t="str">
        <v>2020-09-18</v>
      </c>
      <c r="C2423" s="1">
        <v>2.0350000000000001</v>
      </c>
    </row>
    <row r="2424" spans="1:3" x14ac:dyDescent="0.2">
      <c r="A2424" s="1">
        <v>32081</v>
      </c>
      <c r="B2424" s="1" t="str">
        <v>2020-09-18</v>
      </c>
      <c r="C2424" s="1">
        <v>2.0651999999999999</v>
      </c>
    </row>
    <row r="2425" spans="1:3" x14ac:dyDescent="0.2">
      <c r="A2425" s="1">
        <v>33129</v>
      </c>
      <c r="B2425" s="1" t="str">
        <v>2020-09-18</v>
      </c>
      <c r="C2425" s="1">
        <v>2.0451000000000001</v>
      </c>
    </row>
    <row r="2426" spans="1:3" x14ac:dyDescent="0.2">
      <c r="A2426" s="1">
        <v>139</v>
      </c>
      <c r="B2426" s="1" t="str">
        <v>2020-09-18</v>
      </c>
      <c r="C2426" s="1">
        <v>2.0249000000000001</v>
      </c>
    </row>
    <row r="2427" spans="1:3" x14ac:dyDescent="0.2">
      <c r="A2427" s="1">
        <v>102</v>
      </c>
      <c r="B2427" s="1" t="str">
        <v>2020-09-18</v>
      </c>
      <c r="C2427" s="1">
        <v>2.0146999999999999</v>
      </c>
    </row>
    <row r="2428" spans="1:3" x14ac:dyDescent="0.2">
      <c r="A2428" s="1">
        <v>1</v>
      </c>
      <c r="B2428" s="1" t="str">
        <v>2020-09-18</v>
      </c>
      <c r="C2428" s="1">
        <v>1.8419000000000001</v>
      </c>
    </row>
    <row r="2429" spans="1:3" x14ac:dyDescent="0.2">
      <c r="A2429" s="1">
        <v>33130</v>
      </c>
      <c r="B2429" s="1" t="str">
        <v>2020-09-18</v>
      </c>
      <c r="C2429" s="1">
        <v>2.2385999999999999</v>
      </c>
    </row>
    <row r="2430" spans="1:3" x14ac:dyDescent="0.2">
      <c r="A2430" s="1">
        <v>32501</v>
      </c>
      <c r="B2430" s="1" t="str">
        <v>2020-09-18</v>
      </c>
      <c r="C2430" s="1">
        <v>2.4834000000000001</v>
      </c>
    </row>
    <row r="2431" spans="1:3" x14ac:dyDescent="0.2">
      <c r="A2431" s="1">
        <v>161</v>
      </c>
      <c r="B2431" s="1" t="str">
        <v>2020-09-18</v>
      </c>
      <c r="C2431" s="1">
        <v>2.0554000000000001</v>
      </c>
    </row>
    <row r="2432" spans="1:3" x14ac:dyDescent="0.2">
      <c r="A2432" s="1">
        <v>32923</v>
      </c>
      <c r="B2432" s="1" t="str">
        <v>2020-09-18</v>
      </c>
      <c r="C2432" s="1">
        <v>2.0554999999999999</v>
      </c>
    </row>
    <row r="2433" spans="1:3" x14ac:dyDescent="0.2">
      <c r="A2433" s="1">
        <v>24250</v>
      </c>
      <c r="B2433" s="1" t="str">
        <v>2020-09-18</v>
      </c>
      <c r="C2433" s="1">
        <v>1.8927</v>
      </c>
    </row>
    <row r="2434" spans="1:3" x14ac:dyDescent="0.2">
      <c r="A2434" s="1">
        <v>16</v>
      </c>
      <c r="B2434" s="1" t="str">
        <v>2020-09-18</v>
      </c>
      <c r="C2434" s="1">
        <v>1.6288</v>
      </c>
    </row>
    <row r="2435" spans="1:3" x14ac:dyDescent="0.2">
      <c r="A2435" s="1">
        <v>133</v>
      </c>
      <c r="B2435" s="1" t="str">
        <v>2020-09-18</v>
      </c>
      <c r="C2435" s="1">
        <v>2.1568000000000001</v>
      </c>
    </row>
    <row r="2436" spans="1:3" x14ac:dyDescent="0.2">
      <c r="A2436" s="1">
        <v>33103</v>
      </c>
      <c r="B2436" s="1" t="str">
        <v>2020-09-18</v>
      </c>
      <c r="C2436" s="1">
        <v>2.6255000000000002</v>
      </c>
    </row>
    <row r="2437" spans="1:3" x14ac:dyDescent="0.2">
      <c r="A2437" s="1">
        <v>13250</v>
      </c>
      <c r="B2437" s="1" t="str">
        <v>2020-09-18</v>
      </c>
      <c r="C2437" s="1">
        <v>1.9639</v>
      </c>
    </row>
    <row r="2438" spans="1:3" x14ac:dyDescent="0.2">
      <c r="A2438" s="1">
        <v>101</v>
      </c>
      <c r="B2438" s="1" t="str">
        <v>2020-09-18</v>
      </c>
      <c r="C2438" s="1">
        <v>1.9842</v>
      </c>
    </row>
    <row r="2439" spans="1:3" x14ac:dyDescent="0.2">
      <c r="A2439" s="1">
        <v>187</v>
      </c>
      <c r="B2439" s="1" t="str">
        <v>2020-09-18</v>
      </c>
      <c r="C2439" s="1">
        <v>1.9841</v>
      </c>
    </row>
    <row r="2440" spans="1:3" x14ac:dyDescent="0.2">
      <c r="A2440" s="1">
        <v>32783</v>
      </c>
      <c r="B2440" s="1" t="str">
        <v>2020-09-18</v>
      </c>
      <c r="C2440" s="1">
        <v>2.0453000000000001</v>
      </c>
    </row>
    <row r="2441" spans="1:3" x14ac:dyDescent="0.2">
      <c r="A2441" s="1">
        <v>156</v>
      </c>
      <c r="B2441" s="1" t="str">
        <v>2020-09-18</v>
      </c>
      <c r="C2441" s="1">
        <v>2.1166</v>
      </c>
    </row>
    <row r="2442" spans="1:3" x14ac:dyDescent="0.2">
      <c r="A2442" s="1">
        <v>10</v>
      </c>
      <c r="B2442" s="1" t="str">
        <v>2020-09-18</v>
      </c>
      <c r="C2442" s="1">
        <v>2.4323000000000001</v>
      </c>
    </row>
    <row r="2443" spans="1:3" x14ac:dyDescent="0.2">
      <c r="A2443" s="1">
        <v>2250</v>
      </c>
      <c r="B2443" s="1" t="str">
        <v>2020-09-18</v>
      </c>
      <c r="C2443" s="1">
        <v>2.0554999999999999</v>
      </c>
    </row>
    <row r="2444" spans="1:3" x14ac:dyDescent="0.2">
      <c r="A2444" s="1">
        <v>30350</v>
      </c>
      <c r="B2444" s="1" t="str">
        <v>2020-09-21</v>
      </c>
      <c r="C2444" s="1">
        <v>1.7303999999999999</v>
      </c>
    </row>
    <row r="2445" spans="1:3" x14ac:dyDescent="0.2">
      <c r="A2445" s="1">
        <v>147</v>
      </c>
      <c r="B2445" s="1" t="str">
        <v>2020-09-21</v>
      </c>
      <c r="C2445" s="1">
        <v>1.5670999999999999</v>
      </c>
    </row>
    <row r="2446" spans="1:3" x14ac:dyDescent="0.2">
      <c r="A2446" s="1">
        <v>32560</v>
      </c>
      <c r="B2446" s="1" t="str">
        <v>2020-09-21</v>
      </c>
      <c r="C2446" s="1">
        <v>2.0653999999999999</v>
      </c>
    </row>
    <row r="2447" spans="1:3" x14ac:dyDescent="0.2">
      <c r="A2447" s="1">
        <v>32400</v>
      </c>
      <c r="B2447" s="1" t="str">
        <v>2020-09-21</v>
      </c>
      <c r="C2447" s="1">
        <v>2.1063000000000001</v>
      </c>
    </row>
    <row r="2448" spans="1:3" x14ac:dyDescent="0.2">
      <c r="A2448" s="1">
        <v>99</v>
      </c>
      <c r="B2448" s="1" t="str">
        <v>2020-09-21</v>
      </c>
      <c r="C2448" s="1">
        <v>2.4016999999999999</v>
      </c>
    </row>
    <row r="2449" spans="1:3" x14ac:dyDescent="0.2">
      <c r="A2449" s="1">
        <v>34</v>
      </c>
      <c r="B2449" s="1" t="str">
        <v>2020-09-21</v>
      </c>
      <c r="C2449" s="1">
        <v>2.198</v>
      </c>
    </row>
    <row r="2450" spans="1:3" x14ac:dyDescent="0.2">
      <c r="A2450" s="1">
        <v>89</v>
      </c>
      <c r="B2450" s="1" t="str">
        <v>2020-09-21</v>
      </c>
      <c r="C2450" s="1">
        <v>2.6057999999999999</v>
      </c>
    </row>
    <row r="2451" spans="1:3" x14ac:dyDescent="0.2">
      <c r="A2451" s="1">
        <v>178</v>
      </c>
      <c r="B2451" s="1" t="str">
        <v>2020-09-21</v>
      </c>
      <c r="C2451" s="1">
        <v>2.4024999999999999</v>
      </c>
    </row>
    <row r="2452" spans="1:3" x14ac:dyDescent="0.2">
      <c r="A2452" s="1">
        <v>32421</v>
      </c>
      <c r="B2452" s="1" t="str">
        <v>2020-09-22</v>
      </c>
      <c r="C2452" s="1">
        <v>1.9736</v>
      </c>
    </row>
    <row r="2453" spans="1:3" x14ac:dyDescent="0.2">
      <c r="A2453" s="1">
        <v>32420</v>
      </c>
      <c r="B2453" s="1" t="str">
        <v>2020-09-22</v>
      </c>
      <c r="C2453" s="1">
        <v>2.1392000000000002</v>
      </c>
    </row>
    <row r="2454" spans="1:3" x14ac:dyDescent="0.2">
      <c r="A2454" s="1">
        <v>32400</v>
      </c>
      <c r="B2454" s="1" t="str">
        <v>2020-09-23</v>
      </c>
      <c r="C2454" s="1">
        <v>2.1776</v>
      </c>
    </row>
    <row r="2455" spans="1:3" x14ac:dyDescent="0.2">
      <c r="A2455" s="1">
        <v>8</v>
      </c>
      <c r="B2455" s="1" t="str">
        <v>2020-09-23</v>
      </c>
      <c r="C2455" s="1">
        <v>2.0655000000000001</v>
      </c>
    </row>
    <row r="2456" spans="1:3" x14ac:dyDescent="0.2">
      <c r="A2456" s="1">
        <v>32480</v>
      </c>
      <c r="B2456" s="1" t="str">
        <v>2020-09-23</v>
      </c>
      <c r="C2456" s="1">
        <v>2.3506999999999998</v>
      </c>
    </row>
    <row r="2457" spans="1:3" x14ac:dyDescent="0.2">
      <c r="A2457" s="1">
        <v>32803</v>
      </c>
      <c r="B2457" s="1" t="str">
        <v>2020-09-23</v>
      </c>
      <c r="C2457" s="1">
        <v>2.4424000000000001</v>
      </c>
    </row>
    <row r="2458" spans="1:3" x14ac:dyDescent="0.2">
      <c r="A2458" s="1">
        <v>32260</v>
      </c>
      <c r="B2458" s="1" t="str">
        <v>2020-09-23</v>
      </c>
      <c r="C2458" s="1">
        <v>2.5242</v>
      </c>
    </row>
    <row r="2459" spans="1:3" x14ac:dyDescent="0.2">
      <c r="A2459" s="1">
        <v>33103</v>
      </c>
      <c r="B2459" s="1" t="str">
        <v>2020-09-23</v>
      </c>
      <c r="C2459" s="1">
        <v>2.6255000000000002</v>
      </c>
    </row>
    <row r="2460" spans="1:3" x14ac:dyDescent="0.2">
      <c r="A2460" s="1">
        <v>32420</v>
      </c>
      <c r="B2460" s="1" t="str">
        <v>2020-09-23</v>
      </c>
      <c r="C2460" s="1">
        <v>2.4310999999999998</v>
      </c>
    </row>
    <row r="2461" spans="1:3" x14ac:dyDescent="0.2">
      <c r="A2461" s="1">
        <v>157</v>
      </c>
      <c r="B2461" s="1" t="str">
        <v>2020-09-23</v>
      </c>
      <c r="C2461" s="1">
        <v>2.1164000000000001</v>
      </c>
    </row>
    <row r="2462" spans="1:3" x14ac:dyDescent="0.2">
      <c r="A2462" s="1">
        <v>83</v>
      </c>
      <c r="B2462" s="1" t="str">
        <v>2020-09-23</v>
      </c>
      <c r="C2462" s="1">
        <v>2.2181999999999999</v>
      </c>
    </row>
    <row r="2463" spans="1:3" x14ac:dyDescent="0.2">
      <c r="A2463" s="1">
        <v>147</v>
      </c>
      <c r="B2463" s="1" t="str">
        <v>2020-09-24</v>
      </c>
      <c r="C2463" s="1">
        <v>1.831</v>
      </c>
    </row>
    <row r="2464" spans="1:3" x14ac:dyDescent="0.2">
      <c r="A2464" s="1">
        <v>136</v>
      </c>
      <c r="B2464" s="1" t="str">
        <v>2020-09-24</v>
      </c>
      <c r="C2464" s="1">
        <v>2.3607999999999998</v>
      </c>
    </row>
    <row r="2465" spans="1:3" x14ac:dyDescent="0.2">
      <c r="A2465" s="1">
        <v>32082</v>
      </c>
      <c r="B2465" s="1" t="str">
        <v>2020-09-24</v>
      </c>
      <c r="C2465" s="1">
        <v>2.6566999999999998</v>
      </c>
    </row>
    <row r="2466" spans="1:3" x14ac:dyDescent="0.2">
      <c r="A2466" s="1">
        <v>33129</v>
      </c>
      <c r="B2466" s="1" t="str">
        <v>2020-09-24</v>
      </c>
      <c r="C2466" s="1">
        <v>2.2688000000000001</v>
      </c>
    </row>
    <row r="2467" spans="1:3" x14ac:dyDescent="0.2">
      <c r="A2467" s="1">
        <v>33103</v>
      </c>
      <c r="B2467" s="1" t="str">
        <v>2020-09-24</v>
      </c>
      <c r="C2467" s="1">
        <v>2.6255000000000002</v>
      </c>
    </row>
    <row r="2468" spans="1:3" x14ac:dyDescent="0.2">
      <c r="A2468" s="1">
        <v>32040</v>
      </c>
      <c r="B2468" s="1" t="str">
        <v>2020-09-24</v>
      </c>
      <c r="C2468" s="1">
        <v>2.2789000000000001</v>
      </c>
    </row>
    <row r="2469" spans="1:3" x14ac:dyDescent="0.2">
      <c r="A2469" s="1">
        <v>139</v>
      </c>
      <c r="B2469" s="1" t="str">
        <v>2020-09-24</v>
      </c>
      <c r="C2469" s="1">
        <v>2.2284000000000002</v>
      </c>
    </row>
    <row r="2470" spans="1:3" x14ac:dyDescent="0.2">
      <c r="A2470" s="1">
        <v>182</v>
      </c>
      <c r="B2470" s="1" t="str">
        <v>2020-09-25</v>
      </c>
      <c r="C2470" s="1">
        <v>2.3403999999999998</v>
      </c>
    </row>
    <row r="2471" spans="1:3" x14ac:dyDescent="0.2">
      <c r="A2471" s="1">
        <v>102</v>
      </c>
      <c r="B2471" s="1" t="str">
        <v>2020-09-25</v>
      </c>
      <c r="C2471" s="1">
        <v>2.4525000000000001</v>
      </c>
    </row>
    <row r="2472" spans="1:3" x14ac:dyDescent="0.2">
      <c r="A2472" s="1">
        <v>146</v>
      </c>
      <c r="B2472" s="1" t="str">
        <v>2020-09-25</v>
      </c>
      <c r="C2472" s="1">
        <v>1.9537</v>
      </c>
    </row>
    <row r="2473" spans="1:3" x14ac:dyDescent="0.2">
      <c r="A2473" s="1">
        <v>28</v>
      </c>
      <c r="B2473" s="1" t="str">
        <v>2020-09-25</v>
      </c>
      <c r="C2473" s="1">
        <v>2.524</v>
      </c>
    </row>
    <row r="2474" spans="1:3" x14ac:dyDescent="0.2">
      <c r="A2474" s="1">
        <v>67</v>
      </c>
      <c r="B2474" s="1" t="str">
        <v>2020-09-25</v>
      </c>
      <c r="C2474" s="1">
        <v>2.5238999999999998</v>
      </c>
    </row>
    <row r="2475" spans="1:3" x14ac:dyDescent="0.2">
      <c r="A2475" s="1">
        <v>161</v>
      </c>
      <c r="B2475" s="1" t="str">
        <v>2020-09-25</v>
      </c>
      <c r="C2475" s="1">
        <v>2.5547</v>
      </c>
    </row>
    <row r="2476" spans="1:3" x14ac:dyDescent="0.2">
      <c r="A2476" s="1">
        <v>59</v>
      </c>
      <c r="B2476" s="1" t="str">
        <v>2020-09-25</v>
      </c>
      <c r="C2476" s="1">
        <v>1.9335</v>
      </c>
    </row>
    <row r="2477" spans="1:3" x14ac:dyDescent="0.2">
      <c r="A2477" s="1">
        <v>150</v>
      </c>
      <c r="B2477" s="1" t="str">
        <v>2020-09-25</v>
      </c>
      <c r="C2477" s="1">
        <v>2.0398999999999998</v>
      </c>
    </row>
    <row r="2478" spans="1:3" x14ac:dyDescent="0.2">
      <c r="A2478" s="1">
        <v>133</v>
      </c>
      <c r="B2478" s="1" t="str">
        <v>2020-09-25</v>
      </c>
      <c r="C2478" s="1">
        <v>2.2284000000000002</v>
      </c>
    </row>
    <row r="2479" spans="1:3" x14ac:dyDescent="0.2">
      <c r="A2479" s="1">
        <v>24250</v>
      </c>
      <c r="B2479" s="1" t="str">
        <v>2020-09-25</v>
      </c>
      <c r="C2479" s="1">
        <v>2.2079</v>
      </c>
    </row>
    <row r="2480" spans="1:3" x14ac:dyDescent="0.2">
      <c r="A2480" s="1">
        <v>115</v>
      </c>
      <c r="B2480" s="1" t="str">
        <v>2020-09-25</v>
      </c>
      <c r="C2480" s="1">
        <v>2.3610000000000002</v>
      </c>
    </row>
    <row r="2481" spans="1:3" x14ac:dyDescent="0.2">
      <c r="A2481" s="1">
        <v>250</v>
      </c>
      <c r="B2481" s="1" t="str">
        <v>2020-09-25</v>
      </c>
      <c r="C2481" s="1">
        <v>1.8318000000000001</v>
      </c>
    </row>
    <row r="2482" spans="1:3" x14ac:dyDescent="0.2">
      <c r="A2482" s="1">
        <v>33103</v>
      </c>
      <c r="B2482" s="1" t="str">
        <v>2020-09-25</v>
      </c>
      <c r="C2482" s="1">
        <v>2.6705000000000001</v>
      </c>
    </row>
    <row r="2483" spans="1:3" x14ac:dyDescent="0.2">
      <c r="A2483" s="1">
        <v>32340</v>
      </c>
      <c r="B2483" s="1" t="str">
        <v>2020-09-25</v>
      </c>
      <c r="C2483" s="1">
        <v>2.0042</v>
      </c>
    </row>
    <row r="2484" spans="1:3" x14ac:dyDescent="0.2">
      <c r="A2484" s="1">
        <v>32401</v>
      </c>
      <c r="B2484" s="1" t="str">
        <v>2020-09-25</v>
      </c>
      <c r="C2484" s="1">
        <v>2.3711000000000002</v>
      </c>
    </row>
    <row r="2485" spans="1:3" x14ac:dyDescent="0.2">
      <c r="A2485" s="1">
        <v>32583</v>
      </c>
      <c r="B2485" s="1" t="str">
        <v>2020-09-25</v>
      </c>
      <c r="C2485" s="1">
        <v>2.2791000000000001</v>
      </c>
    </row>
    <row r="2486" spans="1:3" x14ac:dyDescent="0.2">
      <c r="A2486" s="1">
        <v>33203</v>
      </c>
      <c r="B2486" s="1" t="str">
        <v>2020-09-25</v>
      </c>
      <c r="C2486" s="1">
        <v>2.2986</v>
      </c>
    </row>
    <row r="2487" spans="1:3" x14ac:dyDescent="0.2">
      <c r="A2487" s="1">
        <v>32521</v>
      </c>
      <c r="B2487" s="1" t="str">
        <v>2020-09-25</v>
      </c>
      <c r="C2487" s="1">
        <v>2.0552999999999999</v>
      </c>
    </row>
    <row r="2488" spans="1:3" x14ac:dyDescent="0.2">
      <c r="A2488" s="1">
        <v>187</v>
      </c>
      <c r="B2488" s="1" t="str">
        <v>2020-09-25</v>
      </c>
      <c r="C2488" s="1">
        <v>1.9943</v>
      </c>
    </row>
    <row r="2489" spans="1:3" x14ac:dyDescent="0.2">
      <c r="A2489" s="1">
        <v>32400</v>
      </c>
      <c r="B2489" s="1" t="str">
        <v>2020-09-25</v>
      </c>
      <c r="C2489" s="1">
        <v>2.2692000000000001</v>
      </c>
    </row>
    <row r="2490" spans="1:3" x14ac:dyDescent="0.2">
      <c r="A2490" s="1">
        <v>32603</v>
      </c>
      <c r="B2490" s="1" t="str">
        <v>2020-09-25</v>
      </c>
      <c r="C2490" s="1">
        <v>1.974</v>
      </c>
    </row>
    <row r="2491" spans="1:3" x14ac:dyDescent="0.2">
      <c r="A2491" s="1">
        <v>32280</v>
      </c>
      <c r="B2491" s="1" t="str">
        <v>2020-09-25</v>
      </c>
      <c r="C2491" s="1">
        <v>2.2488000000000001</v>
      </c>
    </row>
    <row r="2492" spans="1:3" x14ac:dyDescent="0.2">
      <c r="A2492" s="1">
        <v>81</v>
      </c>
      <c r="B2492" s="1" t="str">
        <v>2020-09-25</v>
      </c>
      <c r="C2492" s="1">
        <v>1.9943</v>
      </c>
    </row>
    <row r="2493" spans="1:3" x14ac:dyDescent="0.2">
      <c r="A2493" s="1">
        <v>10</v>
      </c>
      <c r="B2493" s="1" t="str">
        <v>2020-09-25</v>
      </c>
      <c r="C2493" s="1">
        <v>2.4016999999999999</v>
      </c>
    </row>
    <row r="2494" spans="1:3" x14ac:dyDescent="0.2">
      <c r="A2494" s="1">
        <v>33130</v>
      </c>
      <c r="B2494" s="1" t="str">
        <v>2020-09-25</v>
      </c>
      <c r="C2494" s="1">
        <v>2.4016000000000002</v>
      </c>
    </row>
    <row r="2495" spans="1:3" x14ac:dyDescent="0.2">
      <c r="A2495" s="1">
        <v>109</v>
      </c>
      <c r="B2495" s="1" t="str">
        <v>2020-09-25</v>
      </c>
      <c r="C2495" s="1">
        <v>2.2795000000000001</v>
      </c>
    </row>
    <row r="2496" spans="1:3" x14ac:dyDescent="0.2">
      <c r="A2496" s="1">
        <v>32963</v>
      </c>
      <c r="B2496" s="1" t="str">
        <v>2020-09-28</v>
      </c>
      <c r="C2496" s="1">
        <v>1.8218000000000001</v>
      </c>
    </row>
    <row r="2497" spans="1:3" x14ac:dyDescent="0.2">
      <c r="A2497" s="1">
        <v>33130</v>
      </c>
      <c r="B2497" s="1" t="str">
        <v>2020-09-28</v>
      </c>
      <c r="C2497" s="1">
        <v>2.3811</v>
      </c>
    </row>
    <row r="2498" spans="1:3" x14ac:dyDescent="0.2">
      <c r="A2498" s="1">
        <v>31</v>
      </c>
      <c r="B2498" s="1" t="str">
        <v>2020-09-28</v>
      </c>
      <c r="C2498" s="1">
        <v>2.1265999999999998</v>
      </c>
    </row>
    <row r="2499" spans="1:3" x14ac:dyDescent="0.2">
      <c r="A2499" s="1">
        <v>34</v>
      </c>
      <c r="B2499" s="1" t="str">
        <v>2020-09-28</v>
      </c>
      <c r="C2499" s="1">
        <v>2.2795000000000001</v>
      </c>
    </row>
    <row r="2500" spans="1:3" x14ac:dyDescent="0.2">
      <c r="A2500" s="1">
        <v>32421</v>
      </c>
      <c r="B2500" s="1" t="str">
        <v>2020-09-28</v>
      </c>
      <c r="C2500" s="1">
        <v>2.1818</v>
      </c>
    </row>
    <row r="2501" spans="1:3" x14ac:dyDescent="0.2">
      <c r="A2501" s="1">
        <v>30350</v>
      </c>
      <c r="B2501" s="1" t="str">
        <v>2020-09-28</v>
      </c>
      <c r="C2501" s="1">
        <v>2.2284000000000002</v>
      </c>
    </row>
    <row r="2502" spans="1:3" x14ac:dyDescent="0.2">
      <c r="A2502" s="1">
        <v>157</v>
      </c>
      <c r="B2502" s="1" t="str">
        <v>2020-09-28</v>
      </c>
      <c r="C2502" s="1">
        <v>2.0655999999999999</v>
      </c>
    </row>
    <row r="2503" spans="1:3" x14ac:dyDescent="0.2">
      <c r="A2503" s="1">
        <v>178</v>
      </c>
      <c r="B2503" s="1" t="str">
        <v>2020-09-28</v>
      </c>
      <c r="C2503" s="1">
        <v>2.4762</v>
      </c>
    </row>
    <row r="2504" spans="1:3" x14ac:dyDescent="0.2">
      <c r="A2504" s="1">
        <v>37</v>
      </c>
      <c r="B2504" s="1" t="str">
        <v>2020-09-29</v>
      </c>
      <c r="C2504" s="1">
        <v>2.2385999999999999</v>
      </c>
    </row>
    <row r="2505" spans="1:3" x14ac:dyDescent="0.2">
      <c r="A2505" s="1">
        <v>187</v>
      </c>
      <c r="B2505" s="1" t="str">
        <v>2020-09-30</v>
      </c>
      <c r="C2505" s="1">
        <v>2.198</v>
      </c>
    </row>
    <row r="2506" spans="1:3" x14ac:dyDescent="0.2">
      <c r="A2506" s="1">
        <v>32400</v>
      </c>
      <c r="B2506" s="1" t="str">
        <v>2020-09-30</v>
      </c>
      <c r="C2506" s="1">
        <v>2.4220999999999999</v>
      </c>
    </row>
    <row r="2507" spans="1:3" x14ac:dyDescent="0.2">
      <c r="A2507" s="1">
        <v>32964</v>
      </c>
      <c r="B2507" s="1" t="str">
        <v>2020-10-01</v>
      </c>
      <c r="C2507" s="1">
        <v>1.9923</v>
      </c>
    </row>
    <row r="2508" spans="1:3" x14ac:dyDescent="0.2">
      <c r="A2508" s="1">
        <v>1</v>
      </c>
      <c r="B2508" s="1" t="str">
        <v>2020-10-01</v>
      </c>
      <c r="C2508" s="1">
        <v>2.2587999999999999</v>
      </c>
    </row>
    <row r="2509" spans="1:3" x14ac:dyDescent="0.2">
      <c r="A2509" s="1">
        <v>32843</v>
      </c>
      <c r="B2509" s="1" t="str">
        <v>2020-10-02</v>
      </c>
      <c r="C2509" s="1">
        <v>2.524</v>
      </c>
    </row>
    <row r="2510" spans="1:3" x14ac:dyDescent="0.2">
      <c r="A2510" s="1">
        <v>32082</v>
      </c>
      <c r="B2510" s="1" t="str">
        <v>2020-10-02</v>
      </c>
      <c r="C2510" s="1">
        <v>2.6873</v>
      </c>
    </row>
    <row r="2511" spans="1:3" x14ac:dyDescent="0.2">
      <c r="A2511" s="1">
        <v>13250</v>
      </c>
      <c r="B2511" s="1" t="str">
        <v>2020-10-02</v>
      </c>
      <c r="C2511" s="1">
        <v>2.2181999999999999</v>
      </c>
    </row>
    <row r="2512" spans="1:3" x14ac:dyDescent="0.2">
      <c r="A2512" s="1">
        <v>33123</v>
      </c>
      <c r="B2512" s="1" t="str">
        <v>2020-10-02</v>
      </c>
      <c r="C2512" s="1">
        <v>2.2284999999999999</v>
      </c>
    </row>
    <row r="2513" spans="1:3" x14ac:dyDescent="0.2">
      <c r="A2513" s="1">
        <v>177</v>
      </c>
      <c r="B2513" s="1" t="str">
        <v>2020-10-02</v>
      </c>
      <c r="C2513" s="1">
        <v>2.1977000000000002</v>
      </c>
    </row>
    <row r="2514" spans="1:3" x14ac:dyDescent="0.2">
      <c r="A2514" s="1">
        <v>33063</v>
      </c>
      <c r="B2514" s="1" t="str">
        <v>2020-10-02</v>
      </c>
      <c r="C2514" s="1">
        <v>2.0047000000000001</v>
      </c>
    </row>
    <row r="2515" spans="1:3" x14ac:dyDescent="0.2">
      <c r="A2515" s="1">
        <v>67</v>
      </c>
      <c r="B2515" s="1" t="str">
        <v>2020-10-02</v>
      </c>
      <c r="C2515" s="1">
        <v>2.5647000000000002</v>
      </c>
    </row>
    <row r="2516" spans="1:3" x14ac:dyDescent="0.2">
      <c r="A2516" s="1">
        <v>32724</v>
      </c>
      <c r="B2516" s="1" t="str">
        <v>2020-10-02</v>
      </c>
      <c r="C2516" s="1">
        <v>2.0960000000000001</v>
      </c>
    </row>
    <row r="2517" spans="1:3" x14ac:dyDescent="0.2">
      <c r="A2517" s="1">
        <v>53</v>
      </c>
      <c r="B2517" s="1" t="str">
        <v>2020-10-02</v>
      </c>
      <c r="C2517" s="1">
        <v>2.7179000000000002</v>
      </c>
    </row>
    <row r="2518" spans="1:3" x14ac:dyDescent="0.2">
      <c r="A2518" s="1">
        <v>32340</v>
      </c>
      <c r="B2518" s="1" t="str">
        <v>2020-10-02</v>
      </c>
      <c r="C2518" s="1">
        <v>2.1364000000000001</v>
      </c>
    </row>
    <row r="2519" spans="1:3" x14ac:dyDescent="0.2">
      <c r="A2519" s="1">
        <v>133</v>
      </c>
      <c r="B2519" s="1" t="str">
        <v>2020-10-02</v>
      </c>
      <c r="C2519" s="1">
        <v>2.2284000000000002</v>
      </c>
    </row>
    <row r="2520" spans="1:3" x14ac:dyDescent="0.2">
      <c r="A2520" s="1">
        <v>16</v>
      </c>
      <c r="B2520" s="1" t="str">
        <v>2020-10-02</v>
      </c>
      <c r="C2520" s="1">
        <v>1.6288</v>
      </c>
    </row>
    <row r="2521" spans="1:3" x14ac:dyDescent="0.2">
      <c r="A2521" s="1">
        <v>150</v>
      </c>
      <c r="B2521" s="1" t="str">
        <v>2020-10-02</v>
      </c>
      <c r="C2521" s="1">
        <v>2.0398999999999998</v>
      </c>
    </row>
    <row r="2522" spans="1:3" x14ac:dyDescent="0.2">
      <c r="A2522" s="1">
        <v>187</v>
      </c>
      <c r="B2522" s="1" t="str">
        <v>2020-10-02</v>
      </c>
      <c r="C2522" s="1">
        <v>2.2284999999999999</v>
      </c>
    </row>
    <row r="2523" spans="1:3" x14ac:dyDescent="0.2">
      <c r="A2523" s="1">
        <v>30300</v>
      </c>
      <c r="B2523" s="1" t="str">
        <v>2020-10-02</v>
      </c>
      <c r="C2523" s="1">
        <v>2.4729999999999999</v>
      </c>
    </row>
    <row r="2524" spans="1:3" x14ac:dyDescent="0.2">
      <c r="A2524" s="1">
        <v>10</v>
      </c>
      <c r="B2524" s="1" t="str">
        <v>2020-10-02</v>
      </c>
      <c r="C2524" s="1">
        <v>2.5240999999999998</v>
      </c>
    </row>
    <row r="2525" spans="1:3" x14ac:dyDescent="0.2">
      <c r="A2525" s="1">
        <v>49</v>
      </c>
      <c r="B2525" s="1" t="str">
        <v>2020-10-02</v>
      </c>
      <c r="C2525" s="1">
        <v>2.5851000000000002</v>
      </c>
    </row>
    <row r="2526" spans="1:3" x14ac:dyDescent="0.2">
      <c r="A2526" s="1">
        <v>32963</v>
      </c>
      <c r="B2526" s="1" t="str">
        <v>2020-10-02</v>
      </c>
      <c r="C2526" s="1">
        <v>1.9132</v>
      </c>
    </row>
    <row r="2527" spans="1:3" x14ac:dyDescent="0.2">
      <c r="A2527" s="1">
        <v>161</v>
      </c>
      <c r="B2527" s="1" t="str">
        <v>2020-10-02</v>
      </c>
      <c r="C2527" s="1">
        <v>2.5956000000000001</v>
      </c>
    </row>
    <row r="2528" spans="1:3" x14ac:dyDescent="0.2">
      <c r="A2528" s="1">
        <v>81</v>
      </c>
      <c r="B2528" s="1" t="str">
        <v>2020-10-02</v>
      </c>
      <c r="C2528" s="1">
        <v>2.3506999999999998</v>
      </c>
    </row>
    <row r="2529" spans="1:3" x14ac:dyDescent="0.2">
      <c r="A2529" s="1">
        <v>32081</v>
      </c>
      <c r="B2529" s="1" t="str">
        <v>2020-10-02</v>
      </c>
      <c r="C2529" s="1">
        <v>2.8401999999999998</v>
      </c>
    </row>
    <row r="2530" spans="1:3" x14ac:dyDescent="0.2">
      <c r="A2530" s="1">
        <v>32340</v>
      </c>
      <c r="B2530" s="1" t="str">
        <v>2020-10-05</v>
      </c>
      <c r="C2530" s="1">
        <v>2.1772</v>
      </c>
    </row>
    <row r="2531" spans="1:3" x14ac:dyDescent="0.2">
      <c r="A2531" s="1">
        <v>32560</v>
      </c>
      <c r="B2531" s="1" t="str">
        <v>2020-10-05</v>
      </c>
      <c r="C2531" s="1">
        <v>2.4729999999999999</v>
      </c>
    </row>
    <row r="2532" spans="1:3" x14ac:dyDescent="0.2">
      <c r="A2532" s="1">
        <v>32421</v>
      </c>
      <c r="B2532" s="1" t="str">
        <v>2020-10-05</v>
      </c>
      <c r="C2532" s="1">
        <v>2.3121999999999998</v>
      </c>
    </row>
    <row r="2533" spans="1:3" x14ac:dyDescent="0.2">
      <c r="A2533" s="1">
        <v>34</v>
      </c>
      <c r="B2533" s="1" t="str">
        <v>2020-10-05</v>
      </c>
      <c r="C2533" s="1">
        <v>2.3915999999999999</v>
      </c>
    </row>
    <row r="2534" spans="1:3" x14ac:dyDescent="0.2">
      <c r="A2534" s="1">
        <v>77</v>
      </c>
      <c r="B2534" s="1" t="str">
        <v>2020-10-05</v>
      </c>
      <c r="C2534" s="1">
        <v>2.3302999999999998</v>
      </c>
    </row>
    <row r="2535" spans="1:3" x14ac:dyDescent="0.2">
      <c r="A2535" s="1">
        <v>33164</v>
      </c>
      <c r="B2535" s="1" t="str">
        <v>2020-10-05</v>
      </c>
      <c r="C2535" s="1">
        <v>2.2387000000000001</v>
      </c>
    </row>
    <row r="2536" spans="1:3" x14ac:dyDescent="0.2">
      <c r="A2536" s="1">
        <v>30350</v>
      </c>
      <c r="B2536" s="1" t="str">
        <v>2020-10-05</v>
      </c>
      <c r="C2536" s="1">
        <v>2.2284000000000002</v>
      </c>
    </row>
    <row r="2537" spans="1:3" x14ac:dyDescent="0.2">
      <c r="A2537" s="1">
        <v>32040</v>
      </c>
      <c r="B2537" s="1" t="str">
        <v>2020-10-05</v>
      </c>
      <c r="C2537" s="1">
        <v>2.6766999999999999</v>
      </c>
    </row>
    <row r="2538" spans="1:3" x14ac:dyDescent="0.2">
      <c r="A2538" s="1">
        <v>178</v>
      </c>
      <c r="B2538" s="1" t="str">
        <v>2020-10-05</v>
      </c>
      <c r="C2538" s="1">
        <v>2.6027999999999998</v>
      </c>
    </row>
    <row r="2539" spans="1:3" x14ac:dyDescent="0.2">
      <c r="A2539" s="1">
        <v>99</v>
      </c>
      <c r="B2539" s="1" t="str">
        <v>2020-10-05</v>
      </c>
      <c r="C2539" s="1">
        <v>2.5032999999999999</v>
      </c>
    </row>
    <row r="2540" spans="1:3" x14ac:dyDescent="0.2">
      <c r="A2540" s="1">
        <v>147</v>
      </c>
      <c r="B2540" s="1" t="str">
        <v>2020-10-06</v>
      </c>
      <c r="C2540" s="1">
        <v>2.0335999999999999</v>
      </c>
    </row>
    <row r="2541" spans="1:3" x14ac:dyDescent="0.2">
      <c r="A2541" s="1">
        <v>2250</v>
      </c>
      <c r="B2541" s="1" t="str">
        <v>2020-10-06</v>
      </c>
      <c r="C2541" s="1">
        <v>2.1738</v>
      </c>
    </row>
    <row r="2542" spans="1:3" x14ac:dyDescent="0.2">
      <c r="A2542" s="1">
        <v>33125</v>
      </c>
      <c r="B2542" s="1" t="str">
        <v>2020-10-06</v>
      </c>
      <c r="C2542" s="1">
        <v>2.2791000000000001</v>
      </c>
    </row>
    <row r="2543" spans="1:3" x14ac:dyDescent="0.2">
      <c r="A2543" s="1">
        <v>31</v>
      </c>
      <c r="B2543" s="1" t="str">
        <v>2020-10-06</v>
      </c>
      <c r="C2543" s="1">
        <v>2.1265999999999998</v>
      </c>
    </row>
    <row r="2544" spans="1:3" x14ac:dyDescent="0.2">
      <c r="A2544" s="1">
        <v>33043</v>
      </c>
      <c r="B2544" s="1" t="str">
        <v>2020-10-06</v>
      </c>
      <c r="C2544" s="1">
        <v>2.5648</v>
      </c>
    </row>
    <row r="2545" spans="1:3" x14ac:dyDescent="0.2">
      <c r="A2545" s="1">
        <v>94</v>
      </c>
      <c r="B2545" s="1" t="str">
        <v>2020-10-06</v>
      </c>
      <c r="C2545" s="1">
        <v>2</v>
      </c>
    </row>
    <row r="2546" spans="1:3" x14ac:dyDescent="0.2">
      <c r="A2546" s="1">
        <v>102</v>
      </c>
      <c r="B2546" s="1" t="str">
        <v>2020-10-07</v>
      </c>
      <c r="C2546" s="1">
        <v>2.7383000000000002</v>
      </c>
    </row>
    <row r="2547" spans="1:3" x14ac:dyDescent="0.2">
      <c r="A2547" s="1">
        <v>32200</v>
      </c>
      <c r="B2547" s="1" t="str">
        <v>2020-10-07</v>
      </c>
      <c r="C2547" s="1">
        <v>2.4424000000000001</v>
      </c>
    </row>
    <row r="2548" spans="1:3" x14ac:dyDescent="0.2">
      <c r="A2548" s="1">
        <v>32222</v>
      </c>
      <c r="B2548" s="1" t="str">
        <v>2020-10-07</v>
      </c>
      <c r="C2548" s="1">
        <v>2.7486000000000002</v>
      </c>
    </row>
    <row r="2549" spans="1:3" x14ac:dyDescent="0.2">
      <c r="A2549" s="1">
        <v>32400</v>
      </c>
      <c r="B2549" s="1" t="str">
        <v>2020-10-07</v>
      </c>
      <c r="C2549" s="1">
        <v>2.4935</v>
      </c>
    </row>
    <row r="2550" spans="1:3" x14ac:dyDescent="0.2">
      <c r="A2550" s="1">
        <v>150</v>
      </c>
      <c r="B2550" s="1" t="str">
        <v>2020-10-08</v>
      </c>
      <c r="C2550" s="1">
        <v>2.0398999999999998</v>
      </c>
    </row>
    <row r="2551" spans="1:3" x14ac:dyDescent="0.2">
      <c r="A2551" s="1">
        <v>83</v>
      </c>
      <c r="B2551" s="1" t="str">
        <v>2020-10-08</v>
      </c>
      <c r="C2551" s="1">
        <v>2.3504999999999998</v>
      </c>
    </row>
    <row r="2552" spans="1:3" x14ac:dyDescent="0.2">
      <c r="A2552" s="1">
        <v>32440</v>
      </c>
      <c r="B2552" s="1" t="str">
        <v>2020-10-09</v>
      </c>
      <c r="C2552" s="1">
        <v>2.0247999999999999</v>
      </c>
    </row>
    <row r="2553" spans="1:3" x14ac:dyDescent="0.2">
      <c r="A2553" s="1">
        <v>16</v>
      </c>
      <c r="B2553" s="1" t="str">
        <v>2020-10-09</v>
      </c>
      <c r="C2553" s="1">
        <v>1.6288</v>
      </c>
    </row>
    <row r="2554" spans="1:3" x14ac:dyDescent="0.2">
      <c r="A2554" s="1">
        <v>32</v>
      </c>
      <c r="B2554" s="1" t="str">
        <v>2020-10-09</v>
      </c>
      <c r="C2554" s="1">
        <v>2.4321000000000002</v>
      </c>
    </row>
    <row r="2555" spans="1:3" x14ac:dyDescent="0.2">
      <c r="A2555" s="1">
        <v>83</v>
      </c>
      <c r="B2555" s="1" t="str">
        <v>2020-10-09</v>
      </c>
      <c r="C2555" s="1">
        <v>2.6154999999999999</v>
      </c>
    </row>
    <row r="2556" spans="1:3" x14ac:dyDescent="0.2">
      <c r="A2556" s="1">
        <v>32081</v>
      </c>
      <c r="B2556" s="1" t="str">
        <v>2020-10-09</v>
      </c>
      <c r="C2556" s="1">
        <v>3.0859000000000001</v>
      </c>
    </row>
    <row r="2557" spans="1:3" x14ac:dyDescent="0.2">
      <c r="A2557" s="1">
        <v>8</v>
      </c>
      <c r="B2557" s="1" t="str">
        <v>2020-10-09</v>
      </c>
      <c r="C2557" s="1">
        <v>2.6461999999999999</v>
      </c>
    </row>
    <row r="2558" spans="1:3" x14ac:dyDescent="0.2">
      <c r="A2558" s="1">
        <v>156</v>
      </c>
      <c r="B2558" s="1" t="str">
        <v>2020-10-09</v>
      </c>
      <c r="C2558" s="1">
        <v>2.5648</v>
      </c>
    </row>
    <row r="2559" spans="1:3" x14ac:dyDescent="0.2">
      <c r="A2559" s="1">
        <v>34</v>
      </c>
      <c r="B2559" s="1" t="str">
        <v>2020-10-09</v>
      </c>
      <c r="C2559" s="1">
        <v>2.5954999999999999</v>
      </c>
    </row>
    <row r="2560" spans="1:3" x14ac:dyDescent="0.2">
      <c r="A2560" s="1">
        <v>13250</v>
      </c>
      <c r="B2560" s="1" t="str">
        <v>2020-10-09</v>
      </c>
      <c r="C2560" s="1">
        <v>2.4115000000000002</v>
      </c>
    </row>
    <row r="2561" spans="1:3" x14ac:dyDescent="0.2">
      <c r="A2561" s="1">
        <v>90</v>
      </c>
      <c r="B2561" s="1" t="str">
        <v>2020-10-09</v>
      </c>
      <c r="C2561" s="1">
        <v>2.8815</v>
      </c>
    </row>
    <row r="2562" spans="1:3" x14ac:dyDescent="0.2">
      <c r="A2562" s="1">
        <v>137</v>
      </c>
      <c r="B2562" s="1" t="str">
        <v>2020-10-09</v>
      </c>
      <c r="C2562" s="1">
        <v>2.5137999999999998</v>
      </c>
    </row>
    <row r="2563" spans="1:3" x14ac:dyDescent="0.2">
      <c r="A2563" s="1">
        <v>187</v>
      </c>
      <c r="B2563" s="1" t="str">
        <v>2020-10-09</v>
      </c>
      <c r="C2563" s="1">
        <v>2.9740000000000002</v>
      </c>
    </row>
    <row r="2564" spans="1:3" x14ac:dyDescent="0.2">
      <c r="A2564" s="1">
        <v>28</v>
      </c>
      <c r="B2564" s="1" t="str">
        <v>2020-10-09</v>
      </c>
      <c r="C2564" s="1">
        <v>2.5642</v>
      </c>
    </row>
    <row r="2565" spans="1:3" x14ac:dyDescent="0.2">
      <c r="A2565" s="1">
        <v>33130</v>
      </c>
      <c r="B2565" s="1" t="str">
        <v>2020-10-09</v>
      </c>
      <c r="C2565" s="1">
        <v>2.9533</v>
      </c>
    </row>
    <row r="2566" spans="1:3" x14ac:dyDescent="0.2">
      <c r="A2566" s="1">
        <v>133</v>
      </c>
      <c r="B2566" s="1" t="str">
        <v>2020-10-09</v>
      </c>
      <c r="C2566" s="1">
        <v>2.7690000000000001</v>
      </c>
    </row>
    <row r="2567" spans="1:3" x14ac:dyDescent="0.2">
      <c r="A2567" s="1">
        <v>32783</v>
      </c>
      <c r="B2567" s="1" t="str">
        <v>2020-10-09</v>
      </c>
      <c r="C2567" s="1">
        <v>2.8203</v>
      </c>
    </row>
    <row r="2568" spans="1:3" x14ac:dyDescent="0.2">
      <c r="A2568" s="1">
        <v>147</v>
      </c>
      <c r="B2568" s="1" t="str">
        <v>2020-10-09</v>
      </c>
      <c r="C2568" s="1">
        <v>2.3389000000000002</v>
      </c>
    </row>
    <row r="2569" spans="1:3" x14ac:dyDescent="0.2">
      <c r="A2569" s="1">
        <v>33103</v>
      </c>
      <c r="B2569" s="1" t="str">
        <v>2020-10-09</v>
      </c>
      <c r="C2569" s="1">
        <v>2.8006000000000002</v>
      </c>
    </row>
    <row r="2570" spans="1:3" x14ac:dyDescent="0.2">
      <c r="A2570" s="1">
        <v>32724</v>
      </c>
      <c r="B2570" s="1" t="str">
        <v>2020-10-09</v>
      </c>
      <c r="C2570" s="1">
        <v>2.6055999999999999</v>
      </c>
    </row>
    <row r="2571" spans="1:3" x14ac:dyDescent="0.2">
      <c r="A2571" s="1">
        <v>115</v>
      </c>
      <c r="B2571" s="1" t="str">
        <v>2020-10-09</v>
      </c>
      <c r="C2571" s="1">
        <v>2.7077</v>
      </c>
    </row>
    <row r="2572" spans="1:3" x14ac:dyDescent="0.2">
      <c r="A2572" s="1">
        <v>157</v>
      </c>
      <c r="B2572" s="1" t="str">
        <v>2020-10-09</v>
      </c>
      <c r="C2572" s="1">
        <v>2.4626999999999999</v>
      </c>
    </row>
    <row r="2573" spans="1:3" x14ac:dyDescent="0.2">
      <c r="A2573" s="1">
        <v>33125</v>
      </c>
      <c r="B2573" s="1" t="str">
        <v>2020-10-09</v>
      </c>
      <c r="C2573" s="1">
        <v>2.5335999999999999</v>
      </c>
    </row>
    <row r="2574" spans="1:3" x14ac:dyDescent="0.2">
      <c r="A2574" s="1">
        <v>55</v>
      </c>
      <c r="B2574" s="1" t="str">
        <v>2020-10-09</v>
      </c>
      <c r="C2574" s="1">
        <v>2.7587999999999999</v>
      </c>
    </row>
    <row r="2575" spans="1:3" x14ac:dyDescent="0.2">
      <c r="A2575" s="1">
        <v>139</v>
      </c>
      <c r="B2575" s="1" t="str">
        <v>2020-10-09</v>
      </c>
      <c r="C2575" s="1">
        <v>2.7073999999999998</v>
      </c>
    </row>
    <row r="2576" spans="1:3" x14ac:dyDescent="0.2">
      <c r="A2576" s="1">
        <v>33143</v>
      </c>
      <c r="B2576" s="1" t="str">
        <v>2020-10-09</v>
      </c>
      <c r="C2576" s="1">
        <v>2.8</v>
      </c>
    </row>
    <row r="2577" spans="1:3" x14ac:dyDescent="0.2">
      <c r="A2577" s="1">
        <v>32560</v>
      </c>
      <c r="B2577" s="1" t="str">
        <v>2020-10-09</v>
      </c>
      <c r="C2577" s="1">
        <v>2.7789999999999999</v>
      </c>
    </row>
    <row r="2578" spans="1:3" x14ac:dyDescent="0.2">
      <c r="A2578" s="1">
        <v>32582</v>
      </c>
      <c r="B2578" s="1" t="str">
        <v>2020-10-09</v>
      </c>
      <c r="C2578" s="1">
        <v>2.9228000000000001</v>
      </c>
    </row>
    <row r="2579" spans="1:3" x14ac:dyDescent="0.2">
      <c r="A2579" s="1">
        <v>181</v>
      </c>
      <c r="B2579" s="1" t="str">
        <v>2020-10-09</v>
      </c>
      <c r="C2579" s="1">
        <v>2.5848</v>
      </c>
    </row>
    <row r="2580" spans="1:3" x14ac:dyDescent="0.2">
      <c r="A2580" s="1">
        <v>32501</v>
      </c>
      <c r="B2580" s="1" t="str">
        <v>2020-10-09</v>
      </c>
      <c r="C2580" s="1">
        <v>3.0251000000000001</v>
      </c>
    </row>
    <row r="2581" spans="1:3" x14ac:dyDescent="0.2">
      <c r="A2581" s="1">
        <v>49</v>
      </c>
      <c r="B2581" s="1" t="str">
        <v>2020-10-09</v>
      </c>
      <c r="C2581" s="1">
        <v>2.8816999999999999</v>
      </c>
    </row>
    <row r="2582" spans="1:3" x14ac:dyDescent="0.2">
      <c r="A2582" s="1">
        <v>32280</v>
      </c>
      <c r="B2582" s="1" t="str">
        <v>2020-10-09</v>
      </c>
      <c r="C2582" s="1">
        <v>2.9676999999999998</v>
      </c>
    </row>
    <row r="2583" spans="1:3" x14ac:dyDescent="0.2">
      <c r="A2583" s="1">
        <v>99</v>
      </c>
      <c r="B2583" s="1" t="str">
        <v>2020-10-09</v>
      </c>
      <c r="C2583" s="1">
        <v>2.4422000000000001</v>
      </c>
    </row>
    <row r="2584" spans="1:3" x14ac:dyDescent="0.2">
      <c r="A2584" s="1">
        <v>67</v>
      </c>
      <c r="B2584" s="1" t="str">
        <v>2020-10-09</v>
      </c>
      <c r="C2584" s="1">
        <v>2.9733999999999998</v>
      </c>
    </row>
    <row r="2585" spans="1:3" x14ac:dyDescent="0.2">
      <c r="A2585" s="1">
        <v>161</v>
      </c>
      <c r="B2585" s="1" t="str">
        <v>2020-10-09</v>
      </c>
      <c r="C2585" s="1">
        <v>2.9430000000000001</v>
      </c>
    </row>
    <row r="2586" spans="1:3" x14ac:dyDescent="0.2">
      <c r="A2586" s="1">
        <v>33203</v>
      </c>
      <c r="B2586" s="1" t="str">
        <v>2020-10-09</v>
      </c>
      <c r="C2586" s="1">
        <v>2.5988000000000002</v>
      </c>
    </row>
    <row r="2587" spans="1:3" x14ac:dyDescent="0.2">
      <c r="A2587" s="1">
        <v>78</v>
      </c>
      <c r="B2587" s="1" t="str">
        <v>2020-10-09</v>
      </c>
      <c r="C2587" s="1">
        <v>2.8917999999999999</v>
      </c>
    </row>
    <row r="2588" spans="1:3" x14ac:dyDescent="0.2">
      <c r="A2588" s="1">
        <v>81</v>
      </c>
      <c r="B2588" s="1" t="str">
        <v>2020-10-09</v>
      </c>
      <c r="C2588" s="1">
        <v>2.6669999999999998</v>
      </c>
    </row>
    <row r="2589" spans="1:3" x14ac:dyDescent="0.2">
      <c r="A2589" s="1">
        <v>32260</v>
      </c>
      <c r="B2589" s="1" t="str">
        <v>2020-10-09</v>
      </c>
      <c r="C2589" s="1">
        <v>2.9329999999999998</v>
      </c>
    </row>
    <row r="2590" spans="1:3" x14ac:dyDescent="0.2">
      <c r="A2590" s="1">
        <v>94</v>
      </c>
      <c r="B2590" s="1" t="str">
        <v>2020-10-09</v>
      </c>
      <c r="C2590" s="1">
        <v>2.6461000000000001</v>
      </c>
    </row>
    <row r="2591" spans="1:3" x14ac:dyDescent="0.2">
      <c r="A2591" s="1">
        <v>10</v>
      </c>
      <c r="B2591" s="1" t="str">
        <v>2020-10-09</v>
      </c>
      <c r="C2591" s="1">
        <v>2.8405999999999998</v>
      </c>
    </row>
    <row r="2592" spans="1:3" x14ac:dyDescent="0.2">
      <c r="A2592" s="1">
        <v>32400</v>
      </c>
      <c r="B2592" s="1" t="str">
        <v>2020-10-09</v>
      </c>
      <c r="C2592" s="1">
        <v>2.9123999999999999</v>
      </c>
    </row>
    <row r="2593" spans="1:3" x14ac:dyDescent="0.2">
      <c r="A2593" s="1">
        <v>2250</v>
      </c>
      <c r="B2593" s="1" t="str">
        <v>2020-10-13</v>
      </c>
      <c r="C2593" s="1">
        <v>2.9842</v>
      </c>
    </row>
    <row r="2594" spans="1:3" x14ac:dyDescent="0.2">
      <c r="A2594" s="1">
        <v>24</v>
      </c>
      <c r="B2594" s="1" t="str">
        <v>2020-10-13</v>
      </c>
      <c r="C2594" s="1">
        <v>2.4015</v>
      </c>
    </row>
    <row r="2595" spans="1:3" x14ac:dyDescent="0.2">
      <c r="A2595" s="1">
        <v>37</v>
      </c>
      <c r="B2595" s="1" t="str">
        <v>2020-10-13</v>
      </c>
      <c r="C2595" s="1">
        <v>2.8405999999999998</v>
      </c>
    </row>
    <row r="2596" spans="1:3" x14ac:dyDescent="0.2">
      <c r="A2596" s="1">
        <v>30400</v>
      </c>
      <c r="B2596" s="1" t="str">
        <v>2020-10-13</v>
      </c>
      <c r="C2596" s="1">
        <v>3.0043000000000002</v>
      </c>
    </row>
    <row r="2597" spans="1:3" x14ac:dyDescent="0.2">
      <c r="A2597" s="1">
        <v>32421</v>
      </c>
      <c r="B2597" s="1" t="str">
        <v>2020-10-13</v>
      </c>
      <c r="C2597" s="1">
        <v>2.6722000000000001</v>
      </c>
    </row>
    <row r="2598" spans="1:3" x14ac:dyDescent="0.2">
      <c r="A2598" s="1">
        <v>30350</v>
      </c>
      <c r="B2598" s="1" t="str">
        <v>2020-10-13</v>
      </c>
      <c r="C2598" s="1">
        <v>2.6772</v>
      </c>
    </row>
    <row r="2599" spans="1:3" x14ac:dyDescent="0.2">
      <c r="A2599" s="1">
        <v>32082</v>
      </c>
      <c r="B2599" s="1" t="str">
        <v>2020-10-13</v>
      </c>
      <c r="C2599" s="1">
        <v>3.0865</v>
      </c>
    </row>
    <row r="2600" spans="1:3" x14ac:dyDescent="0.2">
      <c r="A2600" s="1">
        <v>53</v>
      </c>
      <c r="B2600" s="1" t="str">
        <v>2020-10-13</v>
      </c>
      <c r="C2600" s="1">
        <v>2.9220999999999999</v>
      </c>
    </row>
    <row r="2601" spans="1:3" x14ac:dyDescent="0.2">
      <c r="A2601" s="1">
        <v>28</v>
      </c>
      <c r="B2601" s="1" t="str">
        <v>2020-10-14</v>
      </c>
      <c r="C2601" s="1">
        <v>2.9632000000000001</v>
      </c>
    </row>
    <row r="2602" spans="1:3" x14ac:dyDescent="0.2">
      <c r="A2602" s="1">
        <v>115</v>
      </c>
      <c r="B2602" s="1" t="str">
        <v>2020-10-14</v>
      </c>
      <c r="C2602" s="1">
        <v>2.7077</v>
      </c>
    </row>
    <row r="2603" spans="1:3" x14ac:dyDescent="0.2">
      <c r="A2603" s="1">
        <v>178</v>
      </c>
      <c r="B2603" s="1" t="str">
        <v>2020-10-14</v>
      </c>
      <c r="C2603" s="1">
        <v>2.67</v>
      </c>
    </row>
    <row r="2604" spans="1:3" x14ac:dyDescent="0.2">
      <c r="A2604" s="1">
        <v>32983</v>
      </c>
      <c r="B2604" s="1" t="str">
        <v>2020-10-14</v>
      </c>
      <c r="C2604" s="1">
        <v>2.4015</v>
      </c>
    </row>
    <row r="2605" spans="1:3" x14ac:dyDescent="0.2">
      <c r="A2605" s="1">
        <v>32663</v>
      </c>
      <c r="B2605" s="1" t="str">
        <v>2020-10-14</v>
      </c>
      <c r="C2605" s="1">
        <v>2.5137</v>
      </c>
    </row>
    <row r="2606" spans="1:3" x14ac:dyDescent="0.2">
      <c r="A2606" s="1">
        <v>77</v>
      </c>
      <c r="B2606" s="1" t="str">
        <v>2020-10-14</v>
      </c>
      <c r="C2606" s="1">
        <v>2.4525000000000001</v>
      </c>
    </row>
    <row r="2607" spans="1:3" x14ac:dyDescent="0.2">
      <c r="A2607" s="1">
        <v>20</v>
      </c>
      <c r="B2607" s="1" t="str">
        <v>2020-10-14</v>
      </c>
      <c r="C2607" s="1">
        <v>2.5440999999999998</v>
      </c>
    </row>
    <row r="2608" spans="1:3" x14ac:dyDescent="0.2">
      <c r="A2608" s="1">
        <v>49</v>
      </c>
      <c r="B2608" s="1" t="str">
        <v>2020-10-14</v>
      </c>
      <c r="C2608" s="1">
        <v>2.8508</v>
      </c>
    </row>
    <row r="2609" spans="1:3" x14ac:dyDescent="0.2">
      <c r="A2609" s="1">
        <v>32420</v>
      </c>
      <c r="B2609" s="1" t="str">
        <v>2020-10-15</v>
      </c>
      <c r="C2609" s="1">
        <v>2.8334999999999999</v>
      </c>
    </row>
    <row r="2610" spans="1:3" x14ac:dyDescent="0.2">
      <c r="A2610" s="1">
        <v>176</v>
      </c>
      <c r="B2610" s="1" t="str">
        <v>2020-10-15</v>
      </c>
      <c r="C2610" s="1">
        <v>2.718</v>
      </c>
    </row>
    <row r="2611" spans="1:3" x14ac:dyDescent="0.2">
      <c r="A2611" s="1">
        <v>32380</v>
      </c>
      <c r="B2611" s="1" t="str">
        <v>2020-10-15</v>
      </c>
      <c r="C2611" s="1">
        <v>2.5545</v>
      </c>
    </row>
    <row r="2612" spans="1:3" x14ac:dyDescent="0.2">
      <c r="A2612" s="1">
        <v>101</v>
      </c>
      <c r="B2612" s="1" t="str">
        <v>2020-10-15</v>
      </c>
      <c r="C2612" s="1">
        <v>2.7690000000000001</v>
      </c>
    </row>
    <row r="2613" spans="1:3" x14ac:dyDescent="0.2">
      <c r="A2613" s="1">
        <v>30250</v>
      </c>
      <c r="B2613" s="1" t="str">
        <v>2020-10-15</v>
      </c>
      <c r="C2613" s="1">
        <v>3.0348000000000002</v>
      </c>
    </row>
    <row r="2614" spans="1:3" x14ac:dyDescent="0.2">
      <c r="A2614" s="1">
        <v>139</v>
      </c>
      <c r="B2614" s="1" t="str">
        <v>2020-10-15</v>
      </c>
      <c r="C2614" s="1">
        <v>2.7073999999999998</v>
      </c>
    </row>
    <row r="2615" spans="1:3" x14ac:dyDescent="0.2">
      <c r="A2615" s="1">
        <v>32121</v>
      </c>
      <c r="B2615" s="1" t="str">
        <v>2020-10-15</v>
      </c>
      <c r="C2615" s="1">
        <v>3.0762</v>
      </c>
    </row>
    <row r="2616" spans="1:3" x14ac:dyDescent="0.2">
      <c r="A2616" s="1">
        <v>32222</v>
      </c>
      <c r="B2616" s="1" t="str">
        <v>2020-10-16</v>
      </c>
      <c r="C2616" s="1">
        <v>3.0350999999999999</v>
      </c>
    </row>
    <row r="2617" spans="1:3" x14ac:dyDescent="0.2">
      <c r="A2617" s="1">
        <v>161</v>
      </c>
      <c r="B2617" s="1" t="str">
        <v>2020-10-16</v>
      </c>
      <c r="C2617" s="1">
        <v>3.0249000000000001</v>
      </c>
    </row>
    <row r="2618" spans="1:3" x14ac:dyDescent="0.2">
      <c r="A2618" s="1">
        <v>32180</v>
      </c>
      <c r="B2618" s="1" t="str">
        <v>2020-10-16</v>
      </c>
      <c r="C2618" s="1">
        <v>2.5926</v>
      </c>
    </row>
    <row r="2619" spans="1:3" x14ac:dyDescent="0.2">
      <c r="A2619" s="1">
        <v>49</v>
      </c>
      <c r="B2619" s="1" t="str">
        <v>2020-10-16</v>
      </c>
      <c r="C2619" s="1">
        <v>2.9224999999999999</v>
      </c>
    </row>
    <row r="2620" spans="1:3" x14ac:dyDescent="0.2">
      <c r="A2620" s="1">
        <v>150</v>
      </c>
      <c r="B2620" s="1" t="str">
        <v>2020-10-16</v>
      </c>
      <c r="C2620" s="1">
        <v>2.6501999999999999</v>
      </c>
    </row>
    <row r="2621" spans="1:3" x14ac:dyDescent="0.2">
      <c r="A2621" s="1">
        <v>67</v>
      </c>
      <c r="B2621" s="1" t="str">
        <v>2020-10-16</v>
      </c>
      <c r="C2621" s="1">
        <v>3.0144000000000002</v>
      </c>
    </row>
    <row r="2622" spans="1:3" x14ac:dyDescent="0.2">
      <c r="A2622" s="1">
        <v>191</v>
      </c>
      <c r="B2622" s="1" t="str">
        <v>2020-10-16</v>
      </c>
      <c r="C2622" s="1">
        <v>2.3708</v>
      </c>
    </row>
    <row r="2623" spans="1:3" x14ac:dyDescent="0.2">
      <c r="A2623" s="1">
        <v>136</v>
      </c>
      <c r="B2623" s="1" t="str">
        <v>2020-10-16</v>
      </c>
      <c r="C2623" s="1">
        <v>2.9430000000000001</v>
      </c>
    </row>
    <row r="2624" spans="1:3" x14ac:dyDescent="0.2">
      <c r="A2624" s="1">
        <v>32260</v>
      </c>
      <c r="B2624" s="1" t="str">
        <v>2020-10-16</v>
      </c>
      <c r="C2624" s="1">
        <v>2.9329999999999998</v>
      </c>
    </row>
    <row r="2625" spans="1:3" x14ac:dyDescent="0.2">
      <c r="A2625" s="1">
        <v>175</v>
      </c>
      <c r="B2625" s="1" t="str">
        <v>2020-10-16</v>
      </c>
      <c r="C2625" s="1">
        <v>2.2078000000000002</v>
      </c>
    </row>
    <row r="2626" spans="1:3" x14ac:dyDescent="0.2">
      <c r="A2626" s="1">
        <v>16</v>
      </c>
      <c r="B2626" s="1" t="str">
        <v>2020-10-16</v>
      </c>
      <c r="C2626" s="1">
        <v>2.8201000000000001</v>
      </c>
    </row>
    <row r="2627" spans="1:3" x14ac:dyDescent="0.2">
      <c r="A2627" s="1">
        <v>33083</v>
      </c>
      <c r="B2627" s="1" t="str">
        <v>2020-10-16</v>
      </c>
      <c r="C2627" s="1">
        <v>2.7256999999999998</v>
      </c>
    </row>
    <row r="2628" spans="1:3" x14ac:dyDescent="0.2">
      <c r="A2628" s="1">
        <v>33203</v>
      </c>
      <c r="B2628" s="1" t="str">
        <v>2020-10-16</v>
      </c>
      <c r="C2628" s="1">
        <v>2.9093</v>
      </c>
    </row>
    <row r="2629" spans="1:3" x14ac:dyDescent="0.2">
      <c r="A2629" s="1">
        <v>139</v>
      </c>
      <c r="B2629" s="1" t="str">
        <v>2020-10-16</v>
      </c>
      <c r="C2629" s="1">
        <v>2.7073999999999998</v>
      </c>
    </row>
    <row r="2630" spans="1:3" x14ac:dyDescent="0.2">
      <c r="A2630" s="1">
        <v>156</v>
      </c>
      <c r="B2630" s="1" t="str">
        <v>2020-10-16</v>
      </c>
      <c r="C2630" s="1">
        <v>2.8102</v>
      </c>
    </row>
    <row r="2631" spans="1:3" x14ac:dyDescent="0.2">
      <c r="A2631" s="1">
        <v>33023</v>
      </c>
      <c r="B2631" s="1" t="str">
        <v>2020-10-16</v>
      </c>
      <c r="C2631" s="1">
        <v>2.3199000000000001</v>
      </c>
    </row>
    <row r="2632" spans="1:3" x14ac:dyDescent="0.2">
      <c r="A2632" s="1">
        <v>177</v>
      </c>
      <c r="B2632" s="1" t="str">
        <v>2020-10-16</v>
      </c>
      <c r="C2632" s="1">
        <v>2.5032000000000001</v>
      </c>
    </row>
    <row r="2633" spans="1:3" x14ac:dyDescent="0.2">
      <c r="A2633" s="1">
        <v>33103</v>
      </c>
      <c r="B2633" s="1" t="str">
        <v>2020-10-16</v>
      </c>
      <c r="C2633" s="1">
        <v>2.8824999999999998</v>
      </c>
    </row>
    <row r="2634" spans="1:3" x14ac:dyDescent="0.2">
      <c r="A2634" s="1">
        <v>13250</v>
      </c>
      <c r="B2634" s="1" t="str">
        <v>2020-10-16</v>
      </c>
      <c r="C2634" s="1">
        <v>2.6871</v>
      </c>
    </row>
    <row r="2635" spans="1:3" x14ac:dyDescent="0.2">
      <c r="A2635" s="1">
        <v>187</v>
      </c>
      <c r="B2635" s="1" t="str">
        <v>2020-10-16</v>
      </c>
      <c r="C2635" s="1">
        <v>2.9740000000000002</v>
      </c>
    </row>
    <row r="2636" spans="1:3" x14ac:dyDescent="0.2">
      <c r="A2636" s="1">
        <v>81</v>
      </c>
      <c r="B2636" s="1" t="str">
        <v>2020-10-16</v>
      </c>
      <c r="C2636" s="1">
        <v>2.6669999999999998</v>
      </c>
    </row>
    <row r="2637" spans="1:3" x14ac:dyDescent="0.2">
      <c r="A2637" s="1">
        <v>32583</v>
      </c>
      <c r="B2637" s="1" t="str">
        <v>2020-10-16</v>
      </c>
      <c r="C2637" s="1">
        <v>2.8195999999999999</v>
      </c>
    </row>
    <row r="2638" spans="1:3" x14ac:dyDescent="0.2">
      <c r="A2638" s="1">
        <v>133</v>
      </c>
      <c r="B2638" s="1" t="str">
        <v>2020-10-19</v>
      </c>
      <c r="C2638" s="1">
        <v>2.7997000000000001</v>
      </c>
    </row>
    <row r="2639" spans="1:3" x14ac:dyDescent="0.2">
      <c r="A2639" s="1">
        <v>32803</v>
      </c>
      <c r="B2639" s="1" t="str">
        <v>2020-10-19</v>
      </c>
      <c r="C2639" s="1">
        <v>3.0352000000000001</v>
      </c>
    </row>
    <row r="2640" spans="1:3" x14ac:dyDescent="0.2">
      <c r="A2640" s="1">
        <v>32723</v>
      </c>
      <c r="B2640" s="1" t="str">
        <v>2020-10-19</v>
      </c>
      <c r="C2640" s="1">
        <v>2.2787999999999999</v>
      </c>
    </row>
    <row r="2641" spans="1:3" x14ac:dyDescent="0.2">
      <c r="A2641" s="1">
        <v>1</v>
      </c>
      <c r="B2641" s="1" t="str">
        <v>2020-10-19</v>
      </c>
      <c r="C2641" s="1">
        <v>2.9426999999999999</v>
      </c>
    </row>
    <row r="2642" spans="1:3" x14ac:dyDescent="0.2">
      <c r="A2642" s="1">
        <v>2250</v>
      </c>
      <c r="B2642" s="1" t="str">
        <v>2020-10-19</v>
      </c>
      <c r="C2642" s="1">
        <v>3.0148999999999999</v>
      </c>
    </row>
    <row r="2643" spans="1:3" x14ac:dyDescent="0.2">
      <c r="A2643" s="1">
        <v>34</v>
      </c>
      <c r="B2643" s="1" t="str">
        <v>2020-10-19</v>
      </c>
      <c r="C2643" s="1">
        <v>2.8612000000000002</v>
      </c>
    </row>
    <row r="2644" spans="1:3" x14ac:dyDescent="0.2">
      <c r="A2644" s="1">
        <v>32863</v>
      </c>
      <c r="B2644" s="1" t="str">
        <v>2020-10-19</v>
      </c>
      <c r="C2644" s="1">
        <v>2.7892999999999999</v>
      </c>
    </row>
    <row r="2645" spans="1:3" x14ac:dyDescent="0.2">
      <c r="A2645" s="1">
        <v>32222</v>
      </c>
      <c r="B2645" s="1" t="str">
        <v>2020-10-19</v>
      </c>
      <c r="C2645" s="1">
        <v>3.0350999999999999</v>
      </c>
    </row>
    <row r="2646" spans="1:3" x14ac:dyDescent="0.2">
      <c r="A2646" s="1">
        <v>32421</v>
      </c>
      <c r="B2646" s="1" t="str">
        <v>2020-10-19</v>
      </c>
      <c r="C2646" s="1">
        <v>2.7383999999999999</v>
      </c>
    </row>
    <row r="2647" spans="1:3" x14ac:dyDescent="0.2">
      <c r="A2647" s="1">
        <v>28</v>
      </c>
      <c r="B2647" s="1" t="str">
        <v>2020-10-19</v>
      </c>
      <c r="C2647" s="1">
        <v>2.9632000000000001</v>
      </c>
    </row>
    <row r="2648" spans="1:3" x14ac:dyDescent="0.2">
      <c r="A2648" s="1">
        <v>33130</v>
      </c>
      <c r="B2648" s="1" t="str">
        <v>2020-10-19</v>
      </c>
      <c r="C2648" s="1">
        <v>2.9839000000000002</v>
      </c>
    </row>
    <row r="2649" spans="1:3" x14ac:dyDescent="0.2">
      <c r="A2649" s="1">
        <v>30350</v>
      </c>
      <c r="B2649" s="1" t="str">
        <v>2020-10-19</v>
      </c>
      <c r="C2649" s="1">
        <v>2.6772</v>
      </c>
    </row>
    <row r="2650" spans="1:3" x14ac:dyDescent="0.2">
      <c r="A2650" s="1">
        <v>32420</v>
      </c>
      <c r="B2650" s="1" t="str">
        <v>2020-10-19</v>
      </c>
      <c r="C2650" s="1">
        <v>2.8334999999999999</v>
      </c>
    </row>
    <row r="2651" spans="1:3" x14ac:dyDescent="0.2">
      <c r="A2651" s="1">
        <v>178</v>
      </c>
      <c r="B2651" s="1" t="str">
        <v>2020-10-19</v>
      </c>
      <c r="C2651" s="1">
        <v>2.9584999999999999</v>
      </c>
    </row>
    <row r="2652" spans="1:3" x14ac:dyDescent="0.2">
      <c r="A2652" s="1">
        <v>33183</v>
      </c>
      <c r="B2652" s="1" t="str">
        <v>2020-10-19</v>
      </c>
      <c r="C2652" s="1">
        <v>2.8713000000000002</v>
      </c>
    </row>
    <row r="2653" spans="1:3" x14ac:dyDescent="0.2">
      <c r="A2653" s="1">
        <v>30400</v>
      </c>
      <c r="B2653" s="1" t="str">
        <v>2020-10-19</v>
      </c>
      <c r="C2653" s="1">
        <v>2.9634</v>
      </c>
    </row>
    <row r="2654" spans="1:3" x14ac:dyDescent="0.2">
      <c r="A2654" s="1">
        <v>68</v>
      </c>
      <c r="B2654" s="1" t="str">
        <v>2020-10-19</v>
      </c>
      <c r="C2654" s="1">
        <v>3.0044</v>
      </c>
    </row>
    <row r="2655" spans="1:3" x14ac:dyDescent="0.2">
      <c r="A2655" s="1">
        <v>24</v>
      </c>
      <c r="B2655" s="1" t="str">
        <v>2020-10-20</v>
      </c>
      <c r="C2655" s="1">
        <v>2.7282000000000002</v>
      </c>
    </row>
    <row r="2656" spans="1:3" x14ac:dyDescent="0.2">
      <c r="A2656" s="1">
        <v>32963</v>
      </c>
      <c r="B2656" s="1" t="str">
        <v>2020-10-20</v>
      </c>
      <c r="C2656" s="1">
        <v>2.6055000000000001</v>
      </c>
    </row>
    <row r="2657" spans="1:3" x14ac:dyDescent="0.2">
      <c r="A2657" s="1">
        <v>157</v>
      </c>
      <c r="B2657" s="1" t="str">
        <v>2020-10-20</v>
      </c>
      <c r="C2657" s="1">
        <v>2.4729000000000001</v>
      </c>
    </row>
    <row r="2658" spans="1:3" x14ac:dyDescent="0.2">
      <c r="A2658" s="1">
        <v>33103</v>
      </c>
      <c r="B2658" s="1" t="str">
        <v>2020-10-20</v>
      </c>
      <c r="C2658" s="1">
        <v>3.0219</v>
      </c>
    </row>
    <row r="2659" spans="1:3" x14ac:dyDescent="0.2">
      <c r="A2659" s="1">
        <v>1</v>
      </c>
      <c r="B2659" s="1" t="str">
        <v>2020-10-20</v>
      </c>
      <c r="C2659" s="1">
        <v>2.9426999999999999</v>
      </c>
    </row>
    <row r="2660" spans="1:3" x14ac:dyDescent="0.2">
      <c r="A2660" s="1">
        <v>33125</v>
      </c>
      <c r="B2660" s="1" t="str">
        <v>2020-10-20</v>
      </c>
      <c r="C2660" s="1">
        <v>2.6974</v>
      </c>
    </row>
    <row r="2661" spans="1:3" x14ac:dyDescent="0.2">
      <c r="A2661" s="1">
        <v>33103</v>
      </c>
      <c r="B2661" s="1" t="str">
        <v>2020-10-21</v>
      </c>
      <c r="C2661" s="1">
        <v>3.0219</v>
      </c>
    </row>
    <row r="2662" spans="1:3" x14ac:dyDescent="0.2">
      <c r="A2662" s="1">
        <v>32783</v>
      </c>
      <c r="B2662" s="1" t="str">
        <v>2020-10-21</v>
      </c>
      <c r="C2662" s="1">
        <v>2.8405999999999998</v>
      </c>
    </row>
    <row r="2663" spans="1:3" x14ac:dyDescent="0.2">
      <c r="A2663" s="1">
        <v>33224</v>
      </c>
      <c r="B2663" s="1" t="str">
        <v>2020-10-21</v>
      </c>
      <c r="C2663" s="1">
        <v>3.4045999999999998</v>
      </c>
    </row>
    <row r="2664" spans="1:3" x14ac:dyDescent="0.2">
      <c r="A2664" s="1">
        <v>250</v>
      </c>
      <c r="B2664" s="1" t="str">
        <v>2020-10-21</v>
      </c>
      <c r="C2664" s="1">
        <v>2.7587999999999999</v>
      </c>
    </row>
    <row r="2665" spans="1:3" x14ac:dyDescent="0.2">
      <c r="A2665" s="1">
        <v>33043</v>
      </c>
      <c r="B2665" s="1" t="str">
        <v>2020-10-21</v>
      </c>
      <c r="C2665" s="1">
        <v>2.8509000000000002</v>
      </c>
    </row>
    <row r="2666" spans="1:3" x14ac:dyDescent="0.2">
      <c r="A2666" s="1">
        <v>32923</v>
      </c>
      <c r="B2666" s="1" t="str">
        <v>2020-10-21</v>
      </c>
      <c r="C2666" s="1">
        <v>3.0457000000000001</v>
      </c>
    </row>
    <row r="2667" spans="1:3" x14ac:dyDescent="0.2">
      <c r="A2667" s="1">
        <v>32340</v>
      </c>
      <c r="B2667" s="1" t="str">
        <v>2020-10-22</v>
      </c>
      <c r="C2667" s="1">
        <v>2.7484000000000002</v>
      </c>
    </row>
    <row r="2668" spans="1:3" x14ac:dyDescent="0.2">
      <c r="A2668" s="1">
        <v>156</v>
      </c>
      <c r="B2668" s="1" t="str">
        <v>2020-10-22</v>
      </c>
      <c r="C2668" s="1">
        <v>2.8102</v>
      </c>
    </row>
    <row r="2669" spans="1:3" x14ac:dyDescent="0.2">
      <c r="A2669" s="1">
        <v>53</v>
      </c>
      <c r="B2669" s="1" t="str">
        <v>2020-10-22</v>
      </c>
      <c r="C2669" s="1">
        <v>2.9222000000000001</v>
      </c>
    </row>
    <row r="2670" spans="1:3" x14ac:dyDescent="0.2">
      <c r="A2670" s="1">
        <v>32560</v>
      </c>
      <c r="B2670" s="1" t="str">
        <v>2020-10-22</v>
      </c>
      <c r="C2670" s="1">
        <v>2.8914</v>
      </c>
    </row>
    <row r="2671" spans="1:3" x14ac:dyDescent="0.2">
      <c r="A2671" s="1">
        <v>1</v>
      </c>
      <c r="B2671" s="1" t="str">
        <v>2020-10-22</v>
      </c>
      <c r="C2671" s="1">
        <v>2.9632000000000001</v>
      </c>
    </row>
    <row r="2672" spans="1:3" x14ac:dyDescent="0.2">
      <c r="A2672" s="1">
        <v>132</v>
      </c>
      <c r="B2672" s="1" t="str">
        <v>2020-10-22</v>
      </c>
      <c r="C2672" s="1">
        <v>2.9222999999999999</v>
      </c>
    </row>
    <row r="2673" spans="1:3" x14ac:dyDescent="0.2">
      <c r="A2673" s="1">
        <v>181</v>
      </c>
      <c r="B2673" s="1" t="str">
        <v>2020-10-22</v>
      </c>
      <c r="C2673" s="1">
        <v>2.9737</v>
      </c>
    </row>
    <row r="2674" spans="1:3" x14ac:dyDescent="0.2">
      <c r="A2674" s="1">
        <v>32724</v>
      </c>
      <c r="B2674" s="1" t="str">
        <v>2020-10-22</v>
      </c>
      <c r="C2674" s="1">
        <v>2.8508</v>
      </c>
    </row>
    <row r="2675" spans="1:3" x14ac:dyDescent="0.2">
      <c r="A2675" s="1">
        <v>115</v>
      </c>
      <c r="B2675" s="1" t="str">
        <v>2020-10-22</v>
      </c>
      <c r="C2675" s="1">
        <v>2.7077</v>
      </c>
    </row>
    <row r="2676" spans="1:3" x14ac:dyDescent="0.2">
      <c r="A2676" s="1">
        <v>89</v>
      </c>
      <c r="B2676" s="1" t="str">
        <v>2020-10-22</v>
      </c>
      <c r="C2676" s="1">
        <v>3.0249999999999999</v>
      </c>
    </row>
    <row r="2677" spans="1:3" x14ac:dyDescent="0.2">
      <c r="A2677" s="1">
        <v>49</v>
      </c>
      <c r="B2677" s="1" t="str">
        <v>2020-10-22</v>
      </c>
      <c r="C2677" s="1">
        <v>3.0968</v>
      </c>
    </row>
    <row r="2678" spans="1:3" x14ac:dyDescent="0.2">
      <c r="A2678" s="1">
        <v>32983</v>
      </c>
      <c r="B2678" s="1" t="str">
        <v>2020-10-22</v>
      </c>
      <c r="C2678" s="1">
        <v>2.8921000000000001</v>
      </c>
    </row>
    <row r="2679" spans="1:3" x14ac:dyDescent="0.2">
      <c r="A2679" s="1">
        <v>133</v>
      </c>
      <c r="B2679" s="1" t="str">
        <v>2020-10-22</v>
      </c>
      <c r="C2679" s="1">
        <v>2.7997000000000001</v>
      </c>
    </row>
    <row r="2680" spans="1:3" x14ac:dyDescent="0.2">
      <c r="A2680" s="1">
        <v>33129</v>
      </c>
      <c r="B2680" s="1" t="str">
        <v>2020-10-22</v>
      </c>
      <c r="C2680" s="1">
        <v>2.8712</v>
      </c>
    </row>
    <row r="2681" spans="1:3" x14ac:dyDescent="0.2">
      <c r="A2681" s="1">
        <v>24</v>
      </c>
      <c r="B2681" s="1" t="str">
        <v>2020-10-22</v>
      </c>
      <c r="C2681" s="1">
        <v>2.8609</v>
      </c>
    </row>
    <row r="2682" spans="1:3" x14ac:dyDescent="0.2">
      <c r="A2682" s="1">
        <v>143</v>
      </c>
      <c r="B2682" s="1" t="str">
        <v>2020-10-22</v>
      </c>
      <c r="C2682" s="1">
        <v>3.0146999999999999</v>
      </c>
    </row>
    <row r="2683" spans="1:3" x14ac:dyDescent="0.2">
      <c r="A2683" s="1">
        <v>176</v>
      </c>
      <c r="B2683" s="1" t="str">
        <v>2020-10-22</v>
      </c>
      <c r="C2683" s="1">
        <v>2.718</v>
      </c>
    </row>
    <row r="2684" spans="1:3" x14ac:dyDescent="0.2">
      <c r="A2684" s="1">
        <v>24</v>
      </c>
      <c r="B2684" s="1" t="str">
        <v>2020-10-23</v>
      </c>
      <c r="C2684" s="1">
        <v>3.0144000000000002</v>
      </c>
    </row>
    <row r="2685" spans="1:3" x14ac:dyDescent="0.2">
      <c r="A2685" s="1">
        <v>191</v>
      </c>
      <c r="B2685" s="1" t="str">
        <v>2020-10-23</v>
      </c>
      <c r="C2685" s="1">
        <v>2.8610000000000002</v>
      </c>
    </row>
    <row r="2686" spans="1:3" x14ac:dyDescent="0.2">
      <c r="A2686" s="1">
        <v>28</v>
      </c>
      <c r="B2686" s="1" t="str">
        <v>2020-10-23</v>
      </c>
      <c r="C2686" s="1">
        <v>3.0552999999999999</v>
      </c>
    </row>
    <row r="2687" spans="1:3" x14ac:dyDescent="0.2">
      <c r="A2687" s="1">
        <v>32401</v>
      </c>
      <c r="B2687" s="1" t="str">
        <v>2020-10-23</v>
      </c>
      <c r="C2687" s="1">
        <v>2.5137999999999998</v>
      </c>
    </row>
    <row r="2688" spans="1:3" x14ac:dyDescent="0.2">
      <c r="A2688" s="1">
        <v>32360</v>
      </c>
      <c r="B2688" s="1" t="str">
        <v>2020-10-23</v>
      </c>
      <c r="C2688" s="1">
        <v>3.3271999999999999</v>
      </c>
    </row>
    <row r="2689" spans="1:3" x14ac:dyDescent="0.2">
      <c r="A2689" s="1">
        <v>34</v>
      </c>
      <c r="B2689" s="1" t="str">
        <v>2020-10-23</v>
      </c>
      <c r="C2689" s="1">
        <v>2.9634</v>
      </c>
    </row>
    <row r="2690" spans="1:3" x14ac:dyDescent="0.2">
      <c r="A2690" s="1">
        <v>32340</v>
      </c>
      <c r="B2690" s="1" t="str">
        <v>2020-10-23</v>
      </c>
      <c r="C2690" s="1">
        <v>2.8403999999999998</v>
      </c>
    </row>
    <row r="2691" spans="1:3" x14ac:dyDescent="0.2">
      <c r="A2691" s="1">
        <v>13250</v>
      </c>
      <c r="B2691" s="1" t="str">
        <v>2020-10-23</v>
      </c>
      <c r="C2691" s="1">
        <v>3.0247999999999999</v>
      </c>
    </row>
    <row r="2692" spans="1:3" x14ac:dyDescent="0.2">
      <c r="A2692" s="1">
        <v>133</v>
      </c>
      <c r="B2692" s="1" t="str">
        <v>2020-10-23</v>
      </c>
      <c r="C2692" s="1">
        <v>2.9838</v>
      </c>
    </row>
    <row r="2693" spans="1:3" x14ac:dyDescent="0.2">
      <c r="A2693" s="1">
        <v>33023</v>
      </c>
      <c r="B2693" s="1" t="str">
        <v>2020-10-23</v>
      </c>
      <c r="C2693" s="1">
        <v>2.7075</v>
      </c>
    </row>
    <row r="2694" spans="1:3" x14ac:dyDescent="0.2">
      <c r="A2694" s="1">
        <v>32081</v>
      </c>
      <c r="B2694" s="1" t="str">
        <v>2020-10-23</v>
      </c>
      <c r="C2694" s="1">
        <v>3.2606999999999999</v>
      </c>
    </row>
    <row r="2695" spans="1:3" x14ac:dyDescent="0.2">
      <c r="A2695" s="1">
        <v>137</v>
      </c>
      <c r="B2695" s="1" t="str">
        <v>2020-10-23</v>
      </c>
      <c r="C2695" s="1">
        <v>3.0758999999999999</v>
      </c>
    </row>
    <row r="2696" spans="1:3" x14ac:dyDescent="0.2">
      <c r="A2696" s="1">
        <v>67</v>
      </c>
      <c r="B2696" s="1" t="str">
        <v>2020-10-23</v>
      </c>
      <c r="C2696" s="1">
        <v>3.1680999999999999</v>
      </c>
    </row>
    <row r="2697" spans="1:3" x14ac:dyDescent="0.2">
      <c r="A2697" s="1">
        <v>90</v>
      </c>
      <c r="B2697" s="1" t="str">
        <v>2020-10-23</v>
      </c>
      <c r="C2697" s="1">
        <v>3.3222999999999998</v>
      </c>
    </row>
    <row r="2698" spans="1:3" x14ac:dyDescent="0.2">
      <c r="A2698" s="1">
        <v>20</v>
      </c>
      <c r="B2698" s="1" t="str">
        <v>2020-10-23</v>
      </c>
      <c r="C2698" s="1">
        <v>3.1577000000000002</v>
      </c>
    </row>
    <row r="2699" spans="1:3" x14ac:dyDescent="0.2">
      <c r="A2699" s="1">
        <v>32082</v>
      </c>
      <c r="B2699" s="1" t="str">
        <v>2020-10-23</v>
      </c>
      <c r="C2699" s="1">
        <v>3.343</v>
      </c>
    </row>
    <row r="2700" spans="1:3" x14ac:dyDescent="0.2">
      <c r="A2700" s="1">
        <v>33130</v>
      </c>
      <c r="B2700" s="1" t="str">
        <v>2020-10-23</v>
      </c>
      <c r="C2700" s="1">
        <v>3.2604000000000002</v>
      </c>
    </row>
    <row r="2701" spans="1:3" x14ac:dyDescent="0.2">
      <c r="A2701" s="1">
        <v>32121</v>
      </c>
      <c r="B2701" s="1" t="str">
        <v>2020-10-23</v>
      </c>
      <c r="C2701" s="1">
        <v>3.2299000000000002</v>
      </c>
    </row>
    <row r="2702" spans="1:3" x14ac:dyDescent="0.2">
      <c r="A2702" s="1">
        <v>110</v>
      </c>
      <c r="B2702" s="1" t="str">
        <v>2020-10-23</v>
      </c>
      <c r="C2702" s="1">
        <v>3.117</v>
      </c>
    </row>
    <row r="2703" spans="1:3" x14ac:dyDescent="0.2">
      <c r="A2703" s="1">
        <v>32783</v>
      </c>
      <c r="B2703" s="1" t="str">
        <v>2020-10-23</v>
      </c>
      <c r="C2703" s="1">
        <v>3.1067999999999998</v>
      </c>
    </row>
    <row r="2704" spans="1:3" x14ac:dyDescent="0.2">
      <c r="A2704" s="1">
        <v>33183</v>
      </c>
      <c r="B2704" s="1" t="str">
        <v>2020-10-23</v>
      </c>
      <c r="C2704" s="1">
        <v>3.0278</v>
      </c>
    </row>
    <row r="2705" spans="1:3" x14ac:dyDescent="0.2">
      <c r="A2705" s="1">
        <v>32260</v>
      </c>
      <c r="B2705" s="1" t="str">
        <v>2020-10-23</v>
      </c>
      <c r="C2705" s="1">
        <v>3.2812000000000001</v>
      </c>
    </row>
    <row r="2706" spans="1:3" x14ac:dyDescent="0.2">
      <c r="A2706" s="1">
        <v>161</v>
      </c>
      <c r="B2706" s="1" t="str">
        <v>2020-10-23</v>
      </c>
      <c r="C2706" s="1">
        <v>3.24</v>
      </c>
    </row>
    <row r="2707" spans="1:3" x14ac:dyDescent="0.2">
      <c r="A2707" s="1">
        <v>196</v>
      </c>
      <c r="B2707" s="1" t="str">
        <v>2020-10-23</v>
      </c>
      <c r="C2707" s="1">
        <v>3.1682999999999999</v>
      </c>
    </row>
    <row r="2708" spans="1:3" x14ac:dyDescent="0.2">
      <c r="A2708" s="1">
        <v>16</v>
      </c>
      <c r="B2708" s="1" t="str">
        <v>2020-10-23</v>
      </c>
      <c r="C2708" s="1">
        <v>2.8201000000000001</v>
      </c>
    </row>
    <row r="2709" spans="1:3" x14ac:dyDescent="0.2">
      <c r="A2709" s="1">
        <v>72</v>
      </c>
      <c r="B2709" s="1" t="str">
        <v>2020-10-23</v>
      </c>
      <c r="C2709" s="1">
        <v>3.1886999999999999</v>
      </c>
    </row>
    <row r="2710" spans="1:3" x14ac:dyDescent="0.2">
      <c r="A2710" s="1">
        <v>33125</v>
      </c>
      <c r="B2710" s="1" t="str">
        <v>2020-10-23</v>
      </c>
      <c r="C2710" s="1">
        <v>2.8094999999999999</v>
      </c>
    </row>
    <row r="2711" spans="1:3" x14ac:dyDescent="0.2">
      <c r="A2711" s="1">
        <v>8</v>
      </c>
      <c r="B2711" s="1" t="str">
        <v>2020-10-23</v>
      </c>
      <c r="C2711" s="1">
        <v>2.8096000000000001</v>
      </c>
    </row>
    <row r="2712" spans="1:3" x14ac:dyDescent="0.2">
      <c r="A2712" s="1">
        <v>32582</v>
      </c>
      <c r="B2712" s="1" t="str">
        <v>2020-10-23</v>
      </c>
      <c r="C2712" s="1">
        <v>3.0455999999999999</v>
      </c>
    </row>
    <row r="2713" spans="1:3" x14ac:dyDescent="0.2">
      <c r="A2713" s="1">
        <v>146</v>
      </c>
      <c r="B2713" s="1" t="str">
        <v>2020-10-23</v>
      </c>
      <c r="C2713" s="1">
        <v>2.9940000000000002</v>
      </c>
    </row>
    <row r="2714" spans="1:3" x14ac:dyDescent="0.2">
      <c r="A2714" s="1">
        <v>32200</v>
      </c>
      <c r="B2714" s="1" t="str">
        <v>2020-10-23</v>
      </c>
      <c r="C2714" s="1">
        <v>3.3018000000000001</v>
      </c>
    </row>
    <row r="2715" spans="1:3" x14ac:dyDescent="0.2">
      <c r="A2715" s="1">
        <v>109</v>
      </c>
      <c r="B2715" s="1" t="str">
        <v>2020-10-23</v>
      </c>
      <c r="C2715" s="1">
        <v>2.7589999999999999</v>
      </c>
    </row>
    <row r="2716" spans="1:3" x14ac:dyDescent="0.2">
      <c r="A2716" s="1">
        <v>32603</v>
      </c>
      <c r="B2716" s="1" t="str">
        <v>2020-10-23</v>
      </c>
      <c r="C2716" s="1">
        <v>3.2092999999999998</v>
      </c>
    </row>
    <row r="2717" spans="1:3" x14ac:dyDescent="0.2">
      <c r="A2717" s="1">
        <v>150</v>
      </c>
      <c r="B2717" s="1" t="str">
        <v>2020-10-23</v>
      </c>
      <c r="C2717" s="1">
        <v>2.7521</v>
      </c>
    </row>
    <row r="2718" spans="1:3" x14ac:dyDescent="0.2">
      <c r="A2718" s="1">
        <v>32560</v>
      </c>
      <c r="B2718" s="1" t="str">
        <v>2020-10-23</v>
      </c>
      <c r="C2718" s="1">
        <v>3.0550000000000002</v>
      </c>
    </row>
    <row r="2719" spans="1:3" x14ac:dyDescent="0.2">
      <c r="A2719" s="1">
        <v>147</v>
      </c>
      <c r="B2719" s="1" t="str">
        <v>2020-10-23</v>
      </c>
      <c r="C2719" s="1">
        <v>2.8090000000000002</v>
      </c>
    </row>
    <row r="2720" spans="1:3" x14ac:dyDescent="0.2">
      <c r="A2720" s="1">
        <v>136</v>
      </c>
      <c r="B2720" s="1" t="str">
        <v>2020-10-23</v>
      </c>
      <c r="C2720" s="1">
        <v>3.3532000000000002</v>
      </c>
    </row>
    <row r="2721" spans="1:3" x14ac:dyDescent="0.2">
      <c r="A2721" s="1">
        <v>33083</v>
      </c>
      <c r="B2721" s="1" t="str">
        <v>2020-10-23</v>
      </c>
      <c r="C2721" s="1">
        <v>2.7256999999999998</v>
      </c>
    </row>
    <row r="2722" spans="1:3" x14ac:dyDescent="0.2">
      <c r="A2722" s="1">
        <v>30300</v>
      </c>
      <c r="B2722" s="1" t="str">
        <v>2020-10-23</v>
      </c>
      <c r="C2722" s="1">
        <v>3.0041000000000002</v>
      </c>
    </row>
    <row r="2723" spans="1:3" x14ac:dyDescent="0.2">
      <c r="A2723" s="1">
        <v>32</v>
      </c>
      <c r="B2723" s="1" t="str">
        <v>2020-10-23</v>
      </c>
      <c r="C2723" s="1">
        <v>3.0760000000000001</v>
      </c>
    </row>
    <row r="2724" spans="1:3" x14ac:dyDescent="0.2">
      <c r="A2724" s="1">
        <v>32521</v>
      </c>
      <c r="B2724" s="1" t="str">
        <v>2020-10-23</v>
      </c>
      <c r="C2724" s="1">
        <v>2.6968999999999999</v>
      </c>
    </row>
    <row r="2725" spans="1:3" x14ac:dyDescent="0.2">
      <c r="A2725" s="1">
        <v>102</v>
      </c>
      <c r="B2725" s="1" t="str">
        <v>2020-10-23</v>
      </c>
      <c r="C2725" s="1">
        <v>3.2503000000000002</v>
      </c>
    </row>
    <row r="2726" spans="1:3" x14ac:dyDescent="0.2">
      <c r="A2726" s="1">
        <v>24250</v>
      </c>
      <c r="B2726" s="1" t="str">
        <v>2020-10-23</v>
      </c>
      <c r="C2726" s="1">
        <v>3.1067999999999998</v>
      </c>
    </row>
    <row r="2727" spans="1:3" x14ac:dyDescent="0.2">
      <c r="A2727" s="1">
        <v>32803</v>
      </c>
      <c r="B2727" s="1" t="str">
        <v>2020-10-23</v>
      </c>
      <c r="C2727" s="1">
        <v>3.3633999999999999</v>
      </c>
    </row>
    <row r="2728" spans="1:3" x14ac:dyDescent="0.2">
      <c r="A2728" s="1">
        <v>187</v>
      </c>
      <c r="B2728" s="1" t="str">
        <v>2020-10-23</v>
      </c>
      <c r="C2728" s="1">
        <v>3.3633999999999999</v>
      </c>
    </row>
    <row r="2729" spans="1:3" x14ac:dyDescent="0.2">
      <c r="A2729" s="1">
        <v>32923</v>
      </c>
      <c r="B2729" s="1" t="str">
        <v>2020-10-23</v>
      </c>
      <c r="C2729" s="1">
        <v>3.0457000000000001</v>
      </c>
    </row>
    <row r="2730" spans="1:3" x14ac:dyDescent="0.2">
      <c r="A2730" s="1">
        <v>9250</v>
      </c>
      <c r="B2730" s="1" t="str">
        <v>2020-10-23</v>
      </c>
      <c r="C2730" s="1">
        <v>3.3121</v>
      </c>
    </row>
    <row r="2731" spans="1:3" x14ac:dyDescent="0.2">
      <c r="A2731" s="1">
        <v>32500</v>
      </c>
      <c r="B2731" s="1" t="str">
        <v>2020-10-23</v>
      </c>
      <c r="C2731" s="1">
        <v>3.1890000000000001</v>
      </c>
    </row>
    <row r="2732" spans="1:3" x14ac:dyDescent="0.2">
      <c r="A2732" s="1">
        <v>55</v>
      </c>
      <c r="B2732" s="1" t="str">
        <v>2020-10-23</v>
      </c>
      <c r="C2732" s="1">
        <v>3.0966999999999998</v>
      </c>
    </row>
    <row r="2733" spans="1:3" x14ac:dyDescent="0.2">
      <c r="A2733" s="1">
        <v>115</v>
      </c>
      <c r="B2733" s="1" t="str">
        <v>2020-10-23</v>
      </c>
      <c r="C2733" s="1">
        <v>2.9634</v>
      </c>
    </row>
    <row r="2734" spans="1:3" x14ac:dyDescent="0.2">
      <c r="A2734" s="1">
        <v>53</v>
      </c>
      <c r="B2734" s="1" t="str">
        <v>2020-10-23</v>
      </c>
      <c r="C2734" s="1">
        <v>2.9119999999999999</v>
      </c>
    </row>
    <row r="2735" spans="1:3" x14ac:dyDescent="0.2">
      <c r="A2735" s="1">
        <v>139</v>
      </c>
      <c r="B2735" s="1" t="str">
        <v>2020-10-23</v>
      </c>
      <c r="C2735" s="1">
        <v>3.0144000000000002</v>
      </c>
    </row>
    <row r="2736" spans="1:3" x14ac:dyDescent="0.2">
      <c r="A2736" s="1">
        <v>31</v>
      </c>
      <c r="B2736" s="1" t="str">
        <v>2020-10-23</v>
      </c>
      <c r="C2736" s="1">
        <v>3.1273</v>
      </c>
    </row>
    <row r="2737" spans="1:3" x14ac:dyDescent="0.2">
      <c r="A2737" s="1">
        <v>33129</v>
      </c>
      <c r="B2737" s="1" t="str">
        <v>2020-10-23</v>
      </c>
      <c r="C2737" s="1">
        <v>2.9836</v>
      </c>
    </row>
    <row r="2738" spans="1:3" x14ac:dyDescent="0.2">
      <c r="A2738" s="1">
        <v>59</v>
      </c>
      <c r="B2738" s="1" t="str">
        <v>2020-10-23</v>
      </c>
      <c r="C2738" s="1">
        <v>3.2301000000000002</v>
      </c>
    </row>
    <row r="2739" spans="1:3" x14ac:dyDescent="0.2">
      <c r="A2739" s="1">
        <v>2250</v>
      </c>
      <c r="B2739" s="1" t="str">
        <v>2020-10-23</v>
      </c>
      <c r="C2739" s="1">
        <v>3.1274999999999999</v>
      </c>
    </row>
    <row r="2740" spans="1:3" x14ac:dyDescent="0.2">
      <c r="A2740" s="1">
        <v>32863</v>
      </c>
      <c r="B2740" s="1" t="str">
        <v>2020-10-23</v>
      </c>
      <c r="C2740" s="1">
        <v>3.4148000000000001</v>
      </c>
    </row>
    <row r="2741" spans="1:3" x14ac:dyDescent="0.2">
      <c r="A2741" s="1">
        <v>32502</v>
      </c>
      <c r="B2741" s="1" t="str">
        <v>2020-10-23</v>
      </c>
      <c r="C2741" s="1">
        <v>3.3121</v>
      </c>
    </row>
    <row r="2742" spans="1:3" x14ac:dyDescent="0.2">
      <c r="A2742" s="1">
        <v>30250</v>
      </c>
      <c r="B2742" s="1" t="str">
        <v>2020-10-23</v>
      </c>
      <c r="C2742" s="1">
        <v>3.2401</v>
      </c>
    </row>
    <row r="2743" spans="1:3" x14ac:dyDescent="0.2">
      <c r="A2743" s="1">
        <v>49</v>
      </c>
      <c r="B2743" s="1" t="str">
        <v>2020-10-23</v>
      </c>
      <c r="C2743" s="1">
        <v>3.2401</v>
      </c>
    </row>
    <row r="2744" spans="1:3" x14ac:dyDescent="0.2">
      <c r="A2744" s="1">
        <v>78</v>
      </c>
      <c r="B2744" s="1" t="str">
        <v>2020-10-23</v>
      </c>
      <c r="C2744" s="1">
        <v>3.1991000000000001</v>
      </c>
    </row>
    <row r="2745" spans="1:3" x14ac:dyDescent="0.2">
      <c r="A2745" s="1">
        <v>94</v>
      </c>
      <c r="B2745" s="1" t="str">
        <v>2020-10-23</v>
      </c>
      <c r="C2745" s="1">
        <v>3.0249000000000001</v>
      </c>
    </row>
    <row r="2746" spans="1:3" x14ac:dyDescent="0.2">
      <c r="A2746" s="1">
        <v>30400</v>
      </c>
      <c r="B2746" s="1" t="str">
        <v>2020-10-23</v>
      </c>
      <c r="C2746" s="1">
        <v>3.3839999999999999</v>
      </c>
    </row>
    <row r="2747" spans="1:3" x14ac:dyDescent="0.2">
      <c r="A2747" s="1">
        <v>10</v>
      </c>
      <c r="B2747" s="1" t="str">
        <v>2020-10-23</v>
      </c>
      <c r="C2747" s="1">
        <v>3.2094</v>
      </c>
    </row>
    <row r="2748" spans="1:3" x14ac:dyDescent="0.2">
      <c r="A2748" s="1">
        <v>32843</v>
      </c>
      <c r="B2748" s="1" t="str">
        <v>2020-10-23</v>
      </c>
      <c r="C2748" s="1">
        <v>3.2092999999999998</v>
      </c>
    </row>
    <row r="2749" spans="1:3" x14ac:dyDescent="0.2">
      <c r="A2749" s="1">
        <v>33103</v>
      </c>
      <c r="B2749" s="1" t="str">
        <v>2020-10-26</v>
      </c>
      <c r="C2749" s="1">
        <v>3.1545000000000001</v>
      </c>
    </row>
    <row r="2750" spans="1:3" x14ac:dyDescent="0.2">
      <c r="A2750" s="1">
        <v>143</v>
      </c>
      <c r="B2750" s="1" t="str">
        <v>2020-10-26</v>
      </c>
      <c r="C2750" s="1">
        <v>3.117</v>
      </c>
    </row>
    <row r="2751" spans="1:3" x14ac:dyDescent="0.2">
      <c r="A2751" s="1">
        <v>99</v>
      </c>
      <c r="B2751" s="1" t="str">
        <v>2020-10-26</v>
      </c>
      <c r="C2751" s="1">
        <v>2.7481</v>
      </c>
    </row>
    <row r="2752" spans="1:3" x14ac:dyDescent="0.2">
      <c r="A2752" s="1">
        <v>81</v>
      </c>
      <c r="B2752" s="1" t="str">
        <v>2020-10-26</v>
      </c>
      <c r="C2752" s="1">
        <v>2.6669999999999998</v>
      </c>
    </row>
    <row r="2753" spans="1:3" x14ac:dyDescent="0.2">
      <c r="A2753" s="1">
        <v>32400</v>
      </c>
      <c r="B2753" s="1" t="str">
        <v>2020-10-26</v>
      </c>
      <c r="C2753" s="1">
        <v>3.0453000000000001</v>
      </c>
    </row>
    <row r="2754" spans="1:3" x14ac:dyDescent="0.2">
      <c r="A2754" s="1">
        <v>157</v>
      </c>
      <c r="B2754" s="1" t="str">
        <v>2020-10-26</v>
      </c>
      <c r="C2754" s="1">
        <v>3.0043000000000002</v>
      </c>
    </row>
    <row r="2755" spans="1:3" x14ac:dyDescent="0.2">
      <c r="A2755" s="1">
        <v>32421</v>
      </c>
      <c r="B2755" s="1" t="str">
        <v>2020-10-26</v>
      </c>
      <c r="C2755" s="1">
        <v>3.1528999999999998</v>
      </c>
    </row>
    <row r="2756" spans="1:3" x14ac:dyDescent="0.2">
      <c r="A2756" s="1">
        <v>49</v>
      </c>
      <c r="B2756" s="1" t="str">
        <v>2020-10-26</v>
      </c>
      <c r="C2756" s="1">
        <v>3.2606000000000002</v>
      </c>
    </row>
    <row r="2757" spans="1:3" x14ac:dyDescent="0.2">
      <c r="A2757" s="1">
        <v>182</v>
      </c>
      <c r="B2757" s="1" t="str">
        <v>2020-10-26</v>
      </c>
      <c r="C2757" s="1">
        <v>2.8607999999999998</v>
      </c>
    </row>
    <row r="2758" spans="1:3" x14ac:dyDescent="0.2">
      <c r="A2758" s="1">
        <v>33223</v>
      </c>
      <c r="B2758" s="1" t="str">
        <v>2020-10-26</v>
      </c>
      <c r="C2758" s="1">
        <v>2.1568000000000001</v>
      </c>
    </row>
    <row r="2759" spans="1:3" x14ac:dyDescent="0.2">
      <c r="A2759" s="1">
        <v>68</v>
      </c>
      <c r="B2759" s="1" t="str">
        <v>2020-10-26</v>
      </c>
      <c r="C2759" s="1">
        <v>3.343</v>
      </c>
    </row>
    <row r="2760" spans="1:3" x14ac:dyDescent="0.2">
      <c r="A2760" s="1">
        <v>178</v>
      </c>
      <c r="B2760" s="1" t="str">
        <v>2020-10-26</v>
      </c>
      <c r="C2760" s="1">
        <v>3.1564000000000001</v>
      </c>
    </row>
    <row r="2761" spans="1:3" x14ac:dyDescent="0.2">
      <c r="A2761" s="1">
        <v>32724</v>
      </c>
      <c r="B2761" s="1" t="str">
        <v>2020-10-27</v>
      </c>
      <c r="C2761" s="1">
        <v>3.0144000000000002</v>
      </c>
    </row>
    <row r="2762" spans="1:3" x14ac:dyDescent="0.2">
      <c r="A2762" s="1">
        <v>33125</v>
      </c>
      <c r="B2762" s="1" t="str">
        <v>2020-10-27</v>
      </c>
      <c r="C2762" s="1">
        <v>2.8711000000000002</v>
      </c>
    </row>
    <row r="2763" spans="1:3" x14ac:dyDescent="0.2">
      <c r="A2763" s="1">
        <v>33103</v>
      </c>
      <c r="B2763" s="1" t="str">
        <v>2020-10-28</v>
      </c>
      <c r="C2763" s="1">
        <v>3.1545000000000001</v>
      </c>
    </row>
    <row r="2764" spans="1:3" x14ac:dyDescent="0.2">
      <c r="A2764" s="1">
        <v>32560</v>
      </c>
      <c r="B2764" s="1" t="str">
        <v>2020-10-28</v>
      </c>
      <c r="C2764" s="1">
        <v>3.0038999999999998</v>
      </c>
    </row>
    <row r="2765" spans="1:3" x14ac:dyDescent="0.2">
      <c r="A2765" s="1">
        <v>32082</v>
      </c>
      <c r="B2765" s="1" t="str">
        <v>2020-10-28</v>
      </c>
      <c r="C2765" s="1">
        <v>3.4868999999999999</v>
      </c>
    </row>
    <row r="2766" spans="1:3" x14ac:dyDescent="0.2">
      <c r="A2766" s="1">
        <v>30350</v>
      </c>
      <c r="B2766" s="1" t="str">
        <v>2020-10-29</v>
      </c>
      <c r="C2766" s="1">
        <v>2.6772</v>
      </c>
    </row>
    <row r="2767" spans="1:3" x14ac:dyDescent="0.2">
      <c r="A2767" s="1">
        <v>150</v>
      </c>
      <c r="B2767" s="1" t="str">
        <v>2020-10-29</v>
      </c>
      <c r="C2767" s="1">
        <v>2.7521</v>
      </c>
    </row>
    <row r="2768" spans="1:3" x14ac:dyDescent="0.2">
      <c r="A2768" s="1">
        <v>33043</v>
      </c>
      <c r="B2768" s="1" t="str">
        <v>2020-10-29</v>
      </c>
      <c r="C2768" s="1">
        <v>3.2709999999999999</v>
      </c>
    </row>
    <row r="2769" spans="1:3" x14ac:dyDescent="0.2">
      <c r="A2769" s="1">
        <v>33125</v>
      </c>
      <c r="B2769" s="1" t="str">
        <v>2020-10-29</v>
      </c>
      <c r="C2769" s="1">
        <v>3.0350000000000001</v>
      </c>
    </row>
    <row r="2770" spans="1:3" x14ac:dyDescent="0.2">
      <c r="A2770" s="1">
        <v>161</v>
      </c>
      <c r="B2770" s="1" t="str">
        <v>2020-10-30</v>
      </c>
      <c r="C2770" s="1">
        <v>3.2810999999999999</v>
      </c>
    </row>
    <row r="2771" spans="1:3" x14ac:dyDescent="0.2">
      <c r="A2771" s="1">
        <v>33103</v>
      </c>
      <c r="B2771" s="1" t="str">
        <v>2020-10-30</v>
      </c>
      <c r="C2771" s="1">
        <v>3.1545000000000001</v>
      </c>
    </row>
    <row r="2772" spans="1:3" x14ac:dyDescent="0.2">
      <c r="A2772" s="1">
        <v>83</v>
      </c>
      <c r="B2772" s="1" t="str">
        <v>2020-10-30</v>
      </c>
      <c r="C2772" s="1">
        <v>3.2298</v>
      </c>
    </row>
    <row r="2773" spans="1:3" x14ac:dyDescent="0.2">
      <c r="A2773" s="1">
        <v>32400</v>
      </c>
      <c r="B2773" s="1" t="str">
        <v>2020-10-30</v>
      </c>
      <c r="C2773" s="1">
        <v>3.0246</v>
      </c>
    </row>
    <row r="2774" spans="1:3" x14ac:dyDescent="0.2">
      <c r="A2774" s="1">
        <v>33203</v>
      </c>
      <c r="B2774" s="1" t="str">
        <v>2020-10-30</v>
      </c>
      <c r="C2774" s="1">
        <v>3.3433999999999999</v>
      </c>
    </row>
    <row r="2775" spans="1:3" x14ac:dyDescent="0.2">
      <c r="A2775" s="1">
        <v>32963</v>
      </c>
      <c r="B2775" s="1" t="str">
        <v>2020-10-30</v>
      </c>
      <c r="C2775" s="1">
        <v>3.0043000000000002</v>
      </c>
    </row>
    <row r="2776" spans="1:3" x14ac:dyDescent="0.2">
      <c r="A2776" s="1">
        <v>16</v>
      </c>
      <c r="B2776" s="1" t="str">
        <v>2020-10-30</v>
      </c>
      <c r="C2776" s="1">
        <v>2.8201000000000001</v>
      </c>
    </row>
    <row r="2777" spans="1:3" x14ac:dyDescent="0.2">
      <c r="A2777" s="1">
        <v>33003</v>
      </c>
      <c r="B2777" s="1" t="str">
        <v>2020-10-30</v>
      </c>
      <c r="C2777" s="1">
        <v>3.1787999999999998</v>
      </c>
    </row>
    <row r="2778" spans="1:3" x14ac:dyDescent="0.2">
      <c r="A2778" s="1">
        <v>101</v>
      </c>
      <c r="B2778" s="1" t="str">
        <v>2020-10-30</v>
      </c>
      <c r="C2778" s="1">
        <v>3.1375999999999999</v>
      </c>
    </row>
    <row r="2779" spans="1:3" x14ac:dyDescent="0.2">
      <c r="A2779" s="1">
        <v>32783</v>
      </c>
      <c r="B2779" s="1" t="str">
        <v>2020-10-30</v>
      </c>
      <c r="C2779" s="1">
        <v>3.1273</v>
      </c>
    </row>
    <row r="2780" spans="1:3" x14ac:dyDescent="0.2">
      <c r="A2780" s="1">
        <v>68</v>
      </c>
      <c r="B2780" s="1" t="str">
        <v>2020-10-30</v>
      </c>
      <c r="C2780" s="1">
        <v>3.343</v>
      </c>
    </row>
    <row r="2781" spans="1:3" x14ac:dyDescent="0.2">
      <c r="A2781" s="1">
        <v>81</v>
      </c>
      <c r="B2781" s="1" t="str">
        <v>2020-10-30</v>
      </c>
      <c r="C2781" s="1">
        <v>2.6669999999999998</v>
      </c>
    </row>
    <row r="2782" spans="1:3" x14ac:dyDescent="0.2">
      <c r="A2782" s="1">
        <v>30250</v>
      </c>
      <c r="B2782" s="1" t="str">
        <v>2020-10-30</v>
      </c>
      <c r="C2782" s="1">
        <v>3.4558</v>
      </c>
    </row>
    <row r="2783" spans="1:3" x14ac:dyDescent="0.2">
      <c r="A2783" s="1">
        <v>10</v>
      </c>
      <c r="B2783" s="1" t="str">
        <v>2020-10-30</v>
      </c>
      <c r="C2783" s="1">
        <v>3.2299000000000002</v>
      </c>
    </row>
    <row r="2784" spans="1:3" x14ac:dyDescent="0.2">
      <c r="A2784" s="1">
        <v>133</v>
      </c>
      <c r="B2784" s="1" t="str">
        <v>2020-11-03</v>
      </c>
      <c r="C2784" s="1">
        <v>2.9838</v>
      </c>
    </row>
    <row r="2785" spans="1:3" x14ac:dyDescent="0.2">
      <c r="A2785" s="1">
        <v>33130</v>
      </c>
      <c r="B2785" s="1" t="str">
        <v>2020-11-03</v>
      </c>
      <c r="C2785" s="1">
        <v>3.2606999999999999</v>
      </c>
    </row>
    <row r="2786" spans="1:3" x14ac:dyDescent="0.2">
      <c r="A2786" s="1">
        <v>33023</v>
      </c>
      <c r="B2786" s="1" t="str">
        <v>2020-11-03</v>
      </c>
      <c r="C2786" s="1">
        <v>3.4863</v>
      </c>
    </row>
    <row r="2787" spans="1:3" x14ac:dyDescent="0.2">
      <c r="A2787" s="1">
        <v>34</v>
      </c>
      <c r="B2787" s="1" t="str">
        <v>2020-11-03</v>
      </c>
      <c r="C2787" s="1">
        <v>2.9634</v>
      </c>
    </row>
    <row r="2788" spans="1:3" x14ac:dyDescent="0.2">
      <c r="A2788" s="1">
        <v>32421</v>
      </c>
      <c r="B2788" s="1" t="str">
        <v>2020-11-03</v>
      </c>
      <c r="C2788" s="1">
        <v>3.1408</v>
      </c>
    </row>
    <row r="2789" spans="1:3" x14ac:dyDescent="0.2">
      <c r="A2789" s="1">
        <v>178</v>
      </c>
      <c r="B2789" s="1" t="str">
        <v>2020-11-03</v>
      </c>
      <c r="C2789" s="1">
        <v>3.1564000000000001</v>
      </c>
    </row>
    <row r="2790" spans="1:3" x14ac:dyDescent="0.2">
      <c r="A2790" s="1">
        <v>187</v>
      </c>
      <c r="B2790" s="1" t="str">
        <v>2020-11-03</v>
      </c>
      <c r="C2790" s="1">
        <v>3.3736999999999999</v>
      </c>
    </row>
    <row r="2791" spans="1:3" x14ac:dyDescent="0.2">
      <c r="A2791" s="1">
        <v>147</v>
      </c>
      <c r="B2791" s="1" t="str">
        <v>2020-11-03</v>
      </c>
      <c r="C2791" s="1">
        <v>2.7988</v>
      </c>
    </row>
    <row r="2792" spans="1:3" x14ac:dyDescent="0.2">
      <c r="A2792" s="1">
        <v>115</v>
      </c>
      <c r="B2792" s="1" t="str">
        <v>2020-11-03</v>
      </c>
      <c r="C2792" s="1">
        <v>2.9634</v>
      </c>
    </row>
    <row r="2793" spans="1:3" x14ac:dyDescent="0.2">
      <c r="A2793" s="1">
        <v>32923</v>
      </c>
      <c r="B2793" s="1" t="str">
        <v>2020-11-04</v>
      </c>
      <c r="C2793" s="1">
        <v>3.0457000000000001</v>
      </c>
    </row>
    <row r="2794" spans="1:3" x14ac:dyDescent="0.2">
      <c r="A2794" s="1">
        <v>77</v>
      </c>
      <c r="B2794" s="1" t="str">
        <v>2020-11-04</v>
      </c>
      <c r="C2794" s="1">
        <v>3.2193000000000001</v>
      </c>
    </row>
    <row r="2795" spans="1:3" x14ac:dyDescent="0.2">
      <c r="A2795" s="1">
        <v>146</v>
      </c>
      <c r="B2795" s="1" t="str">
        <v>2020-11-05</v>
      </c>
      <c r="C2795" s="1">
        <v>2.9940000000000002</v>
      </c>
    </row>
    <row r="2796" spans="1:3" x14ac:dyDescent="0.2">
      <c r="A2796" s="1">
        <v>32582</v>
      </c>
      <c r="B2796" s="1" t="str">
        <v>2020-11-05</v>
      </c>
      <c r="C2796" s="1">
        <v>3.1274000000000002</v>
      </c>
    </row>
    <row r="2797" spans="1:3" x14ac:dyDescent="0.2">
      <c r="A2797" s="1">
        <v>32603</v>
      </c>
      <c r="B2797" s="1" t="str">
        <v>2020-11-05</v>
      </c>
      <c r="C2797" s="1">
        <v>3.2092999999999998</v>
      </c>
    </row>
    <row r="2798" spans="1:3" x14ac:dyDescent="0.2">
      <c r="A2798" s="1">
        <v>32964</v>
      </c>
      <c r="B2798" s="1" t="str">
        <v>2020-11-05</v>
      </c>
      <c r="C2798" s="1">
        <v>3.0556000000000001</v>
      </c>
    </row>
    <row r="2799" spans="1:3" x14ac:dyDescent="0.2">
      <c r="A2799" s="1">
        <v>250</v>
      </c>
      <c r="B2799" s="1" t="str">
        <v>2020-11-05</v>
      </c>
      <c r="C2799" s="1">
        <v>3.3839000000000001</v>
      </c>
    </row>
    <row r="2800" spans="1:3" x14ac:dyDescent="0.2">
      <c r="A2800" s="1">
        <v>176</v>
      </c>
      <c r="B2800" s="1" t="str">
        <v>2020-11-06</v>
      </c>
      <c r="C2800" s="1">
        <v>2.8203999999999998</v>
      </c>
    </row>
    <row r="2801" spans="1:3" x14ac:dyDescent="0.2">
      <c r="A2801" s="1">
        <v>24</v>
      </c>
      <c r="B2801" s="1" t="str">
        <v>2020-11-06</v>
      </c>
      <c r="C2801" s="1">
        <v>3.0964</v>
      </c>
    </row>
    <row r="2802" spans="1:3" x14ac:dyDescent="0.2">
      <c r="A2802" s="1">
        <v>33103</v>
      </c>
      <c r="B2802" s="1" t="str">
        <v>2020-11-06</v>
      </c>
      <c r="C2802" s="1">
        <v>3.1795</v>
      </c>
    </row>
    <row r="2803" spans="1:3" x14ac:dyDescent="0.2">
      <c r="A2803" s="1">
        <v>33183</v>
      </c>
      <c r="B2803" s="1" t="str">
        <v>2020-11-06</v>
      </c>
      <c r="C2803" s="1">
        <v>3.2812999999999999</v>
      </c>
    </row>
    <row r="2804" spans="1:3" x14ac:dyDescent="0.2">
      <c r="A2804" s="1">
        <v>161</v>
      </c>
      <c r="B2804" s="1" t="str">
        <v>2020-11-06</v>
      </c>
      <c r="C2804" s="1">
        <v>3.2812999999999999</v>
      </c>
    </row>
    <row r="2805" spans="1:3" x14ac:dyDescent="0.2">
      <c r="A2805" s="1">
        <v>33125</v>
      </c>
      <c r="B2805" s="1" t="str">
        <v>2020-11-06</v>
      </c>
      <c r="C2805" s="1">
        <v>3.3429000000000002</v>
      </c>
    </row>
    <row r="2806" spans="1:3" x14ac:dyDescent="0.2">
      <c r="A2806" s="1">
        <v>13250</v>
      </c>
      <c r="B2806" s="1" t="str">
        <v>2020-11-06</v>
      </c>
      <c r="C2806" s="1">
        <v>2.8193000000000001</v>
      </c>
    </row>
    <row r="2807" spans="1:3" x14ac:dyDescent="0.2">
      <c r="A2807" s="1">
        <v>147</v>
      </c>
      <c r="B2807" s="1" t="str">
        <v>2020-11-06</v>
      </c>
      <c r="C2807" s="1">
        <v>3.1374</v>
      </c>
    </row>
    <row r="2808" spans="1:3" x14ac:dyDescent="0.2">
      <c r="A2808" s="1">
        <v>99</v>
      </c>
      <c r="B2808" s="1" t="str">
        <v>2020-11-06</v>
      </c>
      <c r="C2808" s="1">
        <v>2.8092000000000001</v>
      </c>
    </row>
    <row r="2809" spans="1:3" x14ac:dyDescent="0.2">
      <c r="A2809" s="1">
        <v>32180</v>
      </c>
      <c r="B2809" s="1" t="str">
        <v>2020-11-06</v>
      </c>
      <c r="C2809" s="1">
        <v>3.26</v>
      </c>
    </row>
    <row r="2810" spans="1:3" x14ac:dyDescent="0.2">
      <c r="A2810" s="1">
        <v>32863</v>
      </c>
      <c r="B2810" s="1" t="str">
        <v>2020-11-06</v>
      </c>
      <c r="C2810" s="1">
        <v>3.4765000000000001</v>
      </c>
    </row>
    <row r="2811" spans="1:3" x14ac:dyDescent="0.2">
      <c r="A2811" s="1">
        <v>32783</v>
      </c>
      <c r="B2811" s="1" t="str">
        <v>2020-11-06</v>
      </c>
      <c r="C2811" s="1">
        <v>3.2709999999999999</v>
      </c>
    </row>
    <row r="2812" spans="1:3" x14ac:dyDescent="0.2">
      <c r="A2812" s="1">
        <v>67</v>
      </c>
      <c r="B2812" s="1" t="str">
        <v>2020-11-06</v>
      </c>
      <c r="C2812" s="1">
        <v>3.4148000000000001</v>
      </c>
    </row>
    <row r="2813" spans="1:3" x14ac:dyDescent="0.2">
      <c r="A2813" s="1">
        <v>32082</v>
      </c>
      <c r="B2813" s="1" t="str">
        <v>2020-11-06</v>
      </c>
      <c r="C2813" s="1">
        <v>3.4971000000000001</v>
      </c>
    </row>
    <row r="2814" spans="1:3" x14ac:dyDescent="0.2">
      <c r="A2814" s="1">
        <v>32803</v>
      </c>
      <c r="B2814" s="1" t="str">
        <v>2020-11-06</v>
      </c>
      <c r="C2814" s="1">
        <v>3.456</v>
      </c>
    </row>
    <row r="2815" spans="1:3" x14ac:dyDescent="0.2">
      <c r="A2815" s="1">
        <v>150</v>
      </c>
      <c r="B2815" s="1" t="str">
        <v>2020-11-06</v>
      </c>
      <c r="C2815" s="1">
        <v>3.1072000000000002</v>
      </c>
    </row>
    <row r="2816" spans="1:3" x14ac:dyDescent="0.2">
      <c r="A2816" s="1">
        <v>136</v>
      </c>
      <c r="B2816" s="1" t="str">
        <v>2020-11-06</v>
      </c>
      <c r="C2816" s="1">
        <v>3.4765999999999999</v>
      </c>
    </row>
    <row r="2817" spans="1:3" x14ac:dyDescent="0.2">
      <c r="A2817" s="1">
        <v>1</v>
      </c>
      <c r="B2817" s="1" t="str">
        <v>2020-11-06</v>
      </c>
      <c r="C2817" s="1">
        <v>3.2915000000000001</v>
      </c>
    </row>
    <row r="2818" spans="1:3" x14ac:dyDescent="0.2">
      <c r="A2818" s="1">
        <v>37</v>
      </c>
      <c r="B2818" s="1" t="str">
        <v>2020-11-06</v>
      </c>
      <c r="C2818" s="1">
        <v>3.4971000000000001</v>
      </c>
    </row>
    <row r="2819" spans="1:3" x14ac:dyDescent="0.2">
      <c r="A2819" s="1">
        <v>31</v>
      </c>
      <c r="B2819" s="1" t="str">
        <v>2020-11-06</v>
      </c>
      <c r="C2819" s="1">
        <v>3.4251</v>
      </c>
    </row>
    <row r="2820" spans="1:3" x14ac:dyDescent="0.2">
      <c r="A2820" s="1">
        <v>157</v>
      </c>
      <c r="B2820" s="1" t="str">
        <v>2020-11-06</v>
      </c>
      <c r="C2820" s="1">
        <v>3.3942999999999999</v>
      </c>
    </row>
    <row r="2821" spans="1:3" x14ac:dyDescent="0.2">
      <c r="A2821" s="1">
        <v>181</v>
      </c>
      <c r="B2821" s="1" t="str">
        <v>2020-11-06</v>
      </c>
      <c r="C2821" s="1">
        <v>3.3327</v>
      </c>
    </row>
    <row r="2822" spans="1:3" x14ac:dyDescent="0.2">
      <c r="A2822" s="1">
        <v>55</v>
      </c>
      <c r="B2822" s="1" t="str">
        <v>2020-11-06</v>
      </c>
      <c r="C2822" s="1">
        <v>3.3532000000000002</v>
      </c>
    </row>
    <row r="2823" spans="1:3" x14ac:dyDescent="0.2">
      <c r="A2823" s="1">
        <v>32560</v>
      </c>
      <c r="B2823" s="1" t="str">
        <v>2020-11-06</v>
      </c>
      <c r="C2823" s="1">
        <v>3.0143</v>
      </c>
    </row>
    <row r="2824" spans="1:3" x14ac:dyDescent="0.2">
      <c r="A2824" s="1">
        <v>30350</v>
      </c>
      <c r="B2824" s="1" t="str">
        <v>2020-11-06</v>
      </c>
      <c r="C2824" s="1">
        <v>3.1375000000000002</v>
      </c>
    </row>
    <row r="2825" spans="1:3" x14ac:dyDescent="0.2">
      <c r="A2825" s="1">
        <v>32963</v>
      </c>
      <c r="B2825" s="1" t="str">
        <v>2020-11-06</v>
      </c>
      <c r="C2825" s="1">
        <v>3.2298</v>
      </c>
    </row>
    <row r="2826" spans="1:3" x14ac:dyDescent="0.2">
      <c r="A2826" s="1">
        <v>32400</v>
      </c>
      <c r="B2826" s="1" t="str">
        <v>2020-11-06</v>
      </c>
      <c r="C2826" s="1">
        <v>3.2504</v>
      </c>
    </row>
    <row r="2827" spans="1:3" x14ac:dyDescent="0.2">
      <c r="A2827" s="1">
        <v>16</v>
      </c>
      <c r="B2827" s="1" t="str">
        <v>2020-11-06</v>
      </c>
      <c r="C2827" s="1">
        <v>3.4146999999999998</v>
      </c>
    </row>
    <row r="2828" spans="1:3" x14ac:dyDescent="0.2">
      <c r="A2828" s="1">
        <v>139</v>
      </c>
      <c r="B2828" s="1" t="str">
        <v>2020-11-06</v>
      </c>
      <c r="C2828" s="1">
        <v>3.5383</v>
      </c>
    </row>
    <row r="2829" spans="1:3" x14ac:dyDescent="0.2">
      <c r="A2829" s="1">
        <v>68</v>
      </c>
      <c r="B2829" s="1" t="str">
        <v>2020-11-06</v>
      </c>
      <c r="C2829" s="1">
        <v>3.3738000000000001</v>
      </c>
    </row>
    <row r="2830" spans="1:3" x14ac:dyDescent="0.2">
      <c r="A2830" s="1">
        <v>32081</v>
      </c>
      <c r="B2830" s="1" t="str">
        <v>2020-11-06</v>
      </c>
      <c r="C2830" s="1">
        <v>3.5897999999999999</v>
      </c>
    </row>
    <row r="2831" spans="1:3" x14ac:dyDescent="0.2">
      <c r="A2831" s="1">
        <v>33123</v>
      </c>
      <c r="B2831" s="1" t="str">
        <v>2020-11-06</v>
      </c>
      <c r="C2831" s="1">
        <v>3.4457</v>
      </c>
    </row>
    <row r="2832" spans="1:3" x14ac:dyDescent="0.2">
      <c r="A2832" s="1">
        <v>187</v>
      </c>
      <c r="B2832" s="1" t="str">
        <v>2020-11-06</v>
      </c>
      <c r="C2832" s="1">
        <v>3.6720999999999999</v>
      </c>
    </row>
    <row r="2833" spans="1:3" x14ac:dyDescent="0.2">
      <c r="A2833" s="1">
        <v>30250</v>
      </c>
      <c r="B2833" s="1" t="str">
        <v>2020-11-06</v>
      </c>
      <c r="C2833" s="1">
        <v>3.456</v>
      </c>
    </row>
    <row r="2834" spans="1:3" x14ac:dyDescent="0.2">
      <c r="A2834" s="1">
        <v>32040</v>
      </c>
      <c r="B2834" s="1" t="str">
        <v>2020-11-06</v>
      </c>
      <c r="C2834" s="1">
        <v>3.4354</v>
      </c>
    </row>
    <row r="2835" spans="1:3" x14ac:dyDescent="0.2">
      <c r="A2835" s="1">
        <v>101</v>
      </c>
      <c r="B2835" s="1" t="str">
        <v>2020-11-06</v>
      </c>
      <c r="C2835" s="1">
        <v>3.3635000000000002</v>
      </c>
    </row>
    <row r="2836" spans="1:3" x14ac:dyDescent="0.2">
      <c r="A2836" s="1">
        <v>81</v>
      </c>
      <c r="B2836" s="1" t="str">
        <v>2020-11-06</v>
      </c>
      <c r="C2836" s="1">
        <v>3.0348000000000002</v>
      </c>
    </row>
    <row r="2837" spans="1:3" x14ac:dyDescent="0.2">
      <c r="A2837" s="1">
        <v>32724</v>
      </c>
      <c r="B2837" s="1" t="str">
        <v>2020-11-06</v>
      </c>
      <c r="C2837" s="1">
        <v>3.2709999999999999</v>
      </c>
    </row>
    <row r="2838" spans="1:3" x14ac:dyDescent="0.2">
      <c r="A2838" s="1">
        <v>49</v>
      </c>
      <c r="B2838" s="1" t="str">
        <v>2020-11-06</v>
      </c>
      <c r="C2838" s="1">
        <v>3.2812000000000001</v>
      </c>
    </row>
    <row r="2839" spans="1:3" x14ac:dyDescent="0.2">
      <c r="A2839" s="1">
        <v>10</v>
      </c>
      <c r="B2839" s="1" t="str">
        <v>2020-11-09</v>
      </c>
      <c r="C2839" s="1">
        <v>3.4148999999999998</v>
      </c>
    </row>
    <row r="2840" spans="1:3" x14ac:dyDescent="0.2">
      <c r="A2840" s="1">
        <v>33224</v>
      </c>
      <c r="B2840" s="1" t="str">
        <v>2020-11-09</v>
      </c>
      <c r="C2840" s="1">
        <v>3.5897999999999999</v>
      </c>
    </row>
    <row r="2841" spans="1:3" x14ac:dyDescent="0.2">
      <c r="A2841" s="1">
        <v>24250</v>
      </c>
      <c r="B2841" s="1" t="str">
        <v>2020-11-09</v>
      </c>
      <c r="C2841" s="1">
        <v>3.2915999999999999</v>
      </c>
    </row>
    <row r="2842" spans="1:3" x14ac:dyDescent="0.2">
      <c r="A2842" s="1">
        <v>33023</v>
      </c>
      <c r="B2842" s="1" t="str">
        <v>2020-11-09</v>
      </c>
      <c r="C2842" s="1">
        <v>3.3429000000000002</v>
      </c>
    </row>
    <row r="2843" spans="1:3" x14ac:dyDescent="0.2">
      <c r="A2843" s="1">
        <v>34</v>
      </c>
      <c r="B2843" s="1" t="str">
        <v>2020-11-09</v>
      </c>
      <c r="C2843" s="1">
        <v>3.3429000000000002</v>
      </c>
    </row>
    <row r="2844" spans="1:3" x14ac:dyDescent="0.2">
      <c r="A2844" s="1">
        <v>32440</v>
      </c>
      <c r="B2844" s="1" t="str">
        <v>2020-11-09</v>
      </c>
      <c r="C2844" s="1">
        <v>3.1476999999999999</v>
      </c>
    </row>
    <row r="2845" spans="1:3" x14ac:dyDescent="0.2">
      <c r="A2845" s="1">
        <v>8</v>
      </c>
      <c r="B2845" s="1" t="str">
        <v>2020-11-09</v>
      </c>
      <c r="C2845" s="1">
        <v>3.1579000000000002</v>
      </c>
    </row>
    <row r="2846" spans="1:3" x14ac:dyDescent="0.2">
      <c r="A2846" s="1">
        <v>157</v>
      </c>
      <c r="B2846" s="1" t="str">
        <v>2020-11-09</v>
      </c>
      <c r="C2846" s="1">
        <v>3.3942999999999999</v>
      </c>
    </row>
    <row r="2847" spans="1:3" x14ac:dyDescent="0.2">
      <c r="A2847" s="1">
        <v>33143</v>
      </c>
      <c r="B2847" s="1" t="str">
        <v>2020-11-09</v>
      </c>
      <c r="C2847" s="1">
        <v>3.3</v>
      </c>
    </row>
    <row r="2848" spans="1:3" x14ac:dyDescent="0.2">
      <c r="A2848" s="1">
        <v>178</v>
      </c>
      <c r="B2848" s="1" t="str">
        <v>2020-11-09</v>
      </c>
      <c r="C2848" s="1">
        <v>3.2119</v>
      </c>
    </row>
    <row r="2849" spans="1:3" x14ac:dyDescent="0.2">
      <c r="A2849" s="1">
        <v>32480</v>
      </c>
      <c r="B2849" s="1" t="str">
        <v>2020-11-09</v>
      </c>
      <c r="C2849" s="1">
        <v>3.4043000000000001</v>
      </c>
    </row>
    <row r="2850" spans="1:3" x14ac:dyDescent="0.2">
      <c r="A2850" s="1">
        <v>1</v>
      </c>
      <c r="B2850" s="1" t="str">
        <v>2020-11-10</v>
      </c>
      <c r="C2850" s="1">
        <v>3.2915000000000001</v>
      </c>
    </row>
    <row r="2851" spans="1:3" x14ac:dyDescent="0.2">
      <c r="A2851" s="1">
        <v>32360</v>
      </c>
      <c r="B2851" s="1" t="str">
        <v>2020-11-10</v>
      </c>
      <c r="C2851" s="1">
        <v>3.4457</v>
      </c>
    </row>
    <row r="2852" spans="1:3" x14ac:dyDescent="0.2">
      <c r="A2852" s="1">
        <v>156</v>
      </c>
      <c r="B2852" s="1" t="str">
        <v>2020-11-10</v>
      </c>
      <c r="C2852" s="1">
        <v>3.1375000000000002</v>
      </c>
    </row>
    <row r="2853" spans="1:3" x14ac:dyDescent="0.2">
      <c r="A2853" s="1">
        <v>32420</v>
      </c>
      <c r="B2853" s="1" t="str">
        <v>2020-11-10</v>
      </c>
      <c r="C2853" s="1">
        <v>3.4188000000000001</v>
      </c>
    </row>
    <row r="2854" spans="1:3" x14ac:dyDescent="0.2">
      <c r="A2854" s="1">
        <v>182</v>
      </c>
      <c r="B2854" s="1" t="str">
        <v>2020-11-11</v>
      </c>
      <c r="C2854" s="1">
        <v>3.2402000000000002</v>
      </c>
    </row>
    <row r="2855" spans="1:3" x14ac:dyDescent="0.2">
      <c r="A2855" s="1">
        <v>77</v>
      </c>
      <c r="B2855" s="1" t="str">
        <v>2020-11-11</v>
      </c>
      <c r="C2855" s="1">
        <v>3.4045999999999998</v>
      </c>
    </row>
    <row r="2856" spans="1:3" x14ac:dyDescent="0.2">
      <c r="A2856" s="1">
        <v>94</v>
      </c>
      <c r="B2856" s="1" t="str">
        <v>2020-11-12</v>
      </c>
      <c r="C2856" s="1">
        <v>3</v>
      </c>
    </row>
    <row r="2857" spans="1:3" x14ac:dyDescent="0.2">
      <c r="A2857" s="1">
        <v>139</v>
      </c>
      <c r="B2857" s="1" t="str">
        <v>2020-11-12</v>
      </c>
      <c r="C2857" s="1">
        <v>3.4971999999999999</v>
      </c>
    </row>
    <row r="2858" spans="1:3" x14ac:dyDescent="0.2">
      <c r="A2858" s="1">
        <v>150</v>
      </c>
      <c r="B2858" s="1" t="str">
        <v>2020-11-12</v>
      </c>
      <c r="C2858" s="1">
        <v>3.1072000000000002</v>
      </c>
    </row>
    <row r="2859" spans="1:3" x14ac:dyDescent="0.2">
      <c r="A2859" s="1">
        <v>1</v>
      </c>
      <c r="B2859" s="1" t="str">
        <v>2020-11-12</v>
      </c>
      <c r="C2859" s="1">
        <v>3.3944000000000001</v>
      </c>
    </row>
    <row r="2860" spans="1:3" x14ac:dyDescent="0.2">
      <c r="A2860" s="1">
        <v>16</v>
      </c>
      <c r="B2860" s="1" t="str">
        <v>2020-11-12</v>
      </c>
      <c r="C2860" s="1">
        <v>3.4146999999999998</v>
      </c>
    </row>
    <row r="2861" spans="1:3" x14ac:dyDescent="0.2">
      <c r="A2861" s="1">
        <v>32180</v>
      </c>
      <c r="B2861" s="1" t="str">
        <v>2020-11-13</v>
      </c>
      <c r="C2861" s="1">
        <v>3.7172999999999998</v>
      </c>
    </row>
    <row r="2862" spans="1:3" x14ac:dyDescent="0.2">
      <c r="A2862" s="1">
        <v>32260</v>
      </c>
      <c r="B2862" s="1" t="str">
        <v>2020-11-13</v>
      </c>
      <c r="C2862" s="1">
        <v>3.4045000000000001</v>
      </c>
    </row>
    <row r="2863" spans="1:3" x14ac:dyDescent="0.2">
      <c r="A2863" s="1">
        <v>187</v>
      </c>
      <c r="B2863" s="1" t="str">
        <v>2020-11-13</v>
      </c>
      <c r="C2863" s="1">
        <v>3.6720999999999999</v>
      </c>
    </row>
    <row r="2864" spans="1:3" x14ac:dyDescent="0.2">
      <c r="A2864" s="1">
        <v>177</v>
      </c>
      <c r="B2864" s="1" t="str">
        <v>2020-11-13</v>
      </c>
      <c r="C2864" s="1">
        <v>3.2608000000000001</v>
      </c>
    </row>
    <row r="2865" spans="1:3" x14ac:dyDescent="0.2">
      <c r="A2865" s="1">
        <v>150</v>
      </c>
      <c r="B2865" s="1" t="str">
        <v>2020-11-13</v>
      </c>
      <c r="C2865" s="1">
        <v>3.3128000000000002</v>
      </c>
    </row>
    <row r="2866" spans="1:3" x14ac:dyDescent="0.2">
      <c r="A2866" s="1">
        <v>32380</v>
      </c>
      <c r="B2866" s="1" t="str">
        <v>2020-11-13</v>
      </c>
      <c r="C2866" s="1">
        <v>3.3327</v>
      </c>
    </row>
    <row r="2867" spans="1:3" x14ac:dyDescent="0.2">
      <c r="A2867" s="1">
        <v>32724</v>
      </c>
      <c r="B2867" s="1" t="str">
        <v>2020-11-13</v>
      </c>
      <c r="C2867" s="1">
        <v>3.3532000000000002</v>
      </c>
    </row>
    <row r="2868" spans="1:3" x14ac:dyDescent="0.2">
      <c r="A2868" s="1">
        <v>109</v>
      </c>
      <c r="B2868" s="1" t="str">
        <v>2020-11-13</v>
      </c>
      <c r="C2868" s="1">
        <v>3.1682999999999999</v>
      </c>
    </row>
    <row r="2869" spans="1:3" x14ac:dyDescent="0.2">
      <c r="A2869" s="1">
        <v>33103</v>
      </c>
      <c r="B2869" s="1" t="str">
        <v>2020-11-13</v>
      </c>
      <c r="C2869" s="1">
        <v>3.3877999999999999</v>
      </c>
    </row>
    <row r="2870" spans="1:3" x14ac:dyDescent="0.2">
      <c r="A2870" s="1">
        <v>68</v>
      </c>
      <c r="B2870" s="1" t="str">
        <v>2020-11-13</v>
      </c>
      <c r="C2870" s="1">
        <v>3.5794999999999999</v>
      </c>
    </row>
    <row r="2871" spans="1:3" x14ac:dyDescent="0.2">
      <c r="A2871" s="1">
        <v>32963</v>
      </c>
      <c r="B2871" s="1" t="str">
        <v>2020-11-13</v>
      </c>
      <c r="C2871" s="1">
        <v>3.2298</v>
      </c>
    </row>
    <row r="2872" spans="1:3" x14ac:dyDescent="0.2">
      <c r="A2872" s="1">
        <v>181</v>
      </c>
      <c r="B2872" s="1" t="str">
        <v>2020-11-13</v>
      </c>
      <c r="C2872" s="1">
        <v>3.3944000000000001</v>
      </c>
    </row>
    <row r="2873" spans="1:3" x14ac:dyDescent="0.2">
      <c r="A2873" s="1">
        <v>33203</v>
      </c>
      <c r="B2873" s="1" t="str">
        <v>2020-11-13</v>
      </c>
      <c r="C2873" s="1">
        <v>3.4519000000000002</v>
      </c>
    </row>
    <row r="2874" spans="1:3" x14ac:dyDescent="0.2">
      <c r="A2874" s="1">
        <v>81</v>
      </c>
      <c r="B2874" s="1" t="str">
        <v>2020-11-13</v>
      </c>
      <c r="C2874" s="1">
        <v>3.0348000000000002</v>
      </c>
    </row>
    <row r="2875" spans="1:3" x14ac:dyDescent="0.2">
      <c r="A2875" s="1">
        <v>10</v>
      </c>
      <c r="B2875" s="1" t="str">
        <v>2020-11-13</v>
      </c>
      <c r="C2875" s="1">
        <v>3.5589</v>
      </c>
    </row>
    <row r="2876" spans="1:3" x14ac:dyDescent="0.2">
      <c r="A2876" s="1">
        <v>161</v>
      </c>
      <c r="B2876" s="1" t="str">
        <v>2020-11-13</v>
      </c>
      <c r="C2876" s="1">
        <v>3.4458000000000002</v>
      </c>
    </row>
    <row r="2877" spans="1:3" x14ac:dyDescent="0.2">
      <c r="A2877" s="1">
        <v>2250</v>
      </c>
      <c r="B2877" s="1" t="str">
        <v>2020-11-13</v>
      </c>
      <c r="C2877" s="1">
        <v>3.6206</v>
      </c>
    </row>
    <row r="2878" spans="1:3" x14ac:dyDescent="0.2">
      <c r="A2878" s="1">
        <v>139</v>
      </c>
      <c r="B2878" s="1" t="str">
        <v>2020-11-13</v>
      </c>
      <c r="C2878" s="1">
        <v>3.4971999999999999</v>
      </c>
    </row>
    <row r="2879" spans="1:3" x14ac:dyDescent="0.2">
      <c r="A2879" s="1">
        <v>101</v>
      </c>
      <c r="B2879" s="1" t="str">
        <v>2020-11-13</v>
      </c>
      <c r="C2879" s="1">
        <v>3.4148999999999998</v>
      </c>
    </row>
    <row r="2880" spans="1:3" x14ac:dyDescent="0.2">
      <c r="A2880" s="1">
        <v>32040</v>
      </c>
      <c r="B2880" s="1" t="str">
        <v>2020-11-13</v>
      </c>
      <c r="C2880" s="1">
        <v>3.6307</v>
      </c>
    </row>
    <row r="2881" spans="1:3" x14ac:dyDescent="0.2">
      <c r="A2881" s="1">
        <v>133</v>
      </c>
      <c r="B2881" s="1" t="str">
        <v>2020-11-16</v>
      </c>
      <c r="C2881" s="1">
        <v>3.3532000000000002</v>
      </c>
    </row>
    <row r="2882" spans="1:3" x14ac:dyDescent="0.2">
      <c r="A2882" s="1">
        <v>32401</v>
      </c>
      <c r="B2882" s="1" t="str">
        <v>2020-11-16</v>
      </c>
      <c r="C2882" s="1">
        <v>3.1888000000000001</v>
      </c>
    </row>
    <row r="2883" spans="1:3" x14ac:dyDescent="0.2">
      <c r="A2883" s="1">
        <v>32222</v>
      </c>
      <c r="B2883" s="1" t="str">
        <v>2020-11-16</v>
      </c>
      <c r="C2883" s="1">
        <v>3.5691000000000002</v>
      </c>
    </row>
    <row r="2884" spans="1:3" x14ac:dyDescent="0.2">
      <c r="A2884" s="1">
        <v>34</v>
      </c>
      <c r="B2884" s="1" t="str">
        <v>2020-11-16</v>
      </c>
      <c r="C2884" s="1">
        <v>3.4457</v>
      </c>
    </row>
    <row r="2885" spans="1:3" x14ac:dyDescent="0.2">
      <c r="A2885" s="1">
        <v>153</v>
      </c>
      <c r="B2885" s="1" t="str">
        <v>2020-11-16</v>
      </c>
      <c r="C2885" s="1">
        <v>3.2915999999999999</v>
      </c>
    </row>
    <row r="2886" spans="1:3" x14ac:dyDescent="0.2">
      <c r="A2886" s="1">
        <v>33130</v>
      </c>
      <c r="B2886" s="1" t="str">
        <v>2020-11-16</v>
      </c>
      <c r="C2886" s="1">
        <v>3.5381999999999998</v>
      </c>
    </row>
    <row r="2887" spans="1:3" x14ac:dyDescent="0.2">
      <c r="A2887" s="1">
        <v>182</v>
      </c>
      <c r="B2887" s="1" t="str">
        <v>2020-11-16</v>
      </c>
      <c r="C2887" s="1">
        <v>3.5792999999999999</v>
      </c>
    </row>
    <row r="2888" spans="1:3" x14ac:dyDescent="0.2">
      <c r="A2888" s="1">
        <v>178</v>
      </c>
      <c r="B2888" s="1" t="str">
        <v>2020-11-16</v>
      </c>
      <c r="C2888" s="1">
        <v>3.5516000000000001</v>
      </c>
    </row>
    <row r="2889" spans="1:3" x14ac:dyDescent="0.2">
      <c r="A2889" s="1">
        <v>32421</v>
      </c>
      <c r="B2889" s="1" t="str">
        <v>2020-11-16</v>
      </c>
      <c r="C2889" s="1">
        <v>3.3771</v>
      </c>
    </row>
    <row r="2890" spans="1:3" x14ac:dyDescent="0.2">
      <c r="A2890" s="1">
        <v>53</v>
      </c>
      <c r="B2890" s="1" t="str">
        <v>2020-11-17</v>
      </c>
      <c r="C2890" s="1">
        <v>3.5383</v>
      </c>
    </row>
    <row r="2891" spans="1:3" x14ac:dyDescent="0.2">
      <c r="A2891" s="1">
        <v>99</v>
      </c>
      <c r="B2891" s="1" t="str">
        <v>2020-11-17</v>
      </c>
      <c r="C2891" s="1">
        <v>3.0859000000000001</v>
      </c>
    </row>
    <row r="2892" spans="1:3" x14ac:dyDescent="0.2">
      <c r="A2892" s="1">
        <v>143</v>
      </c>
      <c r="B2892" s="1" t="str">
        <v>2020-11-17</v>
      </c>
      <c r="C2892" s="1">
        <v>3.6412</v>
      </c>
    </row>
    <row r="2893" spans="1:3" x14ac:dyDescent="0.2">
      <c r="A2893" s="1">
        <v>32081</v>
      </c>
      <c r="B2893" s="1" t="str">
        <v>2020-11-17</v>
      </c>
      <c r="C2893" s="1">
        <v>3.5691999999999999</v>
      </c>
    </row>
    <row r="2894" spans="1:3" x14ac:dyDescent="0.2">
      <c r="A2894" s="1">
        <v>32260</v>
      </c>
      <c r="B2894" s="1" t="str">
        <v>2020-11-17</v>
      </c>
      <c r="C2894" s="1">
        <v>3.5177</v>
      </c>
    </row>
    <row r="2895" spans="1:3" x14ac:dyDescent="0.2">
      <c r="A2895" s="1">
        <v>32643</v>
      </c>
      <c r="B2895" s="1" t="str">
        <v>2020-11-17</v>
      </c>
      <c r="C2895" s="1">
        <v>3.3121</v>
      </c>
    </row>
    <row r="2896" spans="1:3" x14ac:dyDescent="0.2">
      <c r="A2896" s="1">
        <v>67</v>
      </c>
      <c r="B2896" s="1" t="str">
        <v>2020-11-17</v>
      </c>
      <c r="C2896" s="1">
        <v>3.5177</v>
      </c>
    </row>
    <row r="2897" spans="1:3" x14ac:dyDescent="0.2">
      <c r="A2897" s="1">
        <v>8</v>
      </c>
      <c r="B2897" s="1" t="str">
        <v>2020-11-18</v>
      </c>
      <c r="C2897" s="1">
        <v>3.3018000000000001</v>
      </c>
    </row>
    <row r="2898" spans="1:3" x14ac:dyDescent="0.2">
      <c r="A2898" s="1">
        <v>181</v>
      </c>
      <c r="B2898" s="1" t="str">
        <v>2020-11-18</v>
      </c>
      <c r="C2898" s="1">
        <v>3.6309</v>
      </c>
    </row>
    <row r="2899" spans="1:3" x14ac:dyDescent="0.2">
      <c r="A2899" s="1">
        <v>102</v>
      </c>
      <c r="B2899" s="1" t="str">
        <v>2020-11-18</v>
      </c>
      <c r="C2899" s="1">
        <v>3.5589</v>
      </c>
    </row>
    <row r="2900" spans="1:3" x14ac:dyDescent="0.2">
      <c r="A2900" s="1">
        <v>32863</v>
      </c>
      <c r="B2900" s="1" t="str">
        <v>2020-11-18</v>
      </c>
      <c r="C2900" s="1">
        <v>3.6926000000000001</v>
      </c>
    </row>
    <row r="2901" spans="1:3" x14ac:dyDescent="0.2">
      <c r="A2901" s="1">
        <v>34</v>
      </c>
      <c r="B2901" s="1" t="str">
        <v>2020-11-19</v>
      </c>
      <c r="C2901" s="1">
        <v>3.4457</v>
      </c>
    </row>
    <row r="2902" spans="1:3" x14ac:dyDescent="0.2">
      <c r="A2902" s="1">
        <v>33224</v>
      </c>
      <c r="B2902" s="1" t="str">
        <v>2020-11-19</v>
      </c>
      <c r="C2902" s="1">
        <v>3.6617999999999999</v>
      </c>
    </row>
    <row r="2903" spans="1:3" x14ac:dyDescent="0.2">
      <c r="A2903" s="1">
        <v>32863</v>
      </c>
      <c r="B2903" s="1" t="str">
        <v>2020-11-19</v>
      </c>
      <c r="C2903" s="1">
        <v>3.6206</v>
      </c>
    </row>
    <row r="2904" spans="1:3" x14ac:dyDescent="0.2">
      <c r="A2904" s="1">
        <v>150</v>
      </c>
      <c r="B2904" s="1" t="str">
        <v>2020-11-19</v>
      </c>
      <c r="C2904" s="1">
        <v>3.4032</v>
      </c>
    </row>
    <row r="2905" spans="1:3" x14ac:dyDescent="0.2">
      <c r="A2905" s="1">
        <v>83</v>
      </c>
      <c r="B2905" s="1" t="str">
        <v>2020-11-19</v>
      </c>
      <c r="C2905" s="1">
        <v>3.2915000000000001</v>
      </c>
    </row>
    <row r="2906" spans="1:3" x14ac:dyDescent="0.2">
      <c r="A2906" s="1">
        <v>72</v>
      </c>
      <c r="B2906" s="1" t="str">
        <v>2020-11-19</v>
      </c>
      <c r="C2906" s="1">
        <v>3.5486</v>
      </c>
    </row>
    <row r="2907" spans="1:3" x14ac:dyDescent="0.2">
      <c r="A2907" s="1">
        <v>136</v>
      </c>
      <c r="B2907" s="1" t="str">
        <v>2020-11-19</v>
      </c>
      <c r="C2907" s="1">
        <v>3.6103999999999998</v>
      </c>
    </row>
    <row r="2908" spans="1:3" x14ac:dyDescent="0.2">
      <c r="A2908" s="1">
        <v>33125</v>
      </c>
      <c r="B2908" s="1" t="str">
        <v>2020-11-19</v>
      </c>
      <c r="C2908" s="1">
        <v>3.5383</v>
      </c>
    </row>
    <row r="2909" spans="1:3" x14ac:dyDescent="0.2">
      <c r="A2909" s="1">
        <v>32963</v>
      </c>
      <c r="B2909" s="1" t="str">
        <v>2020-11-19</v>
      </c>
      <c r="C2909" s="1">
        <v>3.3018000000000001</v>
      </c>
    </row>
    <row r="2910" spans="1:3" x14ac:dyDescent="0.2">
      <c r="A2910" s="1">
        <v>67</v>
      </c>
      <c r="B2910" s="1" t="str">
        <v>2020-11-19</v>
      </c>
      <c r="C2910" s="1">
        <v>3.5383</v>
      </c>
    </row>
    <row r="2911" spans="1:3" x14ac:dyDescent="0.2">
      <c r="A2911" s="1">
        <v>30300</v>
      </c>
      <c r="B2911" s="1" t="str">
        <v>2020-11-19</v>
      </c>
      <c r="C2911" s="1">
        <v>3.4971999999999999</v>
      </c>
    </row>
    <row r="2912" spans="1:3" x14ac:dyDescent="0.2">
      <c r="A2912" s="1">
        <v>250</v>
      </c>
      <c r="B2912" s="1" t="str">
        <v>2020-11-19</v>
      </c>
      <c r="C2912" s="1">
        <v>3.4148999999999998</v>
      </c>
    </row>
    <row r="2913" spans="1:3" x14ac:dyDescent="0.2">
      <c r="A2913" s="1">
        <v>90</v>
      </c>
      <c r="B2913" s="1" t="str">
        <v>2020-11-19</v>
      </c>
      <c r="C2913" s="1">
        <v>3.4765000000000001</v>
      </c>
    </row>
    <row r="2914" spans="1:3" x14ac:dyDescent="0.2">
      <c r="A2914" s="1">
        <v>32401</v>
      </c>
      <c r="B2914" s="1" t="str">
        <v>2020-11-19</v>
      </c>
      <c r="C2914" s="1">
        <v>3.1888000000000001</v>
      </c>
    </row>
    <row r="2915" spans="1:3" x14ac:dyDescent="0.2">
      <c r="A2915" s="1">
        <v>32783</v>
      </c>
      <c r="B2915" s="1" t="str">
        <v>2020-11-19</v>
      </c>
      <c r="C2915" s="1">
        <v>3.5794999999999999</v>
      </c>
    </row>
    <row r="2916" spans="1:3" x14ac:dyDescent="0.2">
      <c r="A2916" s="1">
        <v>32923</v>
      </c>
      <c r="B2916" s="1" t="str">
        <v>2020-11-19</v>
      </c>
      <c r="C2916" s="1">
        <v>3.4354</v>
      </c>
    </row>
    <row r="2917" spans="1:3" x14ac:dyDescent="0.2">
      <c r="A2917" s="1">
        <v>32603</v>
      </c>
      <c r="B2917" s="1" t="str">
        <v>2020-11-19</v>
      </c>
      <c r="C2917" s="1">
        <v>3.2606999999999999</v>
      </c>
    </row>
    <row r="2918" spans="1:3" x14ac:dyDescent="0.2">
      <c r="A2918" s="1">
        <v>176</v>
      </c>
      <c r="B2918" s="1" t="str">
        <v>2020-11-19</v>
      </c>
      <c r="C2918" s="1">
        <v>3.3121</v>
      </c>
    </row>
    <row r="2919" spans="1:3" x14ac:dyDescent="0.2">
      <c r="A2919" s="1">
        <v>49</v>
      </c>
      <c r="B2919" s="1" t="str">
        <v>2020-11-19</v>
      </c>
      <c r="C2919" s="1">
        <v>3.5486</v>
      </c>
    </row>
    <row r="2920" spans="1:3" x14ac:dyDescent="0.2">
      <c r="A2920" s="1">
        <v>94</v>
      </c>
      <c r="B2920" s="1" t="str">
        <v>2020-11-19</v>
      </c>
      <c r="C2920" s="1">
        <v>3.5</v>
      </c>
    </row>
    <row r="2921" spans="1:3" x14ac:dyDescent="0.2">
      <c r="A2921" s="1">
        <v>32963</v>
      </c>
      <c r="B2921" s="1" t="str">
        <v>2020-11-20</v>
      </c>
      <c r="C2921" s="1">
        <v>3.3121</v>
      </c>
    </row>
    <row r="2922" spans="1:3" x14ac:dyDescent="0.2">
      <c r="A2922" s="1">
        <v>32360</v>
      </c>
      <c r="B2922" s="1" t="str">
        <v>2020-11-20</v>
      </c>
      <c r="C2922" s="1">
        <v>3.4971999999999999</v>
      </c>
    </row>
    <row r="2923" spans="1:3" x14ac:dyDescent="0.2">
      <c r="A2923" s="1">
        <v>139</v>
      </c>
      <c r="B2923" s="1" t="str">
        <v>2020-11-20</v>
      </c>
      <c r="C2923" s="1">
        <v>3.5794999999999999</v>
      </c>
    </row>
    <row r="2924" spans="1:3" x14ac:dyDescent="0.2">
      <c r="A2924" s="1">
        <v>49</v>
      </c>
      <c r="B2924" s="1" t="str">
        <v>2020-11-20</v>
      </c>
      <c r="C2924" s="1">
        <v>3.5486</v>
      </c>
    </row>
    <row r="2925" spans="1:3" x14ac:dyDescent="0.2">
      <c r="A2925" s="1">
        <v>32081</v>
      </c>
      <c r="B2925" s="1" t="str">
        <v>2020-11-20</v>
      </c>
      <c r="C2925" s="1">
        <v>3.6412</v>
      </c>
    </row>
    <row r="2926" spans="1:3" x14ac:dyDescent="0.2">
      <c r="A2926" s="1">
        <v>33003</v>
      </c>
      <c r="B2926" s="1" t="str">
        <v>2020-11-20</v>
      </c>
      <c r="C2926" s="1">
        <v>3.5484</v>
      </c>
    </row>
    <row r="2927" spans="1:3" x14ac:dyDescent="0.2">
      <c r="A2927" s="1">
        <v>191</v>
      </c>
      <c r="B2927" s="1" t="str">
        <v>2020-11-20</v>
      </c>
      <c r="C2927" s="1">
        <v>3.4148999999999998</v>
      </c>
    </row>
    <row r="2928" spans="1:3" x14ac:dyDescent="0.2">
      <c r="A2928" s="1">
        <v>115</v>
      </c>
      <c r="B2928" s="1" t="str">
        <v>2020-11-20</v>
      </c>
      <c r="C2928" s="1">
        <v>3.4045999999999998</v>
      </c>
    </row>
    <row r="2929" spans="1:3" x14ac:dyDescent="0.2">
      <c r="A2929" s="1">
        <v>161</v>
      </c>
      <c r="B2929" s="1" t="str">
        <v>2020-11-20</v>
      </c>
      <c r="C2929" s="1">
        <v>3.5486</v>
      </c>
    </row>
    <row r="2930" spans="1:3" x14ac:dyDescent="0.2">
      <c r="A2930" s="1">
        <v>20</v>
      </c>
      <c r="B2930" s="1" t="str">
        <v>2020-11-20</v>
      </c>
      <c r="C2930" s="1">
        <v>3.4457</v>
      </c>
    </row>
    <row r="2931" spans="1:3" x14ac:dyDescent="0.2">
      <c r="A2931" s="1">
        <v>32260</v>
      </c>
      <c r="B2931" s="1" t="str">
        <v>2020-11-20</v>
      </c>
      <c r="C2931" s="1">
        <v>3.4868000000000001</v>
      </c>
    </row>
    <row r="2932" spans="1:3" x14ac:dyDescent="0.2">
      <c r="A2932" s="1">
        <v>32121</v>
      </c>
      <c r="B2932" s="1" t="str">
        <v>2020-11-20</v>
      </c>
      <c r="C2932" s="1">
        <v>3.8778000000000001</v>
      </c>
    </row>
    <row r="2933" spans="1:3" x14ac:dyDescent="0.2">
      <c r="A2933" s="1">
        <v>136</v>
      </c>
      <c r="B2933" s="1" t="str">
        <v>2020-11-20</v>
      </c>
      <c r="C2933" s="1">
        <v>3.6103999999999998</v>
      </c>
    </row>
    <row r="2934" spans="1:3" x14ac:dyDescent="0.2">
      <c r="A2934" s="1">
        <v>31</v>
      </c>
      <c r="B2934" s="1" t="str">
        <v>2020-11-20</v>
      </c>
      <c r="C2934" s="1">
        <v>3.5383</v>
      </c>
    </row>
    <row r="2935" spans="1:3" x14ac:dyDescent="0.2">
      <c r="A2935" s="1">
        <v>81</v>
      </c>
      <c r="B2935" s="1" t="str">
        <v>2020-11-20</v>
      </c>
      <c r="C2935" s="1">
        <v>3.2709999999999999</v>
      </c>
    </row>
    <row r="2936" spans="1:3" x14ac:dyDescent="0.2">
      <c r="A2936" s="1">
        <v>1</v>
      </c>
      <c r="B2936" s="1" t="str">
        <v>2020-11-20</v>
      </c>
      <c r="C2936" s="1">
        <v>3.4355000000000002</v>
      </c>
    </row>
    <row r="2937" spans="1:3" x14ac:dyDescent="0.2">
      <c r="A2937" s="1">
        <v>28</v>
      </c>
      <c r="B2937" s="1" t="str">
        <v>2020-11-20</v>
      </c>
      <c r="C2937" s="1">
        <v>3.3429000000000002</v>
      </c>
    </row>
    <row r="2938" spans="1:3" x14ac:dyDescent="0.2">
      <c r="A2938" s="1">
        <v>24</v>
      </c>
      <c r="B2938" s="1" t="str">
        <v>2020-11-20</v>
      </c>
      <c r="C2938" s="1">
        <v>3.5383</v>
      </c>
    </row>
    <row r="2939" spans="1:3" x14ac:dyDescent="0.2">
      <c r="A2939" s="1">
        <v>33224</v>
      </c>
      <c r="B2939" s="1" t="str">
        <v>2020-11-20</v>
      </c>
      <c r="C2939" s="1">
        <v>3.6720999999999999</v>
      </c>
    </row>
    <row r="2940" spans="1:3" x14ac:dyDescent="0.2">
      <c r="A2940" s="1">
        <v>30250</v>
      </c>
      <c r="B2940" s="1" t="str">
        <v>2020-11-20</v>
      </c>
      <c r="C2940" s="1">
        <v>3.6617999999999999</v>
      </c>
    </row>
    <row r="2941" spans="1:3" x14ac:dyDescent="0.2">
      <c r="A2941" s="1">
        <v>32502</v>
      </c>
      <c r="B2941" s="1" t="str">
        <v>2020-11-20</v>
      </c>
      <c r="C2941" s="1">
        <v>3.528</v>
      </c>
    </row>
    <row r="2942" spans="1:3" x14ac:dyDescent="0.2">
      <c r="A2942" s="1">
        <v>13250</v>
      </c>
      <c r="B2942" s="1" t="str">
        <v>2020-11-20</v>
      </c>
      <c r="C2942" s="1">
        <v>3.2812999999999999</v>
      </c>
    </row>
    <row r="2943" spans="1:3" x14ac:dyDescent="0.2">
      <c r="A2943" s="1">
        <v>187</v>
      </c>
      <c r="B2943" s="1" t="str">
        <v>2020-11-20</v>
      </c>
      <c r="C2943" s="1">
        <v>3.7544</v>
      </c>
    </row>
    <row r="2944" spans="1:3" x14ac:dyDescent="0.2">
      <c r="A2944" s="1">
        <v>55</v>
      </c>
      <c r="B2944" s="1" t="str">
        <v>2020-11-20</v>
      </c>
      <c r="C2944" s="1">
        <v>3.528</v>
      </c>
    </row>
    <row r="2945" spans="1:3" x14ac:dyDescent="0.2">
      <c r="A2945" s="1">
        <v>32501</v>
      </c>
      <c r="B2945" s="1" t="str">
        <v>2020-11-20</v>
      </c>
      <c r="C2945" s="1">
        <v>3.5794000000000001</v>
      </c>
    </row>
    <row r="2946" spans="1:3" x14ac:dyDescent="0.2">
      <c r="A2946" s="1">
        <v>10</v>
      </c>
      <c r="B2946" s="1" t="str">
        <v>2020-11-20</v>
      </c>
      <c r="C2946" s="1">
        <v>3.5794999999999999</v>
      </c>
    </row>
    <row r="2947" spans="1:3" x14ac:dyDescent="0.2">
      <c r="A2947" s="1">
        <v>68</v>
      </c>
      <c r="B2947" s="1" t="str">
        <v>2020-11-20</v>
      </c>
      <c r="C2947" s="1">
        <v>3.5794999999999999</v>
      </c>
    </row>
    <row r="2948" spans="1:3" x14ac:dyDescent="0.2">
      <c r="A2948" s="1">
        <v>9250</v>
      </c>
      <c r="B2948" s="1" t="str">
        <v>2020-11-20</v>
      </c>
      <c r="C2948" s="1">
        <v>3.528</v>
      </c>
    </row>
    <row r="2949" spans="1:3" x14ac:dyDescent="0.2">
      <c r="A2949" s="1">
        <v>102</v>
      </c>
      <c r="B2949" s="1" t="str">
        <v>2020-11-20</v>
      </c>
      <c r="C2949" s="1">
        <v>3.5691999999999999</v>
      </c>
    </row>
    <row r="2950" spans="1:3" x14ac:dyDescent="0.2">
      <c r="A2950" s="1">
        <v>37</v>
      </c>
      <c r="B2950" s="1" t="str">
        <v>2020-11-20</v>
      </c>
      <c r="C2950" s="1">
        <v>3.4971000000000001</v>
      </c>
    </row>
    <row r="2951" spans="1:3" x14ac:dyDescent="0.2">
      <c r="A2951" s="1">
        <v>196</v>
      </c>
      <c r="B2951" s="1" t="str">
        <v>2020-11-20</v>
      </c>
      <c r="C2951" s="1">
        <v>3.6309</v>
      </c>
    </row>
    <row r="2952" spans="1:3" x14ac:dyDescent="0.2">
      <c r="A2952" s="1">
        <v>32783</v>
      </c>
      <c r="B2952" s="1" t="str">
        <v>2020-11-20</v>
      </c>
      <c r="C2952" s="1">
        <v>3.5794999999999999</v>
      </c>
    </row>
    <row r="2953" spans="1:3" x14ac:dyDescent="0.2">
      <c r="A2953" s="1">
        <v>33183</v>
      </c>
      <c r="B2953" s="1" t="str">
        <v>2020-11-20</v>
      </c>
      <c r="C2953" s="1">
        <v>3.5203000000000002</v>
      </c>
    </row>
    <row r="2954" spans="1:3" x14ac:dyDescent="0.2">
      <c r="A2954" s="1">
        <v>16</v>
      </c>
      <c r="B2954" s="1" t="str">
        <v>2020-11-20</v>
      </c>
      <c r="C2954" s="1">
        <v>3.4146999999999998</v>
      </c>
    </row>
    <row r="2955" spans="1:3" x14ac:dyDescent="0.2">
      <c r="A2955" s="1">
        <v>32583</v>
      </c>
      <c r="B2955" s="1" t="str">
        <v>2020-11-20</v>
      </c>
      <c r="C2955" s="1">
        <v>3.4971000000000001</v>
      </c>
    </row>
    <row r="2956" spans="1:3" x14ac:dyDescent="0.2">
      <c r="A2956" s="1">
        <v>32340</v>
      </c>
      <c r="B2956" s="1" t="str">
        <v>2020-11-20</v>
      </c>
      <c r="C2956" s="1">
        <v>3.4458000000000002</v>
      </c>
    </row>
    <row r="2957" spans="1:3" x14ac:dyDescent="0.2">
      <c r="A2957" s="1">
        <v>150</v>
      </c>
      <c r="B2957" s="1" t="str">
        <v>2020-11-20</v>
      </c>
      <c r="C2957" s="1">
        <v>3.4032</v>
      </c>
    </row>
    <row r="2958" spans="1:3" x14ac:dyDescent="0.2">
      <c r="A2958" s="1">
        <v>137</v>
      </c>
      <c r="B2958" s="1" t="str">
        <v>2020-11-20</v>
      </c>
      <c r="C2958" s="1">
        <v>3.4971999999999999</v>
      </c>
    </row>
    <row r="2959" spans="1:3" x14ac:dyDescent="0.2">
      <c r="A2959" s="1">
        <v>59</v>
      </c>
      <c r="B2959" s="1" t="str">
        <v>2020-11-20</v>
      </c>
      <c r="C2959" s="1">
        <v>3.5794999999999999</v>
      </c>
    </row>
    <row r="2960" spans="1:3" x14ac:dyDescent="0.2">
      <c r="A2960" s="1">
        <v>90</v>
      </c>
      <c r="B2960" s="1" t="str">
        <v>2020-11-20</v>
      </c>
      <c r="C2960" s="1">
        <v>3.4765000000000001</v>
      </c>
    </row>
    <row r="2961" spans="1:3" x14ac:dyDescent="0.2">
      <c r="A2961" s="1">
        <v>146</v>
      </c>
      <c r="B2961" s="1" t="str">
        <v>2020-11-20</v>
      </c>
      <c r="C2961" s="1">
        <v>3.5486</v>
      </c>
    </row>
    <row r="2962" spans="1:3" x14ac:dyDescent="0.2">
      <c r="A2962" s="1">
        <v>143</v>
      </c>
      <c r="B2962" s="1" t="str">
        <v>2020-11-20</v>
      </c>
      <c r="C2962" s="1">
        <v>3.6412</v>
      </c>
    </row>
    <row r="2963" spans="1:3" x14ac:dyDescent="0.2">
      <c r="A2963" s="1">
        <v>78</v>
      </c>
      <c r="B2963" s="1" t="str">
        <v>2020-11-20</v>
      </c>
      <c r="C2963" s="1">
        <v>3.528</v>
      </c>
    </row>
    <row r="2964" spans="1:3" x14ac:dyDescent="0.2">
      <c r="A2964" s="1">
        <v>110</v>
      </c>
      <c r="B2964" s="1" t="str">
        <v>2020-11-20</v>
      </c>
      <c r="C2964" s="1">
        <v>3.5794999999999999</v>
      </c>
    </row>
    <row r="2965" spans="1:3" x14ac:dyDescent="0.2">
      <c r="A2965" s="1">
        <v>30400</v>
      </c>
      <c r="B2965" s="1" t="str">
        <v>2020-11-20</v>
      </c>
      <c r="C2965" s="1">
        <v>3.6766000000000001</v>
      </c>
    </row>
    <row r="2966" spans="1:3" x14ac:dyDescent="0.2">
      <c r="A2966" s="1">
        <v>33103</v>
      </c>
      <c r="B2966" s="1" t="str">
        <v>2020-11-20</v>
      </c>
      <c r="C2966" s="1">
        <v>3.5583999999999998</v>
      </c>
    </row>
    <row r="2967" spans="1:3" x14ac:dyDescent="0.2">
      <c r="A2967" s="1">
        <v>33130</v>
      </c>
      <c r="B2967" s="1" t="str">
        <v>2020-11-20</v>
      </c>
      <c r="C2967" s="1">
        <v>3.5589</v>
      </c>
    </row>
    <row r="2968" spans="1:3" x14ac:dyDescent="0.2">
      <c r="A2968" s="1">
        <v>32803</v>
      </c>
      <c r="B2968" s="1" t="str">
        <v>2020-11-20</v>
      </c>
      <c r="C2968" s="1">
        <v>3.528</v>
      </c>
    </row>
    <row r="2969" spans="1:3" x14ac:dyDescent="0.2">
      <c r="A2969" s="1">
        <v>33129</v>
      </c>
      <c r="B2969" s="1" t="str">
        <v>2020-11-20</v>
      </c>
      <c r="C2969" s="1">
        <v>3.6103999999999998</v>
      </c>
    </row>
    <row r="2970" spans="1:3" x14ac:dyDescent="0.2">
      <c r="A2970" s="1">
        <v>32521</v>
      </c>
      <c r="B2970" s="1" t="str">
        <v>2020-11-20</v>
      </c>
      <c r="C2970" s="1">
        <v>2.7988</v>
      </c>
    </row>
    <row r="2971" spans="1:3" x14ac:dyDescent="0.2">
      <c r="A2971" s="1">
        <v>32</v>
      </c>
      <c r="B2971" s="1" t="str">
        <v>2020-11-20</v>
      </c>
      <c r="C2971" s="1">
        <v>3.5589</v>
      </c>
    </row>
    <row r="2972" spans="1:3" x14ac:dyDescent="0.2">
      <c r="A2972" s="1">
        <v>2250</v>
      </c>
      <c r="B2972" s="1" t="str">
        <v>2020-11-20</v>
      </c>
      <c r="C2972" s="1">
        <v>3.7544</v>
      </c>
    </row>
    <row r="2973" spans="1:3" x14ac:dyDescent="0.2">
      <c r="A2973" s="1">
        <v>32582</v>
      </c>
      <c r="B2973" s="1" t="str">
        <v>2020-11-20</v>
      </c>
      <c r="C2973" s="1">
        <v>3.6926999999999999</v>
      </c>
    </row>
    <row r="2974" spans="1:3" x14ac:dyDescent="0.2">
      <c r="A2974" s="1">
        <v>32560</v>
      </c>
      <c r="B2974" s="1" t="str">
        <v>2020-11-23</v>
      </c>
      <c r="C2974" s="1">
        <v>3.4868999999999999</v>
      </c>
    </row>
    <row r="2975" spans="1:3" x14ac:dyDescent="0.2">
      <c r="A2975" s="1">
        <v>32360</v>
      </c>
      <c r="B2975" s="1" t="str">
        <v>2020-11-23</v>
      </c>
      <c r="C2975" s="1">
        <v>3.4971999999999999</v>
      </c>
    </row>
    <row r="2976" spans="1:3" x14ac:dyDescent="0.2">
      <c r="A2976" s="1">
        <v>77</v>
      </c>
      <c r="B2976" s="1" t="str">
        <v>2020-11-23</v>
      </c>
      <c r="C2976" s="1">
        <v>3.4045999999999998</v>
      </c>
    </row>
    <row r="2977" spans="1:3" x14ac:dyDescent="0.2">
      <c r="A2977" s="1">
        <v>32082</v>
      </c>
      <c r="B2977" s="1" t="str">
        <v>2020-11-23</v>
      </c>
      <c r="C2977" s="1">
        <v>3.5897999999999999</v>
      </c>
    </row>
    <row r="2978" spans="1:3" x14ac:dyDescent="0.2">
      <c r="A2978" s="1">
        <v>8</v>
      </c>
      <c r="B2978" s="1" t="str">
        <v>2020-11-23</v>
      </c>
      <c r="C2978" s="1">
        <v>3.5794999999999999</v>
      </c>
    </row>
    <row r="2979" spans="1:3" x14ac:dyDescent="0.2">
      <c r="A2979" s="1">
        <v>32421</v>
      </c>
      <c r="B2979" s="1" t="str">
        <v>2020-11-23</v>
      </c>
      <c r="C2979" s="1">
        <v>3.6162000000000001</v>
      </c>
    </row>
    <row r="2980" spans="1:3" x14ac:dyDescent="0.2">
      <c r="A2980" s="1">
        <v>32983</v>
      </c>
      <c r="B2980" s="1" t="str">
        <v>2020-11-23</v>
      </c>
      <c r="C2980" s="1">
        <v>3.8879000000000001</v>
      </c>
    </row>
    <row r="2981" spans="1:3" x14ac:dyDescent="0.2">
      <c r="A2981" s="1">
        <v>32420</v>
      </c>
      <c r="B2981" s="1" t="str">
        <v>2020-11-23</v>
      </c>
      <c r="C2981" s="1">
        <v>3.4918999999999998</v>
      </c>
    </row>
    <row r="2982" spans="1:3" x14ac:dyDescent="0.2">
      <c r="A2982" s="1">
        <v>133</v>
      </c>
      <c r="B2982" s="1" t="str">
        <v>2020-11-23</v>
      </c>
      <c r="C2982" s="1">
        <v>3.5074000000000001</v>
      </c>
    </row>
    <row r="2983" spans="1:3" x14ac:dyDescent="0.2">
      <c r="A2983" s="1">
        <v>34</v>
      </c>
      <c r="B2983" s="1" t="str">
        <v>2020-11-23</v>
      </c>
      <c r="C2983" s="1">
        <v>3.4971999999999999</v>
      </c>
    </row>
    <row r="2984" spans="1:3" x14ac:dyDescent="0.2">
      <c r="A2984" s="1">
        <v>99</v>
      </c>
      <c r="B2984" s="1" t="str">
        <v>2020-11-23</v>
      </c>
      <c r="C2984" s="1">
        <v>3.2915000000000001</v>
      </c>
    </row>
    <row r="2985" spans="1:3" x14ac:dyDescent="0.2">
      <c r="A2985" s="1">
        <v>30350</v>
      </c>
      <c r="B2985" s="1" t="str">
        <v>2020-11-23</v>
      </c>
      <c r="C2985" s="1">
        <v>3.3944000000000001</v>
      </c>
    </row>
    <row r="2986" spans="1:3" x14ac:dyDescent="0.2">
      <c r="A2986" s="1">
        <v>33223</v>
      </c>
      <c r="B2986" s="1" t="str">
        <v>2020-11-23</v>
      </c>
      <c r="C2986" s="1">
        <v>3.3426999999999998</v>
      </c>
    </row>
    <row r="2987" spans="1:3" x14ac:dyDescent="0.2">
      <c r="A2987" s="1">
        <v>32040</v>
      </c>
      <c r="B2987" s="1" t="str">
        <v>2020-11-23</v>
      </c>
      <c r="C2987" s="1">
        <v>3.6597</v>
      </c>
    </row>
    <row r="2988" spans="1:3" x14ac:dyDescent="0.2">
      <c r="A2988" s="1">
        <v>178</v>
      </c>
      <c r="B2988" s="1" t="str">
        <v>2020-11-23</v>
      </c>
      <c r="C2988" s="1">
        <v>3.6335000000000002</v>
      </c>
    </row>
    <row r="2989" spans="1:3" x14ac:dyDescent="0.2">
      <c r="A2989" s="1">
        <v>33103</v>
      </c>
      <c r="B2989" s="1" t="str">
        <v>2020-11-24</v>
      </c>
      <c r="C2989" s="1">
        <v>3.7126999999999999</v>
      </c>
    </row>
    <row r="2990" spans="1:3" x14ac:dyDescent="0.2">
      <c r="A2990" s="1">
        <v>32420</v>
      </c>
      <c r="B2990" s="1" t="str">
        <v>2020-11-24</v>
      </c>
      <c r="C2990" s="1">
        <v>3.6051000000000002</v>
      </c>
    </row>
    <row r="2991" spans="1:3" x14ac:dyDescent="0.2">
      <c r="A2991" s="1">
        <v>147</v>
      </c>
      <c r="B2991" s="1" t="str">
        <v>2020-11-24</v>
      </c>
      <c r="C2991" s="1">
        <v>4.0018000000000002</v>
      </c>
    </row>
    <row r="2992" spans="1:3" x14ac:dyDescent="0.2">
      <c r="A2992" s="1">
        <v>32964</v>
      </c>
      <c r="B2992" s="1" t="str">
        <v>2020-11-24</v>
      </c>
      <c r="C2992" s="1">
        <v>3.4923999999999999</v>
      </c>
    </row>
    <row r="2993" spans="1:3" x14ac:dyDescent="0.2">
      <c r="A2993" s="1">
        <v>37</v>
      </c>
      <c r="B2993" s="1" t="str">
        <v>2020-11-24</v>
      </c>
      <c r="C2993" s="1">
        <v>3.806</v>
      </c>
    </row>
    <row r="2994" spans="1:3" x14ac:dyDescent="0.2">
      <c r="A2994" s="1">
        <v>182</v>
      </c>
      <c r="B2994" s="1" t="str">
        <v>2020-11-24</v>
      </c>
      <c r="C2994" s="1">
        <v>3.7442000000000002</v>
      </c>
    </row>
    <row r="2995" spans="1:3" x14ac:dyDescent="0.2">
      <c r="A2995" s="1">
        <v>32400</v>
      </c>
      <c r="B2995" s="1" t="str">
        <v>2020-11-24</v>
      </c>
      <c r="C2995" s="1">
        <v>3.7235999999999998</v>
      </c>
    </row>
    <row r="2996" spans="1:3" x14ac:dyDescent="0.2">
      <c r="A2996" s="1">
        <v>32082</v>
      </c>
      <c r="B2996" s="1" t="str">
        <v>2020-11-24</v>
      </c>
      <c r="C2996" s="1">
        <v>3.7751000000000001</v>
      </c>
    </row>
    <row r="2997" spans="1:3" x14ac:dyDescent="0.2">
      <c r="A2997" s="1">
        <v>187</v>
      </c>
      <c r="B2997" s="1" t="str">
        <v>2020-11-24</v>
      </c>
      <c r="C2997" s="1">
        <v>3.7852999999999999</v>
      </c>
    </row>
    <row r="2998" spans="1:3" x14ac:dyDescent="0.2">
      <c r="A2998" s="1">
        <v>32081</v>
      </c>
      <c r="B2998" s="1" t="str">
        <v>2020-11-24</v>
      </c>
      <c r="C2998" s="1">
        <v>3.9192999999999998</v>
      </c>
    </row>
    <row r="2999" spans="1:3" x14ac:dyDescent="0.2">
      <c r="A2999" s="1">
        <v>77</v>
      </c>
      <c r="B2999" s="1" t="str">
        <v>2020-11-25</v>
      </c>
      <c r="C2999" s="1">
        <v>3.5072999999999999</v>
      </c>
    </row>
    <row r="3000" spans="1:3" x14ac:dyDescent="0.2">
      <c r="A3000" s="1">
        <v>32200</v>
      </c>
      <c r="B3000" s="1" t="str">
        <v>2020-11-25</v>
      </c>
      <c r="C3000" s="1">
        <v>3.8369</v>
      </c>
    </row>
    <row r="3001" spans="1:3" x14ac:dyDescent="0.2">
      <c r="A3001" s="1">
        <v>99</v>
      </c>
      <c r="B3001" s="1" t="str">
        <v>2020-11-26</v>
      </c>
      <c r="C3001" s="1">
        <v>3.3942000000000001</v>
      </c>
    </row>
    <row r="3002" spans="1:3" x14ac:dyDescent="0.2">
      <c r="A3002" s="1">
        <v>150</v>
      </c>
      <c r="B3002" s="1" t="str">
        <v>2020-11-26</v>
      </c>
      <c r="C3002" s="1">
        <v>3.4710000000000001</v>
      </c>
    </row>
    <row r="3003" spans="1:3" x14ac:dyDescent="0.2">
      <c r="A3003" s="1">
        <v>150</v>
      </c>
      <c r="B3003" s="1" t="str">
        <v>2020-11-27</v>
      </c>
      <c r="C3003" s="1">
        <v>3.4710000000000001</v>
      </c>
    </row>
    <row r="3004" spans="1:3" x14ac:dyDescent="0.2">
      <c r="A3004" s="1">
        <v>33083</v>
      </c>
      <c r="B3004" s="1" t="str">
        <v>2020-11-27</v>
      </c>
      <c r="C3004" s="1">
        <v>3.5185</v>
      </c>
    </row>
    <row r="3005" spans="1:3" x14ac:dyDescent="0.2">
      <c r="A3005" s="1">
        <v>157</v>
      </c>
      <c r="B3005" s="1" t="str">
        <v>2020-11-27</v>
      </c>
      <c r="C3005" s="1">
        <v>3.6514000000000002</v>
      </c>
    </row>
    <row r="3006" spans="1:3" x14ac:dyDescent="0.2">
      <c r="A3006" s="1">
        <v>32082</v>
      </c>
      <c r="B3006" s="1" t="str">
        <v>2020-11-27</v>
      </c>
      <c r="C3006" s="1">
        <v>3.7957000000000001</v>
      </c>
    </row>
    <row r="3007" spans="1:3" x14ac:dyDescent="0.2">
      <c r="A3007" s="1">
        <v>13250</v>
      </c>
      <c r="B3007" s="1" t="str">
        <v>2020-11-27</v>
      </c>
      <c r="C3007" s="1">
        <v>3.8058999999999998</v>
      </c>
    </row>
    <row r="3008" spans="1:3" x14ac:dyDescent="0.2">
      <c r="A3008" s="1">
        <v>12250</v>
      </c>
      <c r="B3008" s="1" t="str">
        <v>2020-11-27</v>
      </c>
      <c r="C3008" s="1">
        <v>3.5</v>
      </c>
    </row>
    <row r="3009" spans="1:3" x14ac:dyDescent="0.2">
      <c r="A3009" s="1">
        <v>133</v>
      </c>
      <c r="B3009" s="1" t="str">
        <v>2020-11-27</v>
      </c>
      <c r="C3009" s="1">
        <v>3.7751000000000001</v>
      </c>
    </row>
    <row r="3010" spans="1:3" x14ac:dyDescent="0.2">
      <c r="A3010" s="1">
        <v>161</v>
      </c>
      <c r="B3010" s="1" t="str">
        <v>2020-11-27</v>
      </c>
      <c r="C3010" s="1">
        <v>3.8677999999999999</v>
      </c>
    </row>
    <row r="3011" spans="1:3" x14ac:dyDescent="0.2">
      <c r="A3011" s="1">
        <v>16</v>
      </c>
      <c r="B3011" s="1" t="str">
        <v>2020-11-27</v>
      </c>
      <c r="C3011" s="1">
        <v>3.4146999999999998</v>
      </c>
    </row>
    <row r="3012" spans="1:3" x14ac:dyDescent="0.2">
      <c r="A3012" s="1">
        <v>101</v>
      </c>
      <c r="B3012" s="1" t="str">
        <v>2020-11-27</v>
      </c>
      <c r="C3012" s="1">
        <v>3.9089999999999998</v>
      </c>
    </row>
    <row r="3013" spans="1:3" x14ac:dyDescent="0.2">
      <c r="A3013" s="1">
        <v>32180</v>
      </c>
      <c r="B3013" s="1" t="str">
        <v>2020-11-27</v>
      </c>
      <c r="C3013" s="1">
        <v>3.7172999999999998</v>
      </c>
    </row>
    <row r="3014" spans="1:3" x14ac:dyDescent="0.2">
      <c r="A3014" s="1">
        <v>139</v>
      </c>
      <c r="B3014" s="1" t="str">
        <v>2020-11-27</v>
      </c>
      <c r="C3014" s="1">
        <v>3.7545000000000002</v>
      </c>
    </row>
    <row r="3015" spans="1:3" x14ac:dyDescent="0.2">
      <c r="A3015" s="1">
        <v>156</v>
      </c>
      <c r="B3015" s="1" t="str">
        <v>2020-11-27</v>
      </c>
      <c r="C3015" s="1">
        <v>3.5485000000000002</v>
      </c>
    </row>
    <row r="3016" spans="1:3" x14ac:dyDescent="0.2">
      <c r="A3016" s="1">
        <v>81</v>
      </c>
      <c r="B3016" s="1" t="str">
        <v>2020-11-27</v>
      </c>
      <c r="C3016" s="1">
        <v>3.2709999999999999</v>
      </c>
    </row>
    <row r="3017" spans="1:3" x14ac:dyDescent="0.2">
      <c r="A3017" s="1">
        <v>132</v>
      </c>
      <c r="B3017" s="1" t="str">
        <v>2020-11-27</v>
      </c>
      <c r="C3017" s="1">
        <v>3.6412</v>
      </c>
    </row>
    <row r="3018" spans="1:3" x14ac:dyDescent="0.2">
      <c r="A3018" s="1">
        <v>10</v>
      </c>
      <c r="B3018" s="1" t="str">
        <v>2020-11-27</v>
      </c>
      <c r="C3018" s="1">
        <v>3.9502000000000002</v>
      </c>
    </row>
    <row r="3019" spans="1:3" x14ac:dyDescent="0.2">
      <c r="A3019" s="1">
        <v>32583</v>
      </c>
      <c r="B3019" s="1" t="str">
        <v>2020-11-27</v>
      </c>
      <c r="C3019" s="1">
        <v>3.8883000000000001</v>
      </c>
    </row>
    <row r="3020" spans="1:3" x14ac:dyDescent="0.2">
      <c r="A3020" s="1">
        <v>187</v>
      </c>
      <c r="B3020" s="1" t="str">
        <v>2020-11-27</v>
      </c>
      <c r="C3020" s="1">
        <v>3.7852999999999999</v>
      </c>
    </row>
    <row r="3021" spans="1:3" x14ac:dyDescent="0.2">
      <c r="A3021" s="1">
        <v>32200</v>
      </c>
      <c r="B3021" s="1" t="str">
        <v>2020-11-30</v>
      </c>
      <c r="C3021" s="1">
        <v>3.8369</v>
      </c>
    </row>
    <row r="3022" spans="1:3" x14ac:dyDescent="0.2">
      <c r="A3022" s="1">
        <v>33023</v>
      </c>
      <c r="B3022" s="1" t="str">
        <v>2020-11-30</v>
      </c>
      <c r="C3022" s="1">
        <v>3.8574999999999999</v>
      </c>
    </row>
    <row r="3023" spans="1:3" x14ac:dyDescent="0.2">
      <c r="A3023" s="1">
        <v>34</v>
      </c>
      <c r="B3023" s="1" t="str">
        <v>2020-11-30</v>
      </c>
      <c r="C3023" s="1">
        <v>3.7339000000000002</v>
      </c>
    </row>
    <row r="3024" spans="1:3" x14ac:dyDescent="0.2">
      <c r="A3024" s="1">
        <v>147</v>
      </c>
      <c r="B3024" s="1" t="str">
        <v>2020-11-30</v>
      </c>
      <c r="C3024" s="1">
        <v>4.0224000000000002</v>
      </c>
    </row>
    <row r="3025" spans="1:3" x14ac:dyDescent="0.2">
      <c r="A3025" s="1">
        <v>32421</v>
      </c>
      <c r="B3025" s="1" t="str">
        <v>2020-11-30</v>
      </c>
      <c r="C3025" s="1">
        <v>3.661</v>
      </c>
    </row>
    <row r="3026" spans="1:3" x14ac:dyDescent="0.2">
      <c r="A3026" s="1">
        <v>32843</v>
      </c>
      <c r="B3026" s="1" t="str">
        <v>2020-11-30</v>
      </c>
      <c r="C3026" s="1">
        <v>3.7852999999999999</v>
      </c>
    </row>
    <row r="3027" spans="1:3" x14ac:dyDescent="0.2">
      <c r="A3027" s="1">
        <v>32400</v>
      </c>
      <c r="B3027" s="1" t="str">
        <v>2020-11-30</v>
      </c>
      <c r="C3027" s="1">
        <v>3.8472</v>
      </c>
    </row>
    <row r="3028" spans="1:3" x14ac:dyDescent="0.2">
      <c r="A3028" s="1">
        <v>33103</v>
      </c>
      <c r="B3028" s="1" t="str">
        <v>2020-11-30</v>
      </c>
      <c r="C3028" s="1">
        <v>3.7936000000000001</v>
      </c>
    </row>
    <row r="3029" spans="1:3" x14ac:dyDescent="0.2">
      <c r="A3029" s="1">
        <v>178</v>
      </c>
      <c r="B3029" s="1" t="str">
        <v>2020-11-30</v>
      </c>
      <c r="C3029" s="1">
        <v>3.8573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General</vt:lpstr>
      <vt:lpstr>Summary</vt:lpstr>
      <vt:lpstr>Exp Monthly</vt:lpstr>
      <vt:lpstr>Exp Quarterly</vt:lpstr>
      <vt:lpstr>Exp Annual</vt:lpstr>
      <vt:lpstr>Exp 12 Months</vt:lpstr>
      <vt:lpstr>Top5 Monthly</vt:lpstr>
      <vt:lpstr>Top5 Annual</vt:lpstr>
      <vt:lpstr>Exp Institutions</vt:lpstr>
      <vt:lpstr>URL to Table</vt:lpstr>
      <vt:lpstr>File to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2021-12-17T00:04:12Z</dcterms:created>
  <dcterms:modified xsi:type="dcterms:W3CDTF">2021-12-20T01:07:10Z</dcterms:modified>
</cp:coreProperties>
</file>