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24EFC01B-5340-4E39-BA6C-C2E17F217D28}" xr6:coauthVersionLast="47" xr6:coauthVersionMax="47" xr10:uidLastSave="{00000000-0000-0000-0000-000000000000}"/>
  <bookViews>
    <workbookView xWindow="-120" yWindow="-120" windowWidth="26760" windowHeight="14520" xr2:uid="{8B074F0E-9824-4045-9218-C9458A4322DD}"/>
  </bookViews>
  <sheets>
    <sheet name="ipeadata 1" sheetId="2" r:id="rId1"/>
    <sheet name="ipeadata 2" sheetId="6" r:id="rId2"/>
    <sheet name="ipeadata 3" sheetId="3" r:id="rId3"/>
    <sheet name="ipeadata 4" sheetId="4" r:id="rId4"/>
    <sheet name="File to Table" sheetId="5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3" l="1" a="1"/>
  <c r="H6" i="3" a="1"/>
  <c r="G6" i="3" a="1"/>
  <c r="F6" i="3" a="1"/>
  <c r="E3" i="4" a="1"/>
  <c r="B3" i="6" a="1"/>
  <c r="B3" i="2" a="1"/>
  <c r="B3" i="4" a="1"/>
  <c r="D6" i="3" a="1"/>
  <c r="J6" i="3" a="1"/>
  <c r="D5" i="6" a="1"/>
  <c r="D5" i="2" a="1"/>
  <c r="D5" i="2" l="1"/>
  <c r="D6" i="3"/>
  <c r="J6" i="3"/>
  <c r="D5" i="6"/>
  <c r="P6" i="3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I6" i="3"/>
  <c r="H6" i="3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G6" i="3"/>
  <c r="F6" i="3"/>
  <c r="F6" i="6"/>
  <c r="F22" i="6"/>
  <c r="F38" i="6"/>
  <c r="F54" i="6"/>
  <c r="F70" i="6"/>
  <c r="F86" i="6"/>
  <c r="F102" i="6"/>
  <c r="F24" i="6"/>
  <c r="F40" i="6"/>
  <c r="F72" i="6"/>
  <c r="F104" i="6"/>
  <c r="F25" i="6"/>
  <c r="F57" i="6"/>
  <c r="F105" i="6"/>
  <c r="F26" i="6"/>
  <c r="F58" i="6"/>
  <c r="F90" i="6"/>
  <c r="F43" i="6"/>
  <c r="F91" i="6"/>
  <c r="F108" i="6"/>
  <c r="F93" i="6"/>
  <c r="F64" i="6"/>
  <c r="F49" i="6"/>
  <c r="F98" i="6"/>
  <c r="F67" i="6"/>
  <c r="F100" i="6"/>
  <c r="F101" i="6"/>
  <c r="F7" i="6"/>
  <c r="F23" i="6"/>
  <c r="F39" i="6"/>
  <c r="F55" i="6"/>
  <c r="F71" i="6"/>
  <c r="F87" i="6"/>
  <c r="F103" i="6"/>
  <c r="F8" i="6"/>
  <c r="F56" i="6"/>
  <c r="F88" i="6"/>
  <c r="F41" i="6"/>
  <c r="F73" i="6"/>
  <c r="F89" i="6"/>
  <c r="F10" i="6"/>
  <c r="F74" i="6"/>
  <c r="F106" i="6"/>
  <c r="F59" i="6"/>
  <c r="F107" i="6"/>
  <c r="F123" i="6"/>
  <c r="F92" i="6"/>
  <c r="F16" i="6"/>
  <c r="F112" i="6"/>
  <c r="F81" i="6"/>
  <c r="F82" i="6"/>
  <c r="F51" i="6"/>
  <c r="F52" i="6"/>
  <c r="F42" i="6"/>
  <c r="F18" i="6"/>
  <c r="F36" i="6"/>
  <c r="F9" i="6"/>
  <c r="F76" i="6"/>
  <c r="F109" i="6"/>
  <c r="F35" i="6"/>
  <c r="F69" i="6"/>
  <c r="F11" i="6"/>
  <c r="F27" i="6"/>
  <c r="F75" i="6"/>
  <c r="F32" i="6"/>
  <c r="F113" i="6"/>
  <c r="F114" i="6"/>
  <c r="F20" i="6"/>
  <c r="F12" i="6"/>
  <c r="F28" i="6"/>
  <c r="F44" i="6"/>
  <c r="F60" i="6"/>
  <c r="F65" i="6"/>
  <c r="F115" i="6"/>
  <c r="F116" i="6"/>
  <c r="F13" i="6"/>
  <c r="F29" i="6"/>
  <c r="F45" i="6"/>
  <c r="F61" i="6"/>
  <c r="F77" i="6"/>
  <c r="F96" i="6"/>
  <c r="F97" i="6"/>
  <c r="F19" i="6"/>
  <c r="F21" i="6"/>
  <c r="F14" i="6"/>
  <c r="F30" i="6"/>
  <c r="F46" i="6"/>
  <c r="F62" i="6"/>
  <c r="F78" i="6"/>
  <c r="F94" i="6"/>
  <c r="F110" i="6"/>
  <c r="F111" i="6"/>
  <c r="F80" i="6"/>
  <c r="F17" i="6"/>
  <c r="F66" i="6"/>
  <c r="F99" i="6"/>
  <c r="F84" i="6"/>
  <c r="F117" i="6"/>
  <c r="F15" i="6"/>
  <c r="F31" i="6"/>
  <c r="F47" i="6"/>
  <c r="F63" i="6"/>
  <c r="F79" i="6"/>
  <c r="F95" i="6"/>
  <c r="F48" i="6"/>
  <c r="F33" i="6"/>
  <c r="F50" i="6"/>
  <c r="F83" i="6"/>
  <c r="F68" i="6"/>
  <c r="F34" i="6"/>
  <c r="F85" i="6"/>
  <c r="F53" i="6"/>
  <c r="F37" i="6"/>
  <c r="F5" i="6"/>
  <c r="B3" i="4"/>
  <c r="L6" i="3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O6" i="3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B3" i="2"/>
  <c r="J1" i="2" s="1"/>
  <c r="J1" i="3"/>
  <c r="K6" i="3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B3" i="6"/>
  <c r="J1" i="6" s="1"/>
  <c r="E3" i="4"/>
  <c r="E5" i="4" s="1"/>
  <c r="M6" i="3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<sst xmlns="http://schemas.openxmlformats.org/spreadsheetml/2006/main" count="84" uniqueCount="51">
  <si>
    <t>Retornar Datas</t>
  </si>
  <si>
    <t>N Últimas Observações</t>
  </si>
  <si>
    <t>Data Final (Final Date)</t>
  </si>
  <si>
    <t>Data Inicial (Start Date)</t>
  </si>
  <si>
    <t>Código de Território</t>
  </si>
  <si>
    <t>Nível Territorial</t>
  </si>
  <si>
    <t>Value</t>
  </si>
  <si>
    <t>Date</t>
  </si>
  <si>
    <t>ANAC_PAX</t>
  </si>
  <si>
    <t>Indicador (Indicator)</t>
  </si>
  <si>
    <t>Metadados</t>
  </si>
  <si>
    <t>Graph title</t>
  </si>
  <si>
    <t>ipeadata Indicators</t>
  </si>
  <si>
    <t>Renda alta</t>
  </si>
  <si>
    <t>Renda média-alta</t>
  </si>
  <si>
    <t>Renda média</t>
  </si>
  <si>
    <t>Renda média-baixa</t>
  </si>
  <si>
    <t>Renda baixa</t>
  </si>
  <si>
    <t>Renda muito baixa</t>
  </si>
  <si>
    <t>Short name</t>
  </si>
  <si>
    <t>Cumulative inflation</t>
  </si>
  <si>
    <t>DIMAC_INF6</t>
  </si>
  <si>
    <t>DIMAC_INF5</t>
  </si>
  <si>
    <t>DIMAC_INF4</t>
  </si>
  <si>
    <t>DIMAC_INF3</t>
  </si>
  <si>
    <t>DIMAC_INF2</t>
  </si>
  <si>
    <t>DIMAC_INF1</t>
  </si>
  <si>
    <t>Code</t>
  </si>
  <si>
    <t xml:space="preserve">Inflação - faixa de renda - renda alta - (% a.m.) (.)  - Instituto de Pesquisa Econômica Aplicada - DIMAC_INF6 - </t>
  </si>
  <si>
    <t xml:space="preserve">Inflação - faixa de renda - renda média-alta - (% a.m.) (.)  - Instituto de Pesquisa Econômica Aplicada - DIMAC_INF5 - </t>
  </si>
  <si>
    <t xml:space="preserve">Inflação - faixa de renda - renda média - (% a.m.) (.)  - Instituto de Pesquisa Econômica Aplicada - DIMAC_INF4 - </t>
  </si>
  <si>
    <t xml:space="preserve">Inflação - faixa de renda - renda média-baixa - (% a.m.) (.)  - Instituto de Pesquisa Econômica Aplicada - DIMAC_INF3 - </t>
  </si>
  <si>
    <t xml:space="preserve">Inflação - faixa de renda - renda baixa - (% a.m.) (.)  - Instituto de Pesquisa Econômica Aplicada - DIMAC_INF2 - </t>
  </si>
  <si>
    <t xml:space="preserve">Inflação - faixa de renda - renda muito baixa - (% a.m.) (.)  - Instituto de Pesquisa Econômica Aplicada - DIMAC_INF1 - </t>
  </si>
  <si>
    <t>Description</t>
  </si>
  <si>
    <t>É alfanumérico?</t>
  </si>
  <si>
    <t>Municípios</t>
  </si>
  <si>
    <t>Territory</t>
  </si>
  <si>
    <t>PARTPRES</t>
  </si>
  <si>
    <t>Código da série</t>
  </si>
  <si>
    <t>Descrição da série</t>
  </si>
  <si>
    <t>From JSON to Table</t>
  </si>
  <si>
    <t>C:\Users\Eduardo\Google Drive\Meus Projetos\xlFOCUS\Example IPEA President Election by Municipality.json</t>
  </si>
  <si>
    <t>File path</t>
  </si>
  <si>
    <t>=xlFOCUS_ipeadata($B$4;$B$5;E$4;$B$7;$B$8;$B$9;2;$B$10)</t>
  </si>
  <si>
    <t>This query may take more time than the user would like. To activate it, remove the ' character from the formula at cell D6.</t>
  </si>
  <si>
    <t>This query may take more time than the user would like. To activate it, remove the ' character from the formula at cell A5.</t>
  </si>
  <si>
    <t>HIST_SBCLIBRA</t>
  </si>
  <si>
    <t>Date Fixed</t>
  </si>
  <si>
    <t>1933-01-01</t>
  </si>
  <si>
    <t>=xlFOCUS_ReadJSONFile(A2;VERDADEIRO;;"value")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</si>
</sst>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#0,,\ &quot;Milhões&quot;"/>
    <numFmt numFmtId="165" formatCode="yyyy"/>
    <numFmt numFmtId="166" formatCode="[$-416]mmm\-yy;@"/>
    <numFmt numFmtId="167" formatCode="#,##0.0"/>
    <numFmt numFmtId="168" formatCode="##0,\ &quot;Mi £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0" borderId="0"/>
    <xf numFmtId="0" fontId="4" fillId="2" borderId="1" applyNumberFormat="0" applyAlignment="0" applyProtection="0"/>
    <xf numFmtId="0" fontId="8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3"/>
    <xf numFmtId="14" fontId="3" fillId="0" borderId="0" xfId="3" applyNumberFormat="1"/>
    <xf numFmtId="2" fontId="3" fillId="0" borderId="0" xfId="3" applyNumberFormat="1"/>
    <xf numFmtId="164" fontId="3" fillId="0" borderId="0" xfId="3" applyNumberFormat="1"/>
    <xf numFmtId="165" fontId="3" fillId="0" borderId="0" xfId="3" applyNumberFormat="1"/>
    <xf numFmtId="0" fontId="4" fillId="2" borderId="1" xfId="4"/>
    <xf numFmtId="0" fontId="5" fillId="0" borderId="0" xfId="3" applyFont="1"/>
    <xf numFmtId="14" fontId="4" fillId="2" borderId="1" xfId="4" applyNumberFormat="1"/>
    <xf numFmtId="0" fontId="3" fillId="3" borderId="0" xfId="3" applyFill="1"/>
    <xf numFmtId="0" fontId="6" fillId="0" borderId="0" xfId="3" applyFont="1"/>
    <xf numFmtId="4" fontId="3" fillId="0" borderId="0" xfId="3" applyNumberFormat="1"/>
    <xf numFmtId="166" fontId="3" fillId="0" borderId="0" xfId="3" applyNumberFormat="1"/>
    <xf numFmtId="9" fontId="3" fillId="0" borderId="0" xfId="1" applyFont="1"/>
    <xf numFmtId="167" fontId="3" fillId="0" borderId="0" xfId="3" applyNumberFormat="1"/>
    <xf numFmtId="9" fontId="3" fillId="4" borderId="0" xfId="1" applyFont="1" applyFill="1"/>
    <xf numFmtId="0" fontId="4" fillId="5" borderId="1" xfId="4" applyFill="1"/>
    <xf numFmtId="0" fontId="7" fillId="0" borderId="0" xfId="3" applyFont="1"/>
    <xf numFmtId="0" fontId="2" fillId="2" borderId="1" xfId="2"/>
    <xf numFmtId="0" fontId="3" fillId="0" borderId="0" xfId="3" applyAlignment="1">
      <alignment wrapText="1"/>
    </xf>
    <xf numFmtId="0" fontId="8" fillId="0" borderId="0" xfId="5"/>
    <xf numFmtId="0" fontId="3" fillId="6" borderId="0" xfId="3" applyFill="1"/>
    <xf numFmtId="0" fontId="5" fillId="6" borderId="0" xfId="3" applyFont="1" applyFill="1"/>
    <xf numFmtId="165" fontId="3" fillId="0" borderId="0" xfId="3" quotePrefix="1" applyNumberFormat="1"/>
    <xf numFmtId="0" fontId="3" fillId="0" borderId="0" xfId="3" quotePrefix="1"/>
    <xf numFmtId="0" fontId="3" fillId="0" borderId="0" xfId="3" applyNumberFormat="1"/>
    <xf numFmtId="0" fontId="3" fillId="0" borderId="0" xfId="3" applyAlignment="1">
      <alignment horizontal="center"/>
    </xf>
    <xf numFmtId="0" fontId="3" fillId="3" borderId="0" xfId="3" applyFill="1" applyAlignment="1">
      <alignment horizontal="center"/>
    </xf>
    <xf numFmtId="14" fontId="4" fillId="2" borderId="1" xfId="4" applyNumberFormat="1" applyAlignment="1">
      <alignment horizontal="center"/>
    </xf>
    <xf numFmtId="49" fontId="4" fillId="2" borderId="1" xfId="4" applyNumberFormat="1" applyAlignment="1">
      <alignment horizontal="center"/>
    </xf>
    <xf numFmtId="168" fontId="3" fillId="0" borderId="0" xfId="3" applyNumberFormat="1"/>
    <xf numFmtId="0" fontId="4" fillId="2" borderId="2" xfId="4" applyBorder="1" applyAlignment="1">
      <alignment horizontal="left"/>
    </xf>
    <xf numFmtId="0" fontId="4" fillId="2" borderId="0" xfId="4" applyBorder="1" applyAlignment="1">
      <alignment horizontal="left"/>
    </xf>
    <xf numFmtId="0" fontId="9" fillId="4" borderId="0" xfId="3" applyFont="1" applyFill="1" applyAlignment="1">
      <alignment horizontal="center" wrapText="1"/>
    </xf>
  </cellXfs>
  <cellStyles count="6">
    <cellStyle name="Entrada" xfId="2" builtinId="20"/>
    <cellStyle name="Entrada 2" xfId="4" xr:uid="{D8BEF662-9AAB-4606-B9D5-A5DBF680C647}"/>
    <cellStyle name="Hiperlink" xfId="5" builtinId="8"/>
    <cellStyle name="Normal" xfId="0" builtinId="0"/>
    <cellStyle name="Normal 2" xfId="3" xr:uid="{7689C696-C0FB-42E7-9EC8-764FA8BA7927}"/>
    <cellStyle name="Porcentagem" xfId="1" builtinId="5"/>
  </cellStyles>
  <dxfs count="0"/>
  <tableStyles count="1" defaultTableStyle="TableStyleMedium2" defaultPivotStyle="PivotStyleLight16">
    <tableStyle name="Invisible" pivot="0" table="0" count="0" xr9:uid="{081187C9-C748-452A-88BA-E3802AE74D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1'!$J$1:$P$1</c:f>
          <c:strCache>
            <c:ptCount val="7"/>
            <c:pt idx="0">
              <c:v>Transporte aéreo - passageiros embarcados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1'!$E$4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'ipeadata 1'!$D$5:$D$240</c:f>
              <c:numCache>
                <c:formatCode>yyyy</c:formatCode>
                <c:ptCount val="236"/>
                <c:pt idx="0">
                  <c:v>9863</c:v>
                </c:pt>
                <c:pt idx="1">
                  <c:v>10228</c:v>
                </c:pt>
                <c:pt idx="2">
                  <c:v>10594</c:v>
                </c:pt>
                <c:pt idx="3">
                  <c:v>10959</c:v>
                </c:pt>
                <c:pt idx="4">
                  <c:v>11324</c:v>
                </c:pt>
                <c:pt idx="5">
                  <c:v>11689</c:v>
                </c:pt>
                <c:pt idx="6">
                  <c:v>12055</c:v>
                </c:pt>
                <c:pt idx="7">
                  <c:v>12420</c:v>
                </c:pt>
                <c:pt idx="8">
                  <c:v>12785</c:v>
                </c:pt>
                <c:pt idx="9">
                  <c:v>13150</c:v>
                </c:pt>
                <c:pt idx="10">
                  <c:v>13516</c:v>
                </c:pt>
                <c:pt idx="11">
                  <c:v>13881</c:v>
                </c:pt>
                <c:pt idx="12">
                  <c:v>14246</c:v>
                </c:pt>
                <c:pt idx="13">
                  <c:v>14611</c:v>
                </c:pt>
                <c:pt idx="14">
                  <c:v>14977</c:v>
                </c:pt>
                <c:pt idx="15">
                  <c:v>15342</c:v>
                </c:pt>
                <c:pt idx="16">
                  <c:v>15707</c:v>
                </c:pt>
                <c:pt idx="17">
                  <c:v>16072</c:v>
                </c:pt>
                <c:pt idx="18">
                  <c:v>16438</c:v>
                </c:pt>
                <c:pt idx="19">
                  <c:v>16803</c:v>
                </c:pt>
                <c:pt idx="20">
                  <c:v>17168</c:v>
                </c:pt>
                <c:pt idx="21">
                  <c:v>17533</c:v>
                </c:pt>
                <c:pt idx="22">
                  <c:v>17899</c:v>
                </c:pt>
                <c:pt idx="23">
                  <c:v>18264</c:v>
                </c:pt>
                <c:pt idx="24">
                  <c:v>18629</c:v>
                </c:pt>
                <c:pt idx="25">
                  <c:v>18994</c:v>
                </c:pt>
                <c:pt idx="26">
                  <c:v>19360</c:v>
                </c:pt>
                <c:pt idx="27">
                  <c:v>19725</c:v>
                </c:pt>
                <c:pt idx="28">
                  <c:v>20090</c:v>
                </c:pt>
                <c:pt idx="29">
                  <c:v>20455</c:v>
                </c:pt>
                <c:pt idx="30">
                  <c:v>20821</c:v>
                </c:pt>
                <c:pt idx="31">
                  <c:v>21186</c:v>
                </c:pt>
                <c:pt idx="32">
                  <c:v>21551</c:v>
                </c:pt>
                <c:pt idx="33">
                  <c:v>21916</c:v>
                </c:pt>
                <c:pt idx="34">
                  <c:v>22282</c:v>
                </c:pt>
                <c:pt idx="35">
                  <c:v>22647</c:v>
                </c:pt>
                <c:pt idx="36">
                  <c:v>23012</c:v>
                </c:pt>
                <c:pt idx="37">
                  <c:v>23377</c:v>
                </c:pt>
                <c:pt idx="38">
                  <c:v>23743</c:v>
                </c:pt>
                <c:pt idx="39">
                  <c:v>24108</c:v>
                </c:pt>
                <c:pt idx="40">
                  <c:v>24473</c:v>
                </c:pt>
                <c:pt idx="41">
                  <c:v>24838</c:v>
                </c:pt>
                <c:pt idx="42">
                  <c:v>25204</c:v>
                </c:pt>
                <c:pt idx="43">
                  <c:v>25569</c:v>
                </c:pt>
                <c:pt idx="44">
                  <c:v>25934</c:v>
                </c:pt>
                <c:pt idx="45">
                  <c:v>26299</c:v>
                </c:pt>
                <c:pt idx="46">
                  <c:v>26665</c:v>
                </c:pt>
                <c:pt idx="47">
                  <c:v>27030</c:v>
                </c:pt>
                <c:pt idx="48">
                  <c:v>27395</c:v>
                </c:pt>
                <c:pt idx="49">
                  <c:v>27760</c:v>
                </c:pt>
                <c:pt idx="50">
                  <c:v>28126</c:v>
                </c:pt>
                <c:pt idx="51">
                  <c:v>28491</c:v>
                </c:pt>
                <c:pt idx="52">
                  <c:v>28856</c:v>
                </c:pt>
                <c:pt idx="53">
                  <c:v>29221</c:v>
                </c:pt>
                <c:pt idx="54">
                  <c:v>29587</c:v>
                </c:pt>
                <c:pt idx="55">
                  <c:v>29952</c:v>
                </c:pt>
                <c:pt idx="56">
                  <c:v>30317</c:v>
                </c:pt>
                <c:pt idx="57">
                  <c:v>30682</c:v>
                </c:pt>
                <c:pt idx="58">
                  <c:v>31048</c:v>
                </c:pt>
                <c:pt idx="59">
                  <c:v>31413</c:v>
                </c:pt>
                <c:pt idx="60">
                  <c:v>31778</c:v>
                </c:pt>
                <c:pt idx="61">
                  <c:v>32143</c:v>
                </c:pt>
                <c:pt idx="62">
                  <c:v>32509</c:v>
                </c:pt>
                <c:pt idx="63">
                  <c:v>32874</c:v>
                </c:pt>
                <c:pt idx="64">
                  <c:v>33239</c:v>
                </c:pt>
                <c:pt idx="65">
                  <c:v>33604</c:v>
                </c:pt>
                <c:pt idx="66">
                  <c:v>33970</c:v>
                </c:pt>
                <c:pt idx="67">
                  <c:v>34335</c:v>
                </c:pt>
                <c:pt idx="68">
                  <c:v>34700</c:v>
                </c:pt>
                <c:pt idx="69">
                  <c:v>35065</c:v>
                </c:pt>
                <c:pt idx="70">
                  <c:v>35431</c:v>
                </c:pt>
                <c:pt idx="71">
                  <c:v>35796</c:v>
                </c:pt>
                <c:pt idx="72">
                  <c:v>36161</c:v>
                </c:pt>
                <c:pt idx="73">
                  <c:v>36526</c:v>
                </c:pt>
                <c:pt idx="74">
                  <c:v>36892</c:v>
                </c:pt>
                <c:pt idx="75">
                  <c:v>37257</c:v>
                </c:pt>
                <c:pt idx="76">
                  <c:v>37622</c:v>
                </c:pt>
                <c:pt idx="77">
                  <c:v>37987</c:v>
                </c:pt>
                <c:pt idx="78">
                  <c:v>38353</c:v>
                </c:pt>
                <c:pt idx="79">
                  <c:v>38718</c:v>
                </c:pt>
                <c:pt idx="80">
                  <c:v>39083</c:v>
                </c:pt>
                <c:pt idx="81">
                  <c:v>39448</c:v>
                </c:pt>
                <c:pt idx="82">
                  <c:v>39814</c:v>
                </c:pt>
                <c:pt idx="83">
                  <c:v>40179</c:v>
                </c:pt>
                <c:pt idx="84">
                  <c:v>40544</c:v>
                </c:pt>
                <c:pt idx="85">
                  <c:v>40909</c:v>
                </c:pt>
                <c:pt idx="86">
                  <c:v>41275</c:v>
                </c:pt>
                <c:pt idx="87">
                  <c:v>41640</c:v>
                </c:pt>
                <c:pt idx="88">
                  <c:v>42005</c:v>
                </c:pt>
                <c:pt idx="89">
                  <c:v>42370</c:v>
                </c:pt>
                <c:pt idx="90">
                  <c:v>42736</c:v>
                </c:pt>
                <c:pt idx="91">
                  <c:v>43101</c:v>
                </c:pt>
                <c:pt idx="92">
                  <c:v>43466</c:v>
                </c:pt>
                <c:pt idx="93">
                  <c:v>43831</c:v>
                </c:pt>
              </c:numCache>
            </c:numRef>
          </c:cat>
          <c:val>
            <c:numRef>
              <c:f>'ipeadata 1'!$E$5:$E$240</c:f>
              <c:numCache>
                <c:formatCode>##0,,\ "Milhões"</c:formatCode>
                <c:ptCount val="236"/>
                <c:pt idx="0">
                  <c:v>1000</c:v>
                </c:pt>
                <c:pt idx="1">
                  <c:v>3000</c:v>
                </c:pt>
                <c:pt idx="2">
                  <c:v>4000</c:v>
                </c:pt>
                <c:pt idx="3">
                  <c:v>5000</c:v>
                </c:pt>
                <c:pt idx="4">
                  <c:v>5000</c:v>
                </c:pt>
                <c:pt idx="5">
                  <c:v>9000</c:v>
                </c:pt>
                <c:pt idx="6">
                  <c:v>13000</c:v>
                </c:pt>
                <c:pt idx="7">
                  <c:v>18000</c:v>
                </c:pt>
                <c:pt idx="8">
                  <c:v>26000</c:v>
                </c:pt>
                <c:pt idx="9">
                  <c:v>35000</c:v>
                </c:pt>
                <c:pt idx="10">
                  <c:v>55000</c:v>
                </c:pt>
                <c:pt idx="11">
                  <c:v>57000</c:v>
                </c:pt>
                <c:pt idx="12">
                  <c:v>63000</c:v>
                </c:pt>
                <c:pt idx="13">
                  <c:v>78000</c:v>
                </c:pt>
                <c:pt idx="14">
                  <c:v>90000</c:v>
                </c:pt>
                <c:pt idx="15">
                  <c:v>106000</c:v>
                </c:pt>
                <c:pt idx="16">
                  <c:v>150000</c:v>
                </c:pt>
                <c:pt idx="17">
                  <c:v>219000</c:v>
                </c:pt>
                <c:pt idx="18">
                  <c:v>263000</c:v>
                </c:pt>
                <c:pt idx="19">
                  <c:v>512000</c:v>
                </c:pt>
                <c:pt idx="20">
                  <c:v>787000</c:v>
                </c:pt>
                <c:pt idx="21">
                  <c:v>1001000</c:v>
                </c:pt>
                <c:pt idx="22">
                  <c:v>1317000</c:v>
                </c:pt>
                <c:pt idx="23">
                  <c:v>1715000</c:v>
                </c:pt>
                <c:pt idx="24">
                  <c:v>2131000</c:v>
                </c:pt>
                <c:pt idx="25">
                  <c:v>2110000</c:v>
                </c:pt>
                <c:pt idx="26">
                  <c:v>2611000</c:v>
                </c:pt>
                <c:pt idx="27">
                  <c:v>2733000</c:v>
                </c:pt>
                <c:pt idx="28">
                  <c:v>2799000</c:v>
                </c:pt>
                <c:pt idx="29">
                  <c:v>3365000</c:v>
                </c:pt>
                <c:pt idx="30">
                  <c:v>3754000</c:v>
                </c:pt>
                <c:pt idx="31">
                  <c:v>3947000</c:v>
                </c:pt>
                <c:pt idx="32">
                  <c:v>3890000</c:v>
                </c:pt>
                <c:pt idx="33">
                  <c:v>3972000</c:v>
                </c:pt>
                <c:pt idx="34">
                  <c:v>3264000</c:v>
                </c:pt>
                <c:pt idx="35">
                  <c:v>3530000</c:v>
                </c:pt>
                <c:pt idx="36">
                  <c:v>3266000</c:v>
                </c:pt>
                <c:pt idx="37">
                  <c:v>1996082</c:v>
                </c:pt>
                <c:pt idx="38">
                  <c:v>1996126.4040000001</c:v>
                </c:pt>
                <c:pt idx="39">
                  <c:v>2742000</c:v>
                </c:pt>
                <c:pt idx="40">
                  <c:v>2896000</c:v>
                </c:pt>
                <c:pt idx="41">
                  <c:v>3129000</c:v>
                </c:pt>
                <c:pt idx="42">
                  <c:v>3068915</c:v>
                </c:pt>
                <c:pt idx="43">
                  <c:v>3236508</c:v>
                </c:pt>
                <c:pt idx="44">
                  <c:v>3819690</c:v>
                </c:pt>
                <c:pt idx="45">
                  <c:v>4604095</c:v>
                </c:pt>
                <c:pt idx="46">
                  <c:v>5713374</c:v>
                </c:pt>
                <c:pt idx="47">
                  <c:v>6688913</c:v>
                </c:pt>
                <c:pt idx="48">
                  <c:v>7493368</c:v>
                </c:pt>
                <c:pt idx="49">
                  <c:v>8520680</c:v>
                </c:pt>
                <c:pt idx="50">
                  <c:v>9206751</c:v>
                </c:pt>
                <c:pt idx="51">
                  <c:v>10200812</c:v>
                </c:pt>
                <c:pt idx="52">
                  <c:v>11370537</c:v>
                </c:pt>
                <c:pt idx="53">
                  <c:v>12440274</c:v>
                </c:pt>
                <c:pt idx="54">
                  <c:v>12621772</c:v>
                </c:pt>
                <c:pt idx="55">
                  <c:v>13264922</c:v>
                </c:pt>
                <c:pt idx="56">
                  <c:v>12610924</c:v>
                </c:pt>
                <c:pt idx="57">
                  <c:v>12136226</c:v>
                </c:pt>
                <c:pt idx="58">
                  <c:v>13182000</c:v>
                </c:pt>
                <c:pt idx="59">
                  <c:v>16285000</c:v>
                </c:pt>
                <c:pt idx="60">
                  <c:v>16144000</c:v>
                </c:pt>
                <c:pt idx="61">
                  <c:v>15814000</c:v>
                </c:pt>
                <c:pt idx="62">
                  <c:v>17978000</c:v>
                </c:pt>
                <c:pt idx="63">
                  <c:v>17049000</c:v>
                </c:pt>
                <c:pt idx="64">
                  <c:v>17534580</c:v>
                </c:pt>
                <c:pt idx="65">
                  <c:v>14984935</c:v>
                </c:pt>
                <c:pt idx="66">
                  <c:v>14950264</c:v>
                </c:pt>
                <c:pt idx="67">
                  <c:v>15730452</c:v>
                </c:pt>
                <c:pt idx="68">
                  <c:v>16788234</c:v>
                </c:pt>
                <c:pt idx="69">
                  <c:v>15890898</c:v>
                </c:pt>
                <c:pt idx="70">
                  <c:v>19421029</c:v>
                </c:pt>
                <c:pt idx="71">
                  <c:v>22833767</c:v>
                </c:pt>
                <c:pt idx="72">
                  <c:v>20687939</c:v>
                </c:pt>
                <c:pt idx="73">
                  <c:v>37717960</c:v>
                </c:pt>
                <c:pt idx="74">
                  <c:v>38427791</c:v>
                </c:pt>
                <c:pt idx="75">
                  <c:v>37851476</c:v>
                </c:pt>
                <c:pt idx="76">
                  <c:v>37080682</c:v>
                </c:pt>
                <c:pt idx="77">
                  <c:v>41016481</c:v>
                </c:pt>
                <c:pt idx="78">
                  <c:v>48991994</c:v>
                </c:pt>
                <c:pt idx="79">
                  <c:v>53759439</c:v>
                </c:pt>
                <c:pt idx="80">
                  <c:v>59262389</c:v>
                </c:pt>
                <c:pt idx="81">
                  <c:v>63255103</c:v>
                </c:pt>
                <c:pt idx="82">
                  <c:v>69464630</c:v>
                </c:pt>
                <c:pt idx="83">
                  <c:v>85327685</c:v>
                </c:pt>
                <c:pt idx="84">
                  <c:v>99758917</c:v>
                </c:pt>
                <c:pt idx="85">
                  <c:v>107376542</c:v>
                </c:pt>
                <c:pt idx="86">
                  <c:v>109712578</c:v>
                </c:pt>
                <c:pt idx="87">
                  <c:v>117106796</c:v>
                </c:pt>
                <c:pt idx="88">
                  <c:v>117637685</c:v>
                </c:pt>
                <c:pt idx="89">
                  <c:v>109515590</c:v>
                </c:pt>
                <c:pt idx="90">
                  <c:v>112466805</c:v>
                </c:pt>
                <c:pt idx="91">
                  <c:v>117742257</c:v>
                </c:pt>
                <c:pt idx="92">
                  <c:v>119235990</c:v>
                </c:pt>
                <c:pt idx="93">
                  <c:v>51936312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4-4166-A24D-CAA32128B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  <c:min val="10959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60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,\ &quot;Milhões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2'!$J$1:$P$1</c:f>
          <c:strCache>
            <c:ptCount val="7"/>
            <c:pt idx="0">
              <c:v>Balança comercial - (FOB) - saldo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84888423563401"/>
          <c:y val="0.15671744302990165"/>
          <c:w val="0.84639391333269043"/>
          <c:h val="0.66838619471631466"/>
        </c:manualLayout>
      </c:layout>
      <c:lineChart>
        <c:grouping val="standard"/>
        <c:varyColors val="0"/>
        <c:ser>
          <c:idx val="1"/>
          <c:order val="0"/>
          <c:tx>
            <c:strRef>
              <c:f>'ipeadata 2'!$E$4</c:f>
              <c:strCache>
                <c:ptCount val="1"/>
                <c:pt idx="0">
                  <c:v>Value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'ipeadata 2'!$F$5:$F$117</c:f>
              <c:strCache>
                <c:ptCount val="113"/>
                <c:pt idx="0">
                  <c:v>1821</c:v>
                </c:pt>
                <c:pt idx="1">
                  <c:v>1822</c:v>
                </c:pt>
                <c:pt idx="2">
                  <c:v>1823</c:v>
                </c:pt>
                <c:pt idx="3">
                  <c:v>1824</c:v>
                </c:pt>
                <c:pt idx="4">
                  <c:v>1825</c:v>
                </c:pt>
                <c:pt idx="5">
                  <c:v>1826</c:v>
                </c:pt>
                <c:pt idx="6">
                  <c:v>1827</c:v>
                </c:pt>
                <c:pt idx="7">
                  <c:v>1828</c:v>
                </c:pt>
                <c:pt idx="8">
                  <c:v>1829</c:v>
                </c:pt>
                <c:pt idx="9">
                  <c:v>1830</c:v>
                </c:pt>
                <c:pt idx="10">
                  <c:v>1831</c:v>
                </c:pt>
                <c:pt idx="11">
                  <c:v>1832</c:v>
                </c:pt>
                <c:pt idx="12">
                  <c:v>1833</c:v>
                </c:pt>
                <c:pt idx="13">
                  <c:v>1834</c:v>
                </c:pt>
                <c:pt idx="14">
                  <c:v>1835</c:v>
                </c:pt>
                <c:pt idx="15">
                  <c:v>1836</c:v>
                </c:pt>
                <c:pt idx="16">
                  <c:v>1837</c:v>
                </c:pt>
                <c:pt idx="17">
                  <c:v>1838</c:v>
                </c:pt>
                <c:pt idx="18">
                  <c:v>1839</c:v>
                </c:pt>
                <c:pt idx="19">
                  <c:v>1840</c:v>
                </c:pt>
                <c:pt idx="20">
                  <c:v>1841</c:v>
                </c:pt>
                <c:pt idx="21">
                  <c:v>1842</c:v>
                </c:pt>
                <c:pt idx="22">
                  <c:v>1843</c:v>
                </c:pt>
                <c:pt idx="23">
                  <c:v>1844</c:v>
                </c:pt>
                <c:pt idx="24">
                  <c:v>1845</c:v>
                </c:pt>
                <c:pt idx="25">
                  <c:v>1846</c:v>
                </c:pt>
                <c:pt idx="26">
                  <c:v>1847</c:v>
                </c:pt>
                <c:pt idx="27">
                  <c:v>1848</c:v>
                </c:pt>
                <c:pt idx="28">
                  <c:v>1849</c:v>
                </c:pt>
                <c:pt idx="29">
                  <c:v>1850</c:v>
                </c:pt>
                <c:pt idx="30">
                  <c:v>1851</c:v>
                </c:pt>
                <c:pt idx="31">
                  <c:v>1852</c:v>
                </c:pt>
                <c:pt idx="32">
                  <c:v>1853</c:v>
                </c:pt>
                <c:pt idx="33">
                  <c:v>1854</c:v>
                </c:pt>
                <c:pt idx="34">
                  <c:v>1855</c:v>
                </c:pt>
                <c:pt idx="35">
                  <c:v>1856</c:v>
                </c:pt>
                <c:pt idx="36">
                  <c:v>1857</c:v>
                </c:pt>
                <c:pt idx="37">
                  <c:v>1858</c:v>
                </c:pt>
                <c:pt idx="38">
                  <c:v>1859</c:v>
                </c:pt>
                <c:pt idx="39">
                  <c:v>1860</c:v>
                </c:pt>
                <c:pt idx="40">
                  <c:v>1861</c:v>
                </c:pt>
                <c:pt idx="41">
                  <c:v>1862</c:v>
                </c:pt>
                <c:pt idx="42">
                  <c:v>1863</c:v>
                </c:pt>
                <c:pt idx="43">
                  <c:v>1864</c:v>
                </c:pt>
                <c:pt idx="44">
                  <c:v>1865</c:v>
                </c:pt>
                <c:pt idx="45">
                  <c:v>1866</c:v>
                </c:pt>
                <c:pt idx="46">
                  <c:v>1867</c:v>
                </c:pt>
                <c:pt idx="47">
                  <c:v>1868</c:v>
                </c:pt>
                <c:pt idx="48">
                  <c:v>1869</c:v>
                </c:pt>
                <c:pt idx="49">
                  <c:v>1870</c:v>
                </c:pt>
                <c:pt idx="50">
                  <c:v>1871</c:v>
                </c:pt>
                <c:pt idx="51">
                  <c:v>1872</c:v>
                </c:pt>
                <c:pt idx="52">
                  <c:v>1873</c:v>
                </c:pt>
                <c:pt idx="53">
                  <c:v>1874</c:v>
                </c:pt>
                <c:pt idx="54">
                  <c:v>1875</c:v>
                </c:pt>
                <c:pt idx="55">
                  <c:v>1876</c:v>
                </c:pt>
                <c:pt idx="56">
                  <c:v>1877</c:v>
                </c:pt>
                <c:pt idx="57">
                  <c:v>1878</c:v>
                </c:pt>
                <c:pt idx="58">
                  <c:v>1879</c:v>
                </c:pt>
                <c:pt idx="59">
                  <c:v>1880</c:v>
                </c:pt>
                <c:pt idx="60">
                  <c:v>1881</c:v>
                </c:pt>
                <c:pt idx="61">
                  <c:v>1882</c:v>
                </c:pt>
                <c:pt idx="62">
                  <c:v>1883</c:v>
                </c:pt>
                <c:pt idx="63">
                  <c:v>1884</c:v>
                </c:pt>
                <c:pt idx="64">
                  <c:v>1885</c:v>
                </c:pt>
                <c:pt idx="65">
                  <c:v>1886</c:v>
                </c:pt>
                <c:pt idx="66">
                  <c:v>1887</c:v>
                </c:pt>
                <c:pt idx="67">
                  <c:v>1888</c:v>
                </c:pt>
                <c:pt idx="68">
                  <c:v>1889</c:v>
                </c:pt>
                <c:pt idx="69">
                  <c:v>1890</c:v>
                </c:pt>
                <c:pt idx="70">
                  <c:v>1891</c:v>
                </c:pt>
                <c:pt idx="71">
                  <c:v>1892</c:v>
                </c:pt>
                <c:pt idx="72">
                  <c:v>1893</c:v>
                </c:pt>
                <c:pt idx="73">
                  <c:v>1894</c:v>
                </c:pt>
                <c:pt idx="74">
                  <c:v>1895</c:v>
                </c:pt>
                <c:pt idx="75">
                  <c:v>1896</c:v>
                </c:pt>
                <c:pt idx="76">
                  <c:v>1897</c:v>
                </c:pt>
                <c:pt idx="77">
                  <c:v>1898</c:v>
                </c:pt>
                <c:pt idx="78">
                  <c:v>1899</c:v>
                </c:pt>
                <c:pt idx="79">
                  <c:v>1900</c:v>
                </c:pt>
                <c:pt idx="80">
                  <c:v>1901</c:v>
                </c:pt>
                <c:pt idx="81">
                  <c:v>1902</c:v>
                </c:pt>
                <c:pt idx="82">
                  <c:v>1903</c:v>
                </c:pt>
                <c:pt idx="83">
                  <c:v>1904</c:v>
                </c:pt>
                <c:pt idx="84">
                  <c:v>1905</c:v>
                </c:pt>
                <c:pt idx="85">
                  <c:v>1906</c:v>
                </c:pt>
                <c:pt idx="86">
                  <c:v>1907</c:v>
                </c:pt>
                <c:pt idx="87">
                  <c:v>1908</c:v>
                </c:pt>
                <c:pt idx="88">
                  <c:v>1909</c:v>
                </c:pt>
                <c:pt idx="89">
                  <c:v>1910</c:v>
                </c:pt>
                <c:pt idx="90">
                  <c:v>1911</c:v>
                </c:pt>
                <c:pt idx="91">
                  <c:v>1912</c:v>
                </c:pt>
                <c:pt idx="92">
                  <c:v>1913</c:v>
                </c:pt>
                <c:pt idx="93">
                  <c:v>1914</c:v>
                </c:pt>
                <c:pt idx="94">
                  <c:v>1915</c:v>
                </c:pt>
                <c:pt idx="95">
                  <c:v>1916</c:v>
                </c:pt>
                <c:pt idx="96">
                  <c:v>1917</c:v>
                </c:pt>
                <c:pt idx="97">
                  <c:v>1918</c:v>
                </c:pt>
                <c:pt idx="98">
                  <c:v>1919</c:v>
                </c:pt>
                <c:pt idx="99">
                  <c:v>1920</c:v>
                </c:pt>
                <c:pt idx="100">
                  <c:v>1921</c:v>
                </c:pt>
                <c:pt idx="101">
                  <c:v>1922</c:v>
                </c:pt>
                <c:pt idx="102">
                  <c:v>1923</c:v>
                </c:pt>
                <c:pt idx="103">
                  <c:v>1924</c:v>
                </c:pt>
                <c:pt idx="104">
                  <c:v>1925</c:v>
                </c:pt>
                <c:pt idx="105">
                  <c:v>1926</c:v>
                </c:pt>
                <c:pt idx="106">
                  <c:v>1927</c:v>
                </c:pt>
                <c:pt idx="107">
                  <c:v>1928</c:v>
                </c:pt>
                <c:pt idx="108">
                  <c:v>1929</c:v>
                </c:pt>
                <c:pt idx="109">
                  <c:v>1930</c:v>
                </c:pt>
                <c:pt idx="110">
                  <c:v>1931</c:v>
                </c:pt>
                <c:pt idx="111">
                  <c:v>1932</c:v>
                </c:pt>
                <c:pt idx="112">
                  <c:v>1933</c:v>
                </c:pt>
              </c:strCache>
            </c:strRef>
          </c:cat>
          <c:val>
            <c:numRef>
              <c:f>'ipeadata 2'!$E$5:$E$117</c:f>
              <c:numCache>
                <c:formatCode>##0,\ "Mi £"</c:formatCode>
                <c:ptCount val="113"/>
                <c:pt idx="0">
                  <c:v>-247</c:v>
                </c:pt>
                <c:pt idx="1">
                  <c:v>-560</c:v>
                </c:pt>
                <c:pt idx="2">
                  <c:v>261</c:v>
                </c:pt>
                <c:pt idx="3">
                  <c:v>-986</c:v>
                </c:pt>
                <c:pt idx="4">
                  <c:v>-311</c:v>
                </c:pt>
                <c:pt idx="5">
                  <c:v>-416</c:v>
                </c:pt>
                <c:pt idx="6">
                  <c:v>-292</c:v>
                </c:pt>
                <c:pt idx="7">
                  <c:v>22</c:v>
                </c:pt>
                <c:pt idx="8">
                  <c:v>-219</c:v>
                </c:pt>
                <c:pt idx="9">
                  <c:v>-659</c:v>
                </c:pt>
                <c:pt idx="10">
                  <c:v>-110</c:v>
                </c:pt>
                <c:pt idx="11">
                  <c:v>-48</c:v>
                </c:pt>
                <c:pt idx="12">
                  <c:v>429</c:v>
                </c:pt>
                <c:pt idx="13">
                  <c:v>-18</c:v>
                </c:pt>
                <c:pt idx="14">
                  <c:v>-579</c:v>
                </c:pt>
                <c:pt idx="15">
                  <c:v>41</c:v>
                </c:pt>
                <c:pt idx="16">
                  <c:v>-1784</c:v>
                </c:pt>
                <c:pt idx="17">
                  <c:v>-892</c:v>
                </c:pt>
                <c:pt idx="18">
                  <c:v>-917</c:v>
                </c:pt>
                <c:pt idx="19">
                  <c:v>-1208</c:v>
                </c:pt>
                <c:pt idx="20">
                  <c:v>-2074</c:v>
                </c:pt>
                <c:pt idx="21">
                  <c:v>-2142</c:v>
                </c:pt>
                <c:pt idx="22">
                  <c:v>-1072</c:v>
                </c:pt>
                <c:pt idx="23">
                  <c:v>-1236</c:v>
                </c:pt>
                <c:pt idx="24">
                  <c:v>-858</c:v>
                </c:pt>
                <c:pt idx="25">
                  <c:v>153</c:v>
                </c:pt>
                <c:pt idx="26">
                  <c:v>-369</c:v>
                </c:pt>
                <c:pt idx="27">
                  <c:v>1234</c:v>
                </c:pt>
                <c:pt idx="28">
                  <c:v>491</c:v>
                </c:pt>
                <c:pt idx="29">
                  <c:v>-446</c:v>
                </c:pt>
                <c:pt idx="30">
                  <c:v>-1094</c:v>
                </c:pt>
                <c:pt idx="31">
                  <c:v>-3181</c:v>
                </c:pt>
                <c:pt idx="32">
                  <c:v>-1564</c:v>
                </c:pt>
                <c:pt idx="33">
                  <c:v>-1068</c:v>
                </c:pt>
                <c:pt idx="34">
                  <c:v>636</c:v>
                </c:pt>
                <c:pt idx="35">
                  <c:v>180</c:v>
                </c:pt>
                <c:pt idx="36">
                  <c:v>-1226</c:v>
                </c:pt>
                <c:pt idx="37">
                  <c:v>-3777</c:v>
                </c:pt>
                <c:pt idx="38">
                  <c:v>-2182</c:v>
                </c:pt>
                <c:pt idx="39">
                  <c:v>-7</c:v>
                </c:pt>
                <c:pt idx="40">
                  <c:v>-59</c:v>
                </c:pt>
                <c:pt idx="41">
                  <c:v>1086</c:v>
                </c:pt>
                <c:pt idx="42">
                  <c:v>2556</c:v>
                </c:pt>
                <c:pt idx="43">
                  <c:v>625</c:v>
                </c:pt>
                <c:pt idx="44">
                  <c:v>1038</c:v>
                </c:pt>
                <c:pt idx="45">
                  <c:v>2011</c:v>
                </c:pt>
                <c:pt idx="46">
                  <c:v>1323</c:v>
                </c:pt>
                <c:pt idx="47">
                  <c:v>4180</c:v>
                </c:pt>
                <c:pt idx="48">
                  <c:v>2549</c:v>
                </c:pt>
                <c:pt idx="49">
                  <c:v>2258</c:v>
                </c:pt>
                <c:pt idx="50">
                  <c:v>514</c:v>
                </c:pt>
                <c:pt idx="51">
                  <c:v>4044</c:v>
                </c:pt>
                <c:pt idx="52">
                  <c:v>5876</c:v>
                </c:pt>
                <c:pt idx="53">
                  <c:v>4011</c:v>
                </c:pt>
                <c:pt idx="54">
                  <c:v>4397</c:v>
                </c:pt>
                <c:pt idx="55">
                  <c:v>1298</c:v>
                </c:pt>
                <c:pt idx="56">
                  <c:v>4069</c:v>
                </c:pt>
                <c:pt idx="57">
                  <c:v>2335</c:v>
                </c:pt>
                <c:pt idx="58">
                  <c:v>3877</c:v>
                </c:pt>
                <c:pt idx="59">
                  <c:v>4335</c:v>
                </c:pt>
                <c:pt idx="60">
                  <c:v>4720</c:v>
                </c:pt>
                <c:pt idx="61">
                  <c:v>2517</c:v>
                </c:pt>
                <c:pt idx="62">
                  <c:v>596</c:v>
                </c:pt>
                <c:pt idx="63">
                  <c:v>1306</c:v>
                </c:pt>
                <c:pt idx="64">
                  <c:v>4123</c:v>
                </c:pt>
                <c:pt idx="65">
                  <c:v>-196</c:v>
                </c:pt>
                <c:pt idx="66">
                  <c:v>4382</c:v>
                </c:pt>
                <c:pt idx="67">
                  <c:v>1990</c:v>
                </c:pt>
                <c:pt idx="68">
                  <c:v>4550</c:v>
                </c:pt>
                <c:pt idx="69">
                  <c:v>2363</c:v>
                </c:pt>
                <c:pt idx="70">
                  <c:v>1571</c:v>
                </c:pt>
                <c:pt idx="71">
                  <c:v>4552</c:v>
                </c:pt>
                <c:pt idx="72">
                  <c:v>5792</c:v>
                </c:pt>
                <c:pt idx="73">
                  <c:v>3346</c:v>
                </c:pt>
                <c:pt idx="74">
                  <c:v>3374</c:v>
                </c:pt>
                <c:pt idx="75">
                  <c:v>453</c:v>
                </c:pt>
                <c:pt idx="76">
                  <c:v>2893</c:v>
                </c:pt>
                <c:pt idx="77">
                  <c:v>1483</c:v>
                </c:pt>
                <c:pt idx="78">
                  <c:v>2982</c:v>
                </c:pt>
                <c:pt idx="79">
                  <c:v>11754</c:v>
                </c:pt>
                <c:pt idx="80">
                  <c:v>19245</c:v>
                </c:pt>
                <c:pt idx="81">
                  <c:v>13158</c:v>
                </c:pt>
                <c:pt idx="82">
                  <c:v>12625</c:v>
                </c:pt>
                <c:pt idx="83">
                  <c:v>13515</c:v>
                </c:pt>
                <c:pt idx="84">
                  <c:v>14813</c:v>
                </c:pt>
                <c:pt idx="85">
                  <c:v>19855</c:v>
                </c:pt>
                <c:pt idx="86">
                  <c:v>13649</c:v>
                </c:pt>
                <c:pt idx="87">
                  <c:v>8664</c:v>
                </c:pt>
                <c:pt idx="88">
                  <c:v>26585</c:v>
                </c:pt>
                <c:pt idx="89">
                  <c:v>15220</c:v>
                </c:pt>
                <c:pt idx="90">
                  <c:v>14017</c:v>
                </c:pt>
                <c:pt idx="91">
                  <c:v>11224</c:v>
                </c:pt>
                <c:pt idx="92">
                  <c:v>-1715</c:v>
                </c:pt>
                <c:pt idx="93">
                  <c:v>11330</c:v>
                </c:pt>
                <c:pt idx="94">
                  <c:v>23863</c:v>
                </c:pt>
                <c:pt idx="95">
                  <c:v>16093</c:v>
                </c:pt>
                <c:pt idx="96">
                  <c:v>18521</c:v>
                </c:pt>
                <c:pt idx="97">
                  <c:v>8351</c:v>
                </c:pt>
                <c:pt idx="98">
                  <c:v>45521</c:v>
                </c:pt>
                <c:pt idx="99">
                  <c:v>-6023</c:v>
                </c:pt>
                <c:pt idx="100">
                  <c:v>-622</c:v>
                </c:pt>
                <c:pt idx="101">
                  <c:v>17708</c:v>
                </c:pt>
                <c:pt idx="102">
                  <c:v>21121</c:v>
                </c:pt>
                <c:pt idx="103">
                  <c:v>24235</c:v>
                </c:pt>
                <c:pt idx="104">
                  <c:v>18432</c:v>
                </c:pt>
                <c:pt idx="105">
                  <c:v>14378</c:v>
                </c:pt>
                <c:pt idx="106">
                  <c:v>9055</c:v>
                </c:pt>
                <c:pt idx="107">
                  <c:v>6757</c:v>
                </c:pt>
                <c:pt idx="108">
                  <c:v>8178</c:v>
                </c:pt>
                <c:pt idx="109">
                  <c:v>12127</c:v>
                </c:pt>
                <c:pt idx="110">
                  <c:v>20788</c:v>
                </c:pt>
                <c:pt idx="111">
                  <c:v>14886</c:v>
                </c:pt>
                <c:pt idx="112">
                  <c:v>7658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E-4219-8B4A-0FA884500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3175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0"/>
        <c:lblOffset val="100"/>
        <c:baseTimeUnit val="months"/>
        <c:majorUnit val="7"/>
        <c:majorTimeUnit val="months"/>
        <c:minorUnit val="10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#0,\ &quot;Mi £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'ipeadata 3'!$J$1:$P$1</c:f>
          <c:strCache>
            <c:ptCount val="7"/>
            <c:pt idx="0">
              <c:v>Inflação acumulada por faixa de renda desde Mar-20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3563242060256157E-2"/>
          <c:y val="0.15671744302990165"/>
          <c:w val="0.86734625161661016"/>
          <c:h val="0.64567447067464812"/>
        </c:manualLayout>
      </c:layout>
      <c:lineChart>
        <c:grouping val="standard"/>
        <c:varyColors val="0"/>
        <c:ser>
          <c:idx val="1"/>
          <c:order val="0"/>
          <c:tx>
            <c:strRef>
              <c:f>'ipeadata 3'!$K$5</c:f>
              <c:strCache>
                <c:ptCount val="1"/>
                <c:pt idx="0">
                  <c:v>Renda muito baixa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3'!$K$6:$K$182</c:f>
              <c:numCache>
                <c:formatCode>0%</c:formatCode>
                <c:ptCount val="177"/>
                <c:pt idx="0">
                  <c:v>2.4943639838845601E-3</c:v>
                </c:pt>
                <c:pt idx="1">
                  <c:v>2.5791576071396705E-3</c:v>
                </c:pt>
                <c:pt idx="2">
                  <c:v>6.5333034188053141E-4</c:v>
                </c:pt>
                <c:pt idx="3">
                  <c:v>3.843256948896645E-3</c:v>
                </c:pt>
                <c:pt idx="4">
                  <c:v>7.6540507957592041E-3</c:v>
                </c:pt>
                <c:pt idx="5">
                  <c:v>1.1438546015824835E-2</c:v>
                </c:pt>
                <c:pt idx="6">
                  <c:v>2.1315621455787026E-2</c:v>
                </c:pt>
                <c:pt idx="7">
                  <c:v>3.1363097117425909E-2</c:v>
                </c:pt>
                <c:pt idx="8">
                  <c:v>4.1637166485626098E-2</c:v>
                </c:pt>
                <c:pt idx="9">
                  <c:v>5.8121847879742949E-2</c:v>
                </c:pt>
                <c:pt idx="10">
                  <c:v>6.0394450298249858E-2</c:v>
                </c:pt>
                <c:pt idx="11">
                  <c:v>6.7480214577469999E-2</c:v>
                </c:pt>
                <c:pt idx="12">
                  <c:v>7.5025701815522261E-2</c:v>
                </c:pt>
                <c:pt idx="13">
                  <c:v>7.9870275147919889E-2</c:v>
                </c:pt>
                <c:pt idx="14">
                  <c:v>8.9840771524094754E-2</c:v>
                </c:pt>
                <c:pt idx="15">
                  <c:v>9.6617503809436567E-2</c:v>
                </c:pt>
                <c:pt idx="16">
                  <c:v>0.10890260530917795</c:v>
                </c:pt>
                <c:pt idx="17">
                  <c:v>0.11894459220535292</c:v>
                </c:pt>
                <c:pt idx="18">
                  <c:v>0.13346857225836573</c:v>
                </c:pt>
                <c:pt idx="19">
                  <c:v>0.14873668461245915</c:v>
                </c:pt>
                <c:pt idx="20">
                  <c:v>0.15624902287080933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0-44F6-B9C4-911C57ED12CE}"/>
            </c:ext>
          </c:extLst>
        </c:ser>
        <c:ser>
          <c:idx val="3"/>
          <c:order val="3"/>
          <c:tx>
            <c:strRef>
              <c:f>'ipeadata 3'!$N$5</c:f>
              <c:strCache>
                <c:ptCount val="1"/>
                <c:pt idx="0">
                  <c:v>Renda média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3'!$N$6:$N$182</c:f>
              <c:numCache>
                <c:formatCode>0%</c:formatCode>
                <c:ptCount val="177"/>
                <c:pt idx="0">
                  <c:v>2.6499223145784299E-4</c:v>
                </c:pt>
                <c:pt idx="1">
                  <c:v>-3.7360677374679296E-3</c:v>
                </c:pt>
                <c:pt idx="2">
                  <c:v>-7.91694195422743E-3</c:v>
                </c:pt>
                <c:pt idx="3">
                  <c:v>-5.2988140426177832E-3</c:v>
                </c:pt>
                <c:pt idx="4">
                  <c:v>-1.7971093678185168E-3</c:v>
                </c:pt>
                <c:pt idx="5">
                  <c:v>6.9430909854450995E-4</c:v>
                </c:pt>
                <c:pt idx="6">
                  <c:v>6.2621442129124905E-3</c:v>
                </c:pt>
                <c:pt idx="7">
                  <c:v>1.4109966183393441E-2</c:v>
                </c:pt>
                <c:pt idx="8">
                  <c:v>2.2683343678621126E-2</c:v>
                </c:pt>
                <c:pt idx="9">
                  <c:v>3.5024017773062965E-2</c:v>
                </c:pt>
                <c:pt idx="10">
                  <c:v>3.7763077170360759E-2</c:v>
                </c:pt>
                <c:pt idx="11">
                  <c:v>4.797218764081701E-2</c:v>
                </c:pt>
                <c:pt idx="12">
                  <c:v>5.9397466842469493E-2</c:v>
                </c:pt>
                <c:pt idx="13">
                  <c:v>6.2147716561286925E-2</c:v>
                </c:pt>
                <c:pt idx="14">
                  <c:v>7.0851707469632208E-2</c:v>
                </c:pt>
                <c:pt idx="15">
                  <c:v>7.6382258736511277E-2</c:v>
                </c:pt>
                <c:pt idx="16">
                  <c:v>8.599430816049658E-2</c:v>
                </c:pt>
                <c:pt idx="17">
                  <c:v>9.5401165135128085E-2</c:v>
                </c:pt>
                <c:pt idx="18">
                  <c:v>0.10781650440840052</c:v>
                </c:pt>
                <c:pt idx="19">
                  <c:v>0.12104939935530368</c:v>
                </c:pt>
                <c:pt idx="20">
                  <c:v>0.1333713267580332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70-44F6-B9C4-911C57ED12CE}"/>
            </c:ext>
          </c:extLst>
        </c:ser>
        <c:ser>
          <c:idx val="5"/>
          <c:order val="5"/>
          <c:tx>
            <c:strRef>
              <c:f>'ipeadata 3'!$P$5</c:f>
              <c:strCache>
                <c:ptCount val="1"/>
                <c:pt idx="0">
                  <c:v>Renda alta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1E-4BBA-9648-82AEEB0908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'ipeadata 3'!$D$6:$D$182</c:f>
              <c:numCache>
                <c:formatCode>[$-416]mmm\-yy;@</c:formatCode>
                <c:ptCount val="177"/>
                <c:pt idx="0">
                  <c:v>43891</c:v>
                </c:pt>
                <c:pt idx="1">
                  <c:v>43922</c:v>
                </c:pt>
                <c:pt idx="2">
                  <c:v>43952</c:v>
                </c:pt>
                <c:pt idx="3">
                  <c:v>43983</c:v>
                </c:pt>
                <c:pt idx="4">
                  <c:v>44013</c:v>
                </c:pt>
                <c:pt idx="5">
                  <c:v>44044</c:v>
                </c:pt>
                <c:pt idx="6">
                  <c:v>44075</c:v>
                </c:pt>
                <c:pt idx="7">
                  <c:v>44105</c:v>
                </c:pt>
                <c:pt idx="8">
                  <c:v>44136</c:v>
                </c:pt>
                <c:pt idx="9">
                  <c:v>44166</c:v>
                </c:pt>
                <c:pt idx="10">
                  <c:v>44197</c:v>
                </c:pt>
                <c:pt idx="11">
                  <c:v>44228</c:v>
                </c:pt>
                <c:pt idx="12">
                  <c:v>44256</c:v>
                </c:pt>
                <c:pt idx="13">
                  <c:v>44287</c:v>
                </c:pt>
                <c:pt idx="14">
                  <c:v>44317</c:v>
                </c:pt>
                <c:pt idx="15">
                  <c:v>44348</c:v>
                </c:pt>
                <c:pt idx="16">
                  <c:v>44378</c:v>
                </c:pt>
                <c:pt idx="17">
                  <c:v>44409</c:v>
                </c:pt>
                <c:pt idx="18">
                  <c:v>44440</c:v>
                </c:pt>
                <c:pt idx="19">
                  <c:v>44470</c:v>
                </c:pt>
                <c:pt idx="20">
                  <c:v>44501</c:v>
                </c:pt>
              </c:numCache>
            </c:numRef>
          </c:cat>
          <c:val>
            <c:numRef>
              <c:f>'ipeadata 3'!$P$6:$P$182</c:f>
              <c:numCache>
                <c:formatCode>0%</c:formatCode>
                <c:ptCount val="177"/>
                <c:pt idx="0">
                  <c:v>-1.9955107961268101E-3</c:v>
                </c:pt>
                <c:pt idx="1">
                  <c:v>-4.8189941367602351E-3</c:v>
                </c:pt>
                <c:pt idx="2">
                  <c:v>-1.0467755237662968E-2</c:v>
                </c:pt>
                <c:pt idx="3">
                  <c:v>-8.3560121765827722E-3</c:v>
                </c:pt>
                <c:pt idx="4">
                  <c:v>-5.710184269206775E-3</c:v>
                </c:pt>
                <c:pt idx="5">
                  <c:v>-6.6996187112562389E-3</c:v>
                </c:pt>
                <c:pt idx="6">
                  <c:v>-3.8504955295731724E-3</c:v>
                </c:pt>
                <c:pt idx="7">
                  <c:v>4.338855066646552E-3</c:v>
                </c:pt>
                <c:pt idx="8">
                  <c:v>1.0710557595742243E-2</c:v>
                </c:pt>
                <c:pt idx="9">
                  <c:v>2.1275298741818771E-2</c:v>
                </c:pt>
                <c:pt idx="10">
                  <c:v>2.4259276319800849E-2</c:v>
                </c:pt>
                <c:pt idx="11">
                  <c:v>3.4323306342834314E-2</c:v>
                </c:pt>
                <c:pt idx="12">
                  <c:v>4.4626799629333691E-2</c:v>
                </c:pt>
                <c:pt idx="13">
                  <c:v>4.7041132672043462E-2</c:v>
                </c:pt>
                <c:pt idx="14">
                  <c:v>5.1832619313442407E-2</c:v>
                </c:pt>
                <c:pt idx="15">
                  <c:v>5.565242936494208E-2</c:v>
                </c:pt>
                <c:pt idx="16">
                  <c:v>6.4954940067506683E-2</c:v>
                </c:pt>
                <c:pt idx="17">
                  <c:v>7.3208948677421892E-2</c:v>
                </c:pt>
                <c:pt idx="18">
                  <c:v>8.4920188550253073E-2</c:v>
                </c:pt>
                <c:pt idx="19">
                  <c:v>9.7894699420657094E-2</c:v>
                </c:pt>
                <c:pt idx="20">
                  <c:v>0.10912002107610252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70-44F6-B9C4-911C57ED1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'ipeadata 3'!$L$5</c15:sqref>
                        </c15:formulaRef>
                      </c:ext>
                    </c:extLst>
                    <c:strCache>
                      <c:ptCount val="1"/>
                      <c:pt idx="0">
                        <c:v>Renda 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'ipeadata 3'!$L$6:$L$182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2.0064386924300501E-3</c:v>
                      </c:pt>
                      <c:pt idx="1">
                        <c:v>2.8186675523134141E-4</c:v>
                      </c:pt>
                      <c:pt idx="2">
                        <c:v>-2.2971419450157349E-3</c:v>
                      </c:pt>
                      <c:pt idx="3">
                        <c:v>8.3973167994932929E-4</c:v>
                      </c:pt>
                      <c:pt idx="4">
                        <c:v>4.4869815305270677E-3</c:v>
                      </c:pt>
                      <c:pt idx="5">
                        <c:v>8.3399610254013545E-3</c:v>
                      </c:pt>
                      <c:pt idx="6">
                        <c:v>1.7223331797689756E-2</c:v>
                      </c:pt>
                      <c:pt idx="7">
                        <c:v>2.621012087697161E-2</c:v>
                      </c:pt>
                      <c:pt idx="8">
                        <c:v>3.5840775779890865E-2</c:v>
                      </c:pt>
                      <c:pt idx="9">
                        <c:v>5.0998427216167874E-2</c:v>
                      </c:pt>
                      <c:pt idx="10">
                        <c:v>5.3340186995467942E-2</c:v>
                      </c:pt>
                      <c:pt idx="11">
                        <c:v>6.1757541425767615E-2</c:v>
                      </c:pt>
                      <c:pt idx="12">
                        <c:v>7.0806466585368266E-2</c:v>
                      </c:pt>
                      <c:pt idx="13">
                        <c:v>7.5300108401910038E-2</c:v>
                      </c:pt>
                      <c:pt idx="14">
                        <c:v>8.480404988604473E-2</c:v>
                      </c:pt>
                      <c:pt idx="15">
                        <c:v>9.1288501724454241E-2</c:v>
                      </c:pt>
                      <c:pt idx="16">
                        <c:v>0.10293613655585276</c:v>
                      </c:pt>
                      <c:pt idx="17">
                        <c:v>0.11293822818100918</c:v>
                      </c:pt>
                      <c:pt idx="18">
                        <c:v>0.1262921768373868</c:v>
                      </c:pt>
                      <c:pt idx="19">
                        <c:v>0.14039597823313921</c:v>
                      </c:pt>
                      <c:pt idx="20">
                        <c:v>0.14908595683146908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770-44F6-B9C4-911C57ED12C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3'!$M$5</c15:sqref>
                        </c15:formulaRef>
                      </c:ext>
                    </c:extLst>
                    <c:strCache>
                      <c:ptCount val="1"/>
                      <c:pt idx="0">
                        <c:v>Renda média-baixa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3'!$M$6:$M$182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1.0982275471070699E-3</c:v>
                      </c:pt>
                      <c:pt idx="1">
                        <c:v>-2.3891175053006863E-3</c:v>
                      </c:pt>
                      <c:pt idx="2">
                        <c:v>-5.796930221111718E-3</c:v>
                      </c:pt>
                      <c:pt idx="3">
                        <c:v>-3.0688057167223004E-3</c:v>
                      </c:pt>
                      <c:pt idx="4">
                        <c:v>5.3578380434560202E-4</c:v>
                      </c:pt>
                      <c:pt idx="5">
                        <c:v>4.2038507408634906E-3</c:v>
                      </c:pt>
                      <c:pt idx="6">
                        <c:v>1.2036066674494972E-2</c:v>
                      </c:pt>
                      <c:pt idx="7">
                        <c:v>2.0768037001039241E-2</c:v>
                      </c:pt>
                      <c:pt idx="8">
                        <c:v>3.0016890413931963E-2</c:v>
                      </c:pt>
                      <c:pt idx="9">
                        <c:v>4.4275535255172027E-2</c:v>
                      </c:pt>
                      <c:pt idx="10">
                        <c:v>4.676134420850131E-2</c:v>
                      </c:pt>
                      <c:pt idx="11">
                        <c:v>5.6092534442067965E-2</c:v>
                      </c:pt>
                      <c:pt idx="12">
                        <c:v>6.6908254080566332E-2</c:v>
                      </c:pt>
                      <c:pt idx="13">
                        <c:v>7.041403691214887E-2</c:v>
                      </c:pt>
                      <c:pt idx="14">
                        <c:v>7.9572382041465328E-2</c:v>
                      </c:pt>
                      <c:pt idx="15">
                        <c:v>8.5510508066323654E-2</c:v>
                      </c:pt>
                      <c:pt idx="16">
                        <c:v>9.652583543779647E-2</c:v>
                      </c:pt>
                      <c:pt idx="17">
                        <c:v>0.1063656789192815</c:v>
                      </c:pt>
                      <c:pt idx="18">
                        <c:v>0.11975438792124238</c:v>
                      </c:pt>
                      <c:pt idx="19">
                        <c:v>0.13396144281768518</c:v>
                      </c:pt>
                      <c:pt idx="20">
                        <c:v>0.1446012604069975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70-44F6-B9C4-911C57ED12CE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3'!$O$5</c15:sqref>
                        </c15:formulaRef>
                      </c:ext>
                    </c:extLst>
                    <c:strCache>
                      <c:ptCount val="1"/>
                      <c:pt idx="0">
                        <c:v>Renda média-alta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3'!$D$6:$D$182</c15:sqref>
                        </c15:formulaRef>
                      </c:ext>
                    </c:extLst>
                    <c:numCache>
                      <c:formatCode>[$-416]mmm\-yy;@</c:formatCode>
                      <c:ptCount val="177"/>
                      <c:pt idx="0">
                        <c:v>43891</c:v>
                      </c:pt>
                      <c:pt idx="1">
                        <c:v>43922</c:v>
                      </c:pt>
                      <c:pt idx="2">
                        <c:v>43952</c:v>
                      </c:pt>
                      <c:pt idx="3">
                        <c:v>43983</c:v>
                      </c:pt>
                      <c:pt idx="4">
                        <c:v>44013</c:v>
                      </c:pt>
                      <c:pt idx="5">
                        <c:v>44044</c:v>
                      </c:pt>
                      <c:pt idx="6">
                        <c:v>44075</c:v>
                      </c:pt>
                      <c:pt idx="7">
                        <c:v>44105</c:v>
                      </c:pt>
                      <c:pt idx="8">
                        <c:v>44136</c:v>
                      </c:pt>
                      <c:pt idx="9">
                        <c:v>44166</c:v>
                      </c:pt>
                      <c:pt idx="10">
                        <c:v>44197</c:v>
                      </c:pt>
                      <c:pt idx="11">
                        <c:v>44228</c:v>
                      </c:pt>
                      <c:pt idx="12">
                        <c:v>44256</c:v>
                      </c:pt>
                      <c:pt idx="13">
                        <c:v>44287</c:v>
                      </c:pt>
                      <c:pt idx="14">
                        <c:v>44317</c:v>
                      </c:pt>
                      <c:pt idx="15">
                        <c:v>44348</c:v>
                      </c:pt>
                      <c:pt idx="16">
                        <c:v>44378</c:v>
                      </c:pt>
                      <c:pt idx="17">
                        <c:v>44409</c:v>
                      </c:pt>
                      <c:pt idx="18">
                        <c:v>44440</c:v>
                      </c:pt>
                      <c:pt idx="19">
                        <c:v>44470</c:v>
                      </c:pt>
                      <c:pt idx="20">
                        <c:v>44501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'ipeadata 3'!$O$6:$O$182</c15:sqref>
                        </c15:formulaRef>
                      </c:ext>
                    </c:extLst>
                    <c:numCache>
                      <c:formatCode>0%</c:formatCode>
                      <c:ptCount val="177"/>
                      <c:pt idx="0">
                        <c:v>3.0796260565551701E-4</c:v>
                      </c:pt>
                      <c:pt idx="1">
                        <c:v>-4.9351029693245341E-3</c:v>
                      </c:pt>
                      <c:pt idx="2">
                        <c:v>-8.8131764707328752E-3</c:v>
                      </c:pt>
                      <c:pt idx="3">
                        <c:v>-6.2155634671711146E-3</c:v>
                      </c:pt>
                      <c:pt idx="4">
                        <c:v>-3.0926592440285727E-3</c:v>
                      </c:pt>
                      <c:pt idx="5">
                        <c:v>-1.7869774378275194E-3</c:v>
                      </c:pt>
                      <c:pt idx="6">
                        <c:v>1.9474191163237897E-3</c:v>
                      </c:pt>
                      <c:pt idx="7">
                        <c:v>8.8514822711205365E-3</c:v>
                      </c:pt>
                      <c:pt idx="8">
                        <c:v>1.6874613260368987E-2</c:v>
                      </c:pt>
                      <c:pt idx="9">
                        <c:v>2.7254861463589242E-2</c:v>
                      </c:pt>
                      <c:pt idx="10">
                        <c:v>2.9985997104486461E-2</c:v>
                      </c:pt>
                      <c:pt idx="11">
                        <c:v>3.995361081878479E-2</c:v>
                      </c:pt>
                      <c:pt idx="12">
                        <c:v>5.1191579850544011E-2</c:v>
                      </c:pt>
                      <c:pt idx="13">
                        <c:v>5.3267577552993384E-2</c:v>
                      </c:pt>
                      <c:pt idx="14">
                        <c:v>6.1822828194978197E-2</c:v>
                      </c:pt>
                      <c:pt idx="15">
                        <c:v>6.6523070718359945E-2</c:v>
                      </c:pt>
                      <c:pt idx="16">
                        <c:v>7.4829509752420087E-2</c:v>
                      </c:pt>
                      <c:pt idx="17">
                        <c:v>8.4014009777331866E-2</c:v>
                      </c:pt>
                      <c:pt idx="18">
                        <c:v>9.5319085884366883E-2</c:v>
                      </c:pt>
                      <c:pt idx="19">
                        <c:v>0.10735190116391014</c:v>
                      </c:pt>
                      <c:pt idx="20">
                        <c:v>0.11933490551276837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70-44F6-B9C4-911C57ED12CE}"/>
                  </c:ext>
                </c:extLst>
              </c15:ser>
            </c15:filteredLineSeries>
          </c:ext>
        </c:extLst>
      </c:lineChart>
      <c:dateAx>
        <c:axId val="99017353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months"/>
        <c:majorUnit val="2"/>
        <c:majorTimeUnit val="month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19</xdr:col>
      <xdr:colOff>257175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99CF55-18E0-4021-9AB6-DB59955FE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312419</xdr:colOff>
      <xdr:row>3</xdr:row>
      <xdr:rowOff>110490</xdr:rowOff>
    </xdr:from>
    <xdr:to>
      <xdr:col>17</xdr:col>
      <xdr:colOff>581025</xdr:colOff>
      <xdr:row>22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D5ED8D-9CE6-4E71-ACCD-BB7EE1A462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28574</xdr:colOff>
      <xdr:row>3</xdr:row>
      <xdr:rowOff>91438</xdr:rowOff>
    </xdr:from>
    <xdr:to>
      <xdr:col>27</xdr:col>
      <xdr:colOff>600075</xdr:colOff>
      <xdr:row>31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F5837-4485-43B0-8E94-8D2B4BF1A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1.49981E-7</cdr:x>
      <cdr:y>0.92758</cdr:y>
    </cdr:from>
    <cdr:to>
      <cdr:x>0.38714</cdr:x>
      <cdr:y>0.9786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755F7B0C-91A1-4BD7-8C9D-3B381B1473D8}"/>
            </a:ext>
          </a:extLst>
        </cdr:cNvPr>
        <cdr:cNvSpPr txBox="1"/>
      </cdr:nvSpPr>
      <cdr:spPr>
        <a:xfrm xmlns:a="http://schemas.openxmlformats.org/drawingml/2006/main">
          <a:off x="1" y="4182581"/>
          <a:ext cx="2581276" cy="230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ipeadata</a:t>
          </a:r>
        </a:p>
      </cdr:txBody>
    </cdr:sp>
  </cdr:relSizeAnchor>
  <cdr:relSizeAnchor xmlns:cdr="http://schemas.openxmlformats.org/drawingml/2006/chartDrawing">
    <cdr:from>
      <cdr:x>0.65715</cdr:x>
      <cdr:y>0.92758</cdr:y>
    </cdr:from>
    <cdr:to>
      <cdr:x>1</cdr:x>
      <cdr:y>0.97828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13BD4042-2370-4486-84C4-537F59DA54C9}"/>
            </a:ext>
          </a:extLst>
        </cdr:cNvPr>
        <cdr:cNvSpPr txBox="1"/>
      </cdr:nvSpPr>
      <cdr:spPr>
        <a:xfrm xmlns:a="http://schemas.openxmlformats.org/drawingml/2006/main">
          <a:off x="4381523" y="4182581"/>
          <a:ext cx="2285978" cy="228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55406-2422-472B-A320-E4E19CF881D1}">
  <sheetPr codeName="Planilha18"/>
  <dimension ref="A1:P507"/>
  <sheetViews>
    <sheetView tabSelected="1" workbookViewId="0">
      <selection activeCell="D6" sqref="D6"/>
    </sheetView>
  </sheetViews>
  <sheetFormatPr defaultRowHeight="12.75" x14ac:dyDescent="0.2"/>
  <cols>
    <col min="1" max="1" width="37.28515625" style="1" customWidth="1"/>
    <col min="2" max="2" width="13.28515625" style="1" bestFit="1" customWidth="1"/>
    <col min="3" max="3" width="10.140625" style="1" bestFit="1" customWidth="1"/>
    <col min="4" max="4" width="10.7109375" style="1" customWidth="1"/>
    <col min="5" max="5" width="12.5703125" style="1" bestFit="1" customWidth="1"/>
    <col min="6" max="6" width="9.140625" style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I1" s="7" t="s">
        <v>11</v>
      </c>
      <c r="J1" s="31" t="str">
        <f>$B$3</f>
        <v>Transporte aéreo - passageiros embarcados</v>
      </c>
      <c r="K1" s="32"/>
      <c r="L1" s="32"/>
      <c r="M1" s="32"/>
      <c r="N1" s="32"/>
      <c r="O1" s="32"/>
      <c r="P1" s="32"/>
    </row>
    <row r="3" spans="1:16" x14ac:dyDescent="0.2">
      <c r="A3" s="7" t="s">
        <v>10</v>
      </c>
      <c r="B3" s="9" t="str" cm="1">
        <f t="array" ref="B3">xlFOCUS_ipeadata_Metadados($B$4,,, "SERNOME")</f>
        <v>Transporte aéreo - passageiros embarcados</v>
      </c>
      <c r="C3" s="9"/>
      <c r="D3" s="9"/>
      <c r="E3" s="9"/>
      <c r="F3" s="9"/>
      <c r="G3" s="9"/>
    </row>
    <row r="4" spans="1:16" x14ac:dyDescent="0.2">
      <c r="A4" s="7" t="s">
        <v>9</v>
      </c>
      <c r="B4" s="6" t="s">
        <v>8</v>
      </c>
      <c r="D4" s="1" t="s">
        <v>7</v>
      </c>
      <c r="E4" s="1" t="s">
        <v>6</v>
      </c>
    </row>
    <row r="5" spans="1:16" x14ac:dyDescent="0.2">
      <c r="A5" s="7" t="s">
        <v>5</v>
      </c>
      <c r="B5" s="6"/>
      <c r="D5" s="5" cm="1">
        <f t="array" ref="D5:E98">xlFOCUS_ipeadata($B$4,$B$5,$B$6,$B$7,$B$8,$B$9,$B$10)</f>
        <v>9863</v>
      </c>
      <c r="E5" s="4">
        <v>1000</v>
      </c>
    </row>
    <row r="6" spans="1:16" x14ac:dyDescent="0.2">
      <c r="A6" s="7" t="s">
        <v>4</v>
      </c>
      <c r="B6" s="6"/>
      <c r="D6" s="5">
        <v>10228</v>
      </c>
      <c r="E6" s="4">
        <v>3000</v>
      </c>
    </row>
    <row r="7" spans="1:16" x14ac:dyDescent="0.2">
      <c r="A7" s="7" t="s">
        <v>3</v>
      </c>
      <c r="B7" s="8"/>
      <c r="D7" s="5">
        <v>10594</v>
      </c>
      <c r="E7" s="4">
        <v>4000</v>
      </c>
    </row>
    <row r="8" spans="1:16" x14ac:dyDescent="0.2">
      <c r="A8" s="7" t="s">
        <v>2</v>
      </c>
      <c r="B8" s="8"/>
      <c r="D8" s="5">
        <v>10959</v>
      </c>
      <c r="E8" s="4">
        <v>5000</v>
      </c>
    </row>
    <row r="9" spans="1:16" x14ac:dyDescent="0.2">
      <c r="A9" s="7" t="s">
        <v>1</v>
      </c>
      <c r="B9" s="6"/>
      <c r="D9" s="5">
        <v>11324</v>
      </c>
      <c r="E9" s="4">
        <v>5000</v>
      </c>
    </row>
    <row r="10" spans="1:16" x14ac:dyDescent="0.2">
      <c r="A10" s="7" t="s">
        <v>0</v>
      </c>
      <c r="B10" s="6">
        <v>2</v>
      </c>
      <c r="D10" s="5">
        <v>11689</v>
      </c>
      <c r="E10" s="4">
        <v>9000</v>
      </c>
    </row>
    <row r="11" spans="1:16" x14ac:dyDescent="0.2">
      <c r="D11" s="5">
        <v>12055</v>
      </c>
      <c r="E11" s="4">
        <v>13000</v>
      </c>
    </row>
    <row r="12" spans="1:16" x14ac:dyDescent="0.2">
      <c r="D12" s="5">
        <v>12420</v>
      </c>
      <c r="E12" s="4">
        <v>18000</v>
      </c>
    </row>
    <row r="13" spans="1:16" x14ac:dyDescent="0.2">
      <c r="D13" s="5">
        <v>12785</v>
      </c>
      <c r="E13" s="4">
        <v>26000</v>
      </c>
    </row>
    <row r="14" spans="1:16" x14ac:dyDescent="0.2">
      <c r="D14" s="5">
        <v>13150</v>
      </c>
      <c r="E14" s="4">
        <v>35000</v>
      </c>
    </row>
    <row r="15" spans="1:16" x14ac:dyDescent="0.2">
      <c r="D15" s="5">
        <v>13516</v>
      </c>
      <c r="E15" s="4">
        <v>55000</v>
      </c>
    </row>
    <row r="16" spans="1:16" x14ac:dyDescent="0.2">
      <c r="D16" s="5">
        <v>13881</v>
      </c>
      <c r="E16" s="4">
        <v>57000</v>
      </c>
    </row>
    <row r="17" spans="4:5" x14ac:dyDescent="0.2">
      <c r="D17" s="5">
        <v>14246</v>
      </c>
      <c r="E17" s="4">
        <v>63000</v>
      </c>
    </row>
    <row r="18" spans="4:5" x14ac:dyDescent="0.2">
      <c r="D18" s="5">
        <v>14611</v>
      </c>
      <c r="E18" s="4">
        <v>78000</v>
      </c>
    </row>
    <row r="19" spans="4:5" x14ac:dyDescent="0.2">
      <c r="D19" s="5">
        <v>14977</v>
      </c>
      <c r="E19" s="4">
        <v>90000</v>
      </c>
    </row>
    <row r="20" spans="4:5" x14ac:dyDescent="0.2">
      <c r="D20" s="5">
        <v>15342</v>
      </c>
      <c r="E20" s="4">
        <v>106000</v>
      </c>
    </row>
    <row r="21" spans="4:5" x14ac:dyDescent="0.2">
      <c r="D21" s="5">
        <v>15707</v>
      </c>
      <c r="E21" s="4">
        <v>150000</v>
      </c>
    </row>
    <row r="22" spans="4:5" x14ac:dyDescent="0.2">
      <c r="D22" s="5">
        <v>16072</v>
      </c>
      <c r="E22" s="4">
        <v>219000</v>
      </c>
    </row>
    <row r="23" spans="4:5" x14ac:dyDescent="0.2">
      <c r="D23" s="5">
        <v>16438</v>
      </c>
      <c r="E23" s="4">
        <v>263000</v>
      </c>
    </row>
    <row r="24" spans="4:5" x14ac:dyDescent="0.2">
      <c r="D24" s="5">
        <v>16803</v>
      </c>
      <c r="E24" s="4">
        <v>512000</v>
      </c>
    </row>
    <row r="25" spans="4:5" x14ac:dyDescent="0.2">
      <c r="D25" s="5">
        <v>17168</v>
      </c>
      <c r="E25" s="4">
        <v>787000</v>
      </c>
    </row>
    <row r="26" spans="4:5" x14ac:dyDescent="0.2">
      <c r="D26" s="5">
        <v>17533</v>
      </c>
      <c r="E26" s="4">
        <v>1001000</v>
      </c>
    </row>
    <row r="27" spans="4:5" x14ac:dyDescent="0.2">
      <c r="D27" s="5">
        <v>17899</v>
      </c>
      <c r="E27" s="4">
        <v>1317000</v>
      </c>
    </row>
    <row r="28" spans="4:5" x14ac:dyDescent="0.2">
      <c r="D28" s="5">
        <v>18264</v>
      </c>
      <c r="E28" s="4">
        <v>1715000</v>
      </c>
    </row>
    <row r="29" spans="4:5" x14ac:dyDescent="0.2">
      <c r="D29" s="5">
        <v>18629</v>
      </c>
      <c r="E29" s="4">
        <v>2131000</v>
      </c>
    </row>
    <row r="30" spans="4:5" x14ac:dyDescent="0.2">
      <c r="D30" s="5">
        <v>18994</v>
      </c>
      <c r="E30" s="4">
        <v>2110000</v>
      </c>
    </row>
    <row r="31" spans="4:5" x14ac:dyDescent="0.2">
      <c r="D31" s="5">
        <v>19360</v>
      </c>
      <c r="E31" s="4">
        <v>2611000</v>
      </c>
    </row>
    <row r="32" spans="4:5" x14ac:dyDescent="0.2">
      <c r="D32" s="5">
        <v>19725</v>
      </c>
      <c r="E32" s="4">
        <v>2733000</v>
      </c>
    </row>
    <row r="33" spans="4:12" x14ac:dyDescent="0.2">
      <c r="D33" s="5">
        <v>20090</v>
      </c>
      <c r="E33" s="4">
        <v>2799000</v>
      </c>
    </row>
    <row r="34" spans="4:12" x14ac:dyDescent="0.2">
      <c r="D34" s="5">
        <v>20455</v>
      </c>
      <c r="E34" s="4">
        <v>3365000</v>
      </c>
    </row>
    <row r="35" spans="4:12" x14ac:dyDescent="0.2">
      <c r="D35" s="5">
        <v>20821</v>
      </c>
      <c r="E35" s="4">
        <v>3754000</v>
      </c>
    </row>
    <row r="36" spans="4:12" x14ac:dyDescent="0.2">
      <c r="D36" s="5">
        <v>21186</v>
      </c>
      <c r="E36" s="4">
        <v>3947000</v>
      </c>
    </row>
    <row r="37" spans="4:12" x14ac:dyDescent="0.2">
      <c r="D37" s="5">
        <v>21551</v>
      </c>
      <c r="E37" s="4">
        <v>3890000</v>
      </c>
    </row>
    <row r="38" spans="4:12" x14ac:dyDescent="0.2">
      <c r="D38" s="5">
        <v>21916</v>
      </c>
      <c r="E38" s="4">
        <v>3972000</v>
      </c>
    </row>
    <row r="39" spans="4:12" x14ac:dyDescent="0.2">
      <c r="D39" s="5">
        <v>22282</v>
      </c>
      <c r="E39" s="4">
        <v>3264000</v>
      </c>
    </row>
    <row r="40" spans="4:12" x14ac:dyDescent="0.2">
      <c r="D40" s="5">
        <v>22647</v>
      </c>
      <c r="E40" s="4">
        <v>3530000</v>
      </c>
      <c r="L40" s="2"/>
    </row>
    <row r="41" spans="4:12" x14ac:dyDescent="0.2">
      <c r="D41" s="5">
        <v>23012</v>
      </c>
      <c r="E41" s="4">
        <v>3266000</v>
      </c>
    </row>
    <row r="42" spans="4:12" x14ac:dyDescent="0.2">
      <c r="D42" s="5">
        <v>23377</v>
      </c>
      <c r="E42" s="4">
        <v>1996082</v>
      </c>
    </row>
    <row r="43" spans="4:12" x14ac:dyDescent="0.2">
      <c r="D43" s="5">
        <v>23743</v>
      </c>
      <c r="E43" s="4">
        <v>1996126.4040000001</v>
      </c>
    </row>
    <row r="44" spans="4:12" x14ac:dyDescent="0.2">
      <c r="D44" s="5">
        <v>24108</v>
      </c>
      <c r="E44" s="4">
        <v>2742000</v>
      </c>
    </row>
    <row r="45" spans="4:12" x14ac:dyDescent="0.2">
      <c r="D45" s="5">
        <v>24473</v>
      </c>
      <c r="E45" s="4">
        <v>2896000</v>
      </c>
    </row>
    <row r="46" spans="4:12" x14ac:dyDescent="0.2">
      <c r="D46" s="5">
        <v>24838</v>
      </c>
      <c r="E46" s="4">
        <v>3129000</v>
      </c>
    </row>
    <row r="47" spans="4:12" x14ac:dyDescent="0.2">
      <c r="D47" s="5">
        <v>25204</v>
      </c>
      <c r="E47" s="4">
        <v>3068915</v>
      </c>
    </row>
    <row r="48" spans="4:12" x14ac:dyDescent="0.2">
      <c r="D48" s="5">
        <v>25569</v>
      </c>
      <c r="E48" s="4">
        <v>3236508</v>
      </c>
    </row>
    <row r="49" spans="4:5" x14ac:dyDescent="0.2">
      <c r="D49" s="5">
        <v>25934</v>
      </c>
      <c r="E49" s="4">
        <v>3819690</v>
      </c>
    </row>
    <row r="50" spans="4:5" x14ac:dyDescent="0.2">
      <c r="D50" s="5">
        <v>26299</v>
      </c>
      <c r="E50" s="4">
        <v>4604095</v>
      </c>
    </row>
    <row r="51" spans="4:5" x14ac:dyDescent="0.2">
      <c r="D51" s="5">
        <v>26665</v>
      </c>
      <c r="E51" s="4">
        <v>5713374</v>
      </c>
    </row>
    <row r="52" spans="4:5" x14ac:dyDescent="0.2">
      <c r="D52" s="5">
        <v>27030</v>
      </c>
      <c r="E52" s="4">
        <v>6688913</v>
      </c>
    </row>
    <row r="53" spans="4:5" x14ac:dyDescent="0.2">
      <c r="D53" s="5">
        <v>27395</v>
      </c>
      <c r="E53" s="4">
        <v>7493368</v>
      </c>
    </row>
    <row r="54" spans="4:5" x14ac:dyDescent="0.2">
      <c r="D54" s="5">
        <v>27760</v>
      </c>
      <c r="E54" s="4">
        <v>8520680</v>
      </c>
    </row>
    <row r="55" spans="4:5" x14ac:dyDescent="0.2">
      <c r="D55" s="5">
        <v>28126</v>
      </c>
      <c r="E55" s="4">
        <v>9206751</v>
      </c>
    </row>
    <row r="56" spans="4:5" x14ac:dyDescent="0.2">
      <c r="D56" s="5">
        <v>28491</v>
      </c>
      <c r="E56" s="4">
        <v>10200812</v>
      </c>
    </row>
    <row r="57" spans="4:5" x14ac:dyDescent="0.2">
      <c r="D57" s="5">
        <v>28856</v>
      </c>
      <c r="E57" s="4">
        <v>11370537</v>
      </c>
    </row>
    <row r="58" spans="4:5" x14ac:dyDescent="0.2">
      <c r="D58" s="5">
        <v>29221</v>
      </c>
      <c r="E58" s="4">
        <v>12440274</v>
      </c>
    </row>
    <row r="59" spans="4:5" x14ac:dyDescent="0.2">
      <c r="D59" s="5">
        <v>29587</v>
      </c>
      <c r="E59" s="4">
        <v>12621772</v>
      </c>
    </row>
    <row r="60" spans="4:5" x14ac:dyDescent="0.2">
      <c r="D60" s="5">
        <v>29952</v>
      </c>
      <c r="E60" s="4">
        <v>13264922</v>
      </c>
    </row>
    <row r="61" spans="4:5" x14ac:dyDescent="0.2">
      <c r="D61" s="5">
        <v>30317</v>
      </c>
      <c r="E61" s="4">
        <v>12610924</v>
      </c>
    </row>
    <row r="62" spans="4:5" x14ac:dyDescent="0.2">
      <c r="D62" s="5">
        <v>30682</v>
      </c>
      <c r="E62" s="4">
        <v>12136226</v>
      </c>
    </row>
    <row r="63" spans="4:5" x14ac:dyDescent="0.2">
      <c r="D63" s="5">
        <v>31048</v>
      </c>
      <c r="E63" s="4">
        <v>13182000</v>
      </c>
    </row>
    <row r="64" spans="4:5" x14ac:dyDescent="0.2">
      <c r="D64" s="5">
        <v>31413</v>
      </c>
      <c r="E64" s="4">
        <v>16285000</v>
      </c>
    </row>
    <row r="65" spans="4:5" x14ac:dyDescent="0.2">
      <c r="D65" s="5">
        <v>31778</v>
      </c>
      <c r="E65" s="4">
        <v>16144000</v>
      </c>
    </row>
    <row r="66" spans="4:5" x14ac:dyDescent="0.2">
      <c r="D66" s="5">
        <v>32143</v>
      </c>
      <c r="E66" s="4">
        <v>15814000</v>
      </c>
    </row>
    <row r="67" spans="4:5" x14ac:dyDescent="0.2">
      <c r="D67" s="5">
        <v>32509</v>
      </c>
      <c r="E67" s="4">
        <v>17978000</v>
      </c>
    </row>
    <row r="68" spans="4:5" x14ac:dyDescent="0.2">
      <c r="D68" s="5">
        <v>32874</v>
      </c>
      <c r="E68" s="4">
        <v>17049000</v>
      </c>
    </row>
    <row r="69" spans="4:5" x14ac:dyDescent="0.2">
      <c r="D69" s="5">
        <v>33239</v>
      </c>
      <c r="E69" s="4">
        <v>17534580</v>
      </c>
    </row>
    <row r="70" spans="4:5" x14ac:dyDescent="0.2">
      <c r="D70" s="5">
        <v>33604</v>
      </c>
      <c r="E70" s="4">
        <v>14984935</v>
      </c>
    </row>
    <row r="71" spans="4:5" x14ac:dyDescent="0.2">
      <c r="D71" s="5">
        <v>33970</v>
      </c>
      <c r="E71" s="4">
        <v>14950264</v>
      </c>
    </row>
    <row r="72" spans="4:5" x14ac:dyDescent="0.2">
      <c r="D72" s="5">
        <v>34335</v>
      </c>
      <c r="E72" s="4">
        <v>15730452</v>
      </c>
    </row>
    <row r="73" spans="4:5" x14ac:dyDescent="0.2">
      <c r="D73" s="5">
        <v>34700</v>
      </c>
      <c r="E73" s="4">
        <v>16788234</v>
      </c>
    </row>
    <row r="74" spans="4:5" x14ac:dyDescent="0.2">
      <c r="D74" s="5">
        <v>35065</v>
      </c>
      <c r="E74" s="4">
        <v>15890898</v>
      </c>
    </row>
    <row r="75" spans="4:5" x14ac:dyDescent="0.2">
      <c r="D75" s="5">
        <v>35431</v>
      </c>
      <c r="E75" s="4">
        <v>19421029</v>
      </c>
    </row>
    <row r="76" spans="4:5" x14ac:dyDescent="0.2">
      <c r="D76" s="5">
        <v>35796</v>
      </c>
      <c r="E76" s="4">
        <v>22833767</v>
      </c>
    </row>
    <row r="77" spans="4:5" x14ac:dyDescent="0.2">
      <c r="D77" s="5">
        <v>36161</v>
      </c>
      <c r="E77" s="4">
        <v>20687939</v>
      </c>
    </row>
    <row r="78" spans="4:5" x14ac:dyDescent="0.2">
      <c r="D78" s="5">
        <v>36526</v>
      </c>
      <c r="E78" s="4">
        <v>37717960</v>
      </c>
    </row>
    <row r="79" spans="4:5" x14ac:dyDescent="0.2">
      <c r="D79" s="5">
        <v>36892</v>
      </c>
      <c r="E79" s="4">
        <v>38427791</v>
      </c>
    </row>
    <row r="80" spans="4:5" x14ac:dyDescent="0.2">
      <c r="D80" s="5">
        <v>37257</v>
      </c>
      <c r="E80" s="4">
        <v>37851476</v>
      </c>
    </row>
    <row r="81" spans="4:5" x14ac:dyDescent="0.2">
      <c r="D81" s="5">
        <v>37622</v>
      </c>
      <c r="E81" s="4">
        <v>37080682</v>
      </c>
    </row>
    <row r="82" spans="4:5" x14ac:dyDescent="0.2">
      <c r="D82" s="5">
        <v>37987</v>
      </c>
      <c r="E82" s="4">
        <v>41016481</v>
      </c>
    </row>
    <row r="83" spans="4:5" x14ac:dyDescent="0.2">
      <c r="D83" s="5">
        <v>38353</v>
      </c>
      <c r="E83" s="4">
        <v>48991994</v>
      </c>
    </row>
    <row r="84" spans="4:5" x14ac:dyDescent="0.2">
      <c r="D84" s="5">
        <v>38718</v>
      </c>
      <c r="E84" s="4">
        <v>53759439</v>
      </c>
    </row>
    <row r="85" spans="4:5" x14ac:dyDescent="0.2">
      <c r="D85" s="5">
        <v>39083</v>
      </c>
      <c r="E85" s="4">
        <v>59262389</v>
      </c>
    </row>
    <row r="86" spans="4:5" x14ac:dyDescent="0.2">
      <c r="D86" s="5">
        <v>39448</v>
      </c>
      <c r="E86" s="4">
        <v>63255103</v>
      </c>
    </row>
    <row r="87" spans="4:5" x14ac:dyDescent="0.2">
      <c r="D87" s="5">
        <v>39814</v>
      </c>
      <c r="E87" s="4">
        <v>69464630</v>
      </c>
    </row>
    <row r="88" spans="4:5" x14ac:dyDescent="0.2">
      <c r="D88" s="5">
        <v>40179</v>
      </c>
      <c r="E88" s="4">
        <v>85327685</v>
      </c>
    </row>
    <row r="89" spans="4:5" x14ac:dyDescent="0.2">
      <c r="D89" s="5">
        <v>40544</v>
      </c>
      <c r="E89" s="4">
        <v>99758917</v>
      </c>
    </row>
    <row r="90" spans="4:5" x14ac:dyDescent="0.2">
      <c r="D90" s="5">
        <v>40909</v>
      </c>
      <c r="E90" s="4">
        <v>107376542</v>
      </c>
    </row>
    <row r="91" spans="4:5" x14ac:dyDescent="0.2">
      <c r="D91" s="5">
        <v>41275</v>
      </c>
      <c r="E91" s="4">
        <v>109712578</v>
      </c>
    </row>
    <row r="92" spans="4:5" x14ac:dyDescent="0.2">
      <c r="D92" s="5">
        <v>41640</v>
      </c>
      <c r="E92" s="4">
        <v>117106796</v>
      </c>
    </row>
    <row r="93" spans="4:5" x14ac:dyDescent="0.2">
      <c r="D93" s="5">
        <v>42005</v>
      </c>
      <c r="E93" s="4">
        <v>117637685</v>
      </c>
    </row>
    <row r="94" spans="4:5" x14ac:dyDescent="0.2">
      <c r="D94" s="5">
        <v>42370</v>
      </c>
      <c r="E94" s="4">
        <v>109515590</v>
      </c>
    </row>
    <row r="95" spans="4:5" x14ac:dyDescent="0.2">
      <c r="D95" s="5">
        <v>42736</v>
      </c>
      <c r="E95" s="4">
        <v>112466805</v>
      </c>
    </row>
    <row r="96" spans="4:5" x14ac:dyDescent="0.2">
      <c r="D96" s="5">
        <v>43101</v>
      </c>
      <c r="E96" s="4">
        <v>117742257</v>
      </c>
    </row>
    <row r="97" spans="4:5" x14ac:dyDescent="0.2">
      <c r="D97" s="5">
        <v>43466</v>
      </c>
      <c r="E97" s="4">
        <v>119235990</v>
      </c>
    </row>
    <row r="98" spans="4:5" x14ac:dyDescent="0.2">
      <c r="D98" s="5">
        <v>43831</v>
      </c>
      <c r="E98" s="4">
        <v>51936312</v>
      </c>
    </row>
    <row r="99" spans="4:5" x14ac:dyDescent="0.2">
      <c r="D99" s="2"/>
      <c r="E99" s="3"/>
    </row>
    <row r="100" spans="4:5" x14ac:dyDescent="0.2">
      <c r="D100" s="2"/>
      <c r="E100" s="3"/>
    </row>
    <row r="101" spans="4:5" x14ac:dyDescent="0.2">
      <c r="D101" s="2"/>
      <c r="E101" s="3"/>
    </row>
    <row r="102" spans="4:5" x14ac:dyDescent="0.2">
      <c r="D102" s="2"/>
      <c r="E102" s="3"/>
    </row>
    <row r="103" spans="4:5" x14ac:dyDescent="0.2">
      <c r="D103" s="2"/>
      <c r="E103" s="3"/>
    </row>
    <row r="104" spans="4:5" x14ac:dyDescent="0.2">
      <c r="D104" s="2"/>
      <c r="E104" s="3"/>
    </row>
    <row r="105" spans="4:5" x14ac:dyDescent="0.2">
      <c r="D105" s="2"/>
      <c r="E105" s="3"/>
    </row>
    <row r="106" spans="4:5" x14ac:dyDescent="0.2">
      <c r="D106" s="2"/>
      <c r="E106" s="3"/>
    </row>
    <row r="107" spans="4:5" x14ac:dyDescent="0.2">
      <c r="D107" s="2"/>
      <c r="E107" s="3"/>
    </row>
    <row r="108" spans="4:5" x14ac:dyDescent="0.2">
      <c r="D108" s="2"/>
      <c r="E108" s="3"/>
    </row>
    <row r="109" spans="4:5" x14ac:dyDescent="0.2">
      <c r="D109" s="2"/>
      <c r="E109" s="3"/>
    </row>
    <row r="110" spans="4:5" x14ac:dyDescent="0.2">
      <c r="D110" s="2"/>
      <c r="E110" s="3"/>
    </row>
    <row r="111" spans="4:5" x14ac:dyDescent="0.2">
      <c r="D111" s="2"/>
      <c r="E111" s="3"/>
    </row>
    <row r="112" spans="4:5" x14ac:dyDescent="0.2">
      <c r="D112" s="2"/>
      <c r="E112" s="3"/>
    </row>
    <row r="113" spans="4:5" x14ac:dyDescent="0.2">
      <c r="D113" s="2"/>
      <c r="E113" s="3"/>
    </row>
    <row r="114" spans="4:5" x14ac:dyDescent="0.2">
      <c r="D114" s="2"/>
      <c r="E114" s="3"/>
    </row>
    <row r="115" spans="4:5" x14ac:dyDescent="0.2">
      <c r="D115" s="2"/>
      <c r="E115" s="3"/>
    </row>
    <row r="116" spans="4:5" x14ac:dyDescent="0.2">
      <c r="D116" s="2"/>
      <c r="E116" s="3"/>
    </row>
    <row r="117" spans="4:5" x14ac:dyDescent="0.2">
      <c r="D117" s="2"/>
      <c r="E117" s="3"/>
    </row>
    <row r="118" spans="4:5" x14ac:dyDescent="0.2">
      <c r="D118" s="2"/>
      <c r="E118" s="3"/>
    </row>
    <row r="119" spans="4:5" x14ac:dyDescent="0.2">
      <c r="D119" s="2"/>
      <c r="E119" s="3"/>
    </row>
    <row r="120" spans="4:5" x14ac:dyDescent="0.2">
      <c r="D120" s="2"/>
      <c r="E120" s="3"/>
    </row>
    <row r="121" spans="4:5" x14ac:dyDescent="0.2">
      <c r="D121" s="2"/>
      <c r="E121" s="3"/>
    </row>
    <row r="122" spans="4:5" x14ac:dyDescent="0.2">
      <c r="D122" s="2"/>
      <c r="E122" s="3"/>
    </row>
    <row r="123" spans="4:5" x14ac:dyDescent="0.2">
      <c r="D123" s="2"/>
      <c r="E123" s="3"/>
    </row>
    <row r="124" spans="4:5" x14ac:dyDescent="0.2">
      <c r="D124" s="2"/>
      <c r="E124" s="3"/>
    </row>
    <row r="125" spans="4:5" x14ac:dyDescent="0.2">
      <c r="D125" s="2"/>
      <c r="E125" s="3"/>
    </row>
    <row r="126" spans="4:5" x14ac:dyDescent="0.2">
      <c r="D126" s="2"/>
      <c r="E126" s="3"/>
    </row>
    <row r="127" spans="4:5" x14ac:dyDescent="0.2">
      <c r="D127" s="2"/>
      <c r="E127" s="3"/>
    </row>
    <row r="128" spans="4:5" x14ac:dyDescent="0.2">
      <c r="D128" s="2"/>
      <c r="E128" s="3"/>
    </row>
    <row r="129" spans="4:5" x14ac:dyDescent="0.2">
      <c r="D129" s="2"/>
      <c r="E129" s="3"/>
    </row>
    <row r="130" spans="4:5" x14ac:dyDescent="0.2">
      <c r="D130" s="2"/>
      <c r="E130" s="3"/>
    </row>
    <row r="131" spans="4:5" x14ac:dyDescent="0.2">
      <c r="D131" s="2"/>
      <c r="E131" s="3"/>
    </row>
    <row r="132" spans="4:5" x14ac:dyDescent="0.2">
      <c r="D132" s="2"/>
      <c r="E132" s="3"/>
    </row>
    <row r="133" spans="4:5" x14ac:dyDescent="0.2">
      <c r="D133" s="2"/>
      <c r="E133" s="3"/>
    </row>
    <row r="134" spans="4:5" x14ac:dyDescent="0.2">
      <c r="D134" s="2"/>
      <c r="E134" s="3"/>
    </row>
    <row r="135" spans="4:5" x14ac:dyDescent="0.2">
      <c r="D135" s="2"/>
      <c r="E135" s="3"/>
    </row>
    <row r="136" spans="4:5" x14ac:dyDescent="0.2">
      <c r="D136" s="2"/>
      <c r="E136" s="3"/>
    </row>
    <row r="137" spans="4:5" x14ac:dyDescent="0.2">
      <c r="D137" s="2"/>
      <c r="E137" s="3"/>
    </row>
    <row r="138" spans="4:5" x14ac:dyDescent="0.2">
      <c r="D138" s="2"/>
      <c r="E138" s="3"/>
    </row>
    <row r="139" spans="4:5" x14ac:dyDescent="0.2">
      <c r="D139" s="2"/>
      <c r="E139" s="3"/>
    </row>
    <row r="140" spans="4:5" x14ac:dyDescent="0.2">
      <c r="D140" s="2"/>
      <c r="E140" s="3"/>
    </row>
    <row r="141" spans="4:5" x14ac:dyDescent="0.2">
      <c r="D141" s="2"/>
      <c r="E141" s="3"/>
    </row>
    <row r="142" spans="4:5" x14ac:dyDescent="0.2">
      <c r="D142" s="2"/>
      <c r="E142" s="3"/>
    </row>
    <row r="143" spans="4:5" x14ac:dyDescent="0.2">
      <c r="D143" s="2"/>
      <c r="E143" s="3"/>
    </row>
    <row r="144" spans="4:5" x14ac:dyDescent="0.2">
      <c r="D144" s="2"/>
      <c r="E144" s="3"/>
    </row>
    <row r="145" spans="4:5" x14ac:dyDescent="0.2">
      <c r="D145" s="2"/>
      <c r="E145" s="3"/>
    </row>
    <row r="146" spans="4:5" x14ac:dyDescent="0.2">
      <c r="D146" s="2"/>
      <c r="E146" s="3"/>
    </row>
    <row r="147" spans="4:5" x14ac:dyDescent="0.2">
      <c r="D147" s="2"/>
      <c r="E147" s="3"/>
    </row>
    <row r="148" spans="4:5" x14ac:dyDescent="0.2">
      <c r="D148" s="2"/>
    </row>
    <row r="149" spans="4:5" x14ac:dyDescent="0.2">
      <c r="D149" s="2"/>
    </row>
    <row r="150" spans="4:5" x14ac:dyDescent="0.2">
      <c r="D150" s="2"/>
    </row>
    <row r="151" spans="4:5" x14ac:dyDescent="0.2">
      <c r="D151" s="2"/>
    </row>
    <row r="152" spans="4:5" x14ac:dyDescent="0.2">
      <c r="D152" s="2"/>
    </row>
    <row r="153" spans="4:5" x14ac:dyDescent="0.2">
      <c r="D153" s="2"/>
    </row>
    <row r="154" spans="4:5" x14ac:dyDescent="0.2">
      <c r="D154" s="2"/>
    </row>
    <row r="155" spans="4:5" x14ac:dyDescent="0.2">
      <c r="D155" s="2"/>
    </row>
    <row r="156" spans="4:5" x14ac:dyDescent="0.2">
      <c r="D156" s="2"/>
    </row>
    <row r="157" spans="4:5" x14ac:dyDescent="0.2">
      <c r="D157" s="2"/>
    </row>
    <row r="158" spans="4:5" x14ac:dyDescent="0.2">
      <c r="D158" s="2"/>
    </row>
    <row r="159" spans="4:5" x14ac:dyDescent="0.2">
      <c r="D159" s="2"/>
    </row>
    <row r="160" spans="4:5" x14ac:dyDescent="0.2">
      <c r="D160" s="2"/>
    </row>
    <row r="161" spans="4:4" x14ac:dyDescent="0.2">
      <c r="D161" s="2"/>
    </row>
    <row r="162" spans="4:4" x14ac:dyDescent="0.2">
      <c r="D162" s="2"/>
    </row>
    <row r="163" spans="4:4" x14ac:dyDescent="0.2">
      <c r="D163" s="2"/>
    </row>
    <row r="164" spans="4:4" x14ac:dyDescent="0.2">
      <c r="D164" s="2"/>
    </row>
    <row r="165" spans="4:4" x14ac:dyDescent="0.2">
      <c r="D165" s="2"/>
    </row>
    <row r="166" spans="4:4" x14ac:dyDescent="0.2">
      <c r="D166" s="2"/>
    </row>
    <row r="167" spans="4:4" x14ac:dyDescent="0.2">
      <c r="D167" s="2"/>
    </row>
    <row r="168" spans="4:4" x14ac:dyDescent="0.2">
      <c r="D168" s="2"/>
    </row>
    <row r="169" spans="4:4" x14ac:dyDescent="0.2">
      <c r="D169" s="2"/>
    </row>
    <row r="170" spans="4:4" x14ac:dyDescent="0.2">
      <c r="D170" s="2"/>
    </row>
    <row r="171" spans="4:4" x14ac:dyDescent="0.2">
      <c r="D171" s="2"/>
    </row>
    <row r="172" spans="4:4" x14ac:dyDescent="0.2">
      <c r="D172" s="2"/>
    </row>
    <row r="173" spans="4:4" x14ac:dyDescent="0.2">
      <c r="D173" s="2"/>
    </row>
    <row r="174" spans="4:4" x14ac:dyDescent="0.2">
      <c r="D174" s="2"/>
    </row>
    <row r="175" spans="4:4" x14ac:dyDescent="0.2">
      <c r="D175" s="2"/>
    </row>
    <row r="176" spans="4:4" x14ac:dyDescent="0.2">
      <c r="D176" s="2"/>
    </row>
    <row r="177" spans="4:4" x14ac:dyDescent="0.2">
      <c r="D177" s="2"/>
    </row>
    <row r="178" spans="4:4" x14ac:dyDescent="0.2">
      <c r="D178" s="2"/>
    </row>
    <row r="179" spans="4:4" x14ac:dyDescent="0.2">
      <c r="D179" s="2"/>
    </row>
    <row r="180" spans="4:4" x14ac:dyDescent="0.2">
      <c r="D180" s="2"/>
    </row>
    <row r="181" spans="4:4" x14ac:dyDescent="0.2">
      <c r="D181" s="2"/>
    </row>
    <row r="182" spans="4:4" x14ac:dyDescent="0.2">
      <c r="D182" s="2"/>
    </row>
    <row r="183" spans="4:4" x14ac:dyDescent="0.2">
      <c r="D183" s="2"/>
    </row>
    <row r="184" spans="4:4" x14ac:dyDescent="0.2">
      <c r="D184" s="2"/>
    </row>
    <row r="185" spans="4:4" x14ac:dyDescent="0.2">
      <c r="D185" s="2"/>
    </row>
    <row r="186" spans="4:4" x14ac:dyDescent="0.2">
      <c r="D186" s="2"/>
    </row>
    <row r="187" spans="4:4" x14ac:dyDescent="0.2">
      <c r="D187" s="2"/>
    </row>
    <row r="188" spans="4:4" x14ac:dyDescent="0.2">
      <c r="D188" s="2"/>
    </row>
    <row r="189" spans="4:4" x14ac:dyDescent="0.2">
      <c r="D189" s="2"/>
    </row>
    <row r="190" spans="4:4" x14ac:dyDescent="0.2">
      <c r="D190" s="2"/>
    </row>
    <row r="191" spans="4:4" x14ac:dyDescent="0.2">
      <c r="D191" s="2"/>
    </row>
    <row r="192" spans="4:4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  <row r="507" spans="4:4" x14ac:dyDescent="0.2">
      <c r="D507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41DF-CCC4-4DAD-90C8-414C2FA12828}">
  <sheetPr codeName="Planilha19"/>
  <dimension ref="A1:P147"/>
  <sheetViews>
    <sheetView workbookViewId="0">
      <selection activeCell="D6" sqref="D6"/>
    </sheetView>
  </sheetViews>
  <sheetFormatPr defaultRowHeight="12.75" x14ac:dyDescent="0.2"/>
  <cols>
    <col min="1" max="1" width="23.42578125" style="1" customWidth="1"/>
    <col min="2" max="2" width="29.85546875" style="1" bestFit="1" customWidth="1"/>
    <col min="3" max="3" width="10.140625" style="1" bestFit="1" customWidth="1"/>
    <col min="4" max="4" width="10.140625" style="25" bestFit="1" customWidth="1"/>
    <col min="5" max="5" width="12.5703125" style="1" bestFit="1" customWidth="1"/>
    <col min="6" max="6" width="10" style="26" bestFit="1" customWidth="1"/>
    <col min="7" max="7" width="10.140625" style="1" bestFit="1" customWidth="1"/>
    <col min="8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10" t="s">
        <v>12</v>
      </c>
      <c r="D1" s="1"/>
      <c r="I1" s="7" t="s">
        <v>11</v>
      </c>
      <c r="J1" s="31" t="str">
        <f>$B$3</f>
        <v>Balança comercial - (FOB) - saldo</v>
      </c>
      <c r="K1" s="32"/>
      <c r="L1" s="32"/>
      <c r="M1" s="32"/>
      <c r="N1" s="32"/>
      <c r="O1" s="32"/>
      <c r="P1" s="32"/>
    </row>
    <row r="2" spans="1:16" x14ac:dyDescent="0.2">
      <c r="D2" s="1"/>
    </row>
    <row r="3" spans="1:16" x14ac:dyDescent="0.2">
      <c r="A3" s="7" t="s">
        <v>10</v>
      </c>
      <c r="B3" s="9" t="str" cm="1">
        <f t="array" ref="B3">xlFOCUS_ipeadata_Metadados($B$4,,, "SERNOME")</f>
        <v>Balança comercial - (FOB) - saldo</v>
      </c>
      <c r="C3" s="9"/>
      <c r="D3" s="9"/>
      <c r="E3" s="9"/>
      <c r="F3" s="27"/>
      <c r="G3" s="9"/>
    </row>
    <row r="4" spans="1:16" x14ac:dyDescent="0.2">
      <c r="A4" s="7" t="s">
        <v>9</v>
      </c>
      <c r="B4" s="6" t="s">
        <v>47</v>
      </c>
      <c r="D4" s="1" t="s">
        <v>7</v>
      </c>
      <c r="E4" s="1" t="s">
        <v>6</v>
      </c>
      <c r="F4" s="26" t="s">
        <v>48</v>
      </c>
    </row>
    <row r="5" spans="1:16" x14ac:dyDescent="0.2">
      <c r="A5" s="7" t="s">
        <v>5</v>
      </c>
      <c r="B5" s="6"/>
      <c r="D5" s="25" t="str" cm="1">
        <f t="array" ref="D5:E117">xlFOCUS_ipeadata($B$4,$B$5,$B$6,$B$7,$B$8,$B$9,$B$10)</f>
        <v>1821-01-01</v>
      </c>
      <c r="E5" s="30">
        <v>-247</v>
      </c>
      <c r="F5" s="26" t="str">
        <f>LEFT(D5,4)</f>
        <v>1821</v>
      </c>
    </row>
    <row r="6" spans="1:16" x14ac:dyDescent="0.2">
      <c r="A6" s="7" t="s">
        <v>4</v>
      </c>
      <c r="B6" s="6"/>
      <c r="D6" s="25" t="str">
        <v>1822-01-01</v>
      </c>
      <c r="E6" s="30">
        <v>-560</v>
      </c>
      <c r="F6" s="26" t="str">
        <f t="shared" ref="F6:F69" si="0">LEFT(D6,4)</f>
        <v>1822</v>
      </c>
    </row>
    <row r="7" spans="1:16" x14ac:dyDescent="0.2">
      <c r="A7" s="7" t="s">
        <v>3</v>
      </c>
      <c r="B7" s="28"/>
      <c r="D7" s="25" t="str">
        <v>1823-01-01</v>
      </c>
      <c r="E7" s="30">
        <v>261</v>
      </c>
      <c r="F7" s="26" t="str">
        <f t="shared" si="0"/>
        <v>1823</v>
      </c>
    </row>
    <row r="8" spans="1:16" x14ac:dyDescent="0.2">
      <c r="A8" s="7" t="s">
        <v>2</v>
      </c>
      <c r="B8" s="29" t="s">
        <v>49</v>
      </c>
      <c r="D8" s="25" t="str">
        <v>1824-01-01</v>
      </c>
      <c r="E8" s="30">
        <v>-986</v>
      </c>
      <c r="F8" s="26" t="str">
        <f t="shared" si="0"/>
        <v>1824</v>
      </c>
    </row>
    <row r="9" spans="1:16" x14ac:dyDescent="0.2">
      <c r="A9" s="7" t="s">
        <v>1</v>
      </c>
      <c r="B9" s="6"/>
      <c r="D9" s="25" t="str">
        <v>1825-01-01</v>
      </c>
      <c r="E9" s="30">
        <v>-311</v>
      </c>
      <c r="F9" s="26" t="str">
        <f t="shared" si="0"/>
        <v>1825</v>
      </c>
    </row>
    <row r="10" spans="1:16" x14ac:dyDescent="0.2">
      <c r="A10" s="7" t="s">
        <v>0</v>
      </c>
      <c r="B10" s="6">
        <v>2</v>
      </c>
      <c r="D10" s="25" t="str">
        <v>1826-01-01</v>
      </c>
      <c r="E10" s="30">
        <v>-416</v>
      </c>
      <c r="F10" s="26" t="str">
        <f t="shared" si="0"/>
        <v>1826</v>
      </c>
    </row>
    <row r="11" spans="1:16" x14ac:dyDescent="0.2">
      <c r="D11" s="25" t="str">
        <v>1827-01-01</v>
      </c>
      <c r="E11" s="30">
        <v>-292</v>
      </c>
      <c r="F11" s="26" t="str">
        <f t="shared" si="0"/>
        <v>1827</v>
      </c>
    </row>
    <row r="12" spans="1:16" x14ac:dyDescent="0.2">
      <c r="D12" s="25" t="str">
        <v>1828-01-01</v>
      </c>
      <c r="E12" s="30">
        <v>22</v>
      </c>
      <c r="F12" s="26" t="str">
        <f t="shared" si="0"/>
        <v>1828</v>
      </c>
    </row>
    <row r="13" spans="1:16" x14ac:dyDescent="0.2">
      <c r="D13" s="25" t="str">
        <v>1829-01-01</v>
      </c>
      <c r="E13" s="30">
        <v>-219</v>
      </c>
      <c r="F13" s="26" t="str">
        <f t="shared" si="0"/>
        <v>1829</v>
      </c>
    </row>
    <row r="14" spans="1:16" x14ac:dyDescent="0.2">
      <c r="D14" s="25" t="str">
        <v>1830-01-01</v>
      </c>
      <c r="E14" s="30">
        <v>-659</v>
      </c>
      <c r="F14" s="26" t="str">
        <f t="shared" si="0"/>
        <v>1830</v>
      </c>
    </row>
    <row r="15" spans="1:16" x14ac:dyDescent="0.2">
      <c r="D15" s="25" t="str">
        <v>1831-01-01</v>
      </c>
      <c r="E15" s="30">
        <v>-110</v>
      </c>
      <c r="F15" s="26" t="str">
        <f t="shared" si="0"/>
        <v>1831</v>
      </c>
    </row>
    <row r="16" spans="1:16" x14ac:dyDescent="0.2">
      <c r="D16" s="25" t="str">
        <v>1832-01-01</v>
      </c>
      <c r="E16" s="30">
        <v>-48</v>
      </c>
      <c r="F16" s="26" t="str">
        <f t="shared" si="0"/>
        <v>1832</v>
      </c>
    </row>
    <row r="17" spans="4:6" x14ac:dyDescent="0.2">
      <c r="D17" s="25" t="str">
        <v>1833-01-01</v>
      </c>
      <c r="E17" s="30">
        <v>429</v>
      </c>
      <c r="F17" s="26" t="str">
        <f t="shared" si="0"/>
        <v>1833</v>
      </c>
    </row>
    <row r="18" spans="4:6" x14ac:dyDescent="0.2">
      <c r="D18" s="25" t="str">
        <v>1834-01-01</v>
      </c>
      <c r="E18" s="30">
        <v>-18</v>
      </c>
      <c r="F18" s="26" t="str">
        <f t="shared" si="0"/>
        <v>1834</v>
      </c>
    </row>
    <row r="19" spans="4:6" x14ac:dyDescent="0.2">
      <c r="D19" s="25" t="str">
        <v>1835-01-01</v>
      </c>
      <c r="E19" s="30">
        <v>-579</v>
      </c>
      <c r="F19" s="26" t="str">
        <f t="shared" si="0"/>
        <v>1835</v>
      </c>
    </row>
    <row r="20" spans="4:6" x14ac:dyDescent="0.2">
      <c r="D20" s="25" t="str">
        <v>1836-01-01</v>
      </c>
      <c r="E20" s="30">
        <v>41</v>
      </c>
      <c r="F20" s="26" t="str">
        <f t="shared" si="0"/>
        <v>1836</v>
      </c>
    </row>
    <row r="21" spans="4:6" x14ac:dyDescent="0.2">
      <c r="D21" s="25" t="str">
        <v>1837-01-01</v>
      </c>
      <c r="E21" s="30">
        <v>-1784</v>
      </c>
      <c r="F21" s="26" t="str">
        <f t="shared" si="0"/>
        <v>1837</v>
      </c>
    </row>
    <row r="22" spans="4:6" x14ac:dyDescent="0.2">
      <c r="D22" s="25" t="str">
        <v>1838-01-01</v>
      </c>
      <c r="E22" s="30">
        <v>-892</v>
      </c>
      <c r="F22" s="26" t="str">
        <f t="shared" si="0"/>
        <v>1838</v>
      </c>
    </row>
    <row r="23" spans="4:6" x14ac:dyDescent="0.2">
      <c r="D23" s="25" t="str">
        <v>1839-01-01</v>
      </c>
      <c r="E23" s="30">
        <v>-917</v>
      </c>
      <c r="F23" s="26" t="str">
        <f t="shared" si="0"/>
        <v>1839</v>
      </c>
    </row>
    <row r="24" spans="4:6" x14ac:dyDescent="0.2">
      <c r="D24" s="25" t="str">
        <v>1840-01-01</v>
      </c>
      <c r="E24" s="30">
        <v>-1208</v>
      </c>
      <c r="F24" s="26" t="str">
        <f t="shared" si="0"/>
        <v>1840</v>
      </c>
    </row>
    <row r="25" spans="4:6" x14ac:dyDescent="0.2">
      <c r="D25" s="25" t="str">
        <v>1841-01-01</v>
      </c>
      <c r="E25" s="30">
        <v>-2074</v>
      </c>
      <c r="F25" s="26" t="str">
        <f t="shared" si="0"/>
        <v>1841</v>
      </c>
    </row>
    <row r="26" spans="4:6" x14ac:dyDescent="0.2">
      <c r="D26" s="25" t="str">
        <v>1842-01-01</v>
      </c>
      <c r="E26" s="30">
        <v>-2142</v>
      </c>
      <c r="F26" s="26" t="str">
        <f t="shared" si="0"/>
        <v>1842</v>
      </c>
    </row>
    <row r="27" spans="4:6" x14ac:dyDescent="0.2">
      <c r="D27" s="25" t="str">
        <v>1843-01-01</v>
      </c>
      <c r="E27" s="30">
        <v>-1072</v>
      </c>
      <c r="F27" s="26" t="str">
        <f t="shared" si="0"/>
        <v>1843</v>
      </c>
    </row>
    <row r="28" spans="4:6" x14ac:dyDescent="0.2">
      <c r="D28" s="25" t="str">
        <v>1844-01-01</v>
      </c>
      <c r="E28" s="30">
        <v>-1236</v>
      </c>
      <c r="F28" s="26" t="str">
        <f t="shared" si="0"/>
        <v>1844</v>
      </c>
    </row>
    <row r="29" spans="4:6" x14ac:dyDescent="0.2">
      <c r="D29" s="25" t="str">
        <v>1845-01-01</v>
      </c>
      <c r="E29" s="30">
        <v>-858</v>
      </c>
      <c r="F29" s="26" t="str">
        <f t="shared" si="0"/>
        <v>1845</v>
      </c>
    </row>
    <row r="30" spans="4:6" x14ac:dyDescent="0.2">
      <c r="D30" s="25" t="str">
        <v>1846-01-01</v>
      </c>
      <c r="E30" s="30">
        <v>153</v>
      </c>
      <c r="F30" s="26" t="str">
        <f t="shared" si="0"/>
        <v>1846</v>
      </c>
    </row>
    <row r="31" spans="4:6" x14ac:dyDescent="0.2">
      <c r="D31" s="25" t="str">
        <v>1847-01-01</v>
      </c>
      <c r="E31" s="30">
        <v>-369</v>
      </c>
      <c r="F31" s="26" t="str">
        <f t="shared" si="0"/>
        <v>1847</v>
      </c>
    </row>
    <row r="32" spans="4:6" x14ac:dyDescent="0.2">
      <c r="D32" s="25" t="str">
        <v>1848-01-01</v>
      </c>
      <c r="E32" s="30">
        <v>1234</v>
      </c>
      <c r="F32" s="26" t="str">
        <f t="shared" si="0"/>
        <v>1848</v>
      </c>
    </row>
    <row r="33" spans="4:12" x14ac:dyDescent="0.2">
      <c r="D33" s="25" t="str">
        <v>1849-01-01</v>
      </c>
      <c r="E33" s="30">
        <v>491</v>
      </c>
      <c r="F33" s="26" t="str">
        <f t="shared" si="0"/>
        <v>1849</v>
      </c>
    </row>
    <row r="34" spans="4:12" x14ac:dyDescent="0.2">
      <c r="D34" s="25" t="str">
        <v>1850-01-01</v>
      </c>
      <c r="E34" s="30">
        <v>-446</v>
      </c>
      <c r="F34" s="26" t="str">
        <f t="shared" si="0"/>
        <v>1850</v>
      </c>
    </row>
    <row r="35" spans="4:12" x14ac:dyDescent="0.2">
      <c r="D35" s="25" t="str">
        <v>1851-01-01</v>
      </c>
      <c r="E35" s="30">
        <v>-1094</v>
      </c>
      <c r="F35" s="26" t="str">
        <f t="shared" si="0"/>
        <v>1851</v>
      </c>
    </row>
    <row r="36" spans="4:12" x14ac:dyDescent="0.2">
      <c r="D36" s="25" t="str">
        <v>1852-01-01</v>
      </c>
      <c r="E36" s="30">
        <v>-3181</v>
      </c>
      <c r="F36" s="26" t="str">
        <f t="shared" si="0"/>
        <v>1852</v>
      </c>
    </row>
    <row r="37" spans="4:12" x14ac:dyDescent="0.2">
      <c r="D37" s="25" t="str">
        <v>1853-01-01</v>
      </c>
      <c r="E37" s="30">
        <v>-1564</v>
      </c>
      <c r="F37" s="26" t="str">
        <f t="shared" si="0"/>
        <v>1853</v>
      </c>
    </row>
    <row r="38" spans="4:12" x14ac:dyDescent="0.2">
      <c r="D38" s="25" t="str">
        <v>1854-01-01</v>
      </c>
      <c r="E38" s="30">
        <v>-1068</v>
      </c>
      <c r="F38" s="26" t="str">
        <f t="shared" si="0"/>
        <v>1854</v>
      </c>
    </row>
    <row r="39" spans="4:12" x14ac:dyDescent="0.2">
      <c r="D39" s="25" t="str">
        <v>1855-01-01</v>
      </c>
      <c r="E39" s="30">
        <v>636</v>
      </c>
      <c r="F39" s="26" t="str">
        <f t="shared" si="0"/>
        <v>1855</v>
      </c>
    </row>
    <row r="40" spans="4:12" x14ac:dyDescent="0.2">
      <c r="D40" s="25" t="str">
        <v>1856-01-01</v>
      </c>
      <c r="E40" s="30">
        <v>180</v>
      </c>
      <c r="F40" s="26" t="str">
        <f t="shared" si="0"/>
        <v>1856</v>
      </c>
      <c r="L40" s="2"/>
    </row>
    <row r="41" spans="4:12" x14ac:dyDescent="0.2">
      <c r="D41" s="25" t="str">
        <v>1857-01-01</v>
      </c>
      <c r="E41" s="30">
        <v>-1226</v>
      </c>
      <c r="F41" s="26" t="str">
        <f t="shared" si="0"/>
        <v>1857</v>
      </c>
    </row>
    <row r="42" spans="4:12" x14ac:dyDescent="0.2">
      <c r="D42" s="25" t="str">
        <v>1858-01-01</v>
      </c>
      <c r="E42" s="30">
        <v>-3777</v>
      </c>
      <c r="F42" s="26" t="str">
        <f t="shared" si="0"/>
        <v>1858</v>
      </c>
    </row>
    <row r="43" spans="4:12" x14ac:dyDescent="0.2">
      <c r="D43" s="25" t="str">
        <v>1859-01-01</v>
      </c>
      <c r="E43" s="30">
        <v>-2182</v>
      </c>
      <c r="F43" s="26" t="str">
        <f t="shared" si="0"/>
        <v>1859</v>
      </c>
    </row>
    <row r="44" spans="4:12" x14ac:dyDescent="0.2">
      <c r="D44" s="25" t="str">
        <v>1860-01-01</v>
      </c>
      <c r="E44" s="30">
        <v>-7</v>
      </c>
      <c r="F44" s="26" t="str">
        <f t="shared" si="0"/>
        <v>1860</v>
      </c>
    </row>
    <row r="45" spans="4:12" x14ac:dyDescent="0.2">
      <c r="D45" s="25" t="str">
        <v>1861-01-01</v>
      </c>
      <c r="E45" s="30">
        <v>-59</v>
      </c>
      <c r="F45" s="26" t="str">
        <f t="shared" si="0"/>
        <v>1861</v>
      </c>
    </row>
    <row r="46" spans="4:12" x14ac:dyDescent="0.2">
      <c r="D46" s="25" t="str">
        <v>1862-01-01</v>
      </c>
      <c r="E46" s="30">
        <v>1086</v>
      </c>
      <c r="F46" s="26" t="str">
        <f t="shared" si="0"/>
        <v>1862</v>
      </c>
    </row>
    <row r="47" spans="4:12" x14ac:dyDescent="0.2">
      <c r="D47" s="25" t="str">
        <v>1863-01-01</v>
      </c>
      <c r="E47" s="30">
        <v>2556</v>
      </c>
      <c r="F47" s="26" t="str">
        <f t="shared" si="0"/>
        <v>1863</v>
      </c>
    </row>
    <row r="48" spans="4:12" x14ac:dyDescent="0.2">
      <c r="D48" s="25" t="str">
        <v>1864-01-01</v>
      </c>
      <c r="E48" s="30">
        <v>625</v>
      </c>
      <c r="F48" s="26" t="str">
        <f t="shared" si="0"/>
        <v>1864</v>
      </c>
    </row>
    <row r="49" spans="4:6" x14ac:dyDescent="0.2">
      <c r="D49" s="25" t="str">
        <v>1865-01-01</v>
      </c>
      <c r="E49" s="30">
        <v>1038</v>
      </c>
      <c r="F49" s="26" t="str">
        <f t="shared" si="0"/>
        <v>1865</v>
      </c>
    </row>
    <row r="50" spans="4:6" x14ac:dyDescent="0.2">
      <c r="D50" s="25" t="str">
        <v>1866-01-01</v>
      </c>
      <c r="E50" s="30">
        <v>2011</v>
      </c>
      <c r="F50" s="26" t="str">
        <f t="shared" si="0"/>
        <v>1866</v>
      </c>
    </row>
    <row r="51" spans="4:6" x14ac:dyDescent="0.2">
      <c r="D51" s="25" t="str">
        <v>1867-01-01</v>
      </c>
      <c r="E51" s="30">
        <v>1323</v>
      </c>
      <c r="F51" s="26" t="str">
        <f t="shared" si="0"/>
        <v>1867</v>
      </c>
    </row>
    <row r="52" spans="4:6" x14ac:dyDescent="0.2">
      <c r="D52" s="25" t="str">
        <v>1868-01-01</v>
      </c>
      <c r="E52" s="30">
        <v>4180</v>
      </c>
      <c r="F52" s="26" t="str">
        <f t="shared" si="0"/>
        <v>1868</v>
      </c>
    </row>
    <row r="53" spans="4:6" x14ac:dyDescent="0.2">
      <c r="D53" s="25" t="str">
        <v>1869-01-01</v>
      </c>
      <c r="E53" s="30">
        <v>2549</v>
      </c>
      <c r="F53" s="26" t="str">
        <f t="shared" si="0"/>
        <v>1869</v>
      </c>
    </row>
    <row r="54" spans="4:6" x14ac:dyDescent="0.2">
      <c r="D54" s="25" t="str">
        <v>1870-01-01</v>
      </c>
      <c r="E54" s="30">
        <v>2258</v>
      </c>
      <c r="F54" s="26" t="str">
        <f t="shared" si="0"/>
        <v>1870</v>
      </c>
    </row>
    <row r="55" spans="4:6" x14ac:dyDescent="0.2">
      <c r="D55" s="25" t="str">
        <v>1871-01-01</v>
      </c>
      <c r="E55" s="30">
        <v>514</v>
      </c>
      <c r="F55" s="26" t="str">
        <f t="shared" si="0"/>
        <v>1871</v>
      </c>
    </row>
    <row r="56" spans="4:6" x14ac:dyDescent="0.2">
      <c r="D56" s="25" t="str">
        <v>1872-01-01</v>
      </c>
      <c r="E56" s="30">
        <v>4044</v>
      </c>
      <c r="F56" s="26" t="str">
        <f t="shared" si="0"/>
        <v>1872</v>
      </c>
    </row>
    <row r="57" spans="4:6" x14ac:dyDescent="0.2">
      <c r="D57" s="25" t="str">
        <v>1873-01-01</v>
      </c>
      <c r="E57" s="30">
        <v>5876</v>
      </c>
      <c r="F57" s="26" t="str">
        <f t="shared" si="0"/>
        <v>1873</v>
      </c>
    </row>
    <row r="58" spans="4:6" x14ac:dyDescent="0.2">
      <c r="D58" s="25" t="str">
        <v>1874-01-01</v>
      </c>
      <c r="E58" s="30">
        <v>4011</v>
      </c>
      <c r="F58" s="26" t="str">
        <f t="shared" si="0"/>
        <v>1874</v>
      </c>
    </row>
    <row r="59" spans="4:6" x14ac:dyDescent="0.2">
      <c r="D59" s="25" t="str">
        <v>1875-01-01</v>
      </c>
      <c r="E59" s="30">
        <v>4397</v>
      </c>
      <c r="F59" s="26" t="str">
        <f t="shared" si="0"/>
        <v>1875</v>
      </c>
    </row>
    <row r="60" spans="4:6" x14ac:dyDescent="0.2">
      <c r="D60" s="25" t="str">
        <v>1876-01-01</v>
      </c>
      <c r="E60" s="30">
        <v>1298</v>
      </c>
      <c r="F60" s="26" t="str">
        <f t="shared" si="0"/>
        <v>1876</v>
      </c>
    </row>
    <row r="61" spans="4:6" x14ac:dyDescent="0.2">
      <c r="D61" s="25" t="str">
        <v>1877-01-01</v>
      </c>
      <c r="E61" s="30">
        <v>4069</v>
      </c>
      <c r="F61" s="26" t="str">
        <f t="shared" si="0"/>
        <v>1877</v>
      </c>
    </row>
    <row r="62" spans="4:6" x14ac:dyDescent="0.2">
      <c r="D62" s="25" t="str">
        <v>1878-01-01</v>
      </c>
      <c r="E62" s="30">
        <v>2335</v>
      </c>
      <c r="F62" s="26" t="str">
        <f t="shared" si="0"/>
        <v>1878</v>
      </c>
    </row>
    <row r="63" spans="4:6" x14ac:dyDescent="0.2">
      <c r="D63" s="25" t="str">
        <v>1879-01-01</v>
      </c>
      <c r="E63" s="30">
        <v>3877</v>
      </c>
      <c r="F63" s="26" t="str">
        <f t="shared" si="0"/>
        <v>1879</v>
      </c>
    </row>
    <row r="64" spans="4:6" x14ac:dyDescent="0.2">
      <c r="D64" s="25" t="str">
        <v>1880-01-01</v>
      </c>
      <c r="E64" s="30">
        <v>4335</v>
      </c>
      <c r="F64" s="26" t="str">
        <f t="shared" si="0"/>
        <v>1880</v>
      </c>
    </row>
    <row r="65" spans="4:6" x14ac:dyDescent="0.2">
      <c r="D65" s="25" t="str">
        <v>1881-01-01</v>
      </c>
      <c r="E65" s="30">
        <v>4720</v>
      </c>
      <c r="F65" s="26" t="str">
        <f t="shared" si="0"/>
        <v>1881</v>
      </c>
    </row>
    <row r="66" spans="4:6" x14ac:dyDescent="0.2">
      <c r="D66" s="25" t="str">
        <v>1882-01-01</v>
      </c>
      <c r="E66" s="30">
        <v>2517</v>
      </c>
      <c r="F66" s="26" t="str">
        <f t="shared" si="0"/>
        <v>1882</v>
      </c>
    </row>
    <row r="67" spans="4:6" x14ac:dyDescent="0.2">
      <c r="D67" s="25" t="str">
        <v>1883-01-01</v>
      </c>
      <c r="E67" s="30">
        <v>596</v>
      </c>
      <c r="F67" s="26" t="str">
        <f t="shared" si="0"/>
        <v>1883</v>
      </c>
    </row>
    <row r="68" spans="4:6" x14ac:dyDescent="0.2">
      <c r="D68" s="25" t="str">
        <v>1884-01-01</v>
      </c>
      <c r="E68" s="30">
        <v>1306</v>
      </c>
      <c r="F68" s="26" t="str">
        <f t="shared" si="0"/>
        <v>1884</v>
      </c>
    </row>
    <row r="69" spans="4:6" x14ac:dyDescent="0.2">
      <c r="D69" s="25" t="str">
        <v>1885-01-01</v>
      </c>
      <c r="E69" s="30">
        <v>4123</v>
      </c>
      <c r="F69" s="26" t="str">
        <f t="shared" si="0"/>
        <v>1885</v>
      </c>
    </row>
    <row r="70" spans="4:6" x14ac:dyDescent="0.2">
      <c r="D70" s="25" t="str">
        <v>1886-01-01</v>
      </c>
      <c r="E70" s="30">
        <v>-196</v>
      </c>
      <c r="F70" s="26" t="str">
        <f t="shared" ref="F70:F123" si="1">LEFT(D70,4)</f>
        <v>1886</v>
      </c>
    </row>
    <row r="71" spans="4:6" x14ac:dyDescent="0.2">
      <c r="D71" s="25" t="str">
        <v>1887-01-01</v>
      </c>
      <c r="E71" s="30">
        <v>4382</v>
      </c>
      <c r="F71" s="26" t="str">
        <f t="shared" si="1"/>
        <v>1887</v>
      </c>
    </row>
    <row r="72" spans="4:6" x14ac:dyDescent="0.2">
      <c r="D72" s="25" t="str">
        <v>1888-01-01</v>
      </c>
      <c r="E72" s="30">
        <v>1990</v>
      </c>
      <c r="F72" s="26" t="str">
        <f t="shared" si="1"/>
        <v>1888</v>
      </c>
    </row>
    <row r="73" spans="4:6" x14ac:dyDescent="0.2">
      <c r="D73" s="25" t="str">
        <v>1889-01-01</v>
      </c>
      <c r="E73" s="30">
        <v>4550</v>
      </c>
      <c r="F73" s="26" t="str">
        <f t="shared" si="1"/>
        <v>1889</v>
      </c>
    </row>
    <row r="74" spans="4:6" x14ac:dyDescent="0.2">
      <c r="D74" s="25" t="str">
        <v>1890-01-01</v>
      </c>
      <c r="E74" s="30">
        <v>2363</v>
      </c>
      <c r="F74" s="26" t="str">
        <f t="shared" si="1"/>
        <v>1890</v>
      </c>
    </row>
    <row r="75" spans="4:6" x14ac:dyDescent="0.2">
      <c r="D75" s="25" t="str">
        <v>1891-01-01</v>
      </c>
      <c r="E75" s="30">
        <v>1571</v>
      </c>
      <c r="F75" s="26" t="str">
        <f t="shared" si="1"/>
        <v>1891</v>
      </c>
    </row>
    <row r="76" spans="4:6" x14ac:dyDescent="0.2">
      <c r="D76" s="25" t="str">
        <v>1892-01-01</v>
      </c>
      <c r="E76" s="30">
        <v>4552</v>
      </c>
      <c r="F76" s="26" t="str">
        <f t="shared" si="1"/>
        <v>1892</v>
      </c>
    </row>
    <row r="77" spans="4:6" x14ac:dyDescent="0.2">
      <c r="D77" s="25" t="str">
        <v>1893-01-01</v>
      </c>
      <c r="E77" s="30">
        <v>5792</v>
      </c>
      <c r="F77" s="26" t="str">
        <f t="shared" si="1"/>
        <v>1893</v>
      </c>
    </row>
    <row r="78" spans="4:6" x14ac:dyDescent="0.2">
      <c r="D78" s="25" t="str">
        <v>1894-01-01</v>
      </c>
      <c r="E78" s="30">
        <v>3346</v>
      </c>
      <c r="F78" s="26" t="str">
        <f t="shared" si="1"/>
        <v>1894</v>
      </c>
    </row>
    <row r="79" spans="4:6" x14ac:dyDescent="0.2">
      <c r="D79" s="25" t="str">
        <v>1895-01-01</v>
      </c>
      <c r="E79" s="30">
        <v>3374</v>
      </c>
      <c r="F79" s="26" t="str">
        <f t="shared" si="1"/>
        <v>1895</v>
      </c>
    </row>
    <row r="80" spans="4:6" x14ac:dyDescent="0.2">
      <c r="D80" s="25" t="str">
        <v>1896-01-01</v>
      </c>
      <c r="E80" s="30">
        <v>453</v>
      </c>
      <c r="F80" s="26" t="str">
        <f t="shared" si="1"/>
        <v>1896</v>
      </c>
    </row>
    <row r="81" spans="4:6" x14ac:dyDescent="0.2">
      <c r="D81" s="25" t="str">
        <v>1897-01-01</v>
      </c>
      <c r="E81" s="30">
        <v>2893</v>
      </c>
      <c r="F81" s="26" t="str">
        <f t="shared" si="1"/>
        <v>1897</v>
      </c>
    </row>
    <row r="82" spans="4:6" x14ac:dyDescent="0.2">
      <c r="D82" s="25" t="str">
        <v>1898-01-01</v>
      </c>
      <c r="E82" s="30">
        <v>1483</v>
      </c>
      <c r="F82" s="26" t="str">
        <f t="shared" si="1"/>
        <v>1898</v>
      </c>
    </row>
    <row r="83" spans="4:6" x14ac:dyDescent="0.2">
      <c r="D83" s="25" t="str">
        <v>1899-01-01</v>
      </c>
      <c r="E83" s="30">
        <v>2982</v>
      </c>
      <c r="F83" s="26" t="str">
        <f t="shared" si="1"/>
        <v>1899</v>
      </c>
    </row>
    <row r="84" spans="4:6" x14ac:dyDescent="0.2">
      <c r="D84" s="25" t="str">
        <v>1900-01-01</v>
      </c>
      <c r="E84" s="30">
        <v>11754</v>
      </c>
      <c r="F84" s="26" t="str">
        <f t="shared" si="1"/>
        <v>1900</v>
      </c>
    </row>
    <row r="85" spans="4:6" x14ac:dyDescent="0.2">
      <c r="D85" s="25" t="str">
        <v>1901-01-01</v>
      </c>
      <c r="E85" s="30">
        <v>19245</v>
      </c>
      <c r="F85" s="26" t="str">
        <f t="shared" si="1"/>
        <v>1901</v>
      </c>
    </row>
    <row r="86" spans="4:6" x14ac:dyDescent="0.2">
      <c r="D86" s="25" t="str">
        <v>1902-01-01</v>
      </c>
      <c r="E86" s="30">
        <v>13158</v>
      </c>
      <c r="F86" s="26" t="str">
        <f t="shared" si="1"/>
        <v>1902</v>
      </c>
    </row>
    <row r="87" spans="4:6" x14ac:dyDescent="0.2">
      <c r="D87" s="25" t="str">
        <v>1903-01-01</v>
      </c>
      <c r="E87" s="30">
        <v>12625</v>
      </c>
      <c r="F87" s="26" t="str">
        <f t="shared" si="1"/>
        <v>1903</v>
      </c>
    </row>
    <row r="88" spans="4:6" x14ac:dyDescent="0.2">
      <c r="D88" s="25" t="str">
        <v>1904-01-01</v>
      </c>
      <c r="E88" s="30">
        <v>13515</v>
      </c>
      <c r="F88" s="26" t="str">
        <f t="shared" si="1"/>
        <v>1904</v>
      </c>
    </row>
    <row r="89" spans="4:6" x14ac:dyDescent="0.2">
      <c r="D89" s="25" t="str">
        <v>1905-01-01</v>
      </c>
      <c r="E89" s="30">
        <v>14813</v>
      </c>
      <c r="F89" s="26" t="str">
        <f t="shared" si="1"/>
        <v>1905</v>
      </c>
    </row>
    <row r="90" spans="4:6" x14ac:dyDescent="0.2">
      <c r="D90" s="25" t="str">
        <v>1906-01-01</v>
      </c>
      <c r="E90" s="30">
        <v>19855</v>
      </c>
      <c r="F90" s="26" t="str">
        <f t="shared" si="1"/>
        <v>1906</v>
      </c>
    </row>
    <row r="91" spans="4:6" x14ac:dyDescent="0.2">
      <c r="D91" s="25" t="str">
        <v>1907-01-01</v>
      </c>
      <c r="E91" s="30">
        <v>13649</v>
      </c>
      <c r="F91" s="26" t="str">
        <f t="shared" si="1"/>
        <v>1907</v>
      </c>
    </row>
    <row r="92" spans="4:6" x14ac:dyDescent="0.2">
      <c r="D92" s="25" t="str">
        <v>1908-01-01</v>
      </c>
      <c r="E92" s="30">
        <v>8664</v>
      </c>
      <c r="F92" s="26" t="str">
        <f t="shared" si="1"/>
        <v>1908</v>
      </c>
    </row>
    <row r="93" spans="4:6" x14ac:dyDescent="0.2">
      <c r="D93" s="25" t="str">
        <v>1909-01-01</v>
      </c>
      <c r="E93" s="30">
        <v>26585</v>
      </c>
      <c r="F93" s="26" t="str">
        <f t="shared" si="1"/>
        <v>1909</v>
      </c>
    </row>
    <row r="94" spans="4:6" x14ac:dyDescent="0.2">
      <c r="D94" s="25" t="str">
        <v>1910-01-01</v>
      </c>
      <c r="E94" s="30">
        <v>15220</v>
      </c>
      <c r="F94" s="26" t="str">
        <f t="shared" si="1"/>
        <v>1910</v>
      </c>
    </row>
    <row r="95" spans="4:6" x14ac:dyDescent="0.2">
      <c r="D95" s="25" t="str">
        <v>1911-01-01</v>
      </c>
      <c r="E95" s="30">
        <v>14017</v>
      </c>
      <c r="F95" s="26" t="str">
        <f t="shared" si="1"/>
        <v>1911</v>
      </c>
    </row>
    <row r="96" spans="4:6" x14ac:dyDescent="0.2">
      <c r="D96" s="25" t="str">
        <v>1912-01-01</v>
      </c>
      <c r="E96" s="30">
        <v>11224</v>
      </c>
      <c r="F96" s="26" t="str">
        <f t="shared" si="1"/>
        <v>1912</v>
      </c>
    </row>
    <row r="97" spans="4:6" x14ac:dyDescent="0.2">
      <c r="D97" s="25" t="str">
        <v>1913-01-01</v>
      </c>
      <c r="E97" s="30">
        <v>-1715</v>
      </c>
      <c r="F97" s="26" t="str">
        <f t="shared" si="1"/>
        <v>1913</v>
      </c>
    </row>
    <row r="98" spans="4:6" x14ac:dyDescent="0.2">
      <c r="D98" s="25" t="str">
        <v>1914-01-01</v>
      </c>
      <c r="E98" s="30">
        <v>11330</v>
      </c>
      <c r="F98" s="26" t="str">
        <f t="shared" si="1"/>
        <v>1914</v>
      </c>
    </row>
    <row r="99" spans="4:6" x14ac:dyDescent="0.2">
      <c r="D99" s="25" t="str">
        <v>1915-01-01</v>
      </c>
      <c r="E99" s="30">
        <v>23863</v>
      </c>
      <c r="F99" s="26" t="str">
        <f t="shared" si="1"/>
        <v>1915</v>
      </c>
    </row>
    <row r="100" spans="4:6" x14ac:dyDescent="0.2">
      <c r="D100" s="25" t="str">
        <v>1916-01-01</v>
      </c>
      <c r="E100" s="30">
        <v>16093</v>
      </c>
      <c r="F100" s="26" t="str">
        <f t="shared" si="1"/>
        <v>1916</v>
      </c>
    </row>
    <row r="101" spans="4:6" x14ac:dyDescent="0.2">
      <c r="D101" s="25" t="str">
        <v>1917-01-01</v>
      </c>
      <c r="E101" s="30">
        <v>18521</v>
      </c>
      <c r="F101" s="26" t="str">
        <f t="shared" si="1"/>
        <v>1917</v>
      </c>
    </row>
    <row r="102" spans="4:6" x14ac:dyDescent="0.2">
      <c r="D102" s="25" t="str">
        <v>1918-01-01</v>
      </c>
      <c r="E102" s="30">
        <v>8351</v>
      </c>
      <c r="F102" s="26" t="str">
        <f t="shared" si="1"/>
        <v>1918</v>
      </c>
    </row>
    <row r="103" spans="4:6" x14ac:dyDescent="0.2">
      <c r="D103" s="25" t="str">
        <v>1919-01-01</v>
      </c>
      <c r="E103" s="30">
        <v>45521</v>
      </c>
      <c r="F103" s="26" t="str">
        <f t="shared" si="1"/>
        <v>1919</v>
      </c>
    </row>
    <row r="104" spans="4:6" x14ac:dyDescent="0.2">
      <c r="D104" s="25" t="str">
        <v>1920-01-01</v>
      </c>
      <c r="E104" s="30">
        <v>-6023</v>
      </c>
      <c r="F104" s="26" t="str">
        <f t="shared" si="1"/>
        <v>1920</v>
      </c>
    </row>
    <row r="105" spans="4:6" x14ac:dyDescent="0.2">
      <c r="D105" s="25" t="str">
        <v>1921-01-01</v>
      </c>
      <c r="E105" s="30">
        <v>-622</v>
      </c>
      <c r="F105" s="26" t="str">
        <f t="shared" si="1"/>
        <v>1921</v>
      </c>
    </row>
    <row r="106" spans="4:6" x14ac:dyDescent="0.2">
      <c r="D106" s="25" t="str">
        <v>1922-01-01</v>
      </c>
      <c r="E106" s="30">
        <v>17708</v>
      </c>
      <c r="F106" s="26" t="str">
        <f t="shared" si="1"/>
        <v>1922</v>
      </c>
    </row>
    <row r="107" spans="4:6" x14ac:dyDescent="0.2">
      <c r="D107" s="25" t="str">
        <v>1923-01-01</v>
      </c>
      <c r="E107" s="30">
        <v>21121</v>
      </c>
      <c r="F107" s="26" t="str">
        <f t="shared" si="1"/>
        <v>1923</v>
      </c>
    </row>
    <row r="108" spans="4:6" x14ac:dyDescent="0.2">
      <c r="D108" s="25" t="str">
        <v>1924-01-01</v>
      </c>
      <c r="E108" s="30">
        <v>24235</v>
      </c>
      <c r="F108" s="26" t="str">
        <f t="shared" si="1"/>
        <v>1924</v>
      </c>
    </row>
    <row r="109" spans="4:6" x14ac:dyDescent="0.2">
      <c r="D109" s="25" t="str">
        <v>1925-01-01</v>
      </c>
      <c r="E109" s="30">
        <v>18432</v>
      </c>
      <c r="F109" s="26" t="str">
        <f t="shared" si="1"/>
        <v>1925</v>
      </c>
    </row>
    <row r="110" spans="4:6" x14ac:dyDescent="0.2">
      <c r="D110" s="25" t="str">
        <v>1926-01-01</v>
      </c>
      <c r="E110" s="30">
        <v>14378</v>
      </c>
      <c r="F110" s="26" t="str">
        <f t="shared" si="1"/>
        <v>1926</v>
      </c>
    </row>
    <row r="111" spans="4:6" x14ac:dyDescent="0.2">
      <c r="D111" s="25" t="str">
        <v>1927-01-01</v>
      </c>
      <c r="E111" s="30">
        <v>9055</v>
      </c>
      <c r="F111" s="26" t="str">
        <f t="shared" si="1"/>
        <v>1927</v>
      </c>
    </row>
    <row r="112" spans="4:6" x14ac:dyDescent="0.2">
      <c r="D112" s="25" t="str">
        <v>1928-01-01</v>
      </c>
      <c r="E112" s="30">
        <v>6757</v>
      </c>
      <c r="F112" s="26" t="str">
        <f t="shared" si="1"/>
        <v>1928</v>
      </c>
    </row>
    <row r="113" spans="4:6" x14ac:dyDescent="0.2">
      <c r="D113" s="25" t="str">
        <v>1929-01-01</v>
      </c>
      <c r="E113" s="30">
        <v>8178</v>
      </c>
      <c r="F113" s="26" t="str">
        <f t="shared" si="1"/>
        <v>1929</v>
      </c>
    </row>
    <row r="114" spans="4:6" x14ac:dyDescent="0.2">
      <c r="D114" s="25" t="str">
        <v>1930-01-01</v>
      </c>
      <c r="E114" s="30">
        <v>12127</v>
      </c>
      <c r="F114" s="26" t="str">
        <f t="shared" si="1"/>
        <v>1930</v>
      </c>
    </row>
    <row r="115" spans="4:6" x14ac:dyDescent="0.2">
      <c r="D115" s="25" t="str">
        <v>1931-01-01</v>
      </c>
      <c r="E115" s="30">
        <v>20788</v>
      </c>
      <c r="F115" s="26" t="str">
        <f t="shared" si="1"/>
        <v>1931</v>
      </c>
    </row>
    <row r="116" spans="4:6" x14ac:dyDescent="0.2">
      <c r="D116" s="25" t="str">
        <v>1932-01-01</v>
      </c>
      <c r="E116" s="30">
        <v>14886</v>
      </c>
      <c r="F116" s="26" t="str">
        <f t="shared" si="1"/>
        <v>1932</v>
      </c>
    </row>
    <row r="117" spans="4:6" x14ac:dyDescent="0.2">
      <c r="D117" s="25" t="str">
        <v>1933-01-01</v>
      </c>
      <c r="E117" s="30">
        <v>7658</v>
      </c>
      <c r="F117" s="26" t="str">
        <f t="shared" si="1"/>
        <v>1933</v>
      </c>
    </row>
    <row r="118" spans="4:6" x14ac:dyDescent="0.2">
      <c r="E118" s="3"/>
    </row>
    <row r="119" spans="4:6" x14ac:dyDescent="0.2">
      <c r="E119" s="3"/>
    </row>
    <row r="120" spans="4:6" x14ac:dyDescent="0.2">
      <c r="E120" s="3"/>
    </row>
    <row r="121" spans="4:6" x14ac:dyDescent="0.2">
      <c r="E121" s="3"/>
    </row>
    <row r="122" spans="4:6" x14ac:dyDescent="0.2">
      <c r="E122" s="3"/>
    </row>
    <row r="123" spans="4:6" x14ac:dyDescent="0.2">
      <c r="E123" s="3"/>
      <c r="F123" s="26" t="str">
        <f t="shared" si="1"/>
        <v/>
      </c>
    </row>
    <row r="124" spans="4:6" x14ac:dyDescent="0.2">
      <c r="E124" s="3"/>
    </row>
    <row r="125" spans="4:6" x14ac:dyDescent="0.2">
      <c r="E125" s="3"/>
    </row>
    <row r="126" spans="4:6" x14ac:dyDescent="0.2">
      <c r="E126" s="3"/>
    </row>
    <row r="127" spans="4:6" x14ac:dyDescent="0.2">
      <c r="E127" s="3"/>
    </row>
    <row r="128" spans="4:6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40E-BA4C-466A-B5CD-1D925CC1E81B}">
  <sheetPr codeName="Planilha20"/>
  <dimension ref="A1:P506"/>
  <sheetViews>
    <sheetView workbookViewId="0"/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0.7109375" style="1" bestFit="1" customWidth="1"/>
    <col min="5" max="10" width="19" style="1" customWidth="1"/>
    <col min="11" max="16384" width="9.140625" style="1"/>
  </cols>
  <sheetData>
    <row r="1" spans="1:16" ht="15.75" x14ac:dyDescent="0.25">
      <c r="A1" s="10" t="s">
        <v>12</v>
      </c>
      <c r="I1" s="7" t="s">
        <v>11</v>
      </c>
      <c r="J1" s="31" t="str">
        <f>"Inflação acumulada por faixa de renda desde "&amp;PROPER(TEXT(D6,"mmm-aa"))</f>
        <v>Inflação acumulada por faixa de renda desde Mar-20</v>
      </c>
      <c r="K1" s="32"/>
      <c r="L1" s="32"/>
      <c r="M1" s="32"/>
      <c r="N1" s="32"/>
      <c r="O1" s="32"/>
      <c r="P1" s="32"/>
    </row>
    <row r="3" spans="1:16" ht="86.25" customHeight="1" x14ac:dyDescent="0.2">
      <c r="D3" s="1" t="s">
        <v>34</v>
      </c>
      <c r="E3" s="19" t="s">
        <v>33</v>
      </c>
      <c r="F3" s="19" t="s">
        <v>32</v>
      </c>
      <c r="G3" s="19" t="s">
        <v>31</v>
      </c>
      <c r="H3" s="19" t="s">
        <v>30</v>
      </c>
      <c r="I3" s="19" t="s">
        <v>29</v>
      </c>
      <c r="J3" s="19" t="s">
        <v>28</v>
      </c>
    </row>
    <row r="4" spans="1:16" ht="15" x14ac:dyDescent="0.25">
      <c r="A4" s="7" t="s">
        <v>5</v>
      </c>
      <c r="B4" s="16"/>
      <c r="D4" s="1" t="s">
        <v>27</v>
      </c>
      <c r="E4" s="18" t="s">
        <v>26</v>
      </c>
      <c r="F4" s="18" t="s">
        <v>25</v>
      </c>
      <c r="G4" s="18" t="s">
        <v>24</v>
      </c>
      <c r="H4" s="18" t="s">
        <v>23</v>
      </c>
      <c r="I4" s="18" t="s">
        <v>22</v>
      </c>
      <c r="J4" s="18" t="s">
        <v>21</v>
      </c>
      <c r="K4" s="17" t="s">
        <v>20</v>
      </c>
      <c r="L4" s="17"/>
      <c r="M4" s="17"/>
      <c r="N4" s="17"/>
      <c r="O4" s="17"/>
      <c r="P4" s="17"/>
    </row>
    <row r="5" spans="1:16" x14ac:dyDescent="0.2">
      <c r="A5" s="7" t="s">
        <v>4</v>
      </c>
      <c r="B5" s="16"/>
      <c r="D5" s="1" t="s">
        <v>19</v>
      </c>
      <c r="E5" s="1" t="s">
        <v>18</v>
      </c>
      <c r="F5" s="1" t="s">
        <v>17</v>
      </c>
      <c r="G5" s="1" t="s">
        <v>16</v>
      </c>
      <c r="H5" s="1" t="s">
        <v>15</v>
      </c>
      <c r="I5" s="1" t="s">
        <v>14</v>
      </c>
      <c r="J5" s="1" t="s">
        <v>13</v>
      </c>
      <c r="K5" s="1" t="s">
        <v>18</v>
      </c>
      <c r="L5" s="1" t="s">
        <v>17</v>
      </c>
      <c r="M5" s="1" t="s">
        <v>16</v>
      </c>
      <c r="N5" s="1" t="s">
        <v>15</v>
      </c>
      <c r="O5" s="1" t="s">
        <v>14</v>
      </c>
      <c r="P5" s="1" t="s">
        <v>13</v>
      </c>
    </row>
    <row r="6" spans="1:16" x14ac:dyDescent="0.2">
      <c r="A6" s="7" t="s">
        <v>3</v>
      </c>
      <c r="B6" s="8">
        <v>43891</v>
      </c>
      <c r="D6" s="12" cm="1">
        <f t="array" ref="D6:E26">xlFOCUS_ipeadata(E$4,,,$B$6,$B$7,$B$8,2)</f>
        <v>43891</v>
      </c>
      <c r="E6" s="14">
        <v>0.24943639838845599</v>
      </c>
      <c r="F6" s="14" cm="1">
        <f t="array" ref="F6:F26">xlFOCUS_ipeadata(F$4,,,$B$6,$B$7,$B$8,FALSE)</f>
        <v>0.20064386924300501</v>
      </c>
      <c r="G6" s="14" cm="1">
        <f t="array" ref="G6:G26">xlFOCUS_ipeadata(G$4,,,$B$6,$B$7,$B$8,FALSE)</f>
        <v>0.109822754710707</v>
      </c>
      <c r="H6" s="14" cm="1">
        <f t="array" ref="H6:H26">xlFOCUS_ipeadata(H$4,,,$B$6,$B$7,$B$8,FALSE)</f>
        <v>2.64992231457843E-2</v>
      </c>
      <c r="I6" s="14" cm="1">
        <f t="array" ref="I6:I26">xlFOCUS_ipeadata(I$4,,,$B$6,$B$7,$B$8,FALSE)</f>
        <v>3.0796260565551702E-2</v>
      </c>
      <c r="J6" s="14" cm="1">
        <f t="array" ref="J6:J26">xlFOCUS_ipeadata(J$4,,,$B$6,$B$7,$B$8,FALSE)</f>
        <v>-0.19955107961268101</v>
      </c>
      <c r="K6" s="15">
        <f t="shared" ref="K6:P6" si="0" xml:space="preserve"> E6/100</f>
        <v>2.4943639838845601E-3</v>
      </c>
      <c r="L6" s="15">
        <f t="shared" si="0"/>
        <v>2.0064386924300501E-3</v>
      </c>
      <c r="M6" s="15">
        <f t="shared" si="0"/>
        <v>1.0982275471070699E-3</v>
      </c>
      <c r="N6" s="15">
        <f t="shared" si="0"/>
        <v>2.6499223145784299E-4</v>
      </c>
      <c r="O6" s="15">
        <f t="shared" si="0"/>
        <v>3.0796260565551701E-4</v>
      </c>
      <c r="P6" s="15">
        <f t="shared" si="0"/>
        <v>-1.9955107961268101E-3</v>
      </c>
    </row>
    <row r="7" spans="1:16" x14ac:dyDescent="0.2">
      <c r="A7" s="7" t="s">
        <v>2</v>
      </c>
      <c r="B7" s="8"/>
      <c r="D7" s="12">
        <v>43922</v>
      </c>
      <c r="E7" s="14">
        <v>8.4582643355649492E-3</v>
      </c>
      <c r="F7" s="14">
        <v>-0.172111861820894</v>
      </c>
      <c r="G7" s="14">
        <v>-0.34835193554906302</v>
      </c>
      <c r="H7" s="14">
        <v>-0.4</v>
      </c>
      <c r="I7" s="14">
        <v>-0.52414514039482496</v>
      </c>
      <c r="J7" s="14">
        <v>-0.28291288978927598</v>
      </c>
      <c r="K7" s="13">
        <f t="shared" ref="K7:K26" si="1" xml:space="preserve"> (1 + E7/100)*(1+K6) - 1</f>
        <v>2.5791576071396705E-3</v>
      </c>
      <c r="L7" s="13">
        <f t="shared" ref="L7:L26" si="2" xml:space="preserve"> (1 + F7/100)*(1+L6) - 1</f>
        <v>2.8186675523134141E-4</v>
      </c>
      <c r="M7" s="13">
        <f t="shared" ref="M7:M26" si="3" xml:space="preserve"> (1 + G7/100)*(1+M6) - 1</f>
        <v>-2.3891175053006863E-3</v>
      </c>
      <c r="N7" s="13">
        <f t="shared" ref="N7:N26" si="4" xml:space="preserve"> (1 + H7/100)*(1+N6) - 1</f>
        <v>-3.7360677374679296E-3</v>
      </c>
      <c r="O7" s="13">
        <f t="shared" ref="O7:O26" si="5" xml:space="preserve"> (1 + I7/100)*(1+O6) - 1</f>
        <v>-4.9351029693245341E-3</v>
      </c>
      <c r="P7" s="13">
        <f t="shared" ref="P7:P26" si="6" xml:space="preserve"> (1 + J7/100)*(1+P6) - 1</f>
        <v>-4.8189941367602351E-3</v>
      </c>
    </row>
    <row r="8" spans="1:16" x14ac:dyDescent="0.2">
      <c r="A8" s="7" t="s">
        <v>1</v>
      </c>
      <c r="B8" s="6"/>
      <c r="D8" s="12">
        <v>43952</v>
      </c>
      <c r="E8" s="14">
        <v>-0.19208730309689601</v>
      </c>
      <c r="F8" s="14">
        <v>-0.257828196827463</v>
      </c>
      <c r="G8" s="14">
        <v>-0.34159738788025001</v>
      </c>
      <c r="H8" s="14">
        <v>-0.419655282236779</v>
      </c>
      <c r="I8" s="14">
        <v>-0.38973071133155701</v>
      </c>
      <c r="J8" s="14">
        <v>-0.56761142622521599</v>
      </c>
      <c r="K8" s="13">
        <f t="shared" si="1"/>
        <v>6.5333034188053141E-4</v>
      </c>
      <c r="L8" s="13">
        <f t="shared" si="2"/>
        <v>-2.2971419450157349E-3</v>
      </c>
      <c r="M8" s="13">
        <f t="shared" si="3"/>
        <v>-5.796930221111718E-3</v>
      </c>
      <c r="N8" s="13">
        <f t="shared" si="4"/>
        <v>-7.91694195422743E-3</v>
      </c>
      <c r="O8" s="13">
        <f t="shared" si="5"/>
        <v>-8.8131764707328752E-3</v>
      </c>
      <c r="P8" s="13">
        <f t="shared" si="6"/>
        <v>-1.0467755237662968E-2</v>
      </c>
    </row>
    <row r="9" spans="1:16" x14ac:dyDescent="0.2">
      <c r="D9" s="12">
        <v>43983</v>
      </c>
      <c r="E9" s="14">
        <v>0.31878438918763802</v>
      </c>
      <c r="F9" s="14">
        <v>0.31440960599034701</v>
      </c>
      <c r="G9" s="14">
        <v>0.27440314633067298</v>
      </c>
      <c r="H9" s="14">
        <v>0.26390208867863102</v>
      </c>
      <c r="I9" s="14">
        <v>0.262070978134331</v>
      </c>
      <c r="J9" s="14">
        <v>0.21340821102675001</v>
      </c>
      <c r="K9" s="13">
        <f t="shared" si="1"/>
        <v>3.843256948896645E-3</v>
      </c>
      <c r="L9" s="13">
        <f t="shared" si="2"/>
        <v>8.3973167994932929E-4</v>
      </c>
      <c r="M9" s="13">
        <f t="shared" si="3"/>
        <v>-3.0688057167223004E-3</v>
      </c>
      <c r="N9" s="13">
        <f t="shared" si="4"/>
        <v>-5.2988140426177832E-3</v>
      </c>
      <c r="O9" s="13">
        <f t="shared" si="5"/>
        <v>-6.2155634671711146E-3</v>
      </c>
      <c r="P9" s="13">
        <f t="shared" si="6"/>
        <v>-8.3560121765827722E-3</v>
      </c>
    </row>
    <row r="10" spans="1:16" x14ac:dyDescent="0.2">
      <c r="D10" s="12">
        <v>44013</v>
      </c>
      <c r="E10" s="14">
        <v>0.37962040592324497</v>
      </c>
      <c r="F10" s="14">
        <v>0.36441897090313002</v>
      </c>
      <c r="G10" s="14">
        <v>0.36156853569612102</v>
      </c>
      <c r="H10" s="14">
        <v>0.35203583993207099</v>
      </c>
      <c r="I10" s="14">
        <v>0.31424362350028101</v>
      </c>
      <c r="J10" s="14">
        <v>0.26681227737621899</v>
      </c>
      <c r="K10" s="13">
        <f t="shared" si="1"/>
        <v>7.6540507957592041E-3</v>
      </c>
      <c r="L10" s="13">
        <f t="shared" si="2"/>
        <v>4.4869815305270677E-3</v>
      </c>
      <c r="M10" s="13">
        <f t="shared" si="3"/>
        <v>5.3578380434560202E-4</v>
      </c>
      <c r="N10" s="13">
        <f t="shared" si="4"/>
        <v>-1.7971093678185168E-3</v>
      </c>
      <c r="O10" s="13">
        <f t="shared" si="5"/>
        <v>-3.0926592440285727E-3</v>
      </c>
      <c r="P10" s="13">
        <f t="shared" si="6"/>
        <v>-5.710184269206775E-3</v>
      </c>
    </row>
    <row r="11" spans="1:16" x14ac:dyDescent="0.2">
      <c r="D11" s="12">
        <v>44044</v>
      </c>
      <c r="E11" s="14">
        <v>0.37557485300404803</v>
      </c>
      <c r="F11" s="14">
        <v>0.38357684725824498</v>
      </c>
      <c r="G11" s="14">
        <v>0.36661026980671502</v>
      </c>
      <c r="H11" s="14">
        <v>0.24959038786044799</v>
      </c>
      <c r="I11" s="14">
        <v>0.13097323620979301</v>
      </c>
      <c r="J11" s="14">
        <v>-9.95116742015804E-2</v>
      </c>
      <c r="K11" s="13">
        <f t="shared" si="1"/>
        <v>1.1438546015824835E-2</v>
      </c>
      <c r="L11" s="13">
        <f t="shared" si="2"/>
        <v>8.3399610254013545E-3</v>
      </c>
      <c r="M11" s="13">
        <f t="shared" si="3"/>
        <v>4.2038507408634906E-3</v>
      </c>
      <c r="N11" s="13">
        <f t="shared" si="4"/>
        <v>6.9430909854450995E-4</v>
      </c>
      <c r="O11" s="13">
        <f t="shared" si="5"/>
        <v>-1.7869774378275194E-3</v>
      </c>
      <c r="P11" s="13">
        <f t="shared" si="6"/>
        <v>-6.6996187112562389E-3</v>
      </c>
    </row>
    <row r="12" spans="1:16" x14ac:dyDescent="0.2">
      <c r="D12" s="12">
        <v>44075</v>
      </c>
      <c r="E12" s="14">
        <v>0.97653737628143999</v>
      </c>
      <c r="F12" s="14">
        <v>0.88098965781885097</v>
      </c>
      <c r="G12" s="14">
        <v>0.77994283011892096</v>
      </c>
      <c r="H12" s="14">
        <v>0.55639719979856195</v>
      </c>
      <c r="I12" s="14">
        <v>0.37410817828904203</v>
      </c>
      <c r="J12" s="14">
        <v>0.28683399657881198</v>
      </c>
      <c r="K12" s="13">
        <f t="shared" si="1"/>
        <v>2.1315621455787026E-2</v>
      </c>
      <c r="L12" s="13">
        <f t="shared" si="2"/>
        <v>1.7223331797689756E-2</v>
      </c>
      <c r="M12" s="13">
        <f t="shared" si="3"/>
        <v>1.2036066674494972E-2</v>
      </c>
      <c r="N12" s="13">
        <f t="shared" si="4"/>
        <v>6.2621442129124905E-3</v>
      </c>
      <c r="O12" s="13">
        <f t="shared" si="5"/>
        <v>1.9474191163237897E-3</v>
      </c>
      <c r="P12" s="13">
        <f t="shared" si="6"/>
        <v>-3.8504955295731724E-3</v>
      </c>
    </row>
    <row r="13" spans="1:16" x14ac:dyDescent="0.2">
      <c r="D13" s="12">
        <v>44105</v>
      </c>
      <c r="E13" s="14">
        <v>0.98377773242292599</v>
      </c>
      <c r="F13" s="14">
        <v>0.88346273609353898</v>
      </c>
      <c r="G13" s="14">
        <v>0.86281216787430703</v>
      </c>
      <c r="H13" s="14">
        <v>0.779898361039845</v>
      </c>
      <c r="I13" s="14">
        <v>0.68906441825918097</v>
      </c>
      <c r="J13" s="14">
        <v>0.82210055413053096</v>
      </c>
      <c r="K13" s="13">
        <f t="shared" si="1"/>
        <v>3.1363097117425909E-2</v>
      </c>
      <c r="L13" s="13">
        <f t="shared" si="2"/>
        <v>2.621012087697161E-2</v>
      </c>
      <c r="M13" s="13">
        <f t="shared" si="3"/>
        <v>2.0768037001039241E-2</v>
      </c>
      <c r="N13" s="13">
        <f t="shared" si="4"/>
        <v>1.4109966183393441E-2</v>
      </c>
      <c r="O13" s="13">
        <f t="shared" si="5"/>
        <v>8.8514822711205365E-3</v>
      </c>
      <c r="P13" s="13">
        <f t="shared" si="6"/>
        <v>4.338855066646552E-3</v>
      </c>
    </row>
    <row r="14" spans="1:16" x14ac:dyDescent="0.2">
      <c r="D14" s="12">
        <v>44136</v>
      </c>
      <c r="E14" s="14">
        <v>0.99616414402603004</v>
      </c>
      <c r="F14" s="14">
        <v>0.93846812723783102</v>
      </c>
      <c r="G14" s="14">
        <v>0.90606808575876996</v>
      </c>
      <c r="H14" s="14">
        <v>0.84540905632685703</v>
      </c>
      <c r="I14" s="14">
        <v>0.79527374744860602</v>
      </c>
      <c r="J14" s="14">
        <v>0.63441760686167903</v>
      </c>
      <c r="K14" s="13">
        <f t="shared" si="1"/>
        <v>4.1637166485626098E-2</v>
      </c>
      <c r="L14" s="13">
        <f t="shared" si="2"/>
        <v>3.5840775779890865E-2</v>
      </c>
      <c r="M14" s="13">
        <f t="shared" si="3"/>
        <v>3.0016890413931963E-2</v>
      </c>
      <c r="N14" s="13">
        <f t="shared" si="4"/>
        <v>2.2683343678621126E-2</v>
      </c>
      <c r="O14" s="13">
        <f t="shared" si="5"/>
        <v>1.6874613260368987E-2</v>
      </c>
      <c r="P14" s="13">
        <f t="shared" si="6"/>
        <v>1.0710557595742243E-2</v>
      </c>
    </row>
    <row r="15" spans="1:16" x14ac:dyDescent="0.2">
      <c r="D15" s="12">
        <v>44166</v>
      </c>
      <c r="E15" s="14">
        <v>1.58257423261254</v>
      </c>
      <c r="F15" s="14">
        <v>1.4633186673757601</v>
      </c>
      <c r="G15" s="14">
        <v>1.3843117500247999</v>
      </c>
      <c r="H15" s="14">
        <v>1.20669552024306</v>
      </c>
      <c r="I15" s="14">
        <v>1.02079922813082</v>
      </c>
      <c r="J15" s="14">
        <v>1.04527859798039</v>
      </c>
      <c r="K15" s="13">
        <f t="shared" si="1"/>
        <v>5.8121847879742949E-2</v>
      </c>
      <c r="L15" s="13">
        <f t="shared" si="2"/>
        <v>5.0998427216167874E-2</v>
      </c>
      <c r="M15" s="13">
        <f t="shared" si="3"/>
        <v>4.4275535255172027E-2</v>
      </c>
      <c r="N15" s="13">
        <f t="shared" si="4"/>
        <v>3.5024017773062965E-2</v>
      </c>
      <c r="O15" s="13">
        <f t="shared" si="5"/>
        <v>2.7254861463589242E-2</v>
      </c>
      <c r="P15" s="13">
        <f t="shared" si="6"/>
        <v>2.1275298741818771E-2</v>
      </c>
    </row>
    <row r="16" spans="1:16" x14ac:dyDescent="0.2">
      <c r="D16" s="12">
        <v>44197</v>
      </c>
      <c r="E16" s="14">
        <v>0.214777005413956</v>
      </c>
      <c r="F16" s="14">
        <v>0.22281287189961099</v>
      </c>
      <c r="G16" s="14">
        <v>0.23804148133393899</v>
      </c>
      <c r="H16" s="14">
        <v>0.26463727896780498</v>
      </c>
      <c r="I16" s="14">
        <v>0.26586738533473597</v>
      </c>
      <c r="J16" s="14">
        <v>0.29218150890933497</v>
      </c>
      <c r="K16" s="13">
        <f t="shared" si="1"/>
        <v>6.0394450298249858E-2</v>
      </c>
      <c r="L16" s="13">
        <f t="shared" si="2"/>
        <v>5.3340186995467942E-2</v>
      </c>
      <c r="M16" s="13">
        <f t="shared" si="3"/>
        <v>4.676134420850131E-2</v>
      </c>
      <c r="N16" s="13">
        <f t="shared" si="4"/>
        <v>3.7763077170360759E-2</v>
      </c>
      <c r="O16" s="13">
        <f t="shared" si="5"/>
        <v>2.9985997104486461E-2</v>
      </c>
      <c r="P16" s="13">
        <f t="shared" si="6"/>
        <v>2.4259276319800849E-2</v>
      </c>
    </row>
    <row r="17" spans="4:16" x14ac:dyDescent="0.2">
      <c r="D17" s="12">
        <v>44228</v>
      </c>
      <c r="E17" s="14">
        <v>0.66821966837221003</v>
      </c>
      <c r="F17" s="14">
        <v>0.79911072740035005</v>
      </c>
      <c r="G17" s="14">
        <v>0.89143435465916598</v>
      </c>
      <c r="H17" s="14">
        <v>0.98376119704442799</v>
      </c>
      <c r="I17" s="14">
        <v>0.96774264332909099</v>
      </c>
      <c r="J17" s="14">
        <v>0.98256664652273495</v>
      </c>
      <c r="K17" s="13">
        <f t="shared" si="1"/>
        <v>6.7480214577469999E-2</v>
      </c>
      <c r="L17" s="13">
        <f t="shared" si="2"/>
        <v>6.1757541425767615E-2</v>
      </c>
      <c r="M17" s="13">
        <f t="shared" si="3"/>
        <v>5.6092534442067965E-2</v>
      </c>
      <c r="N17" s="13">
        <f t="shared" si="4"/>
        <v>4.797218764081701E-2</v>
      </c>
      <c r="O17" s="13">
        <f t="shared" si="5"/>
        <v>3.995361081878479E-2</v>
      </c>
      <c r="P17" s="13">
        <f t="shared" si="6"/>
        <v>3.4323306342834314E-2</v>
      </c>
    </row>
    <row r="18" spans="4:16" x14ac:dyDescent="0.2">
      <c r="D18" s="12">
        <v>44256</v>
      </c>
      <c r="E18" s="14">
        <v>0.70685031300920897</v>
      </c>
      <c r="F18" s="14">
        <v>0.85225908990948696</v>
      </c>
      <c r="G18" s="14">
        <v>1.024126133437</v>
      </c>
      <c r="H18" s="14">
        <v>1.0902273301138701</v>
      </c>
      <c r="I18" s="14">
        <v>1.0806221464927801</v>
      </c>
      <c r="J18" s="14">
        <v>0.99615789601902704</v>
      </c>
      <c r="K18" s="13">
        <f t="shared" si="1"/>
        <v>7.5025701815522261E-2</v>
      </c>
      <c r="L18" s="13">
        <f t="shared" si="2"/>
        <v>7.0806466585368266E-2</v>
      </c>
      <c r="M18" s="13">
        <f t="shared" si="3"/>
        <v>6.6908254080566332E-2</v>
      </c>
      <c r="N18" s="13">
        <f t="shared" si="4"/>
        <v>5.9397466842469493E-2</v>
      </c>
      <c r="O18" s="13">
        <f t="shared" si="5"/>
        <v>5.1191579850544011E-2</v>
      </c>
      <c r="P18" s="13">
        <f t="shared" si="6"/>
        <v>4.4626799629333691E-2</v>
      </c>
    </row>
    <row r="19" spans="4:16" x14ac:dyDescent="0.2">
      <c r="D19" s="12">
        <v>44287</v>
      </c>
      <c r="E19" s="14">
        <v>0.45064721003563002</v>
      </c>
      <c r="F19" s="14">
        <v>0.41965023155596998</v>
      </c>
      <c r="G19" s="14">
        <v>0.32859271808742901</v>
      </c>
      <c r="H19" s="14">
        <v>0.25960508731578003</v>
      </c>
      <c r="I19" s="14">
        <v>0.197489947811849</v>
      </c>
      <c r="J19" s="14">
        <v>0.23111919429662101</v>
      </c>
      <c r="K19" s="13">
        <f t="shared" si="1"/>
        <v>7.9870275147919889E-2</v>
      </c>
      <c r="L19" s="13">
        <f t="shared" si="2"/>
        <v>7.5300108401910038E-2</v>
      </c>
      <c r="M19" s="13">
        <f t="shared" si="3"/>
        <v>7.041403691214887E-2</v>
      </c>
      <c r="N19" s="13">
        <f t="shared" si="4"/>
        <v>6.2147716561286925E-2</v>
      </c>
      <c r="O19" s="13">
        <f t="shared" si="5"/>
        <v>5.3267577552993384E-2</v>
      </c>
      <c r="P19" s="13">
        <f t="shared" si="6"/>
        <v>4.7041132672043462E-2</v>
      </c>
    </row>
    <row r="20" spans="4:16" x14ac:dyDescent="0.2">
      <c r="D20" s="12">
        <v>44317</v>
      </c>
      <c r="E20" s="14">
        <v>0.923305012244099</v>
      </c>
      <c r="F20" s="14">
        <v>0.88384083753690401</v>
      </c>
      <c r="G20" s="14">
        <v>0.85558903503692196</v>
      </c>
      <c r="H20" s="14">
        <v>0.81947084879347099</v>
      </c>
      <c r="I20" s="14">
        <v>0.81225804575326999</v>
      </c>
      <c r="J20" s="14">
        <v>0.45762162458422501</v>
      </c>
      <c r="K20" s="13">
        <f t="shared" si="1"/>
        <v>8.9840771524094754E-2</v>
      </c>
      <c r="L20" s="13">
        <f t="shared" si="2"/>
        <v>8.480404988604473E-2</v>
      </c>
      <c r="M20" s="13">
        <f t="shared" si="3"/>
        <v>7.9572382041465328E-2</v>
      </c>
      <c r="N20" s="13">
        <f t="shared" si="4"/>
        <v>7.0851707469632208E-2</v>
      </c>
      <c r="O20" s="13">
        <f t="shared" si="5"/>
        <v>6.1822828194978197E-2</v>
      </c>
      <c r="P20" s="13">
        <f t="shared" si="6"/>
        <v>5.1832619313442407E-2</v>
      </c>
    </row>
    <row r="21" spans="4:16" x14ac:dyDescent="0.2">
      <c r="D21" s="12">
        <v>44348</v>
      </c>
      <c r="E21" s="14">
        <v>0.62180939293221105</v>
      </c>
      <c r="F21" s="14">
        <v>0.59775328448401999</v>
      </c>
      <c r="G21" s="14">
        <v>0.55004426971625897</v>
      </c>
      <c r="H21" s="14">
        <v>0.516462851793698</v>
      </c>
      <c r="I21" s="14">
        <v>0.44265788967560299</v>
      </c>
      <c r="J21" s="14">
        <v>0.36315759573923501</v>
      </c>
      <c r="K21" s="13">
        <f t="shared" si="1"/>
        <v>9.6617503809436567E-2</v>
      </c>
      <c r="L21" s="13">
        <f t="shared" si="2"/>
        <v>9.1288501724454241E-2</v>
      </c>
      <c r="M21" s="13">
        <f t="shared" si="3"/>
        <v>8.5510508066323654E-2</v>
      </c>
      <c r="N21" s="13">
        <f t="shared" si="4"/>
        <v>7.6382258736511277E-2</v>
      </c>
      <c r="O21" s="13">
        <f t="shared" si="5"/>
        <v>6.6523070718359945E-2</v>
      </c>
      <c r="P21" s="13">
        <f t="shared" si="6"/>
        <v>5.565242936494208E-2</v>
      </c>
    </row>
    <row r="22" spans="4:16" x14ac:dyDescent="0.2">
      <c r="D22" s="12">
        <v>44378</v>
      </c>
      <c r="E22" s="14">
        <v>1.1202722423329401</v>
      </c>
      <c r="F22" s="14">
        <v>1.06732864984767</v>
      </c>
      <c r="G22" s="14">
        <v>1.01476008657852</v>
      </c>
      <c r="H22" s="14">
        <v>0.89299589861953399</v>
      </c>
      <c r="I22" s="14">
        <v>0.77883350694563203</v>
      </c>
      <c r="J22" s="14">
        <v>0.88120961443350398</v>
      </c>
      <c r="K22" s="13">
        <f t="shared" si="1"/>
        <v>0.10890260530917795</v>
      </c>
      <c r="L22" s="13">
        <f t="shared" si="2"/>
        <v>0.10293613655585276</v>
      </c>
      <c r="M22" s="13">
        <f t="shared" si="3"/>
        <v>9.652583543779647E-2</v>
      </c>
      <c r="N22" s="13">
        <f t="shared" si="4"/>
        <v>8.599430816049658E-2</v>
      </c>
      <c r="O22" s="13">
        <f t="shared" si="5"/>
        <v>7.4829509752420087E-2</v>
      </c>
      <c r="P22" s="13">
        <f t="shared" si="6"/>
        <v>6.4954940067506683E-2</v>
      </c>
    </row>
    <row r="23" spans="4:16" x14ac:dyDescent="0.2">
      <c r="D23" s="12">
        <v>44409</v>
      </c>
      <c r="E23" s="14">
        <v>0.90557879908443195</v>
      </c>
      <c r="F23" s="14">
        <v>0.90686045126694204</v>
      </c>
      <c r="G23" s="14">
        <v>0.89736540293703904</v>
      </c>
      <c r="H23" s="14">
        <v>0.86619763141902495</v>
      </c>
      <c r="I23" s="14">
        <v>0.85450761647094997</v>
      </c>
      <c r="J23" s="14">
        <v>0.77505707512769895</v>
      </c>
      <c r="K23" s="13">
        <f t="shared" si="1"/>
        <v>0.11894459220535292</v>
      </c>
      <c r="L23" s="13">
        <f t="shared" si="2"/>
        <v>0.11293822818100918</v>
      </c>
      <c r="M23" s="13">
        <f t="shared" si="3"/>
        <v>0.1063656789192815</v>
      </c>
      <c r="N23" s="13">
        <f t="shared" si="4"/>
        <v>9.5401165135128085E-2</v>
      </c>
      <c r="O23" s="13">
        <f t="shared" si="5"/>
        <v>8.4014009777331866E-2</v>
      </c>
      <c r="P23" s="13">
        <f t="shared" si="6"/>
        <v>7.3208948677421892E-2</v>
      </c>
    </row>
    <row r="24" spans="4:16" x14ac:dyDescent="0.2">
      <c r="D24" s="12">
        <v>44440</v>
      </c>
      <c r="E24" s="14">
        <v>1.29800708222623</v>
      </c>
      <c r="F24" s="14">
        <v>1.1998822862076799</v>
      </c>
      <c r="G24" s="14">
        <v>1.2101522360165</v>
      </c>
      <c r="H24" s="14">
        <v>1.13340570271722</v>
      </c>
      <c r="I24" s="14">
        <v>1.0428902214425499</v>
      </c>
      <c r="J24" s="14">
        <v>1.0912357642249999</v>
      </c>
      <c r="K24" s="13">
        <f t="shared" si="1"/>
        <v>0.13346857225836573</v>
      </c>
      <c r="L24" s="13">
        <f t="shared" si="2"/>
        <v>0.1262921768373868</v>
      </c>
      <c r="M24" s="13">
        <f t="shared" si="3"/>
        <v>0.11975438792124238</v>
      </c>
      <c r="N24" s="13">
        <f t="shared" si="4"/>
        <v>0.10781650440840052</v>
      </c>
      <c r="O24" s="13">
        <f t="shared" si="5"/>
        <v>9.5319085884366883E-2</v>
      </c>
      <c r="P24" s="13">
        <f t="shared" si="6"/>
        <v>8.4920188550253073E-2</v>
      </c>
    </row>
    <row r="25" spans="4:16" x14ac:dyDescent="0.2">
      <c r="D25" s="12">
        <v>44470</v>
      </c>
      <c r="E25" s="14">
        <v>1.3470256456844301</v>
      </c>
      <c r="F25" s="14">
        <v>1.2522329184027301</v>
      </c>
      <c r="G25" s="14">
        <v>1.2687652801090901</v>
      </c>
      <c r="H25" s="14">
        <v>1.1945024193307101</v>
      </c>
      <c r="I25" s="14">
        <v>1.0985671147899301</v>
      </c>
      <c r="J25" s="14">
        <v>1.1958954222929099</v>
      </c>
      <c r="K25" s="13">
        <f t="shared" si="1"/>
        <v>0.14873668461245915</v>
      </c>
      <c r="L25" s="13">
        <f t="shared" si="2"/>
        <v>0.14039597823313921</v>
      </c>
      <c r="M25" s="13">
        <f t="shared" si="3"/>
        <v>0.13396144281768518</v>
      </c>
      <c r="N25" s="13">
        <f t="shared" si="4"/>
        <v>0.12104939935530368</v>
      </c>
      <c r="O25" s="13">
        <f t="shared" si="5"/>
        <v>0.10735190116391014</v>
      </c>
      <c r="P25" s="13">
        <f t="shared" si="6"/>
        <v>9.7894699420657094E-2</v>
      </c>
    </row>
    <row r="26" spans="4:16" x14ac:dyDescent="0.2">
      <c r="D26" s="12">
        <v>44501</v>
      </c>
      <c r="E26" s="14">
        <v>0.65396520882281495</v>
      </c>
      <c r="F26" s="14">
        <v>0.76201413931620299</v>
      </c>
      <c r="G26" s="14">
        <v>0.93828742209031801</v>
      </c>
      <c r="H26" s="14">
        <v>1.09914223314473</v>
      </c>
      <c r="I26" s="14">
        <v>1.0821315551328601</v>
      </c>
      <c r="J26" s="14">
        <v>1.02244064584415</v>
      </c>
      <c r="K26" s="13">
        <f t="shared" si="1"/>
        <v>0.15624902287080933</v>
      </c>
      <c r="L26" s="13">
        <f t="shared" si="2"/>
        <v>0.14908595683146908</v>
      </c>
      <c r="M26" s="13">
        <f t="shared" si="3"/>
        <v>0.1446012604069975</v>
      </c>
      <c r="N26" s="13">
        <f t="shared" si="4"/>
        <v>0.1333713267580332</v>
      </c>
      <c r="O26" s="13">
        <f t="shared" si="5"/>
        <v>0.11933490551276837</v>
      </c>
      <c r="P26" s="13">
        <f t="shared" si="6"/>
        <v>0.10912002107610252</v>
      </c>
    </row>
    <row r="27" spans="4:16" x14ac:dyDescent="0.2">
      <c r="D27" s="12"/>
      <c r="E27" s="14"/>
      <c r="F27" s="14"/>
      <c r="G27" s="14"/>
      <c r="H27" s="14"/>
      <c r="I27" s="14"/>
      <c r="J27" s="14"/>
      <c r="K27" s="13"/>
      <c r="L27" s="13"/>
      <c r="M27" s="13"/>
      <c r="N27" s="13"/>
      <c r="O27" s="13"/>
      <c r="P27" s="13"/>
    </row>
    <row r="28" spans="4:16" x14ac:dyDescent="0.2">
      <c r="D28" s="12"/>
      <c r="E28" s="14"/>
      <c r="F28" s="14"/>
      <c r="G28" s="14"/>
      <c r="H28" s="14"/>
      <c r="I28" s="14"/>
      <c r="J28" s="14"/>
      <c r="K28" s="13"/>
      <c r="L28" s="13"/>
      <c r="M28" s="13"/>
      <c r="N28" s="13"/>
      <c r="O28" s="13"/>
      <c r="P28" s="13"/>
    </row>
    <row r="29" spans="4:16" x14ac:dyDescent="0.2">
      <c r="D29" s="12"/>
      <c r="E29" s="11"/>
      <c r="F29" s="11"/>
      <c r="G29" s="11"/>
      <c r="H29" s="11"/>
      <c r="I29" s="11"/>
      <c r="J29" s="11"/>
    </row>
    <row r="30" spans="4:16" x14ac:dyDescent="0.2">
      <c r="D30" s="12"/>
      <c r="E30" s="11"/>
      <c r="F30" s="11"/>
      <c r="G30" s="11"/>
      <c r="H30" s="11"/>
      <c r="I30" s="11"/>
      <c r="J30" s="11"/>
    </row>
    <row r="31" spans="4:16" x14ac:dyDescent="0.2">
      <c r="D31" s="12"/>
      <c r="E31" s="11"/>
      <c r="F31" s="11"/>
      <c r="G31" s="11"/>
      <c r="H31" s="11"/>
      <c r="I31" s="11"/>
      <c r="J31" s="11"/>
    </row>
    <row r="32" spans="4:16" x14ac:dyDescent="0.2">
      <c r="D32" s="12"/>
      <c r="E32" s="11"/>
      <c r="F32" s="11"/>
      <c r="G32" s="11"/>
      <c r="H32" s="11"/>
      <c r="I32" s="11"/>
      <c r="J32" s="11"/>
    </row>
    <row r="33" spans="4:12" x14ac:dyDescent="0.2">
      <c r="D33" s="12"/>
      <c r="E33" s="11"/>
      <c r="F33" s="11"/>
      <c r="G33" s="11"/>
      <c r="H33" s="11"/>
      <c r="I33" s="11"/>
      <c r="J33" s="11"/>
    </row>
    <row r="34" spans="4:12" x14ac:dyDescent="0.2">
      <c r="D34" s="12"/>
      <c r="E34" s="11"/>
      <c r="F34" s="11"/>
      <c r="G34" s="11"/>
      <c r="H34" s="11"/>
      <c r="I34" s="11"/>
      <c r="J34" s="11"/>
    </row>
    <row r="35" spans="4:12" x14ac:dyDescent="0.2">
      <c r="D35" s="12"/>
      <c r="E35" s="11"/>
      <c r="F35" s="11"/>
      <c r="G35" s="11"/>
      <c r="H35" s="11"/>
      <c r="I35" s="11"/>
      <c r="J35" s="11"/>
    </row>
    <row r="36" spans="4:12" x14ac:dyDescent="0.2">
      <c r="D36" s="12"/>
      <c r="E36" s="11"/>
      <c r="F36" s="11"/>
      <c r="G36" s="11"/>
      <c r="H36" s="11"/>
      <c r="I36" s="11"/>
      <c r="J36" s="11"/>
    </row>
    <row r="37" spans="4:12" x14ac:dyDescent="0.2">
      <c r="D37" s="12"/>
      <c r="E37" s="11"/>
      <c r="F37" s="11"/>
      <c r="G37" s="11"/>
      <c r="H37" s="11"/>
      <c r="I37" s="11"/>
      <c r="J37" s="11"/>
    </row>
    <row r="38" spans="4:12" x14ac:dyDescent="0.2">
      <c r="D38" s="12"/>
      <c r="E38" s="11"/>
      <c r="F38" s="11"/>
      <c r="G38" s="11"/>
      <c r="H38" s="11"/>
      <c r="I38" s="11"/>
      <c r="J38" s="11"/>
    </row>
    <row r="39" spans="4:12" x14ac:dyDescent="0.2">
      <c r="D39" s="12"/>
      <c r="E39" s="11"/>
      <c r="F39" s="11"/>
      <c r="G39" s="11"/>
      <c r="H39" s="11"/>
      <c r="I39" s="11"/>
      <c r="J39" s="11"/>
      <c r="L39" s="2"/>
    </row>
    <row r="40" spans="4:12" x14ac:dyDescent="0.2">
      <c r="D40" s="12"/>
      <c r="E40" s="11"/>
      <c r="F40" s="11"/>
      <c r="G40" s="11"/>
      <c r="H40" s="11"/>
      <c r="I40" s="11"/>
      <c r="J40" s="11"/>
    </row>
    <row r="41" spans="4:12" x14ac:dyDescent="0.2">
      <c r="D41" s="12"/>
      <c r="E41" s="11"/>
      <c r="F41" s="11"/>
      <c r="G41" s="11"/>
      <c r="H41" s="11"/>
      <c r="I41" s="11"/>
      <c r="J41" s="11"/>
    </row>
    <row r="42" spans="4:12" x14ac:dyDescent="0.2">
      <c r="D42" s="12"/>
      <c r="E42" s="11"/>
      <c r="F42" s="11"/>
      <c r="G42" s="11"/>
      <c r="H42" s="11"/>
      <c r="I42" s="11"/>
      <c r="J42" s="11"/>
    </row>
    <row r="43" spans="4:12" x14ac:dyDescent="0.2">
      <c r="D43" s="12"/>
      <c r="E43" s="11"/>
      <c r="F43" s="11"/>
      <c r="G43" s="11"/>
      <c r="H43" s="11"/>
      <c r="I43" s="11"/>
      <c r="J43" s="11"/>
    </row>
    <row r="44" spans="4:12" x14ac:dyDescent="0.2">
      <c r="D44" s="12"/>
      <c r="E44" s="11"/>
      <c r="F44" s="11"/>
      <c r="G44" s="11"/>
      <c r="H44" s="11"/>
      <c r="I44" s="11"/>
      <c r="J44" s="11"/>
    </row>
    <row r="45" spans="4:12" x14ac:dyDescent="0.2">
      <c r="D45" s="12"/>
      <c r="E45" s="11"/>
      <c r="F45" s="11"/>
      <c r="G45" s="11"/>
      <c r="H45" s="11"/>
      <c r="I45" s="11"/>
      <c r="J45" s="11"/>
    </row>
    <row r="46" spans="4:12" x14ac:dyDescent="0.2">
      <c r="D46" s="12"/>
      <c r="E46" s="11"/>
      <c r="F46" s="11"/>
      <c r="G46" s="11"/>
      <c r="H46" s="11"/>
      <c r="I46" s="11"/>
      <c r="J46" s="11"/>
    </row>
    <row r="47" spans="4:12" x14ac:dyDescent="0.2">
      <c r="D47" s="12"/>
      <c r="E47" s="11"/>
      <c r="F47" s="11"/>
      <c r="G47" s="11"/>
      <c r="H47" s="11"/>
      <c r="I47" s="11"/>
      <c r="J47" s="11"/>
    </row>
    <row r="48" spans="4:12" x14ac:dyDescent="0.2">
      <c r="D48" s="12"/>
      <c r="E48" s="11"/>
      <c r="F48" s="11"/>
      <c r="G48" s="11"/>
      <c r="H48" s="11"/>
      <c r="I48" s="11"/>
      <c r="J48" s="11"/>
    </row>
    <row r="49" spans="4:10" x14ac:dyDescent="0.2">
      <c r="D49" s="12"/>
      <c r="E49" s="11"/>
      <c r="F49" s="11"/>
      <c r="G49" s="11"/>
      <c r="H49" s="11"/>
      <c r="I49" s="11"/>
      <c r="J49" s="11"/>
    </row>
    <row r="50" spans="4:10" x14ac:dyDescent="0.2">
      <c r="D50" s="12"/>
      <c r="E50" s="11"/>
      <c r="F50" s="11"/>
      <c r="G50" s="11"/>
      <c r="H50" s="11"/>
      <c r="I50" s="11"/>
      <c r="J50" s="11"/>
    </row>
    <row r="51" spans="4:10" x14ac:dyDescent="0.2">
      <c r="D51" s="12"/>
      <c r="E51" s="11"/>
      <c r="F51" s="11"/>
      <c r="G51" s="11"/>
      <c r="H51" s="11"/>
      <c r="I51" s="11"/>
      <c r="J51" s="11"/>
    </row>
    <row r="52" spans="4:10" x14ac:dyDescent="0.2">
      <c r="D52" s="12"/>
      <c r="E52" s="11"/>
      <c r="F52" s="11"/>
      <c r="G52" s="11"/>
      <c r="H52" s="11"/>
      <c r="I52" s="11"/>
      <c r="J52" s="11"/>
    </row>
    <row r="53" spans="4:10" x14ac:dyDescent="0.2">
      <c r="D53" s="12"/>
      <c r="E53" s="11"/>
      <c r="F53" s="11"/>
      <c r="G53" s="11"/>
      <c r="H53" s="11"/>
      <c r="I53" s="11"/>
      <c r="J53" s="11"/>
    </row>
    <row r="54" spans="4:10" x14ac:dyDescent="0.2">
      <c r="D54" s="12"/>
      <c r="E54" s="11"/>
      <c r="F54" s="11"/>
      <c r="G54" s="11"/>
      <c r="H54" s="11"/>
      <c r="I54" s="11"/>
      <c r="J54" s="11"/>
    </row>
    <row r="55" spans="4:10" x14ac:dyDescent="0.2">
      <c r="D55" s="12"/>
      <c r="E55" s="11"/>
      <c r="F55" s="11"/>
      <c r="G55" s="11"/>
      <c r="H55" s="11"/>
      <c r="I55" s="11"/>
      <c r="J55" s="11"/>
    </row>
    <row r="56" spans="4:10" x14ac:dyDescent="0.2">
      <c r="D56" s="12"/>
      <c r="E56" s="11"/>
      <c r="F56" s="11"/>
      <c r="G56" s="11"/>
      <c r="H56" s="11"/>
      <c r="I56" s="11"/>
      <c r="J56" s="11"/>
    </row>
    <row r="57" spans="4:10" x14ac:dyDescent="0.2">
      <c r="D57" s="12"/>
      <c r="E57" s="11"/>
      <c r="F57" s="11"/>
      <c r="G57" s="11"/>
      <c r="H57" s="11"/>
      <c r="I57" s="11"/>
      <c r="J57" s="11"/>
    </row>
    <row r="58" spans="4:10" x14ac:dyDescent="0.2">
      <c r="D58" s="12"/>
      <c r="E58" s="11"/>
      <c r="F58" s="11"/>
      <c r="G58" s="11"/>
      <c r="H58" s="11"/>
      <c r="I58" s="11"/>
      <c r="J58" s="11"/>
    </row>
    <row r="59" spans="4:10" x14ac:dyDescent="0.2">
      <c r="D59" s="12"/>
      <c r="E59" s="11"/>
      <c r="F59" s="11"/>
      <c r="G59" s="11"/>
      <c r="H59" s="11"/>
      <c r="I59" s="11"/>
      <c r="J59" s="11"/>
    </row>
    <row r="60" spans="4:10" x14ac:dyDescent="0.2">
      <c r="D60" s="12"/>
      <c r="E60" s="11"/>
      <c r="F60" s="11"/>
      <c r="G60" s="11"/>
      <c r="H60" s="11"/>
      <c r="I60" s="11"/>
      <c r="J60" s="11"/>
    </row>
    <row r="61" spans="4:10" x14ac:dyDescent="0.2">
      <c r="D61" s="12"/>
      <c r="E61" s="11"/>
      <c r="F61" s="11"/>
      <c r="G61" s="11"/>
      <c r="H61" s="11"/>
      <c r="I61" s="11"/>
      <c r="J61" s="11"/>
    </row>
    <row r="62" spans="4:10" x14ac:dyDescent="0.2">
      <c r="D62" s="12"/>
      <c r="E62" s="11"/>
      <c r="F62" s="11"/>
      <c r="G62" s="11"/>
      <c r="H62" s="11"/>
      <c r="I62" s="11"/>
      <c r="J62" s="11"/>
    </row>
    <row r="63" spans="4:10" x14ac:dyDescent="0.2">
      <c r="D63" s="12"/>
      <c r="E63" s="11"/>
      <c r="F63" s="11"/>
      <c r="G63" s="11"/>
      <c r="H63" s="11"/>
      <c r="I63" s="11"/>
      <c r="J63" s="11"/>
    </row>
    <row r="64" spans="4:10" x14ac:dyDescent="0.2">
      <c r="D64" s="12"/>
      <c r="E64" s="11"/>
      <c r="F64" s="11"/>
      <c r="G64" s="11"/>
      <c r="H64" s="11"/>
      <c r="I64" s="11"/>
      <c r="J64" s="11"/>
    </row>
    <row r="65" spans="4:10" x14ac:dyDescent="0.2">
      <c r="D65" s="12"/>
      <c r="E65" s="11"/>
      <c r="F65" s="11"/>
      <c r="G65" s="11"/>
      <c r="H65" s="11"/>
      <c r="I65" s="11"/>
      <c r="J65" s="11"/>
    </row>
    <row r="66" spans="4:10" x14ac:dyDescent="0.2">
      <c r="D66" s="12"/>
      <c r="E66" s="11"/>
      <c r="F66" s="11"/>
      <c r="G66" s="11"/>
      <c r="H66" s="11"/>
      <c r="I66" s="11"/>
      <c r="J66" s="11"/>
    </row>
    <row r="67" spans="4:10" x14ac:dyDescent="0.2">
      <c r="D67" s="12"/>
      <c r="E67" s="11"/>
      <c r="F67" s="11"/>
      <c r="G67" s="11"/>
      <c r="H67" s="11"/>
      <c r="I67" s="11"/>
      <c r="J67" s="11"/>
    </row>
    <row r="68" spans="4:10" x14ac:dyDescent="0.2">
      <c r="D68" s="12"/>
      <c r="E68" s="11"/>
      <c r="F68" s="11"/>
      <c r="G68" s="11"/>
      <c r="H68" s="11"/>
      <c r="I68" s="11"/>
      <c r="J68" s="11"/>
    </row>
    <row r="69" spans="4:10" x14ac:dyDescent="0.2">
      <c r="D69" s="12"/>
      <c r="E69" s="11"/>
      <c r="F69" s="11"/>
      <c r="G69" s="11"/>
      <c r="H69" s="11"/>
      <c r="I69" s="11"/>
      <c r="J69" s="11"/>
    </row>
    <row r="70" spans="4:10" x14ac:dyDescent="0.2">
      <c r="D70" s="12"/>
      <c r="E70" s="11"/>
      <c r="F70" s="11"/>
      <c r="G70" s="11"/>
      <c r="H70" s="11"/>
      <c r="I70" s="11"/>
      <c r="J70" s="11"/>
    </row>
    <row r="71" spans="4:10" x14ac:dyDescent="0.2">
      <c r="D71" s="12"/>
      <c r="E71" s="11"/>
      <c r="F71" s="11"/>
      <c r="G71" s="11"/>
      <c r="H71" s="11"/>
      <c r="I71" s="11"/>
      <c r="J71" s="11"/>
    </row>
    <row r="72" spans="4:10" x14ac:dyDescent="0.2">
      <c r="D72" s="12"/>
      <c r="E72" s="11"/>
      <c r="F72" s="11"/>
      <c r="G72" s="11"/>
      <c r="H72" s="11"/>
      <c r="I72" s="11"/>
      <c r="J72" s="11"/>
    </row>
    <row r="73" spans="4:10" x14ac:dyDescent="0.2">
      <c r="D73" s="12"/>
      <c r="E73" s="11"/>
      <c r="F73" s="11"/>
      <c r="G73" s="11"/>
      <c r="H73" s="11"/>
      <c r="I73" s="11"/>
      <c r="J73" s="11"/>
    </row>
    <row r="74" spans="4:10" x14ac:dyDescent="0.2">
      <c r="D74" s="12"/>
      <c r="E74" s="11"/>
      <c r="F74" s="11"/>
      <c r="G74" s="11"/>
      <c r="H74" s="11"/>
      <c r="I74" s="11"/>
      <c r="J74" s="11"/>
    </row>
    <row r="75" spans="4:10" x14ac:dyDescent="0.2">
      <c r="D75" s="12"/>
      <c r="E75" s="11"/>
      <c r="F75" s="11"/>
      <c r="G75" s="11"/>
      <c r="H75" s="11"/>
      <c r="I75" s="11"/>
      <c r="J75" s="11"/>
    </row>
    <row r="76" spans="4:10" x14ac:dyDescent="0.2">
      <c r="D76" s="12"/>
      <c r="E76" s="11"/>
      <c r="F76" s="11"/>
      <c r="G76" s="11"/>
      <c r="H76" s="11"/>
      <c r="I76" s="11"/>
      <c r="J76" s="11"/>
    </row>
    <row r="77" spans="4:10" x14ac:dyDescent="0.2">
      <c r="D77" s="12"/>
      <c r="E77" s="11"/>
      <c r="F77" s="11"/>
      <c r="G77" s="11"/>
      <c r="H77" s="11"/>
      <c r="I77" s="11"/>
      <c r="J77" s="11"/>
    </row>
    <row r="78" spans="4:10" x14ac:dyDescent="0.2">
      <c r="D78" s="12"/>
      <c r="E78" s="11"/>
      <c r="F78" s="11"/>
      <c r="G78" s="11"/>
      <c r="H78" s="11"/>
      <c r="I78" s="11"/>
      <c r="J78" s="11"/>
    </row>
    <row r="79" spans="4:10" x14ac:dyDescent="0.2">
      <c r="D79" s="12"/>
      <c r="E79" s="11"/>
      <c r="F79" s="11"/>
      <c r="G79" s="11"/>
      <c r="H79" s="11"/>
      <c r="I79" s="11"/>
      <c r="J79" s="11"/>
    </row>
    <row r="80" spans="4:10" x14ac:dyDescent="0.2">
      <c r="D80" s="12"/>
      <c r="E80" s="11"/>
      <c r="F80" s="11"/>
      <c r="G80" s="11"/>
      <c r="H80" s="11"/>
      <c r="I80" s="11"/>
      <c r="J80" s="11"/>
    </row>
    <row r="81" spans="4:10" x14ac:dyDescent="0.2">
      <c r="D81" s="12"/>
      <c r="E81" s="11"/>
      <c r="F81" s="11"/>
      <c r="G81" s="11"/>
      <c r="H81" s="11"/>
      <c r="I81" s="11"/>
      <c r="J81" s="11"/>
    </row>
    <row r="82" spans="4:10" x14ac:dyDescent="0.2">
      <c r="D82" s="12"/>
      <c r="E82" s="11"/>
      <c r="F82" s="11"/>
      <c r="G82" s="11"/>
      <c r="H82" s="11"/>
      <c r="I82" s="11"/>
      <c r="J82" s="11"/>
    </row>
    <row r="83" spans="4:10" x14ac:dyDescent="0.2">
      <c r="D83" s="12"/>
      <c r="E83" s="11"/>
      <c r="F83" s="11"/>
      <c r="G83" s="11"/>
      <c r="H83" s="11"/>
      <c r="I83" s="11"/>
      <c r="J83" s="11"/>
    </row>
    <row r="84" spans="4:10" x14ac:dyDescent="0.2">
      <c r="D84" s="12"/>
      <c r="E84" s="11"/>
      <c r="F84" s="11"/>
      <c r="G84" s="11"/>
      <c r="H84" s="11"/>
      <c r="I84" s="11"/>
      <c r="J84" s="11"/>
    </row>
    <row r="85" spans="4:10" x14ac:dyDescent="0.2">
      <c r="D85" s="12"/>
      <c r="E85" s="11"/>
      <c r="F85" s="11"/>
      <c r="G85" s="11"/>
      <c r="H85" s="11"/>
      <c r="I85" s="11"/>
      <c r="J85" s="11"/>
    </row>
    <row r="86" spans="4:10" x14ac:dyDescent="0.2">
      <c r="D86" s="12"/>
      <c r="E86" s="11"/>
      <c r="F86" s="11"/>
      <c r="G86" s="11"/>
      <c r="H86" s="11"/>
      <c r="I86" s="11"/>
      <c r="J86" s="11"/>
    </row>
    <row r="87" spans="4:10" x14ac:dyDescent="0.2">
      <c r="D87" s="12"/>
      <c r="E87" s="11"/>
      <c r="F87" s="11"/>
      <c r="G87" s="11"/>
      <c r="H87" s="11"/>
      <c r="I87" s="11"/>
      <c r="J87" s="11"/>
    </row>
    <row r="88" spans="4:10" x14ac:dyDescent="0.2">
      <c r="D88" s="12"/>
      <c r="E88" s="11"/>
      <c r="F88" s="11"/>
      <c r="G88" s="11"/>
      <c r="H88" s="11"/>
      <c r="I88" s="11"/>
      <c r="J88" s="11"/>
    </row>
    <row r="89" spans="4:10" x14ac:dyDescent="0.2">
      <c r="D89" s="12"/>
      <c r="E89" s="11"/>
      <c r="F89" s="11"/>
      <c r="G89" s="11"/>
      <c r="H89" s="11"/>
      <c r="I89" s="11"/>
      <c r="J89" s="11"/>
    </row>
    <row r="90" spans="4:10" x14ac:dyDescent="0.2">
      <c r="D90" s="12"/>
      <c r="E90" s="11"/>
      <c r="F90" s="11"/>
      <c r="G90" s="11"/>
      <c r="H90" s="11"/>
      <c r="I90" s="11"/>
      <c r="J90" s="11"/>
    </row>
    <row r="91" spans="4:10" x14ac:dyDescent="0.2">
      <c r="D91" s="12"/>
      <c r="E91" s="11"/>
      <c r="F91" s="11"/>
      <c r="G91" s="11"/>
      <c r="H91" s="11"/>
      <c r="I91" s="11"/>
      <c r="J91" s="11"/>
    </row>
    <row r="92" spans="4:10" x14ac:dyDescent="0.2">
      <c r="D92" s="12"/>
      <c r="E92" s="11"/>
      <c r="F92" s="11"/>
      <c r="G92" s="11"/>
      <c r="H92" s="11"/>
      <c r="I92" s="11"/>
      <c r="J92" s="11"/>
    </row>
    <row r="93" spans="4:10" x14ac:dyDescent="0.2">
      <c r="D93" s="12"/>
      <c r="E93" s="11"/>
      <c r="F93" s="11"/>
      <c r="G93" s="11"/>
      <c r="H93" s="11"/>
      <c r="I93" s="11"/>
      <c r="J93" s="11"/>
    </row>
    <row r="94" spans="4:10" x14ac:dyDescent="0.2">
      <c r="D94" s="12"/>
      <c r="E94" s="11"/>
      <c r="F94" s="11"/>
      <c r="G94" s="11"/>
      <c r="H94" s="11"/>
      <c r="I94" s="11"/>
      <c r="J94" s="11"/>
    </row>
    <row r="95" spans="4:10" x14ac:dyDescent="0.2">
      <c r="D95" s="12"/>
      <c r="E95" s="11"/>
      <c r="F95" s="11"/>
      <c r="G95" s="11"/>
      <c r="H95" s="11"/>
      <c r="I95" s="11"/>
      <c r="J95" s="11"/>
    </row>
    <row r="96" spans="4:10" x14ac:dyDescent="0.2">
      <c r="D96" s="12"/>
      <c r="E96" s="11"/>
      <c r="F96" s="11"/>
      <c r="G96" s="11"/>
      <c r="H96" s="11"/>
      <c r="I96" s="11"/>
      <c r="J96" s="11"/>
    </row>
    <row r="97" spans="4:10" x14ac:dyDescent="0.2">
      <c r="D97" s="12"/>
      <c r="E97" s="11"/>
      <c r="F97" s="11"/>
      <c r="G97" s="11"/>
      <c r="H97" s="11"/>
      <c r="I97" s="11"/>
      <c r="J97" s="11"/>
    </row>
    <row r="98" spans="4:10" x14ac:dyDescent="0.2">
      <c r="D98" s="12"/>
      <c r="E98" s="11"/>
      <c r="F98" s="11"/>
      <c r="G98" s="11"/>
      <c r="H98" s="11"/>
      <c r="I98" s="11"/>
      <c r="J98" s="11"/>
    </row>
    <row r="99" spans="4:10" x14ac:dyDescent="0.2">
      <c r="D99" s="12"/>
      <c r="E99" s="11"/>
      <c r="F99" s="11"/>
      <c r="G99" s="11"/>
      <c r="H99" s="11"/>
      <c r="I99" s="11"/>
      <c r="J99" s="11"/>
    </row>
    <row r="100" spans="4:10" x14ac:dyDescent="0.2">
      <c r="D100" s="12"/>
      <c r="E100" s="11"/>
      <c r="F100" s="11"/>
      <c r="G100" s="11"/>
      <c r="H100" s="11"/>
      <c r="I100" s="11"/>
      <c r="J100" s="11"/>
    </row>
    <row r="101" spans="4:10" x14ac:dyDescent="0.2">
      <c r="D101" s="12"/>
      <c r="E101" s="11"/>
      <c r="F101" s="11"/>
      <c r="G101" s="11"/>
      <c r="H101" s="11"/>
      <c r="I101" s="11"/>
      <c r="J101" s="11"/>
    </row>
    <row r="102" spans="4:10" x14ac:dyDescent="0.2">
      <c r="D102" s="12"/>
      <c r="E102" s="11"/>
      <c r="F102" s="11"/>
      <c r="G102" s="11"/>
      <c r="H102" s="11"/>
      <c r="I102" s="11"/>
      <c r="J102" s="11"/>
    </row>
    <row r="103" spans="4:10" x14ac:dyDescent="0.2">
      <c r="D103" s="12"/>
      <c r="E103" s="11"/>
      <c r="F103" s="11"/>
      <c r="G103" s="11"/>
      <c r="H103" s="11"/>
      <c r="I103" s="11"/>
      <c r="J103" s="11"/>
    </row>
    <row r="104" spans="4:10" x14ac:dyDescent="0.2">
      <c r="D104" s="12"/>
      <c r="E104" s="11"/>
      <c r="F104" s="11"/>
      <c r="G104" s="11"/>
      <c r="H104" s="11"/>
      <c r="I104" s="11"/>
      <c r="J104" s="11"/>
    </row>
    <row r="105" spans="4:10" x14ac:dyDescent="0.2">
      <c r="D105" s="12"/>
      <c r="E105" s="11"/>
      <c r="F105" s="11"/>
      <c r="G105" s="11"/>
      <c r="H105" s="11"/>
      <c r="I105" s="11"/>
      <c r="J105" s="11"/>
    </row>
    <row r="106" spans="4:10" x14ac:dyDescent="0.2">
      <c r="D106" s="12"/>
      <c r="E106" s="11"/>
      <c r="F106" s="11"/>
      <c r="G106" s="11"/>
      <c r="H106" s="11"/>
      <c r="I106" s="11"/>
      <c r="J106" s="11"/>
    </row>
    <row r="107" spans="4:10" x14ac:dyDescent="0.2">
      <c r="D107" s="12"/>
      <c r="E107" s="11"/>
      <c r="F107" s="11"/>
      <c r="G107" s="11"/>
      <c r="H107" s="11"/>
      <c r="I107" s="11"/>
      <c r="J107" s="11"/>
    </row>
    <row r="108" spans="4:10" x14ac:dyDescent="0.2">
      <c r="D108" s="12"/>
      <c r="E108" s="11"/>
      <c r="F108" s="11"/>
      <c r="G108" s="11"/>
      <c r="H108" s="11"/>
      <c r="I108" s="11"/>
      <c r="J108" s="11"/>
    </row>
    <row r="109" spans="4:10" x14ac:dyDescent="0.2">
      <c r="D109" s="12"/>
      <c r="E109" s="11"/>
      <c r="F109" s="11"/>
      <c r="G109" s="11"/>
      <c r="H109" s="11"/>
      <c r="I109" s="11"/>
      <c r="J109" s="11"/>
    </row>
    <row r="110" spans="4:10" x14ac:dyDescent="0.2">
      <c r="D110" s="12"/>
      <c r="E110" s="11"/>
      <c r="F110" s="11"/>
      <c r="G110" s="11"/>
      <c r="H110" s="11"/>
      <c r="I110" s="11"/>
      <c r="J110" s="11"/>
    </row>
    <row r="111" spans="4:10" x14ac:dyDescent="0.2">
      <c r="D111" s="12"/>
      <c r="E111" s="11"/>
      <c r="F111" s="11"/>
      <c r="G111" s="11"/>
      <c r="H111" s="11"/>
      <c r="I111" s="11"/>
      <c r="J111" s="11"/>
    </row>
    <row r="112" spans="4:10" x14ac:dyDescent="0.2">
      <c r="D112" s="12"/>
      <c r="E112" s="11"/>
      <c r="F112" s="11"/>
      <c r="G112" s="11"/>
      <c r="H112" s="11"/>
      <c r="I112" s="11"/>
      <c r="J112" s="11"/>
    </row>
    <row r="113" spans="4:10" x14ac:dyDescent="0.2">
      <c r="D113" s="12"/>
      <c r="E113" s="11"/>
      <c r="F113" s="11"/>
      <c r="G113" s="11"/>
      <c r="H113" s="11"/>
      <c r="I113" s="11"/>
      <c r="J113" s="11"/>
    </row>
    <row r="114" spans="4:10" x14ac:dyDescent="0.2">
      <c r="D114" s="12"/>
      <c r="E114" s="11"/>
      <c r="F114" s="11"/>
      <c r="G114" s="11"/>
      <c r="H114" s="11"/>
      <c r="I114" s="11"/>
      <c r="J114" s="11"/>
    </row>
    <row r="115" spans="4:10" x14ac:dyDescent="0.2">
      <c r="D115" s="12"/>
      <c r="E115" s="11"/>
      <c r="F115" s="11"/>
      <c r="G115" s="11"/>
      <c r="H115" s="11"/>
      <c r="I115" s="11"/>
      <c r="J115" s="11"/>
    </row>
    <row r="116" spans="4:10" x14ac:dyDescent="0.2">
      <c r="D116" s="12"/>
      <c r="E116" s="11"/>
      <c r="F116" s="11"/>
      <c r="G116" s="11"/>
      <c r="H116" s="11"/>
      <c r="I116" s="11"/>
      <c r="J116" s="11"/>
    </row>
    <row r="117" spans="4:10" x14ac:dyDescent="0.2">
      <c r="D117" s="12"/>
      <c r="E117" s="11"/>
      <c r="F117" s="11"/>
      <c r="G117" s="11"/>
      <c r="H117" s="11"/>
      <c r="I117" s="11"/>
      <c r="J117" s="11"/>
    </row>
    <row r="118" spans="4:10" x14ac:dyDescent="0.2">
      <c r="D118" s="12"/>
      <c r="E118" s="11"/>
      <c r="F118" s="11"/>
      <c r="G118" s="11"/>
      <c r="H118" s="11"/>
      <c r="I118" s="11"/>
      <c r="J118" s="11"/>
    </row>
    <row r="119" spans="4:10" x14ac:dyDescent="0.2">
      <c r="D119" s="12"/>
      <c r="E119" s="11"/>
      <c r="F119" s="11"/>
      <c r="G119" s="11"/>
      <c r="H119" s="11"/>
      <c r="I119" s="11"/>
      <c r="J119" s="11"/>
    </row>
    <row r="120" spans="4:10" x14ac:dyDescent="0.2">
      <c r="D120" s="12"/>
      <c r="E120" s="11"/>
      <c r="F120" s="11"/>
      <c r="G120" s="11"/>
      <c r="H120" s="11"/>
      <c r="I120" s="11"/>
      <c r="J120" s="11"/>
    </row>
    <row r="121" spans="4:10" x14ac:dyDescent="0.2">
      <c r="D121" s="12"/>
      <c r="E121" s="11"/>
      <c r="F121" s="11"/>
      <c r="G121" s="11"/>
      <c r="H121" s="11"/>
      <c r="I121" s="11"/>
      <c r="J121" s="11"/>
    </row>
    <row r="122" spans="4:10" x14ac:dyDescent="0.2">
      <c r="D122" s="12"/>
      <c r="E122" s="11"/>
      <c r="F122" s="11"/>
      <c r="G122" s="11"/>
      <c r="H122" s="11"/>
      <c r="I122" s="11"/>
      <c r="J122" s="11"/>
    </row>
    <row r="123" spans="4:10" x14ac:dyDescent="0.2">
      <c r="D123" s="12"/>
      <c r="E123" s="11"/>
      <c r="F123" s="11"/>
      <c r="G123" s="11"/>
      <c r="H123" s="11"/>
      <c r="I123" s="11"/>
      <c r="J123" s="11"/>
    </row>
    <row r="124" spans="4:10" x14ac:dyDescent="0.2">
      <c r="D124" s="12"/>
      <c r="E124" s="11"/>
      <c r="F124" s="11"/>
      <c r="G124" s="11"/>
      <c r="H124" s="11"/>
      <c r="I124" s="11"/>
      <c r="J124" s="11"/>
    </row>
    <row r="125" spans="4:10" x14ac:dyDescent="0.2">
      <c r="D125" s="12"/>
      <c r="E125" s="11"/>
      <c r="F125" s="11"/>
      <c r="G125" s="11"/>
      <c r="H125" s="11"/>
      <c r="I125" s="11"/>
      <c r="J125" s="11"/>
    </row>
    <row r="126" spans="4:10" x14ac:dyDescent="0.2">
      <c r="D126" s="12"/>
      <c r="E126" s="11"/>
      <c r="F126" s="11"/>
      <c r="G126" s="11"/>
      <c r="H126" s="11"/>
      <c r="I126" s="11"/>
      <c r="J126" s="11"/>
    </row>
    <row r="127" spans="4:10" x14ac:dyDescent="0.2">
      <c r="D127" s="12"/>
      <c r="E127" s="11"/>
      <c r="F127" s="11"/>
      <c r="G127" s="11"/>
      <c r="H127" s="11"/>
      <c r="I127" s="11"/>
      <c r="J127" s="11"/>
    </row>
    <row r="128" spans="4:10" x14ac:dyDescent="0.2">
      <c r="D128" s="12"/>
      <c r="E128" s="11"/>
      <c r="F128" s="11"/>
      <c r="G128" s="11"/>
      <c r="H128" s="11"/>
      <c r="I128" s="11"/>
      <c r="J128" s="11"/>
    </row>
    <row r="129" spans="4:10" x14ac:dyDescent="0.2">
      <c r="D129" s="12"/>
      <c r="E129" s="11"/>
      <c r="F129" s="11"/>
      <c r="G129" s="11"/>
      <c r="H129" s="11"/>
      <c r="I129" s="11"/>
      <c r="J129" s="11"/>
    </row>
    <row r="130" spans="4:10" x14ac:dyDescent="0.2">
      <c r="D130" s="12"/>
      <c r="E130" s="11"/>
      <c r="F130" s="11"/>
      <c r="G130" s="11"/>
      <c r="H130" s="11"/>
      <c r="I130" s="11"/>
      <c r="J130" s="11"/>
    </row>
    <row r="131" spans="4:10" x14ac:dyDescent="0.2">
      <c r="D131" s="12"/>
      <c r="E131" s="11"/>
      <c r="F131" s="11"/>
      <c r="G131" s="11"/>
      <c r="H131" s="11"/>
      <c r="I131" s="11"/>
      <c r="J131" s="11"/>
    </row>
    <row r="132" spans="4:10" x14ac:dyDescent="0.2">
      <c r="D132" s="12"/>
      <c r="E132" s="11"/>
      <c r="F132" s="11"/>
      <c r="G132" s="11"/>
      <c r="H132" s="11"/>
      <c r="I132" s="11"/>
      <c r="J132" s="11"/>
    </row>
    <row r="133" spans="4:10" x14ac:dyDescent="0.2">
      <c r="D133" s="12"/>
      <c r="E133" s="11"/>
      <c r="F133" s="11"/>
      <c r="G133" s="11"/>
      <c r="H133" s="11"/>
      <c r="I133" s="11"/>
      <c r="J133" s="11"/>
    </row>
    <row r="134" spans="4:10" x14ac:dyDescent="0.2">
      <c r="D134" s="12"/>
      <c r="E134" s="11"/>
      <c r="F134" s="11"/>
      <c r="G134" s="11"/>
      <c r="H134" s="11"/>
      <c r="I134" s="11"/>
      <c r="J134" s="11"/>
    </row>
    <row r="135" spans="4:10" x14ac:dyDescent="0.2">
      <c r="D135" s="12"/>
      <c r="E135" s="11"/>
      <c r="F135" s="11"/>
      <c r="G135" s="11"/>
      <c r="H135" s="11"/>
      <c r="I135" s="11"/>
      <c r="J135" s="11"/>
    </row>
    <row r="136" spans="4:10" x14ac:dyDescent="0.2">
      <c r="D136" s="12"/>
      <c r="E136" s="11"/>
      <c r="F136" s="11"/>
      <c r="G136" s="11"/>
      <c r="H136" s="11"/>
      <c r="I136" s="11"/>
      <c r="J136" s="11"/>
    </row>
    <row r="137" spans="4:10" x14ac:dyDescent="0.2">
      <c r="D137" s="12"/>
      <c r="E137" s="11"/>
      <c r="F137" s="11"/>
      <c r="G137" s="11"/>
      <c r="H137" s="11"/>
      <c r="I137" s="11"/>
      <c r="J137" s="11"/>
    </row>
    <row r="138" spans="4:10" x14ac:dyDescent="0.2">
      <c r="D138" s="12"/>
      <c r="E138" s="11"/>
      <c r="F138" s="11"/>
      <c r="G138" s="11"/>
      <c r="H138" s="11"/>
      <c r="I138" s="11"/>
      <c r="J138" s="11"/>
    </row>
    <row r="139" spans="4:10" x14ac:dyDescent="0.2">
      <c r="D139" s="12"/>
      <c r="E139" s="11"/>
      <c r="F139" s="11"/>
      <c r="G139" s="11"/>
      <c r="H139" s="11"/>
      <c r="I139" s="11"/>
      <c r="J139" s="11"/>
    </row>
    <row r="140" spans="4:10" x14ac:dyDescent="0.2">
      <c r="D140" s="12"/>
      <c r="E140" s="11"/>
      <c r="F140" s="11"/>
      <c r="G140" s="11"/>
      <c r="H140" s="11"/>
      <c r="I140" s="11"/>
      <c r="J140" s="11"/>
    </row>
    <row r="141" spans="4:10" x14ac:dyDescent="0.2">
      <c r="D141" s="12"/>
      <c r="E141" s="11"/>
      <c r="F141" s="11"/>
      <c r="G141" s="11"/>
      <c r="H141" s="11"/>
      <c r="I141" s="11"/>
      <c r="J141" s="11"/>
    </row>
    <row r="142" spans="4:10" x14ac:dyDescent="0.2">
      <c r="D142" s="12"/>
      <c r="E142" s="11"/>
      <c r="F142" s="11"/>
      <c r="G142" s="11"/>
      <c r="H142" s="11"/>
      <c r="I142" s="11"/>
      <c r="J142" s="11"/>
    </row>
    <row r="143" spans="4:10" x14ac:dyDescent="0.2">
      <c r="D143" s="12"/>
      <c r="E143" s="11"/>
      <c r="F143" s="11"/>
      <c r="G143" s="11"/>
      <c r="H143" s="11"/>
      <c r="I143" s="11"/>
      <c r="J143" s="11"/>
    </row>
    <row r="144" spans="4:10" x14ac:dyDescent="0.2">
      <c r="D144" s="12"/>
      <c r="E144" s="11"/>
      <c r="F144" s="11"/>
      <c r="G144" s="11"/>
      <c r="H144" s="11"/>
      <c r="I144" s="11"/>
      <c r="J144" s="11"/>
    </row>
    <row r="145" spans="4:10" x14ac:dyDescent="0.2">
      <c r="D145" s="12"/>
      <c r="E145" s="11"/>
      <c r="F145" s="11"/>
      <c r="G145" s="11"/>
      <c r="H145" s="11"/>
      <c r="I145" s="11"/>
      <c r="J145" s="11"/>
    </row>
    <row r="146" spans="4:10" x14ac:dyDescent="0.2">
      <c r="D146" s="12"/>
      <c r="E146" s="11"/>
      <c r="F146" s="11"/>
      <c r="G146" s="11"/>
      <c r="H146" s="11"/>
      <c r="I146" s="11"/>
      <c r="J146" s="11"/>
    </row>
    <row r="147" spans="4:10" x14ac:dyDescent="0.2">
      <c r="D147" s="12"/>
      <c r="E147" s="11"/>
      <c r="F147" s="11"/>
      <c r="G147" s="11"/>
      <c r="H147" s="11"/>
      <c r="I147" s="11"/>
      <c r="J147" s="11"/>
    </row>
    <row r="148" spans="4:10" x14ac:dyDescent="0.2">
      <c r="D148" s="12"/>
      <c r="E148" s="11"/>
      <c r="F148" s="11"/>
      <c r="G148" s="11"/>
      <c r="H148" s="11"/>
      <c r="I148" s="11"/>
      <c r="J148" s="11"/>
    </row>
    <row r="149" spans="4:10" x14ac:dyDescent="0.2">
      <c r="D149" s="12"/>
      <c r="E149" s="11"/>
      <c r="F149" s="11"/>
      <c r="G149" s="11"/>
      <c r="H149" s="11"/>
      <c r="I149" s="11"/>
      <c r="J149" s="11"/>
    </row>
    <row r="150" spans="4:10" x14ac:dyDescent="0.2">
      <c r="D150" s="12"/>
      <c r="E150" s="11"/>
      <c r="F150" s="11"/>
      <c r="G150" s="11"/>
      <c r="H150" s="11"/>
      <c r="I150" s="11"/>
      <c r="J150" s="11"/>
    </row>
    <row r="151" spans="4:10" x14ac:dyDescent="0.2">
      <c r="D151" s="12"/>
      <c r="E151" s="11"/>
      <c r="F151" s="11"/>
      <c r="G151" s="11"/>
      <c r="H151" s="11"/>
      <c r="I151" s="11"/>
      <c r="J151" s="11"/>
    </row>
    <row r="152" spans="4:10" x14ac:dyDescent="0.2">
      <c r="D152" s="12"/>
      <c r="E152" s="11"/>
      <c r="F152" s="11"/>
      <c r="G152" s="11"/>
      <c r="H152" s="11"/>
      <c r="I152" s="11"/>
      <c r="J152" s="11"/>
    </row>
    <row r="153" spans="4:10" x14ac:dyDescent="0.2">
      <c r="D153" s="12"/>
      <c r="E153" s="11"/>
      <c r="F153" s="11"/>
      <c r="G153" s="11"/>
      <c r="H153" s="11"/>
      <c r="I153" s="11"/>
      <c r="J153" s="11"/>
    </row>
    <row r="154" spans="4:10" x14ac:dyDescent="0.2">
      <c r="D154" s="12"/>
      <c r="E154" s="11"/>
      <c r="F154" s="11"/>
      <c r="G154" s="11"/>
      <c r="H154" s="11"/>
      <c r="I154" s="11"/>
      <c r="J154" s="11"/>
    </row>
    <row r="155" spans="4:10" x14ac:dyDescent="0.2">
      <c r="D155" s="12"/>
      <c r="E155" s="11"/>
      <c r="F155" s="11"/>
      <c r="G155" s="11"/>
      <c r="H155" s="11"/>
      <c r="I155" s="11"/>
      <c r="J155" s="11"/>
    </row>
    <row r="156" spans="4:10" x14ac:dyDescent="0.2">
      <c r="D156" s="12"/>
      <c r="E156" s="11"/>
      <c r="F156" s="11"/>
      <c r="G156" s="11"/>
      <c r="H156" s="11"/>
      <c r="I156" s="11"/>
      <c r="J156" s="11"/>
    </row>
    <row r="157" spans="4:10" x14ac:dyDescent="0.2">
      <c r="D157" s="12"/>
      <c r="E157" s="11"/>
      <c r="F157" s="11"/>
      <c r="G157" s="11"/>
      <c r="H157" s="11"/>
      <c r="I157" s="11"/>
      <c r="J157" s="11"/>
    </row>
    <row r="158" spans="4:10" x14ac:dyDescent="0.2">
      <c r="D158" s="12"/>
      <c r="E158" s="11"/>
      <c r="F158" s="11"/>
      <c r="G158" s="11"/>
      <c r="H158" s="11"/>
      <c r="I158" s="11"/>
      <c r="J158" s="11"/>
    </row>
    <row r="159" spans="4:10" x14ac:dyDescent="0.2">
      <c r="D159" s="12"/>
      <c r="E159" s="11"/>
      <c r="F159" s="11"/>
      <c r="G159" s="11"/>
      <c r="H159" s="11"/>
      <c r="I159" s="11"/>
      <c r="J159" s="11"/>
    </row>
    <row r="160" spans="4:10" x14ac:dyDescent="0.2">
      <c r="D160" s="12"/>
      <c r="E160" s="11"/>
      <c r="F160" s="11"/>
      <c r="G160" s="11"/>
      <c r="H160" s="11"/>
      <c r="I160" s="11"/>
      <c r="J160" s="11"/>
    </row>
    <row r="161" spans="4:10" x14ac:dyDescent="0.2">
      <c r="D161" s="12"/>
      <c r="E161" s="11"/>
      <c r="F161" s="11"/>
      <c r="G161" s="11"/>
      <c r="H161" s="11"/>
      <c r="I161" s="11"/>
      <c r="J161" s="11"/>
    </row>
    <row r="162" spans="4:10" x14ac:dyDescent="0.2">
      <c r="D162" s="12"/>
      <c r="E162" s="11"/>
      <c r="F162" s="11"/>
      <c r="G162" s="11"/>
      <c r="H162" s="11"/>
      <c r="I162" s="11"/>
      <c r="J162" s="11"/>
    </row>
    <row r="163" spans="4:10" x14ac:dyDescent="0.2">
      <c r="D163" s="12"/>
      <c r="E163" s="11"/>
      <c r="F163" s="11"/>
      <c r="G163" s="11"/>
      <c r="H163" s="11"/>
      <c r="I163" s="11"/>
      <c r="J163" s="11"/>
    </row>
    <row r="164" spans="4:10" x14ac:dyDescent="0.2">
      <c r="D164" s="12"/>
      <c r="E164" s="11"/>
      <c r="F164" s="11"/>
      <c r="G164" s="11"/>
      <c r="H164" s="11"/>
      <c r="I164" s="11"/>
      <c r="J164" s="11"/>
    </row>
    <row r="165" spans="4:10" x14ac:dyDescent="0.2">
      <c r="D165" s="12"/>
      <c r="E165" s="11"/>
      <c r="F165" s="11"/>
      <c r="G165" s="11"/>
      <c r="H165" s="11"/>
      <c r="I165" s="11"/>
      <c r="J165" s="11"/>
    </row>
    <row r="166" spans="4:10" x14ac:dyDescent="0.2">
      <c r="D166" s="12"/>
      <c r="E166" s="11"/>
      <c r="F166" s="11"/>
      <c r="G166" s="11"/>
      <c r="H166" s="11"/>
      <c r="I166" s="11"/>
      <c r="J166" s="11"/>
    </row>
    <row r="167" spans="4:10" x14ac:dyDescent="0.2">
      <c r="D167" s="12"/>
      <c r="E167" s="11"/>
      <c r="F167" s="11"/>
      <c r="G167" s="11"/>
      <c r="H167" s="11"/>
      <c r="I167" s="11"/>
      <c r="J167" s="11"/>
    </row>
    <row r="168" spans="4:10" x14ac:dyDescent="0.2">
      <c r="D168" s="12"/>
      <c r="E168" s="11"/>
      <c r="F168" s="11"/>
      <c r="G168" s="11"/>
      <c r="H168" s="11"/>
      <c r="I168" s="11"/>
      <c r="J168" s="11"/>
    </row>
    <row r="169" spans="4:10" x14ac:dyDescent="0.2">
      <c r="D169" s="12"/>
      <c r="E169" s="11"/>
      <c r="F169" s="11"/>
      <c r="G169" s="11"/>
      <c r="H169" s="11"/>
      <c r="I169" s="11"/>
      <c r="J169" s="11"/>
    </row>
    <row r="170" spans="4:10" x14ac:dyDescent="0.2">
      <c r="D170" s="12"/>
      <c r="E170" s="11"/>
      <c r="F170" s="11"/>
      <c r="G170" s="11"/>
      <c r="H170" s="11"/>
      <c r="I170" s="11"/>
      <c r="J170" s="11"/>
    </row>
    <row r="171" spans="4:10" x14ac:dyDescent="0.2">
      <c r="D171" s="12"/>
      <c r="E171" s="11"/>
      <c r="F171" s="11"/>
      <c r="G171" s="11"/>
      <c r="H171" s="11"/>
      <c r="I171" s="11"/>
      <c r="J171" s="11"/>
    </row>
    <row r="172" spans="4:10" x14ac:dyDescent="0.2">
      <c r="D172" s="12"/>
      <c r="E172" s="11"/>
      <c r="F172" s="11"/>
      <c r="G172" s="11"/>
      <c r="H172" s="11"/>
      <c r="I172" s="11"/>
      <c r="J172" s="11"/>
    </row>
    <row r="173" spans="4:10" x14ac:dyDescent="0.2">
      <c r="D173" s="12"/>
      <c r="E173" s="11"/>
      <c r="F173" s="11"/>
      <c r="G173" s="11"/>
      <c r="H173" s="11"/>
      <c r="I173" s="11"/>
      <c r="J173" s="11"/>
    </row>
    <row r="174" spans="4:10" x14ac:dyDescent="0.2">
      <c r="D174" s="12"/>
      <c r="E174" s="11"/>
      <c r="F174" s="11"/>
      <c r="G174" s="11"/>
      <c r="H174" s="11"/>
      <c r="I174" s="11"/>
      <c r="J174" s="11"/>
    </row>
    <row r="175" spans="4:10" x14ac:dyDescent="0.2">
      <c r="D175" s="12"/>
      <c r="E175" s="11"/>
      <c r="F175" s="11"/>
      <c r="G175" s="11"/>
      <c r="H175" s="11"/>
      <c r="I175" s="11"/>
      <c r="J175" s="11"/>
    </row>
    <row r="176" spans="4:10" x14ac:dyDescent="0.2">
      <c r="D176" s="12"/>
      <c r="E176" s="11"/>
      <c r="F176" s="11"/>
      <c r="G176" s="11"/>
      <c r="H176" s="11"/>
      <c r="I176" s="11"/>
      <c r="J176" s="11"/>
    </row>
    <row r="177" spans="4:10" x14ac:dyDescent="0.2">
      <c r="D177" s="12"/>
      <c r="E177" s="11"/>
      <c r="F177" s="11"/>
      <c r="G177" s="11"/>
      <c r="H177" s="11"/>
      <c r="I177" s="11"/>
      <c r="J177" s="11"/>
    </row>
    <row r="178" spans="4:10" x14ac:dyDescent="0.2">
      <c r="D178" s="12"/>
      <c r="E178" s="11"/>
      <c r="F178" s="11"/>
      <c r="G178" s="11"/>
      <c r="H178" s="11"/>
      <c r="I178" s="11"/>
      <c r="J178" s="11"/>
    </row>
    <row r="179" spans="4:10" x14ac:dyDescent="0.2">
      <c r="D179" s="12"/>
      <c r="E179" s="11"/>
      <c r="F179" s="11"/>
      <c r="G179" s="11"/>
      <c r="H179" s="11"/>
      <c r="I179" s="11"/>
      <c r="J179" s="11"/>
    </row>
    <row r="180" spans="4:10" x14ac:dyDescent="0.2">
      <c r="D180" s="12"/>
      <c r="E180" s="11"/>
      <c r="F180" s="11"/>
      <c r="G180" s="11"/>
      <c r="H180" s="11"/>
      <c r="I180" s="11"/>
      <c r="J180" s="11"/>
    </row>
    <row r="181" spans="4:10" x14ac:dyDescent="0.2">
      <c r="D181" s="12"/>
      <c r="E181" s="11"/>
      <c r="F181" s="11"/>
      <c r="G181" s="11"/>
      <c r="H181" s="11"/>
      <c r="I181" s="11"/>
      <c r="J181" s="11"/>
    </row>
    <row r="182" spans="4:10" x14ac:dyDescent="0.2">
      <c r="D182" s="12"/>
      <c r="E182" s="11"/>
      <c r="F182" s="11"/>
      <c r="G182" s="11"/>
      <c r="H182" s="11"/>
      <c r="I182" s="11"/>
      <c r="J182" s="11"/>
    </row>
    <row r="183" spans="4:10" x14ac:dyDescent="0.2">
      <c r="D183" s="2"/>
    </row>
    <row r="184" spans="4:10" x14ac:dyDescent="0.2">
      <c r="D184" s="2"/>
    </row>
    <row r="185" spans="4:10" x14ac:dyDescent="0.2">
      <c r="D185" s="2"/>
    </row>
    <row r="186" spans="4:10" x14ac:dyDescent="0.2">
      <c r="D186" s="2"/>
    </row>
    <row r="187" spans="4:10" x14ac:dyDescent="0.2">
      <c r="D187" s="2"/>
    </row>
    <row r="188" spans="4:10" x14ac:dyDescent="0.2">
      <c r="D188" s="2"/>
    </row>
    <row r="189" spans="4:10" x14ac:dyDescent="0.2">
      <c r="D189" s="2"/>
    </row>
    <row r="190" spans="4:10" x14ac:dyDescent="0.2">
      <c r="D190" s="2"/>
    </row>
    <row r="191" spans="4:10" x14ac:dyDescent="0.2">
      <c r="D191" s="2"/>
    </row>
    <row r="192" spans="4:10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39839-1B72-463B-87A6-BEC3E3296224}">
  <sheetPr codeName="Planilha22"/>
  <dimension ref="A1:J506"/>
  <sheetViews>
    <sheetView workbookViewId="0">
      <selection activeCell="D6" sqref="D6"/>
    </sheetView>
  </sheetViews>
  <sheetFormatPr defaultRowHeight="12.75" x14ac:dyDescent="0.2"/>
  <cols>
    <col min="1" max="1" width="22.42578125" style="1" bestFit="1" customWidth="1"/>
    <col min="2" max="2" width="13.28515625" style="1" bestFit="1" customWidth="1"/>
    <col min="3" max="3" width="2.42578125" style="1" customWidth="1"/>
    <col min="4" max="4" width="17" style="1" customWidth="1"/>
    <col min="5" max="7" width="19" style="1" customWidth="1"/>
    <col min="8" max="16384" width="9.140625" style="1"/>
  </cols>
  <sheetData>
    <row r="1" spans="1:10" ht="15.75" x14ac:dyDescent="0.25">
      <c r="A1" s="10" t="s">
        <v>12</v>
      </c>
    </row>
    <row r="2" spans="1:10" ht="15" x14ac:dyDescent="0.25">
      <c r="A2" s="20"/>
    </row>
    <row r="3" spans="1:10" ht="38.25" x14ac:dyDescent="0.2">
      <c r="A3" s="1" t="s">
        <v>40</v>
      </c>
      <c r="B3" s="19" t="str" cm="1">
        <f t="array" ref="B3">xlFOCUS_ipeadata_Metadados($B$4,,,"SERNOME")</f>
        <v>Partido do presidente eleito</v>
      </c>
      <c r="D3" s="1" t="s">
        <v>34</v>
      </c>
      <c r="E3" s="19" t="str" cm="1">
        <f t="array" ref="E3">xlFOCUS_ipeadata_Metadados(,$B$5,E$4,"TERNOME")</f>
        <v>Afonso Cláudio</v>
      </c>
      <c r="G3" s="33" t="s">
        <v>45</v>
      </c>
      <c r="H3" s="33"/>
      <c r="I3" s="33"/>
      <c r="J3" s="33"/>
    </row>
    <row r="4" spans="1:10" ht="15" x14ac:dyDescent="0.25">
      <c r="A4" s="7" t="s">
        <v>39</v>
      </c>
      <c r="B4" s="6" t="s">
        <v>38</v>
      </c>
      <c r="D4" s="1" t="s">
        <v>37</v>
      </c>
      <c r="E4" s="18">
        <v>3200102</v>
      </c>
      <c r="F4" s="17"/>
      <c r="G4" s="17"/>
    </row>
    <row r="5" spans="1:10" x14ac:dyDescent="0.2">
      <c r="A5" s="7" t="s">
        <v>5</v>
      </c>
      <c r="B5" s="6" t="s">
        <v>36</v>
      </c>
      <c r="D5" s="1" t="s">
        <v>19</v>
      </c>
      <c r="E5" s="1" t="str">
        <f>E3</f>
        <v>Afonso Cláudio</v>
      </c>
    </row>
    <row r="6" spans="1:10" x14ac:dyDescent="0.2">
      <c r="A6" s="7" t="s">
        <v>4</v>
      </c>
      <c r="B6" s="16"/>
      <c r="D6" s="23" t="s">
        <v>44</v>
      </c>
      <c r="E6" s="14"/>
    </row>
    <row r="7" spans="1:10" x14ac:dyDescent="0.2">
      <c r="A7" s="7" t="s">
        <v>3</v>
      </c>
      <c r="B7" s="8"/>
      <c r="D7" s="5"/>
      <c r="E7" s="14"/>
      <c r="F7" s="13"/>
      <c r="G7" s="13"/>
    </row>
    <row r="8" spans="1:10" x14ac:dyDescent="0.2">
      <c r="A8" s="7" t="s">
        <v>2</v>
      </c>
      <c r="B8" s="8"/>
      <c r="D8" s="5"/>
      <c r="E8" s="14"/>
      <c r="F8" s="13"/>
      <c r="G8" s="13"/>
    </row>
    <row r="9" spans="1:10" x14ac:dyDescent="0.2">
      <c r="A9" s="7" t="s">
        <v>1</v>
      </c>
      <c r="B9" s="6"/>
      <c r="D9" s="5"/>
      <c r="E9" s="14"/>
      <c r="F9" s="14"/>
      <c r="G9" s="14"/>
    </row>
    <row r="10" spans="1:10" x14ac:dyDescent="0.2">
      <c r="A10" s="7" t="s">
        <v>35</v>
      </c>
      <c r="B10" s="6" t="b">
        <v>1</v>
      </c>
      <c r="D10" s="5"/>
      <c r="E10" s="14"/>
      <c r="F10" s="14"/>
      <c r="G10" s="14"/>
    </row>
    <row r="11" spans="1:10" x14ac:dyDescent="0.2">
      <c r="D11" s="5"/>
      <c r="E11" s="14"/>
      <c r="F11" s="14"/>
      <c r="G11" s="14"/>
    </row>
    <row r="12" spans="1:10" x14ac:dyDescent="0.2">
      <c r="D12" s="5"/>
      <c r="E12" s="14"/>
      <c r="F12" s="14"/>
      <c r="G12" s="14"/>
    </row>
    <row r="13" spans="1:10" x14ac:dyDescent="0.2">
      <c r="D13" s="5"/>
      <c r="E13" s="14"/>
      <c r="F13" s="14"/>
      <c r="G13" s="14"/>
    </row>
    <row r="14" spans="1:10" x14ac:dyDescent="0.2">
      <c r="D14" s="12"/>
      <c r="E14" s="14"/>
      <c r="F14" s="14"/>
      <c r="G14" s="14"/>
    </row>
    <row r="15" spans="1:10" x14ac:dyDescent="0.2">
      <c r="D15" s="12"/>
      <c r="E15" s="14"/>
      <c r="F15" s="14"/>
      <c r="G15" s="14"/>
    </row>
    <row r="16" spans="1:10" x14ac:dyDescent="0.2">
      <c r="D16" s="12"/>
      <c r="E16" s="14"/>
      <c r="F16" s="14"/>
      <c r="G16" s="14"/>
    </row>
    <row r="17" spans="4:7" x14ac:dyDescent="0.2">
      <c r="D17" s="12"/>
      <c r="E17" s="14"/>
      <c r="F17" s="14"/>
      <c r="G17" s="14"/>
    </row>
    <row r="18" spans="4:7" x14ac:dyDescent="0.2">
      <c r="D18" s="12"/>
      <c r="E18" s="14"/>
      <c r="F18" s="14"/>
      <c r="G18" s="14"/>
    </row>
    <row r="19" spans="4:7" x14ac:dyDescent="0.2">
      <c r="D19" s="12"/>
      <c r="E19" s="14"/>
      <c r="F19" s="14"/>
      <c r="G19" s="14"/>
    </row>
    <row r="20" spans="4:7" x14ac:dyDescent="0.2">
      <c r="D20" s="12"/>
      <c r="E20" s="14"/>
      <c r="F20" s="14"/>
      <c r="G20" s="14"/>
    </row>
    <row r="21" spans="4:7" x14ac:dyDescent="0.2">
      <c r="D21" s="12"/>
      <c r="E21" s="14"/>
      <c r="F21" s="14"/>
      <c r="G21" s="14"/>
    </row>
    <row r="22" spans="4:7" x14ac:dyDescent="0.2">
      <c r="D22" s="12"/>
      <c r="E22" s="14"/>
      <c r="F22" s="14"/>
      <c r="G22" s="14"/>
    </row>
    <row r="23" spans="4:7" x14ac:dyDescent="0.2">
      <c r="D23" s="12"/>
      <c r="E23" s="14"/>
      <c r="F23" s="14"/>
      <c r="G23" s="14"/>
    </row>
    <row r="24" spans="4:7" x14ac:dyDescent="0.2">
      <c r="D24" s="12"/>
      <c r="E24" s="14"/>
      <c r="F24" s="14"/>
      <c r="G24" s="14"/>
    </row>
    <row r="25" spans="4:7" x14ac:dyDescent="0.2">
      <c r="D25" s="12"/>
      <c r="E25" s="14"/>
      <c r="F25" s="14"/>
      <c r="G25" s="14"/>
    </row>
    <row r="26" spans="4:7" x14ac:dyDescent="0.2">
      <c r="D26" s="12"/>
      <c r="E26" s="14"/>
      <c r="F26" s="14"/>
      <c r="G26" s="14"/>
    </row>
    <row r="27" spans="4:7" x14ac:dyDescent="0.2">
      <c r="D27" s="12"/>
      <c r="E27" s="14"/>
      <c r="F27" s="14"/>
      <c r="G27" s="14"/>
    </row>
    <row r="28" spans="4:7" x14ac:dyDescent="0.2">
      <c r="D28" s="12"/>
      <c r="E28" s="14"/>
      <c r="F28" s="14"/>
      <c r="G28" s="14"/>
    </row>
    <row r="29" spans="4:7" x14ac:dyDescent="0.2">
      <c r="D29" s="12"/>
      <c r="E29" s="11"/>
      <c r="F29" s="11"/>
      <c r="G29" s="11"/>
    </row>
    <row r="30" spans="4:7" x14ac:dyDescent="0.2">
      <c r="D30" s="12"/>
      <c r="E30" s="11"/>
      <c r="F30" s="11"/>
      <c r="G30" s="11"/>
    </row>
    <row r="31" spans="4:7" x14ac:dyDescent="0.2">
      <c r="D31" s="12"/>
      <c r="E31" s="11"/>
      <c r="F31" s="11"/>
      <c r="G31" s="11"/>
    </row>
    <row r="32" spans="4:7" x14ac:dyDescent="0.2">
      <c r="D32" s="12"/>
      <c r="E32" s="11"/>
      <c r="F32" s="11"/>
      <c r="G32" s="11"/>
    </row>
    <row r="33" spans="4:7" x14ac:dyDescent="0.2">
      <c r="D33" s="12"/>
      <c r="E33" s="11"/>
      <c r="F33" s="11"/>
      <c r="G33" s="11"/>
    </row>
    <row r="34" spans="4:7" x14ac:dyDescent="0.2">
      <c r="D34" s="12"/>
      <c r="E34" s="11"/>
      <c r="F34" s="11"/>
      <c r="G34" s="11"/>
    </row>
    <row r="35" spans="4:7" x14ac:dyDescent="0.2">
      <c r="D35" s="12"/>
      <c r="E35" s="11"/>
      <c r="F35" s="11"/>
      <c r="G35" s="11"/>
    </row>
    <row r="36" spans="4:7" x14ac:dyDescent="0.2">
      <c r="D36" s="12"/>
      <c r="E36" s="11"/>
      <c r="F36" s="11"/>
      <c r="G36" s="11"/>
    </row>
    <row r="37" spans="4:7" x14ac:dyDescent="0.2">
      <c r="D37" s="12"/>
      <c r="E37" s="11"/>
      <c r="F37" s="11"/>
      <c r="G37" s="11"/>
    </row>
    <row r="38" spans="4:7" x14ac:dyDescent="0.2">
      <c r="D38" s="12"/>
      <c r="E38" s="11"/>
      <c r="F38" s="11"/>
      <c r="G38" s="11"/>
    </row>
    <row r="39" spans="4:7" x14ac:dyDescent="0.2">
      <c r="D39" s="12"/>
      <c r="E39" s="11"/>
      <c r="F39" s="11"/>
      <c r="G39" s="11"/>
    </row>
    <row r="40" spans="4:7" x14ac:dyDescent="0.2">
      <c r="D40" s="12"/>
      <c r="E40" s="11"/>
      <c r="F40" s="11"/>
      <c r="G40" s="11"/>
    </row>
    <row r="41" spans="4:7" x14ac:dyDescent="0.2">
      <c r="D41" s="12"/>
      <c r="E41" s="11"/>
      <c r="F41" s="11"/>
      <c r="G41" s="11"/>
    </row>
    <row r="42" spans="4:7" x14ac:dyDescent="0.2">
      <c r="D42" s="12"/>
      <c r="E42" s="11"/>
      <c r="F42" s="11"/>
      <c r="G42" s="11"/>
    </row>
    <row r="43" spans="4:7" x14ac:dyDescent="0.2">
      <c r="D43" s="12"/>
      <c r="E43" s="11"/>
      <c r="F43" s="11"/>
      <c r="G43" s="11"/>
    </row>
    <row r="44" spans="4:7" x14ac:dyDescent="0.2">
      <c r="D44" s="12"/>
      <c r="E44" s="11"/>
      <c r="F44" s="11"/>
      <c r="G44" s="11"/>
    </row>
    <row r="45" spans="4:7" x14ac:dyDescent="0.2">
      <c r="D45" s="12"/>
      <c r="E45" s="11"/>
      <c r="F45" s="11"/>
      <c r="G45" s="11"/>
    </row>
    <row r="46" spans="4:7" x14ac:dyDescent="0.2">
      <c r="D46" s="12"/>
      <c r="E46" s="11"/>
      <c r="F46" s="11"/>
      <c r="G46" s="11"/>
    </row>
    <row r="47" spans="4:7" x14ac:dyDescent="0.2">
      <c r="D47" s="12"/>
      <c r="E47" s="11"/>
      <c r="F47" s="11"/>
      <c r="G47" s="11"/>
    </row>
    <row r="48" spans="4:7" x14ac:dyDescent="0.2">
      <c r="D48" s="12"/>
      <c r="E48" s="11"/>
      <c r="F48" s="11"/>
      <c r="G48" s="11"/>
    </row>
    <row r="49" spans="4:7" x14ac:dyDescent="0.2">
      <c r="D49" s="12"/>
      <c r="E49" s="11"/>
      <c r="F49" s="11"/>
      <c r="G49" s="11"/>
    </row>
    <row r="50" spans="4:7" x14ac:dyDescent="0.2">
      <c r="D50" s="12"/>
      <c r="E50" s="11"/>
      <c r="F50" s="11"/>
      <c r="G50" s="11"/>
    </row>
    <row r="51" spans="4:7" x14ac:dyDescent="0.2">
      <c r="D51" s="12"/>
      <c r="E51" s="11"/>
      <c r="F51" s="11"/>
      <c r="G51" s="11"/>
    </row>
    <row r="52" spans="4:7" x14ac:dyDescent="0.2">
      <c r="D52" s="12"/>
      <c r="E52" s="11"/>
      <c r="F52" s="11"/>
      <c r="G52" s="11"/>
    </row>
    <row r="53" spans="4:7" x14ac:dyDescent="0.2">
      <c r="D53" s="12"/>
      <c r="E53" s="11"/>
      <c r="F53" s="11"/>
      <c r="G53" s="11"/>
    </row>
    <row r="54" spans="4:7" x14ac:dyDescent="0.2">
      <c r="D54" s="12"/>
      <c r="E54" s="11"/>
      <c r="F54" s="11"/>
      <c r="G54" s="11"/>
    </row>
    <row r="55" spans="4:7" x14ac:dyDescent="0.2">
      <c r="D55" s="12"/>
      <c r="E55" s="11"/>
      <c r="F55" s="11"/>
      <c r="G55" s="11"/>
    </row>
    <row r="56" spans="4:7" x14ac:dyDescent="0.2">
      <c r="D56" s="12"/>
      <c r="E56" s="11"/>
      <c r="F56" s="11"/>
      <c r="G56" s="11"/>
    </row>
    <row r="57" spans="4:7" x14ac:dyDescent="0.2">
      <c r="D57" s="12"/>
      <c r="E57" s="11"/>
      <c r="F57" s="11"/>
      <c r="G57" s="11"/>
    </row>
    <row r="58" spans="4:7" x14ac:dyDescent="0.2">
      <c r="D58" s="12"/>
      <c r="E58" s="11"/>
      <c r="F58" s="11"/>
      <c r="G58" s="11"/>
    </row>
    <row r="59" spans="4:7" x14ac:dyDescent="0.2">
      <c r="D59" s="12"/>
      <c r="E59" s="11"/>
      <c r="F59" s="11"/>
      <c r="G59" s="11"/>
    </row>
    <row r="60" spans="4:7" x14ac:dyDescent="0.2">
      <c r="D60" s="12"/>
      <c r="E60" s="11"/>
      <c r="F60" s="11"/>
      <c r="G60" s="11"/>
    </row>
    <row r="61" spans="4:7" x14ac:dyDescent="0.2">
      <c r="D61" s="12"/>
      <c r="E61" s="11"/>
      <c r="F61" s="11"/>
      <c r="G61" s="11"/>
    </row>
    <row r="62" spans="4:7" x14ac:dyDescent="0.2">
      <c r="D62" s="12"/>
      <c r="E62" s="11"/>
      <c r="F62" s="11"/>
      <c r="G62" s="11"/>
    </row>
    <row r="63" spans="4:7" x14ac:dyDescent="0.2">
      <c r="D63" s="12"/>
      <c r="E63" s="11"/>
      <c r="F63" s="11"/>
      <c r="G63" s="11"/>
    </row>
    <row r="64" spans="4:7" x14ac:dyDescent="0.2">
      <c r="D64" s="12"/>
      <c r="E64" s="11"/>
      <c r="F64" s="11"/>
      <c r="G64" s="11"/>
    </row>
    <row r="65" spans="4:7" x14ac:dyDescent="0.2">
      <c r="D65" s="12"/>
      <c r="E65" s="11"/>
      <c r="F65" s="11"/>
      <c r="G65" s="11"/>
    </row>
    <row r="66" spans="4:7" x14ac:dyDescent="0.2">
      <c r="D66" s="12"/>
      <c r="E66" s="11"/>
      <c r="F66" s="11"/>
      <c r="G66" s="11"/>
    </row>
    <row r="67" spans="4:7" x14ac:dyDescent="0.2">
      <c r="D67" s="12"/>
      <c r="E67" s="11"/>
      <c r="F67" s="11"/>
      <c r="G67" s="11"/>
    </row>
    <row r="68" spans="4:7" x14ac:dyDescent="0.2">
      <c r="D68" s="12"/>
      <c r="E68" s="11"/>
      <c r="F68" s="11"/>
      <c r="G68" s="11"/>
    </row>
    <row r="69" spans="4:7" x14ac:dyDescent="0.2">
      <c r="D69" s="12"/>
      <c r="E69" s="11"/>
      <c r="F69" s="11"/>
      <c r="G69" s="11"/>
    </row>
    <row r="70" spans="4:7" x14ac:dyDescent="0.2">
      <c r="D70" s="12"/>
      <c r="E70" s="11"/>
      <c r="F70" s="11"/>
      <c r="G70" s="11"/>
    </row>
    <row r="71" spans="4:7" x14ac:dyDescent="0.2">
      <c r="D71" s="12"/>
      <c r="E71" s="11"/>
      <c r="F71" s="11"/>
      <c r="G71" s="11"/>
    </row>
    <row r="72" spans="4:7" x14ac:dyDescent="0.2">
      <c r="D72" s="12"/>
      <c r="E72" s="11"/>
      <c r="F72" s="11"/>
      <c r="G72" s="11"/>
    </row>
    <row r="73" spans="4:7" x14ac:dyDescent="0.2">
      <c r="D73" s="12"/>
      <c r="E73" s="11"/>
      <c r="F73" s="11"/>
      <c r="G73" s="11"/>
    </row>
    <row r="74" spans="4:7" x14ac:dyDescent="0.2">
      <c r="D74" s="12"/>
      <c r="E74" s="11"/>
      <c r="F74" s="11"/>
      <c r="G74" s="11"/>
    </row>
    <row r="75" spans="4:7" x14ac:dyDescent="0.2">
      <c r="D75" s="12"/>
      <c r="E75" s="11"/>
      <c r="F75" s="11"/>
      <c r="G75" s="11"/>
    </row>
    <row r="76" spans="4:7" x14ac:dyDescent="0.2">
      <c r="D76" s="12"/>
      <c r="E76" s="11"/>
      <c r="F76" s="11"/>
      <c r="G76" s="11"/>
    </row>
    <row r="77" spans="4:7" x14ac:dyDescent="0.2">
      <c r="D77" s="12"/>
      <c r="E77" s="11"/>
      <c r="F77" s="11"/>
      <c r="G77" s="11"/>
    </row>
    <row r="78" spans="4:7" x14ac:dyDescent="0.2">
      <c r="D78" s="12"/>
      <c r="E78" s="11"/>
      <c r="F78" s="11"/>
      <c r="G78" s="11"/>
    </row>
    <row r="79" spans="4:7" x14ac:dyDescent="0.2">
      <c r="D79" s="12"/>
      <c r="E79" s="11"/>
      <c r="F79" s="11"/>
      <c r="G79" s="11"/>
    </row>
    <row r="80" spans="4:7" x14ac:dyDescent="0.2">
      <c r="D80" s="12"/>
      <c r="E80" s="11"/>
      <c r="F80" s="11"/>
      <c r="G80" s="11"/>
    </row>
    <row r="81" spans="4:7" x14ac:dyDescent="0.2">
      <c r="D81" s="12"/>
      <c r="E81" s="11"/>
      <c r="F81" s="11"/>
      <c r="G81" s="11"/>
    </row>
    <row r="82" spans="4:7" x14ac:dyDescent="0.2">
      <c r="D82" s="12"/>
      <c r="E82" s="11"/>
      <c r="F82" s="11"/>
      <c r="G82" s="11"/>
    </row>
    <row r="83" spans="4:7" x14ac:dyDescent="0.2">
      <c r="D83" s="12"/>
      <c r="E83" s="11"/>
      <c r="F83" s="11"/>
      <c r="G83" s="11"/>
    </row>
    <row r="84" spans="4:7" x14ac:dyDescent="0.2">
      <c r="D84" s="12"/>
      <c r="E84" s="11"/>
      <c r="F84" s="11"/>
      <c r="G84" s="11"/>
    </row>
    <row r="85" spans="4:7" x14ac:dyDescent="0.2">
      <c r="D85" s="12"/>
      <c r="E85" s="11"/>
      <c r="F85" s="11"/>
      <c r="G85" s="11"/>
    </row>
    <row r="86" spans="4:7" x14ac:dyDescent="0.2">
      <c r="D86" s="12"/>
      <c r="E86" s="11"/>
      <c r="F86" s="11"/>
      <c r="G86" s="11"/>
    </row>
    <row r="87" spans="4:7" x14ac:dyDescent="0.2">
      <c r="D87" s="12"/>
      <c r="E87" s="11"/>
      <c r="F87" s="11"/>
      <c r="G87" s="11"/>
    </row>
    <row r="88" spans="4:7" x14ac:dyDescent="0.2">
      <c r="D88" s="12"/>
      <c r="E88" s="11"/>
      <c r="F88" s="11"/>
      <c r="G88" s="11"/>
    </row>
    <row r="89" spans="4:7" x14ac:dyDescent="0.2">
      <c r="D89" s="12"/>
      <c r="E89" s="11"/>
      <c r="F89" s="11"/>
      <c r="G89" s="11"/>
    </row>
    <row r="90" spans="4:7" x14ac:dyDescent="0.2">
      <c r="D90" s="12"/>
      <c r="E90" s="11"/>
      <c r="F90" s="11"/>
      <c r="G90" s="11"/>
    </row>
    <row r="91" spans="4:7" x14ac:dyDescent="0.2">
      <c r="D91" s="12"/>
      <c r="E91" s="11"/>
      <c r="F91" s="11"/>
      <c r="G91" s="11"/>
    </row>
    <row r="92" spans="4:7" x14ac:dyDescent="0.2">
      <c r="D92" s="12"/>
      <c r="E92" s="11"/>
      <c r="F92" s="11"/>
      <c r="G92" s="11"/>
    </row>
    <row r="93" spans="4:7" x14ac:dyDescent="0.2">
      <c r="D93" s="12"/>
      <c r="E93" s="11"/>
      <c r="F93" s="11"/>
      <c r="G93" s="11"/>
    </row>
    <row r="94" spans="4:7" x14ac:dyDescent="0.2">
      <c r="D94" s="12"/>
      <c r="E94" s="11"/>
      <c r="F94" s="11"/>
      <c r="G94" s="11"/>
    </row>
    <row r="95" spans="4:7" x14ac:dyDescent="0.2">
      <c r="D95" s="12"/>
      <c r="E95" s="11"/>
      <c r="F95" s="11"/>
      <c r="G95" s="11"/>
    </row>
    <row r="96" spans="4:7" x14ac:dyDescent="0.2">
      <c r="D96" s="12"/>
      <c r="E96" s="11"/>
      <c r="F96" s="11"/>
      <c r="G96" s="11"/>
    </row>
    <row r="97" spans="4:7" x14ac:dyDescent="0.2">
      <c r="D97" s="12"/>
      <c r="E97" s="11"/>
      <c r="F97" s="11"/>
      <c r="G97" s="11"/>
    </row>
    <row r="98" spans="4:7" x14ac:dyDescent="0.2">
      <c r="D98" s="12"/>
      <c r="E98" s="11"/>
      <c r="F98" s="11"/>
      <c r="G98" s="11"/>
    </row>
    <row r="99" spans="4:7" x14ac:dyDescent="0.2">
      <c r="D99" s="12"/>
      <c r="E99" s="11"/>
      <c r="F99" s="11"/>
      <c r="G99" s="11"/>
    </row>
    <row r="100" spans="4:7" x14ac:dyDescent="0.2">
      <c r="D100" s="12"/>
      <c r="E100" s="11"/>
      <c r="F100" s="11"/>
      <c r="G100" s="11"/>
    </row>
    <row r="101" spans="4:7" x14ac:dyDescent="0.2">
      <c r="D101" s="12"/>
      <c r="E101" s="11"/>
      <c r="F101" s="11"/>
      <c r="G101" s="11"/>
    </row>
    <row r="102" spans="4:7" x14ac:dyDescent="0.2">
      <c r="D102" s="12"/>
      <c r="E102" s="11"/>
      <c r="F102" s="11"/>
      <c r="G102" s="11"/>
    </row>
    <row r="103" spans="4:7" x14ac:dyDescent="0.2">
      <c r="D103" s="12"/>
      <c r="E103" s="11"/>
      <c r="F103" s="11"/>
      <c r="G103" s="11"/>
    </row>
    <row r="104" spans="4:7" x14ac:dyDescent="0.2">
      <c r="D104" s="12"/>
      <c r="E104" s="11"/>
      <c r="F104" s="11"/>
      <c r="G104" s="11"/>
    </row>
    <row r="105" spans="4:7" x14ac:dyDescent="0.2">
      <c r="D105" s="12"/>
      <c r="E105" s="11"/>
      <c r="F105" s="11"/>
      <c r="G105" s="11"/>
    </row>
    <row r="106" spans="4:7" x14ac:dyDescent="0.2">
      <c r="D106" s="12"/>
      <c r="E106" s="11"/>
      <c r="F106" s="11"/>
      <c r="G106" s="11"/>
    </row>
    <row r="107" spans="4:7" x14ac:dyDescent="0.2">
      <c r="D107" s="12"/>
      <c r="E107" s="11"/>
      <c r="F107" s="11"/>
      <c r="G107" s="11"/>
    </row>
    <row r="108" spans="4:7" x14ac:dyDescent="0.2">
      <c r="D108" s="12"/>
      <c r="E108" s="11"/>
      <c r="F108" s="11"/>
      <c r="G108" s="11"/>
    </row>
    <row r="109" spans="4:7" x14ac:dyDescent="0.2">
      <c r="D109" s="12"/>
      <c r="E109" s="11"/>
      <c r="F109" s="11"/>
      <c r="G109" s="11"/>
    </row>
    <row r="110" spans="4:7" x14ac:dyDescent="0.2">
      <c r="D110" s="12"/>
      <c r="E110" s="11"/>
      <c r="F110" s="11"/>
      <c r="G110" s="11"/>
    </row>
    <row r="111" spans="4:7" x14ac:dyDescent="0.2">
      <c r="D111" s="12"/>
      <c r="E111" s="11"/>
      <c r="F111" s="11"/>
      <c r="G111" s="11"/>
    </row>
    <row r="112" spans="4:7" x14ac:dyDescent="0.2">
      <c r="D112" s="12"/>
      <c r="E112" s="11"/>
      <c r="F112" s="11"/>
      <c r="G112" s="11"/>
    </row>
    <row r="113" spans="4:7" x14ac:dyDescent="0.2">
      <c r="D113" s="12"/>
      <c r="E113" s="11"/>
      <c r="F113" s="11"/>
      <c r="G113" s="11"/>
    </row>
    <row r="114" spans="4:7" x14ac:dyDescent="0.2">
      <c r="D114" s="12"/>
      <c r="E114" s="11"/>
      <c r="F114" s="11"/>
      <c r="G114" s="11"/>
    </row>
    <row r="115" spans="4:7" x14ac:dyDescent="0.2">
      <c r="D115" s="12"/>
      <c r="E115" s="11"/>
      <c r="F115" s="11"/>
      <c r="G115" s="11"/>
    </row>
    <row r="116" spans="4:7" x14ac:dyDescent="0.2">
      <c r="D116" s="12"/>
      <c r="E116" s="11"/>
      <c r="F116" s="11"/>
      <c r="G116" s="11"/>
    </row>
    <row r="117" spans="4:7" x14ac:dyDescent="0.2">
      <c r="D117" s="12"/>
      <c r="E117" s="11"/>
      <c r="F117" s="11"/>
      <c r="G117" s="11"/>
    </row>
    <row r="118" spans="4:7" x14ac:dyDescent="0.2">
      <c r="D118" s="12"/>
      <c r="E118" s="11"/>
      <c r="F118" s="11"/>
      <c r="G118" s="11"/>
    </row>
    <row r="119" spans="4:7" x14ac:dyDescent="0.2">
      <c r="D119" s="12"/>
      <c r="E119" s="11"/>
      <c r="F119" s="11"/>
      <c r="G119" s="11"/>
    </row>
    <row r="120" spans="4:7" x14ac:dyDescent="0.2">
      <c r="D120" s="12"/>
      <c r="E120" s="11"/>
      <c r="F120" s="11"/>
      <c r="G120" s="11"/>
    </row>
    <row r="121" spans="4:7" x14ac:dyDescent="0.2">
      <c r="D121" s="12"/>
      <c r="E121" s="11"/>
      <c r="F121" s="11"/>
      <c r="G121" s="11"/>
    </row>
    <row r="122" spans="4:7" x14ac:dyDescent="0.2">
      <c r="D122" s="12"/>
      <c r="E122" s="11"/>
      <c r="F122" s="11"/>
      <c r="G122" s="11"/>
    </row>
    <row r="123" spans="4:7" x14ac:dyDescent="0.2">
      <c r="D123" s="12"/>
      <c r="E123" s="11"/>
      <c r="F123" s="11"/>
      <c r="G123" s="11"/>
    </row>
    <row r="124" spans="4:7" x14ac:dyDescent="0.2">
      <c r="D124" s="12"/>
      <c r="E124" s="11"/>
      <c r="F124" s="11"/>
      <c r="G124" s="11"/>
    </row>
    <row r="125" spans="4:7" x14ac:dyDescent="0.2">
      <c r="D125" s="12"/>
      <c r="E125" s="11"/>
      <c r="F125" s="11"/>
      <c r="G125" s="11"/>
    </row>
    <row r="126" spans="4:7" x14ac:dyDescent="0.2">
      <c r="D126" s="12"/>
      <c r="E126" s="11"/>
      <c r="F126" s="11"/>
      <c r="G126" s="11"/>
    </row>
    <row r="127" spans="4:7" x14ac:dyDescent="0.2">
      <c r="D127" s="12"/>
      <c r="E127" s="11"/>
      <c r="F127" s="11"/>
      <c r="G127" s="11"/>
    </row>
    <row r="128" spans="4:7" x14ac:dyDescent="0.2">
      <c r="D128" s="12"/>
      <c r="E128" s="11"/>
      <c r="F128" s="11"/>
      <c r="G128" s="11"/>
    </row>
    <row r="129" spans="4:7" x14ac:dyDescent="0.2">
      <c r="D129" s="12"/>
      <c r="E129" s="11"/>
      <c r="F129" s="11"/>
      <c r="G129" s="11"/>
    </row>
    <row r="130" spans="4:7" x14ac:dyDescent="0.2">
      <c r="D130" s="12"/>
      <c r="E130" s="11"/>
      <c r="F130" s="11"/>
      <c r="G130" s="11"/>
    </row>
    <row r="131" spans="4:7" x14ac:dyDescent="0.2">
      <c r="D131" s="12"/>
      <c r="E131" s="11"/>
      <c r="F131" s="11"/>
      <c r="G131" s="11"/>
    </row>
    <row r="132" spans="4:7" x14ac:dyDescent="0.2">
      <c r="D132" s="12"/>
      <c r="E132" s="11"/>
      <c r="F132" s="11"/>
      <c r="G132" s="11"/>
    </row>
    <row r="133" spans="4:7" x14ac:dyDescent="0.2">
      <c r="D133" s="12"/>
      <c r="E133" s="11"/>
      <c r="F133" s="11"/>
      <c r="G133" s="11"/>
    </row>
    <row r="134" spans="4:7" x14ac:dyDescent="0.2">
      <c r="D134" s="12"/>
      <c r="E134" s="11"/>
      <c r="F134" s="11"/>
      <c r="G134" s="11"/>
    </row>
    <row r="135" spans="4:7" x14ac:dyDescent="0.2">
      <c r="D135" s="12"/>
      <c r="E135" s="11"/>
      <c r="F135" s="11"/>
      <c r="G135" s="11"/>
    </row>
    <row r="136" spans="4:7" x14ac:dyDescent="0.2">
      <c r="D136" s="12"/>
      <c r="E136" s="11"/>
      <c r="F136" s="11"/>
      <c r="G136" s="11"/>
    </row>
    <row r="137" spans="4:7" x14ac:dyDescent="0.2">
      <c r="D137" s="12"/>
      <c r="E137" s="11"/>
      <c r="F137" s="11"/>
      <c r="G137" s="11"/>
    </row>
    <row r="138" spans="4:7" x14ac:dyDescent="0.2">
      <c r="D138" s="12"/>
      <c r="E138" s="11"/>
      <c r="F138" s="11"/>
      <c r="G138" s="11"/>
    </row>
    <row r="139" spans="4:7" x14ac:dyDescent="0.2">
      <c r="D139" s="12"/>
      <c r="E139" s="11"/>
      <c r="F139" s="11"/>
      <c r="G139" s="11"/>
    </row>
    <row r="140" spans="4:7" x14ac:dyDescent="0.2">
      <c r="D140" s="12"/>
      <c r="E140" s="11"/>
      <c r="F140" s="11"/>
      <c r="G140" s="11"/>
    </row>
    <row r="141" spans="4:7" x14ac:dyDescent="0.2">
      <c r="D141" s="12"/>
      <c r="E141" s="11"/>
      <c r="F141" s="11"/>
      <c r="G141" s="11"/>
    </row>
    <row r="142" spans="4:7" x14ac:dyDescent="0.2">
      <c r="D142" s="12"/>
      <c r="E142" s="11"/>
      <c r="F142" s="11"/>
      <c r="G142" s="11"/>
    </row>
    <row r="143" spans="4:7" x14ac:dyDescent="0.2">
      <c r="D143" s="12"/>
      <c r="E143" s="11"/>
      <c r="F143" s="11"/>
      <c r="G143" s="11"/>
    </row>
    <row r="144" spans="4:7" x14ac:dyDescent="0.2">
      <c r="D144" s="12"/>
      <c r="E144" s="11"/>
      <c r="F144" s="11"/>
      <c r="G144" s="11"/>
    </row>
    <row r="145" spans="4:7" x14ac:dyDescent="0.2">
      <c r="D145" s="12"/>
      <c r="E145" s="11"/>
      <c r="F145" s="11"/>
      <c r="G145" s="11"/>
    </row>
    <row r="146" spans="4:7" x14ac:dyDescent="0.2">
      <c r="D146" s="12"/>
      <c r="E146" s="11"/>
      <c r="F146" s="11"/>
      <c r="G146" s="11"/>
    </row>
    <row r="147" spans="4:7" x14ac:dyDescent="0.2">
      <c r="D147" s="12"/>
      <c r="E147" s="11"/>
      <c r="F147" s="11"/>
      <c r="G147" s="11"/>
    </row>
    <row r="148" spans="4:7" x14ac:dyDescent="0.2">
      <c r="D148" s="12"/>
      <c r="E148" s="11"/>
      <c r="F148" s="11"/>
      <c r="G148" s="11"/>
    </row>
    <row r="149" spans="4:7" x14ac:dyDescent="0.2">
      <c r="D149" s="12"/>
      <c r="E149" s="11"/>
      <c r="F149" s="11"/>
      <c r="G149" s="11"/>
    </row>
    <row r="150" spans="4:7" x14ac:dyDescent="0.2">
      <c r="D150" s="12"/>
      <c r="E150" s="11"/>
      <c r="F150" s="11"/>
      <c r="G150" s="11"/>
    </row>
    <row r="151" spans="4:7" x14ac:dyDescent="0.2">
      <c r="D151" s="12"/>
      <c r="E151" s="11"/>
      <c r="F151" s="11"/>
      <c r="G151" s="11"/>
    </row>
    <row r="152" spans="4:7" x14ac:dyDescent="0.2">
      <c r="D152" s="12"/>
      <c r="E152" s="11"/>
      <c r="F152" s="11"/>
      <c r="G152" s="11"/>
    </row>
    <row r="153" spans="4:7" x14ac:dyDescent="0.2">
      <c r="D153" s="12"/>
      <c r="E153" s="11"/>
      <c r="F153" s="11"/>
      <c r="G153" s="11"/>
    </row>
    <row r="154" spans="4:7" x14ac:dyDescent="0.2">
      <c r="D154" s="12"/>
      <c r="E154" s="11"/>
      <c r="F154" s="11"/>
      <c r="G154" s="11"/>
    </row>
    <row r="155" spans="4:7" x14ac:dyDescent="0.2">
      <c r="D155" s="12"/>
      <c r="E155" s="11"/>
      <c r="F155" s="11"/>
      <c r="G155" s="11"/>
    </row>
    <row r="156" spans="4:7" x14ac:dyDescent="0.2">
      <c r="D156" s="12"/>
      <c r="E156" s="11"/>
      <c r="F156" s="11"/>
      <c r="G156" s="11"/>
    </row>
    <row r="157" spans="4:7" x14ac:dyDescent="0.2">
      <c r="D157" s="12"/>
      <c r="E157" s="11"/>
      <c r="F157" s="11"/>
      <c r="G157" s="11"/>
    </row>
    <row r="158" spans="4:7" x14ac:dyDescent="0.2">
      <c r="D158" s="12"/>
      <c r="E158" s="11"/>
      <c r="F158" s="11"/>
      <c r="G158" s="11"/>
    </row>
    <row r="159" spans="4:7" x14ac:dyDescent="0.2">
      <c r="D159" s="12"/>
      <c r="E159" s="11"/>
      <c r="F159" s="11"/>
      <c r="G159" s="11"/>
    </row>
    <row r="160" spans="4:7" x14ac:dyDescent="0.2">
      <c r="D160" s="12"/>
      <c r="E160" s="11"/>
      <c r="F160" s="11"/>
      <c r="G160" s="11"/>
    </row>
    <row r="161" spans="4:7" x14ac:dyDescent="0.2">
      <c r="D161" s="12"/>
      <c r="E161" s="11"/>
      <c r="F161" s="11"/>
      <c r="G161" s="11"/>
    </row>
    <row r="162" spans="4:7" x14ac:dyDescent="0.2">
      <c r="D162" s="12"/>
      <c r="E162" s="11"/>
      <c r="F162" s="11"/>
      <c r="G162" s="11"/>
    </row>
    <row r="163" spans="4:7" x14ac:dyDescent="0.2">
      <c r="D163" s="12"/>
      <c r="E163" s="11"/>
      <c r="F163" s="11"/>
      <c r="G163" s="11"/>
    </row>
    <row r="164" spans="4:7" x14ac:dyDescent="0.2">
      <c r="D164" s="12"/>
      <c r="E164" s="11"/>
      <c r="F164" s="11"/>
      <c r="G164" s="11"/>
    </row>
    <row r="165" spans="4:7" x14ac:dyDescent="0.2">
      <c r="D165" s="12"/>
      <c r="E165" s="11"/>
      <c r="F165" s="11"/>
      <c r="G165" s="11"/>
    </row>
    <row r="166" spans="4:7" x14ac:dyDescent="0.2">
      <c r="D166" s="12"/>
      <c r="E166" s="11"/>
      <c r="F166" s="11"/>
      <c r="G166" s="11"/>
    </row>
    <row r="167" spans="4:7" x14ac:dyDescent="0.2">
      <c r="D167" s="12"/>
      <c r="E167" s="11"/>
      <c r="F167" s="11"/>
      <c r="G167" s="11"/>
    </row>
    <row r="168" spans="4:7" x14ac:dyDescent="0.2">
      <c r="D168" s="12"/>
      <c r="E168" s="11"/>
      <c r="F168" s="11"/>
      <c r="G168" s="11"/>
    </row>
    <row r="169" spans="4:7" x14ac:dyDescent="0.2">
      <c r="D169" s="12"/>
      <c r="E169" s="11"/>
      <c r="F169" s="11"/>
      <c r="G169" s="11"/>
    </row>
    <row r="170" spans="4:7" x14ac:dyDescent="0.2">
      <c r="D170" s="12"/>
      <c r="E170" s="11"/>
      <c r="F170" s="11"/>
      <c r="G170" s="11"/>
    </row>
    <row r="171" spans="4:7" x14ac:dyDescent="0.2">
      <c r="D171" s="12"/>
      <c r="E171" s="11"/>
      <c r="F171" s="11"/>
      <c r="G171" s="11"/>
    </row>
    <row r="172" spans="4:7" x14ac:dyDescent="0.2">
      <c r="D172" s="12"/>
      <c r="E172" s="11"/>
      <c r="F172" s="11"/>
      <c r="G172" s="11"/>
    </row>
    <row r="173" spans="4:7" x14ac:dyDescent="0.2">
      <c r="D173" s="12"/>
      <c r="E173" s="11"/>
      <c r="F173" s="11"/>
      <c r="G173" s="11"/>
    </row>
    <row r="174" spans="4:7" x14ac:dyDescent="0.2">
      <c r="D174" s="12"/>
      <c r="E174" s="11"/>
      <c r="F174" s="11"/>
      <c r="G174" s="11"/>
    </row>
    <row r="175" spans="4:7" x14ac:dyDescent="0.2">
      <c r="D175" s="12"/>
      <c r="E175" s="11"/>
      <c r="F175" s="11"/>
      <c r="G175" s="11"/>
    </row>
    <row r="176" spans="4:7" x14ac:dyDescent="0.2">
      <c r="D176" s="12"/>
      <c r="E176" s="11"/>
      <c r="F176" s="11"/>
      <c r="G176" s="11"/>
    </row>
    <row r="177" spans="4:7" x14ac:dyDescent="0.2">
      <c r="D177" s="12"/>
      <c r="E177" s="11"/>
      <c r="F177" s="11"/>
      <c r="G177" s="11"/>
    </row>
    <row r="178" spans="4:7" x14ac:dyDescent="0.2">
      <c r="D178" s="12"/>
      <c r="E178" s="11"/>
      <c r="F178" s="11"/>
      <c r="G178" s="11"/>
    </row>
    <row r="179" spans="4:7" x14ac:dyDescent="0.2">
      <c r="D179" s="12"/>
      <c r="E179" s="11"/>
      <c r="F179" s="11"/>
      <c r="G179" s="11"/>
    </row>
    <row r="180" spans="4:7" x14ac:dyDescent="0.2">
      <c r="D180" s="12"/>
      <c r="E180" s="11"/>
      <c r="F180" s="11"/>
      <c r="G180" s="11"/>
    </row>
    <row r="181" spans="4:7" x14ac:dyDescent="0.2">
      <c r="D181" s="12"/>
      <c r="E181" s="11"/>
      <c r="F181" s="11"/>
      <c r="G181" s="11"/>
    </row>
    <row r="182" spans="4:7" x14ac:dyDescent="0.2">
      <c r="D182" s="12"/>
      <c r="E182" s="11"/>
      <c r="F182" s="11"/>
      <c r="G182" s="11"/>
    </row>
    <row r="183" spans="4:7" x14ac:dyDescent="0.2">
      <c r="D183" s="2"/>
    </row>
    <row r="184" spans="4:7" x14ac:dyDescent="0.2">
      <c r="D184" s="2"/>
    </row>
    <row r="185" spans="4:7" x14ac:dyDescent="0.2">
      <c r="D185" s="2"/>
    </row>
    <row r="186" spans="4:7" x14ac:dyDescent="0.2">
      <c r="D186" s="2"/>
    </row>
    <row r="187" spans="4:7" x14ac:dyDescent="0.2">
      <c r="D187" s="2"/>
    </row>
    <row r="188" spans="4:7" x14ac:dyDescent="0.2">
      <c r="D188" s="2"/>
    </row>
    <row r="189" spans="4:7" x14ac:dyDescent="0.2">
      <c r="D189" s="2"/>
    </row>
    <row r="190" spans="4:7" x14ac:dyDescent="0.2">
      <c r="D190" s="2"/>
    </row>
    <row r="191" spans="4:7" x14ac:dyDescent="0.2">
      <c r="D191" s="2"/>
    </row>
    <row r="192" spans="4:7" x14ac:dyDescent="0.2">
      <c r="D192" s="2"/>
    </row>
    <row r="193" spans="4:4" x14ac:dyDescent="0.2">
      <c r="D193" s="2"/>
    </row>
    <row r="194" spans="4:4" x14ac:dyDescent="0.2">
      <c r="D194" s="2"/>
    </row>
    <row r="195" spans="4:4" x14ac:dyDescent="0.2">
      <c r="D195" s="2"/>
    </row>
    <row r="196" spans="4:4" x14ac:dyDescent="0.2">
      <c r="D196" s="2"/>
    </row>
    <row r="197" spans="4:4" x14ac:dyDescent="0.2">
      <c r="D197" s="2"/>
    </row>
    <row r="198" spans="4:4" x14ac:dyDescent="0.2">
      <c r="D198" s="2"/>
    </row>
    <row r="199" spans="4:4" x14ac:dyDescent="0.2">
      <c r="D199" s="2"/>
    </row>
    <row r="200" spans="4:4" x14ac:dyDescent="0.2">
      <c r="D200" s="2"/>
    </row>
    <row r="201" spans="4:4" x14ac:dyDescent="0.2">
      <c r="D201" s="2"/>
    </row>
    <row r="202" spans="4:4" x14ac:dyDescent="0.2">
      <c r="D202" s="2"/>
    </row>
    <row r="203" spans="4:4" x14ac:dyDescent="0.2">
      <c r="D203" s="2"/>
    </row>
    <row r="204" spans="4:4" x14ac:dyDescent="0.2">
      <c r="D204" s="2"/>
    </row>
    <row r="205" spans="4:4" x14ac:dyDescent="0.2">
      <c r="D205" s="2"/>
    </row>
    <row r="206" spans="4:4" x14ac:dyDescent="0.2">
      <c r="D206" s="2"/>
    </row>
    <row r="207" spans="4:4" x14ac:dyDescent="0.2">
      <c r="D207" s="2"/>
    </row>
    <row r="208" spans="4:4" x14ac:dyDescent="0.2">
      <c r="D208" s="2"/>
    </row>
    <row r="209" spans="4:4" x14ac:dyDescent="0.2">
      <c r="D209" s="2"/>
    </row>
    <row r="210" spans="4:4" x14ac:dyDescent="0.2">
      <c r="D210" s="2"/>
    </row>
    <row r="211" spans="4:4" x14ac:dyDescent="0.2">
      <c r="D211" s="2"/>
    </row>
    <row r="212" spans="4:4" x14ac:dyDescent="0.2">
      <c r="D212" s="2"/>
    </row>
    <row r="213" spans="4:4" x14ac:dyDescent="0.2">
      <c r="D213" s="2"/>
    </row>
    <row r="214" spans="4:4" x14ac:dyDescent="0.2">
      <c r="D214" s="2"/>
    </row>
    <row r="215" spans="4:4" x14ac:dyDescent="0.2">
      <c r="D215" s="2"/>
    </row>
    <row r="216" spans="4:4" x14ac:dyDescent="0.2">
      <c r="D216" s="2"/>
    </row>
    <row r="217" spans="4:4" x14ac:dyDescent="0.2">
      <c r="D217" s="2"/>
    </row>
    <row r="218" spans="4:4" x14ac:dyDescent="0.2">
      <c r="D218" s="2"/>
    </row>
    <row r="219" spans="4:4" x14ac:dyDescent="0.2">
      <c r="D219" s="2"/>
    </row>
    <row r="220" spans="4:4" x14ac:dyDescent="0.2">
      <c r="D220" s="2"/>
    </row>
    <row r="221" spans="4:4" x14ac:dyDescent="0.2">
      <c r="D221" s="2"/>
    </row>
    <row r="222" spans="4:4" x14ac:dyDescent="0.2">
      <c r="D222" s="2"/>
    </row>
    <row r="223" spans="4:4" x14ac:dyDescent="0.2">
      <c r="D223" s="2"/>
    </row>
    <row r="224" spans="4:4" x14ac:dyDescent="0.2">
      <c r="D224" s="2"/>
    </row>
    <row r="225" spans="4:4" x14ac:dyDescent="0.2">
      <c r="D225" s="2"/>
    </row>
    <row r="226" spans="4:4" x14ac:dyDescent="0.2">
      <c r="D226" s="2"/>
    </row>
    <row r="227" spans="4:4" x14ac:dyDescent="0.2">
      <c r="D227" s="2"/>
    </row>
    <row r="228" spans="4:4" x14ac:dyDescent="0.2">
      <c r="D228" s="2"/>
    </row>
    <row r="229" spans="4:4" x14ac:dyDescent="0.2">
      <c r="D229" s="2"/>
    </row>
    <row r="230" spans="4:4" x14ac:dyDescent="0.2">
      <c r="D230" s="2"/>
    </row>
    <row r="231" spans="4:4" x14ac:dyDescent="0.2">
      <c r="D231" s="2"/>
    </row>
    <row r="232" spans="4:4" x14ac:dyDescent="0.2">
      <c r="D232" s="2"/>
    </row>
    <row r="233" spans="4:4" x14ac:dyDescent="0.2">
      <c r="D233" s="2"/>
    </row>
    <row r="234" spans="4:4" x14ac:dyDescent="0.2">
      <c r="D234" s="2"/>
    </row>
    <row r="235" spans="4:4" x14ac:dyDescent="0.2">
      <c r="D235" s="2"/>
    </row>
    <row r="236" spans="4:4" x14ac:dyDescent="0.2">
      <c r="D236" s="2"/>
    </row>
    <row r="237" spans="4:4" x14ac:dyDescent="0.2">
      <c r="D237" s="2"/>
    </row>
    <row r="238" spans="4:4" x14ac:dyDescent="0.2">
      <c r="D238" s="2"/>
    </row>
    <row r="239" spans="4:4" x14ac:dyDescent="0.2">
      <c r="D239" s="2"/>
    </row>
    <row r="240" spans="4:4" x14ac:dyDescent="0.2">
      <c r="D240" s="2"/>
    </row>
    <row r="241" spans="4:4" x14ac:dyDescent="0.2">
      <c r="D241" s="2"/>
    </row>
    <row r="242" spans="4:4" x14ac:dyDescent="0.2">
      <c r="D242" s="2"/>
    </row>
    <row r="243" spans="4:4" x14ac:dyDescent="0.2">
      <c r="D243" s="2"/>
    </row>
    <row r="244" spans="4:4" x14ac:dyDescent="0.2">
      <c r="D244" s="2"/>
    </row>
    <row r="245" spans="4:4" x14ac:dyDescent="0.2">
      <c r="D245" s="2"/>
    </row>
    <row r="246" spans="4:4" x14ac:dyDescent="0.2">
      <c r="D246" s="2"/>
    </row>
    <row r="247" spans="4:4" x14ac:dyDescent="0.2">
      <c r="D247" s="2"/>
    </row>
    <row r="248" spans="4:4" x14ac:dyDescent="0.2">
      <c r="D248" s="2"/>
    </row>
    <row r="249" spans="4:4" x14ac:dyDescent="0.2">
      <c r="D249" s="2"/>
    </row>
    <row r="250" spans="4:4" x14ac:dyDescent="0.2">
      <c r="D250" s="2"/>
    </row>
    <row r="251" spans="4:4" x14ac:dyDescent="0.2">
      <c r="D251" s="2"/>
    </row>
    <row r="252" spans="4:4" x14ac:dyDescent="0.2">
      <c r="D252" s="2"/>
    </row>
    <row r="253" spans="4:4" x14ac:dyDescent="0.2">
      <c r="D253" s="2"/>
    </row>
    <row r="254" spans="4:4" x14ac:dyDescent="0.2">
      <c r="D254" s="2"/>
    </row>
    <row r="255" spans="4:4" x14ac:dyDescent="0.2">
      <c r="D255" s="2"/>
    </row>
    <row r="256" spans="4:4" x14ac:dyDescent="0.2">
      <c r="D256" s="2"/>
    </row>
    <row r="257" spans="4:4" x14ac:dyDescent="0.2">
      <c r="D257" s="2"/>
    </row>
    <row r="258" spans="4:4" x14ac:dyDescent="0.2">
      <c r="D258" s="2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2"/>
    </row>
    <row r="263" spans="4:4" x14ac:dyDescent="0.2">
      <c r="D263" s="2"/>
    </row>
    <row r="264" spans="4:4" x14ac:dyDescent="0.2">
      <c r="D264" s="2"/>
    </row>
    <row r="265" spans="4:4" x14ac:dyDescent="0.2">
      <c r="D265" s="2"/>
    </row>
    <row r="266" spans="4:4" x14ac:dyDescent="0.2">
      <c r="D266" s="2"/>
    </row>
    <row r="267" spans="4:4" x14ac:dyDescent="0.2">
      <c r="D267" s="2"/>
    </row>
    <row r="268" spans="4:4" x14ac:dyDescent="0.2">
      <c r="D268" s="2"/>
    </row>
    <row r="269" spans="4:4" x14ac:dyDescent="0.2">
      <c r="D269" s="2"/>
    </row>
    <row r="270" spans="4:4" x14ac:dyDescent="0.2">
      <c r="D270" s="2"/>
    </row>
    <row r="271" spans="4:4" x14ac:dyDescent="0.2">
      <c r="D271" s="2"/>
    </row>
    <row r="272" spans="4:4" x14ac:dyDescent="0.2">
      <c r="D272" s="2"/>
    </row>
    <row r="273" spans="4:4" x14ac:dyDescent="0.2">
      <c r="D273" s="2"/>
    </row>
    <row r="274" spans="4:4" x14ac:dyDescent="0.2">
      <c r="D274" s="2"/>
    </row>
    <row r="275" spans="4:4" x14ac:dyDescent="0.2">
      <c r="D275" s="2"/>
    </row>
    <row r="276" spans="4:4" x14ac:dyDescent="0.2">
      <c r="D276" s="2"/>
    </row>
    <row r="277" spans="4:4" x14ac:dyDescent="0.2">
      <c r="D277" s="2"/>
    </row>
    <row r="278" spans="4:4" x14ac:dyDescent="0.2">
      <c r="D278" s="2"/>
    </row>
    <row r="279" spans="4:4" x14ac:dyDescent="0.2">
      <c r="D279" s="2"/>
    </row>
    <row r="280" spans="4:4" x14ac:dyDescent="0.2">
      <c r="D280" s="2"/>
    </row>
    <row r="281" spans="4:4" x14ac:dyDescent="0.2">
      <c r="D281" s="2"/>
    </row>
    <row r="282" spans="4:4" x14ac:dyDescent="0.2">
      <c r="D282" s="2"/>
    </row>
    <row r="283" spans="4:4" x14ac:dyDescent="0.2">
      <c r="D283" s="2"/>
    </row>
    <row r="284" spans="4:4" x14ac:dyDescent="0.2">
      <c r="D284" s="2"/>
    </row>
    <row r="285" spans="4:4" x14ac:dyDescent="0.2">
      <c r="D285" s="2"/>
    </row>
    <row r="286" spans="4:4" x14ac:dyDescent="0.2">
      <c r="D286" s="2"/>
    </row>
    <row r="287" spans="4:4" x14ac:dyDescent="0.2">
      <c r="D287" s="2"/>
    </row>
    <row r="288" spans="4:4" x14ac:dyDescent="0.2">
      <c r="D288" s="2"/>
    </row>
    <row r="289" spans="4:4" x14ac:dyDescent="0.2">
      <c r="D289" s="2"/>
    </row>
    <row r="290" spans="4:4" x14ac:dyDescent="0.2">
      <c r="D290" s="2"/>
    </row>
    <row r="291" spans="4:4" x14ac:dyDescent="0.2">
      <c r="D291" s="2"/>
    </row>
    <row r="292" spans="4:4" x14ac:dyDescent="0.2">
      <c r="D292" s="2"/>
    </row>
    <row r="293" spans="4:4" x14ac:dyDescent="0.2">
      <c r="D293" s="2"/>
    </row>
    <row r="294" spans="4:4" x14ac:dyDescent="0.2">
      <c r="D294" s="2"/>
    </row>
    <row r="295" spans="4:4" x14ac:dyDescent="0.2">
      <c r="D295" s="2"/>
    </row>
    <row r="296" spans="4:4" x14ac:dyDescent="0.2">
      <c r="D296" s="2"/>
    </row>
    <row r="297" spans="4:4" x14ac:dyDescent="0.2">
      <c r="D297" s="2"/>
    </row>
    <row r="298" spans="4:4" x14ac:dyDescent="0.2">
      <c r="D298" s="2"/>
    </row>
    <row r="299" spans="4:4" x14ac:dyDescent="0.2">
      <c r="D299" s="2"/>
    </row>
    <row r="300" spans="4:4" x14ac:dyDescent="0.2">
      <c r="D300" s="2"/>
    </row>
    <row r="301" spans="4:4" x14ac:dyDescent="0.2">
      <c r="D301" s="2"/>
    </row>
    <row r="302" spans="4:4" x14ac:dyDescent="0.2">
      <c r="D302" s="2"/>
    </row>
    <row r="303" spans="4:4" x14ac:dyDescent="0.2">
      <c r="D303" s="2"/>
    </row>
    <row r="304" spans="4:4" x14ac:dyDescent="0.2">
      <c r="D304" s="2"/>
    </row>
    <row r="305" spans="4:4" x14ac:dyDescent="0.2">
      <c r="D305" s="2"/>
    </row>
    <row r="306" spans="4:4" x14ac:dyDescent="0.2">
      <c r="D306" s="2"/>
    </row>
    <row r="307" spans="4:4" x14ac:dyDescent="0.2">
      <c r="D307" s="2"/>
    </row>
    <row r="308" spans="4:4" x14ac:dyDescent="0.2">
      <c r="D308" s="2"/>
    </row>
    <row r="309" spans="4:4" x14ac:dyDescent="0.2">
      <c r="D309" s="2"/>
    </row>
    <row r="310" spans="4:4" x14ac:dyDescent="0.2">
      <c r="D310" s="2"/>
    </row>
    <row r="311" spans="4:4" x14ac:dyDescent="0.2">
      <c r="D311" s="2"/>
    </row>
    <row r="312" spans="4:4" x14ac:dyDescent="0.2">
      <c r="D312" s="2"/>
    </row>
    <row r="313" spans="4:4" x14ac:dyDescent="0.2">
      <c r="D313" s="2"/>
    </row>
    <row r="314" spans="4:4" x14ac:dyDescent="0.2">
      <c r="D314" s="2"/>
    </row>
    <row r="315" spans="4:4" x14ac:dyDescent="0.2">
      <c r="D315" s="2"/>
    </row>
    <row r="316" spans="4:4" x14ac:dyDescent="0.2">
      <c r="D316" s="2"/>
    </row>
    <row r="317" spans="4:4" x14ac:dyDescent="0.2">
      <c r="D317" s="2"/>
    </row>
    <row r="318" spans="4:4" x14ac:dyDescent="0.2">
      <c r="D318" s="2"/>
    </row>
    <row r="319" spans="4:4" x14ac:dyDescent="0.2">
      <c r="D319" s="2"/>
    </row>
    <row r="320" spans="4:4" x14ac:dyDescent="0.2">
      <c r="D320" s="2"/>
    </row>
    <row r="321" spans="4:4" x14ac:dyDescent="0.2">
      <c r="D321" s="2"/>
    </row>
    <row r="322" spans="4:4" x14ac:dyDescent="0.2">
      <c r="D322" s="2"/>
    </row>
    <row r="323" spans="4:4" x14ac:dyDescent="0.2">
      <c r="D323" s="2"/>
    </row>
    <row r="324" spans="4:4" x14ac:dyDescent="0.2">
      <c r="D324" s="2"/>
    </row>
    <row r="325" spans="4:4" x14ac:dyDescent="0.2">
      <c r="D325" s="2"/>
    </row>
    <row r="326" spans="4:4" x14ac:dyDescent="0.2">
      <c r="D326" s="2"/>
    </row>
    <row r="327" spans="4:4" x14ac:dyDescent="0.2">
      <c r="D327" s="2"/>
    </row>
    <row r="328" spans="4:4" x14ac:dyDescent="0.2">
      <c r="D328" s="2"/>
    </row>
    <row r="329" spans="4:4" x14ac:dyDescent="0.2">
      <c r="D329" s="2"/>
    </row>
    <row r="330" spans="4:4" x14ac:dyDescent="0.2">
      <c r="D330" s="2"/>
    </row>
    <row r="331" spans="4:4" x14ac:dyDescent="0.2">
      <c r="D331" s="2"/>
    </row>
    <row r="332" spans="4:4" x14ac:dyDescent="0.2">
      <c r="D332" s="2"/>
    </row>
    <row r="333" spans="4:4" x14ac:dyDescent="0.2">
      <c r="D333" s="2"/>
    </row>
    <row r="334" spans="4:4" x14ac:dyDescent="0.2">
      <c r="D334" s="2"/>
    </row>
    <row r="335" spans="4:4" x14ac:dyDescent="0.2">
      <c r="D335" s="2"/>
    </row>
    <row r="336" spans="4:4" x14ac:dyDescent="0.2">
      <c r="D336" s="2"/>
    </row>
    <row r="337" spans="4:4" x14ac:dyDescent="0.2">
      <c r="D337" s="2"/>
    </row>
    <row r="338" spans="4:4" x14ac:dyDescent="0.2">
      <c r="D338" s="2"/>
    </row>
    <row r="339" spans="4:4" x14ac:dyDescent="0.2">
      <c r="D339" s="2"/>
    </row>
    <row r="340" spans="4:4" x14ac:dyDescent="0.2">
      <c r="D340" s="2"/>
    </row>
    <row r="341" spans="4:4" x14ac:dyDescent="0.2">
      <c r="D341" s="2"/>
    </row>
    <row r="342" spans="4:4" x14ac:dyDescent="0.2">
      <c r="D342" s="2"/>
    </row>
    <row r="343" spans="4:4" x14ac:dyDescent="0.2">
      <c r="D343" s="2"/>
    </row>
    <row r="344" spans="4:4" x14ac:dyDescent="0.2">
      <c r="D344" s="2"/>
    </row>
    <row r="345" spans="4:4" x14ac:dyDescent="0.2">
      <c r="D345" s="2"/>
    </row>
    <row r="346" spans="4:4" x14ac:dyDescent="0.2">
      <c r="D346" s="2"/>
    </row>
    <row r="347" spans="4:4" x14ac:dyDescent="0.2">
      <c r="D347" s="2"/>
    </row>
    <row r="348" spans="4:4" x14ac:dyDescent="0.2">
      <c r="D348" s="2"/>
    </row>
    <row r="349" spans="4:4" x14ac:dyDescent="0.2">
      <c r="D349" s="2"/>
    </row>
    <row r="350" spans="4:4" x14ac:dyDescent="0.2">
      <c r="D350" s="2"/>
    </row>
    <row r="351" spans="4:4" x14ac:dyDescent="0.2">
      <c r="D351" s="2"/>
    </row>
    <row r="352" spans="4:4" x14ac:dyDescent="0.2">
      <c r="D352" s="2"/>
    </row>
    <row r="353" spans="4:4" x14ac:dyDescent="0.2">
      <c r="D353" s="2"/>
    </row>
    <row r="354" spans="4:4" x14ac:dyDescent="0.2">
      <c r="D354" s="2"/>
    </row>
    <row r="355" spans="4:4" x14ac:dyDescent="0.2">
      <c r="D355" s="2"/>
    </row>
    <row r="356" spans="4:4" x14ac:dyDescent="0.2">
      <c r="D356" s="2"/>
    </row>
    <row r="357" spans="4:4" x14ac:dyDescent="0.2">
      <c r="D357" s="2"/>
    </row>
    <row r="358" spans="4:4" x14ac:dyDescent="0.2">
      <c r="D358" s="2"/>
    </row>
    <row r="359" spans="4:4" x14ac:dyDescent="0.2">
      <c r="D359" s="2"/>
    </row>
    <row r="360" spans="4:4" x14ac:dyDescent="0.2">
      <c r="D360" s="2"/>
    </row>
    <row r="361" spans="4:4" x14ac:dyDescent="0.2">
      <c r="D361" s="2"/>
    </row>
    <row r="362" spans="4:4" x14ac:dyDescent="0.2">
      <c r="D362" s="2"/>
    </row>
    <row r="363" spans="4:4" x14ac:dyDescent="0.2">
      <c r="D363" s="2"/>
    </row>
    <row r="364" spans="4:4" x14ac:dyDescent="0.2">
      <c r="D364" s="2"/>
    </row>
    <row r="365" spans="4:4" x14ac:dyDescent="0.2">
      <c r="D365" s="2"/>
    </row>
    <row r="366" spans="4:4" x14ac:dyDescent="0.2">
      <c r="D366" s="2"/>
    </row>
    <row r="367" spans="4:4" x14ac:dyDescent="0.2">
      <c r="D367" s="2"/>
    </row>
    <row r="368" spans="4:4" x14ac:dyDescent="0.2">
      <c r="D368" s="2"/>
    </row>
    <row r="369" spans="4:4" x14ac:dyDescent="0.2">
      <c r="D369" s="2"/>
    </row>
    <row r="370" spans="4:4" x14ac:dyDescent="0.2">
      <c r="D370" s="2"/>
    </row>
    <row r="371" spans="4:4" x14ac:dyDescent="0.2">
      <c r="D371" s="2"/>
    </row>
    <row r="372" spans="4:4" x14ac:dyDescent="0.2">
      <c r="D372" s="2"/>
    </row>
    <row r="373" spans="4:4" x14ac:dyDescent="0.2">
      <c r="D373" s="2"/>
    </row>
    <row r="374" spans="4:4" x14ac:dyDescent="0.2">
      <c r="D374" s="2"/>
    </row>
    <row r="375" spans="4:4" x14ac:dyDescent="0.2">
      <c r="D375" s="2"/>
    </row>
    <row r="376" spans="4:4" x14ac:dyDescent="0.2">
      <c r="D376" s="2"/>
    </row>
    <row r="377" spans="4:4" x14ac:dyDescent="0.2">
      <c r="D377" s="2"/>
    </row>
    <row r="378" spans="4:4" x14ac:dyDescent="0.2">
      <c r="D378" s="2"/>
    </row>
    <row r="379" spans="4:4" x14ac:dyDescent="0.2">
      <c r="D379" s="2"/>
    </row>
    <row r="380" spans="4:4" x14ac:dyDescent="0.2">
      <c r="D380" s="2"/>
    </row>
    <row r="381" spans="4:4" x14ac:dyDescent="0.2">
      <c r="D381" s="2"/>
    </row>
    <row r="382" spans="4:4" x14ac:dyDescent="0.2">
      <c r="D382" s="2"/>
    </row>
    <row r="383" spans="4:4" x14ac:dyDescent="0.2">
      <c r="D383" s="2"/>
    </row>
    <row r="384" spans="4:4" x14ac:dyDescent="0.2">
      <c r="D384" s="2"/>
    </row>
    <row r="385" spans="4:4" x14ac:dyDescent="0.2">
      <c r="D385" s="2"/>
    </row>
    <row r="386" spans="4:4" x14ac:dyDescent="0.2">
      <c r="D386" s="2"/>
    </row>
    <row r="387" spans="4:4" x14ac:dyDescent="0.2">
      <c r="D387" s="2"/>
    </row>
    <row r="388" spans="4:4" x14ac:dyDescent="0.2">
      <c r="D388" s="2"/>
    </row>
    <row r="389" spans="4:4" x14ac:dyDescent="0.2">
      <c r="D389" s="2"/>
    </row>
    <row r="390" spans="4:4" x14ac:dyDescent="0.2">
      <c r="D390" s="2"/>
    </row>
    <row r="391" spans="4:4" x14ac:dyDescent="0.2">
      <c r="D391" s="2"/>
    </row>
    <row r="392" spans="4:4" x14ac:dyDescent="0.2">
      <c r="D392" s="2"/>
    </row>
    <row r="393" spans="4:4" x14ac:dyDescent="0.2">
      <c r="D393" s="2"/>
    </row>
    <row r="394" spans="4:4" x14ac:dyDescent="0.2">
      <c r="D394" s="2"/>
    </row>
    <row r="395" spans="4:4" x14ac:dyDescent="0.2">
      <c r="D395" s="2"/>
    </row>
    <row r="396" spans="4:4" x14ac:dyDescent="0.2">
      <c r="D396" s="2"/>
    </row>
    <row r="397" spans="4:4" x14ac:dyDescent="0.2">
      <c r="D397" s="2"/>
    </row>
    <row r="398" spans="4:4" x14ac:dyDescent="0.2">
      <c r="D398" s="2"/>
    </row>
    <row r="399" spans="4:4" x14ac:dyDescent="0.2">
      <c r="D399" s="2"/>
    </row>
    <row r="400" spans="4:4" x14ac:dyDescent="0.2">
      <c r="D400" s="2"/>
    </row>
    <row r="401" spans="4:4" x14ac:dyDescent="0.2">
      <c r="D401" s="2"/>
    </row>
    <row r="402" spans="4:4" x14ac:dyDescent="0.2">
      <c r="D402" s="2"/>
    </row>
    <row r="403" spans="4:4" x14ac:dyDescent="0.2">
      <c r="D403" s="2"/>
    </row>
    <row r="404" spans="4:4" x14ac:dyDescent="0.2">
      <c r="D404" s="2"/>
    </row>
    <row r="405" spans="4:4" x14ac:dyDescent="0.2">
      <c r="D405" s="2"/>
    </row>
    <row r="406" spans="4:4" x14ac:dyDescent="0.2">
      <c r="D406" s="2"/>
    </row>
    <row r="407" spans="4:4" x14ac:dyDescent="0.2">
      <c r="D407" s="2"/>
    </row>
    <row r="408" spans="4:4" x14ac:dyDescent="0.2">
      <c r="D408" s="2"/>
    </row>
    <row r="409" spans="4:4" x14ac:dyDescent="0.2">
      <c r="D409" s="2"/>
    </row>
    <row r="410" spans="4:4" x14ac:dyDescent="0.2">
      <c r="D410" s="2"/>
    </row>
    <row r="411" spans="4:4" x14ac:dyDescent="0.2">
      <c r="D411" s="2"/>
    </row>
    <row r="412" spans="4:4" x14ac:dyDescent="0.2">
      <c r="D412" s="2"/>
    </row>
    <row r="413" spans="4:4" x14ac:dyDescent="0.2">
      <c r="D413" s="2"/>
    </row>
    <row r="414" spans="4:4" x14ac:dyDescent="0.2">
      <c r="D414" s="2"/>
    </row>
    <row r="415" spans="4:4" x14ac:dyDescent="0.2">
      <c r="D415" s="2"/>
    </row>
    <row r="416" spans="4:4" x14ac:dyDescent="0.2">
      <c r="D416" s="2"/>
    </row>
    <row r="417" spans="4:4" x14ac:dyDescent="0.2">
      <c r="D417" s="2"/>
    </row>
    <row r="418" spans="4:4" x14ac:dyDescent="0.2">
      <c r="D418" s="2"/>
    </row>
    <row r="419" spans="4:4" x14ac:dyDescent="0.2">
      <c r="D419" s="2"/>
    </row>
    <row r="420" spans="4:4" x14ac:dyDescent="0.2">
      <c r="D420" s="2"/>
    </row>
    <row r="421" spans="4:4" x14ac:dyDescent="0.2">
      <c r="D421" s="2"/>
    </row>
    <row r="422" spans="4:4" x14ac:dyDescent="0.2">
      <c r="D422" s="2"/>
    </row>
    <row r="423" spans="4:4" x14ac:dyDescent="0.2">
      <c r="D423" s="2"/>
    </row>
    <row r="424" spans="4:4" x14ac:dyDescent="0.2">
      <c r="D424" s="2"/>
    </row>
    <row r="425" spans="4:4" x14ac:dyDescent="0.2">
      <c r="D425" s="2"/>
    </row>
    <row r="426" spans="4:4" x14ac:dyDescent="0.2">
      <c r="D426" s="2"/>
    </row>
    <row r="427" spans="4:4" x14ac:dyDescent="0.2">
      <c r="D427" s="2"/>
    </row>
    <row r="428" spans="4:4" x14ac:dyDescent="0.2">
      <c r="D428" s="2"/>
    </row>
    <row r="429" spans="4:4" x14ac:dyDescent="0.2">
      <c r="D429" s="2"/>
    </row>
    <row r="430" spans="4:4" x14ac:dyDescent="0.2">
      <c r="D430" s="2"/>
    </row>
    <row r="431" spans="4:4" x14ac:dyDescent="0.2">
      <c r="D431" s="2"/>
    </row>
    <row r="432" spans="4:4" x14ac:dyDescent="0.2">
      <c r="D432" s="2"/>
    </row>
    <row r="433" spans="4:4" x14ac:dyDescent="0.2">
      <c r="D433" s="2"/>
    </row>
    <row r="434" spans="4:4" x14ac:dyDescent="0.2">
      <c r="D434" s="2"/>
    </row>
    <row r="435" spans="4:4" x14ac:dyDescent="0.2">
      <c r="D435" s="2"/>
    </row>
    <row r="436" spans="4:4" x14ac:dyDescent="0.2">
      <c r="D436" s="2"/>
    </row>
    <row r="437" spans="4:4" x14ac:dyDescent="0.2">
      <c r="D437" s="2"/>
    </row>
    <row r="438" spans="4:4" x14ac:dyDescent="0.2">
      <c r="D438" s="2"/>
    </row>
    <row r="439" spans="4:4" x14ac:dyDescent="0.2">
      <c r="D439" s="2"/>
    </row>
    <row r="440" spans="4:4" x14ac:dyDescent="0.2">
      <c r="D440" s="2"/>
    </row>
    <row r="441" spans="4:4" x14ac:dyDescent="0.2">
      <c r="D441" s="2"/>
    </row>
    <row r="442" spans="4:4" x14ac:dyDescent="0.2">
      <c r="D442" s="2"/>
    </row>
    <row r="443" spans="4:4" x14ac:dyDescent="0.2">
      <c r="D443" s="2"/>
    </row>
    <row r="444" spans="4:4" x14ac:dyDescent="0.2">
      <c r="D444" s="2"/>
    </row>
    <row r="445" spans="4:4" x14ac:dyDescent="0.2">
      <c r="D445" s="2"/>
    </row>
    <row r="446" spans="4:4" x14ac:dyDescent="0.2">
      <c r="D446" s="2"/>
    </row>
    <row r="447" spans="4:4" x14ac:dyDescent="0.2">
      <c r="D447" s="2"/>
    </row>
    <row r="448" spans="4:4" x14ac:dyDescent="0.2">
      <c r="D448" s="2"/>
    </row>
    <row r="449" spans="4:4" x14ac:dyDescent="0.2">
      <c r="D449" s="2"/>
    </row>
    <row r="450" spans="4:4" x14ac:dyDescent="0.2">
      <c r="D450" s="2"/>
    </row>
    <row r="451" spans="4:4" x14ac:dyDescent="0.2">
      <c r="D451" s="2"/>
    </row>
    <row r="452" spans="4:4" x14ac:dyDescent="0.2">
      <c r="D452" s="2"/>
    </row>
    <row r="453" spans="4:4" x14ac:dyDescent="0.2">
      <c r="D453" s="2"/>
    </row>
    <row r="454" spans="4:4" x14ac:dyDescent="0.2">
      <c r="D454" s="2"/>
    </row>
    <row r="455" spans="4:4" x14ac:dyDescent="0.2">
      <c r="D455" s="2"/>
    </row>
    <row r="456" spans="4:4" x14ac:dyDescent="0.2">
      <c r="D456" s="2"/>
    </row>
    <row r="457" spans="4:4" x14ac:dyDescent="0.2">
      <c r="D457" s="2"/>
    </row>
    <row r="458" spans="4:4" x14ac:dyDescent="0.2">
      <c r="D458" s="2"/>
    </row>
    <row r="459" spans="4:4" x14ac:dyDescent="0.2">
      <c r="D459" s="2"/>
    </row>
    <row r="460" spans="4:4" x14ac:dyDescent="0.2">
      <c r="D460" s="2"/>
    </row>
    <row r="461" spans="4:4" x14ac:dyDescent="0.2">
      <c r="D461" s="2"/>
    </row>
    <row r="462" spans="4:4" x14ac:dyDescent="0.2">
      <c r="D462" s="2"/>
    </row>
    <row r="463" spans="4:4" x14ac:dyDescent="0.2">
      <c r="D463" s="2"/>
    </row>
    <row r="464" spans="4:4" x14ac:dyDescent="0.2">
      <c r="D464" s="2"/>
    </row>
    <row r="465" spans="4:4" x14ac:dyDescent="0.2">
      <c r="D465" s="2"/>
    </row>
    <row r="466" spans="4:4" x14ac:dyDescent="0.2">
      <c r="D466" s="2"/>
    </row>
    <row r="467" spans="4:4" x14ac:dyDescent="0.2">
      <c r="D467" s="2"/>
    </row>
    <row r="468" spans="4:4" x14ac:dyDescent="0.2">
      <c r="D468" s="2"/>
    </row>
    <row r="469" spans="4:4" x14ac:dyDescent="0.2">
      <c r="D469" s="2"/>
    </row>
    <row r="470" spans="4:4" x14ac:dyDescent="0.2">
      <c r="D470" s="2"/>
    </row>
    <row r="471" spans="4:4" x14ac:dyDescent="0.2">
      <c r="D471" s="2"/>
    </row>
    <row r="472" spans="4:4" x14ac:dyDescent="0.2">
      <c r="D472" s="2"/>
    </row>
    <row r="473" spans="4:4" x14ac:dyDescent="0.2">
      <c r="D473" s="2"/>
    </row>
    <row r="474" spans="4:4" x14ac:dyDescent="0.2">
      <c r="D474" s="2"/>
    </row>
    <row r="475" spans="4:4" x14ac:dyDescent="0.2">
      <c r="D475" s="2"/>
    </row>
    <row r="476" spans="4:4" x14ac:dyDescent="0.2">
      <c r="D476" s="2"/>
    </row>
    <row r="477" spans="4:4" x14ac:dyDescent="0.2">
      <c r="D477" s="2"/>
    </row>
    <row r="478" spans="4:4" x14ac:dyDescent="0.2">
      <c r="D478" s="2"/>
    </row>
    <row r="479" spans="4:4" x14ac:dyDescent="0.2">
      <c r="D479" s="2"/>
    </row>
    <row r="480" spans="4:4" x14ac:dyDescent="0.2">
      <c r="D480" s="2"/>
    </row>
    <row r="481" spans="4:4" x14ac:dyDescent="0.2">
      <c r="D481" s="2"/>
    </row>
    <row r="482" spans="4:4" x14ac:dyDescent="0.2">
      <c r="D482" s="2"/>
    </row>
    <row r="483" spans="4:4" x14ac:dyDescent="0.2">
      <c r="D483" s="2"/>
    </row>
    <row r="484" spans="4:4" x14ac:dyDescent="0.2">
      <c r="D484" s="2"/>
    </row>
    <row r="485" spans="4:4" x14ac:dyDescent="0.2">
      <c r="D485" s="2"/>
    </row>
    <row r="486" spans="4:4" x14ac:dyDescent="0.2">
      <c r="D486" s="2"/>
    </row>
    <row r="487" spans="4:4" x14ac:dyDescent="0.2">
      <c r="D487" s="2"/>
    </row>
    <row r="488" spans="4:4" x14ac:dyDescent="0.2">
      <c r="D488" s="2"/>
    </row>
    <row r="489" spans="4:4" x14ac:dyDescent="0.2">
      <c r="D489" s="2"/>
    </row>
    <row r="490" spans="4:4" x14ac:dyDescent="0.2">
      <c r="D490" s="2"/>
    </row>
    <row r="491" spans="4:4" x14ac:dyDescent="0.2">
      <c r="D491" s="2"/>
    </row>
    <row r="492" spans="4:4" x14ac:dyDescent="0.2">
      <c r="D492" s="2"/>
    </row>
    <row r="493" spans="4:4" x14ac:dyDescent="0.2">
      <c r="D493" s="2"/>
    </row>
    <row r="494" spans="4:4" x14ac:dyDescent="0.2">
      <c r="D494" s="2"/>
    </row>
    <row r="495" spans="4:4" x14ac:dyDescent="0.2">
      <c r="D495" s="2"/>
    </row>
    <row r="496" spans="4:4" x14ac:dyDescent="0.2">
      <c r="D496" s="2"/>
    </row>
    <row r="497" spans="4:4" x14ac:dyDescent="0.2">
      <c r="D497" s="2"/>
    </row>
    <row r="498" spans="4:4" x14ac:dyDescent="0.2">
      <c r="D498" s="2"/>
    </row>
    <row r="499" spans="4:4" x14ac:dyDescent="0.2">
      <c r="D499" s="2"/>
    </row>
    <row r="500" spans="4:4" x14ac:dyDescent="0.2">
      <c r="D500" s="2"/>
    </row>
    <row r="501" spans="4:4" x14ac:dyDescent="0.2">
      <c r="D501" s="2"/>
    </row>
    <row r="502" spans="4:4" x14ac:dyDescent="0.2">
      <c r="D502" s="2"/>
    </row>
    <row r="503" spans="4:4" x14ac:dyDescent="0.2">
      <c r="D503" s="2"/>
    </row>
    <row r="504" spans="4:4" x14ac:dyDescent="0.2">
      <c r="D504" s="2"/>
    </row>
    <row r="505" spans="4:4" x14ac:dyDescent="0.2">
      <c r="D505" s="2"/>
    </row>
    <row r="506" spans="4:4" x14ac:dyDescent="0.2">
      <c r="D506" s="2"/>
    </row>
  </sheetData>
  <dataConsolidate link="1"/>
  <mergeCells count="1">
    <mergeCell ref="G3:J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C2E28-89B3-4AAF-90EA-2BC0F13522D8}">
  <sheetPr codeName="Planilha23"/>
  <dimension ref="A1:Q135"/>
  <sheetViews>
    <sheetView workbookViewId="0">
      <selection activeCell="A6" sqref="A6"/>
    </sheetView>
  </sheetViews>
  <sheetFormatPr defaultRowHeight="12.75" x14ac:dyDescent="0.2"/>
  <cols>
    <col min="1" max="1" width="20.140625" style="1" customWidth="1"/>
    <col min="2" max="2" width="23.85546875" style="1" bestFit="1" customWidth="1"/>
    <col min="3" max="3" width="10.85546875" style="1" bestFit="1" customWidth="1"/>
    <col min="4" max="4" width="9.85546875" style="1" bestFit="1" customWidth="1"/>
    <col min="5" max="5" width="11.85546875" style="1" bestFit="1" customWidth="1"/>
    <col min="6" max="11" width="10.7109375" style="1" bestFit="1" customWidth="1"/>
    <col min="12" max="16384" width="9.140625" style="1"/>
  </cols>
  <sheetData>
    <row r="1" spans="1:17" s="21" customFormat="1" x14ac:dyDescent="0.2">
      <c r="A1" s="22" t="s">
        <v>43</v>
      </c>
    </row>
    <row r="2" spans="1:17" ht="15" customHeight="1" x14ac:dyDescent="0.25">
      <c r="A2" s="20" t="s">
        <v>42</v>
      </c>
      <c r="J2" s="33" t="s">
        <v>46</v>
      </c>
      <c r="K2" s="33"/>
      <c r="L2" s="33"/>
      <c r="M2" s="33"/>
      <c r="N2" s="33"/>
      <c r="O2" s="33"/>
      <c r="P2" s="33"/>
      <c r="Q2" s="33"/>
    </row>
    <row r="3" spans="1:17" x14ac:dyDescent="0.2">
      <c r="J3" s="33"/>
      <c r="K3" s="33"/>
      <c r="L3" s="33"/>
      <c r="M3" s="33"/>
      <c r="N3" s="33"/>
      <c r="O3" s="33"/>
      <c r="P3" s="33"/>
      <c r="Q3" s="33"/>
    </row>
    <row r="4" spans="1:17" s="21" customFormat="1" x14ac:dyDescent="0.2">
      <c r="A4" s="22" t="s">
        <v>41</v>
      </c>
    </row>
    <row r="5" spans="1:17" ht="15" x14ac:dyDescent="0.25">
      <c r="A5" s="24" t="s">
        <v>50</v>
      </c>
      <c r="F5"/>
      <c r="G5"/>
      <c r="H5"/>
      <c r="I5"/>
      <c r="J5"/>
      <c r="K5"/>
    </row>
    <row r="6" spans="1:17" ht="15" x14ac:dyDescent="0.25">
      <c r="F6"/>
      <c r="G6"/>
      <c r="H6"/>
      <c r="I6"/>
      <c r="J6"/>
      <c r="K6"/>
    </row>
    <row r="7" spans="1:17" ht="15" x14ac:dyDescent="0.25">
      <c r="F7"/>
      <c r="G7"/>
      <c r="H7"/>
      <c r="I7"/>
      <c r="J7"/>
      <c r="K7"/>
    </row>
    <row r="8" spans="1:17" ht="15" x14ac:dyDescent="0.25">
      <c r="F8"/>
      <c r="G8"/>
      <c r="H8"/>
      <c r="I8"/>
      <c r="J8"/>
      <c r="K8"/>
    </row>
    <row r="9" spans="1:17" ht="15" x14ac:dyDescent="0.25">
      <c r="F9"/>
      <c r="G9"/>
      <c r="H9"/>
      <c r="I9"/>
      <c r="J9"/>
      <c r="K9"/>
    </row>
    <row r="10" spans="1:17" ht="15" x14ac:dyDescent="0.25">
      <c r="F10"/>
      <c r="G10"/>
      <c r="H10"/>
      <c r="I10"/>
      <c r="J10"/>
      <c r="K10"/>
    </row>
    <row r="11" spans="1:17" ht="15" x14ac:dyDescent="0.25">
      <c r="F11"/>
      <c r="G11"/>
      <c r="H11"/>
      <c r="I11"/>
      <c r="J11"/>
      <c r="K11"/>
    </row>
    <row r="12" spans="1:17" ht="15" x14ac:dyDescent="0.25">
      <c r="F12"/>
      <c r="G12"/>
      <c r="H12"/>
      <c r="I12"/>
      <c r="J12"/>
      <c r="K12"/>
    </row>
    <row r="13" spans="1:17" ht="15" x14ac:dyDescent="0.25">
      <c r="F13"/>
      <c r="G13"/>
      <c r="H13"/>
      <c r="I13"/>
      <c r="J13"/>
      <c r="K13"/>
    </row>
    <row r="14" spans="1:17" ht="15" x14ac:dyDescent="0.25">
      <c r="F14"/>
      <c r="G14"/>
      <c r="H14"/>
      <c r="I14"/>
      <c r="J14"/>
      <c r="K14"/>
    </row>
    <row r="15" spans="1:17" ht="15" x14ac:dyDescent="0.25">
      <c r="F15"/>
      <c r="G15"/>
      <c r="H15"/>
      <c r="I15"/>
      <c r="J15"/>
      <c r="K15"/>
    </row>
    <row r="16" spans="1:17" ht="15" x14ac:dyDescent="0.25">
      <c r="F16"/>
      <c r="G16"/>
      <c r="H16"/>
      <c r="I16"/>
      <c r="J16"/>
      <c r="K16"/>
    </row>
    <row r="17" spans="6:11" ht="15" x14ac:dyDescent="0.25">
      <c r="F17"/>
      <c r="G17"/>
      <c r="H17"/>
      <c r="I17"/>
      <c r="J17"/>
      <c r="K17"/>
    </row>
    <row r="18" spans="6:11" ht="15" x14ac:dyDescent="0.25">
      <c r="F18"/>
      <c r="G18"/>
      <c r="H18"/>
      <c r="I18"/>
      <c r="J18"/>
      <c r="K18"/>
    </row>
    <row r="19" spans="6:11" ht="15" x14ac:dyDescent="0.25">
      <c r="F19"/>
      <c r="G19"/>
      <c r="H19"/>
      <c r="I19"/>
      <c r="J19"/>
      <c r="K19"/>
    </row>
    <row r="20" spans="6:11" ht="15" x14ac:dyDescent="0.25">
      <c r="F20"/>
      <c r="G20"/>
      <c r="H20"/>
      <c r="I20"/>
      <c r="J20"/>
      <c r="K20"/>
    </row>
    <row r="21" spans="6:11" ht="15" x14ac:dyDescent="0.25">
      <c r="F21"/>
      <c r="G21"/>
      <c r="H21"/>
      <c r="I21"/>
      <c r="J21"/>
      <c r="K21"/>
    </row>
    <row r="22" spans="6:11" ht="15" x14ac:dyDescent="0.25">
      <c r="F22"/>
      <c r="G22"/>
      <c r="H22"/>
      <c r="I22"/>
      <c r="J22"/>
      <c r="K22"/>
    </row>
    <row r="23" spans="6:11" ht="15" x14ac:dyDescent="0.25">
      <c r="F23"/>
      <c r="G23"/>
      <c r="H23"/>
      <c r="I23"/>
      <c r="J23"/>
      <c r="K23"/>
    </row>
    <row r="24" spans="6:11" ht="15" x14ac:dyDescent="0.25">
      <c r="F24"/>
      <c r="G24"/>
      <c r="H24"/>
      <c r="I24"/>
      <c r="J24"/>
      <c r="K24"/>
    </row>
    <row r="25" spans="6:11" ht="15" x14ac:dyDescent="0.25">
      <c r="F25"/>
      <c r="G25"/>
      <c r="H25"/>
      <c r="I25"/>
      <c r="J25"/>
      <c r="K25"/>
    </row>
    <row r="26" spans="6:11" ht="15" x14ac:dyDescent="0.25">
      <c r="F26"/>
      <c r="G26"/>
      <c r="H26"/>
      <c r="I26"/>
      <c r="J26"/>
      <c r="K26"/>
    </row>
    <row r="27" spans="6:11" ht="15" x14ac:dyDescent="0.25">
      <c r="F27"/>
      <c r="G27"/>
      <c r="H27"/>
      <c r="I27"/>
      <c r="J27"/>
      <c r="K27"/>
    </row>
    <row r="28" spans="6:11" ht="15" x14ac:dyDescent="0.25">
      <c r="F28"/>
      <c r="G28"/>
      <c r="H28"/>
      <c r="I28"/>
      <c r="J28"/>
      <c r="K28"/>
    </row>
    <row r="29" spans="6:11" ht="15" x14ac:dyDescent="0.25">
      <c r="F29"/>
      <c r="G29"/>
      <c r="H29"/>
      <c r="I29"/>
      <c r="J29"/>
      <c r="K29"/>
    </row>
    <row r="30" spans="6:11" ht="15" x14ac:dyDescent="0.25">
      <c r="F30"/>
      <c r="G30"/>
      <c r="H30"/>
      <c r="I30"/>
      <c r="J30"/>
      <c r="K30"/>
    </row>
    <row r="31" spans="6:11" ht="15" x14ac:dyDescent="0.25">
      <c r="F31"/>
      <c r="G31"/>
      <c r="H31"/>
      <c r="I31"/>
      <c r="J31"/>
      <c r="K31"/>
    </row>
    <row r="32" spans="6:11" ht="15" x14ac:dyDescent="0.25">
      <c r="F32"/>
      <c r="G32"/>
      <c r="H32"/>
      <c r="I32"/>
      <c r="J32"/>
      <c r="K32"/>
    </row>
    <row r="33" spans="6:11" ht="15" x14ac:dyDescent="0.25">
      <c r="F33"/>
      <c r="G33"/>
      <c r="H33"/>
      <c r="I33"/>
      <c r="J33"/>
      <c r="K33"/>
    </row>
    <row r="34" spans="6:11" ht="15" x14ac:dyDescent="0.25">
      <c r="F34"/>
      <c r="G34"/>
      <c r="H34"/>
      <c r="I34"/>
      <c r="J34"/>
      <c r="K34"/>
    </row>
    <row r="35" spans="6:11" ht="15" x14ac:dyDescent="0.25">
      <c r="F35"/>
      <c r="G35"/>
      <c r="H35"/>
      <c r="I35"/>
      <c r="J35"/>
      <c r="K35"/>
    </row>
    <row r="36" spans="6:11" ht="15" x14ac:dyDescent="0.25">
      <c r="F36"/>
      <c r="G36"/>
      <c r="H36"/>
      <c r="I36"/>
      <c r="J36"/>
      <c r="K36"/>
    </row>
    <row r="37" spans="6:11" ht="15" x14ac:dyDescent="0.25">
      <c r="F37"/>
      <c r="G37"/>
      <c r="H37"/>
      <c r="I37"/>
      <c r="J37"/>
      <c r="K37"/>
    </row>
    <row r="38" spans="6:11" ht="15" x14ac:dyDescent="0.25">
      <c r="F38"/>
      <c r="G38"/>
      <c r="H38"/>
      <c r="I38"/>
      <c r="J38"/>
      <c r="K38"/>
    </row>
    <row r="39" spans="6:11" ht="15" x14ac:dyDescent="0.25">
      <c r="F39"/>
      <c r="G39"/>
      <c r="H39"/>
      <c r="I39"/>
      <c r="J39"/>
      <c r="K39"/>
    </row>
    <row r="40" spans="6:11" ht="15" x14ac:dyDescent="0.25">
      <c r="F40"/>
      <c r="G40"/>
      <c r="H40"/>
      <c r="I40"/>
      <c r="J40"/>
      <c r="K40"/>
    </row>
    <row r="41" spans="6:11" ht="15" x14ac:dyDescent="0.25">
      <c r="F41"/>
      <c r="G41"/>
      <c r="H41"/>
      <c r="I41"/>
      <c r="J41"/>
      <c r="K41"/>
    </row>
    <row r="42" spans="6:11" ht="15" x14ac:dyDescent="0.25">
      <c r="F42"/>
      <c r="G42"/>
      <c r="H42"/>
      <c r="I42"/>
      <c r="J42"/>
      <c r="K42"/>
    </row>
    <row r="43" spans="6:11" ht="15" x14ac:dyDescent="0.25">
      <c r="F43"/>
      <c r="G43"/>
      <c r="H43"/>
      <c r="I43"/>
      <c r="J43"/>
      <c r="K43"/>
    </row>
    <row r="44" spans="6:11" ht="15" x14ac:dyDescent="0.25">
      <c r="F44"/>
      <c r="G44"/>
      <c r="H44"/>
      <c r="I44"/>
      <c r="J44"/>
      <c r="K44"/>
    </row>
    <row r="45" spans="6:11" ht="15" x14ac:dyDescent="0.25">
      <c r="F45"/>
      <c r="G45"/>
      <c r="H45"/>
      <c r="I45"/>
      <c r="J45"/>
      <c r="K45"/>
    </row>
    <row r="46" spans="6:11" ht="15" x14ac:dyDescent="0.25">
      <c r="F46"/>
      <c r="G46"/>
      <c r="H46"/>
      <c r="I46"/>
      <c r="J46"/>
      <c r="K46"/>
    </row>
    <row r="47" spans="6:11" ht="15" x14ac:dyDescent="0.25">
      <c r="F47"/>
      <c r="G47"/>
      <c r="H47"/>
      <c r="I47"/>
      <c r="J47"/>
      <c r="K47"/>
    </row>
    <row r="48" spans="6:11" ht="15" x14ac:dyDescent="0.25">
      <c r="F48"/>
      <c r="G48"/>
      <c r="H48"/>
      <c r="I48"/>
      <c r="J48"/>
      <c r="K48"/>
    </row>
    <row r="49" spans="6:11" ht="15" x14ac:dyDescent="0.25">
      <c r="F49"/>
      <c r="G49"/>
      <c r="H49"/>
      <c r="I49"/>
      <c r="J49"/>
      <c r="K49"/>
    </row>
    <row r="50" spans="6:11" ht="15" x14ac:dyDescent="0.25">
      <c r="F50"/>
      <c r="G50"/>
      <c r="H50"/>
      <c r="I50"/>
      <c r="J50"/>
      <c r="K50"/>
    </row>
    <row r="51" spans="6:11" ht="15" x14ac:dyDescent="0.25">
      <c r="F51"/>
      <c r="G51"/>
      <c r="H51"/>
      <c r="I51"/>
      <c r="J51"/>
      <c r="K51"/>
    </row>
    <row r="52" spans="6:11" ht="15" x14ac:dyDescent="0.25">
      <c r="F52"/>
      <c r="G52"/>
      <c r="H52"/>
      <c r="I52"/>
      <c r="J52"/>
      <c r="K52"/>
    </row>
    <row r="53" spans="6:11" ht="15" x14ac:dyDescent="0.25">
      <c r="F53"/>
      <c r="G53"/>
      <c r="H53"/>
      <c r="I53"/>
      <c r="J53"/>
      <c r="K53"/>
    </row>
    <row r="54" spans="6:11" ht="15" x14ac:dyDescent="0.25">
      <c r="F54"/>
      <c r="G54"/>
      <c r="H54"/>
      <c r="I54"/>
      <c r="J54"/>
      <c r="K54"/>
    </row>
    <row r="55" spans="6:11" ht="15" x14ac:dyDescent="0.25">
      <c r="F55"/>
      <c r="G55"/>
      <c r="H55"/>
      <c r="I55"/>
      <c r="J55"/>
      <c r="K55"/>
    </row>
    <row r="56" spans="6:11" ht="15" x14ac:dyDescent="0.25">
      <c r="F56"/>
      <c r="G56"/>
      <c r="H56"/>
      <c r="I56"/>
      <c r="J56"/>
      <c r="K56"/>
    </row>
    <row r="57" spans="6:11" ht="15" x14ac:dyDescent="0.25">
      <c r="F57"/>
      <c r="G57"/>
      <c r="H57"/>
      <c r="I57"/>
      <c r="J57"/>
      <c r="K57"/>
    </row>
    <row r="58" spans="6:11" ht="15" x14ac:dyDescent="0.25">
      <c r="F58"/>
      <c r="G58"/>
      <c r="H58"/>
      <c r="I58"/>
      <c r="J58"/>
      <c r="K58"/>
    </row>
    <row r="59" spans="6:11" ht="15" x14ac:dyDescent="0.25">
      <c r="F59"/>
      <c r="G59"/>
      <c r="H59"/>
      <c r="I59"/>
      <c r="J59"/>
      <c r="K59"/>
    </row>
    <row r="60" spans="6:11" ht="15" x14ac:dyDescent="0.25">
      <c r="F60"/>
      <c r="G60"/>
      <c r="H60"/>
      <c r="I60"/>
      <c r="J60"/>
      <c r="K60"/>
    </row>
    <row r="61" spans="6:11" ht="15" x14ac:dyDescent="0.25">
      <c r="F61"/>
      <c r="G61"/>
      <c r="H61"/>
      <c r="I61"/>
      <c r="J61"/>
      <c r="K61"/>
    </row>
    <row r="62" spans="6:11" ht="15" x14ac:dyDescent="0.25">
      <c r="F62"/>
      <c r="G62"/>
      <c r="H62"/>
      <c r="I62"/>
      <c r="J62"/>
      <c r="K62"/>
    </row>
    <row r="63" spans="6:11" ht="15" x14ac:dyDescent="0.25">
      <c r="F63"/>
      <c r="G63"/>
      <c r="H63"/>
      <c r="I63"/>
      <c r="J63"/>
      <c r="K63"/>
    </row>
    <row r="64" spans="6:11" ht="15" x14ac:dyDescent="0.25">
      <c r="F64"/>
      <c r="G64"/>
      <c r="H64"/>
      <c r="I64"/>
      <c r="J64"/>
      <c r="K64"/>
    </row>
    <row r="65" spans="6:11" ht="15" x14ac:dyDescent="0.25">
      <c r="F65"/>
      <c r="G65"/>
      <c r="H65"/>
      <c r="I65"/>
      <c r="J65"/>
      <c r="K65"/>
    </row>
    <row r="66" spans="6:11" ht="15" x14ac:dyDescent="0.25">
      <c r="F66"/>
      <c r="G66"/>
      <c r="H66"/>
      <c r="I66"/>
      <c r="J66"/>
      <c r="K66"/>
    </row>
    <row r="67" spans="6:11" ht="15" x14ac:dyDescent="0.25">
      <c r="F67"/>
      <c r="G67"/>
      <c r="H67"/>
      <c r="I67"/>
      <c r="J67"/>
      <c r="K67"/>
    </row>
    <row r="68" spans="6:11" ht="15" x14ac:dyDescent="0.25">
      <c r="F68"/>
      <c r="G68"/>
      <c r="H68"/>
      <c r="I68"/>
      <c r="J68"/>
      <c r="K68"/>
    </row>
    <row r="69" spans="6:11" ht="15" x14ac:dyDescent="0.25">
      <c r="F69"/>
      <c r="G69"/>
      <c r="H69"/>
      <c r="I69"/>
      <c r="J69"/>
      <c r="K69"/>
    </row>
    <row r="70" spans="6:11" ht="15" x14ac:dyDescent="0.25">
      <c r="F70"/>
      <c r="G70"/>
      <c r="H70"/>
      <c r="I70"/>
      <c r="J70"/>
      <c r="K70"/>
    </row>
    <row r="71" spans="6:11" ht="15" x14ac:dyDescent="0.25">
      <c r="F71"/>
      <c r="G71"/>
      <c r="H71"/>
      <c r="I71"/>
      <c r="J71"/>
      <c r="K71"/>
    </row>
    <row r="72" spans="6:11" ht="15" x14ac:dyDescent="0.25">
      <c r="F72"/>
      <c r="G72"/>
      <c r="H72"/>
      <c r="I72"/>
      <c r="J72"/>
      <c r="K72"/>
    </row>
    <row r="73" spans="6:11" ht="15" x14ac:dyDescent="0.25">
      <c r="F73"/>
      <c r="G73"/>
      <c r="H73"/>
      <c r="I73"/>
      <c r="J73"/>
      <c r="K73"/>
    </row>
    <row r="74" spans="6:11" ht="15" x14ac:dyDescent="0.25">
      <c r="F74"/>
      <c r="G74"/>
      <c r="H74"/>
      <c r="I74"/>
      <c r="J74"/>
      <c r="K74"/>
    </row>
    <row r="75" spans="6:11" ht="15" x14ac:dyDescent="0.25">
      <c r="F75"/>
      <c r="G75"/>
      <c r="H75"/>
      <c r="I75"/>
      <c r="J75"/>
      <c r="K75"/>
    </row>
    <row r="76" spans="6:11" ht="15" x14ac:dyDescent="0.25">
      <c r="F76"/>
      <c r="G76"/>
      <c r="H76"/>
      <c r="I76"/>
      <c r="J76"/>
      <c r="K76"/>
    </row>
    <row r="77" spans="6:11" ht="15" x14ac:dyDescent="0.25">
      <c r="F77"/>
      <c r="G77"/>
      <c r="H77"/>
      <c r="I77"/>
      <c r="J77"/>
      <c r="K77"/>
    </row>
    <row r="78" spans="6:11" ht="15" x14ac:dyDescent="0.25">
      <c r="F78"/>
      <c r="G78"/>
      <c r="H78"/>
      <c r="I78"/>
      <c r="J78"/>
      <c r="K78"/>
    </row>
    <row r="79" spans="6:11" ht="15" x14ac:dyDescent="0.25">
      <c r="F79"/>
      <c r="G79"/>
      <c r="H79"/>
      <c r="I79"/>
      <c r="J79"/>
      <c r="K79"/>
    </row>
    <row r="80" spans="6:11" ht="15" x14ac:dyDescent="0.25">
      <c r="F80"/>
      <c r="G80"/>
      <c r="H80"/>
      <c r="I80"/>
      <c r="J80"/>
      <c r="K80"/>
    </row>
    <row r="81" spans="6:11" ht="15" x14ac:dyDescent="0.25">
      <c r="F81"/>
      <c r="G81"/>
      <c r="H81"/>
      <c r="I81"/>
      <c r="J81"/>
      <c r="K81"/>
    </row>
    <row r="82" spans="6:11" ht="15" x14ac:dyDescent="0.25">
      <c r="F82"/>
      <c r="G82"/>
      <c r="H82"/>
      <c r="I82"/>
      <c r="J82"/>
      <c r="K82"/>
    </row>
    <row r="83" spans="6:11" ht="15" x14ac:dyDescent="0.25">
      <c r="F83"/>
      <c r="G83"/>
      <c r="H83"/>
      <c r="I83"/>
      <c r="J83"/>
      <c r="K83"/>
    </row>
    <row r="84" spans="6:11" ht="15" x14ac:dyDescent="0.25">
      <c r="F84"/>
      <c r="G84"/>
      <c r="H84"/>
      <c r="I84"/>
      <c r="J84"/>
      <c r="K84"/>
    </row>
    <row r="85" spans="6:11" ht="15" x14ac:dyDescent="0.25">
      <c r="F85"/>
      <c r="G85"/>
      <c r="H85"/>
      <c r="I85"/>
      <c r="J85"/>
      <c r="K85"/>
    </row>
    <row r="86" spans="6:11" ht="15" x14ac:dyDescent="0.25">
      <c r="F86"/>
      <c r="G86"/>
      <c r="H86"/>
      <c r="I86"/>
      <c r="J86"/>
      <c r="K86"/>
    </row>
    <row r="87" spans="6:11" ht="15" x14ac:dyDescent="0.25">
      <c r="F87"/>
      <c r="G87"/>
      <c r="H87"/>
      <c r="I87"/>
      <c r="J87"/>
      <c r="K87"/>
    </row>
    <row r="88" spans="6:11" ht="15" x14ac:dyDescent="0.25">
      <c r="F88"/>
      <c r="G88"/>
      <c r="H88"/>
      <c r="I88"/>
      <c r="J88"/>
      <c r="K88"/>
    </row>
    <row r="89" spans="6:11" ht="15" x14ac:dyDescent="0.25">
      <c r="F89"/>
      <c r="G89"/>
      <c r="H89"/>
      <c r="I89"/>
      <c r="J89"/>
      <c r="K89"/>
    </row>
    <row r="90" spans="6:11" ht="15" x14ac:dyDescent="0.25">
      <c r="F90"/>
      <c r="G90"/>
      <c r="H90"/>
      <c r="I90"/>
      <c r="J90"/>
      <c r="K90"/>
    </row>
    <row r="91" spans="6:11" ht="15" x14ac:dyDescent="0.25">
      <c r="F91"/>
      <c r="G91"/>
      <c r="H91"/>
      <c r="I91"/>
      <c r="J91"/>
      <c r="K91"/>
    </row>
    <row r="92" spans="6:11" ht="15" x14ac:dyDescent="0.25">
      <c r="F92"/>
      <c r="G92"/>
      <c r="H92"/>
      <c r="I92"/>
      <c r="J92"/>
      <c r="K92"/>
    </row>
    <row r="93" spans="6:11" ht="15" x14ac:dyDescent="0.25">
      <c r="F93"/>
      <c r="G93"/>
      <c r="H93"/>
      <c r="I93"/>
      <c r="J93"/>
      <c r="K93"/>
    </row>
    <row r="94" spans="6:11" ht="15" x14ac:dyDescent="0.25">
      <c r="F94"/>
      <c r="G94"/>
      <c r="H94"/>
      <c r="I94"/>
      <c r="J94"/>
      <c r="K94"/>
    </row>
    <row r="95" spans="6:11" ht="15" x14ac:dyDescent="0.25">
      <c r="F95"/>
      <c r="G95"/>
      <c r="H95"/>
      <c r="I95"/>
      <c r="J95"/>
      <c r="K95"/>
    </row>
    <row r="96" spans="6:11" ht="15" x14ac:dyDescent="0.25">
      <c r="F96"/>
      <c r="G96"/>
      <c r="H96"/>
      <c r="I96"/>
      <c r="J96"/>
      <c r="K96"/>
    </row>
    <row r="97" spans="6:11" ht="15" x14ac:dyDescent="0.25">
      <c r="F97"/>
      <c r="G97"/>
      <c r="H97"/>
      <c r="I97"/>
      <c r="J97"/>
      <c r="K97"/>
    </row>
    <row r="98" spans="6:11" ht="15" x14ac:dyDescent="0.25">
      <c r="F98"/>
      <c r="G98"/>
      <c r="H98"/>
      <c r="I98"/>
      <c r="J98"/>
      <c r="K98"/>
    </row>
    <row r="99" spans="6:11" ht="15" x14ac:dyDescent="0.25">
      <c r="F99"/>
      <c r="G99"/>
      <c r="H99"/>
      <c r="I99"/>
      <c r="J99"/>
      <c r="K99"/>
    </row>
    <row r="100" spans="6:11" ht="15" x14ac:dyDescent="0.25">
      <c r="F100"/>
      <c r="G100"/>
      <c r="H100"/>
      <c r="I100"/>
      <c r="J100"/>
      <c r="K100"/>
    </row>
    <row r="101" spans="6:11" ht="15" x14ac:dyDescent="0.25">
      <c r="F101"/>
      <c r="G101"/>
      <c r="H101"/>
      <c r="I101"/>
      <c r="J101"/>
      <c r="K101"/>
    </row>
    <row r="102" spans="6:11" ht="15" x14ac:dyDescent="0.25">
      <c r="F102"/>
      <c r="G102"/>
      <c r="H102"/>
      <c r="I102"/>
      <c r="J102"/>
      <c r="K102"/>
    </row>
    <row r="103" spans="6:11" ht="15" x14ac:dyDescent="0.25">
      <c r="F103"/>
      <c r="G103"/>
      <c r="H103"/>
      <c r="I103"/>
      <c r="J103"/>
      <c r="K103"/>
    </row>
    <row r="104" spans="6:11" ht="15" x14ac:dyDescent="0.25">
      <c r="F104"/>
      <c r="G104"/>
      <c r="H104"/>
      <c r="I104"/>
      <c r="J104"/>
      <c r="K104"/>
    </row>
    <row r="105" spans="6:11" ht="15" x14ac:dyDescent="0.25">
      <c r="F105"/>
      <c r="G105"/>
      <c r="H105"/>
      <c r="I105"/>
      <c r="J105"/>
      <c r="K105"/>
    </row>
    <row r="106" spans="6:11" ht="15" x14ac:dyDescent="0.25">
      <c r="F106"/>
      <c r="G106"/>
      <c r="H106"/>
      <c r="I106"/>
      <c r="J106"/>
      <c r="K106"/>
    </row>
    <row r="107" spans="6:11" ht="15" x14ac:dyDescent="0.25">
      <c r="F107"/>
      <c r="G107"/>
      <c r="H107"/>
      <c r="I107"/>
      <c r="J107"/>
      <c r="K107"/>
    </row>
    <row r="108" spans="6:11" ht="15" x14ac:dyDescent="0.25">
      <c r="F108"/>
      <c r="G108"/>
      <c r="H108"/>
      <c r="I108"/>
      <c r="J108"/>
      <c r="K108"/>
    </row>
    <row r="109" spans="6:11" ht="15" x14ac:dyDescent="0.25">
      <c r="F109"/>
      <c r="G109"/>
      <c r="H109"/>
      <c r="I109"/>
      <c r="J109"/>
      <c r="K109"/>
    </row>
    <row r="110" spans="6:11" ht="15" x14ac:dyDescent="0.25">
      <c r="F110"/>
      <c r="G110"/>
      <c r="H110"/>
      <c r="I110"/>
      <c r="J110"/>
      <c r="K110"/>
    </row>
    <row r="111" spans="6:11" ht="15" x14ac:dyDescent="0.25">
      <c r="F111"/>
      <c r="G111"/>
      <c r="H111"/>
      <c r="I111"/>
      <c r="J111"/>
      <c r="K111"/>
    </row>
    <row r="112" spans="6:11" ht="15" x14ac:dyDescent="0.25">
      <c r="F112"/>
      <c r="G112"/>
      <c r="H112"/>
      <c r="I112"/>
      <c r="J112"/>
      <c r="K112"/>
    </row>
    <row r="113" spans="6:11" ht="15" x14ac:dyDescent="0.25">
      <c r="F113"/>
      <c r="G113"/>
      <c r="H113"/>
      <c r="I113"/>
      <c r="J113"/>
      <c r="K113"/>
    </row>
    <row r="114" spans="6:11" ht="15" x14ac:dyDescent="0.25">
      <c r="F114"/>
      <c r="G114"/>
      <c r="H114"/>
      <c r="I114"/>
      <c r="J114"/>
      <c r="K114"/>
    </row>
    <row r="115" spans="6:11" ht="15" x14ac:dyDescent="0.25">
      <c r="F115"/>
      <c r="G115"/>
      <c r="H115"/>
      <c r="I115"/>
      <c r="J115"/>
      <c r="K115"/>
    </row>
    <row r="116" spans="6:11" ht="15" x14ac:dyDescent="0.25">
      <c r="F116"/>
      <c r="G116"/>
      <c r="H116"/>
      <c r="I116"/>
      <c r="J116"/>
      <c r="K116"/>
    </row>
    <row r="117" spans="6:11" ht="15" x14ac:dyDescent="0.25">
      <c r="F117"/>
      <c r="G117"/>
      <c r="H117"/>
      <c r="I117"/>
      <c r="J117"/>
      <c r="K117"/>
    </row>
    <row r="118" spans="6:11" ht="15" x14ac:dyDescent="0.25">
      <c r="F118"/>
      <c r="G118"/>
      <c r="H118"/>
      <c r="I118"/>
      <c r="J118"/>
      <c r="K118"/>
    </row>
    <row r="119" spans="6:11" ht="15" x14ac:dyDescent="0.25">
      <c r="F119"/>
      <c r="G119"/>
      <c r="H119"/>
      <c r="I119"/>
      <c r="J119"/>
      <c r="K119"/>
    </row>
    <row r="120" spans="6:11" ht="15" x14ac:dyDescent="0.25">
      <c r="F120"/>
      <c r="G120"/>
      <c r="H120"/>
      <c r="I120"/>
      <c r="J120"/>
      <c r="K120"/>
    </row>
    <row r="121" spans="6:11" ht="15" x14ac:dyDescent="0.25">
      <c r="F121"/>
      <c r="G121"/>
      <c r="H121"/>
      <c r="I121"/>
      <c r="J121"/>
      <c r="K121"/>
    </row>
    <row r="122" spans="6:11" ht="15" x14ac:dyDescent="0.25">
      <c r="F122"/>
      <c r="G122"/>
      <c r="H122"/>
      <c r="I122"/>
      <c r="J122"/>
      <c r="K122"/>
    </row>
    <row r="123" spans="6:11" ht="15" x14ac:dyDescent="0.25">
      <c r="F123"/>
      <c r="G123"/>
      <c r="H123"/>
      <c r="I123"/>
      <c r="J123"/>
      <c r="K123"/>
    </row>
    <row r="124" spans="6:11" ht="15" x14ac:dyDescent="0.25">
      <c r="F124"/>
      <c r="G124"/>
      <c r="H124"/>
      <c r="I124"/>
      <c r="J124"/>
      <c r="K124"/>
    </row>
    <row r="125" spans="6:11" ht="15" x14ac:dyDescent="0.25">
      <c r="F125"/>
      <c r="G125"/>
      <c r="H125"/>
      <c r="I125"/>
      <c r="J125"/>
      <c r="K125"/>
    </row>
    <row r="126" spans="6:11" ht="15" x14ac:dyDescent="0.25">
      <c r="F126"/>
      <c r="G126"/>
      <c r="H126"/>
      <c r="I126"/>
      <c r="J126"/>
      <c r="K126"/>
    </row>
    <row r="127" spans="6:11" ht="15" x14ac:dyDescent="0.25">
      <c r="F127"/>
      <c r="G127"/>
      <c r="H127"/>
      <c r="I127"/>
      <c r="J127"/>
      <c r="K127"/>
    </row>
    <row r="128" spans="6:11" ht="15" x14ac:dyDescent="0.25">
      <c r="F128"/>
      <c r="G128"/>
      <c r="H128"/>
      <c r="I128"/>
      <c r="J128"/>
      <c r="K128"/>
    </row>
    <row r="129" spans="6:11" ht="15" x14ac:dyDescent="0.25">
      <c r="F129"/>
      <c r="G129"/>
      <c r="H129"/>
      <c r="I129"/>
      <c r="J129"/>
      <c r="K129"/>
    </row>
    <row r="130" spans="6:11" ht="15" x14ac:dyDescent="0.25">
      <c r="F130"/>
      <c r="G130"/>
      <c r="H130"/>
      <c r="I130"/>
      <c r="J130"/>
      <c r="K130"/>
    </row>
    <row r="131" spans="6:11" ht="15" x14ac:dyDescent="0.25">
      <c r="F131"/>
      <c r="G131"/>
      <c r="H131"/>
      <c r="I131"/>
      <c r="J131"/>
      <c r="K131"/>
    </row>
    <row r="132" spans="6:11" ht="15" x14ac:dyDescent="0.25">
      <c r="F132"/>
      <c r="G132"/>
      <c r="H132"/>
      <c r="I132"/>
      <c r="J132"/>
      <c r="K132"/>
    </row>
    <row r="133" spans="6:11" ht="15" x14ac:dyDescent="0.25">
      <c r="F133"/>
      <c r="G133"/>
      <c r="H133"/>
      <c r="I133"/>
      <c r="J133"/>
      <c r="K133"/>
    </row>
    <row r="134" spans="6:11" ht="15" x14ac:dyDescent="0.25">
      <c r="F134"/>
      <c r="G134"/>
      <c r="H134"/>
      <c r="I134"/>
      <c r="J134"/>
      <c r="K134"/>
    </row>
    <row r="135" spans="6:11" ht="15" x14ac:dyDescent="0.25">
      <c r="F135"/>
      <c r="G135"/>
      <c r="H135"/>
      <c r="I135"/>
      <c r="J135"/>
      <c r="K135"/>
    </row>
  </sheetData>
  <mergeCells count="1">
    <mergeCell ref="J2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ipeadata 1</vt:lpstr>
      <vt:lpstr>ipeadata 2</vt:lpstr>
      <vt:lpstr>ipeadata 3</vt:lpstr>
      <vt:lpstr>ipeadata 4</vt:lpstr>
      <vt:lpstr>File to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2022-01-01T21:29:29Z</dcterms:created>
  <dcterms:modified xsi:type="dcterms:W3CDTF">2022-01-14T01:42:40Z</dcterms:modified>
</cp:coreProperties>
</file>