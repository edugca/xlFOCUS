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15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fa2ac83e16c31e/MATLAB/Resources/xlFOCUS/History/v. 0.6/"/>
    </mc:Choice>
  </mc:AlternateContent>
  <xr:revisionPtr revIDLastSave="5" documentId="13_ncr:1_{10C1C4F5-352C-496D-ACC0-64FE32BBA847}" xr6:coauthVersionLast="47" xr6:coauthVersionMax="47" xr10:uidLastSave="{7020657A-BDD6-4662-8D1A-A48B2C464FC1}"/>
  <bookViews>
    <workbookView xWindow="-120" yWindow="-120" windowWidth="26760" windowHeight="14520" xr2:uid="{9E6A8D97-B289-41C5-8A9F-017379FD1A6C}"/>
  </bookViews>
  <sheets>
    <sheet name="IBGE SIDRA" sheetId="28" r:id="rId1"/>
    <sheet name="IBGE Agregados" sheetId="31" r:id="rId2"/>
    <sheet name="URL to Table (SIDRA)" sheetId="36" r:id="rId3"/>
    <sheet name="URL to Table (Agregados)" sheetId="29" r:id="rId4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29" l="1" a="1"/>
  <c r="A5" i="36" a="1"/>
  <c r="D6" i="31" a="1"/>
  <c r="D6" i="28" a="1"/>
  <c r="A5" i="29" l="1"/>
  <c r="A5" i="36"/>
  <c r="D6" i="31"/>
  <c r="Q110" i="36"/>
  <c r="S141" i="36"/>
  <c r="Q402" i="36"/>
  <c r="Q225" i="36"/>
  <c r="R405" i="36"/>
  <c r="S400" i="36"/>
  <c r="Q63" i="36"/>
  <c r="R442" i="36"/>
  <c r="S46" i="36"/>
  <c r="S160" i="36"/>
  <c r="S64" i="36"/>
  <c r="R53" i="36"/>
  <c r="S388" i="36"/>
  <c r="S233" i="36"/>
  <c r="S438" i="36"/>
  <c r="R182" i="36"/>
  <c r="Q235" i="36"/>
  <c r="S170" i="36"/>
  <c r="S439" i="36"/>
  <c r="S428" i="36"/>
  <c r="R422" i="36"/>
  <c r="Q358" i="36"/>
  <c r="S376" i="36"/>
  <c r="R408" i="36"/>
  <c r="R136" i="36"/>
  <c r="S396" i="36"/>
  <c r="R372" i="36"/>
  <c r="R329" i="36"/>
  <c r="R34" i="36"/>
  <c r="R376" i="36"/>
  <c r="R295" i="36"/>
  <c r="R38" i="36"/>
  <c r="Q409" i="36"/>
  <c r="R435" i="36"/>
  <c r="Q312" i="36"/>
  <c r="S300" i="36"/>
  <c r="Q87" i="36"/>
  <c r="Q344" i="36"/>
  <c r="S327" i="36"/>
  <c r="S161" i="36"/>
  <c r="S456" i="36"/>
  <c r="S317" i="36"/>
  <c r="R146" i="36"/>
  <c r="Q407" i="36"/>
  <c r="S194" i="36"/>
  <c r="R371" i="36"/>
  <c r="R232" i="36"/>
  <c r="Q61" i="36"/>
  <c r="S321" i="36"/>
  <c r="Q91" i="36"/>
  <c r="R197" i="36"/>
  <c r="R68" i="36"/>
  <c r="R446" i="36"/>
  <c r="R278" i="36"/>
  <c r="S384" i="36"/>
  <c r="R437" i="36"/>
  <c r="S452" i="36"/>
  <c r="Q93" i="36"/>
  <c r="S353" i="36"/>
  <c r="S75" i="36"/>
  <c r="Q299" i="36"/>
  <c r="Q419" i="36"/>
  <c r="Q248" i="36"/>
  <c r="Q66" i="36"/>
  <c r="Q401" i="36"/>
  <c r="Q124" i="36"/>
  <c r="Q240" i="36"/>
  <c r="S436" i="36"/>
  <c r="R340" i="36"/>
  <c r="Q435" i="36"/>
  <c r="R449" i="36"/>
  <c r="Q215" i="36"/>
  <c r="Q445" i="36"/>
  <c r="Q118" i="36"/>
  <c r="R189" i="36"/>
  <c r="S284" i="36"/>
  <c r="S404" i="36"/>
  <c r="R114" i="36"/>
  <c r="Q179" i="36"/>
  <c r="R333" i="36"/>
  <c r="S156" i="36"/>
  <c r="S121" i="36"/>
  <c r="R375" i="36"/>
  <c r="Q380" i="36"/>
  <c r="S87" i="36"/>
  <c r="S76" i="36"/>
  <c r="Q241" i="36"/>
  <c r="R84" i="36"/>
  <c r="R174" i="36"/>
  <c r="Q128" i="36"/>
  <c r="Q117" i="36"/>
  <c r="Q388" i="36"/>
  <c r="R403" i="36"/>
  <c r="R177" i="36"/>
  <c r="S223" i="36"/>
  <c r="R63" i="36"/>
  <c r="Q297" i="36"/>
  <c r="S152" i="36"/>
  <c r="R58" i="36"/>
  <c r="S458" i="36"/>
  <c r="R303" i="36"/>
  <c r="R148" i="36"/>
  <c r="R353" i="36"/>
  <c r="Q97" i="36"/>
  <c r="S149" i="36"/>
  <c r="R10" i="36"/>
  <c r="R354" i="36"/>
  <c r="R343" i="36"/>
  <c r="Q337" i="36"/>
  <c r="S272" i="36"/>
  <c r="R291" i="36"/>
  <c r="Q323" i="36"/>
  <c r="Q51" i="36"/>
  <c r="R311" i="36"/>
  <c r="Q342" i="36"/>
  <c r="R368" i="36"/>
  <c r="R429" i="36"/>
  <c r="Q413" i="36"/>
  <c r="Q247" i="36"/>
  <c r="S176" i="36"/>
  <c r="S102" i="36"/>
  <c r="Q279" i="36"/>
  <c r="R241" i="36"/>
  <c r="R107" i="36"/>
  <c r="R434" i="36"/>
  <c r="S252" i="36"/>
  <c r="Q417" i="36"/>
  <c r="S96" i="36"/>
  <c r="R279" i="36"/>
  <c r="Q349" i="36"/>
  <c r="R167" i="36"/>
  <c r="S331" i="36"/>
  <c r="R11" i="36"/>
  <c r="R159" i="36"/>
  <c r="Q175" i="36"/>
  <c r="R419" i="36"/>
  <c r="R44" i="36"/>
  <c r="Q112" i="36"/>
  <c r="Q96" i="36"/>
  <c r="Q415" i="36"/>
  <c r="Q361" i="36"/>
  <c r="Q193" i="36"/>
  <c r="R299" i="36"/>
  <c r="Q352" i="36"/>
  <c r="R367" i="36"/>
  <c r="Q354" i="36"/>
  <c r="Q183" i="36"/>
  <c r="Q454" i="36"/>
  <c r="R128" i="36"/>
  <c r="Q325" i="36"/>
  <c r="Q265" i="36"/>
  <c r="R254" i="36"/>
  <c r="S115" i="36"/>
  <c r="Q144" i="36"/>
  <c r="Q46" i="36"/>
  <c r="R191" i="36"/>
  <c r="Q15" i="36"/>
  <c r="R48" i="36"/>
  <c r="R431" i="36"/>
  <c r="R441" i="36"/>
  <c r="S222" i="36"/>
  <c r="Q200" i="36"/>
  <c r="Q188" i="36"/>
  <c r="R151" i="36"/>
  <c r="S40" i="36"/>
  <c r="S42" i="36"/>
  <c r="S94" i="36"/>
  <c r="S187" i="36"/>
  <c r="Q12" i="36"/>
  <c r="Q21" i="36"/>
  <c r="R8" i="36"/>
  <c r="Q204" i="36"/>
  <c r="S105" i="36"/>
  <c r="S29" i="36"/>
  <c r="S381" i="36"/>
  <c r="Q381" i="36"/>
  <c r="S108" i="36"/>
  <c r="R169" i="36"/>
  <c r="S440" i="36"/>
  <c r="R317" i="36"/>
  <c r="R130" i="36"/>
  <c r="R138" i="36"/>
  <c r="R436" i="36"/>
  <c r="S211" i="36"/>
  <c r="R67" i="36"/>
  <c r="S437" i="36"/>
  <c r="R373" i="36"/>
  <c r="Q218" i="36"/>
  <c r="S462" i="36"/>
  <c r="Q268" i="36"/>
  <c r="S11" i="36"/>
  <c r="R64" i="36"/>
  <c r="S431" i="36"/>
  <c r="Q269" i="36"/>
  <c r="Q258" i="36"/>
  <c r="S251" i="36"/>
  <c r="R187" i="36"/>
  <c r="S57" i="36"/>
  <c r="S339" i="36"/>
  <c r="R364" i="36"/>
  <c r="S326" i="36"/>
  <c r="S192" i="36"/>
  <c r="S335" i="36"/>
  <c r="S41" i="36"/>
  <c r="Q54" i="36"/>
  <c r="S325" i="36"/>
  <c r="R266" i="36"/>
  <c r="Q348" i="36"/>
  <c r="S91" i="36"/>
  <c r="R144" i="36"/>
  <c r="S255" i="36"/>
  <c r="Q252" i="36"/>
  <c r="Q449" i="36"/>
  <c r="R101" i="36"/>
  <c r="Q59" i="36"/>
  <c r="R170" i="36"/>
  <c r="S67" i="36"/>
  <c r="Q94" i="36"/>
  <c r="Q397" i="36"/>
  <c r="S401" i="36"/>
  <c r="Q74" i="36"/>
  <c r="S30" i="36"/>
  <c r="Q334" i="36"/>
  <c r="R381" i="36"/>
  <c r="Q13" i="36"/>
  <c r="R458" i="36"/>
  <c r="S329" i="36"/>
  <c r="S275" i="36"/>
  <c r="R22" i="36"/>
  <c r="S128" i="36"/>
  <c r="R181" i="36"/>
  <c r="S196" i="36"/>
  <c r="R300" i="36"/>
  <c r="Q444" i="36"/>
  <c r="R97" i="36"/>
  <c r="R190" i="36"/>
  <c r="R330" i="36"/>
  <c r="Q69" i="36"/>
  <c r="S411" i="36"/>
  <c r="S460" i="36"/>
  <c r="R215" i="36"/>
  <c r="Q207" i="36"/>
  <c r="S319" i="36"/>
  <c r="R121" i="36"/>
  <c r="R350" i="36"/>
  <c r="S134" i="36"/>
  <c r="Q115" i="36"/>
  <c r="Q441" i="36"/>
  <c r="S453" i="36"/>
  <c r="R113" i="36"/>
  <c r="Q209" i="36"/>
  <c r="S357" i="36"/>
  <c r="Q55" i="36"/>
  <c r="Q192" i="36"/>
  <c r="R36" i="36"/>
  <c r="Q398" i="36"/>
  <c r="R321" i="36"/>
  <c r="S24" i="36"/>
  <c r="R56" i="36"/>
  <c r="S316" i="36"/>
  <c r="S139" i="36"/>
  <c r="S173" i="36"/>
  <c r="Q163" i="36"/>
  <c r="R418" i="36"/>
  <c r="R252" i="36"/>
  <c r="Q145" i="36"/>
  <c r="Q84" i="36"/>
  <c r="R355" i="36"/>
  <c r="Q232" i="36"/>
  <c r="Q45" i="36"/>
  <c r="Q26" i="36"/>
  <c r="Q351" i="36"/>
  <c r="R126" i="36"/>
  <c r="R456" i="36"/>
  <c r="R352" i="36"/>
  <c r="Q288" i="36"/>
  <c r="S132" i="36"/>
  <c r="R377" i="36"/>
  <c r="S182" i="36"/>
  <c r="R23" i="36"/>
  <c r="Q53" i="36"/>
  <c r="R346" i="36"/>
  <c r="S446" i="36"/>
  <c r="Q33" i="36"/>
  <c r="R139" i="36"/>
  <c r="Q411" i="36"/>
  <c r="S351" i="36"/>
  <c r="R281" i="36"/>
  <c r="Q224" i="36"/>
  <c r="Q213" i="36"/>
  <c r="Q394" i="36"/>
  <c r="Q212" i="36"/>
  <c r="S261" i="36"/>
  <c r="Q368" i="36"/>
  <c r="S212" i="36"/>
  <c r="R201" i="36"/>
  <c r="Q109" i="36"/>
  <c r="R176" i="36"/>
  <c r="S282" i="36"/>
  <c r="Q426" i="36"/>
  <c r="S441" i="36"/>
  <c r="S169" i="36"/>
  <c r="Q414" i="36"/>
  <c r="S375" i="36"/>
  <c r="R193" i="36"/>
  <c r="Q434" i="36"/>
  <c r="S433" i="36"/>
  <c r="S155" i="36"/>
  <c r="Q416" i="36"/>
  <c r="R154" i="36"/>
  <c r="Q98" i="36"/>
  <c r="Q332" i="36"/>
  <c r="Q198" i="36"/>
  <c r="R421" i="36"/>
  <c r="S77" i="36"/>
  <c r="Q333" i="36"/>
  <c r="Q167" i="36"/>
  <c r="S59" i="36"/>
  <c r="R414" i="36"/>
  <c r="Q270" i="36"/>
  <c r="S146" i="36"/>
  <c r="R391" i="36"/>
  <c r="S420" i="36"/>
  <c r="S265" i="36"/>
  <c r="Q41" i="36"/>
  <c r="Q371" i="36"/>
  <c r="Q267" i="36"/>
  <c r="S202" i="36"/>
  <c r="S20" i="36"/>
  <c r="Q292" i="36"/>
  <c r="R440" i="36"/>
  <c r="R309" i="36"/>
  <c r="R298" i="36"/>
  <c r="R9" i="36"/>
  <c r="R297" i="36"/>
  <c r="Q275" i="36"/>
  <c r="S201" i="36"/>
  <c r="S158" i="36"/>
  <c r="R302" i="36"/>
  <c r="S205" i="36"/>
  <c r="Q330" i="36"/>
  <c r="S345" i="36"/>
  <c r="Q121" i="36"/>
  <c r="Q195" i="36"/>
  <c r="Q68" i="36"/>
  <c r="S244" i="36"/>
  <c r="R260" i="36"/>
  <c r="R334" i="36"/>
  <c r="S360" i="36"/>
  <c r="S88" i="36"/>
  <c r="S391" i="36"/>
  <c r="Q305" i="36"/>
  <c r="R41" i="36"/>
  <c r="R102" i="36"/>
  <c r="R379" i="36"/>
  <c r="Q432" i="36"/>
  <c r="S393" i="36"/>
  <c r="Q169" i="36"/>
  <c r="R315" i="36"/>
  <c r="R416" i="36"/>
  <c r="Q357" i="36"/>
  <c r="Q399" i="36"/>
  <c r="Q455" i="36"/>
  <c r="S246" i="36"/>
  <c r="S112" i="36"/>
  <c r="Q336" i="36"/>
  <c r="S434" i="36"/>
  <c r="S247" i="36"/>
  <c r="S81" i="36"/>
  <c r="R42" i="36"/>
  <c r="Q329" i="36"/>
  <c r="S184" i="36"/>
  <c r="R61" i="36"/>
  <c r="Q306" i="36"/>
  <c r="R335" i="36"/>
  <c r="R180" i="36"/>
  <c r="S424" i="36"/>
  <c r="S285" i="36"/>
  <c r="Q194" i="36"/>
  <c r="Q287" i="36"/>
  <c r="Q244" i="36"/>
  <c r="S387" i="36"/>
  <c r="Q291" i="36"/>
  <c r="Q210" i="36"/>
  <c r="S120" i="36"/>
  <c r="R152" i="36"/>
  <c r="S322" i="36"/>
  <c r="S140" i="36"/>
  <c r="R238" i="36"/>
  <c r="S264" i="36"/>
  <c r="R141" i="36"/>
  <c r="Q130" i="36"/>
  <c r="R331" i="36"/>
  <c r="Q153" i="36"/>
  <c r="S354" i="36"/>
  <c r="R338" i="36"/>
  <c r="R66" i="36"/>
  <c r="R150" i="36"/>
  <c r="R32" i="36"/>
  <c r="R272" i="36"/>
  <c r="S378" i="36"/>
  <c r="S90" i="36"/>
  <c r="S409" i="36"/>
  <c r="S312" i="36"/>
  <c r="Q92" i="36"/>
  <c r="Q18" i="36"/>
  <c r="Q52" i="36"/>
  <c r="S302" i="36"/>
  <c r="Q318" i="36"/>
  <c r="Q230" i="36"/>
  <c r="Q331" i="36"/>
  <c r="S271" i="36"/>
  <c r="S313" i="36"/>
  <c r="S369" i="36"/>
  <c r="R161" i="36"/>
  <c r="R27" i="36"/>
  <c r="S250" i="36"/>
  <c r="R349" i="36"/>
  <c r="R162" i="36"/>
  <c r="R401" i="36"/>
  <c r="Q438" i="36"/>
  <c r="S243" i="36"/>
  <c r="R99" i="36"/>
  <c r="R402" i="36"/>
  <c r="S220" i="36"/>
  <c r="S350" i="36"/>
  <c r="Q206" i="36"/>
  <c r="S237" i="36"/>
  <c r="Q408" i="36"/>
  <c r="Q226" i="36"/>
  <c r="S256" i="36"/>
  <c r="R98" i="36"/>
  <c r="R87" i="36"/>
  <c r="Q81" i="36"/>
  <c r="S16" i="36"/>
  <c r="S258" i="36"/>
  <c r="R242" i="36"/>
  <c r="R76" i="36"/>
  <c r="S106" i="36"/>
  <c r="R81" i="36"/>
  <c r="R173" i="36"/>
  <c r="Q157" i="36"/>
  <c r="Q396" i="36"/>
  <c r="S399" i="36"/>
  <c r="Q410" i="36"/>
  <c r="Q138" i="36"/>
  <c r="S371" i="36"/>
  <c r="R155" i="36"/>
  <c r="R256" i="36"/>
  <c r="Q16" i="36"/>
  <c r="Q378" i="36"/>
  <c r="R270" i="36"/>
  <c r="S443" i="36"/>
  <c r="S171" i="36"/>
  <c r="R224" i="36"/>
  <c r="S276" i="36"/>
  <c r="Q173" i="36"/>
  <c r="Q162" i="36"/>
  <c r="R326" i="36"/>
  <c r="S37" i="36"/>
  <c r="Q64" i="36"/>
  <c r="R234" i="36"/>
  <c r="Q422" i="36"/>
  <c r="S179" i="36"/>
  <c r="R274" i="36"/>
  <c r="R62" i="36"/>
  <c r="Q83" i="36"/>
  <c r="R12" i="36"/>
  <c r="S136" i="36"/>
  <c r="R65" i="36"/>
  <c r="Q285" i="36"/>
  <c r="S356" i="36"/>
  <c r="R216" i="36"/>
  <c r="R351" i="36"/>
  <c r="R388" i="36"/>
  <c r="R13" i="36"/>
  <c r="Q280" i="36"/>
  <c r="Q384" i="36"/>
  <c r="S289" i="36"/>
  <c r="R438" i="36"/>
  <c r="S62" i="36"/>
  <c r="S426" i="36"/>
  <c r="S100" i="36"/>
  <c r="S340" i="36"/>
  <c r="R356" i="36"/>
  <c r="Q9" i="36"/>
  <c r="S328" i="36"/>
  <c r="R290" i="36"/>
  <c r="S385" i="36"/>
  <c r="Q420" i="36"/>
  <c r="Q393" i="36"/>
  <c r="R296" i="36"/>
  <c r="S295" i="36"/>
  <c r="Q389" i="36"/>
  <c r="R399" i="36"/>
  <c r="R217" i="36"/>
  <c r="S232" i="36"/>
  <c r="S144" i="36"/>
  <c r="S245" i="36"/>
  <c r="R186" i="36"/>
  <c r="R228" i="36"/>
  <c r="R284" i="36"/>
  <c r="Q433" i="36"/>
  <c r="R25" i="36"/>
  <c r="R165" i="36"/>
  <c r="Q264" i="36"/>
  <c r="Q77" i="36"/>
  <c r="Q316" i="36"/>
  <c r="S352" i="36"/>
  <c r="Q300" i="36"/>
  <c r="S183" i="36"/>
  <c r="S172" i="36"/>
  <c r="R166" i="36"/>
  <c r="Q102" i="36"/>
  <c r="S415" i="36"/>
  <c r="Q369" i="36"/>
  <c r="S304" i="36"/>
  <c r="R357" i="36"/>
  <c r="S175" i="36"/>
  <c r="S193" i="36"/>
  <c r="Q156" i="36"/>
  <c r="Q22" i="36"/>
  <c r="Q165" i="36"/>
  <c r="R156" i="36"/>
  <c r="R108" i="36"/>
  <c r="S427" i="36"/>
  <c r="Q19" i="36"/>
  <c r="R345" i="36"/>
  <c r="R318" i="36"/>
  <c r="R46" i="36"/>
  <c r="Q392" i="36"/>
  <c r="R314" i="36"/>
  <c r="S324" i="36"/>
  <c r="R47" i="36"/>
  <c r="R286" i="36"/>
  <c r="Q70" i="36"/>
  <c r="Q171" i="36"/>
  <c r="Q448" i="36"/>
  <c r="S292" i="36"/>
  <c r="Q185" i="36"/>
  <c r="Q273" i="36"/>
  <c r="S74" i="36"/>
  <c r="S53" i="36"/>
  <c r="Q106" i="36"/>
  <c r="S166" i="36"/>
  <c r="R455" i="36"/>
  <c r="S314" i="36"/>
  <c r="R129" i="36"/>
  <c r="S54" i="36"/>
  <c r="R259" i="36"/>
  <c r="S82" i="36"/>
  <c r="R288" i="36"/>
  <c r="Q290" i="36"/>
  <c r="Q406" i="36"/>
  <c r="R131" i="36"/>
  <c r="S269" i="36"/>
  <c r="Q25" i="36"/>
  <c r="S43" i="36"/>
  <c r="Q456" i="36"/>
  <c r="Q123" i="36"/>
  <c r="R247" i="36"/>
  <c r="Q373" i="36"/>
  <c r="S318" i="36"/>
  <c r="R235" i="36"/>
  <c r="S165" i="36"/>
  <c r="R106" i="36"/>
  <c r="R404" i="36"/>
  <c r="S28" i="36"/>
  <c r="Q249" i="36"/>
  <c r="R275" i="36"/>
  <c r="Q24" i="36"/>
  <c r="R306" i="36"/>
  <c r="S219" i="36"/>
  <c r="S359" i="36"/>
  <c r="S413" i="36"/>
  <c r="R413" i="36"/>
  <c r="R231" i="36"/>
  <c r="R54" i="36"/>
  <c r="S334" i="36"/>
  <c r="S307" i="36"/>
  <c r="Q211" i="36"/>
  <c r="R210" i="36"/>
  <c r="S303" i="36"/>
  <c r="Q314" i="36"/>
  <c r="Q132" i="36"/>
  <c r="R147" i="36"/>
  <c r="R59" i="36"/>
  <c r="R160" i="36"/>
  <c r="Q101" i="36"/>
  <c r="Q143" i="36"/>
  <c r="Q199" i="36"/>
  <c r="S347" i="36"/>
  <c r="R400" i="36"/>
  <c r="R31" i="36"/>
  <c r="R119" i="36"/>
  <c r="R454" i="36"/>
  <c r="Q390" i="36"/>
  <c r="S442" i="36"/>
  <c r="Q261" i="36"/>
  <c r="R361" i="36"/>
  <c r="R96" i="36"/>
  <c r="S463" i="36"/>
  <c r="Q335" i="36"/>
  <c r="R411" i="36"/>
  <c r="S52" i="36"/>
  <c r="R240" i="36"/>
  <c r="Q181" i="36"/>
  <c r="S110" i="36"/>
  <c r="Q326" i="36"/>
  <c r="Q427" i="36"/>
  <c r="Q155" i="36"/>
  <c r="S95" i="36"/>
  <c r="Q339" i="36"/>
  <c r="S338" i="36"/>
  <c r="S66" i="36"/>
  <c r="Q327" i="36"/>
  <c r="Q260" i="36"/>
  <c r="Q233" i="36"/>
  <c r="Q430" i="36"/>
  <c r="S306" i="36"/>
  <c r="Q229" i="36"/>
  <c r="R239" i="36"/>
  <c r="S425" i="36"/>
  <c r="Q201" i="36"/>
  <c r="Q443" i="36"/>
  <c r="Q80" i="36"/>
  <c r="R277" i="36"/>
  <c r="Q122" i="36"/>
  <c r="Q40" i="36"/>
  <c r="S358" i="36"/>
  <c r="Q450" i="36"/>
  <c r="Q126" i="36"/>
  <c r="S214" i="36"/>
  <c r="S239" i="36"/>
  <c r="Q136" i="36"/>
  <c r="Q237" i="36"/>
  <c r="S296" i="36"/>
  <c r="R289" i="36"/>
  <c r="R336" i="36"/>
  <c r="Q425" i="36"/>
  <c r="Q246" i="36"/>
  <c r="R91" i="36"/>
  <c r="S305" i="36"/>
  <c r="Q405" i="36"/>
  <c r="Q120" i="36"/>
  <c r="S107" i="36"/>
  <c r="R244" i="36"/>
  <c r="R394" i="36"/>
  <c r="Q234" i="36"/>
  <c r="Q23" i="36"/>
  <c r="R323" i="36"/>
  <c r="S180" i="36"/>
  <c r="R269" i="36"/>
  <c r="Q253" i="36"/>
  <c r="S412" i="36"/>
  <c r="Q65" i="36"/>
  <c r="Q47" i="36"/>
  <c r="Q79" i="36"/>
  <c r="S348" i="36"/>
  <c r="R348" i="36"/>
  <c r="R70" i="36"/>
  <c r="S330" i="36"/>
  <c r="R328" i="36"/>
  <c r="Q328" i="36"/>
  <c r="Q146" i="36"/>
  <c r="S15" i="36"/>
  <c r="R249" i="36"/>
  <c r="R222" i="36"/>
  <c r="S125" i="36"/>
  <c r="Q125" i="36"/>
  <c r="R218" i="36"/>
  <c r="S228" i="36"/>
  <c r="R462" i="36"/>
  <c r="Q62" i="36"/>
  <c r="R26" i="36"/>
  <c r="Q75" i="36"/>
  <c r="R28" i="36"/>
  <c r="R457" i="36"/>
  <c r="R17" i="36"/>
  <c r="S181" i="36"/>
  <c r="R117" i="36"/>
  <c r="R420" i="36"/>
  <c r="S206" i="36"/>
  <c r="Q355" i="36"/>
  <c r="S164" i="36"/>
  <c r="R409" i="36"/>
  <c r="Q254" i="36"/>
  <c r="S138" i="36"/>
  <c r="S127" i="36"/>
  <c r="S308" i="36"/>
  <c r="S126" i="36"/>
  <c r="R104" i="36"/>
  <c r="R14" i="36"/>
  <c r="R52" i="36"/>
  <c r="R223" i="36"/>
  <c r="Q457" i="36"/>
  <c r="Q274" i="36"/>
  <c r="S273" i="36"/>
  <c r="Q374" i="36"/>
  <c r="R304" i="36"/>
  <c r="S253" i="36"/>
  <c r="R253" i="36"/>
  <c r="S407" i="36"/>
  <c r="S241" i="36"/>
  <c r="S174" i="36"/>
  <c r="S147" i="36"/>
  <c r="S344" i="36"/>
  <c r="R221" i="36"/>
  <c r="S31" i="36"/>
  <c r="S68" i="36"/>
  <c r="Q255" i="36"/>
  <c r="R30" i="36"/>
  <c r="Q461" i="36"/>
  <c r="S10" i="36"/>
  <c r="R380" i="36"/>
  <c r="R251" i="36"/>
  <c r="Q71" i="36"/>
  <c r="Q44" i="36"/>
  <c r="R280" i="36"/>
  <c r="Q321" i="36"/>
  <c r="S150" i="36"/>
  <c r="S21" i="36"/>
  <c r="Q277" i="36"/>
  <c r="Q320" i="36"/>
  <c r="S429" i="36"/>
  <c r="Q340" i="36"/>
  <c r="R142" i="36"/>
  <c r="S45" i="36"/>
  <c r="Q301" i="36"/>
  <c r="S336" i="36"/>
  <c r="R204" i="36"/>
  <c r="Q353" i="36"/>
  <c r="S405" i="36"/>
  <c r="R341" i="36"/>
  <c r="S23" i="36"/>
  <c r="S459" i="36"/>
  <c r="Q17" i="36"/>
  <c r="Q294" i="36"/>
  <c r="S346" i="36"/>
  <c r="R308" i="36"/>
  <c r="R263" i="36"/>
  <c r="Q263" i="36"/>
  <c r="R21" i="36"/>
  <c r="R245" i="36"/>
  <c r="Q243" i="36"/>
  <c r="S242" i="36"/>
  <c r="S60" i="36"/>
  <c r="S432" i="36"/>
  <c r="Q164" i="36"/>
  <c r="Q137" i="36"/>
  <c r="R40" i="36"/>
  <c r="S39" i="36"/>
  <c r="Q133" i="36"/>
  <c r="R143" i="36"/>
  <c r="Q377" i="36"/>
  <c r="Q451" i="36"/>
  <c r="R49" i="36"/>
  <c r="Q250" i="36"/>
  <c r="S25" i="36"/>
  <c r="R339" i="36"/>
  <c r="R200" i="36"/>
  <c r="Q295" i="36"/>
  <c r="Q73" i="36"/>
  <c r="Q403" i="36"/>
  <c r="S231" i="36"/>
  <c r="R116" i="36"/>
  <c r="R57" i="36"/>
  <c r="Q217" i="36"/>
  <c r="R120" i="36"/>
  <c r="R39" i="36"/>
  <c r="S430" i="36"/>
  <c r="S403" i="36"/>
  <c r="S131" i="36"/>
  <c r="S333" i="36"/>
  <c r="S162" i="36"/>
  <c r="Q423" i="36"/>
  <c r="S315" i="36"/>
  <c r="R95" i="36"/>
  <c r="Q150" i="36"/>
  <c r="R80" i="36"/>
  <c r="R29" i="36"/>
  <c r="Q319" i="36"/>
  <c r="S392" i="36"/>
  <c r="Q187" i="36"/>
  <c r="R293" i="36"/>
  <c r="Q453" i="36"/>
  <c r="R324" i="36"/>
  <c r="R374" i="36"/>
  <c r="S34" i="36"/>
  <c r="S208" i="36"/>
  <c r="R261" i="36"/>
  <c r="Q223" i="36"/>
  <c r="Q178" i="36"/>
  <c r="S177" i="36"/>
  <c r="S448" i="36"/>
  <c r="Q160" i="36"/>
  <c r="S157" i="36"/>
  <c r="R157" i="36"/>
  <c r="S417" i="36"/>
  <c r="R347" i="36"/>
  <c r="R73" i="36"/>
  <c r="S51" i="36"/>
  <c r="R397" i="36"/>
  <c r="Q386" i="36"/>
  <c r="R124" i="36"/>
  <c r="R158" i="36"/>
  <c r="Q14" i="36"/>
  <c r="Q317" i="36"/>
  <c r="R135" i="36"/>
  <c r="S83" i="36"/>
  <c r="R93" i="36"/>
  <c r="Q338" i="36"/>
  <c r="R145" i="36"/>
  <c r="R35" i="36"/>
  <c r="Q67" i="36"/>
  <c r="R237" i="36"/>
  <c r="R55" i="36"/>
  <c r="Q86" i="36"/>
  <c r="R424" i="36"/>
  <c r="Q424" i="36"/>
  <c r="Q152" i="36"/>
  <c r="S268" i="36"/>
  <c r="S97" i="36"/>
  <c r="S368" i="36"/>
  <c r="Q43" i="36"/>
  <c r="R294" i="36"/>
  <c r="Q309" i="36"/>
  <c r="S148" i="36"/>
  <c r="R382" i="36"/>
  <c r="Q238" i="36"/>
  <c r="Q356" i="36"/>
  <c r="R255" i="36"/>
  <c r="Q271" i="36"/>
  <c r="S398" i="36"/>
  <c r="R243" i="36"/>
  <c r="S101" i="36"/>
  <c r="Q208" i="36"/>
  <c r="S367" i="36"/>
  <c r="Q239" i="36"/>
  <c r="Q289" i="36"/>
  <c r="R395" i="36"/>
  <c r="R123" i="36"/>
  <c r="Q176" i="36"/>
  <c r="S137" i="36"/>
  <c r="S92" i="36"/>
  <c r="R92" i="36"/>
  <c r="R363" i="36"/>
  <c r="Q95" i="36"/>
  <c r="R72" i="36"/>
  <c r="Q72" i="36"/>
  <c r="R332" i="36"/>
  <c r="Q262" i="36"/>
  <c r="R369" i="36"/>
  <c r="S178" i="36"/>
  <c r="R423" i="36"/>
  <c r="S230" i="36"/>
  <c r="R267" i="36"/>
  <c r="S70" i="36"/>
  <c r="R433" i="36"/>
  <c r="Q177" i="36"/>
  <c r="S229" i="36"/>
  <c r="S444" i="36"/>
  <c r="R444" i="36"/>
  <c r="Q48" i="36"/>
  <c r="S18" i="36"/>
  <c r="Q245" i="36"/>
  <c r="R359" i="36"/>
  <c r="Q359" i="36"/>
  <c r="R459" i="36"/>
  <c r="Q36" i="36"/>
  <c r="R43" i="36"/>
  <c r="S58" i="36"/>
  <c r="R111" i="36"/>
  <c r="Q76" i="36"/>
  <c r="S254" i="36"/>
  <c r="Q57" i="36"/>
  <c r="S402" i="36"/>
  <c r="S215" i="36"/>
  <c r="S379" i="36"/>
  <c r="S163" i="36"/>
  <c r="Q190" i="36"/>
  <c r="R392" i="36"/>
  <c r="Q221" i="36"/>
  <c r="Q170" i="36"/>
  <c r="S185" i="36"/>
  <c r="R313" i="36"/>
  <c r="Q158" i="36"/>
  <c r="R16" i="36"/>
  <c r="S122" i="36"/>
  <c r="R282" i="36"/>
  <c r="S153" i="36"/>
  <c r="S203" i="36"/>
  <c r="Q310" i="36"/>
  <c r="Q38" i="36"/>
  <c r="R37" i="36"/>
  <c r="Q452" i="36"/>
  <c r="S449" i="36"/>
  <c r="Q412" i="36"/>
  <c r="Q278" i="36"/>
  <c r="Q421" i="36"/>
  <c r="S455" i="36"/>
  <c r="S113" i="36"/>
  <c r="R262" i="36"/>
  <c r="Q315" i="36"/>
  <c r="R426" i="36"/>
  <c r="R220" i="36"/>
  <c r="Q347" i="36"/>
  <c r="R453" i="36"/>
  <c r="Q298" i="36"/>
  <c r="S283" i="36"/>
  <c r="R219" i="36"/>
  <c r="Q272" i="36"/>
  <c r="R90" i="36"/>
  <c r="S190" i="36"/>
  <c r="R198" i="36"/>
  <c r="Q134" i="36"/>
  <c r="S186" i="36"/>
  <c r="R213" i="36"/>
  <c r="R202" i="36"/>
  <c r="Q29" i="36"/>
  <c r="S19" i="36"/>
  <c r="S103" i="36"/>
  <c r="R248" i="36"/>
  <c r="R77" i="36"/>
  <c r="S337" i="36"/>
  <c r="R230" i="36"/>
  <c r="S374" i="36"/>
  <c r="Q184" i="36"/>
  <c r="S167" i="36"/>
  <c r="R327" i="36"/>
  <c r="S63" i="36"/>
  <c r="R78" i="36"/>
  <c r="S104" i="36"/>
  <c r="Q307" i="36"/>
  <c r="S135" i="36"/>
  <c r="S84" i="36"/>
  <c r="S73" i="36"/>
  <c r="Q228" i="36"/>
  <c r="S72" i="36"/>
  <c r="R24" i="36"/>
  <c r="Q28" i="36"/>
  <c r="Q197" i="36"/>
  <c r="R60" i="36"/>
  <c r="R118" i="36"/>
  <c r="S224" i="36"/>
  <c r="Q31" i="36"/>
  <c r="Q437" i="36"/>
  <c r="S366" i="36"/>
  <c r="Q149" i="36"/>
  <c r="R432" i="36"/>
  <c r="Q32" i="36"/>
  <c r="R383" i="36"/>
  <c r="Q372" i="36"/>
  <c r="Q259" i="36"/>
  <c r="R415" i="36"/>
  <c r="Q431" i="36"/>
  <c r="R206" i="36"/>
  <c r="Q11" i="36"/>
  <c r="R378" i="36"/>
  <c r="S249" i="36"/>
  <c r="S451" i="36"/>
  <c r="R184" i="36"/>
  <c r="Q8" i="36"/>
  <c r="Q293" i="36"/>
  <c r="R164" i="36"/>
  <c r="R366" i="36"/>
  <c r="S263" i="36"/>
  <c r="Q82" i="36"/>
  <c r="R246" i="36"/>
  <c r="S12" i="36"/>
  <c r="S200" i="36"/>
  <c r="S61" i="36"/>
  <c r="Q322" i="36"/>
  <c r="Q151" i="36"/>
  <c r="R196" i="36"/>
  <c r="R398" i="36"/>
  <c r="S301" i="36"/>
  <c r="S130" i="36"/>
  <c r="R45" i="36"/>
  <c r="R319" i="36"/>
  <c r="R137" i="36"/>
  <c r="S408" i="36"/>
  <c r="R410" i="36"/>
  <c r="R227" i="36"/>
  <c r="Q364" i="36"/>
  <c r="S143" i="36"/>
  <c r="Q7" i="36"/>
  <c r="S198" i="36"/>
  <c r="S47" i="36"/>
  <c r="Q222" i="36"/>
  <c r="R460" i="36"/>
  <c r="S197" i="36"/>
  <c r="Q442" i="36"/>
  <c r="R358" i="36"/>
  <c r="Q360" i="36"/>
  <c r="S299" i="36"/>
  <c r="R257" i="36"/>
  <c r="Q127" i="36"/>
  <c r="Q114" i="36"/>
  <c r="Q459" i="36"/>
  <c r="R112" i="36"/>
  <c r="Q191" i="36"/>
  <c r="Q242" i="36"/>
  <c r="S89" i="36"/>
  <c r="R83" i="36"/>
  <c r="S363" i="36"/>
  <c r="Q37" i="36"/>
  <c r="R178" i="36"/>
  <c r="Q161" i="36"/>
  <c r="R115" i="36"/>
  <c r="S236" i="36"/>
  <c r="R425" i="36"/>
  <c r="Q131" i="36"/>
  <c r="Q60" i="36"/>
  <c r="S145" i="36"/>
  <c r="S234" i="36"/>
  <c r="R285" i="36"/>
  <c r="S422" i="36"/>
  <c r="R51" i="36"/>
  <c r="Q370" i="36"/>
  <c r="S33" i="36"/>
  <c r="Q303" i="36"/>
  <c r="R450" i="36"/>
  <c r="S204" i="36"/>
  <c r="S450" i="36"/>
  <c r="S416" i="36"/>
  <c r="S406" i="36"/>
  <c r="R385" i="36"/>
  <c r="R396" i="36"/>
  <c r="S118" i="36"/>
  <c r="R192" i="36"/>
  <c r="R195" i="36"/>
  <c r="Q104" i="36"/>
  <c r="R305" i="36"/>
  <c r="R33" i="36"/>
  <c r="S280" i="36"/>
  <c r="S85" i="36"/>
  <c r="S210" i="36"/>
  <c r="S290" i="36"/>
  <c r="S373" i="36"/>
  <c r="S445" i="36"/>
  <c r="R427" i="36"/>
  <c r="R445" i="36"/>
  <c r="Q189" i="36"/>
  <c r="S397" i="36"/>
  <c r="Q365" i="36"/>
  <c r="R273" i="36"/>
  <c r="Q362" i="36"/>
  <c r="R194" i="36"/>
  <c r="R390" i="36"/>
  <c r="S390" i="36"/>
  <c r="S257" i="36"/>
  <c r="Q182" i="36"/>
  <c r="Q286" i="36"/>
  <c r="Q284" i="36"/>
  <c r="Q148" i="36"/>
  <c r="R443" i="36"/>
  <c r="Q58" i="36"/>
  <c r="R127" i="36"/>
  <c r="Q88" i="36"/>
  <c r="S310" i="36"/>
  <c r="R451" i="36"/>
  <c r="S311" i="36"/>
  <c r="Q447" i="36"/>
  <c r="S248" i="36"/>
  <c r="S298" i="36"/>
  <c r="Q159" i="36"/>
  <c r="R428" i="36"/>
  <c r="S260" i="36"/>
  <c r="S22" i="36"/>
  <c r="R88" i="36"/>
  <c r="S189" i="36"/>
  <c r="R185" i="36"/>
  <c r="Q385" i="36"/>
  <c r="Q140" i="36"/>
  <c r="Q391" i="36"/>
  <c r="R74" i="36"/>
  <c r="Q27" i="36"/>
  <c r="S454" i="36"/>
  <c r="R205" i="36"/>
  <c r="S297" i="36"/>
  <c r="Q141" i="36"/>
  <c r="Q231" i="36"/>
  <c r="R258" i="36"/>
  <c r="R86" i="36"/>
  <c r="Q227" i="36"/>
  <c r="S36" i="36"/>
  <c r="S349" i="36"/>
  <c r="S56" i="36"/>
  <c r="Q205" i="36"/>
  <c r="Q400" i="36"/>
  <c r="Q308" i="36"/>
  <c r="R7" i="36"/>
  <c r="S49" i="36"/>
  <c r="Q462" i="36"/>
  <c r="S291" i="36"/>
  <c r="S35" i="36"/>
  <c r="Q428" i="36"/>
  <c r="Q395" i="36"/>
  <c r="Q429" i="36"/>
  <c r="R225" i="36"/>
  <c r="Q366" i="36"/>
  <c r="R226" i="36"/>
  <c r="R276" i="36"/>
  <c r="Q78" i="36"/>
  <c r="R109" i="36"/>
  <c r="R212" i="36"/>
  <c r="R209" i="36"/>
  <c r="R325" i="36"/>
  <c r="R134" i="36"/>
  <c r="R172" i="36"/>
  <c r="Q111" i="36"/>
  <c r="Q30" i="36"/>
  <c r="R175" i="36"/>
  <c r="S79" i="36"/>
  <c r="S343" i="36"/>
  <c r="Q180" i="36"/>
  <c r="Q20" i="36"/>
  <c r="Q313" i="36"/>
  <c r="S119" i="36"/>
  <c r="R229" i="36"/>
  <c r="S377" i="36"/>
  <c r="Q220" i="36"/>
  <c r="R312" i="36"/>
  <c r="Q345" i="36"/>
  <c r="R71" i="36"/>
  <c r="R132" i="36"/>
  <c r="Q418" i="36"/>
  <c r="R125" i="36"/>
  <c r="Q376" i="36"/>
  <c r="R105" i="36"/>
  <c r="R310" i="36"/>
  <c r="S154" i="36"/>
  <c r="R250" i="36"/>
  <c r="S419" i="36"/>
  <c r="Q90" i="36"/>
  <c r="R387" i="36"/>
  <c r="Q387" i="36"/>
  <c r="R94" i="36"/>
  <c r="R370" i="36"/>
  <c r="Q39" i="36"/>
  <c r="R19" i="36"/>
  <c r="S365" i="36"/>
  <c r="Q56" i="36"/>
  <c r="S341" i="36"/>
  <c r="R463" i="36"/>
  <c r="S342" i="36"/>
  <c r="S309" i="36"/>
  <c r="S55" i="36"/>
  <c r="S278" i="36"/>
  <c r="Q382" i="36"/>
  <c r="S221" i="36"/>
  <c r="R214" i="36"/>
  <c r="Q35" i="36"/>
  <c r="S48" i="36"/>
  <c r="S372" i="36"/>
  <c r="R188" i="36"/>
  <c r="Q219" i="36"/>
  <c r="Q168" i="36"/>
  <c r="R406" i="36"/>
  <c r="Q446" i="36"/>
  <c r="S50" i="36"/>
  <c r="S38" i="36"/>
  <c r="R430" i="36"/>
  <c r="S320" i="36"/>
  <c r="R183" i="36"/>
  <c r="R50" i="36"/>
  <c r="S323" i="36"/>
  <c r="R412" i="36"/>
  <c r="S207" i="36"/>
  <c r="Q281" i="36"/>
  <c r="R100" i="36"/>
  <c r="R287" i="36"/>
  <c r="Q103" i="36"/>
  <c r="S133" i="36"/>
  <c r="S423" i="36"/>
  <c r="S235" i="36"/>
  <c r="S362" i="36"/>
  <c r="Q276" i="36"/>
  <c r="R171" i="36"/>
  <c r="R268" i="36"/>
  <c r="R264" i="36"/>
  <c r="R417" i="36"/>
  <c r="S457" i="36"/>
  <c r="Q350" i="36"/>
  <c r="S389" i="36"/>
  <c r="R153" i="36"/>
  <c r="R301" i="36"/>
  <c r="R122" i="36"/>
  <c r="S195" i="36"/>
  <c r="S421" i="36"/>
  <c r="Q202" i="36"/>
  <c r="R337" i="36"/>
  <c r="Q42" i="36"/>
  <c r="R207" i="36"/>
  <c r="Q341" i="36"/>
  <c r="Q436" i="36"/>
  <c r="Q460" i="36"/>
  <c r="Q135" i="36"/>
  <c r="Q100" i="36"/>
  <c r="R271" i="36"/>
  <c r="Q166" i="36"/>
  <c r="S86" i="36"/>
  <c r="S213" i="36"/>
  <c r="R233" i="36"/>
  <c r="Q50" i="36"/>
  <c r="Q266" i="36"/>
  <c r="R292" i="36"/>
  <c r="R322" i="36"/>
  <c r="R439" i="36"/>
  <c r="S217" i="36"/>
  <c r="S218" i="36"/>
  <c r="Q49" i="36"/>
  <c r="R283" i="36"/>
  <c r="S414" i="36"/>
  <c r="S226" i="36"/>
  <c r="Q458" i="36"/>
  <c r="Q147" i="36"/>
  <c r="R236" i="36"/>
  <c r="S14" i="36"/>
  <c r="Q216" i="36"/>
  <c r="R20" i="36"/>
  <c r="R110" i="36"/>
  <c r="Q251" i="36"/>
  <c r="S9" i="36"/>
  <c r="S286" i="36"/>
  <c r="S93" i="36"/>
  <c r="Q283" i="36"/>
  <c r="S159" i="36"/>
  <c r="R448" i="36"/>
  <c r="R75" i="36"/>
  <c r="Q99" i="36"/>
  <c r="S114" i="36"/>
  <c r="Q383" i="36"/>
  <c r="Q236" i="36"/>
  <c r="Q196" i="36"/>
  <c r="S380" i="36"/>
  <c r="Q108" i="36"/>
  <c r="R199" i="36"/>
  <c r="S395" i="36"/>
  <c r="Q302" i="36"/>
  <c r="R447" i="36"/>
  <c r="S225" i="36"/>
  <c r="S123" i="36"/>
  <c r="Q257" i="36"/>
  <c r="R211" i="36"/>
  <c r="Q174" i="36"/>
  <c r="S116" i="36"/>
  <c r="R140" i="36"/>
  <c r="S281" i="36"/>
  <c r="S80" i="36"/>
  <c r="Q139" i="36"/>
  <c r="Q10" i="36"/>
  <c r="S142" i="36"/>
  <c r="R79" i="36"/>
  <c r="S386" i="36"/>
  <c r="S17" i="36"/>
  <c r="Q85" i="36"/>
  <c r="Q439" i="36"/>
  <c r="R384" i="36"/>
  <c r="S418" i="36"/>
  <c r="S65" i="36"/>
  <c r="S227" i="36"/>
  <c r="R386" i="36"/>
  <c r="Q311" i="36"/>
  <c r="Q154" i="36"/>
  <c r="S259" i="36"/>
  <c r="S129" i="36"/>
  <c r="R344" i="36"/>
  <c r="R133" i="36"/>
  <c r="Q107" i="36"/>
  <c r="S209" i="36"/>
  <c r="Q214" i="36"/>
  <c r="Q172" i="36"/>
  <c r="Q142" i="36"/>
  <c r="S435" i="36"/>
  <c r="S294" i="36"/>
  <c r="S266" i="36"/>
  <c r="R342" i="36"/>
  <c r="S274" i="36"/>
  <c r="S332" i="36"/>
  <c r="R89" i="36"/>
  <c r="S361" i="36"/>
  <c r="S199" i="36"/>
  <c r="S364" i="36"/>
  <c r="R365" i="36"/>
  <c r="R407" i="36"/>
  <c r="Q343" i="36"/>
  <c r="S410" i="36"/>
  <c r="S270" i="36"/>
  <c r="S461" i="36"/>
  <c r="Q324" i="36"/>
  <c r="Q116" i="36"/>
  <c r="S71" i="36"/>
  <c r="Q379" i="36"/>
  <c r="S8" i="36"/>
  <c r="R316" i="36"/>
  <c r="Q404" i="36"/>
  <c r="Q296" i="36"/>
  <c r="S287" i="36"/>
  <c r="Q105" i="36"/>
  <c r="Q89" i="36"/>
  <c r="R265" i="36"/>
  <c r="Q203" i="36"/>
  <c r="S293" i="36"/>
  <c r="S370" i="36"/>
  <c r="R208" i="36"/>
  <c r="Q129" i="36"/>
  <c r="R15" i="36"/>
  <c r="R163" i="36"/>
  <c r="R179" i="36"/>
  <c r="Q119" i="36"/>
  <c r="S394" i="36"/>
  <c r="S168" i="36"/>
  <c r="S109" i="36"/>
  <c r="R85" i="36"/>
  <c r="S267" i="36"/>
  <c r="S383" i="36"/>
  <c r="R18" i="36"/>
  <c r="S240" i="36"/>
  <c r="S69" i="36"/>
  <c r="S355" i="36"/>
  <c r="R320" i="36"/>
  <c r="S111" i="36"/>
  <c r="S262" i="36"/>
  <c r="Q113" i="36"/>
  <c r="R69" i="36"/>
  <c r="S188" i="36"/>
  <c r="S288" i="36"/>
  <c r="R168" i="36"/>
  <c r="Q282" i="36"/>
  <c r="Q256" i="36"/>
  <c r="S382" i="36"/>
  <c r="R452" i="36"/>
  <c r="R389" i="36"/>
  <c r="S13" i="36"/>
  <c r="S27" i="36"/>
  <c r="S447" i="36"/>
  <c r="R103" i="36"/>
  <c r="R203" i="36"/>
  <c r="Q440" i="36"/>
  <c r="S151" i="36"/>
  <c r="S117" i="36"/>
  <c r="S279" i="36"/>
  <c r="Q463" i="36"/>
  <c r="S44" i="36"/>
  <c r="S98" i="36"/>
  <c r="R360" i="36"/>
  <c r="S238" i="36"/>
  <c r="Q367" i="36"/>
  <c r="S7" i="36"/>
  <c r="Q304" i="36"/>
  <c r="R393" i="36"/>
  <c r="S78" i="36"/>
  <c r="R362" i="36"/>
  <c r="Q375" i="36"/>
  <c r="S32" i="36"/>
  <c r="Q186" i="36"/>
  <c r="S277" i="36"/>
  <c r="Q34" i="36"/>
  <c r="R307" i="36"/>
  <c r="S99" i="36"/>
  <c r="R461" i="36"/>
  <c r="R149" i="36"/>
  <c r="Q363" i="36"/>
  <c r="S26" i="36"/>
  <c r="S124" i="36"/>
  <c r="Q346" i="36"/>
  <c r="S216" i="36"/>
  <c r="R82" i="36"/>
  <c r="S191" i="36"/>
  <c r="D6" i="2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<sst xmlns="http://schemas.openxmlformats.org/spreadsheetml/2006/main" count="40" uniqueCount="26">
  <si>
    <t>Data</t>
  </si>
  <si>
    <t>From JSON to Table</t>
  </si>
  <si>
    <t>Valor</t>
  </si>
  <si>
    <t>URL</t>
  </si>
  <si>
    <t>Retornar Datas</t>
  </si>
  <si>
    <t>https://apisidra.ibge.gov.br/values/t/1849/n3/11/v/allxp/p/all/c12762/117897?formato=json</t>
  </si>
  <si>
    <t>Tabela</t>
  </si>
  <si>
    <t>Classificação</t>
  </si>
  <si>
    <t>c12762/117897</t>
  </si>
  <si>
    <t>Variável</t>
  </si>
  <si>
    <t>Nível territorial</t>
  </si>
  <si>
    <t>n3/33</t>
  </si>
  <si>
    <t>Campo Data</t>
  </si>
  <si>
    <t>D4N</t>
  </si>
  <si>
    <t>https://servicodados.ibge.gov.br/api/v3/agregados/1621/periodos/all/variaveis/584?localidades=N1[all]&amp;classificacao=11255[90707]</t>
  </si>
  <si>
    <t>Path</t>
  </si>
  <si>
    <t>/t/1849/n3/11/v/706/c12762/117897</t>
  </si>
  <si>
    <t>11255[90707]</t>
  </si>
  <si>
    <t>N1[all]</t>
  </si>
  <si>
    <t>Data Inicial</t>
  </si>
  <si>
    <t>Data Final</t>
  </si>
  <si>
    <t>N Últimos</t>
  </si>
  <si>
    <t>Mês</t>
  </si>
  <si>
    <t>Item</t>
  </si>
  <si>
    <t>Var MoM</t>
  </si>
  <si>
    <t>https://apisidra.ibge.gov.br/values/t/7060/n1/1/v/63/p/last/c315/all?formato=json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</si>
</sst>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  <xf numFmtId="0" fontId="6" fillId="0" borderId="0"/>
  </cellStyleXfs>
  <cellXfs count="8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14" fontId="2" fillId="0" borderId="0" xfId="2" applyNumberFormat="1"/>
    <xf numFmtId="0" fontId="1" fillId="0" borderId="0" xfId="1"/>
    <xf numFmtId="0" fontId="2" fillId="0" borderId="0" xfId="2" applyAlignment="1">
      <alignment horizontal="right"/>
    </xf>
    <xf numFmtId="0" fontId="2" fillId="4" borderId="0" xfId="2" applyFill="1"/>
  </cellXfs>
  <cellStyles count="6">
    <cellStyle name="Entrada 2" xfId="4" xr:uid="{3571552F-01C5-46A9-B6A2-427FD46A3187}"/>
    <cellStyle name="Hiperlink" xfId="1" builtinId="8"/>
    <cellStyle name="Hiperlink 2" xfId="3" xr:uid="{4FE85F15-950E-4C1A-9045-74450B8FACC8}"/>
    <cellStyle name="Normal" xfId="0" builtinId="0"/>
    <cellStyle name="Normal 2" xfId="2" xr:uid="{44EBA60F-36FD-40B9-B1DB-FB01AEDB0EE1}"/>
    <cellStyle name="Normal 3" xfId="5" xr:uid="{0BB86BF2-9AD8-4FF0-8F5B-7284CFFD9BDB}"/>
  </cellStyles>
  <dxfs count="1">
    <dxf>
      <fill>
        <patternFill patternType="solid">
          <fgColor indexed="64"/>
          <bgColor theme="5" tint="-0.249977111117893"/>
        </patternFill>
      </fill>
    </dxf>
  </dxfs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9D241-1724-4590-A476-60C6A63331DB}" name="Tabela2" displayName="Tabela2" ref="Q6:S463" totalsRowShown="0" headerRowDxfId="0" headerRowCellStyle="Normal 2" dataCellStyle="Normal 2">
  <autoFilter ref="Q6:S463" xr:uid="{0F8480F5-87BC-4572-91CB-372EF8385E64}"/>
  <tableColumns count="3">
    <tableColumn id="1" xr3:uid="{5E6E7737-4533-469C-81CC-771C426911CA}" name="Item" dataCellStyle="Normal 2">
      <calculatedColumnFormula>M7</calculatedColumnFormula>
    </tableColumn>
    <tableColumn id="2" xr3:uid="{9BCCA249-7EA6-4486-B9CA-07404239CF18}" name="Mês" dataCellStyle="Normal 2">
      <calculatedColumnFormula>J7</calculatedColumnFormula>
    </tableColumn>
    <tableColumn id="3" xr3:uid="{7893AA6F-A4AC-47D5-8EE1-07B7F9C972C2}" name="Var MoM" dataCellStyle="Normal 2">
      <calculatedColumnFormula>IFERROR(_xlfn.NUMBERVALUE(E7,".",","),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sidra.ibge.gov.br/values/t/1849/n3/11/v/allxp/p/all/c12762/117897?formato=jso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ervicodados.ibge.gov.br/api/v3/agregados/1621/periodos/all/variaveis/584?localidades=N1%5ball%5d&amp;classificacao=11255%5b90707%5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apisidra.ibge.gov.br/values/t/7060/n1/1/v/63/p/last/c315/all?formato=jso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ervicodados.ibge.gov.br/api/v3/agregados/1621/periodos/all/variaveis/584?localidades=N1%5ball%5d&amp;classificacao=11255%5b90707%5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4ED4-DD90-4AC2-ADBB-3EDC52BEF709}">
  <sheetPr codeName="Planilha19"/>
  <dimension ref="A1:E19"/>
  <sheetViews>
    <sheetView tabSelected="1" workbookViewId="0">
      <selection activeCell="D7" sqref="D7"/>
    </sheetView>
  </sheetViews>
  <sheetFormatPr defaultRowHeight="12.75" x14ac:dyDescent="0.2"/>
  <cols>
    <col min="1" max="1" width="22" style="1" customWidth="1"/>
    <col min="2" max="2" width="19.85546875" style="1" bestFit="1" customWidth="1"/>
    <col min="3" max="3" width="24.7109375" style="1" bestFit="1" customWidth="1"/>
    <col min="4" max="4" width="17" style="1" bestFit="1" customWidth="1"/>
    <col min="5" max="5" width="9" style="1" bestFit="1" customWidth="1"/>
    <col min="6" max="6" width="27.5703125" style="1" bestFit="1" customWidth="1"/>
    <col min="7" max="7" width="19.85546875" style="1" bestFit="1" customWidth="1"/>
    <col min="8" max="8" width="15" style="1" bestFit="1" customWidth="1"/>
    <col min="9" max="9" width="68" style="1" bestFit="1" customWidth="1"/>
    <col min="10" max="10" width="11.7109375" style="1" bestFit="1" customWidth="1"/>
    <col min="11" max="11" width="5" style="1" bestFit="1" customWidth="1"/>
    <col min="12" max="12" width="61.28515625" style="1" bestFit="1" customWidth="1"/>
    <col min="13" max="13" width="53.5703125" style="1" bestFit="1" customWidth="1"/>
    <col min="14" max="16384" width="9.140625" style="1"/>
  </cols>
  <sheetData>
    <row r="1" spans="1:5" s="3" customFormat="1" x14ac:dyDescent="0.2">
      <c r="A1" s="2" t="s">
        <v>3</v>
      </c>
    </row>
    <row r="2" spans="1:5" ht="15" x14ac:dyDescent="0.25">
      <c r="A2" s="5" t="s">
        <v>5</v>
      </c>
    </row>
    <row r="4" spans="1:5" s="3" customFormat="1" x14ac:dyDescent="0.2">
      <c r="A4" s="2" t="s">
        <v>1</v>
      </c>
    </row>
    <row r="5" spans="1:5" x14ac:dyDescent="0.2">
      <c r="A5" s="1" t="s">
        <v>15</v>
      </c>
      <c r="B5" s="1" t="s">
        <v>16</v>
      </c>
      <c r="D5" s="1" t="s">
        <v>0</v>
      </c>
      <c r="E5" s="1" t="s">
        <v>2</v>
      </c>
    </row>
    <row r="6" spans="1:5" x14ac:dyDescent="0.2">
      <c r="A6" s="1" t="s">
        <v>6</v>
      </c>
      <c r="B6" s="1">
        <v>1849</v>
      </c>
      <c r="D6" s="4" t="str" cm="1">
        <f t="array" ref="D6:E19">xlFOCUS_IBGE_SIDRA($B$5,$B$6,,,,$B$10,,,,$B$11)</f>
        <v>01/01/2007</v>
      </c>
      <c r="E6" s="1">
        <v>1125</v>
      </c>
    </row>
    <row r="7" spans="1:5" x14ac:dyDescent="0.2">
      <c r="A7" s="1" t="s">
        <v>9</v>
      </c>
      <c r="B7" s="1">
        <v>706</v>
      </c>
      <c r="D7" s="4" t="str">
        <v>01/01/2008</v>
      </c>
      <c r="E7" s="1">
        <v>1164</v>
      </c>
    </row>
    <row r="8" spans="1:5" x14ac:dyDescent="0.2">
      <c r="A8" s="1" t="s">
        <v>7</v>
      </c>
      <c r="B8" s="1" t="s">
        <v>8</v>
      </c>
      <c r="D8" s="4" t="str">
        <v>01/01/2009</v>
      </c>
      <c r="E8" s="1">
        <v>943</v>
      </c>
    </row>
    <row r="9" spans="1:5" x14ac:dyDescent="0.2">
      <c r="A9" s="1" t="s">
        <v>10</v>
      </c>
      <c r="B9" s="1" t="s">
        <v>11</v>
      </c>
      <c r="D9" s="4" t="str">
        <v>01/01/2010</v>
      </c>
      <c r="E9" s="1">
        <v>1129</v>
      </c>
    </row>
    <row r="10" spans="1:5" x14ac:dyDescent="0.2">
      <c r="A10" s="1" t="s">
        <v>12</v>
      </c>
      <c r="B10" s="1" t="s">
        <v>13</v>
      </c>
      <c r="D10" s="4" t="str">
        <v>01/01/2011</v>
      </c>
      <c r="E10" s="1">
        <v>1204</v>
      </c>
    </row>
    <row r="11" spans="1:5" x14ac:dyDescent="0.2">
      <c r="A11" s="1" t="s">
        <v>4</v>
      </c>
      <c r="B11" s="1">
        <v>2</v>
      </c>
      <c r="D11" s="4" t="str">
        <v>01/01/2012</v>
      </c>
      <c r="E11" s="1">
        <v>1244</v>
      </c>
    </row>
    <row r="12" spans="1:5" x14ac:dyDescent="0.2">
      <c r="D12" s="4" t="str">
        <v>01/01/2013</v>
      </c>
      <c r="E12" s="1">
        <v>1311</v>
      </c>
    </row>
    <row r="13" spans="1:5" x14ac:dyDescent="0.2">
      <c r="D13" s="4" t="str">
        <v>01/01/2014</v>
      </c>
      <c r="E13" s="1">
        <v>1362</v>
      </c>
    </row>
    <row r="14" spans="1:5" x14ac:dyDescent="0.2">
      <c r="D14" s="4" t="str">
        <v>01/01/2015</v>
      </c>
      <c r="E14" s="1">
        <v>1310</v>
      </c>
    </row>
    <row r="15" spans="1:5" x14ac:dyDescent="0.2">
      <c r="D15" s="4" t="str">
        <v>01/01/2016</v>
      </c>
      <c r="E15" s="1">
        <v>1220</v>
      </c>
    </row>
    <row r="16" spans="1:5" x14ac:dyDescent="0.2">
      <c r="D16" s="4" t="str">
        <v>01/01/2017</v>
      </c>
      <c r="E16" s="1">
        <v>1200</v>
      </c>
    </row>
    <row r="17" spans="4:5" x14ac:dyDescent="0.2">
      <c r="D17" s="4" t="str">
        <v>01/01/2018</v>
      </c>
      <c r="E17" s="1">
        <v>1079</v>
      </c>
    </row>
    <row r="18" spans="4:5" x14ac:dyDescent="0.2">
      <c r="D18" s="4" t="str">
        <v>01/01/2019</v>
      </c>
      <c r="E18" s="1">
        <v>938</v>
      </c>
    </row>
    <row r="19" spans="4:5" x14ac:dyDescent="0.2">
      <c r="D19" s="1" t="str">
        <v>01/01/2020</v>
      </c>
      <c r="E19" s="1">
        <v>913</v>
      </c>
    </row>
  </sheetData>
  <hyperlinks>
    <hyperlink ref="A2" r:id="rId1" xr:uid="{EC379719-1438-45A0-98ED-121576305079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D12C-4238-4AB7-B33C-6C4D35DF7FA5}">
  <sheetPr codeName="Planilha21"/>
  <dimension ref="A1:E108"/>
  <sheetViews>
    <sheetView workbookViewId="0">
      <selection activeCell="D7" sqref="D7"/>
    </sheetView>
  </sheetViews>
  <sheetFormatPr defaultRowHeight="12.75" x14ac:dyDescent="0.2"/>
  <cols>
    <col min="1" max="1" width="22" style="1" customWidth="1"/>
    <col min="2" max="2" width="19.85546875" style="1" bestFit="1" customWidth="1"/>
    <col min="3" max="3" width="24.7109375" style="1" bestFit="1" customWidth="1"/>
    <col min="4" max="4" width="10.140625" style="1" bestFit="1" customWidth="1"/>
    <col min="5" max="5" width="9" style="1" bestFit="1" customWidth="1"/>
    <col min="6" max="6" width="27.5703125" style="1" bestFit="1" customWidth="1"/>
    <col min="7" max="7" width="19.85546875" style="1" bestFit="1" customWidth="1"/>
    <col min="8" max="8" width="15" style="1" bestFit="1" customWidth="1"/>
    <col min="9" max="9" width="68" style="1" bestFit="1" customWidth="1"/>
    <col min="10" max="10" width="11.7109375" style="1" bestFit="1" customWidth="1"/>
    <col min="11" max="11" width="5" style="1" bestFit="1" customWidth="1"/>
    <col min="12" max="12" width="61.28515625" style="1" bestFit="1" customWidth="1"/>
    <col min="13" max="13" width="53.5703125" style="1" bestFit="1" customWidth="1"/>
    <col min="14" max="16384" width="9.140625" style="1"/>
  </cols>
  <sheetData>
    <row r="1" spans="1:5" s="3" customFormat="1" x14ac:dyDescent="0.2">
      <c r="A1" s="2" t="s">
        <v>3</v>
      </c>
    </row>
    <row r="2" spans="1:5" ht="15" x14ac:dyDescent="0.25">
      <c r="A2" s="5" t="s">
        <v>14</v>
      </c>
    </row>
    <row r="4" spans="1:5" s="3" customFormat="1" x14ac:dyDescent="0.2">
      <c r="A4" s="2" t="s">
        <v>1</v>
      </c>
    </row>
    <row r="5" spans="1:5" x14ac:dyDescent="0.2">
      <c r="A5" s="1" t="s">
        <v>6</v>
      </c>
      <c r="B5" s="6">
        <v>1621</v>
      </c>
      <c r="D5" s="1" t="s">
        <v>0</v>
      </c>
      <c r="E5" s="1" t="s">
        <v>2</v>
      </c>
    </row>
    <row r="6" spans="1:5" x14ac:dyDescent="0.2">
      <c r="A6" s="1" t="s">
        <v>9</v>
      </c>
      <c r="B6" s="6">
        <v>584</v>
      </c>
      <c r="D6" s="4" t="str" cm="1">
        <f t="array" ref="D6:E10">xlFOCUS_IBGE_Agregados($B$5,$B$6,$B$7,$B$8,$B$10,$B$11,$B$12,$B$9)</f>
        <v>01/10/1996</v>
      </c>
      <c r="E6" s="1">
        <v>10330</v>
      </c>
    </row>
    <row r="7" spans="1:5" x14ac:dyDescent="0.2">
      <c r="A7" s="1" t="s">
        <v>7</v>
      </c>
      <c r="B7" s="6" t="s">
        <v>17</v>
      </c>
      <c r="D7" s="4" t="str">
        <v>01/01/1997</v>
      </c>
      <c r="E7" s="1">
        <v>10432</v>
      </c>
    </row>
    <row r="8" spans="1:5" x14ac:dyDescent="0.2">
      <c r="A8" s="1" t="s">
        <v>10</v>
      </c>
      <c r="B8" s="6" t="s">
        <v>18</v>
      </c>
      <c r="D8" s="4" t="str">
        <v>01/04/1997</v>
      </c>
      <c r="E8" s="1">
        <v>10502</v>
      </c>
    </row>
    <row r="9" spans="1:5" x14ac:dyDescent="0.2">
      <c r="A9" s="1" t="s">
        <v>4</v>
      </c>
      <c r="B9" s="6">
        <v>2</v>
      </c>
      <c r="D9" s="4" t="str">
        <v>01/07/1997</v>
      </c>
      <c r="E9" s="1">
        <v>10633</v>
      </c>
    </row>
    <row r="10" spans="1:5" x14ac:dyDescent="0.2">
      <c r="A10" s="1" t="s">
        <v>19</v>
      </c>
      <c r="B10" s="4">
        <v>35339</v>
      </c>
      <c r="D10" s="4" t="str">
        <v>01/10/1997</v>
      </c>
      <c r="E10" s="1">
        <v>10716</v>
      </c>
    </row>
    <row r="11" spans="1:5" x14ac:dyDescent="0.2">
      <c r="A11" s="1" t="s">
        <v>20</v>
      </c>
      <c r="B11" s="4">
        <v>35704</v>
      </c>
      <c r="D11" s="4"/>
    </row>
    <row r="12" spans="1:5" x14ac:dyDescent="0.2">
      <c r="A12" s="1" t="s">
        <v>21</v>
      </c>
      <c r="D12" s="4"/>
    </row>
    <row r="13" spans="1:5" x14ac:dyDescent="0.2">
      <c r="D13" s="4"/>
    </row>
    <row r="14" spans="1:5" x14ac:dyDescent="0.2">
      <c r="D14" s="4"/>
    </row>
    <row r="15" spans="1:5" x14ac:dyDescent="0.2">
      <c r="D15" s="4"/>
    </row>
    <row r="16" spans="1:5" x14ac:dyDescent="0.2">
      <c r="D16" s="4"/>
    </row>
    <row r="17" spans="4:4" x14ac:dyDescent="0.2">
      <c r="D17" s="4"/>
    </row>
    <row r="18" spans="4:4" x14ac:dyDescent="0.2">
      <c r="D18" s="4"/>
    </row>
    <row r="19" spans="4:4" x14ac:dyDescent="0.2">
      <c r="D19" s="4"/>
    </row>
    <row r="20" spans="4:4" x14ac:dyDescent="0.2">
      <c r="D20" s="4"/>
    </row>
    <row r="21" spans="4:4" x14ac:dyDescent="0.2">
      <c r="D21" s="4"/>
    </row>
    <row r="22" spans="4:4" x14ac:dyDescent="0.2">
      <c r="D22" s="4"/>
    </row>
    <row r="23" spans="4:4" x14ac:dyDescent="0.2">
      <c r="D23" s="4"/>
    </row>
    <row r="24" spans="4:4" x14ac:dyDescent="0.2">
      <c r="D24" s="4"/>
    </row>
    <row r="25" spans="4:4" x14ac:dyDescent="0.2">
      <c r="D25" s="4"/>
    </row>
    <row r="26" spans="4:4" x14ac:dyDescent="0.2">
      <c r="D26" s="4"/>
    </row>
    <row r="27" spans="4:4" x14ac:dyDescent="0.2">
      <c r="D27" s="4"/>
    </row>
    <row r="28" spans="4:4" x14ac:dyDescent="0.2">
      <c r="D28" s="4"/>
    </row>
    <row r="29" spans="4:4" x14ac:dyDescent="0.2">
      <c r="D29" s="4"/>
    </row>
    <row r="30" spans="4:4" x14ac:dyDescent="0.2">
      <c r="D30" s="4"/>
    </row>
    <row r="31" spans="4:4" x14ac:dyDescent="0.2">
      <c r="D31" s="4"/>
    </row>
    <row r="32" spans="4:4" x14ac:dyDescent="0.2">
      <c r="D32" s="4"/>
    </row>
    <row r="33" spans="4:4" x14ac:dyDescent="0.2">
      <c r="D33" s="4"/>
    </row>
    <row r="34" spans="4:4" x14ac:dyDescent="0.2">
      <c r="D34" s="4"/>
    </row>
    <row r="35" spans="4:4" x14ac:dyDescent="0.2">
      <c r="D35" s="4"/>
    </row>
    <row r="36" spans="4:4" x14ac:dyDescent="0.2">
      <c r="D36" s="4"/>
    </row>
    <row r="37" spans="4:4" x14ac:dyDescent="0.2">
      <c r="D37" s="4"/>
    </row>
    <row r="38" spans="4:4" x14ac:dyDescent="0.2">
      <c r="D38" s="4"/>
    </row>
    <row r="39" spans="4:4" x14ac:dyDescent="0.2">
      <c r="D39" s="4"/>
    </row>
    <row r="40" spans="4:4" x14ac:dyDescent="0.2">
      <c r="D40" s="4"/>
    </row>
    <row r="41" spans="4:4" x14ac:dyDescent="0.2">
      <c r="D41" s="4"/>
    </row>
    <row r="42" spans="4:4" x14ac:dyDescent="0.2">
      <c r="D42" s="4"/>
    </row>
    <row r="43" spans="4:4" x14ac:dyDescent="0.2">
      <c r="D43" s="4"/>
    </row>
    <row r="44" spans="4:4" x14ac:dyDescent="0.2">
      <c r="D44" s="4"/>
    </row>
    <row r="45" spans="4:4" x14ac:dyDescent="0.2">
      <c r="D45" s="4"/>
    </row>
    <row r="46" spans="4:4" x14ac:dyDescent="0.2">
      <c r="D46" s="4"/>
    </row>
    <row r="47" spans="4:4" x14ac:dyDescent="0.2">
      <c r="D47" s="4"/>
    </row>
    <row r="48" spans="4:4" x14ac:dyDescent="0.2">
      <c r="D48" s="4"/>
    </row>
    <row r="49" spans="4:4" x14ac:dyDescent="0.2">
      <c r="D49" s="4"/>
    </row>
    <row r="50" spans="4:4" x14ac:dyDescent="0.2">
      <c r="D50" s="4"/>
    </row>
    <row r="51" spans="4:4" x14ac:dyDescent="0.2">
      <c r="D51" s="4"/>
    </row>
    <row r="52" spans="4:4" x14ac:dyDescent="0.2">
      <c r="D52" s="4"/>
    </row>
    <row r="53" spans="4:4" x14ac:dyDescent="0.2">
      <c r="D53" s="4"/>
    </row>
    <row r="54" spans="4:4" x14ac:dyDescent="0.2">
      <c r="D54" s="4"/>
    </row>
    <row r="55" spans="4:4" x14ac:dyDescent="0.2">
      <c r="D55" s="4"/>
    </row>
    <row r="56" spans="4:4" x14ac:dyDescent="0.2">
      <c r="D56" s="4"/>
    </row>
    <row r="57" spans="4:4" x14ac:dyDescent="0.2">
      <c r="D57" s="4"/>
    </row>
    <row r="58" spans="4:4" x14ac:dyDescent="0.2">
      <c r="D58" s="4"/>
    </row>
    <row r="59" spans="4:4" x14ac:dyDescent="0.2">
      <c r="D59" s="4"/>
    </row>
    <row r="60" spans="4:4" x14ac:dyDescent="0.2">
      <c r="D60" s="4"/>
    </row>
    <row r="61" spans="4:4" x14ac:dyDescent="0.2">
      <c r="D61" s="4"/>
    </row>
    <row r="62" spans="4:4" x14ac:dyDescent="0.2">
      <c r="D62" s="4"/>
    </row>
    <row r="63" spans="4:4" x14ac:dyDescent="0.2">
      <c r="D63" s="4"/>
    </row>
    <row r="64" spans="4:4" x14ac:dyDescent="0.2">
      <c r="D64" s="4"/>
    </row>
    <row r="65" spans="4:4" x14ac:dyDescent="0.2">
      <c r="D65" s="4"/>
    </row>
    <row r="66" spans="4:4" x14ac:dyDescent="0.2">
      <c r="D66" s="4"/>
    </row>
    <row r="67" spans="4:4" x14ac:dyDescent="0.2">
      <c r="D67" s="4"/>
    </row>
    <row r="68" spans="4:4" x14ac:dyDescent="0.2">
      <c r="D68" s="4"/>
    </row>
    <row r="69" spans="4:4" x14ac:dyDescent="0.2">
      <c r="D69" s="4"/>
    </row>
    <row r="70" spans="4:4" x14ac:dyDescent="0.2">
      <c r="D70" s="4"/>
    </row>
    <row r="71" spans="4:4" x14ac:dyDescent="0.2">
      <c r="D71" s="4"/>
    </row>
    <row r="72" spans="4:4" x14ac:dyDescent="0.2">
      <c r="D72" s="4"/>
    </row>
    <row r="73" spans="4:4" x14ac:dyDescent="0.2">
      <c r="D73" s="4"/>
    </row>
    <row r="74" spans="4:4" x14ac:dyDescent="0.2">
      <c r="D74" s="4"/>
    </row>
    <row r="75" spans="4:4" x14ac:dyDescent="0.2">
      <c r="D75" s="4"/>
    </row>
    <row r="76" spans="4:4" x14ac:dyDescent="0.2">
      <c r="D76" s="4"/>
    </row>
    <row r="77" spans="4:4" x14ac:dyDescent="0.2">
      <c r="D77" s="4"/>
    </row>
    <row r="78" spans="4:4" x14ac:dyDescent="0.2">
      <c r="D78" s="4"/>
    </row>
    <row r="79" spans="4:4" x14ac:dyDescent="0.2">
      <c r="D79" s="4"/>
    </row>
    <row r="80" spans="4:4" x14ac:dyDescent="0.2">
      <c r="D80" s="4"/>
    </row>
    <row r="81" spans="4:4" x14ac:dyDescent="0.2">
      <c r="D81" s="4"/>
    </row>
    <row r="82" spans="4:4" x14ac:dyDescent="0.2">
      <c r="D82" s="4"/>
    </row>
    <row r="83" spans="4:4" x14ac:dyDescent="0.2">
      <c r="D83" s="4"/>
    </row>
    <row r="84" spans="4:4" x14ac:dyDescent="0.2">
      <c r="D84" s="4"/>
    </row>
    <row r="85" spans="4:4" x14ac:dyDescent="0.2">
      <c r="D85" s="4"/>
    </row>
    <row r="86" spans="4:4" x14ac:dyDescent="0.2">
      <c r="D86" s="4"/>
    </row>
    <row r="87" spans="4:4" x14ac:dyDescent="0.2">
      <c r="D87" s="4"/>
    </row>
    <row r="88" spans="4:4" x14ac:dyDescent="0.2">
      <c r="D88" s="4"/>
    </row>
    <row r="89" spans="4:4" x14ac:dyDescent="0.2">
      <c r="D89" s="4"/>
    </row>
    <row r="90" spans="4:4" x14ac:dyDescent="0.2">
      <c r="D90" s="4"/>
    </row>
    <row r="91" spans="4:4" x14ac:dyDescent="0.2">
      <c r="D91" s="4"/>
    </row>
    <row r="92" spans="4:4" x14ac:dyDescent="0.2">
      <c r="D92" s="4"/>
    </row>
    <row r="93" spans="4:4" x14ac:dyDescent="0.2">
      <c r="D93" s="4"/>
    </row>
    <row r="94" spans="4:4" x14ac:dyDescent="0.2">
      <c r="D94" s="4"/>
    </row>
    <row r="95" spans="4:4" x14ac:dyDescent="0.2">
      <c r="D95" s="4"/>
    </row>
    <row r="96" spans="4:4" x14ac:dyDescent="0.2">
      <c r="D96" s="4"/>
    </row>
    <row r="97" spans="4:4" x14ac:dyDescent="0.2">
      <c r="D97" s="4"/>
    </row>
    <row r="98" spans="4:4" x14ac:dyDescent="0.2">
      <c r="D98" s="4"/>
    </row>
    <row r="99" spans="4:4" x14ac:dyDescent="0.2">
      <c r="D99" s="4"/>
    </row>
    <row r="100" spans="4:4" x14ac:dyDescent="0.2">
      <c r="D100" s="4"/>
    </row>
    <row r="101" spans="4:4" x14ac:dyDescent="0.2">
      <c r="D101" s="4"/>
    </row>
    <row r="102" spans="4:4" x14ac:dyDescent="0.2">
      <c r="D102" s="4"/>
    </row>
    <row r="103" spans="4:4" x14ac:dyDescent="0.2">
      <c r="D103" s="4"/>
    </row>
    <row r="104" spans="4:4" x14ac:dyDescent="0.2">
      <c r="D104" s="4"/>
    </row>
    <row r="105" spans="4:4" x14ac:dyDescent="0.2">
      <c r="D105" s="4"/>
    </row>
    <row r="106" spans="4:4" x14ac:dyDescent="0.2">
      <c r="D106" s="4"/>
    </row>
    <row r="107" spans="4:4" x14ac:dyDescent="0.2">
      <c r="D107" s="4"/>
    </row>
    <row r="108" spans="4:4" x14ac:dyDescent="0.2">
      <c r="D108" s="4"/>
    </row>
  </sheetData>
  <hyperlinks>
    <hyperlink ref="A2" r:id="rId1" xr:uid="{3B82A727-9E6A-4C27-8D39-C236CE3969F8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15287-F6D2-4D6C-974F-9C825C391530}">
  <sheetPr codeName="Planilha18"/>
  <dimension ref="A1:S463"/>
  <sheetViews>
    <sheetView workbookViewId="0">
      <selection activeCell="A6" sqref="A6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2.28515625" style="1" bestFit="1" customWidth="1"/>
    <col min="7" max="7" width="7" style="1" bestFit="1" customWidth="1"/>
    <col min="8" max="8" width="7.5703125" style="1" bestFit="1" customWidth="1"/>
    <col min="9" max="9" width="19.28515625" style="1" bestFit="1" customWidth="1"/>
    <col min="10" max="10" width="11.140625" style="1" bestFit="1" customWidth="1"/>
    <col min="11" max="16" width="9.140625" style="1"/>
    <col min="17" max="17" width="10.42578125" style="1" bestFit="1" customWidth="1"/>
    <col min="18" max="18" width="9.140625" style="1"/>
    <col min="19" max="19" width="11.140625" style="1" customWidth="1"/>
    <col min="20" max="16384" width="9.140625" style="1"/>
  </cols>
  <sheetData>
    <row r="1" spans="1:19" s="3" customFormat="1" x14ac:dyDescent="0.2">
      <c r="A1" s="2" t="s">
        <v>3</v>
      </c>
    </row>
    <row r="2" spans="1:19" ht="15" x14ac:dyDescent="0.25">
      <c r="A2" s="5" t="s">
        <v>25</v>
      </c>
    </row>
    <row r="3" spans="1:19" ht="15" x14ac:dyDescent="0.25">
      <c r="A3" s="5"/>
    </row>
    <row r="4" spans="1:19" s="3" customFormat="1" x14ac:dyDescent="0.2">
      <c r="A4" s="2" t="s">
        <v>1</v>
      </c>
    </row>
    <row r="5" spans="1:19" x14ac:dyDescent="0.2">
      <c r="A5" s="1" t="str" cm="1">
        <f t="array" ref="A5:M463">xlFOCUS_ReadJSONFromWEBSERVICE(A2,TRUE)</f>
        <v>NC</v>
      </c>
      <c r="B5" s="1" t="str">
        <v>NN</v>
      </c>
      <c r="C5" s="1" t="str">
        <v>MC</v>
      </c>
      <c r="D5" s="1" t="str">
        <v>MN</v>
      </c>
      <c r="E5" s="1" t="str">
        <v>V</v>
      </c>
      <c r="F5" s="1" t="str">
        <v>D1C</v>
      </c>
      <c r="G5" s="1" t="str">
        <v>D1N</v>
      </c>
      <c r="H5" s="1" t="str">
        <v>D2C</v>
      </c>
      <c r="I5" s="1" t="str">
        <v>D2N</v>
      </c>
      <c r="J5" s="1" t="str">
        <v>D3C</v>
      </c>
      <c r="K5" s="1" t="str">
        <v>D3N</v>
      </c>
      <c r="L5" s="1" t="str">
        <v>D4C</v>
      </c>
      <c r="M5" s="1" t="str">
        <v>D4N</v>
      </c>
    </row>
    <row r="6" spans="1:19" x14ac:dyDescent="0.2">
      <c r="A6" s="1" t="str">
        <v>Nível Territorial (Código)</v>
      </c>
      <c r="B6" s="1" t="str">
        <v>Nível Territorial</v>
      </c>
      <c r="C6" s="1" t="str">
        <v>Unidade de Medida (Código)</v>
      </c>
      <c r="D6" s="1" t="str">
        <v>Unidade de Medida</v>
      </c>
      <c r="E6" s="1" t="str">
        <v>Valor</v>
      </c>
      <c r="F6" s="1" t="str">
        <v>Brasil (Código)</v>
      </c>
      <c r="G6" s="1" t="str">
        <v>Brasil</v>
      </c>
      <c r="H6" s="1" t="str">
        <v>Variável (Código)</v>
      </c>
      <c r="I6" s="1" t="str">
        <v>Variável</v>
      </c>
      <c r="J6" s="1" t="str">
        <v>Mês (Código)</v>
      </c>
      <c r="K6" s="1" t="str">
        <v>Mês</v>
      </c>
      <c r="L6" s="1" t="str">
        <v>Geral, grupo, subgrupo, item e subitem (Código)</v>
      </c>
      <c r="M6" s="1" t="str">
        <v>Geral, grupo, subgrupo, item e subitem</v>
      </c>
      <c r="Q6" s="7" t="s">
        <v>23</v>
      </c>
      <c r="R6" s="7" t="s">
        <v>22</v>
      </c>
      <c r="S6" s="7" t="s">
        <v>24</v>
      </c>
    </row>
    <row r="7" spans="1:19" x14ac:dyDescent="0.2">
      <c r="A7" s="1" t="str">
        <v>1</v>
      </c>
      <c r="B7" s="1" t="str">
        <v>Brasil</v>
      </c>
      <c r="C7" s="1" t="str">
        <v>2</v>
      </c>
      <c r="D7" s="1" t="str">
        <v>%</v>
      </c>
      <c r="E7" s="1" t="str">
        <v>-0.68</v>
      </c>
      <c r="F7" s="1" t="str">
        <v>1</v>
      </c>
      <c r="G7" s="1" t="str">
        <v>Brasil</v>
      </c>
      <c r="H7" s="1" t="str">
        <v>63</v>
      </c>
      <c r="I7" s="1" t="str">
        <v>IPCA - Variação mensal</v>
      </c>
      <c r="J7" s="1" t="str">
        <v>202207</v>
      </c>
      <c r="K7" s="1" t="str">
        <v>julho 2022</v>
      </c>
      <c r="L7" s="1" t="str">
        <v>7169</v>
      </c>
      <c r="M7" s="1" t="str">
        <v>Índice geral</v>
      </c>
      <c r="Q7" s="1" t="str">
        <f t="shared" ref="Q7:Q70" si="0">M7</f>
        <v>Índice geral</v>
      </c>
      <c r="R7" s="1" t="str">
        <f t="shared" ref="R7:R70" si="1">J7</f>
        <v>202207</v>
      </c>
      <c r="S7" s="1">
        <f t="shared" ref="S7:S70" si="2">IFERROR(_xlfn.NUMBERVALUE(E7,".",","), "")</f>
        <v>-0.68</v>
      </c>
    </row>
    <row r="8" spans="1:19" x14ac:dyDescent="0.2">
      <c r="A8" s="1" t="str">
        <v>1</v>
      </c>
      <c r="B8" s="1" t="str">
        <v>Brasil</v>
      </c>
      <c r="C8" s="1" t="str">
        <v>2</v>
      </c>
      <c r="D8" s="1" t="str">
        <v>%</v>
      </c>
      <c r="E8" s="1" t="str">
        <v>1.30</v>
      </c>
      <c r="F8" s="1" t="str">
        <v>1</v>
      </c>
      <c r="G8" s="1" t="str">
        <v>Brasil</v>
      </c>
      <c r="H8" s="1" t="str">
        <v>63</v>
      </c>
      <c r="I8" s="1" t="str">
        <v>IPCA - Variação mensal</v>
      </c>
      <c r="J8" s="1" t="str">
        <v>202207</v>
      </c>
      <c r="K8" s="1" t="str">
        <v>julho 2022</v>
      </c>
      <c r="L8" s="1" t="str">
        <v>7170</v>
      </c>
      <c r="M8" s="1" t="str">
        <v>1.Alimentação e bebidas</v>
      </c>
      <c r="Q8" s="1" t="str">
        <f t="shared" si="0"/>
        <v>1.Alimentação e bebidas</v>
      </c>
      <c r="R8" s="1" t="str">
        <f t="shared" si="1"/>
        <v>202207</v>
      </c>
      <c r="S8" s="1">
        <f t="shared" si="2"/>
        <v>1.3</v>
      </c>
    </row>
    <row r="9" spans="1:19" x14ac:dyDescent="0.2">
      <c r="A9" s="1" t="str">
        <v>1</v>
      </c>
      <c r="B9" s="1" t="str">
        <v>Brasil</v>
      </c>
      <c r="C9" s="1" t="str">
        <v>2</v>
      </c>
      <c r="D9" s="1" t="str">
        <v>%</v>
      </c>
      <c r="E9" s="1" t="str">
        <v>1.47</v>
      </c>
      <c r="F9" s="1" t="str">
        <v>1</v>
      </c>
      <c r="G9" s="1" t="str">
        <v>Brasil</v>
      </c>
      <c r="H9" s="1" t="str">
        <v>63</v>
      </c>
      <c r="I9" s="1" t="str">
        <v>IPCA - Variação mensal</v>
      </c>
      <c r="J9" s="1" t="str">
        <v>202207</v>
      </c>
      <c r="K9" s="1" t="str">
        <v>julho 2022</v>
      </c>
      <c r="L9" s="1" t="str">
        <v>7171</v>
      </c>
      <c r="M9" s="1" t="str">
        <v>11.Alimentação no domicílio</v>
      </c>
      <c r="Q9" s="1" t="str">
        <f t="shared" si="0"/>
        <v>11.Alimentação no domicílio</v>
      </c>
      <c r="R9" s="1" t="str">
        <f t="shared" si="1"/>
        <v>202207</v>
      </c>
      <c r="S9" s="1">
        <f t="shared" si="2"/>
        <v>1.47</v>
      </c>
    </row>
    <row r="10" spans="1:19" x14ac:dyDescent="0.2">
      <c r="A10" s="1" t="str">
        <v>1</v>
      </c>
      <c r="B10" s="1" t="str">
        <v>Brasil</v>
      </c>
      <c r="C10" s="1" t="str">
        <v>2</v>
      </c>
      <c r="D10" s="1" t="str">
        <v>%</v>
      </c>
      <c r="E10" s="1" t="str">
        <v>-0.61</v>
      </c>
      <c r="F10" s="1" t="str">
        <v>1</v>
      </c>
      <c r="G10" s="1" t="str">
        <v>Brasil</v>
      </c>
      <c r="H10" s="1" t="str">
        <v>63</v>
      </c>
      <c r="I10" s="1" t="str">
        <v>IPCA - Variação mensal</v>
      </c>
      <c r="J10" s="1" t="str">
        <v>202207</v>
      </c>
      <c r="K10" s="1" t="str">
        <v>julho 2022</v>
      </c>
      <c r="L10" s="1" t="str">
        <v>7172</v>
      </c>
      <c r="M10" s="1" t="str">
        <v>1101.Cereais, leguminosas e oleaginosas</v>
      </c>
      <c r="Q10" s="1" t="str">
        <f t="shared" si="0"/>
        <v>1101.Cereais, leguminosas e oleaginosas</v>
      </c>
      <c r="R10" s="1" t="str">
        <f t="shared" si="1"/>
        <v>202207</v>
      </c>
      <c r="S10" s="1">
        <f t="shared" si="2"/>
        <v>-0.61</v>
      </c>
    </row>
    <row r="11" spans="1:19" x14ac:dyDescent="0.2">
      <c r="A11" s="1" t="str">
        <v>1</v>
      </c>
      <c r="B11" s="1" t="str">
        <v>Brasil</v>
      </c>
      <c r="C11" s="1" t="str">
        <v>2</v>
      </c>
      <c r="D11" s="1" t="str">
        <v>%</v>
      </c>
      <c r="E11" s="1" t="str">
        <v>-0.11</v>
      </c>
      <c r="F11" s="1" t="str">
        <v>1</v>
      </c>
      <c r="G11" s="1" t="str">
        <v>Brasil</v>
      </c>
      <c r="H11" s="1" t="str">
        <v>63</v>
      </c>
      <c r="I11" s="1" t="str">
        <v>IPCA - Variação mensal</v>
      </c>
      <c r="J11" s="1" t="str">
        <v>202207</v>
      </c>
      <c r="K11" s="1" t="str">
        <v>julho 2022</v>
      </c>
      <c r="L11" s="1" t="str">
        <v>7173</v>
      </c>
      <c r="M11" s="1" t="str">
        <v>1101002.Arroz</v>
      </c>
      <c r="Q11" s="1" t="str">
        <f t="shared" si="0"/>
        <v>1101002.Arroz</v>
      </c>
      <c r="R11" s="1" t="str">
        <f t="shared" si="1"/>
        <v>202207</v>
      </c>
      <c r="S11" s="1">
        <f t="shared" si="2"/>
        <v>-0.11</v>
      </c>
    </row>
    <row r="12" spans="1:19" x14ac:dyDescent="0.2">
      <c r="A12" s="1" t="str">
        <v>1</v>
      </c>
      <c r="B12" s="1" t="str">
        <v>Brasil</v>
      </c>
      <c r="C12" s="1" t="str">
        <v>2</v>
      </c>
      <c r="D12" s="1" t="str">
        <v>%</v>
      </c>
      <c r="E12" s="1" t="str">
        <v>-0.32</v>
      </c>
      <c r="F12" s="1" t="str">
        <v>1</v>
      </c>
      <c r="G12" s="1" t="str">
        <v>Brasil</v>
      </c>
      <c r="H12" s="1" t="str">
        <v>63</v>
      </c>
      <c r="I12" s="1" t="str">
        <v>IPCA - Variação mensal</v>
      </c>
      <c r="J12" s="1" t="str">
        <v>202207</v>
      </c>
      <c r="K12" s="1" t="str">
        <v>julho 2022</v>
      </c>
      <c r="L12" s="1" t="str">
        <v>7175</v>
      </c>
      <c r="M12" s="1" t="str">
        <v>1101051.Feijão - mulatinho</v>
      </c>
      <c r="Q12" s="1" t="str">
        <f t="shared" si="0"/>
        <v>1101051.Feijão - mulatinho</v>
      </c>
      <c r="R12" s="1" t="str">
        <f t="shared" si="1"/>
        <v>202207</v>
      </c>
      <c r="S12" s="1">
        <f t="shared" si="2"/>
        <v>-0.32</v>
      </c>
    </row>
    <row r="13" spans="1:19" x14ac:dyDescent="0.2">
      <c r="A13" s="1" t="str">
        <v>1</v>
      </c>
      <c r="B13" s="1" t="str">
        <v>Brasil</v>
      </c>
      <c r="C13" s="1" t="str">
        <v>2</v>
      </c>
      <c r="D13" s="1" t="str">
        <v>%</v>
      </c>
      <c r="E13" s="1" t="str">
        <v>-4.03</v>
      </c>
      <c r="F13" s="1" t="str">
        <v>1</v>
      </c>
      <c r="G13" s="1" t="str">
        <v>Brasil</v>
      </c>
      <c r="H13" s="1" t="str">
        <v>63</v>
      </c>
      <c r="I13" s="1" t="str">
        <v>IPCA - Variação mensal</v>
      </c>
      <c r="J13" s="1" t="str">
        <v>202207</v>
      </c>
      <c r="K13" s="1" t="str">
        <v>julho 2022</v>
      </c>
      <c r="L13" s="1" t="str">
        <v>7176</v>
      </c>
      <c r="M13" s="1" t="str">
        <v>1101052.Feijão - preto</v>
      </c>
      <c r="Q13" s="1" t="str">
        <f t="shared" si="0"/>
        <v>1101052.Feijão - preto</v>
      </c>
      <c r="R13" s="1" t="str">
        <f t="shared" si="1"/>
        <v>202207</v>
      </c>
      <c r="S13" s="1">
        <f t="shared" si="2"/>
        <v>-4.03</v>
      </c>
    </row>
    <row r="14" spans="1:19" x14ac:dyDescent="0.2">
      <c r="A14" s="1" t="str">
        <v>1</v>
      </c>
      <c r="B14" s="1" t="str">
        <v>Brasil</v>
      </c>
      <c r="C14" s="1" t="str">
        <v>2</v>
      </c>
      <c r="D14" s="1" t="str">
        <v>%</v>
      </c>
      <c r="E14" s="1" t="str">
        <v>-0.63</v>
      </c>
      <c r="F14" s="1" t="str">
        <v>1</v>
      </c>
      <c r="G14" s="1" t="str">
        <v>Brasil</v>
      </c>
      <c r="H14" s="1" t="str">
        <v>63</v>
      </c>
      <c r="I14" s="1" t="str">
        <v>IPCA - Variação mensal</v>
      </c>
      <c r="J14" s="1" t="str">
        <v>202207</v>
      </c>
      <c r="K14" s="1" t="str">
        <v>julho 2022</v>
      </c>
      <c r="L14" s="1" t="str">
        <v>47617</v>
      </c>
      <c r="M14" s="1" t="str">
        <v>1101053.Feijão - macáçar (fradinho)</v>
      </c>
      <c r="Q14" s="1" t="str">
        <f t="shared" si="0"/>
        <v>1101053.Feijão - macáçar (fradinho)</v>
      </c>
      <c r="R14" s="1" t="str">
        <f t="shared" si="1"/>
        <v>202207</v>
      </c>
      <c r="S14" s="1">
        <f t="shared" si="2"/>
        <v>-0.63</v>
      </c>
    </row>
    <row r="15" spans="1:19" x14ac:dyDescent="0.2">
      <c r="A15" s="1" t="str">
        <v>1</v>
      </c>
      <c r="B15" s="1" t="str">
        <v>Brasil</v>
      </c>
      <c r="C15" s="1" t="str">
        <v>2</v>
      </c>
      <c r="D15" s="1" t="str">
        <v>%</v>
      </c>
      <c r="E15" s="1" t="str">
        <v>-1.69</v>
      </c>
      <c r="F15" s="1" t="str">
        <v>1</v>
      </c>
      <c r="G15" s="1" t="str">
        <v>Brasil</v>
      </c>
      <c r="H15" s="1" t="str">
        <v>63</v>
      </c>
      <c r="I15" s="1" t="str">
        <v>IPCA - Variação mensal</v>
      </c>
      <c r="J15" s="1" t="str">
        <v>202207</v>
      </c>
      <c r="K15" s="1" t="str">
        <v>julho 2022</v>
      </c>
      <c r="L15" s="1" t="str">
        <v>12222</v>
      </c>
      <c r="M15" s="1" t="str">
        <v>1101073.Feijão - carioca (rajado)</v>
      </c>
      <c r="Q15" s="1" t="str">
        <f t="shared" si="0"/>
        <v>1101073.Feijão - carioca (rajado)</v>
      </c>
      <c r="R15" s="1" t="str">
        <f t="shared" si="1"/>
        <v>202207</v>
      </c>
      <c r="S15" s="1">
        <f t="shared" si="2"/>
        <v>-1.69</v>
      </c>
    </row>
    <row r="16" spans="1:19" x14ac:dyDescent="0.2">
      <c r="A16" s="1" t="str">
        <v>1</v>
      </c>
      <c r="B16" s="1" t="str">
        <v>Brasil</v>
      </c>
      <c r="C16" s="1" t="str">
        <v>2</v>
      </c>
      <c r="D16" s="1" t="str">
        <v>%</v>
      </c>
      <c r="E16" s="1" t="str">
        <v>5.83</v>
      </c>
      <c r="F16" s="1" t="str">
        <v>1</v>
      </c>
      <c r="G16" s="1" t="str">
        <v>Brasil</v>
      </c>
      <c r="H16" s="1" t="str">
        <v>63</v>
      </c>
      <c r="I16" s="1" t="str">
        <v>IPCA - Variação mensal</v>
      </c>
      <c r="J16" s="1" t="str">
        <v>202207</v>
      </c>
      <c r="K16" s="1" t="str">
        <v>julho 2022</v>
      </c>
      <c r="L16" s="1" t="str">
        <v>47618</v>
      </c>
      <c r="M16" s="1" t="str">
        <v>1101079.Milho (em grão)</v>
      </c>
      <c r="Q16" s="1" t="str">
        <f t="shared" si="0"/>
        <v>1101079.Milho (em grão)</v>
      </c>
      <c r="R16" s="1" t="str">
        <f t="shared" si="1"/>
        <v>202207</v>
      </c>
      <c r="S16" s="1">
        <f t="shared" si="2"/>
        <v>5.83</v>
      </c>
    </row>
    <row r="17" spans="1:19" x14ac:dyDescent="0.2">
      <c r="A17" s="1" t="str">
        <v>1</v>
      </c>
      <c r="B17" s="1" t="str">
        <v>Brasil</v>
      </c>
      <c r="C17" s="1" t="str">
        <v>2</v>
      </c>
      <c r="D17" s="1" t="str">
        <v>%</v>
      </c>
      <c r="E17" s="1" t="str">
        <v>1.77</v>
      </c>
      <c r="F17" s="1" t="str">
        <v>1</v>
      </c>
      <c r="G17" s="1" t="str">
        <v>Brasil</v>
      </c>
      <c r="H17" s="1" t="str">
        <v>63</v>
      </c>
      <c r="I17" s="1" t="str">
        <v>IPCA - Variação mensal</v>
      </c>
      <c r="J17" s="1" t="str">
        <v>202207</v>
      </c>
      <c r="K17" s="1" t="str">
        <v>julho 2022</v>
      </c>
      <c r="L17" s="1" t="str">
        <v>7184</v>
      </c>
      <c r="M17" s="1" t="str">
        <v>1102.Farinhas, féculas e massas</v>
      </c>
      <c r="Q17" s="1" t="str">
        <f t="shared" si="0"/>
        <v>1102.Farinhas, féculas e massas</v>
      </c>
      <c r="R17" s="1" t="str">
        <f t="shared" si="1"/>
        <v>202207</v>
      </c>
      <c r="S17" s="1">
        <f t="shared" si="2"/>
        <v>1.77</v>
      </c>
    </row>
    <row r="18" spans="1:19" x14ac:dyDescent="0.2">
      <c r="A18" s="1" t="str">
        <v>1</v>
      </c>
      <c r="B18" s="1" t="str">
        <v>Brasil</v>
      </c>
      <c r="C18" s="1" t="str">
        <v>2</v>
      </c>
      <c r="D18" s="1" t="str">
        <v>%</v>
      </c>
      <c r="E18" s="1" t="str">
        <v>1.56</v>
      </c>
      <c r="F18" s="1" t="str">
        <v>1</v>
      </c>
      <c r="G18" s="1" t="str">
        <v>Brasil</v>
      </c>
      <c r="H18" s="1" t="str">
        <v>63</v>
      </c>
      <c r="I18" s="1" t="str">
        <v>IPCA - Variação mensal</v>
      </c>
      <c r="J18" s="1" t="str">
        <v>202207</v>
      </c>
      <c r="K18" s="1" t="str">
        <v>julho 2022</v>
      </c>
      <c r="L18" s="1" t="str">
        <v>7185</v>
      </c>
      <c r="M18" s="1" t="str">
        <v>1102001.Farinha de arroz</v>
      </c>
      <c r="Q18" s="1" t="str">
        <f t="shared" si="0"/>
        <v>1102001.Farinha de arroz</v>
      </c>
      <c r="R18" s="1" t="str">
        <f t="shared" si="1"/>
        <v>202207</v>
      </c>
      <c r="S18" s="1">
        <f t="shared" si="2"/>
        <v>1.56</v>
      </c>
    </row>
    <row r="19" spans="1:19" x14ac:dyDescent="0.2">
      <c r="A19" s="1" t="str">
        <v>1</v>
      </c>
      <c r="B19" s="1" t="str">
        <v>Brasil</v>
      </c>
      <c r="C19" s="1" t="str">
        <v>2</v>
      </c>
      <c r="D19" s="1" t="str">
        <v>%</v>
      </c>
      <c r="E19" s="1" t="str">
        <v>1.65</v>
      </c>
      <c r="F19" s="1" t="str">
        <v>1</v>
      </c>
      <c r="G19" s="1" t="str">
        <v>Brasil</v>
      </c>
      <c r="H19" s="1" t="str">
        <v>63</v>
      </c>
      <c r="I19" s="1" t="str">
        <v>IPCA - Variação mensal</v>
      </c>
      <c r="J19" s="1" t="str">
        <v>202207</v>
      </c>
      <c r="K19" s="1" t="str">
        <v>julho 2022</v>
      </c>
      <c r="L19" s="1" t="str">
        <v>7187</v>
      </c>
      <c r="M19" s="1" t="str">
        <v>1102006.Macarrão</v>
      </c>
      <c r="Q19" s="1" t="str">
        <f t="shared" si="0"/>
        <v>1102006.Macarrão</v>
      </c>
      <c r="R19" s="1" t="str">
        <f t="shared" si="1"/>
        <v>202207</v>
      </c>
      <c r="S19" s="1">
        <f t="shared" si="2"/>
        <v>1.65</v>
      </c>
    </row>
    <row r="20" spans="1:19" x14ac:dyDescent="0.2">
      <c r="A20" s="1" t="str">
        <v>1</v>
      </c>
      <c r="B20" s="1" t="str">
        <v>Brasil</v>
      </c>
      <c r="C20" s="1" t="str">
        <v>2</v>
      </c>
      <c r="D20" s="1" t="str">
        <v>%</v>
      </c>
      <c r="E20" s="1" t="str">
        <v>1.38</v>
      </c>
      <c r="F20" s="1" t="str">
        <v>1</v>
      </c>
      <c r="G20" s="1" t="str">
        <v>Brasil</v>
      </c>
      <c r="H20" s="1" t="str">
        <v>63</v>
      </c>
      <c r="I20" s="1" t="str">
        <v>IPCA - Variação mensal</v>
      </c>
      <c r="J20" s="1" t="str">
        <v>202207</v>
      </c>
      <c r="K20" s="1" t="str">
        <v>julho 2022</v>
      </c>
      <c r="L20" s="1" t="str">
        <v>7188</v>
      </c>
      <c r="M20" s="1" t="str">
        <v>1102008.Fubá de milho</v>
      </c>
      <c r="Q20" s="1" t="str">
        <f t="shared" si="0"/>
        <v>1102008.Fubá de milho</v>
      </c>
      <c r="R20" s="1" t="str">
        <f t="shared" si="1"/>
        <v>202207</v>
      </c>
      <c r="S20" s="1">
        <f t="shared" si="2"/>
        <v>1.38</v>
      </c>
    </row>
    <row r="21" spans="1:19" x14ac:dyDescent="0.2">
      <c r="A21" s="1" t="str">
        <v>1</v>
      </c>
      <c r="B21" s="1" t="str">
        <v>Brasil</v>
      </c>
      <c r="C21" s="1" t="str">
        <v>2</v>
      </c>
      <c r="D21" s="1" t="str">
        <v>%</v>
      </c>
      <c r="E21" s="1" t="str">
        <v>0.98</v>
      </c>
      <c r="F21" s="1" t="str">
        <v>1</v>
      </c>
      <c r="G21" s="1" t="str">
        <v>Brasil</v>
      </c>
      <c r="H21" s="1" t="str">
        <v>63</v>
      </c>
      <c r="I21" s="1" t="str">
        <v>IPCA - Variação mensal</v>
      </c>
      <c r="J21" s="1" t="str">
        <v>202207</v>
      </c>
      <c r="K21" s="1" t="str">
        <v>julho 2022</v>
      </c>
      <c r="L21" s="1" t="str">
        <v>7190</v>
      </c>
      <c r="M21" s="1" t="str">
        <v>1102010.Flocos de milho</v>
      </c>
      <c r="Q21" s="1" t="str">
        <f t="shared" si="0"/>
        <v>1102010.Flocos de milho</v>
      </c>
      <c r="R21" s="1" t="str">
        <f t="shared" si="1"/>
        <v>202207</v>
      </c>
      <c r="S21" s="1">
        <f t="shared" si="2"/>
        <v>0.98</v>
      </c>
    </row>
    <row r="22" spans="1:19" x14ac:dyDescent="0.2">
      <c r="A22" s="1" t="str">
        <v>1</v>
      </c>
      <c r="B22" s="1" t="str">
        <v>Brasil</v>
      </c>
      <c r="C22" s="1" t="str">
        <v>2</v>
      </c>
      <c r="D22" s="1" t="str">
        <v>%</v>
      </c>
      <c r="E22" s="1" t="str">
        <v>2.29</v>
      </c>
      <c r="F22" s="1" t="str">
        <v>1</v>
      </c>
      <c r="G22" s="1" t="str">
        <v>Brasil</v>
      </c>
      <c r="H22" s="1" t="str">
        <v>63</v>
      </c>
      <c r="I22" s="1" t="str">
        <v>IPCA - Variação mensal</v>
      </c>
      <c r="J22" s="1" t="str">
        <v>202207</v>
      </c>
      <c r="K22" s="1" t="str">
        <v>julho 2022</v>
      </c>
      <c r="L22" s="1" t="str">
        <v>7191</v>
      </c>
      <c r="M22" s="1" t="str">
        <v>1102012.Farinha de trigo</v>
      </c>
      <c r="Q22" s="1" t="str">
        <f t="shared" si="0"/>
        <v>1102012.Farinha de trigo</v>
      </c>
      <c r="R22" s="1" t="str">
        <f t="shared" si="1"/>
        <v>202207</v>
      </c>
      <c r="S22" s="1">
        <f t="shared" si="2"/>
        <v>2.29</v>
      </c>
    </row>
    <row r="23" spans="1:19" x14ac:dyDescent="0.2">
      <c r="A23" s="1" t="str">
        <v>1</v>
      </c>
      <c r="B23" s="1" t="str">
        <v>Brasil</v>
      </c>
      <c r="C23" s="1" t="str">
        <v>2</v>
      </c>
      <c r="D23" s="1" t="str">
        <v>%</v>
      </c>
      <c r="E23" s="1" t="str">
        <v>1.34</v>
      </c>
      <c r="F23" s="1" t="str">
        <v>1</v>
      </c>
      <c r="G23" s="1" t="str">
        <v>Brasil</v>
      </c>
      <c r="H23" s="1" t="str">
        <v>63</v>
      </c>
      <c r="I23" s="1" t="str">
        <v>IPCA - Variação mensal</v>
      </c>
      <c r="J23" s="1" t="str">
        <v>202207</v>
      </c>
      <c r="K23" s="1" t="str">
        <v>julho 2022</v>
      </c>
      <c r="L23" s="1" t="str">
        <v>7195</v>
      </c>
      <c r="M23" s="1" t="str">
        <v>1102023.Farinha de mandioca</v>
      </c>
      <c r="Q23" s="1" t="str">
        <f t="shared" si="0"/>
        <v>1102023.Farinha de mandioca</v>
      </c>
      <c r="R23" s="1" t="str">
        <f t="shared" si="1"/>
        <v>202207</v>
      </c>
      <c r="S23" s="1">
        <f t="shared" si="2"/>
        <v>1.34</v>
      </c>
    </row>
    <row r="24" spans="1:19" x14ac:dyDescent="0.2">
      <c r="A24" s="1" t="str">
        <v>1</v>
      </c>
      <c r="B24" s="1" t="str">
        <v>Brasil</v>
      </c>
      <c r="C24" s="1" t="str">
        <v>2</v>
      </c>
      <c r="D24" s="1" t="str">
        <v>%</v>
      </c>
      <c r="E24" s="1" t="str">
        <v>1.60</v>
      </c>
      <c r="F24" s="1" t="str">
        <v>1</v>
      </c>
      <c r="G24" s="1" t="str">
        <v>Brasil</v>
      </c>
      <c r="H24" s="1" t="str">
        <v>63</v>
      </c>
      <c r="I24" s="1" t="str">
        <v>IPCA - Variação mensal</v>
      </c>
      <c r="J24" s="1" t="str">
        <v>202207</v>
      </c>
      <c r="K24" s="1" t="str">
        <v>julho 2022</v>
      </c>
      <c r="L24" s="1" t="str">
        <v>107608</v>
      </c>
      <c r="M24" s="1" t="str">
        <v>1102029.Massa semipreparada</v>
      </c>
      <c r="Q24" s="1" t="str">
        <f t="shared" si="0"/>
        <v>1102029.Massa semipreparada</v>
      </c>
      <c r="R24" s="1" t="str">
        <f t="shared" si="1"/>
        <v>202207</v>
      </c>
      <c r="S24" s="1">
        <f t="shared" si="2"/>
        <v>1.6</v>
      </c>
    </row>
    <row r="25" spans="1:19" x14ac:dyDescent="0.2">
      <c r="A25" s="1" t="str">
        <v>1</v>
      </c>
      <c r="B25" s="1" t="str">
        <v>Brasil</v>
      </c>
      <c r="C25" s="1" t="str">
        <v>2</v>
      </c>
      <c r="D25" s="1" t="str">
        <v>%</v>
      </c>
      <c r="E25" s="1" t="str">
        <v>3.91</v>
      </c>
      <c r="F25" s="1" t="str">
        <v>1</v>
      </c>
      <c r="G25" s="1" t="str">
        <v>Brasil</v>
      </c>
      <c r="H25" s="1" t="str">
        <v>63</v>
      </c>
      <c r="I25" s="1" t="str">
        <v>IPCA - Variação mensal</v>
      </c>
      <c r="J25" s="1" t="str">
        <v>202207</v>
      </c>
      <c r="K25" s="1" t="str">
        <v>julho 2022</v>
      </c>
      <c r="L25" s="1" t="str">
        <v>47619</v>
      </c>
      <c r="M25" s="1" t="str">
        <v>1102061.Macarrão instantâneo</v>
      </c>
      <c r="Q25" s="1" t="str">
        <f t="shared" si="0"/>
        <v>1102061.Macarrão instantâneo</v>
      </c>
      <c r="R25" s="1" t="str">
        <f t="shared" si="1"/>
        <v>202207</v>
      </c>
      <c r="S25" s="1">
        <f t="shared" si="2"/>
        <v>3.91</v>
      </c>
    </row>
    <row r="26" spans="1:19" x14ac:dyDescent="0.2">
      <c r="A26" s="1" t="str">
        <v>1</v>
      </c>
      <c r="B26" s="1" t="str">
        <v>Brasil</v>
      </c>
      <c r="C26" s="1" t="str">
        <v>2</v>
      </c>
      <c r="D26" s="1" t="str">
        <v>%</v>
      </c>
      <c r="E26" s="1" t="str">
        <v>-15.62</v>
      </c>
      <c r="F26" s="1" t="str">
        <v>1</v>
      </c>
      <c r="G26" s="1" t="str">
        <v>Brasil</v>
      </c>
      <c r="H26" s="1" t="str">
        <v>63</v>
      </c>
      <c r="I26" s="1" t="str">
        <v>IPCA - Variação mensal</v>
      </c>
      <c r="J26" s="1" t="str">
        <v>202207</v>
      </c>
      <c r="K26" s="1" t="str">
        <v>julho 2022</v>
      </c>
      <c r="L26" s="1" t="str">
        <v>7200</v>
      </c>
      <c r="M26" s="1" t="str">
        <v>1103.Tubérculos, raízes e legumes</v>
      </c>
      <c r="Q26" s="1" t="str">
        <f t="shared" si="0"/>
        <v>1103.Tubérculos, raízes e legumes</v>
      </c>
      <c r="R26" s="1" t="str">
        <f t="shared" si="1"/>
        <v>202207</v>
      </c>
      <c r="S26" s="1">
        <f t="shared" si="2"/>
        <v>-15.62</v>
      </c>
    </row>
    <row r="27" spans="1:19" x14ac:dyDescent="0.2">
      <c r="A27" s="1" t="str">
        <v>1</v>
      </c>
      <c r="B27" s="1" t="str">
        <v>Brasil</v>
      </c>
      <c r="C27" s="1" t="str">
        <v>2</v>
      </c>
      <c r="D27" s="1" t="str">
        <v>%</v>
      </c>
      <c r="E27" s="1" t="str">
        <v>2.03</v>
      </c>
      <c r="F27" s="1" t="str">
        <v>1</v>
      </c>
      <c r="G27" s="1" t="str">
        <v>Brasil</v>
      </c>
      <c r="H27" s="1" t="str">
        <v>63</v>
      </c>
      <c r="I27" s="1" t="str">
        <v>IPCA - Variação mensal</v>
      </c>
      <c r="J27" s="1" t="str">
        <v>202207</v>
      </c>
      <c r="K27" s="1" t="str">
        <v>julho 2022</v>
      </c>
      <c r="L27" s="1" t="str">
        <v>7201</v>
      </c>
      <c r="M27" s="1" t="str">
        <v>1103002.Batata-doce</v>
      </c>
      <c r="Q27" s="1" t="str">
        <f t="shared" si="0"/>
        <v>1103002.Batata-doce</v>
      </c>
      <c r="R27" s="1" t="str">
        <f t="shared" si="1"/>
        <v>202207</v>
      </c>
      <c r="S27" s="1">
        <f t="shared" si="2"/>
        <v>2.0299999999999998</v>
      </c>
    </row>
    <row r="28" spans="1:19" x14ac:dyDescent="0.2">
      <c r="A28" s="1" t="str">
        <v>1</v>
      </c>
      <c r="B28" s="1" t="str">
        <v>Brasil</v>
      </c>
      <c r="C28" s="1" t="str">
        <v>2</v>
      </c>
      <c r="D28" s="1" t="str">
        <v>%</v>
      </c>
      <c r="E28" s="1" t="str">
        <v>-16.62</v>
      </c>
      <c r="F28" s="1" t="str">
        <v>1</v>
      </c>
      <c r="G28" s="1" t="str">
        <v>Brasil</v>
      </c>
      <c r="H28" s="1" t="str">
        <v>63</v>
      </c>
      <c r="I28" s="1" t="str">
        <v>IPCA - Variação mensal</v>
      </c>
      <c r="J28" s="1" t="str">
        <v>202207</v>
      </c>
      <c r="K28" s="1" t="str">
        <v>julho 2022</v>
      </c>
      <c r="L28" s="1" t="str">
        <v>7202</v>
      </c>
      <c r="M28" s="1" t="str">
        <v>1103003.Batata-inglesa</v>
      </c>
      <c r="Q28" s="1" t="str">
        <f t="shared" si="0"/>
        <v>1103003.Batata-inglesa</v>
      </c>
      <c r="R28" s="1" t="str">
        <f t="shared" si="1"/>
        <v>202207</v>
      </c>
      <c r="S28" s="1">
        <f t="shared" si="2"/>
        <v>-16.62</v>
      </c>
    </row>
    <row r="29" spans="1:19" x14ac:dyDescent="0.2">
      <c r="A29" s="1" t="str">
        <v>1</v>
      </c>
      <c r="B29" s="1" t="str">
        <v>Brasil</v>
      </c>
      <c r="C29" s="1" t="str">
        <v>2</v>
      </c>
      <c r="D29" s="1" t="str">
        <v>%</v>
      </c>
      <c r="E29" s="1" t="str">
        <v>6.97</v>
      </c>
      <c r="F29" s="1" t="str">
        <v>1</v>
      </c>
      <c r="G29" s="1" t="str">
        <v>Brasil</v>
      </c>
      <c r="H29" s="1" t="str">
        <v>63</v>
      </c>
      <c r="I29" s="1" t="str">
        <v>IPCA - Variação mensal</v>
      </c>
      <c r="J29" s="1" t="str">
        <v>202207</v>
      </c>
      <c r="K29" s="1" t="str">
        <v>julho 2022</v>
      </c>
      <c r="L29" s="1" t="str">
        <v>7203</v>
      </c>
      <c r="M29" s="1" t="str">
        <v>1103004.Inhame</v>
      </c>
      <c r="Q29" s="1" t="str">
        <f t="shared" si="0"/>
        <v>1103004.Inhame</v>
      </c>
      <c r="R29" s="1" t="str">
        <f t="shared" si="1"/>
        <v>202207</v>
      </c>
      <c r="S29" s="1">
        <f t="shared" si="2"/>
        <v>6.97</v>
      </c>
    </row>
    <row r="30" spans="1:19" x14ac:dyDescent="0.2">
      <c r="A30" s="1" t="str">
        <v>1</v>
      </c>
      <c r="B30" s="1" t="str">
        <v>Brasil</v>
      </c>
      <c r="C30" s="1" t="str">
        <v>2</v>
      </c>
      <c r="D30" s="1" t="str">
        <v>%</v>
      </c>
      <c r="E30" s="1" t="str">
        <v>-3.10</v>
      </c>
      <c r="F30" s="1" t="str">
        <v>1</v>
      </c>
      <c r="G30" s="1" t="str">
        <v>Brasil</v>
      </c>
      <c r="H30" s="1" t="str">
        <v>63</v>
      </c>
      <c r="I30" s="1" t="str">
        <v>IPCA - Variação mensal</v>
      </c>
      <c r="J30" s="1" t="str">
        <v>202207</v>
      </c>
      <c r="K30" s="1" t="str">
        <v>julho 2022</v>
      </c>
      <c r="L30" s="1" t="str">
        <v>7204</v>
      </c>
      <c r="M30" s="1" t="str">
        <v>1103005.Mandioca (aipim)</v>
      </c>
      <c r="Q30" s="1" t="str">
        <f t="shared" si="0"/>
        <v>1103005.Mandioca (aipim)</v>
      </c>
      <c r="R30" s="1" t="str">
        <f t="shared" si="1"/>
        <v>202207</v>
      </c>
      <c r="S30" s="1">
        <f t="shared" si="2"/>
        <v>-3.1</v>
      </c>
    </row>
    <row r="31" spans="1:19" x14ac:dyDescent="0.2">
      <c r="A31" s="1" t="str">
        <v>1</v>
      </c>
      <c r="B31" s="1" t="str">
        <v>Brasil</v>
      </c>
      <c r="C31" s="1" t="str">
        <v>2</v>
      </c>
      <c r="D31" s="1" t="str">
        <v>%</v>
      </c>
      <c r="E31" s="1" t="str">
        <v>-23.55</v>
      </c>
      <c r="F31" s="1" t="str">
        <v>1</v>
      </c>
      <c r="G31" s="1" t="str">
        <v>Brasil</v>
      </c>
      <c r="H31" s="1" t="str">
        <v>63</v>
      </c>
      <c r="I31" s="1" t="str">
        <v>IPCA - Variação mensal</v>
      </c>
      <c r="J31" s="1" t="str">
        <v>202207</v>
      </c>
      <c r="K31" s="1" t="str">
        <v>julho 2022</v>
      </c>
      <c r="L31" s="1" t="str">
        <v>7206</v>
      </c>
      <c r="M31" s="1" t="str">
        <v>1103020.Abobrinha</v>
      </c>
      <c r="Q31" s="1" t="str">
        <f t="shared" si="0"/>
        <v>1103020.Abobrinha</v>
      </c>
      <c r="R31" s="1" t="str">
        <f t="shared" si="1"/>
        <v>202207</v>
      </c>
      <c r="S31" s="1">
        <f t="shared" si="2"/>
        <v>-23.55</v>
      </c>
    </row>
    <row r="32" spans="1:19" x14ac:dyDescent="0.2">
      <c r="A32" s="1" t="str">
        <v>1</v>
      </c>
      <c r="B32" s="1" t="str">
        <v>Brasil</v>
      </c>
      <c r="C32" s="1" t="str">
        <v>2</v>
      </c>
      <c r="D32" s="1" t="str">
        <v>%</v>
      </c>
      <c r="E32" s="1" t="str">
        <v>13.23</v>
      </c>
      <c r="F32" s="1" t="str">
        <v>1</v>
      </c>
      <c r="G32" s="1" t="str">
        <v>Brasil</v>
      </c>
      <c r="H32" s="1" t="str">
        <v>63</v>
      </c>
      <c r="I32" s="1" t="str">
        <v>IPCA - Variação mensal</v>
      </c>
      <c r="J32" s="1" t="str">
        <v>202207</v>
      </c>
      <c r="K32" s="1" t="str">
        <v>julho 2022</v>
      </c>
      <c r="L32" s="1" t="str">
        <v>7209</v>
      </c>
      <c r="M32" s="1" t="str">
        <v>1103025.Pepino</v>
      </c>
      <c r="Q32" s="1" t="str">
        <f t="shared" si="0"/>
        <v>1103025.Pepino</v>
      </c>
      <c r="R32" s="1" t="str">
        <f t="shared" si="1"/>
        <v>202207</v>
      </c>
      <c r="S32" s="1">
        <f t="shared" si="2"/>
        <v>13.23</v>
      </c>
    </row>
    <row r="33" spans="1:19" x14ac:dyDescent="0.2">
      <c r="A33" s="1" t="str">
        <v>1</v>
      </c>
      <c r="B33" s="1" t="str">
        <v>Brasil</v>
      </c>
      <c r="C33" s="1" t="str">
        <v>2</v>
      </c>
      <c r="D33" s="1" t="str">
        <v>%</v>
      </c>
      <c r="E33" s="1" t="str">
        <v>-10.90</v>
      </c>
      <c r="F33" s="1" t="str">
        <v>1</v>
      </c>
      <c r="G33" s="1" t="str">
        <v>Brasil</v>
      </c>
      <c r="H33" s="1" t="str">
        <v>63</v>
      </c>
      <c r="I33" s="1" t="str">
        <v>IPCA - Variação mensal</v>
      </c>
      <c r="J33" s="1" t="str">
        <v>202207</v>
      </c>
      <c r="K33" s="1" t="str">
        <v>julho 2022</v>
      </c>
      <c r="L33" s="1" t="str">
        <v>7210</v>
      </c>
      <c r="M33" s="1" t="str">
        <v>1103026.Pimentão</v>
      </c>
      <c r="Q33" s="1" t="str">
        <f t="shared" si="0"/>
        <v>1103026.Pimentão</v>
      </c>
      <c r="R33" s="1" t="str">
        <f t="shared" si="1"/>
        <v>202207</v>
      </c>
      <c r="S33" s="1">
        <f t="shared" si="2"/>
        <v>-10.9</v>
      </c>
    </row>
    <row r="34" spans="1:19" x14ac:dyDescent="0.2">
      <c r="A34" s="1" t="str">
        <v>1</v>
      </c>
      <c r="B34" s="1" t="str">
        <v>Brasil</v>
      </c>
      <c r="C34" s="1" t="str">
        <v>2</v>
      </c>
      <c r="D34" s="1" t="str">
        <v>%</v>
      </c>
      <c r="E34" s="1" t="str">
        <v>-23.68</v>
      </c>
      <c r="F34" s="1" t="str">
        <v>1</v>
      </c>
      <c r="G34" s="1" t="str">
        <v>Brasil</v>
      </c>
      <c r="H34" s="1" t="str">
        <v>63</v>
      </c>
      <c r="I34" s="1" t="str">
        <v>IPCA - Variação mensal</v>
      </c>
      <c r="J34" s="1" t="str">
        <v>202207</v>
      </c>
      <c r="K34" s="1" t="str">
        <v>julho 2022</v>
      </c>
      <c r="L34" s="1" t="str">
        <v>7212</v>
      </c>
      <c r="M34" s="1" t="str">
        <v>1103028.Tomate</v>
      </c>
      <c r="Q34" s="1" t="str">
        <f t="shared" si="0"/>
        <v>1103028.Tomate</v>
      </c>
      <c r="R34" s="1" t="str">
        <f t="shared" si="1"/>
        <v>202207</v>
      </c>
      <c r="S34" s="1">
        <f t="shared" si="2"/>
        <v>-23.68</v>
      </c>
    </row>
    <row r="35" spans="1:19" x14ac:dyDescent="0.2">
      <c r="A35" s="1" t="str">
        <v>1</v>
      </c>
      <c r="B35" s="1" t="str">
        <v>Brasil</v>
      </c>
      <c r="C35" s="1" t="str">
        <v>2</v>
      </c>
      <c r="D35" s="1" t="str">
        <v>%</v>
      </c>
      <c r="E35" s="1" t="str">
        <v>-5.55</v>
      </c>
      <c r="F35" s="1" t="str">
        <v>1</v>
      </c>
      <c r="G35" s="1" t="str">
        <v>Brasil</v>
      </c>
      <c r="H35" s="1" t="str">
        <v>63</v>
      </c>
      <c r="I35" s="1" t="str">
        <v>IPCA - Variação mensal</v>
      </c>
      <c r="J35" s="1" t="str">
        <v>202207</v>
      </c>
      <c r="K35" s="1" t="str">
        <v>julho 2022</v>
      </c>
      <c r="L35" s="1" t="str">
        <v>7215</v>
      </c>
      <c r="M35" s="1" t="str">
        <v>1103043.Cebola</v>
      </c>
      <c r="Q35" s="1" t="str">
        <f t="shared" si="0"/>
        <v>1103043.Cebola</v>
      </c>
      <c r="R35" s="1" t="str">
        <f t="shared" si="1"/>
        <v>202207</v>
      </c>
      <c r="S35" s="1">
        <f t="shared" si="2"/>
        <v>-5.55</v>
      </c>
    </row>
    <row r="36" spans="1:19" x14ac:dyDescent="0.2">
      <c r="A36" s="1" t="str">
        <v>1</v>
      </c>
      <c r="B36" s="1" t="str">
        <v>Brasil</v>
      </c>
      <c r="C36" s="1" t="str">
        <v>2</v>
      </c>
      <c r="D36" s="1" t="str">
        <v>%</v>
      </c>
      <c r="E36" s="1" t="str">
        <v>-15.34</v>
      </c>
      <c r="F36" s="1" t="str">
        <v>1</v>
      </c>
      <c r="G36" s="1" t="str">
        <v>Brasil</v>
      </c>
      <c r="H36" s="1" t="str">
        <v>63</v>
      </c>
      <c r="I36" s="1" t="str">
        <v>IPCA - Variação mensal</v>
      </c>
      <c r="J36" s="1" t="str">
        <v>202207</v>
      </c>
      <c r="K36" s="1" t="str">
        <v>julho 2022</v>
      </c>
      <c r="L36" s="1" t="str">
        <v>7216</v>
      </c>
      <c r="M36" s="1" t="str">
        <v>1103044.Cenoura</v>
      </c>
      <c r="Q36" s="1" t="str">
        <f t="shared" si="0"/>
        <v>1103044.Cenoura</v>
      </c>
      <c r="R36" s="1" t="str">
        <f t="shared" si="1"/>
        <v>202207</v>
      </c>
      <c r="S36" s="1">
        <f t="shared" si="2"/>
        <v>-15.34</v>
      </c>
    </row>
    <row r="37" spans="1:19" x14ac:dyDescent="0.2">
      <c r="A37" s="1" t="str">
        <v>1</v>
      </c>
      <c r="B37" s="1" t="str">
        <v>Brasil</v>
      </c>
      <c r="C37" s="1" t="str">
        <v>2</v>
      </c>
      <c r="D37" s="1" t="str">
        <v>%</v>
      </c>
      <c r="E37" s="1" t="str">
        <v>0.44</v>
      </c>
      <c r="F37" s="1" t="str">
        <v>1</v>
      </c>
      <c r="G37" s="1" t="str">
        <v>Brasil</v>
      </c>
      <c r="H37" s="1" t="str">
        <v>63</v>
      </c>
      <c r="I37" s="1" t="str">
        <v>IPCA - Variação mensal</v>
      </c>
      <c r="J37" s="1" t="str">
        <v>202207</v>
      </c>
      <c r="K37" s="1" t="str">
        <v>julho 2022</v>
      </c>
      <c r="L37" s="1" t="str">
        <v>7219</v>
      </c>
      <c r="M37" s="1" t="str">
        <v>1104.Açúcares e derivados</v>
      </c>
      <c r="Q37" s="1" t="str">
        <f t="shared" si="0"/>
        <v>1104.Açúcares e derivados</v>
      </c>
      <c r="R37" s="1" t="str">
        <f t="shared" si="1"/>
        <v>202207</v>
      </c>
      <c r="S37" s="1">
        <f t="shared" si="2"/>
        <v>0.44</v>
      </c>
    </row>
    <row r="38" spans="1:19" x14ac:dyDescent="0.2">
      <c r="A38" s="1" t="str">
        <v>1</v>
      </c>
      <c r="B38" s="1" t="str">
        <v>Brasil</v>
      </c>
      <c r="C38" s="1" t="str">
        <v>2</v>
      </c>
      <c r="D38" s="1" t="str">
        <v>%</v>
      </c>
      <c r="E38" s="1" t="str">
        <v>-0.60</v>
      </c>
      <c r="F38" s="1" t="str">
        <v>1</v>
      </c>
      <c r="G38" s="1" t="str">
        <v>Brasil</v>
      </c>
      <c r="H38" s="1" t="str">
        <v>63</v>
      </c>
      <c r="I38" s="1" t="str">
        <v>IPCA - Variação mensal</v>
      </c>
      <c r="J38" s="1" t="str">
        <v>202207</v>
      </c>
      <c r="K38" s="1" t="str">
        <v>julho 2022</v>
      </c>
      <c r="L38" s="1" t="str">
        <v>7220</v>
      </c>
      <c r="M38" s="1" t="str">
        <v>1104003.Açúcar refinado</v>
      </c>
      <c r="Q38" s="1" t="str">
        <f t="shared" si="0"/>
        <v>1104003.Açúcar refinado</v>
      </c>
      <c r="R38" s="1" t="str">
        <f t="shared" si="1"/>
        <v>202207</v>
      </c>
      <c r="S38" s="1">
        <f t="shared" si="2"/>
        <v>-0.6</v>
      </c>
    </row>
    <row r="39" spans="1:19" x14ac:dyDescent="0.2">
      <c r="A39" s="1" t="str">
        <v>1</v>
      </c>
      <c r="B39" s="1" t="str">
        <v>Brasil</v>
      </c>
      <c r="C39" s="1" t="str">
        <v>2</v>
      </c>
      <c r="D39" s="1" t="str">
        <v>%</v>
      </c>
      <c r="E39" s="1" t="str">
        <v>-0.65</v>
      </c>
      <c r="F39" s="1" t="str">
        <v>1</v>
      </c>
      <c r="G39" s="1" t="str">
        <v>Brasil</v>
      </c>
      <c r="H39" s="1" t="str">
        <v>63</v>
      </c>
      <c r="I39" s="1" t="str">
        <v>IPCA - Variação mensal</v>
      </c>
      <c r="J39" s="1" t="str">
        <v>202207</v>
      </c>
      <c r="K39" s="1" t="str">
        <v>julho 2022</v>
      </c>
      <c r="L39" s="1" t="str">
        <v>7221</v>
      </c>
      <c r="M39" s="1" t="str">
        <v>1104004.Açúcar cristal</v>
      </c>
      <c r="Q39" s="1" t="str">
        <f t="shared" si="0"/>
        <v>1104004.Açúcar cristal</v>
      </c>
      <c r="R39" s="1" t="str">
        <f t="shared" si="1"/>
        <v>202207</v>
      </c>
      <c r="S39" s="1">
        <f t="shared" si="2"/>
        <v>-0.65</v>
      </c>
    </row>
    <row r="40" spans="1:19" x14ac:dyDescent="0.2">
      <c r="A40" s="1" t="str">
        <v>1</v>
      </c>
      <c r="B40" s="1" t="str">
        <v>Brasil</v>
      </c>
      <c r="C40" s="1" t="str">
        <v>2</v>
      </c>
      <c r="D40" s="1" t="str">
        <v>%</v>
      </c>
      <c r="E40" s="1" t="str">
        <v>2.40</v>
      </c>
      <c r="F40" s="1" t="str">
        <v>1</v>
      </c>
      <c r="G40" s="1" t="str">
        <v>Brasil</v>
      </c>
      <c r="H40" s="1" t="str">
        <v>63</v>
      </c>
      <c r="I40" s="1" t="str">
        <v>IPCA - Variação mensal</v>
      </c>
      <c r="J40" s="1" t="str">
        <v>202207</v>
      </c>
      <c r="K40" s="1" t="str">
        <v>julho 2022</v>
      </c>
      <c r="L40" s="1" t="str">
        <v>12224</v>
      </c>
      <c r="M40" s="1" t="str">
        <v>1104018.Balas</v>
      </c>
      <c r="Q40" s="1" t="str">
        <f t="shared" si="0"/>
        <v>1104018.Balas</v>
      </c>
      <c r="R40" s="1" t="str">
        <f t="shared" si="1"/>
        <v>202207</v>
      </c>
      <c r="S40" s="1">
        <f t="shared" si="2"/>
        <v>2.4</v>
      </c>
    </row>
    <row r="41" spans="1:19" x14ac:dyDescent="0.2">
      <c r="A41" s="1" t="str">
        <v>1</v>
      </c>
      <c r="B41" s="1" t="str">
        <v>Brasil</v>
      </c>
      <c r="C41" s="1" t="str">
        <v>2</v>
      </c>
      <c r="D41" s="1" t="str">
        <v>%</v>
      </c>
      <c r="E41" s="1" t="str">
        <v>0.93</v>
      </c>
      <c r="F41" s="1" t="str">
        <v>1</v>
      </c>
      <c r="G41" s="1" t="str">
        <v>Brasil</v>
      </c>
      <c r="H41" s="1" t="str">
        <v>63</v>
      </c>
      <c r="I41" s="1" t="str">
        <v>IPCA - Variação mensal</v>
      </c>
      <c r="J41" s="1" t="str">
        <v>202207</v>
      </c>
      <c r="K41" s="1" t="str">
        <v>julho 2022</v>
      </c>
      <c r="L41" s="1" t="str">
        <v>107609</v>
      </c>
      <c r="M41" s="1" t="str">
        <v>1104023.Chocolate em barra e bombom</v>
      </c>
      <c r="Q41" s="1" t="str">
        <f t="shared" si="0"/>
        <v>1104023.Chocolate em barra e bombom</v>
      </c>
      <c r="R41" s="1" t="str">
        <f t="shared" si="1"/>
        <v>202207</v>
      </c>
      <c r="S41" s="1">
        <f t="shared" si="2"/>
        <v>0.93</v>
      </c>
    </row>
    <row r="42" spans="1:19" x14ac:dyDescent="0.2">
      <c r="A42" s="1" t="str">
        <v>1</v>
      </c>
      <c r="B42" s="1" t="str">
        <v>Brasil</v>
      </c>
      <c r="C42" s="1" t="str">
        <v>2</v>
      </c>
      <c r="D42" s="1" t="str">
        <v>%</v>
      </c>
      <c r="E42" s="1" t="str">
        <v>0.90</v>
      </c>
      <c r="F42" s="1" t="str">
        <v>1</v>
      </c>
      <c r="G42" s="1" t="str">
        <v>Brasil</v>
      </c>
      <c r="H42" s="1" t="str">
        <v>63</v>
      </c>
      <c r="I42" s="1" t="str">
        <v>IPCA - Variação mensal</v>
      </c>
      <c r="J42" s="1" t="str">
        <v>202207</v>
      </c>
      <c r="K42" s="1" t="str">
        <v>julho 2022</v>
      </c>
      <c r="L42" s="1" t="str">
        <v>7230</v>
      </c>
      <c r="M42" s="1" t="str">
        <v>1104032.Sorvete</v>
      </c>
      <c r="Q42" s="1" t="str">
        <f t="shared" si="0"/>
        <v>1104032.Sorvete</v>
      </c>
      <c r="R42" s="1" t="str">
        <f t="shared" si="1"/>
        <v>202207</v>
      </c>
      <c r="S42" s="1">
        <f t="shared" si="2"/>
        <v>0.9</v>
      </c>
    </row>
    <row r="43" spans="1:19" x14ac:dyDescent="0.2">
      <c r="A43" s="1" t="str">
        <v>1</v>
      </c>
      <c r="B43" s="1" t="str">
        <v>Brasil</v>
      </c>
      <c r="C43" s="1" t="str">
        <v>2</v>
      </c>
      <c r="D43" s="1" t="str">
        <v>%</v>
      </c>
      <c r="E43" s="1" t="str">
        <v>1.28</v>
      </c>
      <c r="F43" s="1" t="str">
        <v>1</v>
      </c>
      <c r="G43" s="1" t="str">
        <v>Brasil</v>
      </c>
      <c r="H43" s="1" t="str">
        <v>63</v>
      </c>
      <c r="I43" s="1" t="str">
        <v>IPCA - Variação mensal</v>
      </c>
      <c r="J43" s="1" t="str">
        <v>202207</v>
      </c>
      <c r="K43" s="1" t="str">
        <v>julho 2022</v>
      </c>
      <c r="L43" s="1" t="str">
        <v>107611</v>
      </c>
      <c r="M43" s="1" t="str">
        <v>1104052.Chocolate e achocolatado em pó</v>
      </c>
      <c r="Q43" s="1" t="str">
        <f t="shared" si="0"/>
        <v>1104052.Chocolate e achocolatado em pó</v>
      </c>
      <c r="R43" s="1" t="str">
        <f t="shared" si="1"/>
        <v>202207</v>
      </c>
      <c r="S43" s="1">
        <f t="shared" si="2"/>
        <v>1.28</v>
      </c>
    </row>
    <row r="44" spans="1:19" x14ac:dyDescent="0.2">
      <c r="A44" s="1" t="str">
        <v>1</v>
      </c>
      <c r="B44" s="1" t="str">
        <v>Brasil</v>
      </c>
      <c r="C44" s="1" t="str">
        <v>2</v>
      </c>
      <c r="D44" s="1" t="str">
        <v>%</v>
      </c>
      <c r="E44" s="1" t="str">
        <v>-0.75</v>
      </c>
      <c r="F44" s="1" t="str">
        <v>1</v>
      </c>
      <c r="G44" s="1" t="str">
        <v>Brasil</v>
      </c>
      <c r="H44" s="1" t="str">
        <v>63</v>
      </c>
      <c r="I44" s="1" t="str">
        <v>IPCA - Variação mensal</v>
      </c>
      <c r="J44" s="1" t="str">
        <v>202207</v>
      </c>
      <c r="K44" s="1" t="str">
        <v>julho 2022</v>
      </c>
      <c r="L44" s="1" t="str">
        <v>7233</v>
      </c>
      <c r="M44" s="1" t="str">
        <v>1104060.Doce de frutas em pasta</v>
      </c>
      <c r="Q44" s="1" t="str">
        <f t="shared" si="0"/>
        <v>1104060.Doce de frutas em pasta</v>
      </c>
      <c r="R44" s="1" t="str">
        <f t="shared" si="1"/>
        <v>202207</v>
      </c>
      <c r="S44" s="1">
        <f t="shared" si="2"/>
        <v>-0.75</v>
      </c>
    </row>
    <row r="45" spans="1:19" x14ac:dyDescent="0.2">
      <c r="A45" s="1" t="str">
        <v>1</v>
      </c>
      <c r="B45" s="1" t="str">
        <v>Brasil</v>
      </c>
      <c r="C45" s="1" t="str">
        <v>2</v>
      </c>
      <c r="D45" s="1" t="str">
        <v>%</v>
      </c>
      <c r="E45" s="1" t="str">
        <v>-0.05</v>
      </c>
      <c r="F45" s="1" t="str">
        <v>1</v>
      </c>
      <c r="G45" s="1" t="str">
        <v>Brasil</v>
      </c>
      <c r="H45" s="1" t="str">
        <v>63</v>
      </c>
      <c r="I45" s="1" t="str">
        <v>IPCA - Variação mensal</v>
      </c>
      <c r="J45" s="1" t="str">
        <v>202207</v>
      </c>
      <c r="K45" s="1" t="str">
        <v>julho 2022</v>
      </c>
      <c r="L45" s="1" t="str">
        <v>47620</v>
      </c>
      <c r="M45" s="1" t="str">
        <v>1104067.Açúcar demerara</v>
      </c>
      <c r="Q45" s="1" t="str">
        <f t="shared" si="0"/>
        <v>1104067.Açúcar demerara</v>
      </c>
      <c r="R45" s="1" t="str">
        <f t="shared" si="1"/>
        <v>202207</v>
      </c>
      <c r="S45" s="1">
        <f t="shared" si="2"/>
        <v>-0.05</v>
      </c>
    </row>
    <row r="46" spans="1:19" x14ac:dyDescent="0.2">
      <c r="A46" s="1" t="str">
        <v>1</v>
      </c>
      <c r="B46" s="1" t="str">
        <v>Brasil</v>
      </c>
      <c r="C46" s="1" t="str">
        <v>2</v>
      </c>
      <c r="D46" s="1" t="str">
        <v>%</v>
      </c>
      <c r="E46" s="1" t="str">
        <v>-4.93</v>
      </c>
      <c r="F46" s="1" t="str">
        <v>1</v>
      </c>
      <c r="G46" s="1" t="str">
        <v>Brasil</v>
      </c>
      <c r="H46" s="1" t="str">
        <v>63</v>
      </c>
      <c r="I46" s="1" t="str">
        <v>IPCA - Variação mensal</v>
      </c>
      <c r="J46" s="1" t="str">
        <v>202207</v>
      </c>
      <c r="K46" s="1" t="str">
        <v>julho 2022</v>
      </c>
      <c r="L46" s="1" t="str">
        <v>7241</v>
      </c>
      <c r="M46" s="1" t="str">
        <v>1105.Hortaliças e verduras</v>
      </c>
      <c r="Q46" s="1" t="str">
        <f t="shared" si="0"/>
        <v>1105.Hortaliças e verduras</v>
      </c>
      <c r="R46" s="1" t="str">
        <f t="shared" si="1"/>
        <v>202207</v>
      </c>
      <c r="S46" s="1">
        <f t="shared" si="2"/>
        <v>-4.93</v>
      </c>
    </row>
    <row r="47" spans="1:19" x14ac:dyDescent="0.2">
      <c r="A47" s="1" t="str">
        <v>1</v>
      </c>
      <c r="B47" s="1" t="str">
        <v>Brasil</v>
      </c>
      <c r="C47" s="1" t="str">
        <v>2</v>
      </c>
      <c r="D47" s="1" t="str">
        <v>%</v>
      </c>
      <c r="E47" s="1" t="str">
        <v>-3.25</v>
      </c>
      <c r="F47" s="1" t="str">
        <v>1</v>
      </c>
      <c r="G47" s="1" t="str">
        <v>Brasil</v>
      </c>
      <c r="H47" s="1" t="str">
        <v>63</v>
      </c>
      <c r="I47" s="1" t="str">
        <v>IPCA - Variação mensal</v>
      </c>
      <c r="J47" s="1" t="str">
        <v>202207</v>
      </c>
      <c r="K47" s="1" t="str">
        <v>julho 2022</v>
      </c>
      <c r="L47" s="1" t="str">
        <v>7242</v>
      </c>
      <c r="M47" s="1" t="str">
        <v>1105001.Alface</v>
      </c>
      <c r="Q47" s="1" t="str">
        <f t="shared" si="0"/>
        <v>1105001.Alface</v>
      </c>
      <c r="R47" s="1" t="str">
        <f t="shared" si="1"/>
        <v>202207</v>
      </c>
      <c r="S47" s="1">
        <f t="shared" si="2"/>
        <v>-3.25</v>
      </c>
    </row>
    <row r="48" spans="1:19" x14ac:dyDescent="0.2">
      <c r="A48" s="1" t="str">
        <v>1</v>
      </c>
      <c r="B48" s="1" t="str">
        <v>Brasil</v>
      </c>
      <c r="C48" s="1" t="str">
        <v>2</v>
      </c>
      <c r="D48" s="1" t="str">
        <v>%</v>
      </c>
      <c r="E48" s="1" t="str">
        <v>-3.92</v>
      </c>
      <c r="F48" s="1" t="str">
        <v>1</v>
      </c>
      <c r="G48" s="1" t="str">
        <v>Brasil</v>
      </c>
      <c r="H48" s="1" t="str">
        <v>63</v>
      </c>
      <c r="I48" s="1" t="str">
        <v>IPCA - Variação mensal</v>
      </c>
      <c r="J48" s="1" t="str">
        <v>202207</v>
      </c>
      <c r="K48" s="1" t="str">
        <v>julho 2022</v>
      </c>
      <c r="L48" s="1" t="str">
        <v>7244</v>
      </c>
      <c r="M48" s="1" t="str">
        <v>1105004.Coentro</v>
      </c>
      <c r="Q48" s="1" t="str">
        <f t="shared" si="0"/>
        <v>1105004.Coentro</v>
      </c>
      <c r="R48" s="1" t="str">
        <f t="shared" si="1"/>
        <v>202207</v>
      </c>
      <c r="S48" s="1">
        <f t="shared" si="2"/>
        <v>-3.92</v>
      </c>
    </row>
    <row r="49" spans="1:19" x14ac:dyDescent="0.2">
      <c r="A49" s="1" t="str">
        <v>1</v>
      </c>
      <c r="B49" s="1" t="str">
        <v>Brasil</v>
      </c>
      <c r="C49" s="1" t="str">
        <v>2</v>
      </c>
      <c r="D49" s="1" t="str">
        <v>%</v>
      </c>
      <c r="E49" s="1" t="str">
        <v>-6.17</v>
      </c>
      <c r="F49" s="1" t="str">
        <v>1</v>
      </c>
      <c r="G49" s="1" t="str">
        <v>Brasil</v>
      </c>
      <c r="H49" s="1" t="str">
        <v>63</v>
      </c>
      <c r="I49" s="1" t="str">
        <v>IPCA - Variação mensal</v>
      </c>
      <c r="J49" s="1" t="str">
        <v>202207</v>
      </c>
      <c r="K49" s="1" t="str">
        <v>julho 2022</v>
      </c>
      <c r="L49" s="1" t="str">
        <v>7245</v>
      </c>
      <c r="M49" s="1" t="str">
        <v>1105005.Couve</v>
      </c>
      <c r="Q49" s="1" t="str">
        <f t="shared" si="0"/>
        <v>1105005.Couve</v>
      </c>
      <c r="R49" s="1" t="str">
        <f t="shared" si="1"/>
        <v>202207</v>
      </c>
      <c r="S49" s="1">
        <f t="shared" si="2"/>
        <v>-6.17</v>
      </c>
    </row>
    <row r="50" spans="1:19" x14ac:dyDescent="0.2">
      <c r="A50" s="1" t="str">
        <v>1</v>
      </c>
      <c r="B50" s="1" t="str">
        <v>Brasil</v>
      </c>
      <c r="C50" s="1" t="str">
        <v>2</v>
      </c>
      <c r="D50" s="1" t="str">
        <v>%</v>
      </c>
      <c r="E50" s="1" t="str">
        <v>-9.43</v>
      </c>
      <c r="F50" s="1" t="str">
        <v>1</v>
      </c>
      <c r="G50" s="1" t="str">
        <v>Brasil</v>
      </c>
      <c r="H50" s="1" t="str">
        <v>63</v>
      </c>
      <c r="I50" s="1" t="str">
        <v>IPCA - Variação mensal</v>
      </c>
      <c r="J50" s="1" t="str">
        <v>202207</v>
      </c>
      <c r="K50" s="1" t="str">
        <v>julho 2022</v>
      </c>
      <c r="L50" s="1" t="str">
        <v>7246</v>
      </c>
      <c r="M50" s="1" t="str">
        <v>1105006.Couve-flor</v>
      </c>
      <c r="Q50" s="1" t="str">
        <f t="shared" si="0"/>
        <v>1105006.Couve-flor</v>
      </c>
      <c r="R50" s="1" t="str">
        <f t="shared" si="1"/>
        <v>202207</v>
      </c>
      <c r="S50" s="1">
        <f t="shared" si="2"/>
        <v>-9.43</v>
      </c>
    </row>
    <row r="51" spans="1:19" x14ac:dyDescent="0.2">
      <c r="A51" s="1" t="str">
        <v>1</v>
      </c>
      <c r="B51" s="1" t="str">
        <v>Brasil</v>
      </c>
      <c r="C51" s="1" t="str">
        <v>2</v>
      </c>
      <c r="D51" s="1" t="str">
        <v>%</v>
      </c>
      <c r="E51" s="1" t="str">
        <v>-11.13</v>
      </c>
      <c r="F51" s="1" t="str">
        <v>1</v>
      </c>
      <c r="G51" s="1" t="str">
        <v>Brasil</v>
      </c>
      <c r="H51" s="1" t="str">
        <v>63</v>
      </c>
      <c r="I51" s="1" t="str">
        <v>IPCA - Variação mensal</v>
      </c>
      <c r="J51" s="1" t="str">
        <v>202207</v>
      </c>
      <c r="K51" s="1" t="str">
        <v>julho 2022</v>
      </c>
      <c r="L51" s="1" t="str">
        <v>7248</v>
      </c>
      <c r="M51" s="1" t="str">
        <v>1105010.Repolho</v>
      </c>
      <c r="Q51" s="1" t="str">
        <f t="shared" si="0"/>
        <v>1105010.Repolho</v>
      </c>
      <c r="R51" s="1" t="str">
        <f t="shared" si="1"/>
        <v>202207</v>
      </c>
      <c r="S51" s="1">
        <f t="shared" si="2"/>
        <v>-11.13</v>
      </c>
    </row>
    <row r="52" spans="1:19" x14ac:dyDescent="0.2">
      <c r="A52" s="1" t="str">
        <v>1</v>
      </c>
      <c r="B52" s="1" t="str">
        <v>Brasil</v>
      </c>
      <c r="C52" s="1" t="str">
        <v>2</v>
      </c>
      <c r="D52" s="1" t="str">
        <v>%</v>
      </c>
      <c r="E52" s="1" t="str">
        <v>-3.59</v>
      </c>
      <c r="F52" s="1" t="str">
        <v>1</v>
      </c>
      <c r="G52" s="1" t="str">
        <v>Brasil</v>
      </c>
      <c r="H52" s="1" t="str">
        <v>63</v>
      </c>
      <c r="I52" s="1" t="str">
        <v>IPCA - Variação mensal</v>
      </c>
      <c r="J52" s="1" t="str">
        <v>202207</v>
      </c>
      <c r="K52" s="1" t="str">
        <v>julho 2022</v>
      </c>
      <c r="L52" s="1" t="str">
        <v>7249</v>
      </c>
      <c r="M52" s="1" t="str">
        <v>1105012.Cheiro-verde</v>
      </c>
      <c r="Q52" s="1" t="str">
        <f t="shared" si="0"/>
        <v>1105012.Cheiro-verde</v>
      </c>
      <c r="R52" s="1" t="str">
        <f t="shared" si="1"/>
        <v>202207</v>
      </c>
      <c r="S52" s="1">
        <f t="shared" si="2"/>
        <v>-3.59</v>
      </c>
    </row>
    <row r="53" spans="1:19" x14ac:dyDescent="0.2">
      <c r="A53" s="1" t="str">
        <v>1</v>
      </c>
      <c r="B53" s="1" t="str">
        <v>Brasil</v>
      </c>
      <c r="C53" s="1" t="str">
        <v>2</v>
      </c>
      <c r="D53" s="1" t="str">
        <v>%</v>
      </c>
      <c r="E53" s="1" t="str">
        <v>-7.99</v>
      </c>
      <c r="F53" s="1" t="str">
        <v>1</v>
      </c>
      <c r="G53" s="1" t="str">
        <v>Brasil</v>
      </c>
      <c r="H53" s="1" t="str">
        <v>63</v>
      </c>
      <c r="I53" s="1" t="str">
        <v>IPCA - Variação mensal</v>
      </c>
      <c r="J53" s="1" t="str">
        <v>202207</v>
      </c>
      <c r="K53" s="1" t="str">
        <v>julho 2022</v>
      </c>
      <c r="L53" s="1" t="str">
        <v>7253</v>
      </c>
      <c r="M53" s="1" t="str">
        <v>1105019.Brócolis</v>
      </c>
      <c r="Q53" s="1" t="str">
        <f t="shared" si="0"/>
        <v>1105019.Brócolis</v>
      </c>
      <c r="R53" s="1" t="str">
        <f t="shared" si="1"/>
        <v>202207</v>
      </c>
      <c r="S53" s="1">
        <f t="shared" si="2"/>
        <v>-7.99</v>
      </c>
    </row>
    <row r="54" spans="1:19" x14ac:dyDescent="0.2">
      <c r="A54" s="1" t="str">
        <v>1</v>
      </c>
      <c r="B54" s="1" t="str">
        <v>Brasil</v>
      </c>
      <c r="C54" s="1" t="str">
        <v>2</v>
      </c>
      <c r="D54" s="1" t="str">
        <v>%</v>
      </c>
      <c r="E54" s="1" t="str">
        <v>4.40</v>
      </c>
      <c r="F54" s="1" t="str">
        <v>1</v>
      </c>
      <c r="G54" s="1" t="str">
        <v>Brasil</v>
      </c>
      <c r="H54" s="1" t="str">
        <v>63</v>
      </c>
      <c r="I54" s="1" t="str">
        <v>IPCA - Variação mensal</v>
      </c>
      <c r="J54" s="1" t="str">
        <v>202207</v>
      </c>
      <c r="K54" s="1" t="str">
        <v>julho 2022</v>
      </c>
      <c r="L54" s="1" t="str">
        <v>7254</v>
      </c>
      <c r="M54" s="1" t="str">
        <v>1106.Frutas</v>
      </c>
      <c r="Q54" s="1" t="str">
        <f t="shared" si="0"/>
        <v>1106.Frutas</v>
      </c>
      <c r="R54" s="1" t="str">
        <f t="shared" si="1"/>
        <v>202207</v>
      </c>
      <c r="S54" s="1">
        <f t="shared" si="2"/>
        <v>4.4000000000000004</v>
      </c>
    </row>
    <row r="55" spans="1:19" x14ac:dyDescent="0.2">
      <c r="A55" s="1" t="str">
        <v>1</v>
      </c>
      <c r="B55" s="1" t="str">
        <v>Brasil</v>
      </c>
      <c r="C55" s="1" t="str">
        <v>2</v>
      </c>
      <c r="D55" s="1" t="str">
        <v>%</v>
      </c>
      <c r="E55" s="1" t="str">
        <v>-5.28</v>
      </c>
      <c r="F55" s="1" t="str">
        <v>1</v>
      </c>
      <c r="G55" s="1" t="str">
        <v>Brasil</v>
      </c>
      <c r="H55" s="1" t="str">
        <v>63</v>
      </c>
      <c r="I55" s="1" t="str">
        <v>IPCA - Variação mensal</v>
      </c>
      <c r="J55" s="1" t="str">
        <v>202207</v>
      </c>
      <c r="K55" s="1" t="str">
        <v>julho 2022</v>
      </c>
      <c r="L55" s="1" t="str">
        <v>7255</v>
      </c>
      <c r="M55" s="1" t="str">
        <v>1106001.Banana-da-terra</v>
      </c>
      <c r="Q55" s="1" t="str">
        <f t="shared" si="0"/>
        <v>1106001.Banana-da-terra</v>
      </c>
      <c r="R55" s="1" t="str">
        <f t="shared" si="1"/>
        <v>202207</v>
      </c>
      <c r="S55" s="1">
        <f t="shared" si="2"/>
        <v>-5.28</v>
      </c>
    </row>
    <row r="56" spans="1:19" x14ac:dyDescent="0.2">
      <c r="A56" s="1" t="str">
        <v>1</v>
      </c>
      <c r="B56" s="1" t="str">
        <v>Brasil</v>
      </c>
      <c r="C56" s="1" t="str">
        <v>2</v>
      </c>
      <c r="D56" s="1" t="str">
        <v>%</v>
      </c>
      <c r="E56" s="1" t="str">
        <v>2.71</v>
      </c>
      <c r="F56" s="1" t="str">
        <v>1</v>
      </c>
      <c r="G56" s="1" t="str">
        <v>Brasil</v>
      </c>
      <c r="H56" s="1" t="str">
        <v>63</v>
      </c>
      <c r="I56" s="1" t="str">
        <v>IPCA - Variação mensal</v>
      </c>
      <c r="J56" s="1" t="str">
        <v>202207</v>
      </c>
      <c r="K56" s="1" t="str">
        <v>julho 2022</v>
      </c>
      <c r="L56" s="1" t="str">
        <v>7256</v>
      </c>
      <c r="M56" s="1" t="str">
        <v>1106003.Abacaxi</v>
      </c>
      <c r="Q56" s="1" t="str">
        <f t="shared" si="0"/>
        <v>1106003.Abacaxi</v>
      </c>
      <c r="R56" s="1" t="str">
        <f t="shared" si="1"/>
        <v>202207</v>
      </c>
      <c r="S56" s="1">
        <f t="shared" si="2"/>
        <v>2.71</v>
      </c>
    </row>
    <row r="57" spans="1:19" x14ac:dyDescent="0.2">
      <c r="A57" s="1" t="str">
        <v>1</v>
      </c>
      <c r="B57" s="1" t="str">
        <v>Brasil</v>
      </c>
      <c r="C57" s="1" t="str">
        <v>2</v>
      </c>
      <c r="D57" s="1" t="str">
        <v>%</v>
      </c>
      <c r="E57" s="1" t="str">
        <v>2.39</v>
      </c>
      <c r="F57" s="1" t="str">
        <v>1</v>
      </c>
      <c r="G57" s="1" t="str">
        <v>Brasil</v>
      </c>
      <c r="H57" s="1" t="str">
        <v>63</v>
      </c>
      <c r="I57" s="1" t="str">
        <v>IPCA - Variação mensal</v>
      </c>
      <c r="J57" s="1" t="str">
        <v>202207</v>
      </c>
      <c r="K57" s="1" t="str">
        <v>julho 2022</v>
      </c>
      <c r="L57" s="1" t="str">
        <v>7257</v>
      </c>
      <c r="M57" s="1" t="str">
        <v>1106004.Abacate</v>
      </c>
      <c r="Q57" s="1" t="str">
        <f t="shared" si="0"/>
        <v>1106004.Abacate</v>
      </c>
      <c r="R57" s="1" t="str">
        <f t="shared" si="1"/>
        <v>202207</v>
      </c>
      <c r="S57" s="1">
        <f t="shared" si="2"/>
        <v>2.39</v>
      </c>
    </row>
    <row r="58" spans="1:19" x14ac:dyDescent="0.2">
      <c r="A58" s="1" t="str">
        <v>1</v>
      </c>
      <c r="B58" s="1" t="str">
        <v>Brasil</v>
      </c>
      <c r="C58" s="1" t="str">
        <v>2</v>
      </c>
      <c r="D58" s="1" t="str">
        <v>%</v>
      </c>
      <c r="E58" s="1" t="str">
        <v>11.36</v>
      </c>
      <c r="F58" s="1" t="str">
        <v>1</v>
      </c>
      <c r="G58" s="1" t="str">
        <v>Brasil</v>
      </c>
      <c r="H58" s="1" t="str">
        <v>63</v>
      </c>
      <c r="I58" s="1" t="str">
        <v>IPCA - Variação mensal</v>
      </c>
      <c r="J58" s="1" t="str">
        <v>202207</v>
      </c>
      <c r="K58" s="1" t="str">
        <v>julho 2022</v>
      </c>
      <c r="L58" s="1" t="str">
        <v>7258</v>
      </c>
      <c r="M58" s="1" t="str">
        <v>1106005.Banana - d'água</v>
      </c>
      <c r="Q58" s="1" t="str">
        <f t="shared" si="0"/>
        <v>1106005.Banana - d'água</v>
      </c>
      <c r="R58" s="1" t="str">
        <f t="shared" si="1"/>
        <v>202207</v>
      </c>
      <c r="S58" s="1">
        <f t="shared" si="2"/>
        <v>11.36</v>
      </c>
    </row>
    <row r="59" spans="1:19" x14ac:dyDescent="0.2">
      <c r="A59" s="1" t="str">
        <v>1</v>
      </c>
      <c r="B59" s="1" t="str">
        <v>Brasil</v>
      </c>
      <c r="C59" s="1" t="str">
        <v>2</v>
      </c>
      <c r="D59" s="1" t="str">
        <v>%</v>
      </c>
      <c r="E59" s="1" t="str">
        <v>-4.50</v>
      </c>
      <c r="F59" s="1" t="str">
        <v>1</v>
      </c>
      <c r="G59" s="1" t="str">
        <v>Brasil</v>
      </c>
      <c r="H59" s="1" t="str">
        <v>63</v>
      </c>
      <c r="I59" s="1" t="str">
        <v>IPCA - Variação mensal</v>
      </c>
      <c r="J59" s="1" t="str">
        <v>202207</v>
      </c>
      <c r="K59" s="1" t="str">
        <v>julho 2022</v>
      </c>
      <c r="L59" s="1" t="str">
        <v>7259</v>
      </c>
      <c r="M59" s="1" t="str">
        <v>1106006.Banana - maçã</v>
      </c>
      <c r="Q59" s="1" t="str">
        <f t="shared" si="0"/>
        <v>1106006.Banana - maçã</v>
      </c>
      <c r="R59" s="1" t="str">
        <f t="shared" si="1"/>
        <v>202207</v>
      </c>
      <c r="S59" s="1">
        <f t="shared" si="2"/>
        <v>-4.5</v>
      </c>
    </row>
    <row r="60" spans="1:19" x14ac:dyDescent="0.2">
      <c r="A60" s="1" t="str">
        <v>1</v>
      </c>
      <c r="B60" s="1" t="str">
        <v>Brasil</v>
      </c>
      <c r="C60" s="1" t="str">
        <v>2</v>
      </c>
      <c r="D60" s="1" t="str">
        <v>%</v>
      </c>
      <c r="E60" s="1" t="str">
        <v>4.04</v>
      </c>
      <c r="F60" s="1" t="str">
        <v>1</v>
      </c>
      <c r="G60" s="1" t="str">
        <v>Brasil</v>
      </c>
      <c r="H60" s="1" t="str">
        <v>63</v>
      </c>
      <c r="I60" s="1" t="str">
        <v>IPCA - Variação mensal</v>
      </c>
      <c r="J60" s="1" t="str">
        <v>202207</v>
      </c>
      <c r="K60" s="1" t="str">
        <v>julho 2022</v>
      </c>
      <c r="L60" s="1" t="str">
        <v>7260</v>
      </c>
      <c r="M60" s="1" t="str">
        <v>1106008.Banana - prata</v>
      </c>
      <c r="Q60" s="1" t="str">
        <f t="shared" si="0"/>
        <v>1106008.Banana - prata</v>
      </c>
      <c r="R60" s="1" t="str">
        <f t="shared" si="1"/>
        <v>202207</v>
      </c>
      <c r="S60" s="1">
        <f t="shared" si="2"/>
        <v>4.04</v>
      </c>
    </row>
    <row r="61" spans="1:19" x14ac:dyDescent="0.2">
      <c r="A61" s="1" t="str">
        <v>1</v>
      </c>
      <c r="B61" s="1" t="str">
        <v>Brasil</v>
      </c>
      <c r="C61" s="1" t="str">
        <v>2</v>
      </c>
      <c r="D61" s="1" t="str">
        <v>%</v>
      </c>
      <c r="E61" s="1" t="str">
        <v>-8.02</v>
      </c>
      <c r="F61" s="1" t="str">
        <v>1</v>
      </c>
      <c r="G61" s="1" t="str">
        <v>Brasil</v>
      </c>
      <c r="H61" s="1" t="str">
        <v>63</v>
      </c>
      <c r="I61" s="1" t="str">
        <v>IPCA - Variação mensal</v>
      </c>
      <c r="J61" s="1" t="str">
        <v>202207</v>
      </c>
      <c r="K61" s="1" t="str">
        <v>julho 2022</v>
      </c>
      <c r="L61" s="1" t="str">
        <v>7262</v>
      </c>
      <c r="M61" s="1" t="str">
        <v>1106011.Laranja - baía</v>
      </c>
      <c r="Q61" s="1" t="str">
        <f t="shared" si="0"/>
        <v>1106011.Laranja - baía</v>
      </c>
      <c r="R61" s="1" t="str">
        <f t="shared" si="1"/>
        <v>202207</v>
      </c>
      <c r="S61" s="1">
        <f t="shared" si="2"/>
        <v>-8.02</v>
      </c>
    </row>
    <row r="62" spans="1:19" x14ac:dyDescent="0.2">
      <c r="A62" s="1" t="str">
        <v>1</v>
      </c>
      <c r="B62" s="1" t="str">
        <v>Brasil</v>
      </c>
      <c r="C62" s="1" t="str">
        <v>2</v>
      </c>
      <c r="D62" s="1" t="str">
        <v>%</v>
      </c>
      <c r="E62" s="1" t="str">
        <v>-2.85</v>
      </c>
      <c r="F62" s="1" t="str">
        <v>1</v>
      </c>
      <c r="G62" s="1" t="str">
        <v>Brasil</v>
      </c>
      <c r="H62" s="1" t="str">
        <v>63</v>
      </c>
      <c r="I62" s="1" t="str">
        <v>IPCA - Variação mensal</v>
      </c>
      <c r="J62" s="1" t="str">
        <v>202207</v>
      </c>
      <c r="K62" s="1" t="str">
        <v>julho 2022</v>
      </c>
      <c r="L62" s="1" t="str">
        <v>7263</v>
      </c>
      <c r="M62" s="1" t="str">
        <v>1106012.Laranja - lima</v>
      </c>
      <c r="Q62" s="1" t="str">
        <f t="shared" si="0"/>
        <v>1106012.Laranja - lima</v>
      </c>
      <c r="R62" s="1" t="str">
        <f t="shared" si="1"/>
        <v>202207</v>
      </c>
      <c r="S62" s="1">
        <f t="shared" si="2"/>
        <v>-2.85</v>
      </c>
    </row>
    <row r="63" spans="1:19" x14ac:dyDescent="0.2">
      <c r="A63" s="1" t="str">
        <v>1</v>
      </c>
      <c r="B63" s="1" t="str">
        <v>Brasil</v>
      </c>
      <c r="C63" s="1" t="str">
        <v>2</v>
      </c>
      <c r="D63" s="1" t="str">
        <v>%</v>
      </c>
      <c r="E63" s="1" t="str">
        <v>-0.38</v>
      </c>
      <c r="F63" s="1" t="str">
        <v>1</v>
      </c>
      <c r="G63" s="1" t="str">
        <v>Brasil</v>
      </c>
      <c r="H63" s="1" t="str">
        <v>63</v>
      </c>
      <c r="I63" s="1" t="str">
        <v>IPCA - Variação mensal</v>
      </c>
      <c r="J63" s="1" t="str">
        <v>202207</v>
      </c>
      <c r="K63" s="1" t="str">
        <v>julho 2022</v>
      </c>
      <c r="L63" s="1" t="str">
        <v>7265</v>
      </c>
      <c r="M63" s="1" t="str">
        <v>1106015.Limão</v>
      </c>
      <c r="Q63" s="1" t="str">
        <f t="shared" si="0"/>
        <v>1106015.Limão</v>
      </c>
      <c r="R63" s="1" t="str">
        <f t="shared" si="1"/>
        <v>202207</v>
      </c>
      <c r="S63" s="1">
        <f t="shared" si="2"/>
        <v>-0.38</v>
      </c>
    </row>
    <row r="64" spans="1:19" x14ac:dyDescent="0.2">
      <c r="A64" s="1" t="str">
        <v>1</v>
      </c>
      <c r="B64" s="1" t="str">
        <v>Brasil</v>
      </c>
      <c r="C64" s="1" t="str">
        <v>2</v>
      </c>
      <c r="D64" s="1" t="str">
        <v>%</v>
      </c>
      <c r="E64" s="1" t="str">
        <v>1.09</v>
      </c>
      <c r="F64" s="1" t="str">
        <v>1</v>
      </c>
      <c r="G64" s="1" t="str">
        <v>Brasil</v>
      </c>
      <c r="H64" s="1" t="str">
        <v>63</v>
      </c>
      <c r="I64" s="1" t="str">
        <v>IPCA - Variação mensal</v>
      </c>
      <c r="J64" s="1" t="str">
        <v>202207</v>
      </c>
      <c r="K64" s="1" t="str">
        <v>julho 2022</v>
      </c>
      <c r="L64" s="1" t="str">
        <v>7266</v>
      </c>
      <c r="M64" s="1" t="str">
        <v>1106017.Maçã</v>
      </c>
      <c r="Q64" s="1" t="str">
        <f t="shared" si="0"/>
        <v>1106017.Maçã</v>
      </c>
      <c r="R64" s="1" t="str">
        <f t="shared" si="1"/>
        <v>202207</v>
      </c>
      <c r="S64" s="1">
        <f t="shared" si="2"/>
        <v>1.0900000000000001</v>
      </c>
    </row>
    <row r="65" spans="1:19" x14ac:dyDescent="0.2">
      <c r="A65" s="1" t="str">
        <v>1</v>
      </c>
      <c r="B65" s="1" t="str">
        <v>Brasil</v>
      </c>
      <c r="C65" s="1" t="str">
        <v>2</v>
      </c>
      <c r="D65" s="1" t="str">
        <v>%</v>
      </c>
      <c r="E65" s="1" t="str">
        <v>13.52</v>
      </c>
      <c r="F65" s="1" t="str">
        <v>1</v>
      </c>
      <c r="G65" s="1" t="str">
        <v>Brasil</v>
      </c>
      <c r="H65" s="1" t="str">
        <v>63</v>
      </c>
      <c r="I65" s="1" t="str">
        <v>IPCA - Variação mensal</v>
      </c>
      <c r="J65" s="1" t="str">
        <v>202207</v>
      </c>
      <c r="K65" s="1" t="str">
        <v>julho 2022</v>
      </c>
      <c r="L65" s="1" t="str">
        <v>7267</v>
      </c>
      <c r="M65" s="1" t="str">
        <v>1106018.Mamão</v>
      </c>
      <c r="Q65" s="1" t="str">
        <f t="shared" si="0"/>
        <v>1106018.Mamão</v>
      </c>
      <c r="R65" s="1" t="str">
        <f t="shared" si="1"/>
        <v>202207</v>
      </c>
      <c r="S65" s="1">
        <f t="shared" si="2"/>
        <v>13.52</v>
      </c>
    </row>
    <row r="66" spans="1:19" x14ac:dyDescent="0.2">
      <c r="A66" s="1" t="str">
        <v>1</v>
      </c>
      <c r="B66" s="1" t="str">
        <v>Brasil</v>
      </c>
      <c r="C66" s="1" t="str">
        <v>2</v>
      </c>
      <c r="D66" s="1" t="str">
        <v>%</v>
      </c>
      <c r="E66" s="1" t="str">
        <v>1.36</v>
      </c>
      <c r="F66" s="1" t="str">
        <v>1</v>
      </c>
      <c r="G66" s="1" t="str">
        <v>Brasil</v>
      </c>
      <c r="H66" s="1" t="str">
        <v>63</v>
      </c>
      <c r="I66" s="1" t="str">
        <v>IPCA - Variação mensal</v>
      </c>
      <c r="J66" s="1" t="str">
        <v>202207</v>
      </c>
      <c r="K66" s="1" t="str">
        <v>julho 2022</v>
      </c>
      <c r="L66" s="1" t="str">
        <v>7268</v>
      </c>
      <c r="M66" s="1" t="str">
        <v>1106019.Manga</v>
      </c>
      <c r="Q66" s="1" t="str">
        <f t="shared" si="0"/>
        <v>1106019.Manga</v>
      </c>
      <c r="R66" s="1" t="str">
        <f t="shared" si="1"/>
        <v>202207</v>
      </c>
      <c r="S66" s="1">
        <f t="shared" si="2"/>
        <v>1.36</v>
      </c>
    </row>
    <row r="67" spans="1:19" x14ac:dyDescent="0.2">
      <c r="A67" s="1" t="str">
        <v>1</v>
      </c>
      <c r="B67" s="1" t="str">
        <v>Brasil</v>
      </c>
      <c r="C67" s="1" t="str">
        <v>2</v>
      </c>
      <c r="D67" s="1" t="str">
        <v>%</v>
      </c>
      <c r="E67" s="1" t="str">
        <v>-5.96</v>
      </c>
      <c r="F67" s="1" t="str">
        <v>1</v>
      </c>
      <c r="G67" s="1" t="str">
        <v>Brasil</v>
      </c>
      <c r="H67" s="1" t="str">
        <v>63</v>
      </c>
      <c r="I67" s="1" t="str">
        <v>IPCA - Variação mensal</v>
      </c>
      <c r="J67" s="1" t="str">
        <v>202207</v>
      </c>
      <c r="K67" s="1" t="str">
        <v>julho 2022</v>
      </c>
      <c r="L67" s="1" t="str">
        <v>7269</v>
      </c>
      <c r="M67" s="1" t="str">
        <v>1106020.Maracujá</v>
      </c>
      <c r="Q67" s="1" t="str">
        <f t="shared" si="0"/>
        <v>1106020.Maracujá</v>
      </c>
      <c r="R67" s="1" t="str">
        <f t="shared" si="1"/>
        <v>202207</v>
      </c>
      <c r="S67" s="1">
        <f t="shared" si="2"/>
        <v>-5.96</v>
      </c>
    </row>
    <row r="68" spans="1:19" x14ac:dyDescent="0.2">
      <c r="A68" s="1" t="str">
        <v>1</v>
      </c>
      <c r="B68" s="1" t="str">
        <v>Brasil</v>
      </c>
      <c r="C68" s="1" t="str">
        <v>2</v>
      </c>
      <c r="D68" s="1" t="str">
        <v>%</v>
      </c>
      <c r="E68" s="1" t="str">
        <v>31.26</v>
      </c>
      <c r="F68" s="1" t="str">
        <v>1</v>
      </c>
      <c r="G68" s="1" t="str">
        <v>Brasil</v>
      </c>
      <c r="H68" s="1" t="str">
        <v>63</v>
      </c>
      <c r="I68" s="1" t="str">
        <v>IPCA - Variação mensal</v>
      </c>
      <c r="J68" s="1" t="str">
        <v>202207</v>
      </c>
      <c r="K68" s="1" t="str">
        <v>julho 2022</v>
      </c>
      <c r="L68" s="1" t="str">
        <v>7270</v>
      </c>
      <c r="M68" s="1" t="str">
        <v>1106021.Melancia</v>
      </c>
      <c r="Q68" s="1" t="str">
        <f t="shared" si="0"/>
        <v>1106021.Melancia</v>
      </c>
      <c r="R68" s="1" t="str">
        <f t="shared" si="1"/>
        <v>202207</v>
      </c>
      <c r="S68" s="1">
        <f t="shared" si="2"/>
        <v>31.26</v>
      </c>
    </row>
    <row r="69" spans="1:19" x14ac:dyDescent="0.2">
      <c r="A69" s="1" t="str">
        <v>1</v>
      </c>
      <c r="B69" s="1" t="str">
        <v>Brasil</v>
      </c>
      <c r="C69" s="1" t="str">
        <v>2</v>
      </c>
      <c r="D69" s="1" t="str">
        <v>%</v>
      </c>
      <c r="E69" s="1" t="str">
        <v>-4.35</v>
      </c>
      <c r="F69" s="1" t="str">
        <v>1</v>
      </c>
      <c r="G69" s="1" t="str">
        <v>Brasil</v>
      </c>
      <c r="H69" s="1" t="str">
        <v>63</v>
      </c>
      <c r="I69" s="1" t="str">
        <v>IPCA - Variação mensal</v>
      </c>
      <c r="J69" s="1" t="str">
        <v>202207</v>
      </c>
      <c r="K69" s="1" t="str">
        <v>julho 2022</v>
      </c>
      <c r="L69" s="1" t="str">
        <v>7271</v>
      </c>
      <c r="M69" s="1" t="str">
        <v>1106022.Melão</v>
      </c>
      <c r="Q69" s="1" t="str">
        <f t="shared" si="0"/>
        <v>1106022.Melão</v>
      </c>
      <c r="R69" s="1" t="str">
        <f t="shared" si="1"/>
        <v>202207</v>
      </c>
      <c r="S69" s="1">
        <f t="shared" si="2"/>
        <v>-4.3499999999999996</v>
      </c>
    </row>
    <row r="70" spans="1:19" x14ac:dyDescent="0.2">
      <c r="A70" s="1" t="str">
        <v>1</v>
      </c>
      <c r="B70" s="1" t="str">
        <v>Brasil</v>
      </c>
      <c r="C70" s="1" t="str">
        <v>2</v>
      </c>
      <c r="D70" s="1" t="str">
        <v>%</v>
      </c>
      <c r="E70" s="1" t="str">
        <v>5.92</v>
      </c>
      <c r="F70" s="1" t="str">
        <v>1</v>
      </c>
      <c r="G70" s="1" t="str">
        <v>Brasil</v>
      </c>
      <c r="H70" s="1" t="str">
        <v>63</v>
      </c>
      <c r="I70" s="1" t="str">
        <v>IPCA - Variação mensal</v>
      </c>
      <c r="J70" s="1" t="str">
        <v>202207</v>
      </c>
      <c r="K70" s="1" t="str">
        <v>julho 2022</v>
      </c>
      <c r="L70" s="1" t="str">
        <v>7272</v>
      </c>
      <c r="M70" s="1" t="str">
        <v>1106023.Pera</v>
      </c>
      <c r="Q70" s="1" t="str">
        <f t="shared" si="0"/>
        <v>1106023.Pera</v>
      </c>
      <c r="R70" s="1" t="str">
        <f t="shared" si="1"/>
        <v>202207</v>
      </c>
      <c r="S70" s="1">
        <f t="shared" si="2"/>
        <v>5.92</v>
      </c>
    </row>
    <row r="71" spans="1:19" x14ac:dyDescent="0.2">
      <c r="A71" s="1" t="str">
        <v>1</v>
      </c>
      <c r="B71" s="1" t="str">
        <v>Brasil</v>
      </c>
      <c r="C71" s="1" t="str">
        <v>2</v>
      </c>
      <c r="D71" s="1" t="str">
        <v>%</v>
      </c>
      <c r="E71" s="1" t="str">
        <v>-0.21</v>
      </c>
      <c r="F71" s="1" t="str">
        <v>1</v>
      </c>
      <c r="G71" s="1" t="str">
        <v>Brasil</v>
      </c>
      <c r="H71" s="1" t="str">
        <v>63</v>
      </c>
      <c r="I71" s="1" t="str">
        <v>IPCA - Variação mensal</v>
      </c>
      <c r="J71" s="1" t="str">
        <v>202207</v>
      </c>
      <c r="K71" s="1" t="str">
        <v>julho 2022</v>
      </c>
      <c r="L71" s="1" t="str">
        <v>7275</v>
      </c>
      <c r="M71" s="1" t="str">
        <v>1106027.Tangerina</v>
      </c>
      <c r="Q71" s="1" t="str">
        <f t="shared" ref="Q71:Q134" si="3">M71</f>
        <v>1106027.Tangerina</v>
      </c>
      <c r="R71" s="1" t="str">
        <f t="shared" ref="R71:R134" si="4">J71</f>
        <v>202207</v>
      </c>
      <c r="S71" s="1">
        <f t="shared" ref="S71:S134" si="5">IFERROR(_xlfn.NUMBERVALUE(E71,".",","), "")</f>
        <v>-0.21</v>
      </c>
    </row>
    <row r="72" spans="1:19" x14ac:dyDescent="0.2">
      <c r="A72" s="1" t="str">
        <v>1</v>
      </c>
      <c r="B72" s="1" t="str">
        <v>Brasil</v>
      </c>
      <c r="C72" s="1" t="str">
        <v>2</v>
      </c>
      <c r="D72" s="1" t="str">
        <v>%</v>
      </c>
      <c r="E72" s="1" t="str">
        <v>-1.33</v>
      </c>
      <c r="F72" s="1" t="str">
        <v>1</v>
      </c>
      <c r="G72" s="1" t="str">
        <v>Brasil</v>
      </c>
      <c r="H72" s="1" t="str">
        <v>63</v>
      </c>
      <c r="I72" s="1" t="str">
        <v>IPCA - Variação mensal</v>
      </c>
      <c r="J72" s="1" t="str">
        <v>202207</v>
      </c>
      <c r="K72" s="1" t="str">
        <v>julho 2022</v>
      </c>
      <c r="L72" s="1" t="str">
        <v>7276</v>
      </c>
      <c r="M72" s="1" t="str">
        <v>1106028.Uva</v>
      </c>
      <c r="Q72" s="1" t="str">
        <f t="shared" si="3"/>
        <v>1106028.Uva</v>
      </c>
      <c r="R72" s="1" t="str">
        <f t="shared" si="4"/>
        <v>202207</v>
      </c>
      <c r="S72" s="1">
        <f t="shared" si="5"/>
        <v>-1.33</v>
      </c>
    </row>
    <row r="73" spans="1:19" x14ac:dyDescent="0.2">
      <c r="A73" s="1" t="str">
        <v>1</v>
      </c>
      <c r="B73" s="1" t="str">
        <v>Brasil</v>
      </c>
      <c r="C73" s="1" t="str">
        <v>2</v>
      </c>
      <c r="D73" s="1" t="str">
        <v>%</v>
      </c>
      <c r="E73" s="1" t="str">
        <v>-2.12</v>
      </c>
      <c r="F73" s="1" t="str">
        <v>1</v>
      </c>
      <c r="G73" s="1" t="str">
        <v>Brasil</v>
      </c>
      <c r="H73" s="1" t="str">
        <v>63</v>
      </c>
      <c r="I73" s="1" t="str">
        <v>IPCA - Variação mensal</v>
      </c>
      <c r="J73" s="1" t="str">
        <v>202207</v>
      </c>
      <c r="K73" s="1" t="str">
        <v>julho 2022</v>
      </c>
      <c r="L73" s="1" t="str">
        <v>7279</v>
      </c>
      <c r="M73" s="1" t="str">
        <v>1106039.Laranja - pera</v>
      </c>
      <c r="Q73" s="1" t="str">
        <f t="shared" si="3"/>
        <v>1106039.Laranja - pera</v>
      </c>
      <c r="R73" s="1" t="str">
        <f t="shared" si="4"/>
        <v>202207</v>
      </c>
      <c r="S73" s="1">
        <f t="shared" si="5"/>
        <v>-2.12</v>
      </c>
    </row>
    <row r="74" spans="1:19" x14ac:dyDescent="0.2">
      <c r="A74" s="1" t="str">
        <v>1</v>
      </c>
      <c r="B74" s="1" t="str">
        <v>Brasil</v>
      </c>
      <c r="C74" s="1" t="str">
        <v>2</v>
      </c>
      <c r="D74" s="1" t="str">
        <v>%</v>
      </c>
      <c r="E74" s="1" t="str">
        <v>-1.76</v>
      </c>
      <c r="F74" s="1" t="str">
        <v>1</v>
      </c>
      <c r="G74" s="1" t="str">
        <v>Brasil</v>
      </c>
      <c r="H74" s="1" t="str">
        <v>63</v>
      </c>
      <c r="I74" s="1" t="str">
        <v>IPCA - Variação mensal</v>
      </c>
      <c r="J74" s="1" t="str">
        <v>202207</v>
      </c>
      <c r="K74" s="1" t="str">
        <v>julho 2022</v>
      </c>
      <c r="L74" s="1" t="str">
        <v>7280</v>
      </c>
      <c r="M74" s="1" t="str">
        <v>1106051.Morango</v>
      </c>
      <c r="Q74" s="1" t="str">
        <f t="shared" si="3"/>
        <v>1106051.Morango</v>
      </c>
      <c r="R74" s="1" t="str">
        <f t="shared" si="4"/>
        <v>202207</v>
      </c>
      <c r="S74" s="1">
        <f t="shared" si="5"/>
        <v>-1.76</v>
      </c>
    </row>
    <row r="75" spans="1:19" x14ac:dyDescent="0.2">
      <c r="A75" s="1" t="str">
        <v>1</v>
      </c>
      <c r="B75" s="1" t="str">
        <v>Brasil</v>
      </c>
      <c r="C75" s="1" t="str">
        <v>2</v>
      </c>
      <c r="D75" s="1" t="str">
        <v>%</v>
      </c>
      <c r="E75" s="1" t="str">
        <v>-2.33</v>
      </c>
      <c r="F75" s="1" t="str">
        <v>1</v>
      </c>
      <c r="G75" s="1" t="str">
        <v>Brasil</v>
      </c>
      <c r="H75" s="1" t="str">
        <v>63</v>
      </c>
      <c r="I75" s="1" t="str">
        <v>IPCA - Variação mensal</v>
      </c>
      <c r="J75" s="1" t="str">
        <v>202207</v>
      </c>
      <c r="K75" s="1" t="str">
        <v>julho 2022</v>
      </c>
      <c r="L75" s="1" t="str">
        <v>7281</v>
      </c>
      <c r="M75" s="1" t="str">
        <v>1106084.Goiaba</v>
      </c>
      <c r="Q75" s="1" t="str">
        <f t="shared" si="3"/>
        <v>1106084.Goiaba</v>
      </c>
      <c r="R75" s="1" t="str">
        <f t="shared" si="4"/>
        <v>202207</v>
      </c>
      <c r="S75" s="1">
        <f t="shared" si="5"/>
        <v>-2.33</v>
      </c>
    </row>
    <row r="76" spans="1:19" x14ac:dyDescent="0.2">
      <c r="A76" s="1" t="str">
        <v>1</v>
      </c>
      <c r="B76" s="1" t="str">
        <v>Brasil</v>
      </c>
      <c r="C76" s="1" t="str">
        <v>2</v>
      </c>
      <c r="D76" s="1" t="str">
        <v>%</v>
      </c>
      <c r="E76" s="1" t="str">
        <v>-0.21</v>
      </c>
      <c r="F76" s="1" t="str">
        <v>1</v>
      </c>
      <c r="G76" s="1" t="str">
        <v>Brasil</v>
      </c>
      <c r="H76" s="1" t="str">
        <v>63</v>
      </c>
      <c r="I76" s="1" t="str">
        <v>IPCA - Variação mensal</v>
      </c>
      <c r="J76" s="1" t="str">
        <v>202207</v>
      </c>
      <c r="K76" s="1" t="str">
        <v>julho 2022</v>
      </c>
      <c r="L76" s="1" t="str">
        <v>7283</v>
      </c>
      <c r="M76" s="1" t="str">
        <v>1107.Carnes</v>
      </c>
      <c r="Q76" s="1" t="str">
        <f t="shared" si="3"/>
        <v>1107.Carnes</v>
      </c>
      <c r="R76" s="1" t="str">
        <f t="shared" si="4"/>
        <v>202207</v>
      </c>
      <c r="S76" s="1">
        <f t="shared" si="5"/>
        <v>-0.21</v>
      </c>
    </row>
    <row r="77" spans="1:19" x14ac:dyDescent="0.2">
      <c r="A77" s="1" t="str">
        <v>1</v>
      </c>
      <c r="B77" s="1" t="str">
        <v>Brasil</v>
      </c>
      <c r="C77" s="1" t="str">
        <v>2</v>
      </c>
      <c r="D77" s="1" t="str">
        <v>%</v>
      </c>
      <c r="E77" s="1" t="str">
        <v>1.25</v>
      </c>
      <c r="F77" s="1" t="str">
        <v>1</v>
      </c>
      <c r="G77" s="1" t="str">
        <v>Brasil</v>
      </c>
      <c r="H77" s="1" t="str">
        <v>63</v>
      </c>
      <c r="I77" s="1" t="str">
        <v>IPCA - Variação mensal</v>
      </c>
      <c r="J77" s="1" t="str">
        <v>202207</v>
      </c>
      <c r="K77" s="1" t="str">
        <v>julho 2022</v>
      </c>
      <c r="L77" s="1" t="str">
        <v>7285</v>
      </c>
      <c r="M77" s="1" t="str">
        <v>1107009.Fígado</v>
      </c>
      <c r="Q77" s="1" t="str">
        <f t="shared" si="3"/>
        <v>1107009.Fígado</v>
      </c>
      <c r="R77" s="1" t="str">
        <f t="shared" si="4"/>
        <v>202207</v>
      </c>
      <c r="S77" s="1">
        <f t="shared" si="5"/>
        <v>1.25</v>
      </c>
    </row>
    <row r="78" spans="1:19" x14ac:dyDescent="0.2">
      <c r="A78" s="1" t="str">
        <v>1</v>
      </c>
      <c r="B78" s="1" t="str">
        <v>Brasil</v>
      </c>
      <c r="C78" s="1" t="str">
        <v>2</v>
      </c>
      <c r="D78" s="1" t="str">
        <v>%</v>
      </c>
      <c r="E78" s="1" t="str">
        <v>0.43</v>
      </c>
      <c r="F78" s="1" t="str">
        <v>1</v>
      </c>
      <c r="G78" s="1" t="str">
        <v>Brasil</v>
      </c>
      <c r="H78" s="1" t="str">
        <v>63</v>
      </c>
      <c r="I78" s="1" t="str">
        <v>IPCA - Variação mensal</v>
      </c>
      <c r="J78" s="1" t="str">
        <v>202207</v>
      </c>
      <c r="K78" s="1" t="str">
        <v>julho 2022</v>
      </c>
      <c r="L78" s="1" t="str">
        <v>7287</v>
      </c>
      <c r="M78" s="1" t="str">
        <v>1107018.Carne de porco</v>
      </c>
      <c r="Q78" s="1" t="str">
        <f t="shared" si="3"/>
        <v>1107018.Carne de porco</v>
      </c>
      <c r="R78" s="1" t="str">
        <f t="shared" si="4"/>
        <v>202207</v>
      </c>
      <c r="S78" s="1">
        <f t="shared" si="5"/>
        <v>0.43</v>
      </c>
    </row>
    <row r="79" spans="1:19" x14ac:dyDescent="0.2">
      <c r="A79" s="1" t="str">
        <v>1</v>
      </c>
      <c r="B79" s="1" t="str">
        <v>Brasil</v>
      </c>
      <c r="C79" s="1" t="str">
        <v>2</v>
      </c>
      <c r="D79" s="1" t="str">
        <v>%</v>
      </c>
      <c r="E79" s="1" t="str">
        <v>0.58</v>
      </c>
      <c r="F79" s="1" t="str">
        <v>1</v>
      </c>
      <c r="G79" s="1" t="str">
        <v>Brasil</v>
      </c>
      <c r="H79" s="1" t="str">
        <v>63</v>
      </c>
      <c r="I79" s="1" t="str">
        <v>IPCA - Variação mensal</v>
      </c>
      <c r="J79" s="1" t="str">
        <v>202207</v>
      </c>
      <c r="K79" s="1" t="str">
        <v>julho 2022</v>
      </c>
      <c r="L79" s="1" t="str">
        <v>7288</v>
      </c>
      <c r="M79" s="1" t="str">
        <v>1107031.Carne de carneiro</v>
      </c>
      <c r="Q79" s="1" t="str">
        <f t="shared" si="3"/>
        <v>1107031.Carne de carneiro</v>
      </c>
      <c r="R79" s="1" t="str">
        <f t="shared" si="4"/>
        <v>202207</v>
      </c>
      <c r="S79" s="1">
        <f t="shared" si="5"/>
        <v>0.57999999999999996</v>
      </c>
    </row>
    <row r="80" spans="1:19" x14ac:dyDescent="0.2">
      <c r="A80" s="1" t="str">
        <v>1</v>
      </c>
      <c r="B80" s="1" t="str">
        <v>Brasil</v>
      </c>
      <c r="C80" s="1" t="str">
        <v>2</v>
      </c>
      <c r="D80" s="1" t="str">
        <v>%</v>
      </c>
      <c r="E80" s="1" t="str">
        <v>2.74</v>
      </c>
      <c r="F80" s="1" t="str">
        <v>1</v>
      </c>
      <c r="G80" s="1" t="str">
        <v>Brasil</v>
      </c>
      <c r="H80" s="1" t="str">
        <v>63</v>
      </c>
      <c r="I80" s="1" t="str">
        <v>IPCA - Variação mensal</v>
      </c>
      <c r="J80" s="1" t="str">
        <v>202207</v>
      </c>
      <c r="K80" s="1" t="str">
        <v>julho 2022</v>
      </c>
      <c r="L80" s="1" t="str">
        <v>7290</v>
      </c>
      <c r="M80" s="1" t="str">
        <v>1107081.Cupim</v>
      </c>
      <c r="Q80" s="1" t="str">
        <f t="shared" si="3"/>
        <v>1107081.Cupim</v>
      </c>
      <c r="R80" s="1" t="str">
        <f t="shared" si="4"/>
        <v>202207</v>
      </c>
      <c r="S80" s="1">
        <f t="shared" si="5"/>
        <v>2.74</v>
      </c>
    </row>
    <row r="81" spans="1:19" x14ac:dyDescent="0.2">
      <c r="A81" s="1" t="str">
        <v>1</v>
      </c>
      <c r="B81" s="1" t="str">
        <v>Brasil</v>
      </c>
      <c r="C81" s="1" t="str">
        <v>2</v>
      </c>
      <c r="D81" s="1" t="str">
        <v>%</v>
      </c>
      <c r="E81" s="1" t="str">
        <v>-0.83</v>
      </c>
      <c r="F81" s="1" t="str">
        <v>1</v>
      </c>
      <c r="G81" s="1" t="str">
        <v>Brasil</v>
      </c>
      <c r="H81" s="1" t="str">
        <v>63</v>
      </c>
      <c r="I81" s="1" t="str">
        <v>IPCA - Variação mensal</v>
      </c>
      <c r="J81" s="1" t="str">
        <v>202207</v>
      </c>
      <c r="K81" s="1" t="str">
        <v>julho 2022</v>
      </c>
      <c r="L81" s="1" t="str">
        <v>7291</v>
      </c>
      <c r="M81" s="1" t="str">
        <v>1107084.Contrafilé</v>
      </c>
      <c r="Q81" s="1" t="str">
        <f t="shared" si="3"/>
        <v>1107084.Contrafilé</v>
      </c>
      <c r="R81" s="1" t="str">
        <f t="shared" si="4"/>
        <v>202207</v>
      </c>
      <c r="S81" s="1">
        <f t="shared" si="5"/>
        <v>-0.83</v>
      </c>
    </row>
    <row r="82" spans="1:19" x14ac:dyDescent="0.2">
      <c r="A82" s="1" t="str">
        <v>1</v>
      </c>
      <c r="B82" s="1" t="str">
        <v>Brasil</v>
      </c>
      <c r="C82" s="1" t="str">
        <v>2</v>
      </c>
      <c r="D82" s="1" t="str">
        <v>%</v>
      </c>
      <c r="E82" s="1" t="str">
        <v>-0.10</v>
      </c>
      <c r="F82" s="1" t="str">
        <v>1</v>
      </c>
      <c r="G82" s="1" t="str">
        <v>Brasil</v>
      </c>
      <c r="H82" s="1" t="str">
        <v>63</v>
      </c>
      <c r="I82" s="1" t="str">
        <v>IPCA - Variação mensal</v>
      </c>
      <c r="J82" s="1" t="str">
        <v>202207</v>
      </c>
      <c r="K82" s="1" t="str">
        <v>julho 2022</v>
      </c>
      <c r="L82" s="1" t="str">
        <v>7292</v>
      </c>
      <c r="M82" s="1" t="str">
        <v>1107085.Filé-mignon</v>
      </c>
      <c r="Q82" s="1" t="str">
        <f t="shared" si="3"/>
        <v>1107085.Filé-mignon</v>
      </c>
      <c r="R82" s="1" t="str">
        <f t="shared" si="4"/>
        <v>202207</v>
      </c>
      <c r="S82" s="1">
        <f t="shared" si="5"/>
        <v>-0.1</v>
      </c>
    </row>
    <row r="83" spans="1:19" x14ac:dyDescent="0.2">
      <c r="A83" s="1" t="str">
        <v>1</v>
      </c>
      <c r="B83" s="1" t="str">
        <v>Brasil</v>
      </c>
      <c r="C83" s="1" t="str">
        <v>2</v>
      </c>
      <c r="D83" s="1" t="str">
        <v>%</v>
      </c>
      <c r="E83" s="1" t="str">
        <v>0.45</v>
      </c>
      <c r="F83" s="1" t="str">
        <v>1</v>
      </c>
      <c r="G83" s="1" t="str">
        <v>Brasil</v>
      </c>
      <c r="H83" s="1" t="str">
        <v>63</v>
      </c>
      <c r="I83" s="1" t="str">
        <v>IPCA - Variação mensal</v>
      </c>
      <c r="J83" s="1" t="str">
        <v>202207</v>
      </c>
      <c r="K83" s="1" t="str">
        <v>julho 2022</v>
      </c>
      <c r="L83" s="1" t="str">
        <v>7293</v>
      </c>
      <c r="M83" s="1" t="str">
        <v>1107087.Chã de dentro</v>
      </c>
      <c r="Q83" s="1" t="str">
        <f t="shared" si="3"/>
        <v>1107087.Chã de dentro</v>
      </c>
      <c r="R83" s="1" t="str">
        <f t="shared" si="4"/>
        <v>202207</v>
      </c>
      <c r="S83" s="1">
        <f t="shared" si="5"/>
        <v>0.45</v>
      </c>
    </row>
    <row r="84" spans="1:19" x14ac:dyDescent="0.2">
      <c r="A84" s="1" t="str">
        <v>1</v>
      </c>
      <c r="B84" s="1" t="str">
        <v>Brasil</v>
      </c>
      <c r="C84" s="1" t="str">
        <v>2</v>
      </c>
      <c r="D84" s="1" t="str">
        <v>%</v>
      </c>
      <c r="E84" s="1" t="str">
        <v>-0.92</v>
      </c>
      <c r="F84" s="1" t="str">
        <v>1</v>
      </c>
      <c r="G84" s="1" t="str">
        <v>Brasil</v>
      </c>
      <c r="H84" s="1" t="str">
        <v>63</v>
      </c>
      <c r="I84" s="1" t="str">
        <v>IPCA - Variação mensal</v>
      </c>
      <c r="J84" s="1" t="str">
        <v>202207</v>
      </c>
      <c r="K84" s="1" t="str">
        <v>julho 2022</v>
      </c>
      <c r="L84" s="1" t="str">
        <v>7294</v>
      </c>
      <c r="M84" s="1" t="str">
        <v>1107088.Alcatra</v>
      </c>
      <c r="Q84" s="1" t="str">
        <f t="shared" si="3"/>
        <v>1107088.Alcatra</v>
      </c>
      <c r="R84" s="1" t="str">
        <f t="shared" si="4"/>
        <v>202207</v>
      </c>
      <c r="S84" s="1">
        <f t="shared" si="5"/>
        <v>-0.92</v>
      </c>
    </row>
    <row r="85" spans="1:19" x14ac:dyDescent="0.2">
      <c r="A85" s="1" t="str">
        <v>1</v>
      </c>
      <c r="B85" s="1" t="str">
        <v>Brasil</v>
      </c>
      <c r="C85" s="1" t="str">
        <v>2</v>
      </c>
      <c r="D85" s="1" t="str">
        <v>%</v>
      </c>
      <c r="E85" s="1" t="str">
        <v>-0.93</v>
      </c>
      <c r="F85" s="1" t="str">
        <v>1</v>
      </c>
      <c r="G85" s="1" t="str">
        <v>Brasil</v>
      </c>
      <c r="H85" s="1" t="str">
        <v>63</v>
      </c>
      <c r="I85" s="1" t="str">
        <v>IPCA - Variação mensal</v>
      </c>
      <c r="J85" s="1" t="str">
        <v>202207</v>
      </c>
      <c r="K85" s="1" t="str">
        <v>julho 2022</v>
      </c>
      <c r="L85" s="1" t="str">
        <v>7295</v>
      </c>
      <c r="M85" s="1" t="str">
        <v>1107089.Patinho</v>
      </c>
      <c r="Q85" s="1" t="str">
        <f t="shared" si="3"/>
        <v>1107089.Patinho</v>
      </c>
      <c r="R85" s="1" t="str">
        <f t="shared" si="4"/>
        <v>202207</v>
      </c>
      <c r="S85" s="1">
        <f t="shared" si="5"/>
        <v>-0.93</v>
      </c>
    </row>
    <row r="86" spans="1:19" x14ac:dyDescent="0.2">
      <c r="A86" s="1" t="str">
        <v>1</v>
      </c>
      <c r="B86" s="1" t="str">
        <v>Brasil</v>
      </c>
      <c r="C86" s="1" t="str">
        <v>2</v>
      </c>
      <c r="D86" s="1" t="str">
        <v>%</v>
      </c>
      <c r="E86" s="1" t="str">
        <v>0.50</v>
      </c>
      <c r="F86" s="1" t="str">
        <v>1</v>
      </c>
      <c r="G86" s="1" t="str">
        <v>Brasil</v>
      </c>
      <c r="H86" s="1" t="str">
        <v>63</v>
      </c>
      <c r="I86" s="1" t="str">
        <v>IPCA - Variação mensal</v>
      </c>
      <c r="J86" s="1" t="str">
        <v>202207</v>
      </c>
      <c r="K86" s="1" t="str">
        <v>julho 2022</v>
      </c>
      <c r="L86" s="1" t="str">
        <v>7296</v>
      </c>
      <c r="M86" s="1" t="str">
        <v>1107090.Lagarto redondo</v>
      </c>
      <c r="Q86" s="1" t="str">
        <f t="shared" si="3"/>
        <v>1107090.Lagarto redondo</v>
      </c>
      <c r="R86" s="1" t="str">
        <f t="shared" si="4"/>
        <v>202207</v>
      </c>
      <c r="S86" s="1">
        <f t="shared" si="5"/>
        <v>0.5</v>
      </c>
    </row>
    <row r="87" spans="1:19" x14ac:dyDescent="0.2">
      <c r="A87" s="1" t="str">
        <v>1</v>
      </c>
      <c r="B87" s="1" t="str">
        <v>Brasil</v>
      </c>
      <c r="C87" s="1" t="str">
        <v>2</v>
      </c>
      <c r="D87" s="1" t="str">
        <v>%</v>
      </c>
      <c r="E87" s="1" t="str">
        <v>-0.02</v>
      </c>
      <c r="F87" s="1" t="str">
        <v>1</v>
      </c>
      <c r="G87" s="1" t="str">
        <v>Brasil</v>
      </c>
      <c r="H87" s="1" t="str">
        <v>63</v>
      </c>
      <c r="I87" s="1" t="str">
        <v>IPCA - Variação mensal</v>
      </c>
      <c r="J87" s="1" t="str">
        <v>202207</v>
      </c>
      <c r="K87" s="1" t="str">
        <v>julho 2022</v>
      </c>
      <c r="L87" s="1" t="str">
        <v>12294</v>
      </c>
      <c r="M87" s="1" t="str">
        <v>1107091.Lagarto comum</v>
      </c>
      <c r="Q87" s="1" t="str">
        <f t="shared" si="3"/>
        <v>1107091.Lagarto comum</v>
      </c>
      <c r="R87" s="1" t="str">
        <f t="shared" si="4"/>
        <v>202207</v>
      </c>
      <c r="S87" s="1">
        <f t="shared" si="5"/>
        <v>-0.02</v>
      </c>
    </row>
    <row r="88" spans="1:19" x14ac:dyDescent="0.2">
      <c r="A88" s="1" t="str">
        <v>1</v>
      </c>
      <c r="B88" s="1" t="str">
        <v>Brasil</v>
      </c>
      <c r="C88" s="1" t="str">
        <v>2</v>
      </c>
      <c r="D88" s="1" t="str">
        <v>%</v>
      </c>
      <c r="E88" s="1" t="str">
        <v>-0.27</v>
      </c>
      <c r="F88" s="1" t="str">
        <v>1</v>
      </c>
      <c r="G88" s="1" t="str">
        <v>Brasil</v>
      </c>
      <c r="H88" s="1" t="str">
        <v>63</v>
      </c>
      <c r="I88" s="1" t="str">
        <v>IPCA - Variação mensal</v>
      </c>
      <c r="J88" s="1" t="str">
        <v>202207</v>
      </c>
      <c r="K88" s="1" t="str">
        <v>julho 2022</v>
      </c>
      <c r="L88" s="1" t="str">
        <v>7298</v>
      </c>
      <c r="M88" s="1" t="str">
        <v>1107093.Músculo</v>
      </c>
      <c r="Q88" s="1" t="str">
        <f t="shared" si="3"/>
        <v>1107093.Músculo</v>
      </c>
      <c r="R88" s="1" t="str">
        <f t="shared" si="4"/>
        <v>202207</v>
      </c>
      <c r="S88" s="1">
        <f t="shared" si="5"/>
        <v>-0.27</v>
      </c>
    </row>
    <row r="89" spans="1:19" x14ac:dyDescent="0.2">
      <c r="A89" s="1" t="str">
        <v>1</v>
      </c>
      <c r="B89" s="1" t="str">
        <v>Brasil</v>
      </c>
      <c r="C89" s="1" t="str">
        <v>2</v>
      </c>
      <c r="D89" s="1" t="str">
        <v>%</v>
      </c>
      <c r="E89" s="1" t="str">
        <v>-0.55</v>
      </c>
      <c r="F89" s="1" t="str">
        <v>1</v>
      </c>
      <c r="G89" s="1" t="str">
        <v>Brasil</v>
      </c>
      <c r="H89" s="1" t="str">
        <v>63</v>
      </c>
      <c r="I89" s="1" t="str">
        <v>IPCA - Variação mensal</v>
      </c>
      <c r="J89" s="1" t="str">
        <v>202207</v>
      </c>
      <c r="K89" s="1" t="str">
        <v>julho 2022</v>
      </c>
      <c r="L89" s="1" t="str">
        <v>7299</v>
      </c>
      <c r="M89" s="1" t="str">
        <v>1107094.Pá</v>
      </c>
      <c r="Q89" s="1" t="str">
        <f t="shared" si="3"/>
        <v>1107094.Pá</v>
      </c>
      <c r="R89" s="1" t="str">
        <f t="shared" si="4"/>
        <v>202207</v>
      </c>
      <c r="S89" s="1">
        <f t="shared" si="5"/>
        <v>-0.55000000000000004</v>
      </c>
    </row>
    <row r="90" spans="1:19" x14ac:dyDescent="0.2">
      <c r="A90" s="1" t="str">
        <v>1</v>
      </c>
      <c r="B90" s="1" t="str">
        <v>Brasil</v>
      </c>
      <c r="C90" s="1" t="str">
        <v>2</v>
      </c>
      <c r="D90" s="1" t="str">
        <v>%</v>
      </c>
      <c r="E90" s="1" t="str">
        <v>1.14</v>
      </c>
      <c r="F90" s="1" t="str">
        <v>1</v>
      </c>
      <c r="G90" s="1" t="str">
        <v>Brasil</v>
      </c>
      <c r="H90" s="1" t="str">
        <v>63</v>
      </c>
      <c r="I90" s="1" t="str">
        <v>IPCA - Variação mensal</v>
      </c>
      <c r="J90" s="1" t="str">
        <v>202207</v>
      </c>
      <c r="K90" s="1" t="str">
        <v>julho 2022</v>
      </c>
      <c r="L90" s="1" t="str">
        <v>7300</v>
      </c>
      <c r="M90" s="1" t="str">
        <v>1107095.Acém</v>
      </c>
      <c r="Q90" s="1" t="str">
        <f t="shared" si="3"/>
        <v>1107095.Acém</v>
      </c>
      <c r="R90" s="1" t="str">
        <f t="shared" si="4"/>
        <v>202207</v>
      </c>
      <c r="S90" s="1">
        <f t="shared" si="5"/>
        <v>1.1399999999999999</v>
      </c>
    </row>
    <row r="91" spans="1:19" x14ac:dyDescent="0.2">
      <c r="A91" s="1" t="str">
        <v>1</v>
      </c>
      <c r="B91" s="1" t="str">
        <v>Brasil</v>
      </c>
      <c r="C91" s="1" t="str">
        <v>2</v>
      </c>
      <c r="D91" s="1" t="str">
        <v>%</v>
      </c>
      <c r="E91" s="1" t="str">
        <v>-0.24</v>
      </c>
      <c r="F91" s="1" t="str">
        <v>1</v>
      </c>
      <c r="G91" s="1" t="str">
        <v>Brasil</v>
      </c>
      <c r="H91" s="1" t="str">
        <v>63</v>
      </c>
      <c r="I91" s="1" t="str">
        <v>IPCA - Variação mensal</v>
      </c>
      <c r="J91" s="1" t="str">
        <v>202207</v>
      </c>
      <c r="K91" s="1" t="str">
        <v>julho 2022</v>
      </c>
      <c r="L91" s="1" t="str">
        <v>7301</v>
      </c>
      <c r="M91" s="1" t="str">
        <v>1107096.Peito</v>
      </c>
      <c r="Q91" s="1" t="str">
        <f t="shared" si="3"/>
        <v>1107096.Peito</v>
      </c>
      <c r="R91" s="1" t="str">
        <f t="shared" si="4"/>
        <v>202207</v>
      </c>
      <c r="S91" s="1">
        <f t="shared" si="5"/>
        <v>-0.24</v>
      </c>
    </row>
    <row r="92" spans="1:19" x14ac:dyDescent="0.2">
      <c r="A92" s="1" t="str">
        <v>1</v>
      </c>
      <c r="B92" s="1" t="str">
        <v>Brasil</v>
      </c>
      <c r="C92" s="1" t="str">
        <v>2</v>
      </c>
      <c r="D92" s="1" t="str">
        <v>%</v>
      </c>
      <c r="E92" s="1" t="str">
        <v>-0.09</v>
      </c>
      <c r="F92" s="1" t="str">
        <v>1</v>
      </c>
      <c r="G92" s="1" t="str">
        <v>Brasil</v>
      </c>
      <c r="H92" s="1" t="str">
        <v>63</v>
      </c>
      <c r="I92" s="1" t="str">
        <v>IPCA - Variação mensal</v>
      </c>
      <c r="J92" s="1" t="str">
        <v>202207</v>
      </c>
      <c r="K92" s="1" t="str">
        <v>julho 2022</v>
      </c>
      <c r="L92" s="1" t="str">
        <v>101448</v>
      </c>
      <c r="M92" s="1" t="str">
        <v>1107097.Capa de filé</v>
      </c>
      <c r="Q92" s="1" t="str">
        <f t="shared" si="3"/>
        <v>1107097.Capa de filé</v>
      </c>
      <c r="R92" s="1" t="str">
        <f t="shared" si="4"/>
        <v>202207</v>
      </c>
      <c r="S92" s="1">
        <f t="shared" si="5"/>
        <v>-0.09</v>
      </c>
    </row>
    <row r="93" spans="1:19" x14ac:dyDescent="0.2">
      <c r="A93" s="1" t="str">
        <v>1</v>
      </c>
      <c r="B93" s="1" t="str">
        <v>Brasil</v>
      </c>
      <c r="C93" s="1" t="str">
        <v>2</v>
      </c>
      <c r="D93" s="1" t="str">
        <v>%</v>
      </c>
      <c r="E93" s="1" t="str">
        <v>-0.49</v>
      </c>
      <c r="F93" s="1" t="str">
        <v>1</v>
      </c>
      <c r="G93" s="1" t="str">
        <v>Brasil</v>
      </c>
      <c r="H93" s="1" t="str">
        <v>63</v>
      </c>
      <c r="I93" s="1" t="str">
        <v>IPCA - Variação mensal</v>
      </c>
      <c r="J93" s="1" t="str">
        <v>202207</v>
      </c>
      <c r="K93" s="1" t="str">
        <v>julho 2022</v>
      </c>
      <c r="L93" s="1" t="str">
        <v>7302</v>
      </c>
      <c r="M93" s="1" t="str">
        <v>1107099.Costela</v>
      </c>
      <c r="Q93" s="1" t="str">
        <f t="shared" si="3"/>
        <v>1107099.Costela</v>
      </c>
      <c r="R93" s="1" t="str">
        <f t="shared" si="4"/>
        <v>202207</v>
      </c>
      <c r="S93" s="1">
        <f t="shared" si="5"/>
        <v>-0.49</v>
      </c>
    </row>
    <row r="94" spans="1:19" x14ac:dyDescent="0.2">
      <c r="A94" s="1" t="str">
        <v>1</v>
      </c>
      <c r="B94" s="1" t="str">
        <v>Brasil</v>
      </c>
      <c r="C94" s="1" t="str">
        <v>2</v>
      </c>
      <c r="D94" s="1" t="str">
        <v>%</v>
      </c>
      <c r="E94" s="1" t="str">
        <v>-1.10</v>
      </c>
      <c r="F94" s="1" t="str">
        <v>1</v>
      </c>
      <c r="G94" s="1" t="str">
        <v>Brasil</v>
      </c>
      <c r="H94" s="1" t="str">
        <v>63</v>
      </c>
      <c r="I94" s="1" t="str">
        <v>IPCA - Variação mensal</v>
      </c>
      <c r="J94" s="1" t="str">
        <v>202207</v>
      </c>
      <c r="K94" s="1" t="str">
        <v>julho 2022</v>
      </c>
      <c r="L94" s="1" t="str">
        <v>47621</v>
      </c>
      <c r="M94" s="1" t="str">
        <v>1107208.Picanha</v>
      </c>
      <c r="Q94" s="1" t="str">
        <f t="shared" si="3"/>
        <v>1107208.Picanha</v>
      </c>
      <c r="R94" s="1" t="str">
        <f t="shared" si="4"/>
        <v>202207</v>
      </c>
      <c r="S94" s="1">
        <f t="shared" si="5"/>
        <v>-1.1000000000000001</v>
      </c>
    </row>
    <row r="95" spans="1:19" x14ac:dyDescent="0.2">
      <c r="A95" s="1" t="str">
        <v>1</v>
      </c>
      <c r="B95" s="1" t="str">
        <v>Brasil</v>
      </c>
      <c r="C95" s="1" t="str">
        <v>2</v>
      </c>
      <c r="D95" s="1" t="str">
        <v>%</v>
      </c>
      <c r="E95" s="1" t="str">
        <v>-0.53</v>
      </c>
      <c r="F95" s="1" t="str">
        <v>1</v>
      </c>
      <c r="G95" s="1" t="str">
        <v>Brasil</v>
      </c>
      <c r="H95" s="1" t="str">
        <v>63</v>
      </c>
      <c r="I95" s="1" t="str">
        <v>IPCA - Variação mensal</v>
      </c>
      <c r="J95" s="1" t="str">
        <v>202207</v>
      </c>
      <c r="K95" s="1" t="str">
        <v>julho 2022</v>
      </c>
      <c r="L95" s="1" t="str">
        <v>7303</v>
      </c>
      <c r="M95" s="1" t="str">
        <v>1108.Pescados</v>
      </c>
      <c r="Q95" s="1" t="str">
        <f t="shared" si="3"/>
        <v>1108.Pescados</v>
      </c>
      <c r="R95" s="1" t="str">
        <f t="shared" si="4"/>
        <v>202207</v>
      </c>
      <c r="S95" s="1">
        <f t="shared" si="5"/>
        <v>-0.53</v>
      </c>
    </row>
    <row r="96" spans="1:19" x14ac:dyDescent="0.2">
      <c r="A96" s="1" t="str">
        <v>1</v>
      </c>
      <c r="B96" s="1" t="str">
        <v>Brasil</v>
      </c>
      <c r="C96" s="1" t="str">
        <v>2</v>
      </c>
      <c r="D96" s="1" t="str">
        <v>%</v>
      </c>
      <c r="E96" s="1" t="str">
        <v>0.35</v>
      </c>
      <c r="F96" s="1" t="str">
        <v>1</v>
      </c>
      <c r="G96" s="1" t="str">
        <v>Brasil</v>
      </c>
      <c r="H96" s="1" t="str">
        <v>63</v>
      </c>
      <c r="I96" s="1" t="str">
        <v>IPCA - Variação mensal</v>
      </c>
      <c r="J96" s="1" t="str">
        <v>202207</v>
      </c>
      <c r="K96" s="1" t="str">
        <v>julho 2022</v>
      </c>
      <c r="L96" s="1" t="str">
        <v>7305</v>
      </c>
      <c r="M96" s="1" t="str">
        <v>1108002.Peixe - anchova</v>
      </c>
      <c r="Q96" s="1" t="str">
        <f t="shared" si="3"/>
        <v>1108002.Peixe - anchova</v>
      </c>
      <c r="R96" s="1" t="str">
        <f t="shared" si="4"/>
        <v>202207</v>
      </c>
      <c r="S96" s="1">
        <f t="shared" si="5"/>
        <v>0.35</v>
      </c>
    </row>
    <row r="97" spans="1:19" x14ac:dyDescent="0.2">
      <c r="A97" s="1" t="str">
        <v>1</v>
      </c>
      <c r="B97" s="1" t="str">
        <v>Brasil</v>
      </c>
      <c r="C97" s="1" t="str">
        <v>2</v>
      </c>
      <c r="D97" s="1" t="str">
        <v>%</v>
      </c>
      <c r="E97" s="1" t="str">
        <v>-2.07</v>
      </c>
      <c r="F97" s="1" t="str">
        <v>1</v>
      </c>
      <c r="G97" s="1" t="str">
        <v>Brasil</v>
      </c>
      <c r="H97" s="1" t="str">
        <v>63</v>
      </c>
      <c r="I97" s="1" t="str">
        <v>IPCA - Variação mensal</v>
      </c>
      <c r="J97" s="1" t="str">
        <v>202207</v>
      </c>
      <c r="K97" s="1" t="str">
        <v>julho 2022</v>
      </c>
      <c r="L97" s="1" t="str">
        <v>7306</v>
      </c>
      <c r="M97" s="1" t="str">
        <v>1108004.Peixe - corvina</v>
      </c>
      <c r="Q97" s="1" t="str">
        <f t="shared" si="3"/>
        <v>1108004.Peixe - corvina</v>
      </c>
      <c r="R97" s="1" t="str">
        <f t="shared" si="4"/>
        <v>202207</v>
      </c>
      <c r="S97" s="1">
        <f t="shared" si="5"/>
        <v>-2.0699999999999998</v>
      </c>
    </row>
    <row r="98" spans="1:19" x14ac:dyDescent="0.2">
      <c r="A98" s="1" t="str">
        <v>1</v>
      </c>
      <c r="B98" s="1" t="str">
        <v>Brasil</v>
      </c>
      <c r="C98" s="1" t="str">
        <v>2</v>
      </c>
      <c r="D98" s="1" t="str">
        <v>%</v>
      </c>
      <c r="E98" s="1" t="str">
        <v>-0.64</v>
      </c>
      <c r="F98" s="1" t="str">
        <v>1</v>
      </c>
      <c r="G98" s="1" t="str">
        <v>Brasil</v>
      </c>
      <c r="H98" s="1" t="str">
        <v>63</v>
      </c>
      <c r="I98" s="1" t="str">
        <v>IPCA - Variação mensal</v>
      </c>
      <c r="J98" s="1" t="str">
        <v>202207</v>
      </c>
      <c r="K98" s="1" t="str">
        <v>julho 2022</v>
      </c>
      <c r="L98" s="1" t="str">
        <v>7309</v>
      </c>
      <c r="M98" s="1" t="str">
        <v>1108011.Peixe - tainha</v>
      </c>
      <c r="Q98" s="1" t="str">
        <f t="shared" si="3"/>
        <v>1108011.Peixe - tainha</v>
      </c>
      <c r="R98" s="1" t="str">
        <f t="shared" si="4"/>
        <v>202207</v>
      </c>
      <c r="S98" s="1">
        <f t="shared" si="5"/>
        <v>-0.64</v>
      </c>
    </row>
    <row r="99" spans="1:19" x14ac:dyDescent="0.2">
      <c r="A99" s="1" t="str">
        <v>1</v>
      </c>
      <c r="B99" s="1" t="str">
        <v>Brasil</v>
      </c>
      <c r="C99" s="1" t="str">
        <v>2</v>
      </c>
      <c r="D99" s="1" t="str">
        <v>%</v>
      </c>
      <c r="E99" s="1" t="str">
        <v>-0.55</v>
      </c>
      <c r="F99" s="1" t="str">
        <v>1</v>
      </c>
      <c r="G99" s="1" t="str">
        <v>Brasil</v>
      </c>
      <c r="H99" s="1" t="str">
        <v>63</v>
      </c>
      <c r="I99" s="1" t="str">
        <v>IPCA - Variação mensal</v>
      </c>
      <c r="J99" s="1" t="str">
        <v>202207</v>
      </c>
      <c r="K99" s="1" t="str">
        <v>julho 2022</v>
      </c>
      <c r="L99" s="1" t="str">
        <v>7310</v>
      </c>
      <c r="M99" s="1" t="str">
        <v>1108012.Peixe - sardinha</v>
      </c>
      <c r="Q99" s="1" t="str">
        <f t="shared" si="3"/>
        <v>1108012.Peixe - sardinha</v>
      </c>
      <c r="R99" s="1" t="str">
        <f t="shared" si="4"/>
        <v>202207</v>
      </c>
      <c r="S99" s="1">
        <f t="shared" si="5"/>
        <v>-0.55000000000000004</v>
      </c>
    </row>
    <row r="100" spans="1:19" x14ac:dyDescent="0.2">
      <c r="A100" s="1" t="str">
        <v>1</v>
      </c>
      <c r="B100" s="1" t="str">
        <v>Brasil</v>
      </c>
      <c r="C100" s="1" t="str">
        <v>2</v>
      </c>
      <c r="D100" s="1" t="str">
        <v>%</v>
      </c>
      <c r="E100" s="1" t="str">
        <v>-0.64</v>
      </c>
      <c r="F100" s="1" t="str">
        <v>1</v>
      </c>
      <c r="G100" s="1" t="str">
        <v>Brasil</v>
      </c>
      <c r="H100" s="1" t="str">
        <v>63</v>
      </c>
      <c r="I100" s="1" t="str">
        <v>IPCA - Variação mensal</v>
      </c>
      <c r="J100" s="1" t="str">
        <v>202207</v>
      </c>
      <c r="K100" s="1" t="str">
        <v>julho 2022</v>
      </c>
      <c r="L100" s="1" t="str">
        <v>7311</v>
      </c>
      <c r="M100" s="1" t="str">
        <v>1108013.Camarão</v>
      </c>
      <c r="Q100" s="1" t="str">
        <f t="shared" si="3"/>
        <v>1108013.Camarão</v>
      </c>
      <c r="R100" s="1" t="str">
        <f t="shared" si="4"/>
        <v>202207</v>
      </c>
      <c r="S100" s="1">
        <f t="shared" si="5"/>
        <v>-0.64</v>
      </c>
    </row>
    <row r="101" spans="1:19" x14ac:dyDescent="0.2">
      <c r="A101" s="1" t="str">
        <v>1</v>
      </c>
      <c r="B101" s="1" t="str">
        <v>Brasil</v>
      </c>
      <c r="C101" s="1" t="str">
        <v>2</v>
      </c>
      <c r="D101" s="1" t="str">
        <v>%</v>
      </c>
      <c r="E101" s="1" t="str">
        <v>0.38</v>
      </c>
      <c r="F101" s="1" t="str">
        <v>1</v>
      </c>
      <c r="G101" s="1" t="str">
        <v>Brasil</v>
      </c>
      <c r="H101" s="1" t="str">
        <v>63</v>
      </c>
      <c r="I101" s="1" t="str">
        <v>IPCA - Variação mensal</v>
      </c>
      <c r="J101" s="1" t="str">
        <v>202207</v>
      </c>
      <c r="K101" s="1" t="str">
        <v>julho 2022</v>
      </c>
      <c r="L101" s="1" t="str">
        <v>7313</v>
      </c>
      <c r="M101" s="1" t="str">
        <v>1108019.Peixe - cavala</v>
      </c>
      <c r="Q101" s="1" t="str">
        <f t="shared" si="3"/>
        <v>1108019.Peixe - cavala</v>
      </c>
      <c r="R101" s="1" t="str">
        <f t="shared" si="4"/>
        <v>202207</v>
      </c>
      <c r="S101" s="1">
        <f t="shared" si="5"/>
        <v>0.38</v>
      </c>
    </row>
    <row r="102" spans="1:19" x14ac:dyDescent="0.2">
      <c r="A102" s="1" t="str">
        <v>1</v>
      </c>
      <c r="B102" s="1" t="str">
        <v>Brasil</v>
      </c>
      <c r="C102" s="1" t="str">
        <v>2</v>
      </c>
      <c r="D102" s="1" t="str">
        <v>%</v>
      </c>
      <c r="E102" s="1" t="str">
        <v>-1.50</v>
      </c>
      <c r="F102" s="1" t="str">
        <v>1</v>
      </c>
      <c r="G102" s="1" t="str">
        <v>Brasil</v>
      </c>
      <c r="H102" s="1" t="str">
        <v>63</v>
      </c>
      <c r="I102" s="1" t="str">
        <v>IPCA - Variação mensal</v>
      </c>
      <c r="J102" s="1" t="str">
        <v>202207</v>
      </c>
      <c r="K102" s="1" t="str">
        <v>julho 2022</v>
      </c>
      <c r="L102" s="1" t="str">
        <v>107615</v>
      </c>
      <c r="M102" s="1" t="str">
        <v>1108029.Peixe - cação</v>
      </c>
      <c r="Q102" s="1" t="str">
        <f t="shared" si="3"/>
        <v>1108029.Peixe - cação</v>
      </c>
      <c r="R102" s="1" t="str">
        <f t="shared" si="4"/>
        <v>202207</v>
      </c>
      <c r="S102" s="1">
        <f t="shared" si="5"/>
        <v>-1.5</v>
      </c>
    </row>
    <row r="103" spans="1:19" x14ac:dyDescent="0.2">
      <c r="A103" s="1" t="str">
        <v>1</v>
      </c>
      <c r="B103" s="1" t="str">
        <v>Brasil</v>
      </c>
      <c r="C103" s="1" t="str">
        <v>2</v>
      </c>
      <c r="D103" s="1" t="str">
        <v>%</v>
      </c>
      <c r="E103" s="1" t="str">
        <v>0.14</v>
      </c>
      <c r="F103" s="1" t="str">
        <v>1</v>
      </c>
      <c r="G103" s="1" t="str">
        <v>Brasil</v>
      </c>
      <c r="H103" s="1" t="str">
        <v>63</v>
      </c>
      <c r="I103" s="1" t="str">
        <v>IPCA - Variação mensal</v>
      </c>
      <c r="J103" s="1" t="str">
        <v>202207</v>
      </c>
      <c r="K103" s="1" t="str">
        <v>julho 2022</v>
      </c>
      <c r="L103" s="1" t="str">
        <v>107616</v>
      </c>
      <c r="M103" s="1" t="str">
        <v>1108031.Peixe - merluza</v>
      </c>
      <c r="Q103" s="1" t="str">
        <f t="shared" si="3"/>
        <v>1108031.Peixe - merluza</v>
      </c>
      <c r="R103" s="1" t="str">
        <f t="shared" si="4"/>
        <v>202207</v>
      </c>
      <c r="S103" s="1">
        <f t="shared" si="5"/>
        <v>0.14000000000000001</v>
      </c>
    </row>
    <row r="104" spans="1:19" x14ac:dyDescent="0.2">
      <c r="A104" s="1" t="str">
        <v>1</v>
      </c>
      <c r="B104" s="1" t="str">
        <v>Brasil</v>
      </c>
      <c r="C104" s="1" t="str">
        <v>2</v>
      </c>
      <c r="D104" s="1" t="str">
        <v>%</v>
      </c>
      <c r="E104" s="1" t="str">
        <v>-2.04</v>
      </c>
      <c r="F104" s="1" t="str">
        <v>1</v>
      </c>
      <c r="G104" s="1" t="str">
        <v>Brasil</v>
      </c>
      <c r="H104" s="1" t="str">
        <v>63</v>
      </c>
      <c r="I104" s="1" t="str">
        <v>IPCA - Variação mensal</v>
      </c>
      <c r="J104" s="1" t="str">
        <v>202207</v>
      </c>
      <c r="K104" s="1" t="str">
        <v>julho 2022</v>
      </c>
      <c r="L104" s="1" t="str">
        <v>7317</v>
      </c>
      <c r="M104" s="1" t="str">
        <v>1108032.Peixe - serra</v>
      </c>
      <c r="Q104" s="1" t="str">
        <f t="shared" si="3"/>
        <v>1108032.Peixe - serra</v>
      </c>
      <c r="R104" s="1" t="str">
        <f t="shared" si="4"/>
        <v>202207</v>
      </c>
      <c r="S104" s="1">
        <f t="shared" si="5"/>
        <v>-2.04</v>
      </c>
    </row>
    <row r="105" spans="1:19" x14ac:dyDescent="0.2">
      <c r="A105" s="1" t="str">
        <v>1</v>
      </c>
      <c r="B105" s="1" t="str">
        <v>Brasil</v>
      </c>
      <c r="C105" s="1" t="str">
        <v>2</v>
      </c>
      <c r="D105" s="1" t="str">
        <v>%</v>
      </c>
      <c r="E105" s="1" t="str">
        <v>-2.60</v>
      </c>
      <c r="F105" s="1" t="str">
        <v>1</v>
      </c>
      <c r="G105" s="1" t="str">
        <v>Brasil</v>
      </c>
      <c r="H105" s="1" t="str">
        <v>63</v>
      </c>
      <c r="I105" s="1" t="str">
        <v>IPCA - Variação mensal</v>
      </c>
      <c r="J105" s="1" t="str">
        <v>202207</v>
      </c>
      <c r="K105" s="1" t="str">
        <v>julho 2022</v>
      </c>
      <c r="L105" s="1" t="str">
        <v>7320</v>
      </c>
      <c r="M105" s="1" t="str">
        <v>1108038.Peixe - pescada</v>
      </c>
      <c r="Q105" s="1" t="str">
        <f t="shared" si="3"/>
        <v>1108038.Peixe - pescada</v>
      </c>
      <c r="R105" s="1" t="str">
        <f t="shared" si="4"/>
        <v>202207</v>
      </c>
      <c r="S105" s="1">
        <f t="shared" si="5"/>
        <v>-2.6</v>
      </c>
    </row>
    <row r="106" spans="1:19" x14ac:dyDescent="0.2">
      <c r="A106" s="1" t="str">
        <v>1</v>
      </c>
      <c r="B106" s="1" t="str">
        <v>Brasil</v>
      </c>
      <c r="C106" s="1" t="str">
        <v>2</v>
      </c>
      <c r="D106" s="1" t="str">
        <v>%</v>
      </c>
      <c r="E106" s="1" t="str">
        <v>0.00</v>
      </c>
      <c r="F106" s="1" t="str">
        <v>1</v>
      </c>
      <c r="G106" s="1" t="str">
        <v>Brasil</v>
      </c>
      <c r="H106" s="1" t="str">
        <v>63</v>
      </c>
      <c r="I106" s="1" t="str">
        <v>IPCA - Variação mensal</v>
      </c>
      <c r="J106" s="1" t="str">
        <v>202207</v>
      </c>
      <c r="K106" s="1" t="str">
        <v>julho 2022</v>
      </c>
      <c r="L106" s="1" t="str">
        <v>7323</v>
      </c>
      <c r="M106" s="1" t="str">
        <v>1108045.Caranguejo</v>
      </c>
      <c r="Q106" s="1" t="str">
        <f t="shared" si="3"/>
        <v>1108045.Caranguejo</v>
      </c>
      <c r="R106" s="1" t="str">
        <f t="shared" si="4"/>
        <v>202207</v>
      </c>
      <c r="S106" s="1">
        <f t="shared" si="5"/>
        <v>0</v>
      </c>
    </row>
    <row r="107" spans="1:19" x14ac:dyDescent="0.2">
      <c r="A107" s="1" t="str">
        <v>1</v>
      </c>
      <c r="B107" s="1" t="str">
        <v>Brasil</v>
      </c>
      <c r="C107" s="1" t="str">
        <v>2</v>
      </c>
      <c r="D107" s="1" t="str">
        <v>%</v>
      </c>
      <c r="E107" s="1" t="str">
        <v>0.35</v>
      </c>
      <c r="F107" s="1" t="str">
        <v>1</v>
      </c>
      <c r="G107" s="1" t="str">
        <v>Brasil</v>
      </c>
      <c r="H107" s="1" t="str">
        <v>63</v>
      </c>
      <c r="I107" s="1" t="str">
        <v>IPCA - Variação mensal</v>
      </c>
      <c r="J107" s="1" t="str">
        <v>202207</v>
      </c>
      <c r="K107" s="1" t="str">
        <v>julho 2022</v>
      </c>
      <c r="L107" s="1" t="str">
        <v>12300</v>
      </c>
      <c r="M107" s="1" t="str">
        <v>1108049.Peixe - castanha</v>
      </c>
      <c r="Q107" s="1" t="str">
        <f t="shared" si="3"/>
        <v>1108049.Peixe - castanha</v>
      </c>
      <c r="R107" s="1" t="str">
        <f t="shared" si="4"/>
        <v>202207</v>
      </c>
      <c r="S107" s="1">
        <f t="shared" si="5"/>
        <v>0.35</v>
      </c>
    </row>
    <row r="108" spans="1:19" x14ac:dyDescent="0.2">
      <c r="A108" s="1" t="str">
        <v>1</v>
      </c>
      <c r="B108" s="1" t="str">
        <v>Brasil</v>
      </c>
      <c r="C108" s="1" t="str">
        <v>2</v>
      </c>
      <c r="D108" s="1" t="str">
        <v>%</v>
      </c>
      <c r="E108" s="1" t="str">
        <v>1.54</v>
      </c>
      <c r="F108" s="1" t="str">
        <v>1</v>
      </c>
      <c r="G108" s="1" t="str">
        <v>Brasil</v>
      </c>
      <c r="H108" s="1" t="str">
        <v>63</v>
      </c>
      <c r="I108" s="1" t="str">
        <v>IPCA - Variação mensal</v>
      </c>
      <c r="J108" s="1" t="str">
        <v>202207</v>
      </c>
      <c r="K108" s="1" t="str">
        <v>julho 2022</v>
      </c>
      <c r="L108" s="1" t="str">
        <v>12301</v>
      </c>
      <c r="M108" s="1" t="str">
        <v>1108052.Peixe - palombeta</v>
      </c>
      <c r="Q108" s="1" t="str">
        <f t="shared" si="3"/>
        <v>1108052.Peixe - palombeta</v>
      </c>
      <c r="R108" s="1" t="str">
        <f t="shared" si="4"/>
        <v>202207</v>
      </c>
      <c r="S108" s="1">
        <f t="shared" si="5"/>
        <v>1.54</v>
      </c>
    </row>
    <row r="109" spans="1:19" x14ac:dyDescent="0.2">
      <c r="A109" s="1" t="str">
        <v>1</v>
      </c>
      <c r="B109" s="1" t="str">
        <v>Brasil</v>
      </c>
      <c r="C109" s="1" t="str">
        <v>2</v>
      </c>
      <c r="D109" s="1" t="str">
        <v>%</v>
      </c>
      <c r="E109" s="1" t="str">
        <v>-0.49</v>
      </c>
      <c r="F109" s="1" t="str">
        <v>1</v>
      </c>
      <c r="G109" s="1" t="str">
        <v>Brasil</v>
      </c>
      <c r="H109" s="1" t="str">
        <v>63</v>
      </c>
      <c r="I109" s="1" t="str">
        <v>IPCA - Variação mensal</v>
      </c>
      <c r="J109" s="1" t="str">
        <v>202207</v>
      </c>
      <c r="K109" s="1" t="str">
        <v>julho 2022</v>
      </c>
      <c r="L109" s="1" t="str">
        <v>101466</v>
      </c>
      <c r="M109" s="1" t="str">
        <v>1108072.Peixe - curimatã</v>
      </c>
      <c r="Q109" s="1" t="str">
        <f t="shared" si="3"/>
        <v>1108072.Peixe - curimatã</v>
      </c>
      <c r="R109" s="1" t="str">
        <f t="shared" si="4"/>
        <v>202207</v>
      </c>
      <c r="S109" s="1">
        <f t="shared" si="5"/>
        <v>-0.49</v>
      </c>
    </row>
    <row r="110" spans="1:19" x14ac:dyDescent="0.2">
      <c r="A110" s="1" t="str">
        <v>1</v>
      </c>
      <c r="B110" s="1" t="str">
        <v>Brasil</v>
      </c>
      <c r="C110" s="1" t="str">
        <v>2</v>
      </c>
      <c r="D110" s="1" t="str">
        <v>%</v>
      </c>
      <c r="E110" s="1" t="str">
        <v>1.34</v>
      </c>
      <c r="F110" s="1" t="str">
        <v>1</v>
      </c>
      <c r="G110" s="1" t="str">
        <v>Brasil</v>
      </c>
      <c r="H110" s="1" t="str">
        <v>63</v>
      </c>
      <c r="I110" s="1" t="str">
        <v>IPCA - Variação mensal</v>
      </c>
      <c r="J110" s="1" t="str">
        <v>202207</v>
      </c>
      <c r="K110" s="1" t="str">
        <v>julho 2022</v>
      </c>
      <c r="L110" s="1" t="str">
        <v>12431</v>
      </c>
      <c r="M110" s="1" t="str">
        <v>1108075.Peixe - salmão</v>
      </c>
      <c r="Q110" s="1" t="str">
        <f t="shared" si="3"/>
        <v>1108075.Peixe - salmão</v>
      </c>
      <c r="R110" s="1" t="str">
        <f t="shared" si="4"/>
        <v>202207</v>
      </c>
      <c r="S110" s="1">
        <f t="shared" si="5"/>
        <v>1.34</v>
      </c>
    </row>
    <row r="111" spans="1:19" x14ac:dyDescent="0.2">
      <c r="A111" s="1" t="str">
        <v>1</v>
      </c>
      <c r="B111" s="1" t="str">
        <v>Brasil</v>
      </c>
      <c r="C111" s="1" t="str">
        <v>2</v>
      </c>
      <c r="D111" s="1" t="str">
        <v>%</v>
      </c>
      <c r="E111" s="1" t="str">
        <v>0.28</v>
      </c>
      <c r="F111" s="1" t="str">
        <v>1</v>
      </c>
      <c r="G111" s="1" t="str">
        <v>Brasil</v>
      </c>
      <c r="H111" s="1" t="str">
        <v>63</v>
      </c>
      <c r="I111" s="1" t="str">
        <v>IPCA - Variação mensal</v>
      </c>
      <c r="J111" s="1" t="str">
        <v>202207</v>
      </c>
      <c r="K111" s="1" t="str">
        <v>julho 2022</v>
      </c>
      <c r="L111" s="1" t="str">
        <v>12302</v>
      </c>
      <c r="M111" s="1" t="str">
        <v>1108080.Peixe - tilápia</v>
      </c>
      <c r="Q111" s="1" t="str">
        <f t="shared" si="3"/>
        <v>1108080.Peixe - tilápia</v>
      </c>
      <c r="R111" s="1" t="str">
        <f t="shared" si="4"/>
        <v>202207</v>
      </c>
      <c r="S111" s="1">
        <f t="shared" si="5"/>
        <v>0.28000000000000003</v>
      </c>
    </row>
    <row r="112" spans="1:19" x14ac:dyDescent="0.2">
      <c r="A112" s="1" t="str">
        <v>1</v>
      </c>
      <c r="B112" s="1" t="str">
        <v>Brasil</v>
      </c>
      <c r="C112" s="1" t="str">
        <v>2</v>
      </c>
      <c r="D112" s="1" t="str">
        <v>%</v>
      </c>
      <c r="E112" s="1" t="str">
        <v>0.41</v>
      </c>
      <c r="F112" s="1" t="str">
        <v>1</v>
      </c>
      <c r="G112" s="1" t="str">
        <v>Brasil</v>
      </c>
      <c r="H112" s="1" t="str">
        <v>63</v>
      </c>
      <c r="I112" s="1" t="str">
        <v>IPCA - Variação mensal</v>
      </c>
      <c r="J112" s="1" t="str">
        <v>202207</v>
      </c>
      <c r="K112" s="1" t="str">
        <v>julho 2022</v>
      </c>
      <c r="L112" s="1" t="str">
        <v>41129</v>
      </c>
      <c r="M112" s="1" t="str">
        <v>1108087.Peixe - tambaqui</v>
      </c>
      <c r="Q112" s="1" t="str">
        <f t="shared" si="3"/>
        <v>1108087.Peixe - tambaqui</v>
      </c>
      <c r="R112" s="1" t="str">
        <f t="shared" si="4"/>
        <v>202207</v>
      </c>
      <c r="S112" s="1">
        <f t="shared" si="5"/>
        <v>0.41</v>
      </c>
    </row>
    <row r="113" spans="1:19" x14ac:dyDescent="0.2">
      <c r="A113" s="1" t="str">
        <v>1</v>
      </c>
      <c r="B113" s="1" t="str">
        <v>Brasil</v>
      </c>
      <c r="C113" s="1" t="str">
        <v>2</v>
      </c>
      <c r="D113" s="1" t="str">
        <v>%</v>
      </c>
      <c r="E113" s="1" t="str">
        <v>-2.45</v>
      </c>
      <c r="F113" s="1" t="str">
        <v>1</v>
      </c>
      <c r="G113" s="1" t="str">
        <v>Brasil</v>
      </c>
      <c r="H113" s="1" t="str">
        <v>63</v>
      </c>
      <c r="I113" s="1" t="str">
        <v>IPCA - Variação mensal</v>
      </c>
      <c r="J113" s="1" t="str">
        <v>202207</v>
      </c>
      <c r="K113" s="1" t="str">
        <v>julho 2022</v>
      </c>
      <c r="L113" s="1" t="str">
        <v>7333</v>
      </c>
      <c r="M113" s="1" t="str">
        <v>1108088.Peixe - dourada</v>
      </c>
      <c r="Q113" s="1" t="str">
        <f t="shared" si="3"/>
        <v>1108088.Peixe - dourada</v>
      </c>
      <c r="R113" s="1" t="str">
        <f t="shared" si="4"/>
        <v>202207</v>
      </c>
      <c r="S113" s="1">
        <f t="shared" si="5"/>
        <v>-2.4500000000000002</v>
      </c>
    </row>
    <row r="114" spans="1:19" x14ac:dyDescent="0.2">
      <c r="A114" s="1" t="str">
        <v>1</v>
      </c>
      <c r="B114" s="1" t="str">
        <v>Brasil</v>
      </c>
      <c r="C114" s="1" t="str">
        <v>2</v>
      </c>
      <c r="D114" s="1" t="str">
        <v>%</v>
      </c>
      <c r="E114" s="1" t="str">
        <v>1.50</v>
      </c>
      <c r="F114" s="1" t="str">
        <v>1</v>
      </c>
      <c r="G114" s="1" t="str">
        <v>Brasil</v>
      </c>
      <c r="H114" s="1" t="str">
        <v>63</v>
      </c>
      <c r="I114" s="1" t="str">
        <v>IPCA - Variação mensal</v>
      </c>
      <c r="J114" s="1" t="str">
        <v>202207</v>
      </c>
      <c r="K114" s="1" t="str">
        <v>julho 2022</v>
      </c>
      <c r="L114" s="1" t="str">
        <v>47623</v>
      </c>
      <c r="M114" s="1" t="str">
        <v>1108092.Peixe - filhote</v>
      </c>
      <c r="Q114" s="1" t="str">
        <f t="shared" si="3"/>
        <v>1108092.Peixe - filhote</v>
      </c>
      <c r="R114" s="1" t="str">
        <f t="shared" si="4"/>
        <v>202207</v>
      </c>
      <c r="S114" s="1">
        <f t="shared" si="5"/>
        <v>1.5</v>
      </c>
    </row>
    <row r="115" spans="1:19" x14ac:dyDescent="0.2">
      <c r="A115" s="1" t="str">
        <v>1</v>
      </c>
      <c r="B115" s="1" t="str">
        <v>Brasil</v>
      </c>
      <c r="C115" s="1" t="str">
        <v>2</v>
      </c>
      <c r="D115" s="1" t="str">
        <v>%</v>
      </c>
      <c r="E115" s="1" t="str">
        <v>1.63</v>
      </c>
      <c r="F115" s="1" t="str">
        <v>1</v>
      </c>
      <c r="G115" s="1" t="str">
        <v>Brasil</v>
      </c>
      <c r="H115" s="1" t="str">
        <v>63</v>
      </c>
      <c r="I115" s="1" t="str">
        <v>IPCA - Variação mensal</v>
      </c>
      <c r="J115" s="1" t="str">
        <v>202207</v>
      </c>
      <c r="K115" s="1" t="str">
        <v>julho 2022</v>
      </c>
      <c r="L115" s="1" t="str">
        <v>8874</v>
      </c>
      <c r="M115" s="1" t="str">
        <v>1108096.Peixe - peroá</v>
      </c>
      <c r="Q115" s="1" t="str">
        <f t="shared" si="3"/>
        <v>1108096.Peixe - peroá</v>
      </c>
      <c r="R115" s="1" t="str">
        <f t="shared" si="4"/>
        <v>202207</v>
      </c>
      <c r="S115" s="1">
        <f t="shared" si="5"/>
        <v>1.63</v>
      </c>
    </row>
    <row r="116" spans="1:19" x14ac:dyDescent="0.2">
      <c r="A116" s="1" t="str">
        <v>1</v>
      </c>
      <c r="B116" s="1" t="str">
        <v>Brasil</v>
      </c>
      <c r="C116" s="1" t="str">
        <v>2</v>
      </c>
      <c r="D116" s="1" t="str">
        <v>%</v>
      </c>
      <c r="E116" s="1" t="str">
        <v>-0.44</v>
      </c>
      <c r="F116" s="1" t="str">
        <v>1</v>
      </c>
      <c r="G116" s="1" t="str">
        <v>Brasil</v>
      </c>
      <c r="H116" s="1" t="str">
        <v>63</v>
      </c>
      <c r="I116" s="1" t="str">
        <v>IPCA - Variação mensal</v>
      </c>
      <c r="J116" s="1" t="str">
        <v>202207</v>
      </c>
      <c r="K116" s="1" t="str">
        <v>julho 2022</v>
      </c>
      <c r="L116" s="1" t="str">
        <v>31694</v>
      </c>
      <c r="M116" s="1" t="str">
        <v>1108112.Peixe - pintado</v>
      </c>
      <c r="Q116" s="1" t="str">
        <f t="shared" si="3"/>
        <v>1108112.Peixe - pintado</v>
      </c>
      <c r="R116" s="1" t="str">
        <f t="shared" si="4"/>
        <v>202207</v>
      </c>
      <c r="S116" s="1">
        <f t="shared" si="5"/>
        <v>-0.44</v>
      </c>
    </row>
    <row r="117" spans="1:19" x14ac:dyDescent="0.2">
      <c r="A117" s="1" t="str">
        <v>1</v>
      </c>
      <c r="B117" s="1" t="str">
        <v>Brasil</v>
      </c>
      <c r="C117" s="1" t="str">
        <v>2</v>
      </c>
      <c r="D117" s="1" t="str">
        <v>%</v>
      </c>
      <c r="E117" s="1" t="str">
        <v>-1.29</v>
      </c>
      <c r="F117" s="1" t="str">
        <v>1</v>
      </c>
      <c r="G117" s="1" t="str">
        <v>Brasil</v>
      </c>
      <c r="H117" s="1" t="str">
        <v>63</v>
      </c>
      <c r="I117" s="1" t="str">
        <v>IPCA - Variação mensal</v>
      </c>
      <c r="J117" s="1" t="str">
        <v>202207</v>
      </c>
      <c r="K117" s="1" t="str">
        <v>julho 2022</v>
      </c>
      <c r="L117" s="1" t="str">
        <v>47624</v>
      </c>
      <c r="M117" s="1" t="str">
        <v>1108125.Peixe - aruanã</v>
      </c>
      <c r="Q117" s="1" t="str">
        <f t="shared" si="3"/>
        <v>1108125.Peixe - aruanã</v>
      </c>
      <c r="R117" s="1" t="str">
        <f t="shared" si="4"/>
        <v>202207</v>
      </c>
      <c r="S117" s="1">
        <f t="shared" si="5"/>
        <v>-1.29</v>
      </c>
    </row>
    <row r="118" spans="1:19" x14ac:dyDescent="0.2">
      <c r="A118" s="1" t="str">
        <v>1</v>
      </c>
      <c r="B118" s="1" t="str">
        <v>Brasil</v>
      </c>
      <c r="C118" s="1" t="str">
        <v>2</v>
      </c>
      <c r="D118" s="1" t="str">
        <v>%</v>
      </c>
      <c r="E118" s="1" t="str">
        <v>0.08</v>
      </c>
      <c r="F118" s="1" t="str">
        <v>1</v>
      </c>
      <c r="G118" s="1" t="str">
        <v>Brasil</v>
      </c>
      <c r="H118" s="1" t="str">
        <v>63</v>
      </c>
      <c r="I118" s="1" t="str">
        <v>IPCA - Variação mensal</v>
      </c>
      <c r="J118" s="1" t="str">
        <v>202207</v>
      </c>
      <c r="K118" s="1" t="str">
        <v>julho 2022</v>
      </c>
      <c r="L118" s="1" t="str">
        <v>7335</v>
      </c>
      <c r="M118" s="1" t="str">
        <v>1109.Carnes e peixes industrializados</v>
      </c>
      <c r="Q118" s="1" t="str">
        <f t="shared" si="3"/>
        <v>1109.Carnes e peixes industrializados</v>
      </c>
      <c r="R118" s="1" t="str">
        <f t="shared" si="4"/>
        <v>202207</v>
      </c>
      <c r="S118" s="1">
        <f t="shared" si="5"/>
        <v>0.08</v>
      </c>
    </row>
    <row r="119" spans="1:19" x14ac:dyDescent="0.2">
      <c r="A119" s="1" t="str">
        <v>1</v>
      </c>
      <c r="B119" s="1" t="str">
        <v>Brasil</v>
      </c>
      <c r="C119" s="1" t="str">
        <v>2</v>
      </c>
      <c r="D119" s="1" t="str">
        <v>%</v>
      </c>
      <c r="E119" s="1" t="str">
        <v>-0.56</v>
      </c>
      <c r="F119" s="1" t="str">
        <v>1</v>
      </c>
      <c r="G119" s="1" t="str">
        <v>Brasil</v>
      </c>
      <c r="H119" s="1" t="str">
        <v>63</v>
      </c>
      <c r="I119" s="1" t="str">
        <v>IPCA - Variação mensal</v>
      </c>
      <c r="J119" s="1" t="str">
        <v>202207</v>
      </c>
      <c r="K119" s="1" t="str">
        <v>julho 2022</v>
      </c>
      <c r="L119" s="1" t="str">
        <v>7336</v>
      </c>
      <c r="M119" s="1" t="str">
        <v>1109002.Presunto</v>
      </c>
      <c r="Q119" s="1" t="str">
        <f t="shared" si="3"/>
        <v>1109002.Presunto</v>
      </c>
      <c r="R119" s="1" t="str">
        <f t="shared" si="4"/>
        <v>202207</v>
      </c>
      <c r="S119" s="1">
        <f t="shared" si="5"/>
        <v>-0.56000000000000005</v>
      </c>
    </row>
    <row r="120" spans="1:19" x14ac:dyDescent="0.2">
      <c r="A120" s="1" t="str">
        <v>1</v>
      </c>
      <c r="B120" s="1" t="str">
        <v>Brasil</v>
      </c>
      <c r="C120" s="1" t="str">
        <v>2</v>
      </c>
      <c r="D120" s="1" t="str">
        <v>%</v>
      </c>
      <c r="E120" s="1" t="str">
        <v>1.86</v>
      </c>
      <c r="F120" s="1" t="str">
        <v>1</v>
      </c>
      <c r="G120" s="1" t="str">
        <v>Brasil</v>
      </c>
      <c r="H120" s="1" t="str">
        <v>63</v>
      </c>
      <c r="I120" s="1" t="str">
        <v>IPCA - Variação mensal</v>
      </c>
      <c r="J120" s="1" t="str">
        <v>202207</v>
      </c>
      <c r="K120" s="1" t="str">
        <v>julho 2022</v>
      </c>
      <c r="L120" s="1" t="str">
        <v>12304</v>
      </c>
      <c r="M120" s="1" t="str">
        <v>1109007.Salsicha</v>
      </c>
      <c r="Q120" s="1" t="str">
        <f t="shared" si="3"/>
        <v>1109007.Salsicha</v>
      </c>
      <c r="R120" s="1" t="str">
        <f t="shared" si="4"/>
        <v>202207</v>
      </c>
      <c r="S120" s="1">
        <f t="shared" si="5"/>
        <v>1.86</v>
      </c>
    </row>
    <row r="121" spans="1:19" x14ac:dyDescent="0.2">
      <c r="A121" s="1" t="str">
        <v>1</v>
      </c>
      <c r="B121" s="1" t="str">
        <v>Brasil</v>
      </c>
      <c r="C121" s="1" t="str">
        <v>2</v>
      </c>
      <c r="D121" s="1" t="str">
        <v>%</v>
      </c>
      <c r="E121" s="1" t="str">
        <v>-0.74</v>
      </c>
      <c r="F121" s="1" t="str">
        <v>1</v>
      </c>
      <c r="G121" s="1" t="str">
        <v>Brasil</v>
      </c>
      <c r="H121" s="1" t="str">
        <v>63</v>
      </c>
      <c r="I121" s="1" t="str">
        <v>IPCA - Variação mensal</v>
      </c>
      <c r="J121" s="1" t="str">
        <v>202207</v>
      </c>
      <c r="K121" s="1" t="str">
        <v>julho 2022</v>
      </c>
      <c r="L121" s="1" t="str">
        <v>7339</v>
      </c>
      <c r="M121" s="1" t="str">
        <v>1109008.Linguiça</v>
      </c>
      <c r="Q121" s="1" t="str">
        <f t="shared" si="3"/>
        <v>1109008.Linguiça</v>
      </c>
      <c r="R121" s="1" t="str">
        <f t="shared" si="4"/>
        <v>202207</v>
      </c>
      <c r="S121" s="1">
        <f t="shared" si="5"/>
        <v>-0.74</v>
      </c>
    </row>
    <row r="122" spans="1:19" x14ac:dyDescent="0.2">
      <c r="A122" s="1" t="str">
        <v>1</v>
      </c>
      <c r="B122" s="1" t="str">
        <v>Brasil</v>
      </c>
      <c r="C122" s="1" t="str">
        <v>2</v>
      </c>
      <c r="D122" s="1" t="str">
        <v>%</v>
      </c>
      <c r="E122" s="1" t="str">
        <v>1.76</v>
      </c>
      <c r="F122" s="1" t="str">
        <v>1</v>
      </c>
      <c r="G122" s="1" t="str">
        <v>Brasil</v>
      </c>
      <c r="H122" s="1" t="str">
        <v>63</v>
      </c>
      <c r="I122" s="1" t="str">
        <v>IPCA - Variação mensal</v>
      </c>
      <c r="J122" s="1" t="str">
        <v>202207</v>
      </c>
      <c r="K122" s="1" t="str">
        <v>julho 2022</v>
      </c>
      <c r="L122" s="1" t="str">
        <v>7341</v>
      </c>
      <c r="M122" s="1" t="str">
        <v>1109010.Mortadela</v>
      </c>
      <c r="Q122" s="1" t="str">
        <f t="shared" si="3"/>
        <v>1109010.Mortadela</v>
      </c>
      <c r="R122" s="1" t="str">
        <f t="shared" si="4"/>
        <v>202207</v>
      </c>
      <c r="S122" s="1">
        <f t="shared" si="5"/>
        <v>1.76</v>
      </c>
    </row>
    <row r="123" spans="1:19" x14ac:dyDescent="0.2">
      <c r="A123" s="1" t="str">
        <v>1</v>
      </c>
      <c r="B123" s="1" t="str">
        <v>Brasil</v>
      </c>
      <c r="C123" s="1" t="str">
        <v>2</v>
      </c>
      <c r="D123" s="1" t="str">
        <v>%</v>
      </c>
      <c r="E123" s="1" t="str">
        <v>1.66</v>
      </c>
      <c r="F123" s="1" t="str">
        <v>1</v>
      </c>
      <c r="G123" s="1" t="str">
        <v>Brasil</v>
      </c>
      <c r="H123" s="1" t="str">
        <v>63</v>
      </c>
      <c r="I123" s="1" t="str">
        <v>IPCA - Variação mensal</v>
      </c>
      <c r="J123" s="1" t="str">
        <v>202207</v>
      </c>
      <c r="K123" s="1" t="str">
        <v>julho 2022</v>
      </c>
      <c r="L123" s="1" t="str">
        <v>12305</v>
      </c>
      <c r="M123" s="1" t="str">
        <v>1109012.Salame</v>
      </c>
      <c r="Q123" s="1" t="str">
        <f t="shared" si="3"/>
        <v>1109012.Salame</v>
      </c>
      <c r="R123" s="1" t="str">
        <f t="shared" si="4"/>
        <v>202207</v>
      </c>
      <c r="S123" s="1">
        <f t="shared" si="5"/>
        <v>1.66</v>
      </c>
    </row>
    <row r="124" spans="1:19" x14ac:dyDescent="0.2">
      <c r="A124" s="1" t="str">
        <v>1</v>
      </c>
      <c r="B124" s="1" t="str">
        <v>Brasil</v>
      </c>
      <c r="C124" s="1" t="str">
        <v>2</v>
      </c>
      <c r="D124" s="1" t="str">
        <v>%</v>
      </c>
      <c r="E124" s="1" t="str">
        <v>0.38</v>
      </c>
      <c r="F124" s="1" t="str">
        <v>1</v>
      </c>
      <c r="G124" s="1" t="str">
        <v>Brasil</v>
      </c>
      <c r="H124" s="1" t="str">
        <v>63</v>
      </c>
      <c r="I124" s="1" t="str">
        <v>IPCA - Variação mensal</v>
      </c>
      <c r="J124" s="1" t="str">
        <v>202207</v>
      </c>
      <c r="K124" s="1" t="str">
        <v>julho 2022</v>
      </c>
      <c r="L124" s="1" t="str">
        <v>7343</v>
      </c>
      <c r="M124" s="1" t="str">
        <v>1109023.Bacalhau</v>
      </c>
      <c r="Q124" s="1" t="str">
        <f t="shared" si="3"/>
        <v>1109023.Bacalhau</v>
      </c>
      <c r="R124" s="1" t="str">
        <f t="shared" si="4"/>
        <v>202207</v>
      </c>
      <c r="S124" s="1">
        <f t="shared" si="5"/>
        <v>0.38</v>
      </c>
    </row>
    <row r="125" spans="1:19" x14ac:dyDescent="0.2">
      <c r="A125" s="1" t="str">
        <v>1</v>
      </c>
      <c r="B125" s="1" t="str">
        <v>Brasil</v>
      </c>
      <c r="C125" s="1" t="str">
        <v>2</v>
      </c>
      <c r="D125" s="1" t="str">
        <v>%</v>
      </c>
      <c r="E125" s="1" t="str">
        <v>1.46</v>
      </c>
      <c r="F125" s="1" t="str">
        <v>1</v>
      </c>
      <c r="G125" s="1" t="str">
        <v>Brasil</v>
      </c>
      <c r="H125" s="1" t="str">
        <v>63</v>
      </c>
      <c r="I125" s="1" t="str">
        <v>IPCA - Variação mensal</v>
      </c>
      <c r="J125" s="1" t="str">
        <v>202207</v>
      </c>
      <c r="K125" s="1" t="str">
        <v>julho 2022</v>
      </c>
      <c r="L125" s="1" t="str">
        <v>12379</v>
      </c>
      <c r="M125" s="1" t="str">
        <v>1109056.Carne-seca e de sol</v>
      </c>
      <c r="Q125" s="1" t="str">
        <f t="shared" si="3"/>
        <v>1109056.Carne-seca e de sol</v>
      </c>
      <c r="R125" s="1" t="str">
        <f t="shared" si="4"/>
        <v>202207</v>
      </c>
      <c r="S125" s="1">
        <f t="shared" si="5"/>
        <v>1.46</v>
      </c>
    </row>
    <row r="126" spans="1:19" x14ac:dyDescent="0.2">
      <c r="A126" s="1" t="str">
        <v>1</v>
      </c>
      <c r="B126" s="1" t="str">
        <v>Brasil</v>
      </c>
      <c r="C126" s="1" t="str">
        <v>2</v>
      </c>
      <c r="D126" s="1" t="str">
        <v>%</v>
      </c>
      <c r="E126" s="1" t="str">
        <v>2.42</v>
      </c>
      <c r="F126" s="1" t="str">
        <v>1</v>
      </c>
      <c r="G126" s="1" t="str">
        <v>Brasil</v>
      </c>
      <c r="H126" s="1" t="str">
        <v>63</v>
      </c>
      <c r="I126" s="1" t="str">
        <v>IPCA - Variação mensal</v>
      </c>
      <c r="J126" s="1" t="str">
        <v>202207</v>
      </c>
      <c r="K126" s="1" t="str">
        <v>julho 2022</v>
      </c>
      <c r="L126" s="1" t="str">
        <v>7347</v>
      </c>
      <c r="M126" s="1" t="str">
        <v>1109058.Carne de porco salgada e defumada</v>
      </c>
      <c r="Q126" s="1" t="str">
        <f t="shared" si="3"/>
        <v>1109058.Carne de porco salgada e defumada</v>
      </c>
      <c r="R126" s="1" t="str">
        <f t="shared" si="4"/>
        <v>202207</v>
      </c>
      <c r="S126" s="1">
        <f t="shared" si="5"/>
        <v>2.42</v>
      </c>
    </row>
    <row r="127" spans="1:19" x14ac:dyDescent="0.2">
      <c r="A127" s="1" t="str">
        <v>1</v>
      </c>
      <c r="B127" s="1" t="str">
        <v>Brasil</v>
      </c>
      <c r="C127" s="1" t="str">
        <v>2</v>
      </c>
      <c r="D127" s="1" t="str">
        <v>%</v>
      </c>
      <c r="E127" s="1" t="str">
        <v>1.43</v>
      </c>
      <c r="F127" s="1" t="str">
        <v>1</v>
      </c>
      <c r="G127" s="1" t="str">
        <v>Brasil</v>
      </c>
      <c r="H127" s="1" t="str">
        <v>63</v>
      </c>
      <c r="I127" s="1" t="str">
        <v>IPCA - Variação mensal</v>
      </c>
      <c r="J127" s="1" t="str">
        <v>202207</v>
      </c>
      <c r="K127" s="1" t="str">
        <v>julho 2022</v>
      </c>
      <c r="L127" s="1" t="str">
        <v>7349</v>
      </c>
      <c r="M127" s="1" t="str">
        <v>1110.Aves e ovos</v>
      </c>
      <c r="Q127" s="1" t="str">
        <f t="shared" si="3"/>
        <v>1110.Aves e ovos</v>
      </c>
      <c r="R127" s="1" t="str">
        <f t="shared" si="4"/>
        <v>202207</v>
      </c>
      <c r="S127" s="1">
        <f t="shared" si="5"/>
        <v>1.43</v>
      </c>
    </row>
    <row r="128" spans="1:19" x14ac:dyDescent="0.2">
      <c r="A128" s="1" t="str">
        <v>1</v>
      </c>
      <c r="B128" s="1" t="str">
        <v>Brasil</v>
      </c>
      <c r="C128" s="1" t="str">
        <v>2</v>
      </c>
      <c r="D128" s="1" t="str">
        <v>%</v>
      </c>
      <c r="E128" s="1" t="str">
        <v>0.69</v>
      </c>
      <c r="F128" s="1" t="str">
        <v>1</v>
      </c>
      <c r="G128" s="1" t="str">
        <v>Brasil</v>
      </c>
      <c r="H128" s="1" t="str">
        <v>63</v>
      </c>
      <c r="I128" s="1" t="str">
        <v>IPCA - Variação mensal</v>
      </c>
      <c r="J128" s="1" t="str">
        <v>202207</v>
      </c>
      <c r="K128" s="1" t="str">
        <v>julho 2022</v>
      </c>
      <c r="L128" s="1" t="str">
        <v>107617</v>
      </c>
      <c r="M128" s="1" t="str">
        <v>1110009.Frango inteiro</v>
      </c>
      <c r="Q128" s="1" t="str">
        <f t="shared" si="3"/>
        <v>1110009.Frango inteiro</v>
      </c>
      <c r="R128" s="1" t="str">
        <f t="shared" si="4"/>
        <v>202207</v>
      </c>
      <c r="S128" s="1">
        <f t="shared" si="5"/>
        <v>0.69</v>
      </c>
    </row>
    <row r="129" spans="1:19" x14ac:dyDescent="0.2">
      <c r="A129" s="1" t="str">
        <v>1</v>
      </c>
      <c r="B129" s="1" t="str">
        <v>Brasil</v>
      </c>
      <c r="C129" s="1" t="str">
        <v>2</v>
      </c>
      <c r="D129" s="1" t="str">
        <v>%</v>
      </c>
      <c r="E129" s="1" t="str">
        <v>2.23</v>
      </c>
      <c r="F129" s="1" t="str">
        <v>1</v>
      </c>
      <c r="G129" s="1" t="str">
        <v>Brasil</v>
      </c>
      <c r="H129" s="1" t="str">
        <v>63</v>
      </c>
      <c r="I129" s="1" t="str">
        <v>IPCA - Variação mensal</v>
      </c>
      <c r="J129" s="1" t="str">
        <v>202207</v>
      </c>
      <c r="K129" s="1" t="str">
        <v>julho 2022</v>
      </c>
      <c r="L129" s="1" t="str">
        <v>107618</v>
      </c>
      <c r="M129" s="1" t="str">
        <v>1110010.Frango em pedaços</v>
      </c>
      <c r="Q129" s="1" t="str">
        <f t="shared" si="3"/>
        <v>1110010.Frango em pedaços</v>
      </c>
      <c r="R129" s="1" t="str">
        <f t="shared" si="4"/>
        <v>202207</v>
      </c>
      <c r="S129" s="1">
        <f t="shared" si="5"/>
        <v>2.23</v>
      </c>
    </row>
    <row r="130" spans="1:19" x14ac:dyDescent="0.2">
      <c r="A130" s="1" t="str">
        <v>1</v>
      </c>
      <c r="B130" s="1" t="str">
        <v>Brasil</v>
      </c>
      <c r="C130" s="1" t="str">
        <v>2</v>
      </c>
      <c r="D130" s="1" t="str">
        <v>%</v>
      </c>
      <c r="E130" s="1" t="str">
        <v>0.42</v>
      </c>
      <c r="F130" s="1" t="str">
        <v>1</v>
      </c>
      <c r="G130" s="1" t="str">
        <v>Brasil</v>
      </c>
      <c r="H130" s="1" t="str">
        <v>63</v>
      </c>
      <c r="I130" s="1" t="str">
        <v>IPCA - Variação mensal</v>
      </c>
      <c r="J130" s="1" t="str">
        <v>202207</v>
      </c>
      <c r="K130" s="1" t="str">
        <v>julho 2022</v>
      </c>
      <c r="L130" s="1" t="str">
        <v>7355</v>
      </c>
      <c r="M130" s="1" t="str">
        <v>1110044.Ovo de galinha</v>
      </c>
      <c r="Q130" s="1" t="str">
        <f t="shared" si="3"/>
        <v>1110044.Ovo de galinha</v>
      </c>
      <c r="R130" s="1" t="str">
        <f t="shared" si="4"/>
        <v>202207</v>
      </c>
      <c r="S130" s="1">
        <f t="shared" si="5"/>
        <v>0.42</v>
      </c>
    </row>
    <row r="131" spans="1:19" x14ac:dyDescent="0.2">
      <c r="A131" s="1" t="str">
        <v>1</v>
      </c>
      <c r="B131" s="1" t="str">
        <v>Brasil</v>
      </c>
      <c r="C131" s="1" t="str">
        <v>2</v>
      </c>
      <c r="D131" s="1" t="str">
        <v>%</v>
      </c>
      <c r="E131" s="1" t="str">
        <v>14.06</v>
      </c>
      <c r="F131" s="1" t="str">
        <v>1</v>
      </c>
      <c r="G131" s="1" t="str">
        <v>Brasil</v>
      </c>
      <c r="H131" s="1" t="str">
        <v>63</v>
      </c>
      <c r="I131" s="1" t="str">
        <v>IPCA - Variação mensal</v>
      </c>
      <c r="J131" s="1" t="str">
        <v>202207</v>
      </c>
      <c r="K131" s="1" t="str">
        <v>julho 2022</v>
      </c>
      <c r="L131" s="1" t="str">
        <v>7356</v>
      </c>
      <c r="M131" s="1" t="str">
        <v>1111.Leites e derivados</v>
      </c>
      <c r="Q131" s="1" t="str">
        <f t="shared" si="3"/>
        <v>1111.Leites e derivados</v>
      </c>
      <c r="R131" s="1" t="str">
        <f t="shared" si="4"/>
        <v>202207</v>
      </c>
      <c r="S131" s="1">
        <f t="shared" si="5"/>
        <v>14.06</v>
      </c>
    </row>
    <row r="132" spans="1:19" x14ac:dyDescent="0.2">
      <c r="A132" s="1" t="str">
        <v>1</v>
      </c>
      <c r="B132" s="1" t="str">
        <v>Brasil</v>
      </c>
      <c r="C132" s="1" t="str">
        <v>2</v>
      </c>
      <c r="D132" s="1" t="str">
        <v>%</v>
      </c>
      <c r="E132" s="1" t="str">
        <v>25.46</v>
      </c>
      <c r="F132" s="1" t="str">
        <v>1</v>
      </c>
      <c r="G132" s="1" t="str">
        <v>Brasil</v>
      </c>
      <c r="H132" s="1" t="str">
        <v>63</v>
      </c>
      <c r="I132" s="1" t="str">
        <v>IPCA - Variação mensal</v>
      </c>
      <c r="J132" s="1" t="str">
        <v>202207</v>
      </c>
      <c r="K132" s="1" t="str">
        <v>julho 2022</v>
      </c>
      <c r="L132" s="1" t="str">
        <v>12393</v>
      </c>
      <c r="M132" s="1" t="str">
        <v>1111004.Leite longa vida</v>
      </c>
      <c r="Q132" s="1" t="str">
        <f t="shared" si="3"/>
        <v>1111004.Leite longa vida</v>
      </c>
      <c r="R132" s="1" t="str">
        <f t="shared" si="4"/>
        <v>202207</v>
      </c>
      <c r="S132" s="1">
        <f t="shared" si="5"/>
        <v>25.46</v>
      </c>
    </row>
    <row r="133" spans="1:19" x14ac:dyDescent="0.2">
      <c r="A133" s="1" t="str">
        <v>1</v>
      </c>
      <c r="B133" s="1" t="str">
        <v>Brasil</v>
      </c>
      <c r="C133" s="1" t="str">
        <v>2</v>
      </c>
      <c r="D133" s="1" t="str">
        <v>%</v>
      </c>
      <c r="E133" s="1" t="str">
        <v>6.66</v>
      </c>
      <c r="F133" s="1" t="str">
        <v>1</v>
      </c>
      <c r="G133" s="1" t="str">
        <v>Brasil</v>
      </c>
      <c r="H133" s="1" t="str">
        <v>63</v>
      </c>
      <c r="I133" s="1" t="str">
        <v>IPCA - Variação mensal</v>
      </c>
      <c r="J133" s="1" t="str">
        <v>202207</v>
      </c>
      <c r="K133" s="1" t="str">
        <v>julho 2022</v>
      </c>
      <c r="L133" s="1" t="str">
        <v>7358</v>
      </c>
      <c r="M133" s="1" t="str">
        <v>1111008.Leite condensado</v>
      </c>
      <c r="Q133" s="1" t="str">
        <f t="shared" si="3"/>
        <v>1111008.Leite condensado</v>
      </c>
      <c r="R133" s="1" t="str">
        <f t="shared" si="4"/>
        <v>202207</v>
      </c>
      <c r="S133" s="1">
        <f t="shared" si="5"/>
        <v>6.66</v>
      </c>
    </row>
    <row r="134" spans="1:19" x14ac:dyDescent="0.2">
      <c r="A134" s="1" t="str">
        <v>1</v>
      </c>
      <c r="B134" s="1" t="str">
        <v>Brasil</v>
      </c>
      <c r="C134" s="1" t="str">
        <v>2</v>
      </c>
      <c r="D134" s="1" t="str">
        <v>%</v>
      </c>
      <c r="E134" s="1" t="str">
        <v>5.36</v>
      </c>
      <c r="F134" s="1" t="str">
        <v>1</v>
      </c>
      <c r="G134" s="1" t="str">
        <v>Brasil</v>
      </c>
      <c r="H134" s="1" t="str">
        <v>63</v>
      </c>
      <c r="I134" s="1" t="str">
        <v>IPCA - Variação mensal</v>
      </c>
      <c r="J134" s="1" t="str">
        <v>202207</v>
      </c>
      <c r="K134" s="1" t="str">
        <v>julho 2022</v>
      </c>
      <c r="L134" s="1" t="str">
        <v>7359</v>
      </c>
      <c r="M134" s="1" t="str">
        <v>1111009.Leite em pó</v>
      </c>
      <c r="Q134" s="1" t="str">
        <f t="shared" si="3"/>
        <v>1111009.Leite em pó</v>
      </c>
      <c r="R134" s="1" t="str">
        <f t="shared" si="4"/>
        <v>202207</v>
      </c>
      <c r="S134" s="1">
        <f t="shared" si="5"/>
        <v>5.36</v>
      </c>
    </row>
    <row r="135" spans="1:19" x14ac:dyDescent="0.2">
      <c r="A135" s="1" t="str">
        <v>1</v>
      </c>
      <c r="B135" s="1" t="str">
        <v>Brasil</v>
      </c>
      <c r="C135" s="1" t="str">
        <v>2</v>
      </c>
      <c r="D135" s="1" t="str">
        <v>%</v>
      </c>
      <c r="E135" s="1" t="str">
        <v>5.28</v>
      </c>
      <c r="F135" s="1" t="str">
        <v>1</v>
      </c>
      <c r="G135" s="1" t="str">
        <v>Brasil</v>
      </c>
      <c r="H135" s="1" t="str">
        <v>63</v>
      </c>
      <c r="I135" s="1" t="str">
        <v>IPCA - Variação mensal</v>
      </c>
      <c r="J135" s="1" t="str">
        <v>202207</v>
      </c>
      <c r="K135" s="1" t="str">
        <v>julho 2022</v>
      </c>
      <c r="L135" s="1" t="str">
        <v>107619</v>
      </c>
      <c r="M135" s="1" t="str">
        <v>1111011.Queijo</v>
      </c>
      <c r="Q135" s="1" t="str">
        <f t="shared" ref="Q135:Q198" si="6">M135</f>
        <v>1111011.Queijo</v>
      </c>
      <c r="R135" s="1" t="str">
        <f t="shared" ref="R135:R198" si="7">J135</f>
        <v>202207</v>
      </c>
      <c r="S135" s="1">
        <f t="shared" ref="S135:S198" si="8">IFERROR(_xlfn.NUMBERVALUE(E135,".",","), "")</f>
        <v>5.28</v>
      </c>
    </row>
    <row r="136" spans="1:19" x14ac:dyDescent="0.2">
      <c r="A136" s="1" t="str">
        <v>1</v>
      </c>
      <c r="B136" s="1" t="str">
        <v>Brasil</v>
      </c>
      <c r="C136" s="1" t="str">
        <v>2</v>
      </c>
      <c r="D136" s="1" t="str">
        <v>%</v>
      </c>
      <c r="E136" s="1" t="str">
        <v>2.00</v>
      </c>
      <c r="F136" s="1" t="str">
        <v>1</v>
      </c>
      <c r="G136" s="1" t="str">
        <v>Brasil</v>
      </c>
      <c r="H136" s="1" t="str">
        <v>63</v>
      </c>
      <c r="I136" s="1" t="str">
        <v>IPCA - Variação mensal</v>
      </c>
      <c r="J136" s="1" t="str">
        <v>202207</v>
      </c>
      <c r="K136" s="1" t="str">
        <v>julho 2022</v>
      </c>
      <c r="L136" s="1" t="str">
        <v>12394</v>
      </c>
      <c r="M136" s="1" t="str">
        <v>1111019.Iogurte e bebidas lácteas</v>
      </c>
      <c r="Q136" s="1" t="str">
        <f t="shared" si="6"/>
        <v>1111019.Iogurte e bebidas lácteas</v>
      </c>
      <c r="R136" s="1" t="str">
        <f t="shared" si="7"/>
        <v>202207</v>
      </c>
      <c r="S136" s="1">
        <f t="shared" si="8"/>
        <v>2</v>
      </c>
    </row>
    <row r="137" spans="1:19" x14ac:dyDescent="0.2">
      <c r="A137" s="1" t="str">
        <v>1</v>
      </c>
      <c r="B137" s="1" t="str">
        <v>Brasil</v>
      </c>
      <c r="C137" s="1" t="str">
        <v>2</v>
      </c>
      <c r="D137" s="1" t="str">
        <v>%</v>
      </c>
      <c r="E137" s="1" t="str">
        <v>3.22</v>
      </c>
      <c r="F137" s="1" t="str">
        <v>1</v>
      </c>
      <c r="G137" s="1" t="str">
        <v>Brasil</v>
      </c>
      <c r="H137" s="1" t="str">
        <v>63</v>
      </c>
      <c r="I137" s="1" t="str">
        <v>IPCA - Variação mensal</v>
      </c>
      <c r="J137" s="1" t="str">
        <v>202207</v>
      </c>
      <c r="K137" s="1" t="str">
        <v>julho 2022</v>
      </c>
      <c r="L137" s="1" t="str">
        <v>47627</v>
      </c>
      <c r="M137" s="1" t="str">
        <v>1111021.Requeijão</v>
      </c>
      <c r="Q137" s="1" t="str">
        <f t="shared" si="6"/>
        <v>1111021.Requeijão</v>
      </c>
      <c r="R137" s="1" t="str">
        <f t="shared" si="7"/>
        <v>202207</v>
      </c>
      <c r="S137" s="1">
        <f t="shared" si="8"/>
        <v>3.22</v>
      </c>
    </row>
    <row r="138" spans="1:19" x14ac:dyDescent="0.2">
      <c r="A138" s="1" t="str">
        <v>1</v>
      </c>
      <c r="B138" s="1" t="str">
        <v>Brasil</v>
      </c>
      <c r="C138" s="1" t="str">
        <v>2</v>
      </c>
      <c r="D138" s="1" t="str">
        <v>%</v>
      </c>
      <c r="E138" s="1" t="str">
        <v>5.75</v>
      </c>
      <c r="F138" s="1" t="str">
        <v>1</v>
      </c>
      <c r="G138" s="1" t="str">
        <v>Brasil</v>
      </c>
      <c r="H138" s="1" t="str">
        <v>63</v>
      </c>
      <c r="I138" s="1" t="str">
        <v>IPCA - Variação mensal</v>
      </c>
      <c r="J138" s="1" t="str">
        <v>202207</v>
      </c>
      <c r="K138" s="1" t="str">
        <v>julho 2022</v>
      </c>
      <c r="L138" s="1" t="str">
        <v>7367</v>
      </c>
      <c r="M138" s="1" t="str">
        <v>1111031.Manteiga</v>
      </c>
      <c r="Q138" s="1" t="str">
        <f t="shared" si="6"/>
        <v>1111031.Manteiga</v>
      </c>
      <c r="R138" s="1" t="str">
        <f t="shared" si="7"/>
        <v>202207</v>
      </c>
      <c r="S138" s="1">
        <f t="shared" si="8"/>
        <v>5.75</v>
      </c>
    </row>
    <row r="139" spans="1:19" x14ac:dyDescent="0.2">
      <c r="A139" s="1" t="str">
        <v>1</v>
      </c>
      <c r="B139" s="1" t="str">
        <v>Brasil</v>
      </c>
      <c r="C139" s="1" t="str">
        <v>2</v>
      </c>
      <c r="D139" s="1" t="str">
        <v>%</v>
      </c>
      <c r="E139" s="1" t="str">
        <v>2.87</v>
      </c>
      <c r="F139" s="1" t="str">
        <v>1</v>
      </c>
      <c r="G139" s="1" t="str">
        <v>Brasil</v>
      </c>
      <c r="H139" s="1" t="str">
        <v>63</v>
      </c>
      <c r="I139" s="1" t="str">
        <v>IPCA - Variação mensal</v>
      </c>
      <c r="J139" s="1" t="str">
        <v>202207</v>
      </c>
      <c r="K139" s="1" t="str">
        <v>julho 2022</v>
      </c>
      <c r="L139" s="1" t="str">
        <v>7368</v>
      </c>
      <c r="M139" s="1" t="str">
        <v>1111038.Leite fermentado</v>
      </c>
      <c r="Q139" s="1" t="str">
        <f t="shared" si="6"/>
        <v>1111038.Leite fermentado</v>
      </c>
      <c r="R139" s="1" t="str">
        <f t="shared" si="7"/>
        <v>202207</v>
      </c>
      <c r="S139" s="1">
        <f t="shared" si="8"/>
        <v>2.87</v>
      </c>
    </row>
    <row r="140" spans="1:19" x14ac:dyDescent="0.2">
      <c r="A140" s="1" t="str">
        <v>1</v>
      </c>
      <c r="B140" s="1" t="str">
        <v>Brasil</v>
      </c>
      <c r="C140" s="1" t="str">
        <v>2</v>
      </c>
      <c r="D140" s="1" t="str">
        <v>%</v>
      </c>
      <c r="E140" s="1" t="str">
        <v>1.96</v>
      </c>
      <c r="F140" s="1" t="str">
        <v>1</v>
      </c>
      <c r="G140" s="1" t="str">
        <v>Brasil</v>
      </c>
      <c r="H140" s="1" t="str">
        <v>63</v>
      </c>
      <c r="I140" s="1" t="str">
        <v>IPCA - Variação mensal</v>
      </c>
      <c r="J140" s="1" t="str">
        <v>202207</v>
      </c>
      <c r="K140" s="1" t="str">
        <v>julho 2022</v>
      </c>
      <c r="L140" s="1" t="str">
        <v>7372</v>
      </c>
      <c r="M140" s="1" t="str">
        <v>1112.Panificados</v>
      </c>
      <c r="Q140" s="1" t="str">
        <f t="shared" si="6"/>
        <v>1112.Panificados</v>
      </c>
      <c r="R140" s="1" t="str">
        <f t="shared" si="7"/>
        <v>202207</v>
      </c>
      <c r="S140" s="1">
        <f t="shared" si="8"/>
        <v>1.96</v>
      </c>
    </row>
    <row r="141" spans="1:19" x14ac:dyDescent="0.2">
      <c r="A141" s="1" t="str">
        <v>1</v>
      </c>
      <c r="B141" s="1" t="str">
        <v>Brasil</v>
      </c>
      <c r="C141" s="1" t="str">
        <v>2</v>
      </c>
      <c r="D141" s="1" t="str">
        <v>%</v>
      </c>
      <c r="E141" s="1" t="str">
        <v>2.71</v>
      </c>
      <c r="F141" s="1" t="str">
        <v>1</v>
      </c>
      <c r="G141" s="1" t="str">
        <v>Brasil</v>
      </c>
      <c r="H141" s="1" t="str">
        <v>63</v>
      </c>
      <c r="I141" s="1" t="str">
        <v>IPCA - Variação mensal</v>
      </c>
      <c r="J141" s="1" t="str">
        <v>202207</v>
      </c>
      <c r="K141" s="1" t="str">
        <v>julho 2022</v>
      </c>
      <c r="L141" s="1" t="str">
        <v>7373</v>
      </c>
      <c r="M141" s="1" t="str">
        <v>1112003.Biscoito</v>
      </c>
      <c r="Q141" s="1" t="str">
        <f t="shared" si="6"/>
        <v>1112003.Biscoito</v>
      </c>
      <c r="R141" s="1" t="str">
        <f t="shared" si="7"/>
        <v>202207</v>
      </c>
      <c r="S141" s="1">
        <f t="shared" si="8"/>
        <v>2.71</v>
      </c>
    </row>
    <row r="142" spans="1:19" x14ac:dyDescent="0.2">
      <c r="A142" s="1" t="str">
        <v>1</v>
      </c>
      <c r="B142" s="1" t="str">
        <v>Brasil</v>
      </c>
      <c r="C142" s="1" t="str">
        <v>2</v>
      </c>
      <c r="D142" s="1" t="str">
        <v>%</v>
      </c>
      <c r="E142" s="1" t="str">
        <v>1.58</v>
      </c>
      <c r="F142" s="1" t="str">
        <v>1</v>
      </c>
      <c r="G142" s="1" t="str">
        <v>Brasil</v>
      </c>
      <c r="H142" s="1" t="str">
        <v>63</v>
      </c>
      <c r="I142" s="1" t="str">
        <v>IPCA - Variação mensal</v>
      </c>
      <c r="J142" s="1" t="str">
        <v>202207</v>
      </c>
      <c r="K142" s="1" t="str">
        <v>julho 2022</v>
      </c>
      <c r="L142" s="1" t="str">
        <v>7375</v>
      </c>
      <c r="M142" s="1" t="str">
        <v>1112015.Pão francês</v>
      </c>
      <c r="Q142" s="1" t="str">
        <f t="shared" si="6"/>
        <v>1112015.Pão francês</v>
      </c>
      <c r="R142" s="1" t="str">
        <f t="shared" si="7"/>
        <v>202207</v>
      </c>
      <c r="S142" s="1">
        <f t="shared" si="8"/>
        <v>1.58</v>
      </c>
    </row>
    <row r="143" spans="1:19" x14ac:dyDescent="0.2">
      <c r="A143" s="1" t="str">
        <v>1</v>
      </c>
      <c r="B143" s="1" t="str">
        <v>Brasil</v>
      </c>
      <c r="C143" s="1" t="str">
        <v>2</v>
      </c>
      <c r="D143" s="1" t="str">
        <v>%</v>
      </c>
      <c r="E143" s="1" t="str">
        <v>2.66</v>
      </c>
      <c r="F143" s="1" t="str">
        <v>1</v>
      </c>
      <c r="G143" s="1" t="str">
        <v>Brasil</v>
      </c>
      <c r="H143" s="1" t="str">
        <v>63</v>
      </c>
      <c r="I143" s="1" t="str">
        <v>IPCA - Variação mensal</v>
      </c>
      <c r="J143" s="1" t="str">
        <v>202207</v>
      </c>
      <c r="K143" s="1" t="str">
        <v>julho 2022</v>
      </c>
      <c r="L143" s="1" t="str">
        <v>7376</v>
      </c>
      <c r="M143" s="1" t="str">
        <v>1112017.Pão doce</v>
      </c>
      <c r="Q143" s="1" t="str">
        <f t="shared" si="6"/>
        <v>1112017.Pão doce</v>
      </c>
      <c r="R143" s="1" t="str">
        <f t="shared" si="7"/>
        <v>202207</v>
      </c>
      <c r="S143" s="1">
        <f t="shared" si="8"/>
        <v>2.66</v>
      </c>
    </row>
    <row r="144" spans="1:19" x14ac:dyDescent="0.2">
      <c r="A144" s="1" t="str">
        <v>1</v>
      </c>
      <c r="B144" s="1" t="str">
        <v>Brasil</v>
      </c>
      <c r="C144" s="1" t="str">
        <v>2</v>
      </c>
      <c r="D144" s="1" t="str">
        <v>%</v>
      </c>
      <c r="E144" s="1" t="str">
        <v>1.90</v>
      </c>
      <c r="F144" s="1" t="str">
        <v>1</v>
      </c>
      <c r="G144" s="1" t="str">
        <v>Brasil</v>
      </c>
      <c r="H144" s="1" t="str">
        <v>63</v>
      </c>
      <c r="I144" s="1" t="str">
        <v>IPCA - Variação mensal</v>
      </c>
      <c r="J144" s="1" t="str">
        <v>202207</v>
      </c>
      <c r="K144" s="1" t="str">
        <v>julho 2022</v>
      </c>
      <c r="L144" s="1" t="str">
        <v>7377</v>
      </c>
      <c r="M144" s="1" t="str">
        <v>1112018.Pão de forma</v>
      </c>
      <c r="Q144" s="1" t="str">
        <f t="shared" si="6"/>
        <v>1112018.Pão de forma</v>
      </c>
      <c r="R144" s="1" t="str">
        <f t="shared" si="7"/>
        <v>202207</v>
      </c>
      <c r="S144" s="1">
        <f t="shared" si="8"/>
        <v>1.9</v>
      </c>
    </row>
    <row r="145" spans="1:19" x14ac:dyDescent="0.2">
      <c r="A145" s="1" t="str">
        <v>1</v>
      </c>
      <c r="B145" s="1" t="str">
        <v>Brasil</v>
      </c>
      <c r="C145" s="1" t="str">
        <v>2</v>
      </c>
      <c r="D145" s="1" t="str">
        <v>%</v>
      </c>
      <c r="E145" s="1" t="str">
        <v>1.20</v>
      </c>
      <c r="F145" s="1" t="str">
        <v>1</v>
      </c>
      <c r="G145" s="1" t="str">
        <v>Brasil</v>
      </c>
      <c r="H145" s="1" t="str">
        <v>63</v>
      </c>
      <c r="I145" s="1" t="str">
        <v>IPCA - Variação mensal</v>
      </c>
      <c r="J145" s="1" t="str">
        <v>202207</v>
      </c>
      <c r="K145" s="1" t="str">
        <v>julho 2022</v>
      </c>
      <c r="L145" s="1" t="str">
        <v>7378</v>
      </c>
      <c r="M145" s="1" t="str">
        <v>1112019.Bolo</v>
      </c>
      <c r="Q145" s="1" t="str">
        <f t="shared" si="6"/>
        <v>1112019.Bolo</v>
      </c>
      <c r="R145" s="1" t="str">
        <f t="shared" si="7"/>
        <v>202207</v>
      </c>
      <c r="S145" s="1">
        <f t="shared" si="8"/>
        <v>1.2</v>
      </c>
    </row>
    <row r="146" spans="1:19" x14ac:dyDescent="0.2">
      <c r="A146" s="1" t="str">
        <v>1</v>
      </c>
      <c r="B146" s="1" t="str">
        <v>Brasil</v>
      </c>
      <c r="C146" s="1" t="str">
        <v>2</v>
      </c>
      <c r="D146" s="1" t="str">
        <v>%</v>
      </c>
      <c r="E146" s="1" t="str">
        <v>2.79</v>
      </c>
      <c r="F146" s="1" t="str">
        <v>1</v>
      </c>
      <c r="G146" s="1" t="str">
        <v>Brasil</v>
      </c>
      <c r="H146" s="1" t="str">
        <v>63</v>
      </c>
      <c r="I146" s="1" t="str">
        <v>IPCA - Variação mensal</v>
      </c>
      <c r="J146" s="1" t="str">
        <v>202207</v>
      </c>
      <c r="K146" s="1" t="str">
        <v>julho 2022</v>
      </c>
      <c r="L146" s="1" t="str">
        <v>7380</v>
      </c>
      <c r="M146" s="1" t="str">
        <v>1112025.Pão de queijo</v>
      </c>
      <c r="Q146" s="1" t="str">
        <f t="shared" si="6"/>
        <v>1112025.Pão de queijo</v>
      </c>
      <c r="R146" s="1" t="str">
        <f t="shared" si="7"/>
        <v>202207</v>
      </c>
      <c r="S146" s="1">
        <f t="shared" si="8"/>
        <v>2.79</v>
      </c>
    </row>
    <row r="147" spans="1:19" x14ac:dyDescent="0.2">
      <c r="A147" s="1" t="str">
        <v>1</v>
      </c>
      <c r="B147" s="1" t="str">
        <v>Brasil</v>
      </c>
      <c r="C147" s="1" t="str">
        <v>2</v>
      </c>
      <c r="D147" s="1" t="str">
        <v>%</v>
      </c>
      <c r="E147" s="1" t="str">
        <v>-0.80</v>
      </c>
      <c r="F147" s="1" t="str">
        <v>1</v>
      </c>
      <c r="G147" s="1" t="str">
        <v>Brasil</v>
      </c>
      <c r="H147" s="1" t="str">
        <v>63</v>
      </c>
      <c r="I147" s="1" t="str">
        <v>IPCA - Variação mensal</v>
      </c>
      <c r="J147" s="1" t="str">
        <v>202207</v>
      </c>
      <c r="K147" s="1" t="str">
        <v>julho 2022</v>
      </c>
      <c r="L147" s="1" t="str">
        <v>7384</v>
      </c>
      <c r="M147" s="1" t="str">
        <v>1113.Óleos e gorduras</v>
      </c>
      <c r="Q147" s="1" t="str">
        <f t="shared" si="6"/>
        <v>1113.Óleos e gorduras</v>
      </c>
      <c r="R147" s="1" t="str">
        <f t="shared" si="7"/>
        <v>202207</v>
      </c>
      <c r="S147" s="1">
        <f t="shared" si="8"/>
        <v>-0.8</v>
      </c>
    </row>
    <row r="148" spans="1:19" x14ac:dyDescent="0.2">
      <c r="A148" s="1" t="str">
        <v>1</v>
      </c>
      <c r="B148" s="1" t="str">
        <v>Brasil</v>
      </c>
      <c r="C148" s="1" t="str">
        <v>2</v>
      </c>
      <c r="D148" s="1" t="str">
        <v>%</v>
      </c>
      <c r="E148" s="1" t="str">
        <v>-2.41</v>
      </c>
      <c r="F148" s="1" t="str">
        <v>1</v>
      </c>
      <c r="G148" s="1" t="str">
        <v>Brasil</v>
      </c>
      <c r="H148" s="1" t="str">
        <v>63</v>
      </c>
      <c r="I148" s="1" t="str">
        <v>IPCA - Variação mensal</v>
      </c>
      <c r="J148" s="1" t="str">
        <v>202207</v>
      </c>
      <c r="K148" s="1" t="str">
        <v>julho 2022</v>
      </c>
      <c r="L148" s="1" t="str">
        <v>7385</v>
      </c>
      <c r="M148" s="1" t="str">
        <v>1113013.Óleo de soja</v>
      </c>
      <c r="Q148" s="1" t="str">
        <f t="shared" si="6"/>
        <v>1113013.Óleo de soja</v>
      </c>
      <c r="R148" s="1" t="str">
        <f t="shared" si="7"/>
        <v>202207</v>
      </c>
      <c r="S148" s="1">
        <f t="shared" si="8"/>
        <v>-2.41</v>
      </c>
    </row>
    <row r="149" spans="1:19" x14ac:dyDescent="0.2">
      <c r="A149" s="1" t="str">
        <v>1</v>
      </c>
      <c r="B149" s="1" t="str">
        <v>Brasil</v>
      </c>
      <c r="C149" s="1" t="str">
        <v>2</v>
      </c>
      <c r="D149" s="1" t="str">
        <v>%</v>
      </c>
      <c r="E149" s="1" t="str">
        <v>0.78</v>
      </c>
      <c r="F149" s="1" t="str">
        <v>1</v>
      </c>
      <c r="G149" s="1" t="str">
        <v>Brasil</v>
      </c>
      <c r="H149" s="1" t="str">
        <v>63</v>
      </c>
      <c r="I149" s="1" t="str">
        <v>IPCA - Variação mensal</v>
      </c>
      <c r="J149" s="1" t="str">
        <v>202207</v>
      </c>
      <c r="K149" s="1" t="str">
        <v>julho 2022</v>
      </c>
      <c r="L149" s="1" t="str">
        <v>7386</v>
      </c>
      <c r="M149" s="1" t="str">
        <v>1113014.Azeite de oliva</v>
      </c>
      <c r="Q149" s="1" t="str">
        <f t="shared" si="6"/>
        <v>1113014.Azeite de oliva</v>
      </c>
      <c r="R149" s="1" t="str">
        <f t="shared" si="7"/>
        <v>202207</v>
      </c>
      <c r="S149" s="1">
        <f t="shared" si="8"/>
        <v>0.78</v>
      </c>
    </row>
    <row r="150" spans="1:19" x14ac:dyDescent="0.2">
      <c r="A150" s="1" t="str">
        <v>1</v>
      </c>
      <c r="B150" s="1" t="str">
        <v>Brasil</v>
      </c>
      <c r="C150" s="1" t="str">
        <v>2</v>
      </c>
      <c r="D150" s="1" t="str">
        <v>%</v>
      </c>
      <c r="E150" s="1" t="str">
        <v>3.65</v>
      </c>
      <c r="F150" s="1" t="str">
        <v>1</v>
      </c>
      <c r="G150" s="1" t="str">
        <v>Brasil</v>
      </c>
      <c r="H150" s="1" t="str">
        <v>63</v>
      </c>
      <c r="I150" s="1" t="str">
        <v>IPCA - Variação mensal</v>
      </c>
      <c r="J150" s="1" t="str">
        <v>202207</v>
      </c>
      <c r="K150" s="1" t="str">
        <v>julho 2022</v>
      </c>
      <c r="L150" s="1" t="str">
        <v>12395</v>
      </c>
      <c r="M150" s="1" t="str">
        <v>1113040.Margarina</v>
      </c>
      <c r="Q150" s="1" t="str">
        <f t="shared" si="6"/>
        <v>1113040.Margarina</v>
      </c>
      <c r="R150" s="1" t="str">
        <f t="shared" si="7"/>
        <v>202207</v>
      </c>
      <c r="S150" s="1">
        <f t="shared" si="8"/>
        <v>3.65</v>
      </c>
    </row>
    <row r="151" spans="1:19" x14ac:dyDescent="0.2">
      <c r="A151" s="1" t="str">
        <v>1</v>
      </c>
      <c r="B151" s="1" t="str">
        <v>Brasil</v>
      </c>
      <c r="C151" s="1" t="str">
        <v>2</v>
      </c>
      <c r="D151" s="1" t="str">
        <v>%</v>
      </c>
      <c r="E151" s="1" t="str">
        <v>0.35</v>
      </c>
      <c r="F151" s="1" t="str">
        <v>1</v>
      </c>
      <c r="G151" s="1" t="str">
        <v>Brasil</v>
      </c>
      <c r="H151" s="1" t="str">
        <v>63</v>
      </c>
      <c r="I151" s="1" t="str">
        <v>IPCA - Variação mensal</v>
      </c>
      <c r="J151" s="1" t="str">
        <v>202207</v>
      </c>
      <c r="K151" s="1" t="str">
        <v>julho 2022</v>
      </c>
      <c r="L151" s="1" t="str">
        <v>7389</v>
      </c>
      <c r="M151" s="1" t="str">
        <v>1114.Bebidas e infusões</v>
      </c>
      <c r="Q151" s="1" t="str">
        <f t="shared" si="6"/>
        <v>1114.Bebidas e infusões</v>
      </c>
      <c r="R151" s="1" t="str">
        <f t="shared" si="7"/>
        <v>202207</v>
      </c>
      <c r="S151" s="1">
        <f t="shared" si="8"/>
        <v>0.35</v>
      </c>
    </row>
    <row r="152" spans="1:19" x14ac:dyDescent="0.2">
      <c r="A152" s="1" t="str">
        <v>1</v>
      </c>
      <c r="B152" s="1" t="str">
        <v>Brasil</v>
      </c>
      <c r="C152" s="1" t="str">
        <v>2</v>
      </c>
      <c r="D152" s="1" t="str">
        <v>%</v>
      </c>
      <c r="E152" s="1" t="str">
        <v>0.96</v>
      </c>
      <c r="F152" s="1" t="str">
        <v>1</v>
      </c>
      <c r="G152" s="1" t="str">
        <v>Brasil</v>
      </c>
      <c r="H152" s="1" t="str">
        <v>63</v>
      </c>
      <c r="I152" s="1" t="str">
        <v>IPCA - Variação mensal</v>
      </c>
      <c r="J152" s="1" t="str">
        <v>202207</v>
      </c>
      <c r="K152" s="1" t="str">
        <v>julho 2022</v>
      </c>
      <c r="L152" s="1" t="str">
        <v>7390</v>
      </c>
      <c r="M152" s="1" t="str">
        <v>1114001.Suco de frutas</v>
      </c>
      <c r="Q152" s="1" t="str">
        <f t="shared" si="6"/>
        <v>1114001.Suco de frutas</v>
      </c>
      <c r="R152" s="1" t="str">
        <f t="shared" si="7"/>
        <v>202207</v>
      </c>
      <c r="S152" s="1">
        <f t="shared" si="8"/>
        <v>0.96</v>
      </c>
    </row>
    <row r="153" spans="1:19" x14ac:dyDescent="0.2">
      <c r="A153" s="1" t="str">
        <v>1</v>
      </c>
      <c r="B153" s="1" t="str">
        <v>Brasil</v>
      </c>
      <c r="C153" s="1" t="str">
        <v>2</v>
      </c>
      <c r="D153" s="1" t="str">
        <v>%</v>
      </c>
      <c r="E153" s="1" t="str">
        <v>-0.10</v>
      </c>
      <c r="F153" s="1" t="str">
        <v>1</v>
      </c>
      <c r="G153" s="1" t="str">
        <v>Brasil</v>
      </c>
      <c r="H153" s="1" t="str">
        <v>63</v>
      </c>
      <c r="I153" s="1" t="str">
        <v>IPCA - Variação mensal</v>
      </c>
      <c r="J153" s="1" t="str">
        <v>202207</v>
      </c>
      <c r="K153" s="1" t="str">
        <v>julho 2022</v>
      </c>
      <c r="L153" s="1" t="str">
        <v>47628</v>
      </c>
      <c r="M153" s="1" t="str">
        <v>1114003.Polpa de fruta (congelada)</v>
      </c>
      <c r="Q153" s="1" t="str">
        <f t="shared" si="6"/>
        <v>1114003.Polpa de fruta (congelada)</v>
      </c>
      <c r="R153" s="1" t="str">
        <f t="shared" si="7"/>
        <v>202207</v>
      </c>
      <c r="S153" s="1">
        <f t="shared" si="8"/>
        <v>-0.1</v>
      </c>
    </row>
    <row r="154" spans="1:19" x14ac:dyDescent="0.2">
      <c r="A154" s="1" t="str">
        <v>1</v>
      </c>
      <c r="B154" s="1" t="str">
        <v>Brasil</v>
      </c>
      <c r="C154" s="1" t="str">
        <v>2</v>
      </c>
      <c r="D154" s="1" t="str">
        <v>%</v>
      </c>
      <c r="E154" s="1" t="str">
        <v>-11.09</v>
      </c>
      <c r="F154" s="1" t="str">
        <v>1</v>
      </c>
      <c r="G154" s="1" t="str">
        <v>Brasil</v>
      </c>
      <c r="H154" s="1" t="str">
        <v>63</v>
      </c>
      <c r="I154" s="1" t="str">
        <v>IPCA - Variação mensal</v>
      </c>
      <c r="J154" s="1" t="str">
        <v>202207</v>
      </c>
      <c r="K154" s="1" t="str">
        <v>julho 2022</v>
      </c>
      <c r="L154" s="1" t="str">
        <v>12396</v>
      </c>
      <c r="M154" s="1" t="str">
        <v>1114004.Açaí (emulsão)</v>
      </c>
      <c r="Q154" s="1" t="str">
        <f t="shared" si="6"/>
        <v>1114004.Açaí (emulsão)</v>
      </c>
      <c r="R154" s="1" t="str">
        <f t="shared" si="7"/>
        <v>202207</v>
      </c>
      <c r="S154" s="1">
        <f t="shared" si="8"/>
        <v>-11.09</v>
      </c>
    </row>
    <row r="155" spans="1:19" x14ac:dyDescent="0.2">
      <c r="A155" s="1" t="str">
        <v>1</v>
      </c>
      <c r="B155" s="1" t="str">
        <v>Brasil</v>
      </c>
      <c r="C155" s="1" t="str">
        <v>2</v>
      </c>
      <c r="D155" s="1" t="str">
        <v>%</v>
      </c>
      <c r="E155" s="1" t="str">
        <v>0.33</v>
      </c>
      <c r="F155" s="1" t="str">
        <v>1</v>
      </c>
      <c r="G155" s="1" t="str">
        <v>Brasil</v>
      </c>
      <c r="H155" s="1" t="str">
        <v>63</v>
      </c>
      <c r="I155" s="1" t="str">
        <v>IPCA - Variação mensal</v>
      </c>
      <c r="J155" s="1" t="str">
        <v>202207</v>
      </c>
      <c r="K155" s="1" t="str">
        <v>julho 2022</v>
      </c>
      <c r="L155" s="1" t="str">
        <v>7392</v>
      </c>
      <c r="M155" s="1" t="str">
        <v>1114022.Café moído</v>
      </c>
      <c r="Q155" s="1" t="str">
        <f t="shared" si="6"/>
        <v>1114022.Café moído</v>
      </c>
      <c r="R155" s="1" t="str">
        <f t="shared" si="7"/>
        <v>202207</v>
      </c>
      <c r="S155" s="1">
        <f t="shared" si="8"/>
        <v>0.33</v>
      </c>
    </row>
    <row r="156" spans="1:19" x14ac:dyDescent="0.2">
      <c r="A156" s="1" t="str">
        <v>1</v>
      </c>
      <c r="B156" s="1" t="str">
        <v>Brasil</v>
      </c>
      <c r="C156" s="1" t="str">
        <v>2</v>
      </c>
      <c r="D156" s="1" t="str">
        <v>%</v>
      </c>
      <c r="E156" s="1" t="str">
        <v>3.32</v>
      </c>
      <c r="F156" s="1" t="str">
        <v>1</v>
      </c>
      <c r="G156" s="1" t="str">
        <v>Brasil</v>
      </c>
      <c r="H156" s="1" t="str">
        <v>63</v>
      </c>
      <c r="I156" s="1" t="str">
        <v>IPCA - Variação mensal</v>
      </c>
      <c r="J156" s="1" t="str">
        <v>202207</v>
      </c>
      <c r="K156" s="1" t="str">
        <v>julho 2022</v>
      </c>
      <c r="L156" s="1" t="str">
        <v>7393</v>
      </c>
      <c r="M156" s="1" t="str">
        <v>1114023.Café solúvel</v>
      </c>
      <c r="Q156" s="1" t="str">
        <f t="shared" si="6"/>
        <v>1114023.Café solúvel</v>
      </c>
      <c r="R156" s="1" t="str">
        <f t="shared" si="7"/>
        <v>202207</v>
      </c>
      <c r="S156" s="1">
        <f t="shared" si="8"/>
        <v>3.32</v>
      </c>
    </row>
    <row r="157" spans="1:19" x14ac:dyDescent="0.2">
      <c r="A157" s="1" t="str">
        <v>1</v>
      </c>
      <c r="B157" s="1" t="str">
        <v>Brasil</v>
      </c>
      <c r="C157" s="1" t="str">
        <v>2</v>
      </c>
      <c r="D157" s="1" t="str">
        <v>%</v>
      </c>
      <c r="E157" s="1" t="str">
        <v>1.55</v>
      </c>
      <c r="F157" s="1" t="str">
        <v>1</v>
      </c>
      <c r="G157" s="1" t="str">
        <v>Brasil</v>
      </c>
      <c r="H157" s="1" t="str">
        <v>63</v>
      </c>
      <c r="I157" s="1" t="str">
        <v>IPCA - Variação mensal</v>
      </c>
      <c r="J157" s="1" t="str">
        <v>202207</v>
      </c>
      <c r="K157" s="1" t="str">
        <v>julho 2022</v>
      </c>
      <c r="L157" s="1" t="str">
        <v>107621</v>
      </c>
      <c r="M157" s="1" t="str">
        <v>1114083.Refrigerante e água mineral</v>
      </c>
      <c r="Q157" s="1" t="str">
        <f t="shared" si="6"/>
        <v>1114083.Refrigerante e água mineral</v>
      </c>
      <c r="R157" s="1" t="str">
        <f t="shared" si="7"/>
        <v>202207</v>
      </c>
      <c r="S157" s="1">
        <f t="shared" si="8"/>
        <v>1.55</v>
      </c>
    </row>
    <row r="158" spans="1:19" x14ac:dyDescent="0.2">
      <c r="A158" s="1" t="str">
        <v>1</v>
      </c>
      <c r="B158" s="1" t="str">
        <v>Brasil</v>
      </c>
      <c r="C158" s="1" t="str">
        <v>2</v>
      </c>
      <c r="D158" s="1" t="str">
        <v>%</v>
      </c>
      <c r="E158" s="1" t="str">
        <v>0.75</v>
      </c>
      <c r="F158" s="1" t="str">
        <v>1</v>
      </c>
      <c r="G158" s="1" t="str">
        <v>Brasil</v>
      </c>
      <c r="H158" s="1" t="str">
        <v>63</v>
      </c>
      <c r="I158" s="1" t="str">
        <v>IPCA - Variação mensal</v>
      </c>
      <c r="J158" s="1" t="str">
        <v>202207</v>
      </c>
      <c r="K158" s="1" t="str">
        <v>julho 2022</v>
      </c>
      <c r="L158" s="1" t="str">
        <v>7396</v>
      </c>
      <c r="M158" s="1" t="str">
        <v>1114084.Cerveja</v>
      </c>
      <c r="Q158" s="1" t="str">
        <f t="shared" si="6"/>
        <v>1114084.Cerveja</v>
      </c>
      <c r="R158" s="1" t="str">
        <f t="shared" si="7"/>
        <v>202207</v>
      </c>
      <c r="S158" s="1">
        <f t="shared" si="8"/>
        <v>0.75</v>
      </c>
    </row>
    <row r="159" spans="1:19" x14ac:dyDescent="0.2">
      <c r="A159" s="1" t="str">
        <v>1</v>
      </c>
      <c r="B159" s="1" t="str">
        <v>Brasil</v>
      </c>
      <c r="C159" s="1" t="str">
        <v>2</v>
      </c>
      <c r="D159" s="1" t="str">
        <v>%</v>
      </c>
      <c r="E159" s="1" t="str">
        <v>-0.93</v>
      </c>
      <c r="F159" s="1" t="str">
        <v>1</v>
      </c>
      <c r="G159" s="1" t="str">
        <v>Brasil</v>
      </c>
      <c r="H159" s="1" t="str">
        <v>63</v>
      </c>
      <c r="I159" s="1" t="str">
        <v>IPCA - Variação mensal</v>
      </c>
      <c r="J159" s="1" t="str">
        <v>202207</v>
      </c>
      <c r="K159" s="1" t="str">
        <v>julho 2022</v>
      </c>
      <c r="L159" s="1" t="str">
        <v>7397</v>
      </c>
      <c r="M159" s="1" t="str">
        <v>1114085.Outras bebidas alcoólicas</v>
      </c>
      <c r="Q159" s="1" t="str">
        <f t="shared" si="6"/>
        <v>1114085.Outras bebidas alcoólicas</v>
      </c>
      <c r="R159" s="1" t="str">
        <f t="shared" si="7"/>
        <v>202207</v>
      </c>
      <c r="S159" s="1">
        <f t="shared" si="8"/>
        <v>-0.93</v>
      </c>
    </row>
    <row r="160" spans="1:19" x14ac:dyDescent="0.2">
      <c r="A160" s="1" t="str">
        <v>1</v>
      </c>
      <c r="B160" s="1" t="str">
        <v>Brasil</v>
      </c>
      <c r="C160" s="1" t="str">
        <v>2</v>
      </c>
      <c r="D160" s="1" t="str">
        <v>%</v>
      </c>
      <c r="E160" s="1" t="str">
        <v>-0.82</v>
      </c>
      <c r="F160" s="1" t="str">
        <v>1</v>
      </c>
      <c r="G160" s="1" t="str">
        <v>Brasil</v>
      </c>
      <c r="H160" s="1" t="str">
        <v>63</v>
      </c>
      <c r="I160" s="1" t="str">
        <v>IPCA - Variação mensal</v>
      </c>
      <c r="J160" s="1" t="str">
        <v>202207</v>
      </c>
      <c r="K160" s="1" t="str">
        <v>julho 2022</v>
      </c>
      <c r="L160" s="1" t="str">
        <v>7399</v>
      </c>
      <c r="M160" s="1" t="str">
        <v>1114087.Vinho</v>
      </c>
      <c r="Q160" s="1" t="str">
        <f t="shared" si="6"/>
        <v>1114087.Vinho</v>
      </c>
      <c r="R160" s="1" t="str">
        <f t="shared" si="7"/>
        <v>202207</v>
      </c>
      <c r="S160" s="1">
        <f t="shared" si="8"/>
        <v>-0.82</v>
      </c>
    </row>
    <row r="161" spans="1:19" x14ac:dyDescent="0.2">
      <c r="A161" s="1" t="str">
        <v>1</v>
      </c>
      <c r="B161" s="1" t="str">
        <v>Brasil</v>
      </c>
      <c r="C161" s="1" t="str">
        <v>2</v>
      </c>
      <c r="D161" s="1" t="str">
        <v>%</v>
      </c>
      <c r="E161" s="1" t="str">
        <v>1.98</v>
      </c>
      <c r="F161" s="1" t="str">
        <v>1</v>
      </c>
      <c r="G161" s="1" t="str">
        <v>Brasil</v>
      </c>
      <c r="H161" s="1" t="str">
        <v>63</v>
      </c>
      <c r="I161" s="1" t="str">
        <v>IPCA - Variação mensal</v>
      </c>
      <c r="J161" s="1" t="str">
        <v>202207</v>
      </c>
      <c r="K161" s="1" t="str">
        <v>julho 2022</v>
      </c>
      <c r="L161" s="1" t="str">
        <v>47630</v>
      </c>
      <c r="M161" s="1" t="str">
        <v>1114090.Suco em pó</v>
      </c>
      <c r="Q161" s="1" t="str">
        <f t="shared" si="6"/>
        <v>1114090.Suco em pó</v>
      </c>
      <c r="R161" s="1" t="str">
        <f t="shared" si="7"/>
        <v>202207</v>
      </c>
      <c r="S161" s="1">
        <f t="shared" si="8"/>
        <v>1.98</v>
      </c>
    </row>
    <row r="162" spans="1:19" x14ac:dyDescent="0.2">
      <c r="A162" s="1" t="str">
        <v>1</v>
      </c>
      <c r="B162" s="1" t="str">
        <v>Brasil</v>
      </c>
      <c r="C162" s="1" t="str">
        <v>2</v>
      </c>
      <c r="D162" s="1" t="str">
        <v>%</v>
      </c>
      <c r="E162" s="1" t="str">
        <v>0.40</v>
      </c>
      <c r="F162" s="1" t="str">
        <v>1</v>
      </c>
      <c r="G162" s="1" t="str">
        <v>Brasil</v>
      </c>
      <c r="H162" s="1" t="str">
        <v>63</v>
      </c>
      <c r="I162" s="1" t="str">
        <v>IPCA - Variação mensal</v>
      </c>
      <c r="J162" s="1" t="str">
        <v>202207</v>
      </c>
      <c r="K162" s="1" t="str">
        <v>julho 2022</v>
      </c>
      <c r="L162" s="1" t="str">
        <v>47631</v>
      </c>
      <c r="M162" s="1" t="str">
        <v>1114091.Chá mate (erva mate)</v>
      </c>
      <c r="Q162" s="1" t="str">
        <f t="shared" si="6"/>
        <v>1114091.Chá mate (erva mate)</v>
      </c>
      <c r="R162" s="1" t="str">
        <f t="shared" si="7"/>
        <v>202207</v>
      </c>
      <c r="S162" s="1">
        <f t="shared" si="8"/>
        <v>0.4</v>
      </c>
    </row>
    <row r="163" spans="1:19" x14ac:dyDescent="0.2">
      <c r="A163" s="1" t="str">
        <v>1</v>
      </c>
      <c r="B163" s="1" t="str">
        <v>Brasil</v>
      </c>
      <c r="C163" s="1" t="str">
        <v>2</v>
      </c>
      <c r="D163" s="1" t="str">
        <v>%</v>
      </c>
      <c r="E163" s="1" t="str">
        <v>0.90</v>
      </c>
      <c r="F163" s="1" t="str">
        <v>1</v>
      </c>
      <c r="G163" s="1" t="str">
        <v>Brasil</v>
      </c>
      <c r="H163" s="1" t="str">
        <v>63</v>
      </c>
      <c r="I163" s="1" t="str">
        <v>IPCA - Variação mensal</v>
      </c>
      <c r="J163" s="1" t="str">
        <v>202207</v>
      </c>
      <c r="K163" s="1" t="str">
        <v>julho 2022</v>
      </c>
      <c r="L163" s="1" t="str">
        <v>7401</v>
      </c>
      <c r="M163" s="1" t="str">
        <v>1115.Enlatados e conservas</v>
      </c>
      <c r="Q163" s="1" t="str">
        <f t="shared" si="6"/>
        <v>1115.Enlatados e conservas</v>
      </c>
      <c r="R163" s="1" t="str">
        <f t="shared" si="7"/>
        <v>202207</v>
      </c>
      <c r="S163" s="1">
        <f t="shared" si="8"/>
        <v>0.9</v>
      </c>
    </row>
    <row r="164" spans="1:19" x14ac:dyDescent="0.2">
      <c r="A164" s="1" t="str">
        <v>1</v>
      </c>
      <c r="B164" s="1" t="str">
        <v>Brasil</v>
      </c>
      <c r="C164" s="1" t="str">
        <v>2</v>
      </c>
      <c r="D164" s="1" t="str">
        <v>%</v>
      </c>
      <c r="E164" s="1" t="str">
        <v>4.66</v>
      </c>
      <c r="F164" s="1" t="str">
        <v>1</v>
      </c>
      <c r="G164" s="1" t="str">
        <v>Brasil</v>
      </c>
      <c r="H164" s="1" t="str">
        <v>63</v>
      </c>
      <c r="I164" s="1" t="str">
        <v>IPCA - Variação mensal</v>
      </c>
      <c r="J164" s="1" t="str">
        <v>202207</v>
      </c>
      <c r="K164" s="1" t="str">
        <v>julho 2022</v>
      </c>
      <c r="L164" s="1" t="str">
        <v>107702</v>
      </c>
      <c r="M164" s="1" t="str">
        <v>1115013.Alimento infantil</v>
      </c>
      <c r="Q164" s="1" t="str">
        <f t="shared" si="6"/>
        <v>1115013.Alimento infantil</v>
      </c>
      <c r="R164" s="1" t="str">
        <f t="shared" si="7"/>
        <v>202207</v>
      </c>
      <c r="S164" s="1">
        <f t="shared" si="8"/>
        <v>4.66</v>
      </c>
    </row>
    <row r="165" spans="1:19" x14ac:dyDescent="0.2">
      <c r="A165" s="1" t="str">
        <v>1</v>
      </c>
      <c r="B165" s="1" t="str">
        <v>Brasil</v>
      </c>
      <c r="C165" s="1" t="str">
        <v>2</v>
      </c>
      <c r="D165" s="1" t="str">
        <v>%</v>
      </c>
      <c r="E165" s="1" t="str">
        <v>0.23</v>
      </c>
      <c r="F165" s="1" t="str">
        <v>1</v>
      </c>
      <c r="G165" s="1" t="str">
        <v>Brasil</v>
      </c>
      <c r="H165" s="1" t="str">
        <v>63</v>
      </c>
      <c r="I165" s="1" t="str">
        <v>IPCA - Variação mensal</v>
      </c>
      <c r="J165" s="1" t="str">
        <v>202207</v>
      </c>
      <c r="K165" s="1" t="str">
        <v>julho 2022</v>
      </c>
      <c r="L165" s="1" t="str">
        <v>7406</v>
      </c>
      <c r="M165" s="1" t="str">
        <v>1115016.Palmito em conserva</v>
      </c>
      <c r="Q165" s="1" t="str">
        <f t="shared" si="6"/>
        <v>1115016.Palmito em conserva</v>
      </c>
      <c r="R165" s="1" t="str">
        <f t="shared" si="7"/>
        <v>202207</v>
      </c>
      <c r="S165" s="1">
        <f t="shared" si="8"/>
        <v>0.23</v>
      </c>
    </row>
    <row r="166" spans="1:19" x14ac:dyDescent="0.2">
      <c r="A166" s="1" t="str">
        <v>1</v>
      </c>
      <c r="B166" s="1" t="str">
        <v>Brasil</v>
      </c>
      <c r="C166" s="1" t="str">
        <v>2</v>
      </c>
      <c r="D166" s="1" t="str">
        <v>%</v>
      </c>
      <c r="E166" s="1" t="str">
        <v>1.29</v>
      </c>
      <c r="F166" s="1" t="str">
        <v>1</v>
      </c>
      <c r="G166" s="1" t="str">
        <v>Brasil</v>
      </c>
      <c r="H166" s="1" t="str">
        <v>63</v>
      </c>
      <c r="I166" s="1" t="str">
        <v>IPCA - Variação mensal</v>
      </c>
      <c r="J166" s="1" t="str">
        <v>202207</v>
      </c>
      <c r="K166" s="1" t="str">
        <v>julho 2022</v>
      </c>
      <c r="L166" s="1" t="str">
        <v>7407</v>
      </c>
      <c r="M166" s="1" t="str">
        <v>1115017.Pepino em conserva</v>
      </c>
      <c r="Q166" s="1" t="str">
        <f t="shared" si="6"/>
        <v>1115017.Pepino em conserva</v>
      </c>
      <c r="R166" s="1" t="str">
        <f t="shared" si="7"/>
        <v>202207</v>
      </c>
      <c r="S166" s="1">
        <f t="shared" si="8"/>
        <v>1.29</v>
      </c>
    </row>
    <row r="167" spans="1:19" x14ac:dyDescent="0.2">
      <c r="A167" s="1" t="str">
        <v>1</v>
      </c>
      <c r="B167" s="1" t="str">
        <v>Brasil</v>
      </c>
      <c r="C167" s="1" t="str">
        <v>2</v>
      </c>
      <c r="D167" s="1" t="str">
        <v>%</v>
      </c>
      <c r="E167" s="1" t="str">
        <v>0.51</v>
      </c>
      <c r="F167" s="1" t="str">
        <v>1</v>
      </c>
      <c r="G167" s="1" t="str">
        <v>Brasil</v>
      </c>
      <c r="H167" s="1" t="str">
        <v>63</v>
      </c>
      <c r="I167" s="1" t="str">
        <v>IPCA - Variação mensal</v>
      </c>
      <c r="J167" s="1" t="str">
        <v>202207</v>
      </c>
      <c r="K167" s="1" t="str">
        <v>julho 2022</v>
      </c>
      <c r="L167" s="1" t="str">
        <v>107624</v>
      </c>
      <c r="M167" s="1" t="str">
        <v>1115039.Sardinha em conserva</v>
      </c>
      <c r="Q167" s="1" t="str">
        <f t="shared" si="6"/>
        <v>1115039.Sardinha em conserva</v>
      </c>
      <c r="R167" s="1" t="str">
        <f t="shared" si="7"/>
        <v>202207</v>
      </c>
      <c r="S167" s="1">
        <f t="shared" si="8"/>
        <v>0.51</v>
      </c>
    </row>
    <row r="168" spans="1:19" x14ac:dyDescent="0.2">
      <c r="A168" s="1" t="str">
        <v>1</v>
      </c>
      <c r="B168" s="1" t="str">
        <v>Brasil</v>
      </c>
      <c r="C168" s="1" t="str">
        <v>2</v>
      </c>
      <c r="D168" s="1" t="str">
        <v>%</v>
      </c>
      <c r="E168" s="1" t="str">
        <v>1.58</v>
      </c>
      <c r="F168" s="1" t="str">
        <v>1</v>
      </c>
      <c r="G168" s="1" t="str">
        <v>Brasil</v>
      </c>
      <c r="H168" s="1" t="str">
        <v>63</v>
      </c>
      <c r="I168" s="1" t="str">
        <v>IPCA - Variação mensal</v>
      </c>
      <c r="J168" s="1" t="str">
        <v>202207</v>
      </c>
      <c r="K168" s="1" t="str">
        <v>julho 2022</v>
      </c>
      <c r="L168" s="1" t="str">
        <v>107625</v>
      </c>
      <c r="M168" s="1" t="str">
        <v>1115050.Salsicha em conserva</v>
      </c>
      <c r="Q168" s="1" t="str">
        <f t="shared" si="6"/>
        <v>1115050.Salsicha em conserva</v>
      </c>
      <c r="R168" s="1" t="str">
        <f t="shared" si="7"/>
        <v>202207</v>
      </c>
      <c r="S168" s="1">
        <f t="shared" si="8"/>
        <v>1.58</v>
      </c>
    </row>
    <row r="169" spans="1:19" x14ac:dyDescent="0.2">
      <c r="A169" s="1" t="str">
        <v>1</v>
      </c>
      <c r="B169" s="1" t="str">
        <v>Brasil</v>
      </c>
      <c r="C169" s="1" t="str">
        <v>2</v>
      </c>
      <c r="D169" s="1" t="str">
        <v>%</v>
      </c>
      <c r="E169" s="1" t="str">
        <v>1.07</v>
      </c>
      <c r="F169" s="1" t="str">
        <v>1</v>
      </c>
      <c r="G169" s="1" t="str">
        <v>Brasil</v>
      </c>
      <c r="H169" s="1" t="str">
        <v>63</v>
      </c>
      <c r="I169" s="1" t="str">
        <v>IPCA - Variação mensal</v>
      </c>
      <c r="J169" s="1" t="str">
        <v>202207</v>
      </c>
      <c r="K169" s="1" t="str">
        <v>julho 2022</v>
      </c>
      <c r="L169" s="1" t="str">
        <v>7411</v>
      </c>
      <c r="M169" s="1" t="str">
        <v>1115056.Sopa desidratada</v>
      </c>
      <c r="Q169" s="1" t="str">
        <f t="shared" si="6"/>
        <v>1115056.Sopa desidratada</v>
      </c>
      <c r="R169" s="1" t="str">
        <f t="shared" si="7"/>
        <v>202207</v>
      </c>
      <c r="S169" s="1">
        <f t="shared" si="8"/>
        <v>1.07</v>
      </c>
    </row>
    <row r="170" spans="1:19" x14ac:dyDescent="0.2">
      <c r="A170" s="1" t="str">
        <v>1</v>
      </c>
      <c r="B170" s="1" t="str">
        <v>Brasil</v>
      </c>
      <c r="C170" s="1" t="str">
        <v>2</v>
      </c>
      <c r="D170" s="1" t="str">
        <v>%</v>
      </c>
      <c r="E170" s="1" t="str">
        <v>0.19</v>
      </c>
      <c r="F170" s="1" t="str">
        <v>1</v>
      </c>
      <c r="G170" s="1" t="str">
        <v>Brasil</v>
      </c>
      <c r="H170" s="1" t="str">
        <v>63</v>
      </c>
      <c r="I170" s="1" t="str">
        <v>IPCA - Variação mensal</v>
      </c>
      <c r="J170" s="1" t="str">
        <v>202207</v>
      </c>
      <c r="K170" s="1" t="str">
        <v>julho 2022</v>
      </c>
      <c r="L170" s="1" t="str">
        <v>7412</v>
      </c>
      <c r="M170" s="1" t="str">
        <v>1115057.Azeitona</v>
      </c>
      <c r="Q170" s="1" t="str">
        <f t="shared" si="6"/>
        <v>1115057.Azeitona</v>
      </c>
      <c r="R170" s="1" t="str">
        <f t="shared" si="7"/>
        <v>202207</v>
      </c>
      <c r="S170" s="1">
        <f t="shared" si="8"/>
        <v>0.19</v>
      </c>
    </row>
    <row r="171" spans="1:19" x14ac:dyDescent="0.2">
      <c r="A171" s="1" t="str">
        <v>1</v>
      </c>
      <c r="B171" s="1" t="str">
        <v>Brasil</v>
      </c>
      <c r="C171" s="1" t="str">
        <v>2</v>
      </c>
      <c r="D171" s="1" t="str">
        <v>%</v>
      </c>
      <c r="E171" s="1" t="str">
        <v>3.05</v>
      </c>
      <c r="F171" s="1" t="str">
        <v>1</v>
      </c>
      <c r="G171" s="1" t="str">
        <v>Brasil</v>
      </c>
      <c r="H171" s="1" t="str">
        <v>63</v>
      </c>
      <c r="I171" s="1" t="str">
        <v>IPCA - Variação mensal</v>
      </c>
      <c r="J171" s="1" t="str">
        <v>202207</v>
      </c>
      <c r="K171" s="1" t="str">
        <v>julho 2022</v>
      </c>
      <c r="L171" s="1" t="str">
        <v>107628</v>
      </c>
      <c r="M171" s="1" t="str">
        <v>1115058.Milho-verde em conserva</v>
      </c>
      <c r="Q171" s="1" t="str">
        <f t="shared" si="6"/>
        <v>1115058.Milho-verde em conserva</v>
      </c>
      <c r="R171" s="1" t="str">
        <f t="shared" si="7"/>
        <v>202207</v>
      </c>
      <c r="S171" s="1">
        <f t="shared" si="8"/>
        <v>3.05</v>
      </c>
    </row>
    <row r="172" spans="1:19" x14ac:dyDescent="0.2">
      <c r="A172" s="1" t="str">
        <v>1</v>
      </c>
      <c r="B172" s="1" t="str">
        <v>Brasil</v>
      </c>
      <c r="C172" s="1" t="str">
        <v>2</v>
      </c>
      <c r="D172" s="1" t="str">
        <v>%</v>
      </c>
      <c r="E172" s="1" t="str">
        <v>-0.11</v>
      </c>
      <c r="F172" s="1" t="str">
        <v>1</v>
      </c>
      <c r="G172" s="1" t="str">
        <v>Brasil</v>
      </c>
      <c r="H172" s="1" t="str">
        <v>63</v>
      </c>
      <c r="I172" s="1" t="str">
        <v>IPCA - Variação mensal</v>
      </c>
      <c r="J172" s="1" t="str">
        <v>202207</v>
      </c>
      <c r="K172" s="1" t="str">
        <v>julho 2022</v>
      </c>
      <c r="L172" s="1" t="str">
        <v>107630</v>
      </c>
      <c r="M172" s="1" t="str">
        <v>1115075.Atum em conserva</v>
      </c>
      <c r="Q172" s="1" t="str">
        <f t="shared" si="6"/>
        <v>1115075.Atum em conserva</v>
      </c>
      <c r="R172" s="1" t="str">
        <f t="shared" si="7"/>
        <v>202207</v>
      </c>
      <c r="S172" s="1">
        <f t="shared" si="8"/>
        <v>-0.11</v>
      </c>
    </row>
    <row r="173" spans="1:19" x14ac:dyDescent="0.2">
      <c r="A173" s="1" t="str">
        <v>1</v>
      </c>
      <c r="B173" s="1" t="str">
        <v>Brasil</v>
      </c>
      <c r="C173" s="1" t="str">
        <v>2</v>
      </c>
      <c r="D173" s="1" t="str">
        <v>%</v>
      </c>
      <c r="E173" s="1" t="str">
        <v>1.22</v>
      </c>
      <c r="F173" s="1" t="str">
        <v>1</v>
      </c>
      <c r="G173" s="1" t="str">
        <v>Brasil</v>
      </c>
      <c r="H173" s="1" t="str">
        <v>63</v>
      </c>
      <c r="I173" s="1" t="str">
        <v>IPCA - Variação mensal</v>
      </c>
      <c r="J173" s="1" t="str">
        <v>202207</v>
      </c>
      <c r="K173" s="1" t="str">
        <v>julho 2022</v>
      </c>
      <c r="L173" s="1" t="str">
        <v>7415</v>
      </c>
      <c r="M173" s="1" t="str">
        <v>1116.Sal e condimentos</v>
      </c>
      <c r="Q173" s="1" t="str">
        <f t="shared" si="6"/>
        <v>1116.Sal e condimentos</v>
      </c>
      <c r="R173" s="1" t="str">
        <f t="shared" si="7"/>
        <v>202207</v>
      </c>
      <c r="S173" s="1">
        <f t="shared" si="8"/>
        <v>1.22</v>
      </c>
    </row>
    <row r="174" spans="1:19" x14ac:dyDescent="0.2">
      <c r="A174" s="1" t="str">
        <v>1</v>
      </c>
      <c r="B174" s="1" t="str">
        <v>Brasil</v>
      </c>
      <c r="C174" s="1" t="str">
        <v>2</v>
      </c>
      <c r="D174" s="1" t="str">
        <v>%</v>
      </c>
      <c r="E174" s="1" t="str">
        <v>1.56</v>
      </c>
      <c r="F174" s="1" t="str">
        <v>1</v>
      </c>
      <c r="G174" s="1" t="str">
        <v>Brasil</v>
      </c>
      <c r="H174" s="1" t="str">
        <v>63</v>
      </c>
      <c r="I174" s="1" t="str">
        <v>IPCA - Variação mensal</v>
      </c>
      <c r="J174" s="1" t="str">
        <v>202207</v>
      </c>
      <c r="K174" s="1" t="str">
        <v>julho 2022</v>
      </c>
      <c r="L174" s="1" t="str">
        <v>7416</v>
      </c>
      <c r="M174" s="1" t="str">
        <v>1116001.Leite de coco</v>
      </c>
      <c r="Q174" s="1" t="str">
        <f t="shared" si="6"/>
        <v>1116001.Leite de coco</v>
      </c>
      <c r="R174" s="1" t="str">
        <f t="shared" si="7"/>
        <v>202207</v>
      </c>
      <c r="S174" s="1">
        <f t="shared" si="8"/>
        <v>1.56</v>
      </c>
    </row>
    <row r="175" spans="1:19" x14ac:dyDescent="0.2">
      <c r="A175" s="1" t="str">
        <v>1</v>
      </c>
      <c r="B175" s="1" t="str">
        <v>Brasil</v>
      </c>
      <c r="C175" s="1" t="str">
        <v>2</v>
      </c>
      <c r="D175" s="1" t="str">
        <v>%</v>
      </c>
      <c r="E175" s="1" t="str">
        <v>1.35</v>
      </c>
      <c r="F175" s="1" t="str">
        <v>1</v>
      </c>
      <c r="G175" s="1" t="str">
        <v>Brasil</v>
      </c>
      <c r="H175" s="1" t="str">
        <v>63</v>
      </c>
      <c r="I175" s="1" t="str">
        <v>IPCA - Variação mensal</v>
      </c>
      <c r="J175" s="1" t="str">
        <v>202207</v>
      </c>
      <c r="K175" s="1" t="str">
        <v>julho 2022</v>
      </c>
      <c r="L175" s="1" t="str">
        <v>109463</v>
      </c>
      <c r="M175" s="1" t="str">
        <v>1116005.Atomatado</v>
      </c>
      <c r="Q175" s="1" t="str">
        <f t="shared" si="6"/>
        <v>1116005.Atomatado</v>
      </c>
      <c r="R175" s="1" t="str">
        <f t="shared" si="7"/>
        <v>202207</v>
      </c>
      <c r="S175" s="1">
        <f t="shared" si="8"/>
        <v>1.35</v>
      </c>
    </row>
    <row r="176" spans="1:19" x14ac:dyDescent="0.2">
      <c r="A176" s="1" t="str">
        <v>1</v>
      </c>
      <c r="B176" s="1" t="str">
        <v>Brasil</v>
      </c>
      <c r="C176" s="1" t="str">
        <v>2</v>
      </c>
      <c r="D176" s="1" t="str">
        <v>%</v>
      </c>
      <c r="E176" s="1" t="str">
        <v>0.57</v>
      </c>
      <c r="F176" s="1" t="str">
        <v>1</v>
      </c>
      <c r="G176" s="1" t="str">
        <v>Brasil</v>
      </c>
      <c r="H176" s="1" t="str">
        <v>63</v>
      </c>
      <c r="I176" s="1" t="str">
        <v>IPCA - Variação mensal</v>
      </c>
      <c r="J176" s="1" t="str">
        <v>202207</v>
      </c>
      <c r="K176" s="1" t="str">
        <v>julho 2022</v>
      </c>
      <c r="L176" s="1" t="str">
        <v>7418</v>
      </c>
      <c r="M176" s="1" t="str">
        <v>1116010.Alho</v>
      </c>
      <c r="Q176" s="1" t="str">
        <f t="shared" si="6"/>
        <v>1116010.Alho</v>
      </c>
      <c r="R176" s="1" t="str">
        <f t="shared" si="7"/>
        <v>202207</v>
      </c>
      <c r="S176" s="1">
        <f t="shared" si="8"/>
        <v>0.56999999999999995</v>
      </c>
    </row>
    <row r="177" spans="1:19" x14ac:dyDescent="0.2">
      <c r="A177" s="1" t="str">
        <v>1</v>
      </c>
      <c r="B177" s="1" t="str">
        <v>Brasil</v>
      </c>
      <c r="C177" s="1" t="str">
        <v>2</v>
      </c>
      <c r="D177" s="1" t="str">
        <v>%</v>
      </c>
      <c r="E177" s="1" t="str">
        <v>3.96</v>
      </c>
      <c r="F177" s="1" t="str">
        <v>1</v>
      </c>
      <c r="G177" s="1" t="str">
        <v>Brasil</v>
      </c>
      <c r="H177" s="1" t="str">
        <v>63</v>
      </c>
      <c r="I177" s="1" t="str">
        <v>IPCA - Variação mensal</v>
      </c>
      <c r="J177" s="1" t="str">
        <v>202207</v>
      </c>
      <c r="K177" s="1" t="str">
        <v>julho 2022</v>
      </c>
      <c r="L177" s="1" t="str">
        <v>12397</v>
      </c>
      <c r="M177" s="1" t="str">
        <v>1116013.Sal</v>
      </c>
      <c r="Q177" s="1" t="str">
        <f t="shared" si="6"/>
        <v>1116013.Sal</v>
      </c>
      <c r="R177" s="1" t="str">
        <f t="shared" si="7"/>
        <v>202207</v>
      </c>
      <c r="S177" s="1">
        <f t="shared" si="8"/>
        <v>3.96</v>
      </c>
    </row>
    <row r="178" spans="1:19" x14ac:dyDescent="0.2">
      <c r="A178" s="1" t="str">
        <v>1</v>
      </c>
      <c r="B178" s="1" t="str">
        <v>Brasil</v>
      </c>
      <c r="C178" s="1" t="str">
        <v>2</v>
      </c>
      <c r="D178" s="1" t="str">
        <v>%</v>
      </c>
      <c r="E178" s="1" t="str">
        <v>1.36</v>
      </c>
      <c r="F178" s="1" t="str">
        <v>1</v>
      </c>
      <c r="G178" s="1" t="str">
        <v>Brasil</v>
      </c>
      <c r="H178" s="1" t="str">
        <v>63</v>
      </c>
      <c r="I178" s="1" t="str">
        <v>IPCA - Variação mensal</v>
      </c>
      <c r="J178" s="1" t="str">
        <v>202207</v>
      </c>
      <c r="K178" s="1" t="str">
        <v>julho 2022</v>
      </c>
      <c r="L178" s="1" t="str">
        <v>7420</v>
      </c>
      <c r="M178" s="1" t="str">
        <v>1116022.Colorau</v>
      </c>
      <c r="Q178" s="1" t="str">
        <f t="shared" si="6"/>
        <v>1116022.Colorau</v>
      </c>
      <c r="R178" s="1" t="str">
        <f t="shared" si="7"/>
        <v>202207</v>
      </c>
      <c r="S178" s="1">
        <f t="shared" si="8"/>
        <v>1.36</v>
      </c>
    </row>
    <row r="179" spans="1:19" x14ac:dyDescent="0.2">
      <c r="A179" s="1" t="str">
        <v>1</v>
      </c>
      <c r="B179" s="1" t="str">
        <v>Brasil</v>
      </c>
      <c r="C179" s="1" t="str">
        <v>2</v>
      </c>
      <c r="D179" s="1" t="str">
        <v>%</v>
      </c>
      <c r="E179" s="1" t="str">
        <v>-0.93</v>
      </c>
      <c r="F179" s="1" t="str">
        <v>1</v>
      </c>
      <c r="G179" s="1" t="str">
        <v>Brasil</v>
      </c>
      <c r="H179" s="1" t="str">
        <v>63</v>
      </c>
      <c r="I179" s="1" t="str">
        <v>IPCA - Variação mensal</v>
      </c>
      <c r="J179" s="1" t="str">
        <v>202207</v>
      </c>
      <c r="K179" s="1" t="str">
        <v>julho 2022</v>
      </c>
      <c r="L179" s="1" t="str">
        <v>7421</v>
      </c>
      <c r="M179" s="1" t="str">
        <v>1116023.Caldo de tucupi</v>
      </c>
      <c r="Q179" s="1" t="str">
        <f t="shared" si="6"/>
        <v>1116023.Caldo de tucupi</v>
      </c>
      <c r="R179" s="1" t="str">
        <f t="shared" si="7"/>
        <v>202207</v>
      </c>
      <c r="S179" s="1">
        <f t="shared" si="8"/>
        <v>-0.93</v>
      </c>
    </row>
    <row r="180" spans="1:19" x14ac:dyDescent="0.2">
      <c r="A180" s="1" t="str">
        <v>1</v>
      </c>
      <c r="B180" s="1" t="str">
        <v>Brasil</v>
      </c>
      <c r="C180" s="1" t="str">
        <v>2</v>
      </c>
      <c r="D180" s="1" t="str">
        <v>%</v>
      </c>
      <c r="E180" s="1" t="str">
        <v>-1.63</v>
      </c>
      <c r="F180" s="1" t="str">
        <v>1</v>
      </c>
      <c r="G180" s="1" t="str">
        <v>Brasil</v>
      </c>
      <c r="H180" s="1" t="str">
        <v>63</v>
      </c>
      <c r="I180" s="1" t="str">
        <v>IPCA - Variação mensal</v>
      </c>
      <c r="J180" s="1" t="str">
        <v>202207</v>
      </c>
      <c r="K180" s="1" t="str">
        <v>julho 2022</v>
      </c>
      <c r="L180" s="1" t="str">
        <v>7422</v>
      </c>
      <c r="M180" s="1" t="str">
        <v>1116026.Fermento</v>
      </c>
      <c r="Q180" s="1" t="str">
        <f t="shared" si="6"/>
        <v>1116026.Fermento</v>
      </c>
      <c r="R180" s="1" t="str">
        <f t="shared" si="7"/>
        <v>202207</v>
      </c>
      <c r="S180" s="1">
        <f t="shared" si="8"/>
        <v>-1.63</v>
      </c>
    </row>
    <row r="181" spans="1:19" x14ac:dyDescent="0.2">
      <c r="A181" s="1" t="str">
        <v>1</v>
      </c>
      <c r="B181" s="1" t="str">
        <v>Brasil</v>
      </c>
      <c r="C181" s="1" t="str">
        <v>2</v>
      </c>
      <c r="D181" s="1" t="str">
        <v>%</v>
      </c>
      <c r="E181" s="1" t="str">
        <v>1.57</v>
      </c>
      <c r="F181" s="1" t="str">
        <v>1</v>
      </c>
      <c r="G181" s="1" t="str">
        <v>Brasil</v>
      </c>
      <c r="H181" s="1" t="str">
        <v>63</v>
      </c>
      <c r="I181" s="1" t="str">
        <v>IPCA - Variação mensal</v>
      </c>
      <c r="J181" s="1" t="str">
        <v>202207</v>
      </c>
      <c r="K181" s="1" t="str">
        <v>julho 2022</v>
      </c>
      <c r="L181" s="1" t="str">
        <v>7423</v>
      </c>
      <c r="M181" s="1" t="str">
        <v>1116033.Maionese</v>
      </c>
      <c r="Q181" s="1" t="str">
        <f t="shared" si="6"/>
        <v>1116033.Maionese</v>
      </c>
      <c r="R181" s="1" t="str">
        <f t="shared" si="7"/>
        <v>202207</v>
      </c>
      <c r="S181" s="1">
        <f t="shared" si="8"/>
        <v>1.57</v>
      </c>
    </row>
    <row r="182" spans="1:19" x14ac:dyDescent="0.2">
      <c r="A182" s="1" t="str">
        <v>1</v>
      </c>
      <c r="B182" s="1" t="str">
        <v>Brasil</v>
      </c>
      <c r="C182" s="1" t="str">
        <v>2</v>
      </c>
      <c r="D182" s="1" t="str">
        <v>%</v>
      </c>
      <c r="E182" s="1" t="str">
        <v>0.55</v>
      </c>
      <c r="F182" s="1" t="str">
        <v>1</v>
      </c>
      <c r="G182" s="1" t="str">
        <v>Brasil</v>
      </c>
      <c r="H182" s="1" t="str">
        <v>63</v>
      </c>
      <c r="I182" s="1" t="str">
        <v>IPCA - Variação mensal</v>
      </c>
      <c r="J182" s="1" t="str">
        <v>202207</v>
      </c>
      <c r="K182" s="1" t="str">
        <v>julho 2022</v>
      </c>
      <c r="L182" s="1" t="str">
        <v>7424</v>
      </c>
      <c r="M182" s="1" t="str">
        <v>1116041.Vinagre</v>
      </c>
      <c r="Q182" s="1" t="str">
        <f t="shared" si="6"/>
        <v>1116041.Vinagre</v>
      </c>
      <c r="R182" s="1" t="str">
        <f t="shared" si="7"/>
        <v>202207</v>
      </c>
      <c r="S182" s="1">
        <f t="shared" si="8"/>
        <v>0.55000000000000004</v>
      </c>
    </row>
    <row r="183" spans="1:19" x14ac:dyDescent="0.2">
      <c r="A183" s="1" t="str">
        <v>1</v>
      </c>
      <c r="B183" s="1" t="str">
        <v>Brasil</v>
      </c>
      <c r="C183" s="1" t="str">
        <v>2</v>
      </c>
      <c r="D183" s="1" t="str">
        <v>%</v>
      </c>
      <c r="E183" s="1" t="str">
        <v>1.53</v>
      </c>
      <c r="F183" s="1" t="str">
        <v>1</v>
      </c>
      <c r="G183" s="1" t="str">
        <v>Brasil</v>
      </c>
      <c r="H183" s="1" t="str">
        <v>63</v>
      </c>
      <c r="I183" s="1" t="str">
        <v>IPCA - Variação mensal</v>
      </c>
      <c r="J183" s="1" t="str">
        <v>202207</v>
      </c>
      <c r="K183" s="1" t="str">
        <v>julho 2022</v>
      </c>
      <c r="L183" s="1" t="str">
        <v>7425</v>
      </c>
      <c r="M183" s="1" t="str">
        <v>1116048.Caldo concentrado</v>
      </c>
      <c r="Q183" s="1" t="str">
        <f t="shared" si="6"/>
        <v>1116048.Caldo concentrado</v>
      </c>
      <c r="R183" s="1" t="str">
        <f t="shared" si="7"/>
        <v>202207</v>
      </c>
      <c r="S183" s="1">
        <f t="shared" si="8"/>
        <v>1.53</v>
      </c>
    </row>
    <row r="184" spans="1:19" x14ac:dyDescent="0.2">
      <c r="A184" s="1" t="str">
        <v>1</v>
      </c>
      <c r="B184" s="1" t="str">
        <v>Brasil</v>
      </c>
      <c r="C184" s="1" t="str">
        <v>2</v>
      </c>
      <c r="D184" s="1" t="str">
        <v>%</v>
      </c>
      <c r="E184" s="1" t="str">
        <v>2.22</v>
      </c>
      <c r="F184" s="1" t="str">
        <v>1</v>
      </c>
      <c r="G184" s="1" t="str">
        <v>Brasil</v>
      </c>
      <c r="H184" s="1" t="str">
        <v>63</v>
      </c>
      <c r="I184" s="1" t="str">
        <v>IPCA - Variação mensal</v>
      </c>
      <c r="J184" s="1" t="str">
        <v>202207</v>
      </c>
      <c r="K184" s="1" t="str">
        <v>julho 2022</v>
      </c>
      <c r="L184" s="1" t="str">
        <v>7428</v>
      </c>
      <c r="M184" s="1" t="str">
        <v>1116071.Tempero misto</v>
      </c>
      <c r="Q184" s="1" t="str">
        <f t="shared" si="6"/>
        <v>1116071.Tempero misto</v>
      </c>
      <c r="R184" s="1" t="str">
        <f t="shared" si="7"/>
        <v>202207</v>
      </c>
      <c r="S184" s="1">
        <f t="shared" si="8"/>
        <v>2.2200000000000002</v>
      </c>
    </row>
    <row r="185" spans="1:19" x14ac:dyDescent="0.2">
      <c r="A185" s="1" t="str">
        <v>1</v>
      </c>
      <c r="B185" s="1" t="str">
        <v>Brasil</v>
      </c>
      <c r="C185" s="1" t="str">
        <v>2</v>
      </c>
      <c r="D185" s="1" t="str">
        <v>%</v>
      </c>
      <c r="E185" s="1" t="str">
        <v>0.82</v>
      </c>
      <c r="F185" s="1" t="str">
        <v>1</v>
      </c>
      <c r="G185" s="1" t="str">
        <v>Brasil</v>
      </c>
      <c r="H185" s="1" t="str">
        <v>63</v>
      </c>
      <c r="I185" s="1" t="str">
        <v>IPCA - Variação mensal</v>
      </c>
      <c r="J185" s="1" t="str">
        <v>202207</v>
      </c>
      <c r="K185" s="1" t="str">
        <v>julho 2022</v>
      </c>
      <c r="L185" s="1" t="str">
        <v>7432</v>
      </c>
      <c r="M185" s="1" t="str">
        <v>12.Alimentação fora do domicílio</v>
      </c>
      <c r="Q185" s="1" t="str">
        <f t="shared" si="6"/>
        <v>12.Alimentação fora do domicílio</v>
      </c>
      <c r="R185" s="1" t="str">
        <f t="shared" si="7"/>
        <v>202207</v>
      </c>
      <c r="S185" s="1">
        <f t="shared" si="8"/>
        <v>0.82</v>
      </c>
    </row>
    <row r="186" spans="1:19" x14ac:dyDescent="0.2">
      <c r="A186" s="1" t="str">
        <v>1</v>
      </c>
      <c r="B186" s="1" t="str">
        <v>Brasil</v>
      </c>
      <c r="C186" s="1" t="str">
        <v>2</v>
      </c>
      <c r="D186" s="1" t="str">
        <v>%</v>
      </c>
      <c r="E186" s="1" t="str">
        <v>0.82</v>
      </c>
      <c r="F186" s="1" t="str">
        <v>1</v>
      </c>
      <c r="G186" s="1" t="str">
        <v>Brasil</v>
      </c>
      <c r="H186" s="1" t="str">
        <v>63</v>
      </c>
      <c r="I186" s="1" t="str">
        <v>IPCA - Variação mensal</v>
      </c>
      <c r="J186" s="1" t="str">
        <v>202207</v>
      </c>
      <c r="K186" s="1" t="str">
        <v>julho 2022</v>
      </c>
      <c r="L186" s="1" t="str">
        <v>7433</v>
      </c>
      <c r="M186" s="1" t="str">
        <v>1201.Alimentação fora do domicílio</v>
      </c>
      <c r="Q186" s="1" t="str">
        <f t="shared" si="6"/>
        <v>1201.Alimentação fora do domicílio</v>
      </c>
      <c r="R186" s="1" t="str">
        <f t="shared" si="7"/>
        <v>202207</v>
      </c>
      <c r="S186" s="1">
        <f t="shared" si="8"/>
        <v>0.82</v>
      </c>
    </row>
    <row r="187" spans="1:19" x14ac:dyDescent="0.2">
      <c r="A187" s="1" t="str">
        <v>1</v>
      </c>
      <c r="B187" s="1" t="str">
        <v>Brasil</v>
      </c>
      <c r="C187" s="1" t="str">
        <v>2</v>
      </c>
      <c r="D187" s="1" t="str">
        <v>%</v>
      </c>
      <c r="E187" s="1" t="str">
        <v>0.53</v>
      </c>
      <c r="F187" s="1" t="str">
        <v>1</v>
      </c>
      <c r="G187" s="1" t="str">
        <v>Brasil</v>
      </c>
      <c r="H187" s="1" t="str">
        <v>63</v>
      </c>
      <c r="I187" s="1" t="str">
        <v>IPCA - Variação mensal</v>
      </c>
      <c r="J187" s="1" t="str">
        <v>202207</v>
      </c>
      <c r="K187" s="1" t="str">
        <v>julho 2022</v>
      </c>
      <c r="L187" s="1" t="str">
        <v>7434</v>
      </c>
      <c r="M187" s="1" t="str">
        <v>1201001.Refeição</v>
      </c>
      <c r="Q187" s="1" t="str">
        <f t="shared" si="6"/>
        <v>1201001.Refeição</v>
      </c>
      <c r="R187" s="1" t="str">
        <f t="shared" si="7"/>
        <v>202207</v>
      </c>
      <c r="S187" s="1">
        <f t="shared" si="8"/>
        <v>0.53</v>
      </c>
    </row>
    <row r="188" spans="1:19" x14ac:dyDescent="0.2">
      <c r="A188" s="1" t="str">
        <v>1</v>
      </c>
      <c r="B188" s="1" t="str">
        <v>Brasil</v>
      </c>
      <c r="C188" s="1" t="str">
        <v>2</v>
      </c>
      <c r="D188" s="1" t="str">
        <v>%</v>
      </c>
      <c r="E188" s="1" t="str">
        <v>1.32</v>
      </c>
      <c r="F188" s="1" t="str">
        <v>1</v>
      </c>
      <c r="G188" s="1" t="str">
        <v>Brasil</v>
      </c>
      <c r="H188" s="1" t="str">
        <v>63</v>
      </c>
      <c r="I188" s="1" t="str">
        <v>IPCA - Variação mensal</v>
      </c>
      <c r="J188" s="1" t="str">
        <v>202207</v>
      </c>
      <c r="K188" s="1" t="str">
        <v>julho 2022</v>
      </c>
      <c r="L188" s="1" t="str">
        <v>7435</v>
      </c>
      <c r="M188" s="1" t="str">
        <v>1201003.Lanche</v>
      </c>
      <c r="Q188" s="1" t="str">
        <f t="shared" si="6"/>
        <v>1201003.Lanche</v>
      </c>
      <c r="R188" s="1" t="str">
        <f t="shared" si="7"/>
        <v>202207</v>
      </c>
      <c r="S188" s="1">
        <f t="shared" si="8"/>
        <v>1.32</v>
      </c>
    </row>
    <row r="189" spans="1:19" x14ac:dyDescent="0.2">
      <c r="A189" s="1" t="str">
        <v>1</v>
      </c>
      <c r="B189" s="1" t="str">
        <v>Brasil</v>
      </c>
      <c r="C189" s="1" t="str">
        <v>2</v>
      </c>
      <c r="D189" s="1" t="str">
        <v>%</v>
      </c>
      <c r="E189" s="1" t="str">
        <v>0.72</v>
      </c>
      <c r="F189" s="1" t="str">
        <v>1</v>
      </c>
      <c r="G189" s="1" t="str">
        <v>Brasil</v>
      </c>
      <c r="H189" s="1" t="str">
        <v>63</v>
      </c>
      <c r="I189" s="1" t="str">
        <v>IPCA - Variação mensal</v>
      </c>
      <c r="J189" s="1" t="str">
        <v>202207</v>
      </c>
      <c r="K189" s="1" t="str">
        <v>julho 2022</v>
      </c>
      <c r="L189" s="1" t="str">
        <v>107633</v>
      </c>
      <c r="M189" s="1" t="str">
        <v>1201007.Refrigerante e água mineral</v>
      </c>
      <c r="Q189" s="1" t="str">
        <f t="shared" si="6"/>
        <v>1201007.Refrigerante e água mineral</v>
      </c>
      <c r="R189" s="1" t="str">
        <f t="shared" si="7"/>
        <v>202207</v>
      </c>
      <c r="S189" s="1">
        <f t="shared" si="8"/>
        <v>0.72</v>
      </c>
    </row>
    <row r="190" spans="1:19" x14ac:dyDescent="0.2">
      <c r="A190" s="1" t="str">
        <v>1</v>
      </c>
      <c r="B190" s="1" t="str">
        <v>Brasil</v>
      </c>
      <c r="C190" s="1" t="str">
        <v>2</v>
      </c>
      <c r="D190" s="1" t="str">
        <v>%</v>
      </c>
      <c r="E190" s="1" t="str">
        <v>3.98</v>
      </c>
      <c r="F190" s="1" t="str">
        <v>1</v>
      </c>
      <c r="G190" s="1" t="str">
        <v>Brasil</v>
      </c>
      <c r="H190" s="1" t="str">
        <v>63</v>
      </c>
      <c r="I190" s="1" t="str">
        <v>IPCA - Variação mensal</v>
      </c>
      <c r="J190" s="1" t="str">
        <v>202207</v>
      </c>
      <c r="K190" s="1" t="str">
        <v>julho 2022</v>
      </c>
      <c r="L190" s="1" t="str">
        <v>7438</v>
      </c>
      <c r="M190" s="1" t="str">
        <v>1201009.Cafezinho</v>
      </c>
      <c r="Q190" s="1" t="str">
        <f t="shared" si="6"/>
        <v>1201009.Cafezinho</v>
      </c>
      <c r="R190" s="1" t="str">
        <f t="shared" si="7"/>
        <v>202207</v>
      </c>
      <c r="S190" s="1">
        <f t="shared" si="8"/>
        <v>3.98</v>
      </c>
    </row>
    <row r="191" spans="1:19" x14ac:dyDescent="0.2">
      <c r="A191" s="1" t="str">
        <v>1</v>
      </c>
      <c r="B191" s="1" t="str">
        <v>Brasil</v>
      </c>
      <c r="C191" s="1" t="str">
        <v>2</v>
      </c>
      <c r="D191" s="1" t="str">
        <v>%</v>
      </c>
      <c r="E191" s="1" t="str">
        <v>1.01</v>
      </c>
      <c r="F191" s="1" t="str">
        <v>1</v>
      </c>
      <c r="G191" s="1" t="str">
        <v>Brasil</v>
      </c>
      <c r="H191" s="1" t="str">
        <v>63</v>
      </c>
      <c r="I191" s="1" t="str">
        <v>IPCA - Variação mensal</v>
      </c>
      <c r="J191" s="1" t="str">
        <v>202207</v>
      </c>
      <c r="K191" s="1" t="str">
        <v>julho 2022</v>
      </c>
      <c r="L191" s="1" t="str">
        <v>7440</v>
      </c>
      <c r="M191" s="1" t="str">
        <v>1201048.Cerveja</v>
      </c>
      <c r="Q191" s="1" t="str">
        <f t="shared" si="6"/>
        <v>1201048.Cerveja</v>
      </c>
      <c r="R191" s="1" t="str">
        <f t="shared" si="7"/>
        <v>202207</v>
      </c>
      <c r="S191" s="1">
        <f t="shared" si="8"/>
        <v>1.01</v>
      </c>
    </row>
    <row r="192" spans="1:19" x14ac:dyDescent="0.2">
      <c r="A192" s="1" t="str">
        <v>1</v>
      </c>
      <c r="B192" s="1" t="str">
        <v>Brasil</v>
      </c>
      <c r="C192" s="1" t="str">
        <v>2</v>
      </c>
      <c r="D192" s="1" t="str">
        <v>%</v>
      </c>
      <c r="E192" s="1" t="str">
        <v>1.60</v>
      </c>
      <c r="F192" s="1" t="str">
        <v>1</v>
      </c>
      <c r="G192" s="1" t="str">
        <v>Brasil</v>
      </c>
      <c r="H192" s="1" t="str">
        <v>63</v>
      </c>
      <c r="I192" s="1" t="str">
        <v>IPCA - Variação mensal</v>
      </c>
      <c r="J192" s="1" t="str">
        <v>202207</v>
      </c>
      <c r="K192" s="1" t="str">
        <v>julho 2022</v>
      </c>
      <c r="L192" s="1" t="str">
        <v>7443</v>
      </c>
      <c r="M192" s="1" t="str">
        <v>1201051.Outras bebidas alcoólicas</v>
      </c>
      <c r="Q192" s="1" t="str">
        <f t="shared" si="6"/>
        <v>1201051.Outras bebidas alcoólicas</v>
      </c>
      <c r="R192" s="1" t="str">
        <f t="shared" si="7"/>
        <v>202207</v>
      </c>
      <c r="S192" s="1">
        <f t="shared" si="8"/>
        <v>1.6</v>
      </c>
    </row>
    <row r="193" spans="1:19" x14ac:dyDescent="0.2">
      <c r="A193" s="1" t="str">
        <v>1</v>
      </c>
      <c r="B193" s="1" t="str">
        <v>Brasil</v>
      </c>
      <c r="C193" s="1" t="str">
        <v>2</v>
      </c>
      <c r="D193" s="1" t="str">
        <v>%</v>
      </c>
      <c r="E193" s="1" t="str">
        <v>2.23</v>
      </c>
      <c r="F193" s="1" t="str">
        <v>1</v>
      </c>
      <c r="G193" s="1" t="str">
        <v>Brasil</v>
      </c>
      <c r="H193" s="1" t="str">
        <v>63</v>
      </c>
      <c r="I193" s="1" t="str">
        <v>IPCA - Variação mensal</v>
      </c>
      <c r="J193" s="1" t="str">
        <v>202207</v>
      </c>
      <c r="K193" s="1" t="str">
        <v>julho 2022</v>
      </c>
      <c r="L193" s="1" t="str">
        <v>47632</v>
      </c>
      <c r="M193" s="1" t="str">
        <v>1201052.Vinho</v>
      </c>
      <c r="Q193" s="1" t="str">
        <f t="shared" si="6"/>
        <v>1201052.Vinho</v>
      </c>
      <c r="R193" s="1" t="str">
        <f t="shared" si="7"/>
        <v>202207</v>
      </c>
      <c r="S193" s="1">
        <f t="shared" si="8"/>
        <v>2.23</v>
      </c>
    </row>
    <row r="194" spans="1:19" x14ac:dyDescent="0.2">
      <c r="A194" s="1" t="str">
        <v>1</v>
      </c>
      <c r="B194" s="1" t="str">
        <v>Brasil</v>
      </c>
      <c r="C194" s="1" t="str">
        <v>2</v>
      </c>
      <c r="D194" s="1" t="str">
        <v>%</v>
      </c>
      <c r="E194" s="1" t="str">
        <v>1.37</v>
      </c>
      <c r="F194" s="1" t="str">
        <v>1</v>
      </c>
      <c r="G194" s="1" t="str">
        <v>Brasil</v>
      </c>
      <c r="H194" s="1" t="str">
        <v>63</v>
      </c>
      <c r="I194" s="1" t="str">
        <v>IPCA - Variação mensal</v>
      </c>
      <c r="J194" s="1" t="str">
        <v>202207</v>
      </c>
      <c r="K194" s="1" t="str">
        <v>julho 2022</v>
      </c>
      <c r="L194" s="1" t="str">
        <v>7444</v>
      </c>
      <c r="M194" s="1" t="str">
        <v>1201061.Doces</v>
      </c>
      <c r="Q194" s="1" t="str">
        <f t="shared" si="6"/>
        <v>1201061.Doces</v>
      </c>
      <c r="R194" s="1" t="str">
        <f t="shared" si="7"/>
        <v>202207</v>
      </c>
      <c r="S194" s="1">
        <f t="shared" si="8"/>
        <v>1.37</v>
      </c>
    </row>
    <row r="195" spans="1:19" x14ac:dyDescent="0.2">
      <c r="A195" s="1" t="str">
        <v>1</v>
      </c>
      <c r="B195" s="1" t="str">
        <v>Brasil</v>
      </c>
      <c r="C195" s="1" t="str">
        <v>2</v>
      </c>
      <c r="D195" s="1" t="str">
        <v>%</v>
      </c>
      <c r="E195" s="1" t="str">
        <v>0.57</v>
      </c>
      <c r="F195" s="1" t="str">
        <v>1</v>
      </c>
      <c r="G195" s="1" t="str">
        <v>Brasil</v>
      </c>
      <c r="H195" s="1" t="str">
        <v>63</v>
      </c>
      <c r="I195" s="1" t="str">
        <v>IPCA - Variação mensal</v>
      </c>
      <c r="J195" s="1" t="str">
        <v>202207</v>
      </c>
      <c r="K195" s="1" t="str">
        <v>julho 2022</v>
      </c>
      <c r="L195" s="1" t="str">
        <v>47633</v>
      </c>
      <c r="M195" s="1" t="str">
        <v>1201088.Sorvete</v>
      </c>
      <c r="Q195" s="1" t="str">
        <f t="shared" si="6"/>
        <v>1201088.Sorvete</v>
      </c>
      <c r="R195" s="1" t="str">
        <f t="shared" si="7"/>
        <v>202207</v>
      </c>
      <c r="S195" s="1">
        <f t="shared" si="8"/>
        <v>0.56999999999999995</v>
      </c>
    </row>
    <row r="196" spans="1:19" x14ac:dyDescent="0.2">
      <c r="A196" s="1" t="str">
        <v>1</v>
      </c>
      <c r="B196" s="1" t="str">
        <v>Brasil</v>
      </c>
      <c r="C196" s="1" t="str">
        <v>2</v>
      </c>
      <c r="D196" s="1" t="str">
        <v>%</v>
      </c>
      <c r="E196" s="1" t="str">
        <v>-1.05</v>
      </c>
      <c r="F196" s="1" t="str">
        <v>1</v>
      </c>
      <c r="G196" s="1" t="str">
        <v>Brasil</v>
      </c>
      <c r="H196" s="1" t="str">
        <v>63</v>
      </c>
      <c r="I196" s="1" t="str">
        <v>IPCA - Variação mensal</v>
      </c>
      <c r="J196" s="1" t="str">
        <v>202207</v>
      </c>
      <c r="K196" s="1" t="str">
        <v>julho 2022</v>
      </c>
      <c r="L196" s="1" t="str">
        <v>7445</v>
      </c>
      <c r="M196" s="1" t="str">
        <v>2.Habitação</v>
      </c>
      <c r="Q196" s="1" t="str">
        <f t="shared" si="6"/>
        <v>2.Habitação</v>
      </c>
      <c r="R196" s="1" t="str">
        <f t="shared" si="7"/>
        <v>202207</v>
      </c>
      <c r="S196" s="1">
        <f t="shared" si="8"/>
        <v>-1.05</v>
      </c>
    </row>
    <row r="197" spans="1:19" x14ac:dyDescent="0.2">
      <c r="A197" s="1" t="str">
        <v>1</v>
      </c>
      <c r="B197" s="1" t="str">
        <v>Brasil</v>
      </c>
      <c r="C197" s="1" t="str">
        <v>2</v>
      </c>
      <c r="D197" s="1" t="str">
        <v>%</v>
      </c>
      <c r="E197" s="1" t="str">
        <v>0.87</v>
      </c>
      <c r="F197" s="1" t="str">
        <v>1</v>
      </c>
      <c r="G197" s="1" t="str">
        <v>Brasil</v>
      </c>
      <c r="H197" s="1" t="str">
        <v>63</v>
      </c>
      <c r="I197" s="1" t="str">
        <v>IPCA - Variação mensal</v>
      </c>
      <c r="J197" s="1" t="str">
        <v>202207</v>
      </c>
      <c r="K197" s="1" t="str">
        <v>julho 2022</v>
      </c>
      <c r="L197" s="1" t="str">
        <v>7446</v>
      </c>
      <c r="M197" s="1" t="str">
        <v>21.Encargos e manutenção</v>
      </c>
      <c r="Q197" s="1" t="str">
        <f t="shared" si="6"/>
        <v>21.Encargos e manutenção</v>
      </c>
      <c r="R197" s="1" t="str">
        <f t="shared" si="7"/>
        <v>202207</v>
      </c>
      <c r="S197" s="1">
        <f t="shared" si="8"/>
        <v>0.87</v>
      </c>
    </row>
    <row r="198" spans="1:19" x14ac:dyDescent="0.2">
      <c r="A198" s="1" t="str">
        <v>1</v>
      </c>
      <c r="B198" s="1" t="str">
        <v>Brasil</v>
      </c>
      <c r="C198" s="1" t="str">
        <v>2</v>
      </c>
      <c r="D198" s="1" t="str">
        <v>%</v>
      </c>
      <c r="E198" s="1" t="str">
        <v>0.86</v>
      </c>
      <c r="F198" s="1" t="str">
        <v>1</v>
      </c>
      <c r="G198" s="1" t="str">
        <v>Brasil</v>
      </c>
      <c r="H198" s="1" t="str">
        <v>63</v>
      </c>
      <c r="I198" s="1" t="str">
        <v>IPCA - Variação mensal</v>
      </c>
      <c r="J198" s="1" t="str">
        <v>202207</v>
      </c>
      <c r="K198" s="1" t="str">
        <v>julho 2022</v>
      </c>
      <c r="L198" s="1" t="str">
        <v>7447</v>
      </c>
      <c r="M198" s="1" t="str">
        <v>2101.Aluguel e taxas</v>
      </c>
      <c r="Q198" s="1" t="str">
        <f t="shared" si="6"/>
        <v>2101.Aluguel e taxas</v>
      </c>
      <c r="R198" s="1" t="str">
        <f t="shared" si="7"/>
        <v>202207</v>
      </c>
      <c r="S198" s="1">
        <f t="shared" si="8"/>
        <v>0.86</v>
      </c>
    </row>
    <row r="199" spans="1:19" x14ac:dyDescent="0.2">
      <c r="A199" s="1" t="str">
        <v>1</v>
      </c>
      <c r="B199" s="1" t="str">
        <v>Brasil</v>
      </c>
      <c r="C199" s="1" t="str">
        <v>2</v>
      </c>
      <c r="D199" s="1" t="str">
        <v>%</v>
      </c>
      <c r="E199" s="1" t="str">
        <v>0.97</v>
      </c>
      <c r="F199" s="1" t="str">
        <v>1</v>
      </c>
      <c r="G199" s="1" t="str">
        <v>Brasil</v>
      </c>
      <c r="H199" s="1" t="str">
        <v>63</v>
      </c>
      <c r="I199" s="1" t="str">
        <v>IPCA - Variação mensal</v>
      </c>
      <c r="J199" s="1" t="str">
        <v>202207</v>
      </c>
      <c r="K199" s="1" t="str">
        <v>julho 2022</v>
      </c>
      <c r="L199" s="1" t="str">
        <v>7448</v>
      </c>
      <c r="M199" s="1" t="str">
        <v>2101001.Aluguel residencial</v>
      </c>
      <c r="Q199" s="1" t="str">
        <f t="shared" ref="Q199:Q262" si="9">M199</f>
        <v>2101001.Aluguel residencial</v>
      </c>
      <c r="R199" s="1" t="str">
        <f t="shared" ref="R199:R262" si="10">J199</f>
        <v>202207</v>
      </c>
      <c r="S199" s="1">
        <f t="shared" ref="S199:S262" si="11">IFERROR(_xlfn.NUMBERVALUE(E199,".",","), "")</f>
        <v>0.97</v>
      </c>
    </row>
    <row r="200" spans="1:19" x14ac:dyDescent="0.2">
      <c r="A200" s="1" t="str">
        <v>1</v>
      </c>
      <c r="B200" s="1" t="str">
        <v>Brasil</v>
      </c>
      <c r="C200" s="1" t="str">
        <v>2</v>
      </c>
      <c r="D200" s="1" t="str">
        <v>%</v>
      </c>
      <c r="E200" s="1" t="str">
        <v>0.61</v>
      </c>
      <c r="F200" s="1" t="str">
        <v>1</v>
      </c>
      <c r="G200" s="1" t="str">
        <v>Brasil</v>
      </c>
      <c r="H200" s="1" t="str">
        <v>63</v>
      </c>
      <c r="I200" s="1" t="str">
        <v>IPCA - Variação mensal</v>
      </c>
      <c r="J200" s="1" t="str">
        <v>202207</v>
      </c>
      <c r="K200" s="1" t="str">
        <v>julho 2022</v>
      </c>
      <c r="L200" s="1" t="str">
        <v>7449</v>
      </c>
      <c r="M200" s="1" t="str">
        <v>2101002.Condomínio</v>
      </c>
      <c r="Q200" s="1" t="str">
        <f t="shared" si="9"/>
        <v>2101002.Condomínio</v>
      </c>
      <c r="R200" s="1" t="str">
        <f t="shared" si="10"/>
        <v>202207</v>
      </c>
      <c r="S200" s="1">
        <f t="shared" si="11"/>
        <v>0.61</v>
      </c>
    </row>
    <row r="201" spans="1:19" x14ac:dyDescent="0.2">
      <c r="A201" s="1" t="str">
        <v>1</v>
      </c>
      <c r="B201" s="1" t="str">
        <v>Brasil</v>
      </c>
      <c r="C201" s="1" t="str">
        <v>2</v>
      </c>
      <c r="D201" s="1" t="str">
        <v>%</v>
      </c>
      <c r="E201" s="1" t="str">
        <v>0.96</v>
      </c>
      <c r="F201" s="1" t="str">
        <v>1</v>
      </c>
      <c r="G201" s="1" t="str">
        <v>Brasil</v>
      </c>
      <c r="H201" s="1" t="str">
        <v>63</v>
      </c>
      <c r="I201" s="1" t="str">
        <v>IPCA - Variação mensal</v>
      </c>
      <c r="J201" s="1" t="str">
        <v>202207</v>
      </c>
      <c r="K201" s="1" t="str">
        <v>julho 2022</v>
      </c>
      <c r="L201" s="1" t="str">
        <v>7451</v>
      </c>
      <c r="M201" s="1" t="str">
        <v>2101004.Taxa de água e esgoto</v>
      </c>
      <c r="Q201" s="1" t="str">
        <f t="shared" si="9"/>
        <v>2101004.Taxa de água e esgoto</v>
      </c>
      <c r="R201" s="1" t="str">
        <f t="shared" si="10"/>
        <v>202207</v>
      </c>
      <c r="S201" s="1">
        <f t="shared" si="11"/>
        <v>0.96</v>
      </c>
    </row>
    <row r="202" spans="1:19" x14ac:dyDescent="0.2">
      <c r="A202" s="1" t="str">
        <v>1</v>
      </c>
      <c r="B202" s="1" t="str">
        <v>Brasil</v>
      </c>
      <c r="C202" s="1" t="str">
        <v>2</v>
      </c>
      <c r="D202" s="1" t="str">
        <v>%</v>
      </c>
      <c r="E202" s="1" t="str">
        <v>2.23</v>
      </c>
      <c r="F202" s="1" t="str">
        <v>1</v>
      </c>
      <c r="G202" s="1" t="str">
        <v>Brasil</v>
      </c>
      <c r="H202" s="1" t="str">
        <v>63</v>
      </c>
      <c r="I202" s="1" t="str">
        <v>IPCA - Variação mensal</v>
      </c>
      <c r="J202" s="1" t="str">
        <v>202207</v>
      </c>
      <c r="K202" s="1" t="str">
        <v>julho 2022</v>
      </c>
      <c r="L202" s="1" t="str">
        <v>7453</v>
      </c>
      <c r="M202" s="1" t="str">
        <v>2101012.Mudança</v>
      </c>
      <c r="Q202" s="1" t="str">
        <f t="shared" si="9"/>
        <v>2101012.Mudança</v>
      </c>
      <c r="R202" s="1" t="str">
        <f t="shared" si="10"/>
        <v>202207</v>
      </c>
      <c r="S202" s="1">
        <f t="shared" si="11"/>
        <v>2.23</v>
      </c>
    </row>
    <row r="203" spans="1:19" x14ac:dyDescent="0.2">
      <c r="A203" s="1" t="str">
        <v>1</v>
      </c>
      <c r="B203" s="1" t="str">
        <v>Brasil</v>
      </c>
      <c r="C203" s="1" t="str">
        <v>2</v>
      </c>
      <c r="D203" s="1" t="str">
        <v>%</v>
      </c>
      <c r="E203" s="1" t="str">
        <v>0.48</v>
      </c>
      <c r="F203" s="1" t="str">
        <v>1</v>
      </c>
      <c r="G203" s="1" t="str">
        <v>Brasil</v>
      </c>
      <c r="H203" s="1" t="str">
        <v>63</v>
      </c>
      <c r="I203" s="1" t="str">
        <v>IPCA - Variação mensal</v>
      </c>
      <c r="J203" s="1" t="str">
        <v>202207</v>
      </c>
      <c r="K203" s="1" t="str">
        <v>julho 2022</v>
      </c>
      <c r="L203" s="1" t="str">
        <v>7454</v>
      </c>
      <c r="M203" s="1" t="str">
        <v>2103.Reparos</v>
      </c>
      <c r="Q203" s="1" t="str">
        <f t="shared" si="9"/>
        <v>2103.Reparos</v>
      </c>
      <c r="R203" s="1" t="str">
        <f t="shared" si="10"/>
        <v>202207</v>
      </c>
      <c r="S203" s="1">
        <f t="shared" si="11"/>
        <v>0.48</v>
      </c>
    </row>
    <row r="204" spans="1:19" x14ac:dyDescent="0.2">
      <c r="A204" s="1" t="str">
        <v>1</v>
      </c>
      <c r="B204" s="1" t="str">
        <v>Brasil</v>
      </c>
      <c r="C204" s="1" t="str">
        <v>2</v>
      </c>
      <c r="D204" s="1" t="str">
        <v>%</v>
      </c>
      <c r="E204" s="1" t="str">
        <v>1.91</v>
      </c>
      <c r="F204" s="1" t="str">
        <v>1</v>
      </c>
      <c r="G204" s="1" t="str">
        <v>Brasil</v>
      </c>
      <c r="H204" s="1" t="str">
        <v>63</v>
      </c>
      <c r="I204" s="1" t="str">
        <v>IPCA - Variação mensal</v>
      </c>
      <c r="J204" s="1" t="str">
        <v>202207</v>
      </c>
      <c r="K204" s="1" t="str">
        <v>julho 2022</v>
      </c>
      <c r="L204" s="1" t="str">
        <v>7455</v>
      </c>
      <c r="M204" s="1" t="str">
        <v>2103005.Ferragens</v>
      </c>
      <c r="Q204" s="1" t="str">
        <f t="shared" si="9"/>
        <v>2103005.Ferragens</v>
      </c>
      <c r="R204" s="1" t="str">
        <f t="shared" si="10"/>
        <v>202207</v>
      </c>
      <c r="S204" s="1">
        <f t="shared" si="11"/>
        <v>1.91</v>
      </c>
    </row>
    <row r="205" spans="1:19" x14ac:dyDescent="0.2">
      <c r="A205" s="1" t="str">
        <v>1</v>
      </c>
      <c r="B205" s="1" t="str">
        <v>Brasil</v>
      </c>
      <c r="C205" s="1" t="str">
        <v>2</v>
      </c>
      <c r="D205" s="1" t="str">
        <v>%</v>
      </c>
      <c r="E205" s="1" t="str">
        <v>1.24</v>
      </c>
      <c r="F205" s="1" t="str">
        <v>1</v>
      </c>
      <c r="G205" s="1" t="str">
        <v>Brasil</v>
      </c>
      <c r="H205" s="1" t="str">
        <v>63</v>
      </c>
      <c r="I205" s="1" t="str">
        <v>IPCA - Variação mensal</v>
      </c>
      <c r="J205" s="1" t="str">
        <v>202207</v>
      </c>
      <c r="K205" s="1" t="str">
        <v>julho 2022</v>
      </c>
      <c r="L205" s="1" t="str">
        <v>7456</v>
      </c>
      <c r="M205" s="1" t="str">
        <v>2103008.Material de eletricidade</v>
      </c>
      <c r="Q205" s="1" t="str">
        <f t="shared" si="9"/>
        <v>2103008.Material de eletricidade</v>
      </c>
      <c r="R205" s="1" t="str">
        <f t="shared" si="10"/>
        <v>202207</v>
      </c>
      <c r="S205" s="1">
        <f t="shared" si="11"/>
        <v>1.24</v>
      </c>
    </row>
    <row r="206" spans="1:19" x14ac:dyDescent="0.2">
      <c r="A206" s="1" t="str">
        <v>1</v>
      </c>
      <c r="B206" s="1" t="str">
        <v>Brasil</v>
      </c>
      <c r="C206" s="1" t="str">
        <v>2</v>
      </c>
      <c r="D206" s="1" t="str">
        <v>%</v>
      </c>
      <c r="E206" s="1" t="str">
        <v>0.30</v>
      </c>
      <c r="F206" s="1" t="str">
        <v>1</v>
      </c>
      <c r="G206" s="1" t="str">
        <v>Brasil</v>
      </c>
      <c r="H206" s="1" t="str">
        <v>63</v>
      </c>
      <c r="I206" s="1" t="str">
        <v>IPCA - Variação mensal</v>
      </c>
      <c r="J206" s="1" t="str">
        <v>202207</v>
      </c>
      <c r="K206" s="1" t="str">
        <v>julho 2022</v>
      </c>
      <c r="L206" s="1" t="str">
        <v>12433</v>
      </c>
      <c r="M206" s="1" t="str">
        <v>2103012.Vidro</v>
      </c>
      <c r="Q206" s="1" t="str">
        <f t="shared" si="9"/>
        <v>2103012.Vidro</v>
      </c>
      <c r="R206" s="1" t="str">
        <f t="shared" si="10"/>
        <v>202207</v>
      </c>
      <c r="S206" s="1">
        <f t="shared" si="11"/>
        <v>0.3</v>
      </c>
    </row>
    <row r="207" spans="1:19" x14ac:dyDescent="0.2">
      <c r="A207" s="1" t="str">
        <v>1</v>
      </c>
      <c r="B207" s="1" t="str">
        <v>Brasil</v>
      </c>
      <c r="C207" s="1" t="str">
        <v>2</v>
      </c>
      <c r="D207" s="1" t="str">
        <v>%</v>
      </c>
      <c r="E207" s="1" t="str">
        <v>1.65</v>
      </c>
      <c r="F207" s="1" t="str">
        <v>1</v>
      </c>
      <c r="G207" s="1" t="str">
        <v>Brasil</v>
      </c>
      <c r="H207" s="1" t="str">
        <v>63</v>
      </c>
      <c r="I207" s="1" t="str">
        <v>IPCA - Variação mensal</v>
      </c>
      <c r="J207" s="1" t="str">
        <v>202207</v>
      </c>
      <c r="K207" s="1" t="str">
        <v>julho 2022</v>
      </c>
      <c r="L207" s="1" t="str">
        <v>7459</v>
      </c>
      <c r="M207" s="1" t="str">
        <v>2103014.Tinta</v>
      </c>
      <c r="Q207" s="1" t="str">
        <f t="shared" si="9"/>
        <v>2103014.Tinta</v>
      </c>
      <c r="R207" s="1" t="str">
        <f t="shared" si="10"/>
        <v>202207</v>
      </c>
      <c r="S207" s="1">
        <f t="shared" si="11"/>
        <v>1.65</v>
      </c>
    </row>
    <row r="208" spans="1:19" x14ac:dyDescent="0.2">
      <c r="A208" s="1" t="str">
        <v>1</v>
      </c>
      <c r="B208" s="1" t="str">
        <v>Brasil</v>
      </c>
      <c r="C208" s="1" t="str">
        <v>2</v>
      </c>
      <c r="D208" s="1" t="str">
        <v>%</v>
      </c>
      <c r="E208" s="1" t="str">
        <v>-0.17</v>
      </c>
      <c r="F208" s="1" t="str">
        <v>1</v>
      </c>
      <c r="G208" s="1" t="str">
        <v>Brasil</v>
      </c>
      <c r="H208" s="1" t="str">
        <v>63</v>
      </c>
      <c r="I208" s="1" t="str">
        <v>IPCA - Variação mensal</v>
      </c>
      <c r="J208" s="1" t="str">
        <v>202207</v>
      </c>
      <c r="K208" s="1" t="str">
        <v>julho 2022</v>
      </c>
      <c r="L208" s="1" t="str">
        <v>12398</v>
      </c>
      <c r="M208" s="1" t="str">
        <v>2103032.Revestimento de piso e parede</v>
      </c>
      <c r="Q208" s="1" t="str">
        <f t="shared" si="9"/>
        <v>2103032.Revestimento de piso e parede</v>
      </c>
      <c r="R208" s="1" t="str">
        <f t="shared" si="10"/>
        <v>202207</v>
      </c>
      <c r="S208" s="1">
        <f t="shared" si="11"/>
        <v>-0.17</v>
      </c>
    </row>
    <row r="209" spans="1:19" x14ac:dyDescent="0.2">
      <c r="A209" s="1" t="str">
        <v>1</v>
      </c>
      <c r="B209" s="1" t="str">
        <v>Brasil</v>
      </c>
      <c r="C209" s="1" t="str">
        <v>2</v>
      </c>
      <c r="D209" s="1" t="str">
        <v>%</v>
      </c>
      <c r="E209" s="1" t="str">
        <v>0.49</v>
      </c>
      <c r="F209" s="1" t="str">
        <v>1</v>
      </c>
      <c r="G209" s="1" t="str">
        <v>Brasil</v>
      </c>
      <c r="H209" s="1" t="str">
        <v>63</v>
      </c>
      <c r="I209" s="1" t="str">
        <v>IPCA - Variação mensal</v>
      </c>
      <c r="J209" s="1" t="str">
        <v>202207</v>
      </c>
      <c r="K209" s="1" t="str">
        <v>julho 2022</v>
      </c>
      <c r="L209" s="1" t="str">
        <v>47634</v>
      </c>
      <c r="M209" s="1" t="str">
        <v>2103038.Madeira e taco</v>
      </c>
      <c r="Q209" s="1" t="str">
        <f t="shared" si="9"/>
        <v>2103038.Madeira e taco</v>
      </c>
      <c r="R209" s="1" t="str">
        <f t="shared" si="10"/>
        <v>202207</v>
      </c>
      <c r="S209" s="1">
        <f t="shared" si="11"/>
        <v>0.49</v>
      </c>
    </row>
    <row r="210" spans="1:19" x14ac:dyDescent="0.2">
      <c r="A210" s="1" t="str">
        <v>1</v>
      </c>
      <c r="B210" s="1" t="str">
        <v>Brasil</v>
      </c>
      <c r="C210" s="1" t="str">
        <v>2</v>
      </c>
      <c r="D210" s="1" t="str">
        <v>%</v>
      </c>
      <c r="E210" s="1" t="str">
        <v>1.73</v>
      </c>
      <c r="F210" s="1" t="str">
        <v>1</v>
      </c>
      <c r="G210" s="1" t="str">
        <v>Brasil</v>
      </c>
      <c r="H210" s="1" t="str">
        <v>63</v>
      </c>
      <c r="I210" s="1" t="str">
        <v>IPCA - Variação mensal</v>
      </c>
      <c r="J210" s="1" t="str">
        <v>202207</v>
      </c>
      <c r="K210" s="1" t="str">
        <v>julho 2022</v>
      </c>
      <c r="L210" s="1" t="str">
        <v>107638</v>
      </c>
      <c r="M210" s="1" t="str">
        <v>2103039.Cimento</v>
      </c>
      <c r="Q210" s="1" t="str">
        <f t="shared" si="9"/>
        <v>2103039.Cimento</v>
      </c>
      <c r="R210" s="1" t="str">
        <f t="shared" si="10"/>
        <v>202207</v>
      </c>
      <c r="S210" s="1">
        <f t="shared" si="11"/>
        <v>1.73</v>
      </c>
    </row>
    <row r="211" spans="1:19" x14ac:dyDescent="0.2">
      <c r="A211" s="1" t="str">
        <v>1</v>
      </c>
      <c r="B211" s="1" t="str">
        <v>Brasil</v>
      </c>
      <c r="C211" s="1" t="str">
        <v>2</v>
      </c>
      <c r="D211" s="1" t="str">
        <v>%</v>
      </c>
      <c r="E211" s="1" t="str">
        <v>-0.08</v>
      </c>
      <c r="F211" s="1" t="str">
        <v>1</v>
      </c>
      <c r="G211" s="1" t="str">
        <v>Brasil</v>
      </c>
      <c r="H211" s="1" t="str">
        <v>63</v>
      </c>
      <c r="I211" s="1" t="str">
        <v>IPCA - Variação mensal</v>
      </c>
      <c r="J211" s="1" t="str">
        <v>202207</v>
      </c>
      <c r="K211" s="1" t="str">
        <v>julho 2022</v>
      </c>
      <c r="L211" s="1" t="str">
        <v>107639</v>
      </c>
      <c r="M211" s="1" t="str">
        <v>2103040.Tijolo</v>
      </c>
      <c r="Q211" s="1" t="str">
        <f t="shared" si="9"/>
        <v>2103040.Tijolo</v>
      </c>
      <c r="R211" s="1" t="str">
        <f t="shared" si="10"/>
        <v>202207</v>
      </c>
      <c r="S211" s="1">
        <f t="shared" si="11"/>
        <v>-0.08</v>
      </c>
    </row>
    <row r="212" spans="1:19" x14ac:dyDescent="0.2">
      <c r="A212" s="1" t="str">
        <v>1</v>
      </c>
      <c r="B212" s="1" t="str">
        <v>Brasil</v>
      </c>
      <c r="C212" s="1" t="str">
        <v>2</v>
      </c>
      <c r="D212" s="1" t="str">
        <v>%</v>
      </c>
      <c r="E212" s="1" t="str">
        <v>-2.55</v>
      </c>
      <c r="F212" s="1" t="str">
        <v>1</v>
      </c>
      <c r="G212" s="1" t="str">
        <v>Brasil</v>
      </c>
      <c r="H212" s="1" t="str">
        <v>63</v>
      </c>
      <c r="I212" s="1" t="str">
        <v>IPCA - Variação mensal</v>
      </c>
      <c r="J212" s="1" t="str">
        <v>202207</v>
      </c>
      <c r="K212" s="1" t="str">
        <v>julho 2022</v>
      </c>
      <c r="L212" s="1" t="str">
        <v>107640</v>
      </c>
      <c r="M212" s="1" t="str">
        <v>2103041.Material hidráulico</v>
      </c>
      <c r="Q212" s="1" t="str">
        <f t="shared" si="9"/>
        <v>2103041.Material hidráulico</v>
      </c>
      <c r="R212" s="1" t="str">
        <f t="shared" si="10"/>
        <v>202207</v>
      </c>
      <c r="S212" s="1">
        <f t="shared" si="11"/>
        <v>-2.5499999999999998</v>
      </c>
    </row>
    <row r="213" spans="1:19" x14ac:dyDescent="0.2">
      <c r="A213" s="1" t="str">
        <v>1</v>
      </c>
      <c r="B213" s="1" t="str">
        <v>Brasil</v>
      </c>
      <c r="C213" s="1" t="str">
        <v>2</v>
      </c>
      <c r="D213" s="1" t="str">
        <v>%</v>
      </c>
      <c r="E213" s="1" t="str">
        <v>0.40</v>
      </c>
      <c r="F213" s="1" t="str">
        <v>1</v>
      </c>
      <c r="G213" s="1" t="str">
        <v>Brasil</v>
      </c>
      <c r="H213" s="1" t="str">
        <v>63</v>
      </c>
      <c r="I213" s="1" t="str">
        <v>IPCA - Variação mensal</v>
      </c>
      <c r="J213" s="1" t="str">
        <v>202207</v>
      </c>
      <c r="K213" s="1" t="str">
        <v>julho 2022</v>
      </c>
      <c r="L213" s="1" t="str">
        <v>107641</v>
      </c>
      <c r="M213" s="1" t="str">
        <v>2103042.Mão de obra</v>
      </c>
      <c r="Q213" s="1" t="str">
        <f t="shared" si="9"/>
        <v>2103042.Mão de obra</v>
      </c>
      <c r="R213" s="1" t="str">
        <f t="shared" si="10"/>
        <v>202207</v>
      </c>
      <c r="S213" s="1">
        <f t="shared" si="11"/>
        <v>0.4</v>
      </c>
    </row>
    <row r="214" spans="1:19" x14ac:dyDescent="0.2">
      <c r="A214" s="1" t="str">
        <v>1</v>
      </c>
      <c r="B214" s="1" t="str">
        <v>Brasil</v>
      </c>
      <c r="C214" s="1" t="str">
        <v>2</v>
      </c>
      <c r="D214" s="1" t="str">
        <v>%</v>
      </c>
      <c r="E214" s="1" t="str">
        <v>0.35</v>
      </c>
      <c r="F214" s="1" t="str">
        <v>1</v>
      </c>
      <c r="G214" s="1" t="str">
        <v>Brasil</v>
      </c>
      <c r="H214" s="1" t="str">
        <v>63</v>
      </c>
      <c r="I214" s="1" t="str">
        <v>IPCA - Variação mensal</v>
      </c>
      <c r="J214" s="1" t="str">
        <v>202207</v>
      </c>
      <c r="K214" s="1" t="str">
        <v>julho 2022</v>
      </c>
      <c r="L214" s="1" t="str">
        <v>107642</v>
      </c>
      <c r="M214" s="1" t="str">
        <v>2103048.Areia</v>
      </c>
      <c r="Q214" s="1" t="str">
        <f t="shared" si="9"/>
        <v>2103048.Areia</v>
      </c>
      <c r="R214" s="1" t="str">
        <f t="shared" si="10"/>
        <v>202207</v>
      </c>
      <c r="S214" s="1">
        <f t="shared" si="11"/>
        <v>0.35</v>
      </c>
    </row>
    <row r="215" spans="1:19" x14ac:dyDescent="0.2">
      <c r="A215" s="1" t="str">
        <v>1</v>
      </c>
      <c r="B215" s="1" t="str">
        <v>Brasil</v>
      </c>
      <c r="C215" s="1" t="str">
        <v>2</v>
      </c>
      <c r="D215" s="1" t="str">
        <v>%</v>
      </c>
      <c r="E215" s="1" t="str">
        <v>2.31</v>
      </c>
      <c r="F215" s="1" t="str">
        <v>1</v>
      </c>
      <c r="G215" s="1" t="str">
        <v>Brasil</v>
      </c>
      <c r="H215" s="1" t="str">
        <v>63</v>
      </c>
      <c r="I215" s="1" t="str">
        <v>IPCA - Variação mensal</v>
      </c>
      <c r="J215" s="1" t="str">
        <v>202207</v>
      </c>
      <c r="K215" s="1" t="str">
        <v>julho 2022</v>
      </c>
      <c r="L215" s="1" t="str">
        <v>107643</v>
      </c>
      <c r="M215" s="1" t="str">
        <v>2103049.Pedras</v>
      </c>
      <c r="Q215" s="1" t="str">
        <f t="shared" si="9"/>
        <v>2103049.Pedras</v>
      </c>
      <c r="R215" s="1" t="str">
        <f t="shared" si="10"/>
        <v>202207</v>
      </c>
      <c r="S215" s="1">
        <f t="shared" si="11"/>
        <v>2.31</v>
      </c>
    </row>
    <row r="216" spans="1:19" x14ac:dyDescent="0.2">
      <c r="A216" s="1" t="str">
        <v>1</v>
      </c>
      <c r="B216" s="1" t="str">
        <v>Brasil</v>
      </c>
      <c r="C216" s="1" t="str">
        <v>2</v>
      </c>
      <c r="D216" s="1" t="str">
        <v>%</v>
      </c>
      <c r="E216" s="1" t="str">
        <v>-0.12</v>
      </c>
      <c r="F216" s="1" t="str">
        <v>1</v>
      </c>
      <c r="G216" s="1" t="str">
        <v>Brasil</v>
      </c>
      <c r="H216" s="1" t="str">
        <v>63</v>
      </c>
      <c r="I216" s="1" t="str">
        <v>IPCA - Variação mensal</v>
      </c>
      <c r="J216" s="1" t="str">
        <v>202207</v>
      </c>
      <c r="K216" s="1" t="str">
        <v>julho 2022</v>
      </c>
      <c r="L216" s="1" t="str">
        <v>12399</v>
      </c>
      <c r="M216" s="1" t="str">
        <v>2103055.Telha</v>
      </c>
      <c r="Q216" s="1" t="str">
        <f t="shared" si="9"/>
        <v>2103055.Telha</v>
      </c>
      <c r="R216" s="1" t="str">
        <f t="shared" si="10"/>
        <v>202207</v>
      </c>
      <c r="S216" s="1">
        <f t="shared" si="11"/>
        <v>-0.12</v>
      </c>
    </row>
    <row r="217" spans="1:19" x14ac:dyDescent="0.2">
      <c r="A217" s="1" t="str">
        <v>1</v>
      </c>
      <c r="B217" s="1" t="str">
        <v>Brasil</v>
      </c>
      <c r="C217" s="1" t="str">
        <v>2</v>
      </c>
      <c r="D217" s="1" t="str">
        <v>%</v>
      </c>
      <c r="E217" s="1" t="str">
        <v>1.61</v>
      </c>
      <c r="F217" s="1" t="str">
        <v>1</v>
      </c>
      <c r="G217" s="1" t="str">
        <v>Brasil</v>
      </c>
      <c r="H217" s="1" t="str">
        <v>63</v>
      </c>
      <c r="I217" s="1" t="str">
        <v>IPCA - Variação mensal</v>
      </c>
      <c r="J217" s="1" t="str">
        <v>202207</v>
      </c>
      <c r="K217" s="1" t="str">
        <v>julho 2022</v>
      </c>
      <c r="L217" s="1" t="str">
        <v>7461</v>
      </c>
      <c r="M217" s="1" t="str">
        <v>2104.Artigos de limpeza</v>
      </c>
      <c r="Q217" s="1" t="str">
        <f t="shared" si="9"/>
        <v>2104.Artigos de limpeza</v>
      </c>
      <c r="R217" s="1" t="str">
        <f t="shared" si="10"/>
        <v>202207</v>
      </c>
      <c r="S217" s="1">
        <f t="shared" si="11"/>
        <v>1.61</v>
      </c>
    </row>
    <row r="218" spans="1:19" x14ac:dyDescent="0.2">
      <c r="A218" s="1" t="str">
        <v>1</v>
      </c>
      <c r="B218" s="1" t="str">
        <v>Brasil</v>
      </c>
      <c r="C218" s="1" t="str">
        <v>2</v>
      </c>
      <c r="D218" s="1" t="str">
        <v>%</v>
      </c>
      <c r="E218" s="1" t="str">
        <v>-0.02</v>
      </c>
      <c r="F218" s="1" t="str">
        <v>1</v>
      </c>
      <c r="G218" s="1" t="str">
        <v>Brasil</v>
      </c>
      <c r="H218" s="1" t="str">
        <v>63</v>
      </c>
      <c r="I218" s="1" t="str">
        <v>IPCA - Variação mensal</v>
      </c>
      <c r="J218" s="1" t="str">
        <v>202207</v>
      </c>
      <c r="K218" s="1" t="str">
        <v>julho 2022</v>
      </c>
      <c r="L218" s="1" t="str">
        <v>7463</v>
      </c>
      <c r="M218" s="1" t="str">
        <v>2104003.Saco para lixo</v>
      </c>
      <c r="Q218" s="1" t="str">
        <f t="shared" si="9"/>
        <v>2104003.Saco para lixo</v>
      </c>
      <c r="R218" s="1" t="str">
        <f t="shared" si="10"/>
        <v>202207</v>
      </c>
      <c r="S218" s="1">
        <f t="shared" si="11"/>
        <v>-0.02</v>
      </c>
    </row>
    <row r="219" spans="1:19" x14ac:dyDescent="0.2">
      <c r="A219" s="1" t="str">
        <v>1</v>
      </c>
      <c r="B219" s="1" t="str">
        <v>Brasil</v>
      </c>
      <c r="C219" s="1" t="str">
        <v>2</v>
      </c>
      <c r="D219" s="1" t="str">
        <v>%</v>
      </c>
      <c r="E219" s="1" t="str">
        <v>0.22</v>
      </c>
      <c r="F219" s="1" t="str">
        <v>1</v>
      </c>
      <c r="G219" s="1" t="str">
        <v>Brasil</v>
      </c>
      <c r="H219" s="1" t="str">
        <v>63</v>
      </c>
      <c r="I219" s="1" t="str">
        <v>IPCA - Variação mensal</v>
      </c>
      <c r="J219" s="1" t="str">
        <v>202207</v>
      </c>
      <c r="K219" s="1" t="str">
        <v>julho 2022</v>
      </c>
      <c r="L219" s="1" t="str">
        <v>7464</v>
      </c>
      <c r="M219" s="1" t="str">
        <v>2104005.Água sanitária</v>
      </c>
      <c r="Q219" s="1" t="str">
        <f t="shared" si="9"/>
        <v>2104005.Água sanitária</v>
      </c>
      <c r="R219" s="1" t="str">
        <f t="shared" si="10"/>
        <v>202207</v>
      </c>
      <c r="S219" s="1">
        <f t="shared" si="11"/>
        <v>0.22</v>
      </c>
    </row>
    <row r="220" spans="1:19" x14ac:dyDescent="0.2">
      <c r="A220" s="1" t="str">
        <v>1</v>
      </c>
      <c r="B220" s="1" t="str">
        <v>Brasil</v>
      </c>
      <c r="C220" s="1" t="str">
        <v>2</v>
      </c>
      <c r="D220" s="1" t="str">
        <v>%</v>
      </c>
      <c r="E220" s="1" t="str">
        <v>1.66</v>
      </c>
      <c r="F220" s="1" t="str">
        <v>1</v>
      </c>
      <c r="G220" s="1" t="str">
        <v>Brasil</v>
      </c>
      <c r="H220" s="1" t="str">
        <v>63</v>
      </c>
      <c r="I220" s="1" t="str">
        <v>IPCA - Variação mensal</v>
      </c>
      <c r="J220" s="1" t="str">
        <v>202207</v>
      </c>
      <c r="K220" s="1" t="str">
        <v>julho 2022</v>
      </c>
      <c r="L220" s="1" t="str">
        <v>7465</v>
      </c>
      <c r="M220" s="1" t="str">
        <v>2104008.Detergente</v>
      </c>
      <c r="Q220" s="1" t="str">
        <f t="shared" si="9"/>
        <v>2104008.Detergente</v>
      </c>
      <c r="R220" s="1" t="str">
        <f t="shared" si="10"/>
        <v>202207</v>
      </c>
      <c r="S220" s="1">
        <f t="shared" si="11"/>
        <v>1.66</v>
      </c>
    </row>
    <row r="221" spans="1:19" x14ac:dyDescent="0.2">
      <c r="A221" s="1" t="str">
        <v>1</v>
      </c>
      <c r="B221" s="1" t="str">
        <v>Brasil</v>
      </c>
      <c r="C221" s="1" t="str">
        <v>2</v>
      </c>
      <c r="D221" s="1" t="str">
        <v>%</v>
      </c>
      <c r="E221" s="1" t="str">
        <v>2.14</v>
      </c>
      <c r="F221" s="1" t="str">
        <v>1</v>
      </c>
      <c r="G221" s="1" t="str">
        <v>Brasil</v>
      </c>
      <c r="H221" s="1" t="str">
        <v>63</v>
      </c>
      <c r="I221" s="1" t="str">
        <v>IPCA - Variação mensal</v>
      </c>
      <c r="J221" s="1" t="str">
        <v>202207</v>
      </c>
      <c r="K221" s="1" t="str">
        <v>julho 2022</v>
      </c>
      <c r="L221" s="1" t="str">
        <v>7466</v>
      </c>
      <c r="M221" s="1" t="str">
        <v>2104009.Sabão em pó</v>
      </c>
      <c r="Q221" s="1" t="str">
        <f t="shared" si="9"/>
        <v>2104009.Sabão em pó</v>
      </c>
      <c r="R221" s="1" t="str">
        <f t="shared" si="10"/>
        <v>202207</v>
      </c>
      <c r="S221" s="1">
        <f t="shared" si="11"/>
        <v>2.14</v>
      </c>
    </row>
    <row r="222" spans="1:19" x14ac:dyDescent="0.2">
      <c r="A222" s="1" t="str">
        <v>1</v>
      </c>
      <c r="B222" s="1" t="str">
        <v>Brasil</v>
      </c>
      <c r="C222" s="1" t="str">
        <v>2</v>
      </c>
      <c r="D222" s="1" t="str">
        <v>%</v>
      </c>
      <c r="E222" s="1" t="str">
        <v>1.20</v>
      </c>
      <c r="F222" s="1" t="str">
        <v>1</v>
      </c>
      <c r="G222" s="1" t="str">
        <v>Brasil</v>
      </c>
      <c r="H222" s="1" t="str">
        <v>63</v>
      </c>
      <c r="I222" s="1" t="str">
        <v>IPCA - Variação mensal</v>
      </c>
      <c r="J222" s="1" t="str">
        <v>202207</v>
      </c>
      <c r="K222" s="1" t="str">
        <v>julho 2022</v>
      </c>
      <c r="L222" s="1" t="str">
        <v>7467</v>
      </c>
      <c r="M222" s="1" t="str">
        <v>2104012.Desinfetante</v>
      </c>
      <c r="Q222" s="1" t="str">
        <f t="shared" si="9"/>
        <v>2104012.Desinfetante</v>
      </c>
      <c r="R222" s="1" t="str">
        <f t="shared" si="10"/>
        <v>202207</v>
      </c>
      <c r="S222" s="1">
        <f t="shared" si="11"/>
        <v>1.2</v>
      </c>
    </row>
    <row r="223" spans="1:19" x14ac:dyDescent="0.2">
      <c r="A223" s="1" t="str">
        <v>1</v>
      </c>
      <c r="B223" s="1" t="str">
        <v>Brasil</v>
      </c>
      <c r="C223" s="1" t="str">
        <v>2</v>
      </c>
      <c r="D223" s="1" t="str">
        <v>%</v>
      </c>
      <c r="E223" s="1" t="str">
        <v>0.71</v>
      </c>
      <c r="F223" s="1" t="str">
        <v>1</v>
      </c>
      <c r="G223" s="1" t="str">
        <v>Brasil</v>
      </c>
      <c r="H223" s="1" t="str">
        <v>63</v>
      </c>
      <c r="I223" s="1" t="str">
        <v>IPCA - Variação mensal</v>
      </c>
      <c r="J223" s="1" t="str">
        <v>202207</v>
      </c>
      <c r="K223" s="1" t="str">
        <v>julho 2022</v>
      </c>
      <c r="L223" s="1" t="str">
        <v>7470</v>
      </c>
      <c r="M223" s="1" t="str">
        <v>2104015.Sabão em barra</v>
      </c>
      <c r="Q223" s="1" t="str">
        <f t="shared" si="9"/>
        <v>2104015.Sabão em barra</v>
      </c>
      <c r="R223" s="1" t="str">
        <f t="shared" si="10"/>
        <v>202207</v>
      </c>
      <c r="S223" s="1">
        <f t="shared" si="11"/>
        <v>0.71</v>
      </c>
    </row>
    <row r="224" spans="1:19" x14ac:dyDescent="0.2">
      <c r="A224" s="1" t="str">
        <v>1</v>
      </c>
      <c r="B224" s="1" t="str">
        <v>Brasil</v>
      </c>
      <c r="C224" s="1" t="str">
        <v>2</v>
      </c>
      <c r="D224" s="1" t="str">
        <v>%</v>
      </c>
      <c r="E224" s="1" t="str">
        <v>2.07</v>
      </c>
      <c r="F224" s="1" t="str">
        <v>1</v>
      </c>
      <c r="G224" s="1" t="str">
        <v>Brasil</v>
      </c>
      <c r="H224" s="1" t="str">
        <v>63</v>
      </c>
      <c r="I224" s="1" t="str">
        <v>IPCA - Variação mensal</v>
      </c>
      <c r="J224" s="1" t="str">
        <v>202207</v>
      </c>
      <c r="K224" s="1" t="str">
        <v>julho 2022</v>
      </c>
      <c r="L224" s="1" t="str">
        <v>7471</v>
      </c>
      <c r="M224" s="1" t="str">
        <v>2104016.Esponja de limpeza</v>
      </c>
      <c r="Q224" s="1" t="str">
        <f t="shared" si="9"/>
        <v>2104016.Esponja de limpeza</v>
      </c>
      <c r="R224" s="1" t="str">
        <f t="shared" si="10"/>
        <v>202207</v>
      </c>
      <c r="S224" s="1">
        <f t="shared" si="11"/>
        <v>2.0699999999999998</v>
      </c>
    </row>
    <row r="225" spans="1:19" x14ac:dyDescent="0.2">
      <c r="A225" s="1" t="str">
        <v>1</v>
      </c>
      <c r="B225" s="1" t="str">
        <v>Brasil</v>
      </c>
      <c r="C225" s="1" t="str">
        <v>2</v>
      </c>
      <c r="D225" s="1" t="str">
        <v>%</v>
      </c>
      <c r="E225" s="1" t="str">
        <v>-1.41</v>
      </c>
      <c r="F225" s="1" t="str">
        <v>1</v>
      </c>
      <c r="G225" s="1" t="str">
        <v>Brasil</v>
      </c>
      <c r="H225" s="1" t="str">
        <v>63</v>
      </c>
      <c r="I225" s="1" t="str">
        <v>IPCA - Variação mensal</v>
      </c>
      <c r="J225" s="1" t="str">
        <v>202207</v>
      </c>
      <c r="K225" s="1" t="str">
        <v>julho 2022</v>
      </c>
      <c r="L225" s="1" t="str">
        <v>47635</v>
      </c>
      <c r="M225" s="1" t="str">
        <v>2104019.Sabão líquido</v>
      </c>
      <c r="Q225" s="1" t="str">
        <f t="shared" si="9"/>
        <v>2104019.Sabão líquido</v>
      </c>
      <c r="R225" s="1" t="str">
        <f t="shared" si="10"/>
        <v>202207</v>
      </c>
      <c r="S225" s="1">
        <f t="shared" si="11"/>
        <v>-1.41</v>
      </c>
    </row>
    <row r="226" spans="1:19" x14ac:dyDescent="0.2">
      <c r="A226" s="1" t="str">
        <v>1</v>
      </c>
      <c r="B226" s="1" t="str">
        <v>Brasil</v>
      </c>
      <c r="C226" s="1" t="str">
        <v>2</v>
      </c>
      <c r="D226" s="1" t="str">
        <v>%</v>
      </c>
      <c r="E226" s="1" t="str">
        <v>1.98</v>
      </c>
      <c r="F226" s="1" t="str">
        <v>1</v>
      </c>
      <c r="G226" s="1" t="str">
        <v>Brasil</v>
      </c>
      <c r="H226" s="1" t="str">
        <v>63</v>
      </c>
      <c r="I226" s="1" t="str">
        <v>IPCA - Variação mensal</v>
      </c>
      <c r="J226" s="1" t="str">
        <v>202207</v>
      </c>
      <c r="K226" s="1" t="str">
        <v>julho 2022</v>
      </c>
      <c r="L226" s="1" t="str">
        <v>47636</v>
      </c>
      <c r="M226" s="1" t="str">
        <v>2104020.Limpador multiuso</v>
      </c>
      <c r="Q226" s="1" t="str">
        <f t="shared" si="9"/>
        <v>2104020.Limpador multiuso</v>
      </c>
      <c r="R226" s="1" t="str">
        <f t="shared" si="10"/>
        <v>202207</v>
      </c>
      <c r="S226" s="1">
        <f t="shared" si="11"/>
        <v>1.98</v>
      </c>
    </row>
    <row r="227" spans="1:19" x14ac:dyDescent="0.2">
      <c r="A227" s="1" t="str">
        <v>1</v>
      </c>
      <c r="B227" s="1" t="str">
        <v>Brasil</v>
      </c>
      <c r="C227" s="1" t="str">
        <v>2</v>
      </c>
      <c r="D227" s="1" t="str">
        <v>%</v>
      </c>
      <c r="E227" s="1" t="str">
        <v>1.55</v>
      </c>
      <c r="F227" s="1" t="str">
        <v>1</v>
      </c>
      <c r="G227" s="1" t="str">
        <v>Brasil</v>
      </c>
      <c r="H227" s="1" t="str">
        <v>63</v>
      </c>
      <c r="I227" s="1" t="str">
        <v>IPCA - Variação mensal</v>
      </c>
      <c r="J227" s="1" t="str">
        <v>202207</v>
      </c>
      <c r="K227" s="1" t="str">
        <v>julho 2022</v>
      </c>
      <c r="L227" s="1" t="str">
        <v>7477</v>
      </c>
      <c r="M227" s="1" t="str">
        <v>2104041.Papel toalha</v>
      </c>
      <c r="Q227" s="1" t="str">
        <f t="shared" si="9"/>
        <v>2104041.Papel toalha</v>
      </c>
      <c r="R227" s="1" t="str">
        <f t="shared" si="10"/>
        <v>202207</v>
      </c>
      <c r="S227" s="1">
        <f t="shared" si="11"/>
        <v>1.55</v>
      </c>
    </row>
    <row r="228" spans="1:19" x14ac:dyDescent="0.2">
      <c r="A228" s="1" t="str">
        <v>1</v>
      </c>
      <c r="B228" s="1" t="str">
        <v>Brasil</v>
      </c>
      <c r="C228" s="1" t="str">
        <v>2</v>
      </c>
      <c r="D228" s="1" t="str">
        <v>%</v>
      </c>
      <c r="E228" s="1" t="str">
        <v>1.71</v>
      </c>
      <c r="F228" s="1" t="str">
        <v>1</v>
      </c>
      <c r="G228" s="1" t="str">
        <v>Brasil</v>
      </c>
      <c r="H228" s="1" t="str">
        <v>63</v>
      </c>
      <c r="I228" s="1" t="str">
        <v>IPCA - Variação mensal</v>
      </c>
      <c r="J228" s="1" t="str">
        <v>202207</v>
      </c>
      <c r="K228" s="1" t="str">
        <v>julho 2022</v>
      </c>
      <c r="L228" s="1" t="str">
        <v>47637</v>
      </c>
      <c r="M228" s="1" t="str">
        <v>2104085.Amaciante e alvejante</v>
      </c>
      <c r="Q228" s="1" t="str">
        <f t="shared" si="9"/>
        <v>2104085.Amaciante e alvejante</v>
      </c>
      <c r="R228" s="1" t="str">
        <f t="shared" si="10"/>
        <v>202207</v>
      </c>
      <c r="S228" s="1">
        <f t="shared" si="11"/>
        <v>1.71</v>
      </c>
    </row>
    <row r="229" spans="1:19" x14ac:dyDescent="0.2">
      <c r="A229" s="1" t="str">
        <v>1</v>
      </c>
      <c r="B229" s="1" t="str">
        <v>Brasil</v>
      </c>
      <c r="C229" s="1" t="str">
        <v>2</v>
      </c>
      <c r="D229" s="1" t="str">
        <v>%</v>
      </c>
      <c r="E229" s="1" t="str">
        <v>-4.26</v>
      </c>
      <c r="F229" s="1" t="str">
        <v>1</v>
      </c>
      <c r="G229" s="1" t="str">
        <v>Brasil</v>
      </c>
      <c r="H229" s="1" t="str">
        <v>63</v>
      </c>
      <c r="I229" s="1" t="str">
        <v>IPCA - Variação mensal</v>
      </c>
      <c r="J229" s="1" t="str">
        <v>202207</v>
      </c>
      <c r="K229" s="1" t="str">
        <v>julho 2022</v>
      </c>
      <c r="L229" s="1" t="str">
        <v>7479</v>
      </c>
      <c r="M229" s="1" t="str">
        <v>22.Combustíveis e energia</v>
      </c>
      <c r="Q229" s="1" t="str">
        <f t="shared" si="9"/>
        <v>22.Combustíveis e energia</v>
      </c>
      <c r="R229" s="1" t="str">
        <f t="shared" si="10"/>
        <v>202207</v>
      </c>
      <c r="S229" s="1">
        <f t="shared" si="11"/>
        <v>-4.26</v>
      </c>
    </row>
    <row r="230" spans="1:19" x14ac:dyDescent="0.2">
      <c r="A230" s="1" t="str">
        <v>1</v>
      </c>
      <c r="B230" s="1" t="str">
        <v>Brasil</v>
      </c>
      <c r="C230" s="1" t="str">
        <v>2</v>
      </c>
      <c r="D230" s="1" t="str">
        <v>%</v>
      </c>
      <c r="E230" s="1" t="str">
        <v>-0.31</v>
      </c>
      <c r="F230" s="1" t="str">
        <v>1</v>
      </c>
      <c r="G230" s="1" t="str">
        <v>Brasil</v>
      </c>
      <c r="H230" s="1" t="str">
        <v>63</v>
      </c>
      <c r="I230" s="1" t="str">
        <v>IPCA - Variação mensal</v>
      </c>
      <c r="J230" s="1" t="str">
        <v>202207</v>
      </c>
      <c r="K230" s="1" t="str">
        <v>julho 2022</v>
      </c>
      <c r="L230" s="1" t="str">
        <v>7480</v>
      </c>
      <c r="M230" s="1" t="str">
        <v>2201.Combustíveis (domésticos)</v>
      </c>
      <c r="Q230" s="1" t="str">
        <f t="shared" si="9"/>
        <v>2201.Combustíveis (domésticos)</v>
      </c>
      <c r="R230" s="1" t="str">
        <f t="shared" si="10"/>
        <v>202207</v>
      </c>
      <c r="S230" s="1">
        <f t="shared" si="11"/>
        <v>-0.31</v>
      </c>
    </row>
    <row r="231" spans="1:19" x14ac:dyDescent="0.2">
      <c r="A231" s="1" t="str">
        <v>1</v>
      </c>
      <c r="B231" s="1" t="str">
        <v>Brasil</v>
      </c>
      <c r="C231" s="1" t="str">
        <v>2</v>
      </c>
      <c r="D231" s="1" t="str">
        <v>%</v>
      </c>
      <c r="E231" s="1" t="str">
        <v>1.85</v>
      </c>
      <c r="F231" s="1" t="str">
        <v>1</v>
      </c>
      <c r="G231" s="1" t="str">
        <v>Brasil</v>
      </c>
      <c r="H231" s="1" t="str">
        <v>63</v>
      </c>
      <c r="I231" s="1" t="str">
        <v>IPCA - Variação mensal</v>
      </c>
      <c r="J231" s="1" t="str">
        <v>202207</v>
      </c>
      <c r="K231" s="1" t="str">
        <v>julho 2022</v>
      </c>
      <c r="L231" s="1" t="str">
        <v>7481</v>
      </c>
      <c r="M231" s="1" t="str">
        <v>2201003.Carvão vegetal</v>
      </c>
      <c r="Q231" s="1" t="str">
        <f t="shared" si="9"/>
        <v>2201003.Carvão vegetal</v>
      </c>
      <c r="R231" s="1" t="str">
        <f t="shared" si="10"/>
        <v>202207</v>
      </c>
      <c r="S231" s="1">
        <f t="shared" si="11"/>
        <v>1.85</v>
      </c>
    </row>
    <row r="232" spans="1:19" x14ac:dyDescent="0.2">
      <c r="A232" s="1" t="str">
        <v>1</v>
      </c>
      <c r="B232" s="1" t="str">
        <v>Brasil</v>
      </c>
      <c r="C232" s="1" t="str">
        <v>2</v>
      </c>
      <c r="D232" s="1" t="str">
        <v>%</v>
      </c>
      <c r="E232" s="1" t="str">
        <v>-0.36</v>
      </c>
      <c r="F232" s="1" t="str">
        <v>1</v>
      </c>
      <c r="G232" s="1" t="str">
        <v>Brasil</v>
      </c>
      <c r="H232" s="1" t="str">
        <v>63</v>
      </c>
      <c r="I232" s="1" t="str">
        <v>IPCA - Variação mensal</v>
      </c>
      <c r="J232" s="1" t="str">
        <v>202207</v>
      </c>
      <c r="K232" s="1" t="str">
        <v>julho 2022</v>
      </c>
      <c r="L232" s="1" t="str">
        <v>7482</v>
      </c>
      <c r="M232" s="1" t="str">
        <v>2201004.Gás de botijão</v>
      </c>
      <c r="Q232" s="1" t="str">
        <f t="shared" si="9"/>
        <v>2201004.Gás de botijão</v>
      </c>
      <c r="R232" s="1" t="str">
        <f t="shared" si="10"/>
        <v>202207</v>
      </c>
      <c r="S232" s="1">
        <f t="shared" si="11"/>
        <v>-0.36</v>
      </c>
    </row>
    <row r="233" spans="1:19" x14ac:dyDescent="0.2">
      <c r="A233" s="1" t="str">
        <v>1</v>
      </c>
      <c r="B233" s="1" t="str">
        <v>Brasil</v>
      </c>
      <c r="C233" s="1" t="str">
        <v>2</v>
      </c>
      <c r="D233" s="1" t="str">
        <v>%</v>
      </c>
      <c r="E233" s="1" t="str">
        <v>0.00</v>
      </c>
      <c r="F233" s="1" t="str">
        <v>1</v>
      </c>
      <c r="G233" s="1" t="str">
        <v>Brasil</v>
      </c>
      <c r="H233" s="1" t="str">
        <v>63</v>
      </c>
      <c r="I233" s="1" t="str">
        <v>IPCA - Variação mensal</v>
      </c>
      <c r="J233" s="1" t="str">
        <v>202207</v>
      </c>
      <c r="K233" s="1" t="str">
        <v>julho 2022</v>
      </c>
      <c r="L233" s="1" t="str">
        <v>7483</v>
      </c>
      <c r="M233" s="1" t="str">
        <v>2201005.Gás encanado</v>
      </c>
      <c r="Q233" s="1" t="str">
        <f t="shared" si="9"/>
        <v>2201005.Gás encanado</v>
      </c>
      <c r="R233" s="1" t="str">
        <f t="shared" si="10"/>
        <v>202207</v>
      </c>
      <c r="S233" s="1">
        <f t="shared" si="11"/>
        <v>0</v>
      </c>
    </row>
    <row r="234" spans="1:19" x14ac:dyDescent="0.2">
      <c r="A234" s="1" t="str">
        <v>1</v>
      </c>
      <c r="B234" s="1" t="str">
        <v>Brasil</v>
      </c>
      <c r="C234" s="1" t="str">
        <v>2</v>
      </c>
      <c r="D234" s="1" t="str">
        <v>%</v>
      </c>
      <c r="E234" s="1" t="str">
        <v>-5.78</v>
      </c>
      <c r="F234" s="1" t="str">
        <v>1</v>
      </c>
      <c r="G234" s="1" t="str">
        <v>Brasil</v>
      </c>
      <c r="H234" s="1" t="str">
        <v>63</v>
      </c>
      <c r="I234" s="1" t="str">
        <v>IPCA - Variação mensal</v>
      </c>
      <c r="J234" s="1" t="str">
        <v>202207</v>
      </c>
      <c r="K234" s="1" t="str">
        <v>julho 2022</v>
      </c>
      <c r="L234" s="1" t="str">
        <v>7484</v>
      </c>
      <c r="M234" s="1" t="str">
        <v>2202.Energia elétrica residencial</v>
      </c>
      <c r="Q234" s="1" t="str">
        <f t="shared" si="9"/>
        <v>2202.Energia elétrica residencial</v>
      </c>
      <c r="R234" s="1" t="str">
        <f t="shared" si="10"/>
        <v>202207</v>
      </c>
      <c r="S234" s="1">
        <f t="shared" si="11"/>
        <v>-5.78</v>
      </c>
    </row>
    <row r="235" spans="1:19" x14ac:dyDescent="0.2">
      <c r="A235" s="1" t="str">
        <v>1</v>
      </c>
      <c r="B235" s="1" t="str">
        <v>Brasil</v>
      </c>
      <c r="C235" s="1" t="str">
        <v>2</v>
      </c>
      <c r="D235" s="1" t="str">
        <v>%</v>
      </c>
      <c r="E235" s="1" t="str">
        <v>-5.78</v>
      </c>
      <c r="F235" s="1" t="str">
        <v>1</v>
      </c>
      <c r="G235" s="1" t="str">
        <v>Brasil</v>
      </c>
      <c r="H235" s="1" t="str">
        <v>63</v>
      </c>
      <c r="I235" s="1" t="str">
        <v>IPCA - Variação mensal</v>
      </c>
      <c r="J235" s="1" t="str">
        <v>202207</v>
      </c>
      <c r="K235" s="1" t="str">
        <v>julho 2022</v>
      </c>
      <c r="L235" s="1" t="str">
        <v>7485</v>
      </c>
      <c r="M235" s="1" t="str">
        <v>2202003.Energia elétrica residencial</v>
      </c>
      <c r="Q235" s="1" t="str">
        <f t="shared" si="9"/>
        <v>2202003.Energia elétrica residencial</v>
      </c>
      <c r="R235" s="1" t="str">
        <f t="shared" si="10"/>
        <v>202207</v>
      </c>
      <c r="S235" s="1">
        <f t="shared" si="11"/>
        <v>-5.78</v>
      </c>
    </row>
    <row r="236" spans="1:19" x14ac:dyDescent="0.2">
      <c r="A236" s="1" t="str">
        <v>1</v>
      </c>
      <c r="B236" s="1" t="str">
        <v>Brasil</v>
      </c>
      <c r="C236" s="1" t="str">
        <v>2</v>
      </c>
      <c r="D236" s="1" t="str">
        <v>%</v>
      </c>
      <c r="E236" s="1" t="str">
        <v>0.12</v>
      </c>
      <c r="F236" s="1" t="str">
        <v>1</v>
      </c>
      <c r="G236" s="1" t="str">
        <v>Brasil</v>
      </c>
      <c r="H236" s="1" t="str">
        <v>63</v>
      </c>
      <c r="I236" s="1" t="str">
        <v>IPCA - Variação mensal</v>
      </c>
      <c r="J236" s="1" t="str">
        <v>202207</v>
      </c>
      <c r="K236" s="1" t="str">
        <v>julho 2022</v>
      </c>
      <c r="L236" s="1" t="str">
        <v>7486</v>
      </c>
      <c r="M236" s="1" t="str">
        <v>3.Artigos de residência</v>
      </c>
      <c r="Q236" s="1" t="str">
        <f t="shared" si="9"/>
        <v>3.Artigos de residência</v>
      </c>
      <c r="R236" s="1" t="str">
        <f t="shared" si="10"/>
        <v>202207</v>
      </c>
      <c r="S236" s="1">
        <f t="shared" si="11"/>
        <v>0.12</v>
      </c>
    </row>
    <row r="237" spans="1:19" x14ac:dyDescent="0.2">
      <c r="A237" s="1" t="str">
        <v>1</v>
      </c>
      <c r="B237" s="1" t="str">
        <v>Brasil</v>
      </c>
      <c r="C237" s="1" t="str">
        <v>2</v>
      </c>
      <c r="D237" s="1" t="str">
        <v>%</v>
      </c>
      <c r="E237" s="1" t="str">
        <v>0.60</v>
      </c>
      <c r="F237" s="1" t="str">
        <v>1</v>
      </c>
      <c r="G237" s="1" t="str">
        <v>Brasil</v>
      </c>
      <c r="H237" s="1" t="str">
        <v>63</v>
      </c>
      <c r="I237" s="1" t="str">
        <v>IPCA - Variação mensal</v>
      </c>
      <c r="J237" s="1" t="str">
        <v>202207</v>
      </c>
      <c r="K237" s="1" t="str">
        <v>julho 2022</v>
      </c>
      <c r="L237" s="1" t="str">
        <v>7487</v>
      </c>
      <c r="M237" s="1" t="str">
        <v>31.Móveis e utensílios</v>
      </c>
      <c r="Q237" s="1" t="str">
        <f t="shared" si="9"/>
        <v>31.Móveis e utensílios</v>
      </c>
      <c r="R237" s="1" t="str">
        <f t="shared" si="10"/>
        <v>202207</v>
      </c>
      <c r="S237" s="1">
        <f t="shared" si="11"/>
        <v>0.6</v>
      </c>
    </row>
    <row r="238" spans="1:19" x14ac:dyDescent="0.2">
      <c r="A238" s="1" t="str">
        <v>1</v>
      </c>
      <c r="B238" s="1" t="str">
        <v>Brasil</v>
      </c>
      <c r="C238" s="1" t="str">
        <v>2</v>
      </c>
      <c r="D238" s="1" t="str">
        <v>%</v>
      </c>
      <c r="E238" s="1" t="str">
        <v>1.10</v>
      </c>
      <c r="F238" s="1" t="str">
        <v>1</v>
      </c>
      <c r="G238" s="1" t="str">
        <v>Brasil</v>
      </c>
      <c r="H238" s="1" t="str">
        <v>63</v>
      </c>
      <c r="I238" s="1" t="str">
        <v>IPCA - Variação mensal</v>
      </c>
      <c r="J238" s="1" t="str">
        <v>202207</v>
      </c>
      <c r="K238" s="1" t="str">
        <v>julho 2022</v>
      </c>
      <c r="L238" s="1" t="str">
        <v>7488</v>
      </c>
      <c r="M238" s="1" t="str">
        <v>3101.Mobiliário</v>
      </c>
      <c r="Q238" s="1" t="str">
        <f t="shared" si="9"/>
        <v>3101.Mobiliário</v>
      </c>
      <c r="R238" s="1" t="str">
        <f t="shared" si="10"/>
        <v>202207</v>
      </c>
      <c r="S238" s="1">
        <f t="shared" si="11"/>
        <v>1.1000000000000001</v>
      </c>
    </row>
    <row r="239" spans="1:19" x14ac:dyDescent="0.2">
      <c r="A239" s="1" t="str">
        <v>1</v>
      </c>
      <c r="B239" s="1" t="str">
        <v>Brasil</v>
      </c>
      <c r="C239" s="1" t="str">
        <v>2</v>
      </c>
      <c r="D239" s="1" t="str">
        <v>%</v>
      </c>
      <c r="E239" s="1" t="str">
        <v>1.31</v>
      </c>
      <c r="F239" s="1" t="str">
        <v>1</v>
      </c>
      <c r="G239" s="1" t="str">
        <v>Brasil</v>
      </c>
      <c r="H239" s="1" t="str">
        <v>63</v>
      </c>
      <c r="I239" s="1" t="str">
        <v>IPCA - Variação mensal</v>
      </c>
      <c r="J239" s="1" t="str">
        <v>202207</v>
      </c>
      <c r="K239" s="1" t="str">
        <v>julho 2022</v>
      </c>
      <c r="L239" s="1" t="str">
        <v>7489</v>
      </c>
      <c r="M239" s="1" t="str">
        <v>3101002.Móvel para sala</v>
      </c>
      <c r="Q239" s="1" t="str">
        <f t="shared" si="9"/>
        <v>3101002.Móvel para sala</v>
      </c>
      <c r="R239" s="1" t="str">
        <f t="shared" si="10"/>
        <v>202207</v>
      </c>
      <c r="S239" s="1">
        <f t="shared" si="11"/>
        <v>1.31</v>
      </c>
    </row>
    <row r="240" spans="1:19" x14ac:dyDescent="0.2">
      <c r="A240" s="1" t="str">
        <v>1</v>
      </c>
      <c r="B240" s="1" t="str">
        <v>Brasil</v>
      </c>
      <c r="C240" s="1" t="str">
        <v>2</v>
      </c>
      <c r="D240" s="1" t="str">
        <v>%</v>
      </c>
      <c r="E240" s="1" t="str">
        <v>0.99</v>
      </c>
      <c r="F240" s="1" t="str">
        <v>1</v>
      </c>
      <c r="G240" s="1" t="str">
        <v>Brasil</v>
      </c>
      <c r="H240" s="1" t="str">
        <v>63</v>
      </c>
      <c r="I240" s="1" t="str">
        <v>IPCA - Variação mensal</v>
      </c>
      <c r="J240" s="1" t="str">
        <v>202207</v>
      </c>
      <c r="K240" s="1" t="str">
        <v>julho 2022</v>
      </c>
      <c r="L240" s="1" t="str">
        <v>7490</v>
      </c>
      <c r="M240" s="1" t="str">
        <v>3101003.Móvel para quarto</v>
      </c>
      <c r="Q240" s="1" t="str">
        <f t="shared" si="9"/>
        <v>3101003.Móvel para quarto</v>
      </c>
      <c r="R240" s="1" t="str">
        <f t="shared" si="10"/>
        <v>202207</v>
      </c>
      <c r="S240" s="1">
        <f t="shared" si="11"/>
        <v>0.99</v>
      </c>
    </row>
    <row r="241" spans="1:19" x14ac:dyDescent="0.2">
      <c r="A241" s="1" t="str">
        <v>1</v>
      </c>
      <c r="B241" s="1" t="str">
        <v>Brasil</v>
      </c>
      <c r="C241" s="1" t="str">
        <v>2</v>
      </c>
      <c r="D241" s="1" t="str">
        <v>%</v>
      </c>
      <c r="E241" s="1" t="str">
        <v>1.39</v>
      </c>
      <c r="F241" s="1" t="str">
        <v>1</v>
      </c>
      <c r="G241" s="1" t="str">
        <v>Brasil</v>
      </c>
      <c r="H241" s="1" t="str">
        <v>63</v>
      </c>
      <c r="I241" s="1" t="str">
        <v>IPCA - Variação mensal</v>
      </c>
      <c r="J241" s="1" t="str">
        <v>202207</v>
      </c>
      <c r="K241" s="1" t="str">
        <v>julho 2022</v>
      </c>
      <c r="L241" s="1" t="str">
        <v>7492</v>
      </c>
      <c r="M241" s="1" t="str">
        <v>3101015.Móvel para copa e cozinha</v>
      </c>
      <c r="Q241" s="1" t="str">
        <f t="shared" si="9"/>
        <v>3101015.Móvel para copa e cozinha</v>
      </c>
      <c r="R241" s="1" t="str">
        <f t="shared" si="10"/>
        <v>202207</v>
      </c>
      <c r="S241" s="1">
        <f t="shared" si="11"/>
        <v>1.39</v>
      </c>
    </row>
    <row r="242" spans="1:19" x14ac:dyDescent="0.2">
      <c r="A242" s="1" t="str">
        <v>1</v>
      </c>
      <c r="B242" s="1" t="str">
        <v>Brasil</v>
      </c>
      <c r="C242" s="1" t="str">
        <v>2</v>
      </c>
      <c r="D242" s="1" t="str">
        <v>%</v>
      </c>
      <c r="E242" s="1" t="str">
        <v>-0.15</v>
      </c>
      <c r="F242" s="1" t="str">
        <v>1</v>
      </c>
      <c r="G242" s="1" t="str">
        <v>Brasil</v>
      </c>
      <c r="H242" s="1" t="str">
        <v>63</v>
      </c>
      <c r="I242" s="1" t="str">
        <v>IPCA - Variação mensal</v>
      </c>
      <c r="J242" s="1" t="str">
        <v>202207</v>
      </c>
      <c r="K242" s="1" t="str">
        <v>julho 2022</v>
      </c>
      <c r="L242" s="1" t="str">
        <v>12401</v>
      </c>
      <c r="M242" s="1" t="str">
        <v>3101016.Móvel infantil</v>
      </c>
      <c r="Q242" s="1" t="str">
        <f t="shared" si="9"/>
        <v>3101016.Móvel infantil</v>
      </c>
      <c r="R242" s="1" t="str">
        <f t="shared" si="10"/>
        <v>202207</v>
      </c>
      <c r="S242" s="1">
        <f t="shared" si="11"/>
        <v>-0.15</v>
      </c>
    </row>
    <row r="243" spans="1:19" x14ac:dyDescent="0.2">
      <c r="A243" s="1" t="str">
        <v>1</v>
      </c>
      <c r="B243" s="1" t="str">
        <v>Brasil</v>
      </c>
      <c r="C243" s="1" t="str">
        <v>2</v>
      </c>
      <c r="D243" s="1" t="str">
        <v>%</v>
      </c>
      <c r="E243" s="1" t="str">
        <v>-1.63</v>
      </c>
      <c r="F243" s="1" t="str">
        <v>1</v>
      </c>
      <c r="G243" s="1" t="str">
        <v>Brasil</v>
      </c>
      <c r="H243" s="1" t="str">
        <v>63</v>
      </c>
      <c r="I243" s="1" t="str">
        <v>IPCA - Variação mensal</v>
      </c>
      <c r="J243" s="1" t="str">
        <v>202207</v>
      </c>
      <c r="K243" s="1" t="str">
        <v>julho 2022</v>
      </c>
      <c r="L243" s="1" t="str">
        <v>7493</v>
      </c>
      <c r="M243" s="1" t="str">
        <v>3101017.Colchão</v>
      </c>
      <c r="Q243" s="1" t="str">
        <f t="shared" si="9"/>
        <v>3101017.Colchão</v>
      </c>
      <c r="R243" s="1" t="str">
        <f t="shared" si="10"/>
        <v>202207</v>
      </c>
      <c r="S243" s="1">
        <f t="shared" si="11"/>
        <v>-1.63</v>
      </c>
    </row>
    <row r="244" spans="1:19" x14ac:dyDescent="0.2">
      <c r="A244" s="1" t="str">
        <v>1</v>
      </c>
      <c r="B244" s="1" t="str">
        <v>Brasil</v>
      </c>
      <c r="C244" s="1" t="str">
        <v>2</v>
      </c>
      <c r="D244" s="1" t="str">
        <v>%</v>
      </c>
      <c r="E244" s="1" t="str">
        <v>0.03</v>
      </c>
      <c r="F244" s="1" t="str">
        <v>1</v>
      </c>
      <c r="G244" s="1" t="str">
        <v>Brasil</v>
      </c>
      <c r="H244" s="1" t="str">
        <v>63</v>
      </c>
      <c r="I244" s="1" t="str">
        <v>IPCA - Variação mensal</v>
      </c>
      <c r="J244" s="1" t="str">
        <v>202207</v>
      </c>
      <c r="K244" s="1" t="str">
        <v>julho 2022</v>
      </c>
      <c r="L244" s="1" t="str">
        <v>7495</v>
      </c>
      <c r="M244" s="1" t="str">
        <v>3102.Utensílios e enfeites</v>
      </c>
      <c r="Q244" s="1" t="str">
        <f t="shared" si="9"/>
        <v>3102.Utensílios e enfeites</v>
      </c>
      <c r="R244" s="1" t="str">
        <f t="shared" si="10"/>
        <v>202207</v>
      </c>
      <c r="S244" s="1">
        <f t="shared" si="11"/>
        <v>0.03</v>
      </c>
    </row>
    <row r="245" spans="1:19" x14ac:dyDescent="0.2">
      <c r="A245" s="1" t="str">
        <v>1</v>
      </c>
      <c r="B245" s="1" t="str">
        <v>Brasil</v>
      </c>
      <c r="C245" s="1" t="str">
        <v>2</v>
      </c>
      <c r="D245" s="1" t="str">
        <v>%</v>
      </c>
      <c r="E245" s="1" t="str">
        <v>0.05</v>
      </c>
      <c r="F245" s="1" t="str">
        <v>1</v>
      </c>
      <c r="G245" s="1" t="str">
        <v>Brasil</v>
      </c>
      <c r="H245" s="1" t="str">
        <v>63</v>
      </c>
      <c r="I245" s="1" t="str">
        <v>IPCA - Variação mensal</v>
      </c>
      <c r="J245" s="1" t="str">
        <v>202207</v>
      </c>
      <c r="K245" s="1" t="str">
        <v>julho 2022</v>
      </c>
      <c r="L245" s="1" t="str">
        <v>47638</v>
      </c>
      <c r="M245" s="1" t="str">
        <v>3102001.Artigos de iluminação</v>
      </c>
      <c r="Q245" s="1" t="str">
        <f t="shared" si="9"/>
        <v>3102001.Artigos de iluminação</v>
      </c>
      <c r="R245" s="1" t="str">
        <f t="shared" si="10"/>
        <v>202207</v>
      </c>
      <c r="S245" s="1">
        <f t="shared" si="11"/>
        <v>0.05</v>
      </c>
    </row>
    <row r="246" spans="1:19" x14ac:dyDescent="0.2">
      <c r="A246" s="1" t="str">
        <v>1</v>
      </c>
      <c r="B246" s="1" t="str">
        <v>Brasil</v>
      </c>
      <c r="C246" s="1" t="str">
        <v>2</v>
      </c>
      <c r="D246" s="1" t="str">
        <v>%</v>
      </c>
      <c r="E246" s="1" t="str">
        <v>0.50</v>
      </c>
      <c r="F246" s="1" t="str">
        <v>1</v>
      </c>
      <c r="G246" s="1" t="str">
        <v>Brasil</v>
      </c>
      <c r="H246" s="1" t="str">
        <v>63</v>
      </c>
      <c r="I246" s="1" t="str">
        <v>IPCA - Variação mensal</v>
      </c>
      <c r="J246" s="1" t="str">
        <v>202207</v>
      </c>
      <c r="K246" s="1" t="str">
        <v>julho 2022</v>
      </c>
      <c r="L246" s="1" t="str">
        <v>7497</v>
      </c>
      <c r="M246" s="1" t="str">
        <v>3102005.Tapete</v>
      </c>
      <c r="Q246" s="1" t="str">
        <f t="shared" si="9"/>
        <v>3102005.Tapete</v>
      </c>
      <c r="R246" s="1" t="str">
        <f t="shared" si="10"/>
        <v>202207</v>
      </c>
      <c r="S246" s="1">
        <f t="shared" si="11"/>
        <v>0.5</v>
      </c>
    </row>
    <row r="247" spans="1:19" x14ac:dyDescent="0.2">
      <c r="A247" s="1" t="str">
        <v>1</v>
      </c>
      <c r="B247" s="1" t="str">
        <v>Brasil</v>
      </c>
      <c r="C247" s="1" t="str">
        <v>2</v>
      </c>
      <c r="D247" s="1" t="str">
        <v>%</v>
      </c>
      <c r="E247" s="1" t="str">
        <v>0.66</v>
      </c>
      <c r="F247" s="1" t="str">
        <v>1</v>
      </c>
      <c r="G247" s="1" t="str">
        <v>Brasil</v>
      </c>
      <c r="H247" s="1" t="str">
        <v>63</v>
      </c>
      <c r="I247" s="1" t="str">
        <v>IPCA - Variação mensal</v>
      </c>
      <c r="J247" s="1" t="str">
        <v>202207</v>
      </c>
      <c r="K247" s="1" t="str">
        <v>julho 2022</v>
      </c>
      <c r="L247" s="1" t="str">
        <v>7498</v>
      </c>
      <c r="M247" s="1" t="str">
        <v>3102006.Cortina</v>
      </c>
      <c r="Q247" s="1" t="str">
        <f t="shared" si="9"/>
        <v>3102006.Cortina</v>
      </c>
      <c r="R247" s="1" t="str">
        <f t="shared" si="10"/>
        <v>202207</v>
      </c>
      <c r="S247" s="1">
        <f t="shared" si="11"/>
        <v>0.66</v>
      </c>
    </row>
    <row r="248" spans="1:19" x14ac:dyDescent="0.2">
      <c r="A248" s="1" t="str">
        <v>1</v>
      </c>
      <c r="B248" s="1" t="str">
        <v>Brasil</v>
      </c>
      <c r="C248" s="1" t="str">
        <v>2</v>
      </c>
      <c r="D248" s="1" t="str">
        <v>%</v>
      </c>
      <c r="E248" s="1" t="str">
        <v>-0.40</v>
      </c>
      <c r="F248" s="1" t="str">
        <v>1</v>
      </c>
      <c r="G248" s="1" t="str">
        <v>Brasil</v>
      </c>
      <c r="H248" s="1" t="str">
        <v>63</v>
      </c>
      <c r="I248" s="1" t="str">
        <v>IPCA - Variação mensal</v>
      </c>
      <c r="J248" s="1" t="str">
        <v>202207</v>
      </c>
      <c r="K248" s="1" t="str">
        <v>julho 2022</v>
      </c>
      <c r="L248" s="1" t="str">
        <v>12402</v>
      </c>
      <c r="M248" s="1" t="str">
        <v>3102007.Utensílios de metal</v>
      </c>
      <c r="Q248" s="1" t="str">
        <f t="shared" si="9"/>
        <v>3102007.Utensílios de metal</v>
      </c>
      <c r="R248" s="1" t="str">
        <f t="shared" si="10"/>
        <v>202207</v>
      </c>
      <c r="S248" s="1">
        <f t="shared" si="11"/>
        <v>-0.4</v>
      </c>
    </row>
    <row r="249" spans="1:19" x14ac:dyDescent="0.2">
      <c r="A249" s="1" t="str">
        <v>1</v>
      </c>
      <c r="B249" s="1" t="str">
        <v>Brasil</v>
      </c>
      <c r="C249" s="1" t="str">
        <v>2</v>
      </c>
      <c r="D249" s="1" t="str">
        <v>%</v>
      </c>
      <c r="E249" s="1" t="str">
        <v>1.24</v>
      </c>
      <c r="F249" s="1" t="str">
        <v>1</v>
      </c>
      <c r="G249" s="1" t="str">
        <v>Brasil</v>
      </c>
      <c r="H249" s="1" t="str">
        <v>63</v>
      </c>
      <c r="I249" s="1" t="str">
        <v>IPCA - Variação mensal</v>
      </c>
      <c r="J249" s="1" t="str">
        <v>202207</v>
      </c>
      <c r="K249" s="1" t="str">
        <v>julho 2022</v>
      </c>
      <c r="L249" s="1" t="str">
        <v>12403</v>
      </c>
      <c r="M249" s="1" t="str">
        <v>3102009.Utensílios de vidro e louça</v>
      </c>
      <c r="Q249" s="1" t="str">
        <f t="shared" si="9"/>
        <v>3102009.Utensílios de vidro e louça</v>
      </c>
      <c r="R249" s="1" t="str">
        <f t="shared" si="10"/>
        <v>202207</v>
      </c>
      <c r="S249" s="1">
        <f t="shared" si="11"/>
        <v>1.24</v>
      </c>
    </row>
    <row r="250" spans="1:19" x14ac:dyDescent="0.2">
      <c r="A250" s="1" t="str">
        <v>1</v>
      </c>
      <c r="B250" s="1" t="str">
        <v>Brasil</v>
      </c>
      <c r="C250" s="1" t="str">
        <v>2</v>
      </c>
      <c r="D250" s="1" t="str">
        <v>%</v>
      </c>
      <c r="E250" s="1" t="str">
        <v>-0.60</v>
      </c>
      <c r="F250" s="1" t="str">
        <v>1</v>
      </c>
      <c r="G250" s="1" t="str">
        <v>Brasil</v>
      </c>
      <c r="H250" s="1" t="str">
        <v>63</v>
      </c>
      <c r="I250" s="1" t="str">
        <v>IPCA - Variação mensal</v>
      </c>
      <c r="J250" s="1" t="str">
        <v>202207</v>
      </c>
      <c r="K250" s="1" t="str">
        <v>julho 2022</v>
      </c>
      <c r="L250" s="1" t="str">
        <v>107645</v>
      </c>
      <c r="M250" s="1" t="str">
        <v>3102010.Utensílios de plástico</v>
      </c>
      <c r="Q250" s="1" t="str">
        <f t="shared" si="9"/>
        <v>3102010.Utensílios de plástico</v>
      </c>
      <c r="R250" s="1" t="str">
        <f t="shared" si="10"/>
        <v>202207</v>
      </c>
      <c r="S250" s="1">
        <f t="shared" si="11"/>
        <v>-0.6</v>
      </c>
    </row>
    <row r="251" spans="1:19" x14ac:dyDescent="0.2">
      <c r="A251" s="1" t="str">
        <v>1</v>
      </c>
      <c r="B251" s="1" t="str">
        <v>Brasil</v>
      </c>
      <c r="C251" s="1" t="str">
        <v>2</v>
      </c>
      <c r="D251" s="1" t="str">
        <v>%</v>
      </c>
      <c r="E251" s="1" t="str">
        <v>-9.48</v>
      </c>
      <c r="F251" s="1" t="str">
        <v>1</v>
      </c>
      <c r="G251" s="1" t="str">
        <v>Brasil</v>
      </c>
      <c r="H251" s="1" t="str">
        <v>63</v>
      </c>
      <c r="I251" s="1" t="str">
        <v>IPCA - Variação mensal</v>
      </c>
      <c r="J251" s="1" t="str">
        <v>202207</v>
      </c>
      <c r="K251" s="1" t="str">
        <v>julho 2022</v>
      </c>
      <c r="L251" s="1" t="str">
        <v>7508</v>
      </c>
      <c r="M251" s="1" t="str">
        <v>3102035.Flores naturais</v>
      </c>
      <c r="Q251" s="1" t="str">
        <f t="shared" si="9"/>
        <v>3102035.Flores naturais</v>
      </c>
      <c r="R251" s="1" t="str">
        <f t="shared" si="10"/>
        <v>202207</v>
      </c>
      <c r="S251" s="1">
        <f t="shared" si="11"/>
        <v>-9.48</v>
      </c>
    </row>
    <row r="252" spans="1:19" x14ac:dyDescent="0.2">
      <c r="A252" s="1" t="str">
        <v>1</v>
      </c>
      <c r="B252" s="1" t="str">
        <v>Brasil</v>
      </c>
      <c r="C252" s="1" t="str">
        <v>2</v>
      </c>
      <c r="D252" s="1" t="str">
        <v>%</v>
      </c>
      <c r="E252" s="1" t="str">
        <v>0.07</v>
      </c>
      <c r="F252" s="1" t="str">
        <v>1</v>
      </c>
      <c r="G252" s="1" t="str">
        <v>Brasil</v>
      </c>
      <c r="H252" s="1" t="str">
        <v>63</v>
      </c>
      <c r="I252" s="1" t="str">
        <v>IPCA - Variação mensal</v>
      </c>
      <c r="J252" s="1" t="str">
        <v>202207</v>
      </c>
      <c r="K252" s="1" t="str">
        <v>julho 2022</v>
      </c>
      <c r="L252" s="1" t="str">
        <v>47639</v>
      </c>
      <c r="M252" s="1" t="str">
        <v>3102337.Utensílios para bebê</v>
      </c>
      <c r="Q252" s="1" t="str">
        <f t="shared" si="9"/>
        <v>3102337.Utensílios para bebê</v>
      </c>
      <c r="R252" s="1" t="str">
        <f t="shared" si="10"/>
        <v>202207</v>
      </c>
      <c r="S252" s="1">
        <f t="shared" si="11"/>
        <v>7.0000000000000007E-2</v>
      </c>
    </row>
    <row r="253" spans="1:19" x14ac:dyDescent="0.2">
      <c r="A253" s="1" t="str">
        <v>1</v>
      </c>
      <c r="B253" s="1" t="str">
        <v>Brasil</v>
      </c>
      <c r="C253" s="1" t="str">
        <v>2</v>
      </c>
      <c r="D253" s="1" t="str">
        <v>%</v>
      </c>
      <c r="E253" s="1" t="str">
        <v>-0.98</v>
      </c>
      <c r="F253" s="1" t="str">
        <v>1</v>
      </c>
      <c r="G253" s="1" t="str">
        <v>Brasil</v>
      </c>
      <c r="H253" s="1" t="str">
        <v>63</v>
      </c>
      <c r="I253" s="1" t="str">
        <v>IPCA - Variação mensal</v>
      </c>
      <c r="J253" s="1" t="str">
        <v>202207</v>
      </c>
      <c r="K253" s="1" t="str">
        <v>julho 2022</v>
      </c>
      <c r="L253" s="1" t="str">
        <v>7517</v>
      </c>
      <c r="M253" s="1" t="str">
        <v>3103.Cama, mesa e banho</v>
      </c>
      <c r="Q253" s="1" t="str">
        <f t="shared" si="9"/>
        <v>3103.Cama, mesa e banho</v>
      </c>
      <c r="R253" s="1" t="str">
        <f t="shared" si="10"/>
        <v>202207</v>
      </c>
      <c r="S253" s="1">
        <f t="shared" si="11"/>
        <v>-0.98</v>
      </c>
    </row>
    <row r="254" spans="1:19" x14ac:dyDescent="0.2">
      <c r="A254" s="1" t="str">
        <v>1</v>
      </c>
      <c r="B254" s="1" t="str">
        <v>Brasil</v>
      </c>
      <c r="C254" s="1" t="str">
        <v>2</v>
      </c>
      <c r="D254" s="1" t="str">
        <v>%</v>
      </c>
      <c r="E254" s="1" t="str">
        <v>-0.95</v>
      </c>
      <c r="F254" s="1" t="str">
        <v>1</v>
      </c>
      <c r="G254" s="1" t="str">
        <v>Brasil</v>
      </c>
      <c r="H254" s="1" t="str">
        <v>63</v>
      </c>
      <c r="I254" s="1" t="str">
        <v>IPCA - Variação mensal</v>
      </c>
      <c r="J254" s="1" t="str">
        <v>202207</v>
      </c>
      <c r="K254" s="1" t="str">
        <v>julho 2022</v>
      </c>
      <c r="L254" s="1" t="str">
        <v>7518</v>
      </c>
      <c r="M254" s="1" t="str">
        <v>3103001.Roupa de cama</v>
      </c>
      <c r="Q254" s="1" t="str">
        <f t="shared" si="9"/>
        <v>3103001.Roupa de cama</v>
      </c>
      <c r="R254" s="1" t="str">
        <f t="shared" si="10"/>
        <v>202207</v>
      </c>
      <c r="S254" s="1">
        <f t="shared" si="11"/>
        <v>-0.95</v>
      </c>
    </row>
    <row r="255" spans="1:19" x14ac:dyDescent="0.2">
      <c r="A255" s="1" t="str">
        <v>1</v>
      </c>
      <c r="B255" s="1" t="str">
        <v>Brasil</v>
      </c>
      <c r="C255" s="1" t="str">
        <v>2</v>
      </c>
      <c r="D255" s="1" t="str">
        <v>%</v>
      </c>
      <c r="E255" s="1" t="str">
        <v>-1.95</v>
      </c>
      <c r="F255" s="1" t="str">
        <v>1</v>
      </c>
      <c r="G255" s="1" t="str">
        <v>Brasil</v>
      </c>
      <c r="H255" s="1" t="str">
        <v>63</v>
      </c>
      <c r="I255" s="1" t="str">
        <v>IPCA - Variação mensal</v>
      </c>
      <c r="J255" s="1" t="str">
        <v>202207</v>
      </c>
      <c r="K255" s="1" t="str">
        <v>julho 2022</v>
      </c>
      <c r="L255" s="1" t="str">
        <v>7520</v>
      </c>
      <c r="M255" s="1" t="str">
        <v>3103003.Roupa de banho</v>
      </c>
      <c r="Q255" s="1" t="str">
        <f t="shared" si="9"/>
        <v>3103003.Roupa de banho</v>
      </c>
      <c r="R255" s="1" t="str">
        <f t="shared" si="10"/>
        <v>202207</v>
      </c>
      <c r="S255" s="1">
        <f t="shared" si="11"/>
        <v>-1.95</v>
      </c>
    </row>
    <row r="256" spans="1:19" x14ac:dyDescent="0.2">
      <c r="A256" s="1" t="str">
        <v>1</v>
      </c>
      <c r="B256" s="1" t="str">
        <v>Brasil</v>
      </c>
      <c r="C256" s="1" t="str">
        <v>2</v>
      </c>
      <c r="D256" s="1" t="str">
        <v>%</v>
      </c>
      <c r="E256" s="1" t="str">
        <v>-0.56</v>
      </c>
      <c r="F256" s="1" t="str">
        <v>1</v>
      </c>
      <c r="G256" s="1" t="str">
        <v>Brasil</v>
      </c>
      <c r="H256" s="1" t="str">
        <v>63</v>
      </c>
      <c r="I256" s="1" t="str">
        <v>IPCA - Variação mensal</v>
      </c>
      <c r="J256" s="1" t="str">
        <v>202207</v>
      </c>
      <c r="K256" s="1" t="str">
        <v>julho 2022</v>
      </c>
      <c r="L256" s="1" t="str">
        <v>7521</v>
      </c>
      <c r="M256" s="1" t="str">
        <v>32.Aparelhos eletroeletrônicos</v>
      </c>
      <c r="Q256" s="1" t="str">
        <f t="shared" si="9"/>
        <v>32.Aparelhos eletroeletrônicos</v>
      </c>
      <c r="R256" s="1" t="str">
        <f t="shared" si="10"/>
        <v>202207</v>
      </c>
      <c r="S256" s="1">
        <f t="shared" si="11"/>
        <v>-0.56000000000000005</v>
      </c>
    </row>
    <row r="257" spans="1:19" x14ac:dyDescent="0.2">
      <c r="A257" s="1" t="str">
        <v>1</v>
      </c>
      <c r="B257" s="1" t="str">
        <v>Brasil</v>
      </c>
      <c r="C257" s="1" t="str">
        <v>2</v>
      </c>
      <c r="D257" s="1" t="str">
        <v>%</v>
      </c>
      <c r="E257" s="1" t="str">
        <v>0.25</v>
      </c>
      <c r="F257" s="1" t="str">
        <v>1</v>
      </c>
      <c r="G257" s="1" t="str">
        <v>Brasil</v>
      </c>
      <c r="H257" s="1" t="str">
        <v>63</v>
      </c>
      <c r="I257" s="1" t="str">
        <v>IPCA - Variação mensal</v>
      </c>
      <c r="J257" s="1" t="str">
        <v>202207</v>
      </c>
      <c r="K257" s="1" t="str">
        <v>julho 2022</v>
      </c>
      <c r="L257" s="1" t="str">
        <v>7522</v>
      </c>
      <c r="M257" s="1" t="str">
        <v>3201.Eletrodomésticos e equipamentos</v>
      </c>
      <c r="Q257" s="1" t="str">
        <f t="shared" si="9"/>
        <v>3201.Eletrodomésticos e equipamentos</v>
      </c>
      <c r="R257" s="1" t="str">
        <f t="shared" si="10"/>
        <v>202207</v>
      </c>
      <c r="S257" s="1">
        <f t="shared" si="11"/>
        <v>0.25</v>
      </c>
    </row>
    <row r="258" spans="1:19" x14ac:dyDescent="0.2">
      <c r="A258" s="1" t="str">
        <v>1</v>
      </c>
      <c r="B258" s="1" t="str">
        <v>Brasil</v>
      </c>
      <c r="C258" s="1" t="str">
        <v>2</v>
      </c>
      <c r="D258" s="1" t="str">
        <v>%</v>
      </c>
      <c r="E258" s="1" t="str">
        <v>0.67</v>
      </c>
      <c r="F258" s="1" t="str">
        <v>1</v>
      </c>
      <c r="G258" s="1" t="str">
        <v>Brasil</v>
      </c>
      <c r="H258" s="1" t="str">
        <v>63</v>
      </c>
      <c r="I258" s="1" t="str">
        <v>IPCA - Variação mensal</v>
      </c>
      <c r="J258" s="1" t="str">
        <v>202207</v>
      </c>
      <c r="K258" s="1" t="str">
        <v>julho 2022</v>
      </c>
      <c r="L258" s="1" t="str">
        <v>7523</v>
      </c>
      <c r="M258" s="1" t="str">
        <v>3201001.Refrigerador</v>
      </c>
      <c r="Q258" s="1" t="str">
        <f t="shared" si="9"/>
        <v>3201001.Refrigerador</v>
      </c>
      <c r="R258" s="1" t="str">
        <f t="shared" si="10"/>
        <v>202207</v>
      </c>
      <c r="S258" s="1">
        <f t="shared" si="11"/>
        <v>0.67</v>
      </c>
    </row>
    <row r="259" spans="1:19" x14ac:dyDescent="0.2">
      <c r="A259" s="1" t="str">
        <v>1</v>
      </c>
      <c r="B259" s="1" t="str">
        <v>Brasil</v>
      </c>
      <c r="C259" s="1" t="str">
        <v>2</v>
      </c>
      <c r="D259" s="1" t="str">
        <v>%</v>
      </c>
      <c r="E259" s="1" t="str">
        <v>0.27</v>
      </c>
      <c r="F259" s="1" t="str">
        <v>1</v>
      </c>
      <c r="G259" s="1" t="str">
        <v>Brasil</v>
      </c>
      <c r="H259" s="1" t="str">
        <v>63</v>
      </c>
      <c r="I259" s="1" t="str">
        <v>IPCA - Variação mensal</v>
      </c>
      <c r="J259" s="1" t="str">
        <v>202207</v>
      </c>
      <c r="K259" s="1" t="str">
        <v>julho 2022</v>
      </c>
      <c r="L259" s="1" t="str">
        <v>12434</v>
      </c>
      <c r="M259" s="1" t="str">
        <v>3201002.Ar-condicionado</v>
      </c>
      <c r="Q259" s="1" t="str">
        <f t="shared" si="9"/>
        <v>3201002.Ar-condicionado</v>
      </c>
      <c r="R259" s="1" t="str">
        <f t="shared" si="10"/>
        <v>202207</v>
      </c>
      <c r="S259" s="1">
        <f t="shared" si="11"/>
        <v>0.27</v>
      </c>
    </row>
    <row r="260" spans="1:19" x14ac:dyDescent="0.2">
      <c r="A260" s="1" t="str">
        <v>1</v>
      </c>
      <c r="B260" s="1" t="str">
        <v>Brasil</v>
      </c>
      <c r="C260" s="1" t="str">
        <v>2</v>
      </c>
      <c r="D260" s="1" t="str">
        <v>%</v>
      </c>
      <c r="E260" s="1" t="str">
        <v>-0.31</v>
      </c>
      <c r="F260" s="1" t="str">
        <v>1</v>
      </c>
      <c r="G260" s="1" t="str">
        <v>Brasil</v>
      </c>
      <c r="H260" s="1" t="str">
        <v>63</v>
      </c>
      <c r="I260" s="1" t="str">
        <v>IPCA - Variação mensal</v>
      </c>
      <c r="J260" s="1" t="str">
        <v>202207</v>
      </c>
      <c r="K260" s="1" t="str">
        <v>julho 2022</v>
      </c>
      <c r="L260" s="1" t="str">
        <v>7526</v>
      </c>
      <c r="M260" s="1" t="str">
        <v>3201006.Máquina de lavar roupa</v>
      </c>
      <c r="Q260" s="1" t="str">
        <f t="shared" si="9"/>
        <v>3201006.Máquina de lavar roupa</v>
      </c>
      <c r="R260" s="1" t="str">
        <f t="shared" si="10"/>
        <v>202207</v>
      </c>
      <c r="S260" s="1">
        <f t="shared" si="11"/>
        <v>-0.31</v>
      </c>
    </row>
    <row r="261" spans="1:19" x14ac:dyDescent="0.2">
      <c r="A261" s="1" t="str">
        <v>1</v>
      </c>
      <c r="B261" s="1" t="str">
        <v>Brasil</v>
      </c>
      <c r="C261" s="1" t="str">
        <v>2</v>
      </c>
      <c r="D261" s="1" t="str">
        <v>%</v>
      </c>
      <c r="E261" s="1" t="str">
        <v>1.77</v>
      </c>
      <c r="F261" s="1" t="str">
        <v>1</v>
      </c>
      <c r="G261" s="1" t="str">
        <v>Brasil</v>
      </c>
      <c r="H261" s="1" t="str">
        <v>63</v>
      </c>
      <c r="I261" s="1" t="str">
        <v>IPCA - Variação mensal</v>
      </c>
      <c r="J261" s="1" t="str">
        <v>202207</v>
      </c>
      <c r="K261" s="1" t="str">
        <v>julho 2022</v>
      </c>
      <c r="L261" s="1" t="str">
        <v>7530</v>
      </c>
      <c r="M261" s="1" t="str">
        <v>3201013.Ventilador</v>
      </c>
      <c r="Q261" s="1" t="str">
        <f t="shared" si="9"/>
        <v>3201013.Ventilador</v>
      </c>
      <c r="R261" s="1" t="str">
        <f t="shared" si="10"/>
        <v>202207</v>
      </c>
      <c r="S261" s="1">
        <f t="shared" si="11"/>
        <v>1.77</v>
      </c>
    </row>
    <row r="262" spans="1:19" x14ac:dyDescent="0.2">
      <c r="A262" s="1" t="str">
        <v>1</v>
      </c>
      <c r="B262" s="1" t="str">
        <v>Brasil</v>
      </c>
      <c r="C262" s="1" t="str">
        <v>2</v>
      </c>
      <c r="D262" s="1" t="str">
        <v>%</v>
      </c>
      <c r="E262" s="1" t="str">
        <v>-0.03</v>
      </c>
      <c r="F262" s="1" t="str">
        <v>1</v>
      </c>
      <c r="G262" s="1" t="str">
        <v>Brasil</v>
      </c>
      <c r="H262" s="1" t="str">
        <v>63</v>
      </c>
      <c r="I262" s="1" t="str">
        <v>IPCA - Variação mensal</v>
      </c>
      <c r="J262" s="1" t="str">
        <v>202207</v>
      </c>
      <c r="K262" s="1" t="str">
        <v>julho 2022</v>
      </c>
      <c r="L262" s="1" t="str">
        <v>7531</v>
      </c>
      <c r="M262" s="1" t="str">
        <v>3201021.Fogão</v>
      </c>
      <c r="Q262" s="1" t="str">
        <f t="shared" si="9"/>
        <v>3201021.Fogão</v>
      </c>
      <c r="R262" s="1" t="str">
        <f t="shared" si="10"/>
        <v>202207</v>
      </c>
      <c r="S262" s="1">
        <f t="shared" si="11"/>
        <v>-0.03</v>
      </c>
    </row>
    <row r="263" spans="1:19" x14ac:dyDescent="0.2">
      <c r="A263" s="1" t="str">
        <v>1</v>
      </c>
      <c r="B263" s="1" t="str">
        <v>Brasil</v>
      </c>
      <c r="C263" s="1" t="str">
        <v>2</v>
      </c>
      <c r="D263" s="1" t="str">
        <v>%</v>
      </c>
      <c r="E263" s="1" t="str">
        <v>1.14</v>
      </c>
      <c r="F263" s="1" t="str">
        <v>1</v>
      </c>
      <c r="G263" s="1" t="str">
        <v>Brasil</v>
      </c>
      <c r="H263" s="1" t="str">
        <v>63</v>
      </c>
      <c r="I263" s="1" t="str">
        <v>IPCA - Variação mensal</v>
      </c>
      <c r="J263" s="1" t="str">
        <v>202207</v>
      </c>
      <c r="K263" s="1" t="str">
        <v>julho 2022</v>
      </c>
      <c r="L263" s="1" t="str">
        <v>7539</v>
      </c>
      <c r="M263" s="1" t="str">
        <v>3201050.Chuveiro elétrico</v>
      </c>
      <c r="Q263" s="1" t="str">
        <f t="shared" ref="Q263:Q326" si="12">M263</f>
        <v>3201050.Chuveiro elétrico</v>
      </c>
      <c r="R263" s="1" t="str">
        <f t="shared" ref="R263:R326" si="13">J263</f>
        <v>202207</v>
      </c>
      <c r="S263" s="1">
        <f t="shared" ref="S263:S326" si="14">IFERROR(_xlfn.NUMBERVALUE(E263,".",","), "")</f>
        <v>1.1399999999999999</v>
      </c>
    </row>
    <row r="264" spans="1:19" x14ac:dyDescent="0.2">
      <c r="A264" s="1" t="str">
        <v>1</v>
      </c>
      <c r="B264" s="1" t="str">
        <v>Brasil</v>
      </c>
      <c r="C264" s="1" t="str">
        <v>2</v>
      </c>
      <c r="D264" s="1" t="str">
        <v>%</v>
      </c>
      <c r="E264" s="1" t="str">
        <v>-1.51</v>
      </c>
      <c r="F264" s="1" t="str">
        <v>1</v>
      </c>
      <c r="G264" s="1" t="str">
        <v>Brasil</v>
      </c>
      <c r="H264" s="1" t="str">
        <v>63</v>
      </c>
      <c r="I264" s="1" t="str">
        <v>IPCA - Variação mensal</v>
      </c>
      <c r="J264" s="1" t="str">
        <v>202207</v>
      </c>
      <c r="K264" s="1" t="str">
        <v>julho 2022</v>
      </c>
      <c r="L264" s="1" t="str">
        <v>7541</v>
      </c>
      <c r="M264" s="1" t="str">
        <v>3202.Tv, som e informática</v>
      </c>
      <c r="Q264" s="1" t="str">
        <f t="shared" si="12"/>
        <v>3202.Tv, som e informática</v>
      </c>
      <c r="R264" s="1" t="str">
        <f t="shared" si="13"/>
        <v>202207</v>
      </c>
      <c r="S264" s="1">
        <f t="shared" si="14"/>
        <v>-1.51</v>
      </c>
    </row>
    <row r="265" spans="1:19" x14ac:dyDescent="0.2">
      <c r="A265" s="1" t="str">
        <v>1</v>
      </c>
      <c r="B265" s="1" t="str">
        <v>Brasil</v>
      </c>
      <c r="C265" s="1" t="str">
        <v>2</v>
      </c>
      <c r="D265" s="1" t="str">
        <v>%</v>
      </c>
      <c r="E265" s="1" t="str">
        <v>-0.84</v>
      </c>
      <c r="F265" s="1" t="str">
        <v>1</v>
      </c>
      <c r="G265" s="1" t="str">
        <v>Brasil</v>
      </c>
      <c r="H265" s="1" t="str">
        <v>63</v>
      </c>
      <c r="I265" s="1" t="str">
        <v>IPCA - Variação mensal</v>
      </c>
      <c r="J265" s="1" t="str">
        <v>202207</v>
      </c>
      <c r="K265" s="1" t="str">
        <v>julho 2022</v>
      </c>
      <c r="L265" s="1" t="str">
        <v>7542</v>
      </c>
      <c r="M265" s="1" t="str">
        <v>3202001.Televisor</v>
      </c>
      <c r="Q265" s="1" t="str">
        <f t="shared" si="12"/>
        <v>3202001.Televisor</v>
      </c>
      <c r="R265" s="1" t="str">
        <f t="shared" si="13"/>
        <v>202207</v>
      </c>
      <c r="S265" s="1">
        <f t="shared" si="14"/>
        <v>-0.84</v>
      </c>
    </row>
    <row r="266" spans="1:19" x14ac:dyDescent="0.2">
      <c r="A266" s="1" t="str">
        <v>1</v>
      </c>
      <c r="B266" s="1" t="str">
        <v>Brasil</v>
      </c>
      <c r="C266" s="1" t="str">
        <v>2</v>
      </c>
      <c r="D266" s="1" t="str">
        <v>%</v>
      </c>
      <c r="E266" s="1" t="str">
        <v>-1.04</v>
      </c>
      <c r="F266" s="1" t="str">
        <v>1</v>
      </c>
      <c r="G266" s="1" t="str">
        <v>Brasil</v>
      </c>
      <c r="H266" s="1" t="str">
        <v>63</v>
      </c>
      <c r="I266" s="1" t="str">
        <v>IPCA - Variação mensal</v>
      </c>
      <c r="J266" s="1" t="str">
        <v>202207</v>
      </c>
      <c r="K266" s="1" t="str">
        <v>julho 2022</v>
      </c>
      <c r="L266" s="1" t="str">
        <v>7543</v>
      </c>
      <c r="M266" s="1" t="str">
        <v>3202003.Aparelho de som</v>
      </c>
      <c r="Q266" s="1" t="str">
        <f t="shared" si="12"/>
        <v>3202003.Aparelho de som</v>
      </c>
      <c r="R266" s="1" t="str">
        <f t="shared" si="13"/>
        <v>202207</v>
      </c>
      <c r="S266" s="1">
        <f t="shared" si="14"/>
        <v>-1.04</v>
      </c>
    </row>
    <row r="267" spans="1:19" x14ac:dyDescent="0.2">
      <c r="A267" s="1" t="str">
        <v>1</v>
      </c>
      <c r="B267" s="1" t="str">
        <v>Brasil</v>
      </c>
      <c r="C267" s="1" t="str">
        <v>2</v>
      </c>
      <c r="D267" s="1" t="str">
        <v>%</v>
      </c>
      <c r="E267" s="1" t="str">
        <v>-2.28</v>
      </c>
      <c r="F267" s="1" t="str">
        <v>1</v>
      </c>
      <c r="G267" s="1" t="str">
        <v>Brasil</v>
      </c>
      <c r="H267" s="1" t="str">
        <v>63</v>
      </c>
      <c r="I267" s="1" t="str">
        <v>IPCA - Variação mensal</v>
      </c>
      <c r="J267" s="1" t="str">
        <v>202207</v>
      </c>
      <c r="K267" s="1" t="str">
        <v>julho 2022</v>
      </c>
      <c r="L267" s="1" t="str">
        <v>47640</v>
      </c>
      <c r="M267" s="1" t="str">
        <v>3202008.Videogame (console)</v>
      </c>
      <c r="Q267" s="1" t="str">
        <f t="shared" si="12"/>
        <v>3202008.Videogame (console)</v>
      </c>
      <c r="R267" s="1" t="str">
        <f t="shared" si="13"/>
        <v>202207</v>
      </c>
      <c r="S267" s="1">
        <f t="shared" si="14"/>
        <v>-2.2799999999999998</v>
      </c>
    </row>
    <row r="268" spans="1:19" x14ac:dyDescent="0.2">
      <c r="A268" s="1" t="str">
        <v>1</v>
      </c>
      <c r="B268" s="1" t="str">
        <v>Brasil</v>
      </c>
      <c r="C268" s="1" t="str">
        <v>2</v>
      </c>
      <c r="D268" s="1" t="str">
        <v>%</v>
      </c>
      <c r="E268" s="1" t="str">
        <v>-2.63</v>
      </c>
      <c r="F268" s="1" t="str">
        <v>1</v>
      </c>
      <c r="G268" s="1" t="str">
        <v>Brasil</v>
      </c>
      <c r="H268" s="1" t="str">
        <v>63</v>
      </c>
      <c r="I268" s="1" t="str">
        <v>IPCA - Variação mensal</v>
      </c>
      <c r="J268" s="1" t="str">
        <v>202207</v>
      </c>
      <c r="K268" s="1" t="str">
        <v>julho 2022</v>
      </c>
      <c r="L268" s="1" t="str">
        <v>47641</v>
      </c>
      <c r="M268" s="1" t="str">
        <v>3202028.Computador pessoal</v>
      </c>
      <c r="Q268" s="1" t="str">
        <f t="shared" si="12"/>
        <v>3202028.Computador pessoal</v>
      </c>
      <c r="R268" s="1" t="str">
        <f t="shared" si="13"/>
        <v>202207</v>
      </c>
      <c r="S268" s="1">
        <f t="shared" si="14"/>
        <v>-2.63</v>
      </c>
    </row>
    <row r="269" spans="1:19" x14ac:dyDescent="0.2">
      <c r="A269" s="1" t="str">
        <v>1</v>
      </c>
      <c r="B269" s="1" t="str">
        <v>Brasil</v>
      </c>
      <c r="C269" s="1" t="str">
        <v>2</v>
      </c>
      <c r="D269" s="1" t="str">
        <v>%</v>
      </c>
      <c r="E269" s="1" t="str">
        <v>1.11</v>
      </c>
      <c r="F269" s="1" t="str">
        <v>1</v>
      </c>
      <c r="G269" s="1" t="str">
        <v>Brasil</v>
      </c>
      <c r="H269" s="1" t="str">
        <v>63</v>
      </c>
      <c r="I269" s="1" t="str">
        <v>IPCA - Variação mensal</v>
      </c>
      <c r="J269" s="1" t="str">
        <v>202207</v>
      </c>
      <c r="K269" s="1" t="str">
        <v>julho 2022</v>
      </c>
      <c r="L269" s="1" t="str">
        <v>7548</v>
      </c>
      <c r="M269" s="1" t="str">
        <v>33.Consertos e manutenção</v>
      </c>
      <c r="Q269" s="1" t="str">
        <f t="shared" si="12"/>
        <v>33.Consertos e manutenção</v>
      </c>
      <c r="R269" s="1" t="str">
        <f t="shared" si="13"/>
        <v>202207</v>
      </c>
      <c r="S269" s="1">
        <f t="shared" si="14"/>
        <v>1.1100000000000001</v>
      </c>
    </row>
    <row r="270" spans="1:19" x14ac:dyDescent="0.2">
      <c r="A270" s="1" t="str">
        <v>1</v>
      </c>
      <c r="B270" s="1" t="str">
        <v>Brasil</v>
      </c>
      <c r="C270" s="1" t="str">
        <v>2</v>
      </c>
      <c r="D270" s="1" t="str">
        <v>%</v>
      </c>
      <c r="E270" s="1" t="str">
        <v>1.11</v>
      </c>
      <c r="F270" s="1" t="str">
        <v>1</v>
      </c>
      <c r="G270" s="1" t="str">
        <v>Brasil</v>
      </c>
      <c r="H270" s="1" t="str">
        <v>63</v>
      </c>
      <c r="I270" s="1" t="str">
        <v>IPCA - Variação mensal</v>
      </c>
      <c r="J270" s="1" t="str">
        <v>202207</v>
      </c>
      <c r="K270" s="1" t="str">
        <v>julho 2022</v>
      </c>
      <c r="L270" s="1" t="str">
        <v>7549</v>
      </c>
      <c r="M270" s="1" t="str">
        <v>3301.Consertos e manutenção</v>
      </c>
      <c r="Q270" s="1" t="str">
        <f t="shared" si="12"/>
        <v>3301.Consertos e manutenção</v>
      </c>
      <c r="R270" s="1" t="str">
        <f t="shared" si="13"/>
        <v>202207</v>
      </c>
      <c r="S270" s="1">
        <f t="shared" si="14"/>
        <v>1.1100000000000001</v>
      </c>
    </row>
    <row r="271" spans="1:19" x14ac:dyDescent="0.2">
      <c r="A271" s="1" t="str">
        <v>1</v>
      </c>
      <c r="B271" s="1" t="str">
        <v>Brasil</v>
      </c>
      <c r="C271" s="1" t="str">
        <v>2</v>
      </c>
      <c r="D271" s="1" t="str">
        <v>%</v>
      </c>
      <c r="E271" s="1" t="str">
        <v>1.00</v>
      </c>
      <c r="F271" s="1" t="str">
        <v>1</v>
      </c>
      <c r="G271" s="1" t="str">
        <v>Brasil</v>
      </c>
      <c r="H271" s="1" t="str">
        <v>63</v>
      </c>
      <c r="I271" s="1" t="str">
        <v>IPCA - Variação mensal</v>
      </c>
      <c r="J271" s="1" t="str">
        <v>202207</v>
      </c>
      <c r="K271" s="1" t="str">
        <v>julho 2022</v>
      </c>
      <c r="L271" s="1" t="str">
        <v>12405</v>
      </c>
      <c r="M271" s="1" t="str">
        <v>3301002.Conserto de refrigerador</v>
      </c>
      <c r="Q271" s="1" t="str">
        <f t="shared" si="12"/>
        <v>3301002.Conserto de refrigerador</v>
      </c>
      <c r="R271" s="1" t="str">
        <f t="shared" si="13"/>
        <v>202207</v>
      </c>
      <c r="S271" s="1">
        <f t="shared" si="14"/>
        <v>1</v>
      </c>
    </row>
    <row r="272" spans="1:19" x14ac:dyDescent="0.2">
      <c r="A272" s="1" t="str">
        <v>1</v>
      </c>
      <c r="B272" s="1" t="str">
        <v>Brasil</v>
      </c>
      <c r="C272" s="1" t="str">
        <v>2</v>
      </c>
      <c r="D272" s="1" t="str">
        <v>%</v>
      </c>
      <c r="E272" s="1" t="str">
        <v>2.46</v>
      </c>
      <c r="F272" s="1" t="str">
        <v>1</v>
      </c>
      <c r="G272" s="1" t="str">
        <v>Brasil</v>
      </c>
      <c r="H272" s="1" t="str">
        <v>63</v>
      </c>
      <c r="I272" s="1" t="str">
        <v>IPCA - Variação mensal</v>
      </c>
      <c r="J272" s="1" t="str">
        <v>202207</v>
      </c>
      <c r="K272" s="1" t="str">
        <v>julho 2022</v>
      </c>
      <c r="L272" s="1" t="str">
        <v>107648</v>
      </c>
      <c r="M272" s="1" t="str">
        <v>3301006.Conserto de televisor</v>
      </c>
      <c r="Q272" s="1" t="str">
        <f t="shared" si="12"/>
        <v>3301006.Conserto de televisor</v>
      </c>
      <c r="R272" s="1" t="str">
        <f t="shared" si="13"/>
        <v>202207</v>
      </c>
      <c r="S272" s="1">
        <f t="shared" si="14"/>
        <v>2.46</v>
      </c>
    </row>
    <row r="273" spans="1:19" x14ac:dyDescent="0.2">
      <c r="A273" s="1" t="str">
        <v>1</v>
      </c>
      <c r="B273" s="1" t="str">
        <v>Brasil</v>
      </c>
      <c r="C273" s="1" t="str">
        <v>2</v>
      </c>
      <c r="D273" s="1" t="str">
        <v>%</v>
      </c>
      <c r="E273" s="1" t="str">
        <v>0.72</v>
      </c>
      <c r="F273" s="1" t="str">
        <v>1</v>
      </c>
      <c r="G273" s="1" t="str">
        <v>Brasil</v>
      </c>
      <c r="H273" s="1" t="str">
        <v>63</v>
      </c>
      <c r="I273" s="1" t="str">
        <v>IPCA - Variação mensal</v>
      </c>
      <c r="J273" s="1" t="str">
        <v>202207</v>
      </c>
      <c r="K273" s="1" t="str">
        <v>julho 2022</v>
      </c>
      <c r="L273" s="1" t="str">
        <v>12406</v>
      </c>
      <c r="M273" s="1" t="str">
        <v>3301015.Conserto de máquina de lavar roupa</v>
      </c>
      <c r="Q273" s="1" t="str">
        <f t="shared" si="12"/>
        <v>3301015.Conserto de máquina de lavar roupa</v>
      </c>
      <c r="R273" s="1" t="str">
        <f t="shared" si="13"/>
        <v>202207</v>
      </c>
      <c r="S273" s="1">
        <f t="shared" si="14"/>
        <v>0.72</v>
      </c>
    </row>
    <row r="274" spans="1:19" x14ac:dyDescent="0.2">
      <c r="A274" s="1" t="str">
        <v>1</v>
      </c>
      <c r="B274" s="1" t="str">
        <v>Brasil</v>
      </c>
      <c r="C274" s="1" t="str">
        <v>2</v>
      </c>
      <c r="D274" s="1" t="str">
        <v>%</v>
      </c>
      <c r="E274" s="1" t="str">
        <v>1.07</v>
      </c>
      <c r="F274" s="1" t="str">
        <v>1</v>
      </c>
      <c r="G274" s="1" t="str">
        <v>Brasil</v>
      </c>
      <c r="H274" s="1" t="str">
        <v>63</v>
      </c>
      <c r="I274" s="1" t="str">
        <v>IPCA - Variação mensal</v>
      </c>
      <c r="J274" s="1" t="str">
        <v>202207</v>
      </c>
      <c r="K274" s="1" t="str">
        <v>julho 2022</v>
      </c>
      <c r="L274" s="1" t="str">
        <v>7555</v>
      </c>
      <c r="M274" s="1" t="str">
        <v>3301022.Reforma de estofado</v>
      </c>
      <c r="Q274" s="1" t="str">
        <f t="shared" si="12"/>
        <v>3301022.Reforma de estofado</v>
      </c>
      <c r="R274" s="1" t="str">
        <f t="shared" si="13"/>
        <v>202207</v>
      </c>
      <c r="S274" s="1">
        <f t="shared" si="14"/>
        <v>1.07</v>
      </c>
    </row>
    <row r="275" spans="1:19" x14ac:dyDescent="0.2">
      <c r="A275" s="1" t="str">
        <v>1</v>
      </c>
      <c r="B275" s="1" t="str">
        <v>Brasil</v>
      </c>
      <c r="C275" s="1" t="str">
        <v>2</v>
      </c>
      <c r="D275" s="1" t="str">
        <v>%</v>
      </c>
      <c r="E275" s="1" t="str">
        <v>0.59</v>
      </c>
      <c r="F275" s="1" t="str">
        <v>1</v>
      </c>
      <c r="G275" s="1" t="str">
        <v>Brasil</v>
      </c>
      <c r="H275" s="1" t="str">
        <v>63</v>
      </c>
      <c r="I275" s="1" t="str">
        <v>IPCA - Variação mensal</v>
      </c>
      <c r="J275" s="1" t="str">
        <v>202207</v>
      </c>
      <c r="K275" s="1" t="str">
        <v>julho 2022</v>
      </c>
      <c r="L275" s="1" t="str">
        <v>47642</v>
      </c>
      <c r="M275" s="1" t="str">
        <v>3301088.Conserto de aparelho celular</v>
      </c>
      <c r="Q275" s="1" t="str">
        <f t="shared" si="12"/>
        <v>3301088.Conserto de aparelho celular</v>
      </c>
      <c r="R275" s="1" t="str">
        <f t="shared" si="13"/>
        <v>202207</v>
      </c>
      <c r="S275" s="1">
        <f t="shared" si="14"/>
        <v>0.59</v>
      </c>
    </row>
    <row r="276" spans="1:19" x14ac:dyDescent="0.2">
      <c r="A276" s="1" t="str">
        <v>1</v>
      </c>
      <c r="B276" s="1" t="str">
        <v>Brasil</v>
      </c>
      <c r="C276" s="1" t="str">
        <v>2</v>
      </c>
      <c r="D276" s="1" t="str">
        <v>%</v>
      </c>
      <c r="E276" s="1" t="str">
        <v>1.28</v>
      </c>
      <c r="F276" s="1" t="str">
        <v>1</v>
      </c>
      <c r="G276" s="1" t="str">
        <v>Brasil</v>
      </c>
      <c r="H276" s="1" t="str">
        <v>63</v>
      </c>
      <c r="I276" s="1" t="str">
        <v>IPCA - Variação mensal</v>
      </c>
      <c r="J276" s="1" t="str">
        <v>202207</v>
      </c>
      <c r="K276" s="1" t="str">
        <v>julho 2022</v>
      </c>
      <c r="L276" s="1" t="str">
        <v>47643</v>
      </c>
      <c r="M276" s="1" t="str">
        <v>3301130.Conserto de bicicleta</v>
      </c>
      <c r="Q276" s="1" t="str">
        <f t="shared" si="12"/>
        <v>3301130.Conserto de bicicleta</v>
      </c>
      <c r="R276" s="1" t="str">
        <f t="shared" si="13"/>
        <v>202207</v>
      </c>
      <c r="S276" s="1">
        <f t="shared" si="14"/>
        <v>1.28</v>
      </c>
    </row>
    <row r="277" spans="1:19" x14ac:dyDescent="0.2">
      <c r="A277" s="1" t="str">
        <v>1</v>
      </c>
      <c r="B277" s="1" t="str">
        <v>Brasil</v>
      </c>
      <c r="C277" s="1" t="str">
        <v>2</v>
      </c>
      <c r="D277" s="1" t="str">
        <v>%</v>
      </c>
      <c r="E277" s="1" t="str">
        <v>0.58</v>
      </c>
      <c r="F277" s="1" t="str">
        <v>1</v>
      </c>
      <c r="G277" s="1" t="str">
        <v>Brasil</v>
      </c>
      <c r="H277" s="1" t="str">
        <v>63</v>
      </c>
      <c r="I277" s="1" t="str">
        <v>IPCA - Variação mensal</v>
      </c>
      <c r="J277" s="1" t="str">
        <v>202207</v>
      </c>
      <c r="K277" s="1" t="str">
        <v>julho 2022</v>
      </c>
      <c r="L277" s="1" t="str">
        <v>7558</v>
      </c>
      <c r="M277" s="1" t="str">
        <v>4.Vestuário</v>
      </c>
      <c r="Q277" s="1" t="str">
        <f t="shared" si="12"/>
        <v>4.Vestuário</v>
      </c>
      <c r="R277" s="1" t="str">
        <f t="shared" si="13"/>
        <v>202207</v>
      </c>
      <c r="S277" s="1">
        <f t="shared" si="14"/>
        <v>0.57999999999999996</v>
      </c>
    </row>
    <row r="278" spans="1:19" x14ac:dyDescent="0.2">
      <c r="A278" s="1" t="str">
        <v>1</v>
      </c>
      <c r="B278" s="1" t="str">
        <v>Brasil</v>
      </c>
      <c r="C278" s="1" t="str">
        <v>2</v>
      </c>
      <c r="D278" s="1" t="str">
        <v>%</v>
      </c>
      <c r="E278" s="1" t="str">
        <v>0.43</v>
      </c>
      <c r="F278" s="1" t="str">
        <v>1</v>
      </c>
      <c r="G278" s="1" t="str">
        <v>Brasil</v>
      </c>
      <c r="H278" s="1" t="str">
        <v>63</v>
      </c>
      <c r="I278" s="1" t="str">
        <v>IPCA - Variação mensal</v>
      </c>
      <c r="J278" s="1" t="str">
        <v>202207</v>
      </c>
      <c r="K278" s="1" t="str">
        <v>julho 2022</v>
      </c>
      <c r="L278" s="1" t="str">
        <v>7559</v>
      </c>
      <c r="M278" s="1" t="str">
        <v>41.Roupas</v>
      </c>
      <c r="Q278" s="1" t="str">
        <f t="shared" si="12"/>
        <v>41.Roupas</v>
      </c>
      <c r="R278" s="1" t="str">
        <f t="shared" si="13"/>
        <v>202207</v>
      </c>
      <c r="S278" s="1">
        <f t="shared" si="14"/>
        <v>0.43</v>
      </c>
    </row>
    <row r="279" spans="1:19" x14ac:dyDescent="0.2">
      <c r="A279" s="1" t="str">
        <v>1</v>
      </c>
      <c r="B279" s="1" t="str">
        <v>Brasil</v>
      </c>
      <c r="C279" s="1" t="str">
        <v>2</v>
      </c>
      <c r="D279" s="1" t="str">
        <v>%</v>
      </c>
      <c r="E279" s="1" t="str">
        <v>0.65</v>
      </c>
      <c r="F279" s="1" t="str">
        <v>1</v>
      </c>
      <c r="G279" s="1" t="str">
        <v>Brasil</v>
      </c>
      <c r="H279" s="1" t="str">
        <v>63</v>
      </c>
      <c r="I279" s="1" t="str">
        <v>IPCA - Variação mensal</v>
      </c>
      <c r="J279" s="1" t="str">
        <v>202207</v>
      </c>
      <c r="K279" s="1" t="str">
        <v>julho 2022</v>
      </c>
      <c r="L279" s="1" t="str">
        <v>7560</v>
      </c>
      <c r="M279" s="1" t="str">
        <v>4101.Roupa masculina</v>
      </c>
      <c r="Q279" s="1" t="str">
        <f t="shared" si="12"/>
        <v>4101.Roupa masculina</v>
      </c>
      <c r="R279" s="1" t="str">
        <f t="shared" si="13"/>
        <v>202207</v>
      </c>
      <c r="S279" s="1">
        <f t="shared" si="14"/>
        <v>0.65</v>
      </c>
    </row>
    <row r="280" spans="1:19" x14ac:dyDescent="0.2">
      <c r="A280" s="1" t="str">
        <v>1</v>
      </c>
      <c r="B280" s="1" t="str">
        <v>Brasil</v>
      </c>
      <c r="C280" s="1" t="str">
        <v>2</v>
      </c>
      <c r="D280" s="1" t="str">
        <v>%</v>
      </c>
      <c r="E280" s="1" t="str">
        <v>0.87</v>
      </c>
      <c r="F280" s="1" t="str">
        <v>1</v>
      </c>
      <c r="G280" s="1" t="str">
        <v>Brasil</v>
      </c>
      <c r="H280" s="1" t="str">
        <v>63</v>
      </c>
      <c r="I280" s="1" t="str">
        <v>IPCA - Variação mensal</v>
      </c>
      <c r="J280" s="1" t="str">
        <v>202207</v>
      </c>
      <c r="K280" s="1" t="str">
        <v>julho 2022</v>
      </c>
      <c r="L280" s="1" t="str">
        <v>7561</v>
      </c>
      <c r="M280" s="1" t="str">
        <v>4101002.Calça comprida masculina</v>
      </c>
      <c r="Q280" s="1" t="str">
        <f t="shared" si="12"/>
        <v>4101002.Calça comprida masculina</v>
      </c>
      <c r="R280" s="1" t="str">
        <f t="shared" si="13"/>
        <v>202207</v>
      </c>
      <c r="S280" s="1">
        <f t="shared" si="14"/>
        <v>0.87</v>
      </c>
    </row>
    <row r="281" spans="1:19" x14ac:dyDescent="0.2">
      <c r="A281" s="1" t="str">
        <v>1</v>
      </c>
      <c r="B281" s="1" t="str">
        <v>Brasil</v>
      </c>
      <c r="C281" s="1" t="str">
        <v>2</v>
      </c>
      <c r="D281" s="1" t="str">
        <v>%</v>
      </c>
      <c r="E281" s="1" t="str">
        <v>1.95</v>
      </c>
      <c r="F281" s="1" t="str">
        <v>1</v>
      </c>
      <c r="G281" s="1" t="str">
        <v>Brasil</v>
      </c>
      <c r="H281" s="1" t="str">
        <v>63</v>
      </c>
      <c r="I281" s="1" t="str">
        <v>IPCA - Variação mensal</v>
      </c>
      <c r="J281" s="1" t="str">
        <v>202207</v>
      </c>
      <c r="K281" s="1" t="str">
        <v>julho 2022</v>
      </c>
      <c r="L281" s="1" t="str">
        <v>7563</v>
      </c>
      <c r="M281" s="1" t="str">
        <v>4101005.Agasalho masculino</v>
      </c>
      <c r="Q281" s="1" t="str">
        <f t="shared" si="12"/>
        <v>4101005.Agasalho masculino</v>
      </c>
      <c r="R281" s="1" t="str">
        <f t="shared" si="13"/>
        <v>202207</v>
      </c>
      <c r="S281" s="1">
        <f t="shared" si="14"/>
        <v>1.95</v>
      </c>
    </row>
    <row r="282" spans="1:19" x14ac:dyDescent="0.2">
      <c r="A282" s="1" t="str">
        <v>1</v>
      </c>
      <c r="B282" s="1" t="str">
        <v>Brasil</v>
      </c>
      <c r="C282" s="1" t="str">
        <v>2</v>
      </c>
      <c r="D282" s="1" t="str">
        <v>%</v>
      </c>
      <c r="E282" s="1" t="str">
        <v>0.78</v>
      </c>
      <c r="F282" s="1" t="str">
        <v>1</v>
      </c>
      <c r="G282" s="1" t="str">
        <v>Brasil</v>
      </c>
      <c r="H282" s="1" t="str">
        <v>63</v>
      </c>
      <c r="I282" s="1" t="str">
        <v>IPCA - Variação mensal</v>
      </c>
      <c r="J282" s="1" t="str">
        <v>202207</v>
      </c>
      <c r="K282" s="1" t="str">
        <v>julho 2022</v>
      </c>
      <c r="L282" s="1" t="str">
        <v>47644</v>
      </c>
      <c r="M282" s="1" t="str">
        <v>4101006.Bermuda/short masculino</v>
      </c>
      <c r="Q282" s="1" t="str">
        <f t="shared" si="12"/>
        <v>4101006.Bermuda/short masculino</v>
      </c>
      <c r="R282" s="1" t="str">
        <f t="shared" si="13"/>
        <v>202207</v>
      </c>
      <c r="S282" s="1">
        <f t="shared" si="14"/>
        <v>0.78</v>
      </c>
    </row>
    <row r="283" spans="1:19" x14ac:dyDescent="0.2">
      <c r="A283" s="1" t="str">
        <v>1</v>
      </c>
      <c r="B283" s="1" t="str">
        <v>Brasil</v>
      </c>
      <c r="C283" s="1" t="str">
        <v>2</v>
      </c>
      <c r="D283" s="1" t="str">
        <v>%</v>
      </c>
      <c r="E283" s="1" t="str">
        <v>1.34</v>
      </c>
      <c r="F283" s="1" t="str">
        <v>1</v>
      </c>
      <c r="G283" s="1" t="str">
        <v>Brasil</v>
      </c>
      <c r="H283" s="1" t="str">
        <v>63</v>
      </c>
      <c r="I283" s="1" t="str">
        <v>IPCA - Variação mensal</v>
      </c>
      <c r="J283" s="1" t="str">
        <v>202207</v>
      </c>
      <c r="K283" s="1" t="str">
        <v>julho 2022</v>
      </c>
      <c r="L283" s="1" t="str">
        <v>7565</v>
      </c>
      <c r="M283" s="1" t="str">
        <v>4101008.Cueca</v>
      </c>
      <c r="Q283" s="1" t="str">
        <f t="shared" si="12"/>
        <v>4101008.Cueca</v>
      </c>
      <c r="R283" s="1" t="str">
        <f t="shared" si="13"/>
        <v>202207</v>
      </c>
      <c r="S283" s="1">
        <f t="shared" si="14"/>
        <v>1.34</v>
      </c>
    </row>
    <row r="284" spans="1:19" x14ac:dyDescent="0.2">
      <c r="A284" s="1" t="str">
        <v>1</v>
      </c>
      <c r="B284" s="1" t="str">
        <v>Brasil</v>
      </c>
      <c r="C284" s="1" t="str">
        <v>2</v>
      </c>
      <c r="D284" s="1" t="str">
        <v>%</v>
      </c>
      <c r="E284" s="1" t="str">
        <v>0.45</v>
      </c>
      <c r="F284" s="1" t="str">
        <v>1</v>
      </c>
      <c r="G284" s="1" t="str">
        <v>Brasil</v>
      </c>
      <c r="H284" s="1" t="str">
        <v>63</v>
      </c>
      <c r="I284" s="1" t="str">
        <v>IPCA - Variação mensal</v>
      </c>
      <c r="J284" s="1" t="str">
        <v>202207</v>
      </c>
      <c r="K284" s="1" t="str">
        <v>julho 2022</v>
      </c>
      <c r="L284" s="1" t="str">
        <v>107649</v>
      </c>
      <c r="M284" s="1" t="str">
        <v>4101009.Camisa/camiseta masculina</v>
      </c>
      <c r="Q284" s="1" t="str">
        <f t="shared" si="12"/>
        <v>4101009.Camisa/camiseta masculina</v>
      </c>
      <c r="R284" s="1" t="str">
        <f t="shared" si="13"/>
        <v>202207</v>
      </c>
      <c r="S284" s="1">
        <f t="shared" si="14"/>
        <v>0.45</v>
      </c>
    </row>
    <row r="285" spans="1:19" x14ac:dyDescent="0.2">
      <c r="A285" s="1" t="str">
        <v>1</v>
      </c>
      <c r="B285" s="1" t="str">
        <v>Brasil</v>
      </c>
      <c r="C285" s="1" t="str">
        <v>2</v>
      </c>
      <c r="D285" s="1" t="str">
        <v>%</v>
      </c>
      <c r="E285" s="1" t="str">
        <v>0.41</v>
      </c>
      <c r="F285" s="1" t="str">
        <v>1</v>
      </c>
      <c r="G285" s="1" t="str">
        <v>Brasil</v>
      </c>
      <c r="H285" s="1" t="str">
        <v>63</v>
      </c>
      <c r="I285" s="1" t="str">
        <v>IPCA - Variação mensal</v>
      </c>
      <c r="J285" s="1" t="str">
        <v>202207</v>
      </c>
      <c r="K285" s="1" t="str">
        <v>julho 2022</v>
      </c>
      <c r="L285" s="1" t="str">
        <v>7572</v>
      </c>
      <c r="M285" s="1" t="str">
        <v>4102.Roupa feminina</v>
      </c>
      <c r="Q285" s="1" t="str">
        <f t="shared" si="12"/>
        <v>4102.Roupa feminina</v>
      </c>
      <c r="R285" s="1" t="str">
        <f t="shared" si="13"/>
        <v>202207</v>
      </c>
      <c r="S285" s="1">
        <f t="shared" si="14"/>
        <v>0.41</v>
      </c>
    </row>
    <row r="286" spans="1:19" x14ac:dyDescent="0.2">
      <c r="A286" s="1" t="str">
        <v>1</v>
      </c>
      <c r="B286" s="1" t="str">
        <v>Brasil</v>
      </c>
      <c r="C286" s="1" t="str">
        <v>2</v>
      </c>
      <c r="D286" s="1" t="str">
        <v>%</v>
      </c>
      <c r="E286" s="1" t="str">
        <v>0.47</v>
      </c>
      <c r="F286" s="1" t="str">
        <v>1</v>
      </c>
      <c r="G286" s="1" t="str">
        <v>Brasil</v>
      </c>
      <c r="H286" s="1" t="str">
        <v>63</v>
      </c>
      <c r="I286" s="1" t="str">
        <v>IPCA - Variação mensal</v>
      </c>
      <c r="J286" s="1" t="str">
        <v>202207</v>
      </c>
      <c r="K286" s="1" t="str">
        <v>julho 2022</v>
      </c>
      <c r="L286" s="1" t="str">
        <v>7573</v>
      </c>
      <c r="M286" s="1" t="str">
        <v>4102002.Calça comprida feminina</v>
      </c>
      <c r="Q286" s="1" t="str">
        <f t="shared" si="12"/>
        <v>4102002.Calça comprida feminina</v>
      </c>
      <c r="R286" s="1" t="str">
        <f t="shared" si="13"/>
        <v>202207</v>
      </c>
      <c r="S286" s="1">
        <f t="shared" si="14"/>
        <v>0.47</v>
      </c>
    </row>
    <row r="287" spans="1:19" x14ac:dyDescent="0.2">
      <c r="A287" s="1" t="str">
        <v>1</v>
      </c>
      <c r="B287" s="1" t="str">
        <v>Brasil</v>
      </c>
      <c r="C287" s="1" t="str">
        <v>2</v>
      </c>
      <c r="D287" s="1" t="str">
        <v>%</v>
      </c>
      <c r="E287" s="1" t="str">
        <v>3.86</v>
      </c>
      <c r="F287" s="1" t="str">
        <v>1</v>
      </c>
      <c r="G287" s="1" t="str">
        <v>Brasil</v>
      </c>
      <c r="H287" s="1" t="str">
        <v>63</v>
      </c>
      <c r="I287" s="1" t="str">
        <v>IPCA - Variação mensal</v>
      </c>
      <c r="J287" s="1" t="str">
        <v>202207</v>
      </c>
      <c r="K287" s="1" t="str">
        <v>julho 2022</v>
      </c>
      <c r="L287" s="1" t="str">
        <v>7574</v>
      </c>
      <c r="M287" s="1" t="str">
        <v>4102003.Agasalho feminino</v>
      </c>
      <c r="Q287" s="1" t="str">
        <f t="shared" si="12"/>
        <v>4102003.Agasalho feminino</v>
      </c>
      <c r="R287" s="1" t="str">
        <f t="shared" si="13"/>
        <v>202207</v>
      </c>
      <c r="S287" s="1">
        <f t="shared" si="14"/>
        <v>3.86</v>
      </c>
    </row>
    <row r="288" spans="1:19" x14ac:dyDescent="0.2">
      <c r="A288" s="1" t="str">
        <v>1</v>
      </c>
      <c r="B288" s="1" t="str">
        <v>Brasil</v>
      </c>
      <c r="C288" s="1" t="str">
        <v>2</v>
      </c>
      <c r="D288" s="1" t="str">
        <v>%</v>
      </c>
      <c r="E288" s="1" t="str">
        <v>-0.91</v>
      </c>
      <c r="F288" s="1" t="str">
        <v>1</v>
      </c>
      <c r="G288" s="1" t="str">
        <v>Brasil</v>
      </c>
      <c r="H288" s="1" t="str">
        <v>63</v>
      </c>
      <c r="I288" s="1" t="str">
        <v>IPCA - Variação mensal</v>
      </c>
      <c r="J288" s="1" t="str">
        <v>202207</v>
      </c>
      <c r="K288" s="1" t="str">
        <v>julho 2022</v>
      </c>
      <c r="L288" s="1" t="str">
        <v>7575</v>
      </c>
      <c r="M288" s="1" t="str">
        <v>4102004.Saia</v>
      </c>
      <c r="Q288" s="1" t="str">
        <f t="shared" si="12"/>
        <v>4102004.Saia</v>
      </c>
      <c r="R288" s="1" t="str">
        <f t="shared" si="13"/>
        <v>202207</v>
      </c>
      <c r="S288" s="1">
        <f t="shared" si="14"/>
        <v>-0.91</v>
      </c>
    </row>
    <row r="289" spans="1:19" x14ac:dyDescent="0.2">
      <c r="A289" s="1" t="str">
        <v>1</v>
      </c>
      <c r="B289" s="1" t="str">
        <v>Brasil</v>
      </c>
      <c r="C289" s="1" t="str">
        <v>2</v>
      </c>
      <c r="D289" s="1" t="str">
        <v>%</v>
      </c>
      <c r="E289" s="1" t="str">
        <v>0.59</v>
      </c>
      <c r="F289" s="1" t="str">
        <v>1</v>
      </c>
      <c r="G289" s="1" t="str">
        <v>Brasil</v>
      </c>
      <c r="H289" s="1" t="str">
        <v>63</v>
      </c>
      <c r="I289" s="1" t="str">
        <v>IPCA - Variação mensal</v>
      </c>
      <c r="J289" s="1" t="str">
        <v>202207</v>
      </c>
      <c r="K289" s="1" t="str">
        <v>julho 2022</v>
      </c>
      <c r="L289" s="1" t="str">
        <v>7576</v>
      </c>
      <c r="M289" s="1" t="str">
        <v>4102005.Vestido</v>
      </c>
      <c r="Q289" s="1" t="str">
        <f t="shared" si="12"/>
        <v>4102005.Vestido</v>
      </c>
      <c r="R289" s="1" t="str">
        <f t="shared" si="13"/>
        <v>202207</v>
      </c>
      <c r="S289" s="1">
        <f t="shared" si="14"/>
        <v>0.59</v>
      </c>
    </row>
    <row r="290" spans="1:19" x14ac:dyDescent="0.2">
      <c r="A290" s="1" t="str">
        <v>1</v>
      </c>
      <c r="B290" s="1" t="str">
        <v>Brasil</v>
      </c>
      <c r="C290" s="1" t="str">
        <v>2</v>
      </c>
      <c r="D290" s="1" t="str">
        <v>%</v>
      </c>
      <c r="E290" s="1" t="str">
        <v>0.35</v>
      </c>
      <c r="F290" s="1" t="str">
        <v>1</v>
      </c>
      <c r="G290" s="1" t="str">
        <v>Brasil</v>
      </c>
      <c r="H290" s="1" t="str">
        <v>63</v>
      </c>
      <c r="I290" s="1" t="str">
        <v>IPCA - Variação mensal</v>
      </c>
      <c r="J290" s="1" t="str">
        <v>202207</v>
      </c>
      <c r="K290" s="1" t="str">
        <v>julho 2022</v>
      </c>
      <c r="L290" s="1" t="str">
        <v>7577</v>
      </c>
      <c r="M290" s="1" t="str">
        <v>4102008.Blusa</v>
      </c>
      <c r="Q290" s="1" t="str">
        <f t="shared" si="12"/>
        <v>4102008.Blusa</v>
      </c>
      <c r="R290" s="1" t="str">
        <f t="shared" si="13"/>
        <v>202207</v>
      </c>
      <c r="S290" s="1">
        <f t="shared" si="14"/>
        <v>0.35</v>
      </c>
    </row>
    <row r="291" spans="1:19" x14ac:dyDescent="0.2">
      <c r="A291" s="1" t="str">
        <v>1</v>
      </c>
      <c r="B291" s="1" t="str">
        <v>Brasil</v>
      </c>
      <c r="C291" s="1" t="str">
        <v>2</v>
      </c>
      <c r="D291" s="1" t="str">
        <v>%</v>
      </c>
      <c r="E291" s="1" t="str">
        <v>-0.37</v>
      </c>
      <c r="F291" s="1" t="str">
        <v>1</v>
      </c>
      <c r="G291" s="1" t="str">
        <v>Brasil</v>
      </c>
      <c r="H291" s="1" t="str">
        <v>63</v>
      </c>
      <c r="I291" s="1" t="str">
        <v>IPCA - Variação mensal</v>
      </c>
      <c r="J291" s="1" t="str">
        <v>202207</v>
      </c>
      <c r="K291" s="1" t="str">
        <v>julho 2022</v>
      </c>
      <c r="L291" s="1" t="str">
        <v>7579</v>
      </c>
      <c r="M291" s="1" t="str">
        <v>4102010.Lingerie</v>
      </c>
      <c r="Q291" s="1" t="str">
        <f t="shared" si="12"/>
        <v>4102010.Lingerie</v>
      </c>
      <c r="R291" s="1" t="str">
        <f t="shared" si="13"/>
        <v>202207</v>
      </c>
      <c r="S291" s="1">
        <f t="shared" si="14"/>
        <v>-0.37</v>
      </c>
    </row>
    <row r="292" spans="1:19" x14ac:dyDescent="0.2">
      <c r="A292" s="1" t="str">
        <v>1</v>
      </c>
      <c r="B292" s="1" t="str">
        <v>Brasil</v>
      </c>
      <c r="C292" s="1" t="str">
        <v>2</v>
      </c>
      <c r="D292" s="1" t="str">
        <v>%</v>
      </c>
      <c r="E292" s="1" t="str">
        <v>-0.01</v>
      </c>
      <c r="F292" s="1" t="str">
        <v>1</v>
      </c>
      <c r="G292" s="1" t="str">
        <v>Brasil</v>
      </c>
      <c r="H292" s="1" t="str">
        <v>63</v>
      </c>
      <c r="I292" s="1" t="str">
        <v>IPCA - Variação mensal</v>
      </c>
      <c r="J292" s="1" t="str">
        <v>202207</v>
      </c>
      <c r="K292" s="1" t="str">
        <v>julho 2022</v>
      </c>
      <c r="L292" s="1" t="str">
        <v>47645</v>
      </c>
      <c r="M292" s="1" t="str">
        <v>4102013.Bermuda/short feminino</v>
      </c>
      <c r="Q292" s="1" t="str">
        <f t="shared" si="12"/>
        <v>4102013.Bermuda/short feminino</v>
      </c>
      <c r="R292" s="1" t="str">
        <f t="shared" si="13"/>
        <v>202207</v>
      </c>
      <c r="S292" s="1">
        <f t="shared" si="14"/>
        <v>-0.01</v>
      </c>
    </row>
    <row r="293" spans="1:19" x14ac:dyDescent="0.2">
      <c r="A293" s="1" t="str">
        <v>1</v>
      </c>
      <c r="B293" s="1" t="str">
        <v>Brasil</v>
      </c>
      <c r="C293" s="1" t="str">
        <v>2</v>
      </c>
      <c r="D293" s="1" t="str">
        <v>%</v>
      </c>
      <c r="E293" s="1" t="str">
        <v>0.05</v>
      </c>
      <c r="F293" s="1" t="str">
        <v>1</v>
      </c>
      <c r="G293" s="1" t="str">
        <v>Brasil</v>
      </c>
      <c r="H293" s="1" t="str">
        <v>63</v>
      </c>
      <c r="I293" s="1" t="str">
        <v>IPCA - Variação mensal</v>
      </c>
      <c r="J293" s="1" t="str">
        <v>202207</v>
      </c>
      <c r="K293" s="1" t="str">
        <v>julho 2022</v>
      </c>
      <c r="L293" s="1" t="str">
        <v>7587</v>
      </c>
      <c r="M293" s="1" t="str">
        <v>4103.Roupa infantil</v>
      </c>
      <c r="Q293" s="1" t="str">
        <f t="shared" si="12"/>
        <v>4103.Roupa infantil</v>
      </c>
      <c r="R293" s="1" t="str">
        <f t="shared" si="13"/>
        <v>202207</v>
      </c>
      <c r="S293" s="1">
        <f t="shared" si="14"/>
        <v>0.05</v>
      </c>
    </row>
    <row r="294" spans="1:19" x14ac:dyDescent="0.2">
      <c r="A294" s="1" t="str">
        <v>1</v>
      </c>
      <c r="B294" s="1" t="str">
        <v>Brasil</v>
      </c>
      <c r="C294" s="1" t="str">
        <v>2</v>
      </c>
      <c r="D294" s="1" t="str">
        <v>%</v>
      </c>
      <c r="E294" s="1" t="str">
        <v>0.74</v>
      </c>
      <c r="F294" s="1" t="str">
        <v>1</v>
      </c>
      <c r="G294" s="1" t="str">
        <v>Brasil</v>
      </c>
      <c r="H294" s="1" t="str">
        <v>63</v>
      </c>
      <c r="I294" s="1" t="str">
        <v>IPCA - Variação mensal</v>
      </c>
      <c r="J294" s="1" t="str">
        <v>202207</v>
      </c>
      <c r="K294" s="1" t="str">
        <v>julho 2022</v>
      </c>
      <c r="L294" s="1" t="str">
        <v>12408</v>
      </c>
      <c r="M294" s="1" t="str">
        <v>4103001.Uniforme escolar</v>
      </c>
      <c r="Q294" s="1" t="str">
        <f t="shared" si="12"/>
        <v>4103001.Uniforme escolar</v>
      </c>
      <c r="R294" s="1" t="str">
        <f t="shared" si="13"/>
        <v>202207</v>
      </c>
      <c r="S294" s="1">
        <f t="shared" si="14"/>
        <v>0.74</v>
      </c>
    </row>
    <row r="295" spans="1:19" x14ac:dyDescent="0.2">
      <c r="A295" s="1" t="str">
        <v>1</v>
      </c>
      <c r="B295" s="1" t="str">
        <v>Brasil</v>
      </c>
      <c r="C295" s="1" t="str">
        <v>2</v>
      </c>
      <c r="D295" s="1" t="str">
        <v>%</v>
      </c>
      <c r="E295" s="1" t="str">
        <v>1.08</v>
      </c>
      <c r="F295" s="1" t="str">
        <v>1</v>
      </c>
      <c r="G295" s="1" t="str">
        <v>Brasil</v>
      </c>
      <c r="H295" s="1" t="str">
        <v>63</v>
      </c>
      <c r="I295" s="1" t="str">
        <v>IPCA - Variação mensal</v>
      </c>
      <c r="J295" s="1" t="str">
        <v>202207</v>
      </c>
      <c r="K295" s="1" t="str">
        <v>julho 2022</v>
      </c>
      <c r="L295" s="1" t="str">
        <v>7589</v>
      </c>
      <c r="M295" s="1" t="str">
        <v>4103002.Calça comprida infantil</v>
      </c>
      <c r="Q295" s="1" t="str">
        <f t="shared" si="12"/>
        <v>4103002.Calça comprida infantil</v>
      </c>
      <c r="R295" s="1" t="str">
        <f t="shared" si="13"/>
        <v>202207</v>
      </c>
      <c r="S295" s="1">
        <f t="shared" si="14"/>
        <v>1.08</v>
      </c>
    </row>
    <row r="296" spans="1:19" x14ac:dyDescent="0.2">
      <c r="A296" s="1" t="str">
        <v>1</v>
      </c>
      <c r="B296" s="1" t="str">
        <v>Brasil</v>
      </c>
      <c r="C296" s="1" t="str">
        <v>2</v>
      </c>
      <c r="D296" s="1" t="str">
        <v>%</v>
      </c>
      <c r="E296" s="1" t="str">
        <v>3.66</v>
      </c>
      <c r="F296" s="1" t="str">
        <v>1</v>
      </c>
      <c r="G296" s="1" t="str">
        <v>Brasil</v>
      </c>
      <c r="H296" s="1" t="str">
        <v>63</v>
      </c>
      <c r="I296" s="1" t="str">
        <v>IPCA - Variação mensal</v>
      </c>
      <c r="J296" s="1" t="str">
        <v>202207</v>
      </c>
      <c r="K296" s="1" t="str">
        <v>julho 2022</v>
      </c>
      <c r="L296" s="1" t="str">
        <v>7590</v>
      </c>
      <c r="M296" s="1" t="str">
        <v>4103005.Agasalho infantil</v>
      </c>
      <c r="Q296" s="1" t="str">
        <f t="shared" si="12"/>
        <v>4103005.Agasalho infantil</v>
      </c>
      <c r="R296" s="1" t="str">
        <f t="shared" si="13"/>
        <v>202207</v>
      </c>
      <c r="S296" s="1">
        <f t="shared" si="14"/>
        <v>3.66</v>
      </c>
    </row>
    <row r="297" spans="1:19" x14ac:dyDescent="0.2">
      <c r="A297" s="1" t="str">
        <v>1</v>
      </c>
      <c r="B297" s="1" t="str">
        <v>Brasil</v>
      </c>
      <c r="C297" s="1" t="str">
        <v>2</v>
      </c>
      <c r="D297" s="1" t="str">
        <v>%</v>
      </c>
      <c r="E297" s="1" t="str">
        <v>0.75</v>
      </c>
      <c r="F297" s="1" t="str">
        <v>1</v>
      </c>
      <c r="G297" s="1" t="str">
        <v>Brasil</v>
      </c>
      <c r="H297" s="1" t="str">
        <v>63</v>
      </c>
      <c r="I297" s="1" t="str">
        <v>IPCA - Variação mensal</v>
      </c>
      <c r="J297" s="1" t="str">
        <v>202207</v>
      </c>
      <c r="K297" s="1" t="str">
        <v>julho 2022</v>
      </c>
      <c r="L297" s="1" t="str">
        <v>7591</v>
      </c>
      <c r="M297" s="1" t="str">
        <v>4103007.Vestido infantil</v>
      </c>
      <c r="Q297" s="1" t="str">
        <f t="shared" si="12"/>
        <v>4103007.Vestido infantil</v>
      </c>
      <c r="R297" s="1" t="str">
        <f t="shared" si="13"/>
        <v>202207</v>
      </c>
      <c r="S297" s="1">
        <f t="shared" si="14"/>
        <v>0.75</v>
      </c>
    </row>
    <row r="298" spans="1:19" x14ac:dyDescent="0.2">
      <c r="A298" s="1" t="str">
        <v>1</v>
      </c>
      <c r="B298" s="1" t="str">
        <v>Brasil</v>
      </c>
      <c r="C298" s="1" t="str">
        <v>2</v>
      </c>
      <c r="D298" s="1" t="str">
        <v>%</v>
      </c>
      <c r="E298" s="1" t="str">
        <v>-0.29</v>
      </c>
      <c r="F298" s="1" t="str">
        <v>1</v>
      </c>
      <c r="G298" s="1" t="str">
        <v>Brasil</v>
      </c>
      <c r="H298" s="1" t="str">
        <v>63</v>
      </c>
      <c r="I298" s="1" t="str">
        <v>IPCA - Variação mensal</v>
      </c>
      <c r="J298" s="1" t="str">
        <v>202207</v>
      </c>
      <c r="K298" s="1" t="str">
        <v>julho 2022</v>
      </c>
      <c r="L298" s="1" t="str">
        <v>47646</v>
      </c>
      <c r="M298" s="1" t="str">
        <v>4103008.Bermuda/short infantil</v>
      </c>
      <c r="Q298" s="1" t="str">
        <f t="shared" si="12"/>
        <v>4103008.Bermuda/short infantil</v>
      </c>
      <c r="R298" s="1" t="str">
        <f t="shared" si="13"/>
        <v>202207</v>
      </c>
      <c r="S298" s="1">
        <f t="shared" si="14"/>
        <v>-0.28999999999999998</v>
      </c>
    </row>
    <row r="299" spans="1:19" x14ac:dyDescent="0.2">
      <c r="A299" s="1" t="str">
        <v>1</v>
      </c>
      <c r="B299" s="1" t="str">
        <v>Brasil</v>
      </c>
      <c r="C299" s="1" t="str">
        <v>2</v>
      </c>
      <c r="D299" s="1" t="str">
        <v>%</v>
      </c>
      <c r="E299" s="1" t="str">
        <v>-0.45</v>
      </c>
      <c r="F299" s="1" t="str">
        <v>1</v>
      </c>
      <c r="G299" s="1" t="str">
        <v>Brasil</v>
      </c>
      <c r="H299" s="1" t="str">
        <v>63</v>
      </c>
      <c r="I299" s="1" t="str">
        <v>IPCA - Variação mensal</v>
      </c>
      <c r="J299" s="1" t="str">
        <v>202207</v>
      </c>
      <c r="K299" s="1" t="str">
        <v>julho 2022</v>
      </c>
      <c r="L299" s="1" t="str">
        <v>107650</v>
      </c>
      <c r="M299" s="1" t="str">
        <v>4103011.Camisa/camiseta infantil</v>
      </c>
      <c r="Q299" s="1" t="str">
        <f t="shared" si="12"/>
        <v>4103011.Camisa/camiseta infantil</v>
      </c>
      <c r="R299" s="1" t="str">
        <f t="shared" si="13"/>
        <v>202207</v>
      </c>
      <c r="S299" s="1">
        <f t="shared" si="14"/>
        <v>-0.45</v>
      </c>
    </row>
    <row r="300" spans="1:19" x14ac:dyDescent="0.2">
      <c r="A300" s="1" t="str">
        <v>1</v>
      </c>
      <c r="B300" s="1" t="str">
        <v>Brasil</v>
      </c>
      <c r="C300" s="1" t="str">
        <v>2</v>
      </c>
      <c r="D300" s="1" t="str">
        <v>%</v>
      </c>
      <c r="E300" s="1" t="str">
        <v>-0.66</v>
      </c>
      <c r="F300" s="1" t="str">
        <v>1</v>
      </c>
      <c r="G300" s="1" t="str">
        <v>Brasil</v>
      </c>
      <c r="H300" s="1" t="str">
        <v>63</v>
      </c>
      <c r="I300" s="1" t="str">
        <v>IPCA - Variação mensal</v>
      </c>
      <c r="J300" s="1" t="str">
        <v>202207</v>
      </c>
      <c r="K300" s="1" t="str">
        <v>julho 2022</v>
      </c>
      <c r="L300" s="1" t="str">
        <v>12409</v>
      </c>
      <c r="M300" s="1" t="str">
        <v>4103031.Conjunto infantil</v>
      </c>
      <c r="Q300" s="1" t="str">
        <f t="shared" si="12"/>
        <v>4103031.Conjunto infantil</v>
      </c>
      <c r="R300" s="1" t="str">
        <f t="shared" si="13"/>
        <v>202207</v>
      </c>
      <c r="S300" s="1">
        <f t="shared" si="14"/>
        <v>-0.66</v>
      </c>
    </row>
    <row r="301" spans="1:19" x14ac:dyDescent="0.2">
      <c r="A301" s="1" t="str">
        <v>1</v>
      </c>
      <c r="B301" s="1" t="str">
        <v>Brasil</v>
      </c>
      <c r="C301" s="1" t="str">
        <v>2</v>
      </c>
      <c r="D301" s="1" t="str">
        <v>%</v>
      </c>
      <c r="E301" s="1" t="str">
        <v>1.05</v>
      </c>
      <c r="F301" s="1" t="str">
        <v>1</v>
      </c>
      <c r="G301" s="1" t="str">
        <v>Brasil</v>
      </c>
      <c r="H301" s="1" t="str">
        <v>63</v>
      </c>
      <c r="I301" s="1" t="str">
        <v>IPCA - Variação mensal</v>
      </c>
      <c r="J301" s="1" t="str">
        <v>202207</v>
      </c>
      <c r="K301" s="1" t="str">
        <v>julho 2022</v>
      </c>
      <c r="L301" s="1" t="str">
        <v>7604</v>
      </c>
      <c r="M301" s="1" t="str">
        <v>42.Calçados e acessórios</v>
      </c>
      <c r="Q301" s="1" t="str">
        <f t="shared" si="12"/>
        <v>42.Calçados e acessórios</v>
      </c>
      <c r="R301" s="1" t="str">
        <f t="shared" si="13"/>
        <v>202207</v>
      </c>
      <c r="S301" s="1">
        <f t="shared" si="14"/>
        <v>1.05</v>
      </c>
    </row>
    <row r="302" spans="1:19" x14ac:dyDescent="0.2">
      <c r="A302" s="1" t="str">
        <v>1</v>
      </c>
      <c r="B302" s="1" t="str">
        <v>Brasil</v>
      </c>
      <c r="C302" s="1" t="str">
        <v>2</v>
      </c>
      <c r="D302" s="1" t="str">
        <v>%</v>
      </c>
      <c r="E302" s="1" t="str">
        <v>1.05</v>
      </c>
      <c r="F302" s="1" t="str">
        <v>1</v>
      </c>
      <c r="G302" s="1" t="str">
        <v>Brasil</v>
      </c>
      <c r="H302" s="1" t="str">
        <v>63</v>
      </c>
      <c r="I302" s="1" t="str">
        <v>IPCA - Variação mensal</v>
      </c>
      <c r="J302" s="1" t="str">
        <v>202207</v>
      </c>
      <c r="K302" s="1" t="str">
        <v>julho 2022</v>
      </c>
      <c r="L302" s="1" t="str">
        <v>7605</v>
      </c>
      <c r="M302" s="1" t="str">
        <v>4201.Calçados e acessórios</v>
      </c>
      <c r="Q302" s="1" t="str">
        <f t="shared" si="12"/>
        <v>4201.Calçados e acessórios</v>
      </c>
      <c r="R302" s="1" t="str">
        <f t="shared" si="13"/>
        <v>202207</v>
      </c>
      <c r="S302" s="1">
        <f t="shared" si="14"/>
        <v>1.05</v>
      </c>
    </row>
    <row r="303" spans="1:19" x14ac:dyDescent="0.2">
      <c r="A303" s="1" t="str">
        <v>1</v>
      </c>
      <c r="B303" s="1" t="str">
        <v>Brasil</v>
      </c>
      <c r="C303" s="1" t="str">
        <v>2</v>
      </c>
      <c r="D303" s="1" t="str">
        <v>%</v>
      </c>
      <c r="E303" s="1" t="str">
        <v>1.69</v>
      </c>
      <c r="F303" s="1" t="str">
        <v>1</v>
      </c>
      <c r="G303" s="1" t="str">
        <v>Brasil</v>
      </c>
      <c r="H303" s="1" t="str">
        <v>63</v>
      </c>
      <c r="I303" s="1" t="str">
        <v>IPCA - Variação mensal</v>
      </c>
      <c r="J303" s="1" t="str">
        <v>202207</v>
      </c>
      <c r="K303" s="1" t="str">
        <v>julho 2022</v>
      </c>
      <c r="L303" s="1" t="str">
        <v>7606</v>
      </c>
      <c r="M303" s="1" t="str">
        <v>4201002.Sapato masculino</v>
      </c>
      <c r="Q303" s="1" t="str">
        <f t="shared" si="12"/>
        <v>4201002.Sapato masculino</v>
      </c>
      <c r="R303" s="1" t="str">
        <f t="shared" si="13"/>
        <v>202207</v>
      </c>
      <c r="S303" s="1">
        <f t="shared" si="14"/>
        <v>1.69</v>
      </c>
    </row>
    <row r="304" spans="1:19" x14ac:dyDescent="0.2">
      <c r="A304" s="1" t="str">
        <v>1</v>
      </c>
      <c r="B304" s="1" t="str">
        <v>Brasil</v>
      </c>
      <c r="C304" s="1" t="str">
        <v>2</v>
      </c>
      <c r="D304" s="1" t="str">
        <v>%</v>
      </c>
      <c r="E304" s="1" t="str">
        <v>1.82</v>
      </c>
      <c r="F304" s="1" t="str">
        <v>1</v>
      </c>
      <c r="G304" s="1" t="str">
        <v>Brasil</v>
      </c>
      <c r="H304" s="1" t="str">
        <v>63</v>
      </c>
      <c r="I304" s="1" t="str">
        <v>IPCA - Variação mensal</v>
      </c>
      <c r="J304" s="1" t="str">
        <v>202207</v>
      </c>
      <c r="K304" s="1" t="str">
        <v>julho 2022</v>
      </c>
      <c r="L304" s="1" t="str">
        <v>7607</v>
      </c>
      <c r="M304" s="1" t="str">
        <v>4201003.Sapato feminino</v>
      </c>
      <c r="Q304" s="1" t="str">
        <f t="shared" si="12"/>
        <v>4201003.Sapato feminino</v>
      </c>
      <c r="R304" s="1" t="str">
        <f t="shared" si="13"/>
        <v>202207</v>
      </c>
      <c r="S304" s="1">
        <f t="shared" si="14"/>
        <v>1.82</v>
      </c>
    </row>
    <row r="305" spans="1:19" x14ac:dyDescent="0.2">
      <c r="A305" s="1" t="str">
        <v>1</v>
      </c>
      <c r="B305" s="1" t="str">
        <v>Brasil</v>
      </c>
      <c r="C305" s="1" t="str">
        <v>2</v>
      </c>
      <c r="D305" s="1" t="str">
        <v>%</v>
      </c>
      <c r="E305" s="1" t="str">
        <v>2.68</v>
      </c>
      <c r="F305" s="1" t="str">
        <v>1</v>
      </c>
      <c r="G305" s="1" t="str">
        <v>Brasil</v>
      </c>
      <c r="H305" s="1" t="str">
        <v>63</v>
      </c>
      <c r="I305" s="1" t="str">
        <v>IPCA - Variação mensal</v>
      </c>
      <c r="J305" s="1" t="str">
        <v>202207</v>
      </c>
      <c r="K305" s="1" t="str">
        <v>julho 2022</v>
      </c>
      <c r="L305" s="1" t="str">
        <v>7608</v>
      </c>
      <c r="M305" s="1" t="str">
        <v>4201004.Sapato infantil</v>
      </c>
      <c r="Q305" s="1" t="str">
        <f t="shared" si="12"/>
        <v>4201004.Sapato infantil</v>
      </c>
      <c r="R305" s="1" t="str">
        <f t="shared" si="13"/>
        <v>202207</v>
      </c>
      <c r="S305" s="1">
        <f t="shared" si="14"/>
        <v>2.68</v>
      </c>
    </row>
    <row r="306" spans="1:19" x14ac:dyDescent="0.2">
      <c r="A306" s="1" t="str">
        <v>1</v>
      </c>
      <c r="B306" s="1" t="str">
        <v>Brasil</v>
      </c>
      <c r="C306" s="1" t="str">
        <v>2</v>
      </c>
      <c r="D306" s="1" t="str">
        <v>%</v>
      </c>
      <c r="E306" s="1" t="str">
        <v>1.93</v>
      </c>
      <c r="F306" s="1" t="str">
        <v>1</v>
      </c>
      <c r="G306" s="1" t="str">
        <v>Brasil</v>
      </c>
      <c r="H306" s="1" t="str">
        <v>63</v>
      </c>
      <c r="I306" s="1" t="str">
        <v>IPCA - Variação mensal</v>
      </c>
      <c r="J306" s="1" t="str">
        <v>202207</v>
      </c>
      <c r="K306" s="1" t="str">
        <v>julho 2022</v>
      </c>
      <c r="L306" s="1" t="str">
        <v>107652</v>
      </c>
      <c r="M306" s="1" t="str">
        <v>4201015.Bolsa</v>
      </c>
      <c r="Q306" s="1" t="str">
        <f t="shared" si="12"/>
        <v>4201015.Bolsa</v>
      </c>
      <c r="R306" s="1" t="str">
        <f t="shared" si="13"/>
        <v>202207</v>
      </c>
      <c r="S306" s="1">
        <f t="shared" si="14"/>
        <v>1.93</v>
      </c>
    </row>
    <row r="307" spans="1:19" x14ac:dyDescent="0.2">
      <c r="A307" s="1" t="str">
        <v>1</v>
      </c>
      <c r="B307" s="1" t="str">
        <v>Brasil</v>
      </c>
      <c r="C307" s="1" t="str">
        <v>2</v>
      </c>
      <c r="D307" s="1" t="str">
        <v>%</v>
      </c>
      <c r="E307" s="1" t="str">
        <v>1.39</v>
      </c>
      <c r="F307" s="1" t="str">
        <v>1</v>
      </c>
      <c r="G307" s="1" t="str">
        <v>Brasil</v>
      </c>
      <c r="H307" s="1" t="str">
        <v>63</v>
      </c>
      <c r="I307" s="1" t="str">
        <v>IPCA - Variação mensal</v>
      </c>
      <c r="J307" s="1" t="str">
        <v>202207</v>
      </c>
      <c r="K307" s="1" t="str">
        <v>julho 2022</v>
      </c>
      <c r="L307" s="1" t="str">
        <v>47647</v>
      </c>
      <c r="M307" s="1" t="str">
        <v>4201040.Mochila</v>
      </c>
      <c r="Q307" s="1" t="str">
        <f t="shared" si="12"/>
        <v>4201040.Mochila</v>
      </c>
      <c r="R307" s="1" t="str">
        <f t="shared" si="13"/>
        <v>202207</v>
      </c>
      <c r="S307" s="1">
        <f t="shared" si="14"/>
        <v>1.39</v>
      </c>
    </row>
    <row r="308" spans="1:19" x14ac:dyDescent="0.2">
      <c r="A308" s="1" t="str">
        <v>1</v>
      </c>
      <c r="B308" s="1" t="str">
        <v>Brasil</v>
      </c>
      <c r="C308" s="1" t="str">
        <v>2</v>
      </c>
      <c r="D308" s="1" t="str">
        <v>%</v>
      </c>
      <c r="E308" s="1" t="str">
        <v>0.09</v>
      </c>
      <c r="F308" s="1" t="str">
        <v>1</v>
      </c>
      <c r="G308" s="1" t="str">
        <v>Brasil</v>
      </c>
      <c r="H308" s="1" t="str">
        <v>63</v>
      </c>
      <c r="I308" s="1" t="str">
        <v>IPCA - Variação mensal</v>
      </c>
      <c r="J308" s="1" t="str">
        <v>202207</v>
      </c>
      <c r="K308" s="1" t="str">
        <v>julho 2022</v>
      </c>
      <c r="L308" s="1" t="str">
        <v>7614</v>
      </c>
      <c r="M308" s="1" t="str">
        <v>4201063.Tênis</v>
      </c>
      <c r="Q308" s="1" t="str">
        <f t="shared" si="12"/>
        <v>4201063.Tênis</v>
      </c>
      <c r="R308" s="1" t="str">
        <f t="shared" si="13"/>
        <v>202207</v>
      </c>
      <c r="S308" s="1">
        <f t="shared" si="14"/>
        <v>0.09</v>
      </c>
    </row>
    <row r="309" spans="1:19" x14ac:dyDescent="0.2">
      <c r="A309" s="1" t="str">
        <v>1</v>
      </c>
      <c r="B309" s="1" t="str">
        <v>Brasil</v>
      </c>
      <c r="C309" s="1" t="str">
        <v>2</v>
      </c>
      <c r="D309" s="1" t="str">
        <v>%</v>
      </c>
      <c r="E309" s="1" t="str">
        <v>1.28</v>
      </c>
      <c r="F309" s="1" t="str">
        <v>1</v>
      </c>
      <c r="G309" s="1" t="str">
        <v>Brasil</v>
      </c>
      <c r="H309" s="1" t="str">
        <v>63</v>
      </c>
      <c r="I309" s="1" t="str">
        <v>IPCA - Variação mensal</v>
      </c>
      <c r="J309" s="1" t="str">
        <v>202207</v>
      </c>
      <c r="K309" s="1" t="str">
        <v>julho 2022</v>
      </c>
      <c r="L309" s="1" t="str">
        <v>47648</v>
      </c>
      <c r="M309" s="1" t="str">
        <v>4201098.Sandália/chinelo</v>
      </c>
      <c r="Q309" s="1" t="str">
        <f t="shared" si="12"/>
        <v>4201098.Sandália/chinelo</v>
      </c>
      <c r="R309" s="1" t="str">
        <f t="shared" si="13"/>
        <v>202207</v>
      </c>
      <c r="S309" s="1">
        <f t="shared" si="14"/>
        <v>1.28</v>
      </c>
    </row>
    <row r="310" spans="1:19" x14ac:dyDescent="0.2">
      <c r="A310" s="1" t="str">
        <v>1</v>
      </c>
      <c r="B310" s="1" t="str">
        <v>Brasil</v>
      </c>
      <c r="C310" s="1" t="str">
        <v>2</v>
      </c>
      <c r="D310" s="1" t="str">
        <v>%</v>
      </c>
      <c r="E310" s="1" t="str">
        <v>0.22</v>
      </c>
      <c r="F310" s="1" t="str">
        <v>1</v>
      </c>
      <c r="G310" s="1" t="str">
        <v>Brasil</v>
      </c>
      <c r="H310" s="1" t="str">
        <v>63</v>
      </c>
      <c r="I310" s="1" t="str">
        <v>IPCA - Variação mensal</v>
      </c>
      <c r="J310" s="1" t="str">
        <v>202207</v>
      </c>
      <c r="K310" s="1" t="str">
        <v>julho 2022</v>
      </c>
      <c r="L310" s="1" t="str">
        <v>7615</v>
      </c>
      <c r="M310" s="1" t="str">
        <v>43.Joias e bijuterias</v>
      </c>
      <c r="Q310" s="1" t="str">
        <f t="shared" si="12"/>
        <v>43.Joias e bijuterias</v>
      </c>
      <c r="R310" s="1" t="str">
        <f t="shared" si="13"/>
        <v>202207</v>
      </c>
      <c r="S310" s="1">
        <f t="shared" si="14"/>
        <v>0.22</v>
      </c>
    </row>
    <row r="311" spans="1:19" x14ac:dyDescent="0.2">
      <c r="A311" s="1" t="str">
        <v>1</v>
      </c>
      <c r="B311" s="1" t="str">
        <v>Brasil</v>
      </c>
      <c r="C311" s="1" t="str">
        <v>2</v>
      </c>
      <c r="D311" s="1" t="str">
        <v>%</v>
      </c>
      <c r="E311" s="1" t="str">
        <v>0.22</v>
      </c>
      <c r="F311" s="1" t="str">
        <v>1</v>
      </c>
      <c r="G311" s="1" t="str">
        <v>Brasil</v>
      </c>
      <c r="H311" s="1" t="str">
        <v>63</v>
      </c>
      <c r="I311" s="1" t="str">
        <v>IPCA - Variação mensal</v>
      </c>
      <c r="J311" s="1" t="str">
        <v>202207</v>
      </c>
      <c r="K311" s="1" t="str">
        <v>julho 2022</v>
      </c>
      <c r="L311" s="1" t="str">
        <v>7616</v>
      </c>
      <c r="M311" s="1" t="str">
        <v>4301.Joias e bijuterias</v>
      </c>
      <c r="Q311" s="1" t="str">
        <f t="shared" si="12"/>
        <v>4301.Joias e bijuterias</v>
      </c>
      <c r="R311" s="1" t="str">
        <f t="shared" si="13"/>
        <v>202207</v>
      </c>
      <c r="S311" s="1">
        <f t="shared" si="14"/>
        <v>0.22</v>
      </c>
    </row>
    <row r="312" spans="1:19" x14ac:dyDescent="0.2">
      <c r="A312" s="1" t="str">
        <v>1</v>
      </c>
      <c r="B312" s="1" t="str">
        <v>Brasil</v>
      </c>
      <c r="C312" s="1" t="str">
        <v>2</v>
      </c>
      <c r="D312" s="1" t="str">
        <v>%</v>
      </c>
      <c r="E312" s="1" t="str">
        <v>1.02</v>
      </c>
      <c r="F312" s="1" t="str">
        <v>1</v>
      </c>
      <c r="G312" s="1" t="str">
        <v>Brasil</v>
      </c>
      <c r="H312" s="1" t="str">
        <v>63</v>
      </c>
      <c r="I312" s="1" t="str">
        <v>IPCA - Variação mensal</v>
      </c>
      <c r="J312" s="1" t="str">
        <v>202207</v>
      </c>
      <c r="K312" s="1" t="str">
        <v>julho 2022</v>
      </c>
      <c r="L312" s="1" t="str">
        <v>7617</v>
      </c>
      <c r="M312" s="1" t="str">
        <v>4301001.Bijuteria</v>
      </c>
      <c r="Q312" s="1" t="str">
        <f t="shared" si="12"/>
        <v>4301001.Bijuteria</v>
      </c>
      <c r="R312" s="1" t="str">
        <f t="shared" si="13"/>
        <v>202207</v>
      </c>
      <c r="S312" s="1">
        <f t="shared" si="14"/>
        <v>1.02</v>
      </c>
    </row>
    <row r="313" spans="1:19" x14ac:dyDescent="0.2">
      <c r="A313" s="1" t="str">
        <v>1</v>
      </c>
      <c r="B313" s="1" t="str">
        <v>Brasil</v>
      </c>
      <c r="C313" s="1" t="str">
        <v>2</v>
      </c>
      <c r="D313" s="1" t="str">
        <v>%</v>
      </c>
      <c r="E313" s="1" t="str">
        <v>0.08</v>
      </c>
      <c r="F313" s="1" t="str">
        <v>1</v>
      </c>
      <c r="G313" s="1" t="str">
        <v>Brasil</v>
      </c>
      <c r="H313" s="1" t="str">
        <v>63</v>
      </c>
      <c r="I313" s="1" t="str">
        <v>IPCA - Variação mensal</v>
      </c>
      <c r="J313" s="1" t="str">
        <v>202207</v>
      </c>
      <c r="K313" s="1" t="str">
        <v>julho 2022</v>
      </c>
      <c r="L313" s="1" t="str">
        <v>7618</v>
      </c>
      <c r="M313" s="1" t="str">
        <v>4301002.Joia</v>
      </c>
      <c r="Q313" s="1" t="str">
        <f t="shared" si="12"/>
        <v>4301002.Joia</v>
      </c>
      <c r="R313" s="1" t="str">
        <f t="shared" si="13"/>
        <v>202207</v>
      </c>
      <c r="S313" s="1">
        <f t="shared" si="14"/>
        <v>0.08</v>
      </c>
    </row>
    <row r="314" spans="1:19" x14ac:dyDescent="0.2">
      <c r="A314" s="1" t="str">
        <v>1</v>
      </c>
      <c r="B314" s="1" t="str">
        <v>Brasil</v>
      </c>
      <c r="C314" s="1" t="str">
        <v>2</v>
      </c>
      <c r="D314" s="1" t="str">
        <v>%</v>
      </c>
      <c r="E314" s="1" t="str">
        <v>0.34</v>
      </c>
      <c r="F314" s="1" t="str">
        <v>1</v>
      </c>
      <c r="G314" s="1" t="str">
        <v>Brasil</v>
      </c>
      <c r="H314" s="1" t="str">
        <v>63</v>
      </c>
      <c r="I314" s="1" t="str">
        <v>IPCA - Variação mensal</v>
      </c>
      <c r="J314" s="1" t="str">
        <v>202207</v>
      </c>
      <c r="K314" s="1" t="str">
        <v>julho 2022</v>
      </c>
      <c r="L314" s="1" t="str">
        <v>7619</v>
      </c>
      <c r="M314" s="1" t="str">
        <v>4301004.Relógio de pulso</v>
      </c>
      <c r="Q314" s="1" t="str">
        <f t="shared" si="12"/>
        <v>4301004.Relógio de pulso</v>
      </c>
      <c r="R314" s="1" t="str">
        <f t="shared" si="13"/>
        <v>202207</v>
      </c>
      <c r="S314" s="1">
        <f t="shared" si="14"/>
        <v>0.34</v>
      </c>
    </row>
    <row r="315" spans="1:19" x14ac:dyDescent="0.2">
      <c r="A315" s="1" t="str">
        <v>1</v>
      </c>
      <c r="B315" s="1" t="str">
        <v>Brasil</v>
      </c>
      <c r="C315" s="1" t="str">
        <v>2</v>
      </c>
      <c r="D315" s="1" t="str">
        <v>%</v>
      </c>
      <c r="E315" s="1" t="str">
        <v>0.64</v>
      </c>
      <c r="F315" s="1" t="str">
        <v>1</v>
      </c>
      <c r="G315" s="1" t="str">
        <v>Brasil</v>
      </c>
      <c r="H315" s="1" t="str">
        <v>63</v>
      </c>
      <c r="I315" s="1" t="str">
        <v>IPCA - Variação mensal</v>
      </c>
      <c r="J315" s="1" t="str">
        <v>202207</v>
      </c>
      <c r="K315" s="1" t="str">
        <v>julho 2022</v>
      </c>
      <c r="L315" s="1" t="str">
        <v>7620</v>
      </c>
      <c r="M315" s="1" t="str">
        <v>44.Tecidos e armarinho</v>
      </c>
      <c r="Q315" s="1" t="str">
        <f t="shared" si="12"/>
        <v>44.Tecidos e armarinho</v>
      </c>
      <c r="R315" s="1" t="str">
        <f t="shared" si="13"/>
        <v>202207</v>
      </c>
      <c r="S315" s="1">
        <f t="shared" si="14"/>
        <v>0.64</v>
      </c>
    </row>
    <row r="316" spans="1:19" x14ac:dyDescent="0.2">
      <c r="A316" s="1" t="str">
        <v>1</v>
      </c>
      <c r="B316" s="1" t="str">
        <v>Brasil</v>
      </c>
      <c r="C316" s="1" t="str">
        <v>2</v>
      </c>
      <c r="D316" s="1" t="str">
        <v>%</v>
      </c>
      <c r="E316" s="1" t="str">
        <v>0.64</v>
      </c>
      <c r="F316" s="1" t="str">
        <v>1</v>
      </c>
      <c r="G316" s="1" t="str">
        <v>Brasil</v>
      </c>
      <c r="H316" s="1" t="str">
        <v>63</v>
      </c>
      <c r="I316" s="1" t="str">
        <v>IPCA - Variação mensal</v>
      </c>
      <c r="J316" s="1" t="str">
        <v>202207</v>
      </c>
      <c r="K316" s="1" t="str">
        <v>julho 2022</v>
      </c>
      <c r="L316" s="1" t="str">
        <v>7621</v>
      </c>
      <c r="M316" s="1" t="str">
        <v>4401.Tecidos e armarinho</v>
      </c>
      <c r="Q316" s="1" t="str">
        <f t="shared" si="12"/>
        <v>4401.Tecidos e armarinho</v>
      </c>
      <c r="R316" s="1" t="str">
        <f t="shared" si="13"/>
        <v>202207</v>
      </c>
      <c r="S316" s="1">
        <f t="shared" si="14"/>
        <v>0.64</v>
      </c>
    </row>
    <row r="317" spans="1:19" x14ac:dyDescent="0.2">
      <c r="A317" s="1" t="str">
        <v>1</v>
      </c>
      <c r="B317" s="1" t="str">
        <v>Brasil</v>
      </c>
      <c r="C317" s="1" t="str">
        <v>2</v>
      </c>
      <c r="D317" s="1" t="str">
        <v>%</v>
      </c>
      <c r="E317" s="1" t="str">
        <v>0.68</v>
      </c>
      <c r="F317" s="1" t="str">
        <v>1</v>
      </c>
      <c r="G317" s="1" t="str">
        <v>Brasil</v>
      </c>
      <c r="H317" s="1" t="str">
        <v>63</v>
      </c>
      <c r="I317" s="1" t="str">
        <v>IPCA - Variação mensal</v>
      </c>
      <c r="J317" s="1" t="str">
        <v>202207</v>
      </c>
      <c r="K317" s="1" t="str">
        <v>julho 2022</v>
      </c>
      <c r="L317" s="1" t="str">
        <v>7622</v>
      </c>
      <c r="M317" s="1" t="str">
        <v>4401001.Tecido</v>
      </c>
      <c r="Q317" s="1" t="str">
        <f t="shared" si="12"/>
        <v>4401001.Tecido</v>
      </c>
      <c r="R317" s="1" t="str">
        <f t="shared" si="13"/>
        <v>202207</v>
      </c>
      <c r="S317" s="1">
        <f t="shared" si="14"/>
        <v>0.68</v>
      </c>
    </row>
    <row r="318" spans="1:19" x14ac:dyDescent="0.2">
      <c r="A318" s="1" t="str">
        <v>1</v>
      </c>
      <c r="B318" s="1" t="str">
        <v>Brasil</v>
      </c>
      <c r="C318" s="1" t="str">
        <v>2</v>
      </c>
      <c r="D318" s="1" t="str">
        <v>%</v>
      </c>
      <c r="E318" s="1" t="str">
        <v>0.45</v>
      </c>
      <c r="F318" s="1" t="str">
        <v>1</v>
      </c>
      <c r="G318" s="1" t="str">
        <v>Brasil</v>
      </c>
      <c r="H318" s="1" t="str">
        <v>63</v>
      </c>
      <c r="I318" s="1" t="str">
        <v>IPCA - Variação mensal</v>
      </c>
      <c r="J318" s="1" t="str">
        <v>202207</v>
      </c>
      <c r="K318" s="1" t="str">
        <v>julho 2022</v>
      </c>
      <c r="L318" s="1" t="str">
        <v>7623</v>
      </c>
      <c r="M318" s="1" t="str">
        <v>4401002.Artigos de armarinho</v>
      </c>
      <c r="Q318" s="1" t="str">
        <f t="shared" si="12"/>
        <v>4401002.Artigos de armarinho</v>
      </c>
      <c r="R318" s="1" t="str">
        <f t="shared" si="13"/>
        <v>202207</v>
      </c>
      <c r="S318" s="1">
        <f t="shared" si="14"/>
        <v>0.45</v>
      </c>
    </row>
    <row r="319" spans="1:19" x14ac:dyDescent="0.2">
      <c r="A319" s="1" t="str">
        <v>1</v>
      </c>
      <c r="B319" s="1" t="str">
        <v>Brasil</v>
      </c>
      <c r="C319" s="1" t="str">
        <v>2</v>
      </c>
      <c r="D319" s="1" t="str">
        <v>%</v>
      </c>
      <c r="E319" s="1" t="str">
        <v>-4.51</v>
      </c>
      <c r="F319" s="1" t="str">
        <v>1</v>
      </c>
      <c r="G319" s="1" t="str">
        <v>Brasil</v>
      </c>
      <c r="H319" s="1" t="str">
        <v>63</v>
      </c>
      <c r="I319" s="1" t="str">
        <v>IPCA - Variação mensal</v>
      </c>
      <c r="J319" s="1" t="str">
        <v>202207</v>
      </c>
      <c r="K319" s="1" t="str">
        <v>julho 2022</v>
      </c>
      <c r="L319" s="1" t="str">
        <v>7625</v>
      </c>
      <c r="M319" s="1" t="str">
        <v>5.Transportes</v>
      </c>
      <c r="Q319" s="1" t="str">
        <f t="shared" si="12"/>
        <v>5.Transportes</v>
      </c>
      <c r="R319" s="1" t="str">
        <f t="shared" si="13"/>
        <v>202207</v>
      </c>
      <c r="S319" s="1">
        <f t="shared" si="14"/>
        <v>-4.51</v>
      </c>
    </row>
    <row r="320" spans="1:19" x14ac:dyDescent="0.2">
      <c r="A320" s="1" t="str">
        <v>1</v>
      </c>
      <c r="B320" s="1" t="str">
        <v>Brasil</v>
      </c>
      <c r="C320" s="1" t="str">
        <v>2</v>
      </c>
      <c r="D320" s="1" t="str">
        <v>%</v>
      </c>
      <c r="E320" s="1" t="str">
        <v>-4.51</v>
      </c>
      <c r="F320" s="1" t="str">
        <v>1</v>
      </c>
      <c r="G320" s="1" t="str">
        <v>Brasil</v>
      </c>
      <c r="H320" s="1" t="str">
        <v>63</v>
      </c>
      <c r="I320" s="1" t="str">
        <v>IPCA - Variação mensal</v>
      </c>
      <c r="J320" s="1" t="str">
        <v>202207</v>
      </c>
      <c r="K320" s="1" t="str">
        <v>julho 2022</v>
      </c>
      <c r="L320" s="1" t="str">
        <v>7626</v>
      </c>
      <c r="M320" s="1" t="str">
        <v>51.Transportes</v>
      </c>
      <c r="Q320" s="1" t="str">
        <f t="shared" si="12"/>
        <v>51.Transportes</v>
      </c>
      <c r="R320" s="1" t="str">
        <f t="shared" si="13"/>
        <v>202207</v>
      </c>
      <c r="S320" s="1">
        <f t="shared" si="14"/>
        <v>-4.51</v>
      </c>
    </row>
    <row r="321" spans="1:19" x14ac:dyDescent="0.2">
      <c r="A321" s="1" t="str">
        <v>1</v>
      </c>
      <c r="B321" s="1" t="str">
        <v>Brasil</v>
      </c>
      <c r="C321" s="1" t="str">
        <v>2</v>
      </c>
      <c r="D321" s="1" t="str">
        <v>%</v>
      </c>
      <c r="E321" s="1" t="str">
        <v>1.94</v>
      </c>
      <c r="F321" s="1" t="str">
        <v>1</v>
      </c>
      <c r="G321" s="1" t="str">
        <v>Brasil</v>
      </c>
      <c r="H321" s="1" t="str">
        <v>63</v>
      </c>
      <c r="I321" s="1" t="str">
        <v>IPCA - Variação mensal</v>
      </c>
      <c r="J321" s="1" t="str">
        <v>202207</v>
      </c>
      <c r="K321" s="1" t="str">
        <v>julho 2022</v>
      </c>
      <c r="L321" s="1" t="str">
        <v>7627</v>
      </c>
      <c r="M321" s="1" t="str">
        <v>5101.Transporte público</v>
      </c>
      <c r="Q321" s="1" t="str">
        <f t="shared" si="12"/>
        <v>5101.Transporte público</v>
      </c>
      <c r="R321" s="1" t="str">
        <f t="shared" si="13"/>
        <v>202207</v>
      </c>
      <c r="S321" s="1">
        <f t="shared" si="14"/>
        <v>1.94</v>
      </c>
    </row>
    <row r="322" spans="1:19" x14ac:dyDescent="0.2">
      <c r="A322" s="1" t="str">
        <v>1</v>
      </c>
      <c r="B322" s="1" t="str">
        <v>Brasil</v>
      </c>
      <c r="C322" s="1" t="str">
        <v>2</v>
      </c>
      <c r="D322" s="1" t="str">
        <v>%</v>
      </c>
      <c r="E322" s="1" t="str">
        <v>0.18</v>
      </c>
      <c r="F322" s="1" t="str">
        <v>1</v>
      </c>
      <c r="G322" s="1" t="str">
        <v>Brasil</v>
      </c>
      <c r="H322" s="1" t="str">
        <v>63</v>
      </c>
      <c r="I322" s="1" t="str">
        <v>IPCA - Variação mensal</v>
      </c>
      <c r="J322" s="1" t="str">
        <v>202207</v>
      </c>
      <c r="K322" s="1" t="str">
        <v>julho 2022</v>
      </c>
      <c r="L322" s="1" t="str">
        <v>7628</v>
      </c>
      <c r="M322" s="1" t="str">
        <v>5101001.Ônibus urbano</v>
      </c>
      <c r="Q322" s="1" t="str">
        <f t="shared" si="12"/>
        <v>5101001.Ônibus urbano</v>
      </c>
      <c r="R322" s="1" t="str">
        <f t="shared" si="13"/>
        <v>202207</v>
      </c>
      <c r="S322" s="1">
        <f t="shared" si="14"/>
        <v>0.18</v>
      </c>
    </row>
    <row r="323" spans="1:19" x14ac:dyDescent="0.2">
      <c r="A323" s="1" t="str">
        <v>1</v>
      </c>
      <c r="B323" s="1" t="str">
        <v>Brasil</v>
      </c>
      <c r="C323" s="1" t="str">
        <v>2</v>
      </c>
      <c r="D323" s="1" t="str">
        <v>%</v>
      </c>
      <c r="E323" s="1" t="str">
        <v>0.00</v>
      </c>
      <c r="F323" s="1" t="str">
        <v>1</v>
      </c>
      <c r="G323" s="1" t="str">
        <v>Brasil</v>
      </c>
      <c r="H323" s="1" t="str">
        <v>63</v>
      </c>
      <c r="I323" s="1" t="str">
        <v>IPCA - Variação mensal</v>
      </c>
      <c r="J323" s="1" t="str">
        <v>202207</v>
      </c>
      <c r="K323" s="1" t="str">
        <v>julho 2022</v>
      </c>
      <c r="L323" s="1" t="str">
        <v>7629</v>
      </c>
      <c r="M323" s="1" t="str">
        <v>5101002.Táxi</v>
      </c>
      <c r="Q323" s="1" t="str">
        <f t="shared" si="12"/>
        <v>5101002.Táxi</v>
      </c>
      <c r="R323" s="1" t="str">
        <f t="shared" si="13"/>
        <v>202207</v>
      </c>
      <c r="S323" s="1">
        <f t="shared" si="14"/>
        <v>0</v>
      </c>
    </row>
    <row r="324" spans="1:19" x14ac:dyDescent="0.2">
      <c r="A324" s="1" t="str">
        <v>1</v>
      </c>
      <c r="B324" s="1" t="str">
        <v>Brasil</v>
      </c>
      <c r="C324" s="1" t="str">
        <v>2</v>
      </c>
      <c r="D324" s="1" t="str">
        <v>%</v>
      </c>
      <c r="E324" s="1" t="str">
        <v>0.00</v>
      </c>
      <c r="F324" s="1" t="str">
        <v>1</v>
      </c>
      <c r="G324" s="1" t="str">
        <v>Brasil</v>
      </c>
      <c r="H324" s="1" t="str">
        <v>63</v>
      </c>
      <c r="I324" s="1" t="str">
        <v>IPCA - Variação mensal</v>
      </c>
      <c r="J324" s="1" t="str">
        <v>202207</v>
      </c>
      <c r="K324" s="1" t="str">
        <v>julho 2022</v>
      </c>
      <c r="L324" s="1" t="str">
        <v>7630</v>
      </c>
      <c r="M324" s="1" t="str">
        <v>5101004.Trem</v>
      </c>
      <c r="Q324" s="1" t="str">
        <f t="shared" si="12"/>
        <v>5101004.Trem</v>
      </c>
      <c r="R324" s="1" t="str">
        <f t="shared" si="13"/>
        <v>202207</v>
      </c>
      <c r="S324" s="1">
        <f t="shared" si="14"/>
        <v>0</v>
      </c>
    </row>
    <row r="325" spans="1:19" x14ac:dyDescent="0.2">
      <c r="A325" s="1" t="str">
        <v>1</v>
      </c>
      <c r="B325" s="1" t="str">
        <v>Brasil</v>
      </c>
      <c r="C325" s="1" t="str">
        <v>2</v>
      </c>
      <c r="D325" s="1" t="str">
        <v>%</v>
      </c>
      <c r="E325" s="1" t="str">
        <v>0.54</v>
      </c>
      <c r="F325" s="1" t="str">
        <v>1</v>
      </c>
      <c r="G325" s="1" t="str">
        <v>Brasil</v>
      </c>
      <c r="H325" s="1" t="str">
        <v>63</v>
      </c>
      <c r="I325" s="1" t="str">
        <v>IPCA - Variação mensal</v>
      </c>
      <c r="J325" s="1" t="str">
        <v>202207</v>
      </c>
      <c r="K325" s="1" t="str">
        <v>julho 2022</v>
      </c>
      <c r="L325" s="1" t="str">
        <v>7631</v>
      </c>
      <c r="M325" s="1" t="str">
        <v>5101006.Ônibus intermunicipal</v>
      </c>
      <c r="Q325" s="1" t="str">
        <f t="shared" si="12"/>
        <v>5101006.Ônibus intermunicipal</v>
      </c>
      <c r="R325" s="1" t="str">
        <f t="shared" si="13"/>
        <v>202207</v>
      </c>
      <c r="S325" s="1">
        <f t="shared" si="14"/>
        <v>0.54</v>
      </c>
    </row>
    <row r="326" spans="1:19" x14ac:dyDescent="0.2">
      <c r="A326" s="1" t="str">
        <v>1</v>
      </c>
      <c r="B326" s="1" t="str">
        <v>Brasil</v>
      </c>
      <c r="C326" s="1" t="str">
        <v>2</v>
      </c>
      <c r="D326" s="1" t="str">
        <v>%</v>
      </c>
      <c r="E326" s="1" t="str">
        <v>2.97</v>
      </c>
      <c r="F326" s="1" t="str">
        <v>1</v>
      </c>
      <c r="G326" s="1" t="str">
        <v>Brasil</v>
      </c>
      <c r="H326" s="1" t="str">
        <v>63</v>
      </c>
      <c r="I326" s="1" t="str">
        <v>IPCA - Variação mensal</v>
      </c>
      <c r="J326" s="1" t="str">
        <v>202207</v>
      </c>
      <c r="K326" s="1" t="str">
        <v>julho 2022</v>
      </c>
      <c r="L326" s="1" t="str">
        <v>7632</v>
      </c>
      <c r="M326" s="1" t="str">
        <v>5101007.Ônibus interestadual</v>
      </c>
      <c r="Q326" s="1" t="str">
        <f t="shared" si="12"/>
        <v>5101007.Ônibus interestadual</v>
      </c>
      <c r="R326" s="1" t="str">
        <f t="shared" si="13"/>
        <v>202207</v>
      </c>
      <c r="S326" s="1">
        <f t="shared" si="14"/>
        <v>2.97</v>
      </c>
    </row>
    <row r="327" spans="1:19" x14ac:dyDescent="0.2">
      <c r="A327" s="1" t="str">
        <v>1</v>
      </c>
      <c r="B327" s="1" t="str">
        <v>Brasil</v>
      </c>
      <c r="C327" s="1" t="str">
        <v>2</v>
      </c>
      <c r="D327" s="1" t="str">
        <v>%</v>
      </c>
      <c r="E327" s="1" t="str">
        <v>8.02</v>
      </c>
      <c r="F327" s="1" t="str">
        <v>1</v>
      </c>
      <c r="G327" s="1" t="str">
        <v>Brasil</v>
      </c>
      <c r="H327" s="1" t="str">
        <v>63</v>
      </c>
      <c r="I327" s="1" t="str">
        <v>IPCA - Variação mensal</v>
      </c>
      <c r="J327" s="1" t="str">
        <v>202207</v>
      </c>
      <c r="K327" s="1" t="str">
        <v>julho 2022</v>
      </c>
      <c r="L327" s="1" t="str">
        <v>7634</v>
      </c>
      <c r="M327" s="1" t="str">
        <v>5101010.Passagem aérea</v>
      </c>
      <c r="Q327" s="1" t="str">
        <f t="shared" ref="Q327:Q390" si="15">M327</f>
        <v>5101010.Passagem aérea</v>
      </c>
      <c r="R327" s="1" t="str">
        <f t="shared" ref="R327:R390" si="16">J327</f>
        <v>202207</v>
      </c>
      <c r="S327" s="1">
        <f t="shared" ref="S327:S390" si="17">IFERROR(_xlfn.NUMBERVALUE(E327,".",","), "")</f>
        <v>8.02</v>
      </c>
    </row>
    <row r="328" spans="1:19" x14ac:dyDescent="0.2">
      <c r="A328" s="1" t="str">
        <v>1</v>
      </c>
      <c r="B328" s="1" t="str">
        <v>Brasil</v>
      </c>
      <c r="C328" s="1" t="str">
        <v>2</v>
      </c>
      <c r="D328" s="1" t="str">
        <v>%</v>
      </c>
      <c r="E328" s="1" t="str">
        <v>0.00</v>
      </c>
      <c r="F328" s="1" t="str">
        <v>1</v>
      </c>
      <c r="G328" s="1" t="str">
        <v>Brasil</v>
      </c>
      <c r="H328" s="1" t="str">
        <v>63</v>
      </c>
      <c r="I328" s="1" t="str">
        <v>IPCA - Variação mensal</v>
      </c>
      <c r="J328" s="1" t="str">
        <v>202207</v>
      </c>
      <c r="K328" s="1" t="str">
        <v>julho 2022</v>
      </c>
      <c r="L328" s="1" t="str">
        <v>7635</v>
      </c>
      <c r="M328" s="1" t="str">
        <v>5101011.Metrô</v>
      </c>
      <c r="Q328" s="1" t="str">
        <f t="shared" si="15"/>
        <v>5101011.Metrô</v>
      </c>
      <c r="R328" s="1" t="str">
        <f t="shared" si="16"/>
        <v>202207</v>
      </c>
      <c r="S328" s="1">
        <f t="shared" si="17"/>
        <v>0</v>
      </c>
    </row>
    <row r="329" spans="1:19" x14ac:dyDescent="0.2">
      <c r="A329" s="1" t="str">
        <v>1</v>
      </c>
      <c r="B329" s="1" t="str">
        <v>Brasil</v>
      </c>
      <c r="C329" s="1" t="str">
        <v>2</v>
      </c>
      <c r="D329" s="1" t="str">
        <v>%</v>
      </c>
      <c r="E329" s="1" t="str">
        <v>1.22</v>
      </c>
      <c r="F329" s="1" t="str">
        <v>1</v>
      </c>
      <c r="G329" s="1" t="str">
        <v>Brasil</v>
      </c>
      <c r="H329" s="1" t="str">
        <v>63</v>
      </c>
      <c r="I329" s="1" t="str">
        <v>IPCA - Variação mensal</v>
      </c>
      <c r="J329" s="1" t="str">
        <v>202207</v>
      </c>
      <c r="K329" s="1" t="str">
        <v>julho 2022</v>
      </c>
      <c r="L329" s="1" t="str">
        <v>7639</v>
      </c>
      <c r="M329" s="1" t="str">
        <v>5101026.Transporte escolar</v>
      </c>
      <c r="Q329" s="1" t="str">
        <f t="shared" si="15"/>
        <v>5101026.Transporte escolar</v>
      </c>
      <c r="R329" s="1" t="str">
        <f t="shared" si="16"/>
        <v>202207</v>
      </c>
      <c r="S329" s="1">
        <f t="shared" si="17"/>
        <v>1.22</v>
      </c>
    </row>
    <row r="330" spans="1:19" x14ac:dyDescent="0.2">
      <c r="A330" s="1" t="str">
        <v>1</v>
      </c>
      <c r="B330" s="1" t="str">
        <v>Brasil</v>
      </c>
      <c r="C330" s="1" t="str">
        <v>2</v>
      </c>
      <c r="D330" s="1" t="str">
        <v>%</v>
      </c>
      <c r="E330" s="1" t="str">
        <v>0.72</v>
      </c>
      <c r="F330" s="1" t="str">
        <v>1</v>
      </c>
      <c r="G330" s="1" t="str">
        <v>Brasil</v>
      </c>
      <c r="H330" s="1" t="str">
        <v>63</v>
      </c>
      <c r="I330" s="1" t="str">
        <v>IPCA - Variação mensal</v>
      </c>
      <c r="J330" s="1" t="str">
        <v>202207</v>
      </c>
      <c r="K330" s="1" t="str">
        <v>julho 2022</v>
      </c>
      <c r="L330" s="1" t="str">
        <v>47649</v>
      </c>
      <c r="M330" s="1" t="str">
        <v>5101051.Transporte por aplicativo</v>
      </c>
      <c r="Q330" s="1" t="str">
        <f t="shared" si="15"/>
        <v>5101051.Transporte por aplicativo</v>
      </c>
      <c r="R330" s="1" t="str">
        <f t="shared" si="16"/>
        <v>202207</v>
      </c>
      <c r="S330" s="1">
        <f t="shared" si="17"/>
        <v>0.72</v>
      </c>
    </row>
    <row r="331" spans="1:19" x14ac:dyDescent="0.2">
      <c r="A331" s="1" t="str">
        <v>1</v>
      </c>
      <c r="B331" s="1" t="str">
        <v>Brasil</v>
      </c>
      <c r="C331" s="1" t="str">
        <v>2</v>
      </c>
      <c r="D331" s="1" t="str">
        <v>%</v>
      </c>
      <c r="E331" s="1" t="str">
        <v>0.00</v>
      </c>
      <c r="F331" s="1" t="str">
        <v>1</v>
      </c>
      <c r="G331" s="1" t="str">
        <v>Brasil</v>
      </c>
      <c r="H331" s="1" t="str">
        <v>63</v>
      </c>
      <c r="I331" s="1" t="str">
        <v>IPCA - Variação mensal</v>
      </c>
      <c r="J331" s="1" t="str">
        <v>202207</v>
      </c>
      <c r="K331" s="1" t="str">
        <v>julho 2022</v>
      </c>
      <c r="L331" s="1" t="str">
        <v>47650</v>
      </c>
      <c r="M331" s="1" t="str">
        <v>5101053.Integração transporte público</v>
      </c>
      <c r="Q331" s="1" t="str">
        <f t="shared" si="15"/>
        <v>5101053.Integração transporte público</v>
      </c>
      <c r="R331" s="1" t="str">
        <f t="shared" si="16"/>
        <v>202207</v>
      </c>
      <c r="S331" s="1">
        <f t="shared" si="17"/>
        <v>0</v>
      </c>
    </row>
    <row r="332" spans="1:19" x14ac:dyDescent="0.2">
      <c r="A332" s="1" t="str">
        <v>1</v>
      </c>
      <c r="B332" s="1" t="str">
        <v>Brasil</v>
      </c>
      <c r="C332" s="1" t="str">
        <v>2</v>
      </c>
      <c r="D332" s="1" t="str">
        <v>%</v>
      </c>
      <c r="E332" s="1" t="str">
        <v>0.65</v>
      </c>
      <c r="F332" s="1" t="str">
        <v>1</v>
      </c>
      <c r="G332" s="1" t="str">
        <v>Brasil</v>
      </c>
      <c r="H332" s="1" t="str">
        <v>63</v>
      </c>
      <c r="I332" s="1" t="str">
        <v>IPCA - Variação mensal</v>
      </c>
      <c r="J332" s="1" t="str">
        <v>202207</v>
      </c>
      <c r="K332" s="1" t="str">
        <v>julho 2022</v>
      </c>
      <c r="L332" s="1" t="str">
        <v>7640</v>
      </c>
      <c r="M332" s="1" t="str">
        <v>5102.Veículo próprio</v>
      </c>
      <c r="Q332" s="1" t="str">
        <f t="shared" si="15"/>
        <v>5102.Veículo próprio</v>
      </c>
      <c r="R332" s="1" t="str">
        <f t="shared" si="16"/>
        <v>202207</v>
      </c>
      <c r="S332" s="1">
        <f t="shared" si="17"/>
        <v>0.65</v>
      </c>
    </row>
    <row r="333" spans="1:19" x14ac:dyDescent="0.2">
      <c r="A333" s="1" t="str">
        <v>1</v>
      </c>
      <c r="B333" s="1" t="str">
        <v>Brasil</v>
      </c>
      <c r="C333" s="1" t="str">
        <v>2</v>
      </c>
      <c r="D333" s="1" t="str">
        <v>%</v>
      </c>
      <c r="E333" s="1" t="str">
        <v>0.11</v>
      </c>
      <c r="F333" s="1" t="str">
        <v>1</v>
      </c>
      <c r="G333" s="1" t="str">
        <v>Brasil</v>
      </c>
      <c r="H333" s="1" t="str">
        <v>63</v>
      </c>
      <c r="I333" s="1" t="str">
        <v>IPCA - Variação mensal</v>
      </c>
      <c r="J333" s="1" t="str">
        <v>202207</v>
      </c>
      <c r="K333" s="1" t="str">
        <v>julho 2022</v>
      </c>
      <c r="L333" s="1" t="str">
        <v>7641</v>
      </c>
      <c r="M333" s="1" t="str">
        <v>5102001.Automóvel novo</v>
      </c>
      <c r="Q333" s="1" t="str">
        <f t="shared" si="15"/>
        <v>5102001.Automóvel novo</v>
      </c>
      <c r="R333" s="1" t="str">
        <f t="shared" si="16"/>
        <v>202207</v>
      </c>
      <c r="S333" s="1">
        <f t="shared" si="17"/>
        <v>0.11</v>
      </c>
    </row>
    <row r="334" spans="1:19" x14ac:dyDescent="0.2">
      <c r="A334" s="1" t="str">
        <v>1</v>
      </c>
      <c r="B334" s="1" t="str">
        <v>Brasil</v>
      </c>
      <c r="C334" s="1" t="str">
        <v>2</v>
      </c>
      <c r="D334" s="1" t="str">
        <v>%</v>
      </c>
      <c r="E334" s="1" t="str">
        <v>1.71</v>
      </c>
      <c r="F334" s="1" t="str">
        <v>1</v>
      </c>
      <c r="G334" s="1" t="str">
        <v>Brasil</v>
      </c>
      <c r="H334" s="1" t="str">
        <v>63</v>
      </c>
      <c r="I334" s="1" t="str">
        <v>IPCA - Variação mensal</v>
      </c>
      <c r="J334" s="1" t="str">
        <v>202207</v>
      </c>
      <c r="K334" s="1" t="str">
        <v>julho 2022</v>
      </c>
      <c r="L334" s="1" t="str">
        <v>7642</v>
      </c>
      <c r="M334" s="1" t="str">
        <v>5102004.Emplacamento e licença</v>
      </c>
      <c r="Q334" s="1" t="str">
        <f t="shared" si="15"/>
        <v>5102004.Emplacamento e licença</v>
      </c>
      <c r="R334" s="1" t="str">
        <f t="shared" si="16"/>
        <v>202207</v>
      </c>
      <c r="S334" s="1">
        <f t="shared" si="17"/>
        <v>1.71</v>
      </c>
    </row>
    <row r="335" spans="1:19" x14ac:dyDescent="0.2">
      <c r="A335" s="1" t="str">
        <v>1</v>
      </c>
      <c r="B335" s="1" t="str">
        <v>Brasil</v>
      </c>
      <c r="C335" s="1" t="str">
        <v>2</v>
      </c>
      <c r="D335" s="1" t="str">
        <v>%</v>
      </c>
      <c r="E335" s="1" t="str">
        <v>1.85</v>
      </c>
      <c r="F335" s="1" t="str">
        <v>1</v>
      </c>
      <c r="G335" s="1" t="str">
        <v>Brasil</v>
      </c>
      <c r="H335" s="1" t="str">
        <v>63</v>
      </c>
      <c r="I335" s="1" t="str">
        <v>IPCA - Variação mensal</v>
      </c>
      <c r="J335" s="1" t="str">
        <v>202207</v>
      </c>
      <c r="K335" s="1" t="str">
        <v>julho 2022</v>
      </c>
      <c r="L335" s="1" t="str">
        <v>7643</v>
      </c>
      <c r="M335" s="1" t="str">
        <v>5102005.Seguro voluntário de veículo</v>
      </c>
      <c r="Q335" s="1" t="str">
        <f t="shared" si="15"/>
        <v>5102005.Seguro voluntário de veículo</v>
      </c>
      <c r="R335" s="1" t="str">
        <f t="shared" si="16"/>
        <v>202207</v>
      </c>
      <c r="S335" s="1">
        <f t="shared" si="17"/>
        <v>1.85</v>
      </c>
    </row>
    <row r="336" spans="1:19" x14ac:dyDescent="0.2">
      <c r="A336" s="1" t="str">
        <v>1</v>
      </c>
      <c r="B336" s="1" t="str">
        <v>Brasil</v>
      </c>
      <c r="C336" s="1" t="str">
        <v>2</v>
      </c>
      <c r="D336" s="1" t="str">
        <v>%</v>
      </c>
      <c r="E336" s="1" t="str">
        <v>0.00</v>
      </c>
      <c r="F336" s="1" t="str">
        <v>1</v>
      </c>
      <c r="G336" s="1" t="str">
        <v>Brasil</v>
      </c>
      <c r="H336" s="1" t="str">
        <v>63</v>
      </c>
      <c r="I336" s="1" t="str">
        <v>IPCA - Variação mensal</v>
      </c>
      <c r="J336" s="1" t="str">
        <v>202207</v>
      </c>
      <c r="K336" s="1" t="str">
        <v>julho 2022</v>
      </c>
      <c r="L336" s="1" t="str">
        <v>107653</v>
      </c>
      <c r="M336" s="1" t="str">
        <v>5102006.Multa</v>
      </c>
      <c r="Q336" s="1" t="str">
        <f t="shared" si="15"/>
        <v>5102006.Multa</v>
      </c>
      <c r="R336" s="1" t="str">
        <f t="shared" si="16"/>
        <v>202207</v>
      </c>
      <c r="S336" s="1">
        <f t="shared" si="17"/>
        <v>0</v>
      </c>
    </row>
    <row r="337" spans="1:19" x14ac:dyDescent="0.2">
      <c r="A337" s="1" t="str">
        <v>1</v>
      </c>
      <c r="B337" s="1" t="str">
        <v>Brasil</v>
      </c>
      <c r="C337" s="1" t="str">
        <v>2</v>
      </c>
      <c r="D337" s="1" t="str">
        <v>%</v>
      </c>
      <c r="E337" s="1" t="str">
        <v>1.83</v>
      </c>
      <c r="F337" s="1" t="str">
        <v>1</v>
      </c>
      <c r="G337" s="1" t="str">
        <v>Brasil</v>
      </c>
      <c r="H337" s="1" t="str">
        <v>63</v>
      </c>
      <c r="I337" s="1" t="str">
        <v>IPCA - Variação mensal</v>
      </c>
      <c r="J337" s="1" t="str">
        <v>202207</v>
      </c>
      <c r="K337" s="1" t="str">
        <v>julho 2022</v>
      </c>
      <c r="L337" s="1" t="str">
        <v>7644</v>
      </c>
      <c r="M337" s="1" t="str">
        <v>5102007.Óleo lubrificante</v>
      </c>
      <c r="Q337" s="1" t="str">
        <f t="shared" si="15"/>
        <v>5102007.Óleo lubrificante</v>
      </c>
      <c r="R337" s="1" t="str">
        <f t="shared" si="16"/>
        <v>202207</v>
      </c>
      <c r="S337" s="1">
        <f t="shared" si="17"/>
        <v>1.83</v>
      </c>
    </row>
    <row r="338" spans="1:19" x14ac:dyDescent="0.2">
      <c r="A338" s="1" t="str">
        <v>1</v>
      </c>
      <c r="B338" s="1" t="str">
        <v>Brasil</v>
      </c>
      <c r="C338" s="1" t="str">
        <v>2</v>
      </c>
      <c r="D338" s="1" t="str">
        <v>%</v>
      </c>
      <c r="E338" s="1" t="str">
        <v>0.67</v>
      </c>
      <c r="F338" s="1" t="str">
        <v>1</v>
      </c>
      <c r="G338" s="1" t="str">
        <v>Brasil</v>
      </c>
      <c r="H338" s="1" t="str">
        <v>63</v>
      </c>
      <c r="I338" s="1" t="str">
        <v>IPCA - Variação mensal</v>
      </c>
      <c r="J338" s="1" t="str">
        <v>202207</v>
      </c>
      <c r="K338" s="1" t="str">
        <v>julho 2022</v>
      </c>
      <c r="L338" s="1" t="str">
        <v>7645</v>
      </c>
      <c r="M338" s="1" t="str">
        <v>5102009.Acessórios e peças</v>
      </c>
      <c r="Q338" s="1" t="str">
        <f t="shared" si="15"/>
        <v>5102009.Acessórios e peças</v>
      </c>
      <c r="R338" s="1" t="str">
        <f t="shared" si="16"/>
        <v>202207</v>
      </c>
      <c r="S338" s="1">
        <f t="shared" si="17"/>
        <v>0.67</v>
      </c>
    </row>
    <row r="339" spans="1:19" x14ac:dyDescent="0.2">
      <c r="A339" s="1" t="str">
        <v>1</v>
      </c>
      <c r="B339" s="1" t="str">
        <v>Brasil</v>
      </c>
      <c r="C339" s="1" t="str">
        <v>2</v>
      </c>
      <c r="D339" s="1" t="str">
        <v>%</v>
      </c>
      <c r="E339" s="1" t="str">
        <v>-0.19</v>
      </c>
      <c r="F339" s="1" t="str">
        <v>1</v>
      </c>
      <c r="G339" s="1" t="str">
        <v>Brasil</v>
      </c>
      <c r="H339" s="1" t="str">
        <v>63</v>
      </c>
      <c r="I339" s="1" t="str">
        <v>IPCA - Variação mensal</v>
      </c>
      <c r="J339" s="1" t="str">
        <v>202207</v>
      </c>
      <c r="K339" s="1" t="str">
        <v>julho 2022</v>
      </c>
      <c r="L339" s="1" t="str">
        <v>12411</v>
      </c>
      <c r="M339" s="1" t="str">
        <v>5102010.Pneu</v>
      </c>
      <c r="Q339" s="1" t="str">
        <f t="shared" si="15"/>
        <v>5102010.Pneu</v>
      </c>
      <c r="R339" s="1" t="str">
        <f t="shared" si="16"/>
        <v>202207</v>
      </c>
      <c r="S339" s="1">
        <f t="shared" si="17"/>
        <v>-0.19</v>
      </c>
    </row>
    <row r="340" spans="1:19" x14ac:dyDescent="0.2">
      <c r="A340" s="1" t="str">
        <v>1</v>
      </c>
      <c r="B340" s="1" t="str">
        <v>Brasil</v>
      </c>
      <c r="C340" s="1" t="str">
        <v>2</v>
      </c>
      <c r="D340" s="1" t="str">
        <v>%</v>
      </c>
      <c r="E340" s="1" t="str">
        <v>0.66</v>
      </c>
      <c r="F340" s="1" t="str">
        <v>1</v>
      </c>
      <c r="G340" s="1" t="str">
        <v>Brasil</v>
      </c>
      <c r="H340" s="1" t="str">
        <v>63</v>
      </c>
      <c r="I340" s="1" t="str">
        <v>IPCA - Variação mensal</v>
      </c>
      <c r="J340" s="1" t="str">
        <v>202207</v>
      </c>
      <c r="K340" s="1" t="str">
        <v>julho 2022</v>
      </c>
      <c r="L340" s="1" t="str">
        <v>7647</v>
      </c>
      <c r="M340" s="1" t="str">
        <v>5102011.Conserto de automóvel</v>
      </c>
      <c r="Q340" s="1" t="str">
        <f t="shared" si="15"/>
        <v>5102011.Conserto de automóvel</v>
      </c>
      <c r="R340" s="1" t="str">
        <f t="shared" si="16"/>
        <v>202207</v>
      </c>
      <c r="S340" s="1">
        <f t="shared" si="17"/>
        <v>0.66</v>
      </c>
    </row>
    <row r="341" spans="1:19" x14ac:dyDescent="0.2">
      <c r="A341" s="1" t="str">
        <v>1</v>
      </c>
      <c r="B341" s="1" t="str">
        <v>Brasil</v>
      </c>
      <c r="C341" s="1" t="str">
        <v>2</v>
      </c>
      <c r="D341" s="1" t="str">
        <v>%</v>
      </c>
      <c r="E341" s="1" t="str">
        <v>-0.78</v>
      </c>
      <c r="F341" s="1" t="str">
        <v>1</v>
      </c>
      <c r="G341" s="1" t="str">
        <v>Brasil</v>
      </c>
      <c r="H341" s="1" t="str">
        <v>63</v>
      </c>
      <c r="I341" s="1" t="str">
        <v>IPCA - Variação mensal</v>
      </c>
      <c r="J341" s="1" t="str">
        <v>202207</v>
      </c>
      <c r="K341" s="1" t="str">
        <v>julho 2022</v>
      </c>
      <c r="L341" s="1" t="str">
        <v>7648</v>
      </c>
      <c r="M341" s="1" t="str">
        <v>5102013.Estacionamento</v>
      </c>
      <c r="Q341" s="1" t="str">
        <f t="shared" si="15"/>
        <v>5102013.Estacionamento</v>
      </c>
      <c r="R341" s="1" t="str">
        <f t="shared" si="16"/>
        <v>202207</v>
      </c>
      <c r="S341" s="1">
        <f t="shared" si="17"/>
        <v>-0.78</v>
      </c>
    </row>
    <row r="342" spans="1:19" x14ac:dyDescent="0.2">
      <c r="A342" s="1" t="str">
        <v>1</v>
      </c>
      <c r="B342" s="1" t="str">
        <v>Brasil</v>
      </c>
      <c r="C342" s="1" t="str">
        <v>2</v>
      </c>
      <c r="D342" s="1" t="str">
        <v>%</v>
      </c>
      <c r="E342" s="1" t="str">
        <v>0.00</v>
      </c>
      <c r="F342" s="1" t="str">
        <v>1</v>
      </c>
      <c r="G342" s="1" t="str">
        <v>Brasil</v>
      </c>
      <c r="H342" s="1" t="str">
        <v>63</v>
      </c>
      <c r="I342" s="1" t="str">
        <v>IPCA - Variação mensal</v>
      </c>
      <c r="J342" s="1" t="str">
        <v>202207</v>
      </c>
      <c r="K342" s="1" t="str">
        <v>julho 2022</v>
      </c>
      <c r="L342" s="1" t="str">
        <v>7649</v>
      </c>
      <c r="M342" s="1" t="str">
        <v>5102015.Pedágio</v>
      </c>
      <c r="Q342" s="1" t="str">
        <f t="shared" si="15"/>
        <v>5102015.Pedágio</v>
      </c>
      <c r="R342" s="1" t="str">
        <f t="shared" si="16"/>
        <v>202207</v>
      </c>
      <c r="S342" s="1">
        <f t="shared" si="17"/>
        <v>0</v>
      </c>
    </row>
    <row r="343" spans="1:19" x14ac:dyDescent="0.2">
      <c r="A343" s="1" t="str">
        <v>1</v>
      </c>
      <c r="B343" s="1" t="str">
        <v>Brasil</v>
      </c>
      <c r="C343" s="1" t="str">
        <v>2</v>
      </c>
      <c r="D343" s="1" t="str">
        <v>%</v>
      </c>
      <c r="E343" s="1" t="str">
        <v>-0.21</v>
      </c>
      <c r="F343" s="1" t="str">
        <v>1</v>
      </c>
      <c r="G343" s="1" t="str">
        <v>Brasil</v>
      </c>
      <c r="H343" s="1" t="str">
        <v>63</v>
      </c>
      <c r="I343" s="1" t="str">
        <v>IPCA - Variação mensal</v>
      </c>
      <c r="J343" s="1" t="str">
        <v>202207</v>
      </c>
      <c r="K343" s="1" t="str">
        <v>julho 2022</v>
      </c>
      <c r="L343" s="1" t="str">
        <v>107654</v>
      </c>
      <c r="M343" s="1" t="str">
        <v>5102020.Automóvel usado</v>
      </c>
      <c r="Q343" s="1" t="str">
        <f t="shared" si="15"/>
        <v>5102020.Automóvel usado</v>
      </c>
      <c r="R343" s="1" t="str">
        <f t="shared" si="16"/>
        <v>202207</v>
      </c>
      <c r="S343" s="1">
        <f t="shared" si="17"/>
        <v>-0.21</v>
      </c>
    </row>
    <row r="344" spans="1:19" x14ac:dyDescent="0.2">
      <c r="A344" s="1" t="str">
        <v>1</v>
      </c>
      <c r="B344" s="1" t="str">
        <v>Brasil</v>
      </c>
      <c r="C344" s="1" t="str">
        <v>2</v>
      </c>
      <c r="D344" s="1" t="str">
        <v>%</v>
      </c>
      <c r="E344" s="1" t="str">
        <v>-0.67</v>
      </c>
      <c r="F344" s="1" t="str">
        <v>1</v>
      </c>
      <c r="G344" s="1" t="str">
        <v>Brasil</v>
      </c>
      <c r="H344" s="1" t="str">
        <v>63</v>
      </c>
      <c r="I344" s="1" t="str">
        <v>IPCA - Variação mensal</v>
      </c>
      <c r="J344" s="1" t="str">
        <v>202207</v>
      </c>
      <c r="K344" s="1" t="str">
        <v>julho 2022</v>
      </c>
      <c r="L344" s="1" t="str">
        <v>7653</v>
      </c>
      <c r="M344" s="1" t="str">
        <v>5102037.Pintura de veículo</v>
      </c>
      <c r="Q344" s="1" t="str">
        <f t="shared" si="15"/>
        <v>5102037.Pintura de veículo</v>
      </c>
      <c r="R344" s="1" t="str">
        <f t="shared" si="16"/>
        <v>202207</v>
      </c>
      <c r="S344" s="1">
        <f t="shared" si="17"/>
        <v>-0.67</v>
      </c>
    </row>
    <row r="345" spans="1:19" x14ac:dyDescent="0.2">
      <c r="A345" s="1" t="str">
        <v>1</v>
      </c>
      <c r="B345" s="1" t="str">
        <v>Brasil</v>
      </c>
      <c r="C345" s="1" t="str">
        <v>2</v>
      </c>
      <c r="D345" s="1" t="str">
        <v>%</v>
      </c>
      <c r="E345" s="1" t="str">
        <v>13.39</v>
      </c>
      <c r="F345" s="1" t="str">
        <v>1</v>
      </c>
      <c r="G345" s="1" t="str">
        <v>Brasil</v>
      </c>
      <c r="H345" s="1" t="str">
        <v>63</v>
      </c>
      <c r="I345" s="1" t="str">
        <v>IPCA - Variação mensal</v>
      </c>
      <c r="J345" s="1" t="str">
        <v>202207</v>
      </c>
      <c r="K345" s="1" t="str">
        <v>julho 2022</v>
      </c>
      <c r="L345" s="1" t="str">
        <v>107656</v>
      </c>
      <c r="M345" s="1" t="str">
        <v>5102051.Aluguel de veículo</v>
      </c>
      <c r="Q345" s="1" t="str">
        <f t="shared" si="15"/>
        <v>5102051.Aluguel de veículo</v>
      </c>
      <c r="R345" s="1" t="str">
        <f t="shared" si="16"/>
        <v>202207</v>
      </c>
      <c r="S345" s="1">
        <f t="shared" si="17"/>
        <v>13.39</v>
      </c>
    </row>
    <row r="346" spans="1:19" x14ac:dyDescent="0.2">
      <c r="A346" s="1" t="str">
        <v>1</v>
      </c>
      <c r="B346" s="1" t="str">
        <v>Brasil</v>
      </c>
      <c r="C346" s="1" t="str">
        <v>2</v>
      </c>
      <c r="D346" s="1" t="str">
        <v>%</v>
      </c>
      <c r="E346" s="1" t="str">
        <v>0.65</v>
      </c>
      <c r="F346" s="1" t="str">
        <v>1</v>
      </c>
      <c r="G346" s="1" t="str">
        <v>Brasil</v>
      </c>
      <c r="H346" s="1" t="str">
        <v>63</v>
      </c>
      <c r="I346" s="1" t="str">
        <v>IPCA - Variação mensal</v>
      </c>
      <c r="J346" s="1" t="str">
        <v>202207</v>
      </c>
      <c r="K346" s="1" t="str">
        <v>julho 2022</v>
      </c>
      <c r="L346" s="1" t="str">
        <v>7654</v>
      </c>
      <c r="M346" s="1" t="str">
        <v>5102053.Motocicleta</v>
      </c>
      <c r="Q346" s="1" t="str">
        <f t="shared" si="15"/>
        <v>5102053.Motocicleta</v>
      </c>
      <c r="R346" s="1" t="str">
        <f t="shared" si="16"/>
        <v>202207</v>
      </c>
      <c r="S346" s="1">
        <f t="shared" si="17"/>
        <v>0.65</v>
      </c>
    </row>
    <row r="347" spans="1:19" x14ac:dyDescent="0.2">
      <c r="A347" s="1" t="str">
        <v>1</v>
      </c>
      <c r="B347" s="1" t="str">
        <v>Brasil</v>
      </c>
      <c r="C347" s="1" t="str">
        <v>2</v>
      </c>
      <c r="D347" s="1" t="str">
        <v>%</v>
      </c>
      <c r="E347" s="1" t="str">
        <v>-14.15</v>
      </c>
      <c r="F347" s="1" t="str">
        <v>1</v>
      </c>
      <c r="G347" s="1" t="str">
        <v>Brasil</v>
      </c>
      <c r="H347" s="1" t="str">
        <v>63</v>
      </c>
      <c r="I347" s="1" t="str">
        <v>IPCA - Variação mensal</v>
      </c>
      <c r="J347" s="1" t="str">
        <v>202207</v>
      </c>
      <c r="K347" s="1" t="str">
        <v>julho 2022</v>
      </c>
      <c r="L347" s="1" t="str">
        <v>7656</v>
      </c>
      <c r="M347" s="1" t="str">
        <v>5104.Combustíveis (veículos)</v>
      </c>
      <c r="Q347" s="1" t="str">
        <f t="shared" si="15"/>
        <v>5104.Combustíveis (veículos)</v>
      </c>
      <c r="R347" s="1" t="str">
        <f t="shared" si="16"/>
        <v>202207</v>
      </c>
      <c r="S347" s="1">
        <f t="shared" si="17"/>
        <v>-14.15</v>
      </c>
    </row>
    <row r="348" spans="1:19" x14ac:dyDescent="0.2">
      <c r="A348" s="1" t="str">
        <v>1</v>
      </c>
      <c r="B348" s="1" t="str">
        <v>Brasil</v>
      </c>
      <c r="C348" s="1" t="str">
        <v>2</v>
      </c>
      <c r="D348" s="1" t="str">
        <v>%</v>
      </c>
      <c r="E348" s="1" t="str">
        <v>-15.48</v>
      </c>
      <c r="F348" s="1" t="str">
        <v>1</v>
      </c>
      <c r="G348" s="1" t="str">
        <v>Brasil</v>
      </c>
      <c r="H348" s="1" t="str">
        <v>63</v>
      </c>
      <c r="I348" s="1" t="str">
        <v>IPCA - Variação mensal</v>
      </c>
      <c r="J348" s="1" t="str">
        <v>202207</v>
      </c>
      <c r="K348" s="1" t="str">
        <v>julho 2022</v>
      </c>
      <c r="L348" s="1" t="str">
        <v>7657</v>
      </c>
      <c r="M348" s="1" t="str">
        <v>5104001.Gasolina</v>
      </c>
      <c r="Q348" s="1" t="str">
        <f t="shared" si="15"/>
        <v>5104001.Gasolina</v>
      </c>
      <c r="R348" s="1" t="str">
        <f t="shared" si="16"/>
        <v>202207</v>
      </c>
      <c r="S348" s="1">
        <f t="shared" si="17"/>
        <v>-15.48</v>
      </c>
    </row>
    <row r="349" spans="1:19" x14ac:dyDescent="0.2">
      <c r="A349" s="1" t="str">
        <v>1</v>
      </c>
      <c r="B349" s="1" t="str">
        <v>Brasil</v>
      </c>
      <c r="C349" s="1" t="str">
        <v>2</v>
      </c>
      <c r="D349" s="1" t="str">
        <v>%</v>
      </c>
      <c r="E349" s="1" t="str">
        <v>-11.38</v>
      </c>
      <c r="F349" s="1" t="str">
        <v>1</v>
      </c>
      <c r="G349" s="1" t="str">
        <v>Brasil</v>
      </c>
      <c r="H349" s="1" t="str">
        <v>63</v>
      </c>
      <c r="I349" s="1" t="str">
        <v>IPCA - Variação mensal</v>
      </c>
      <c r="J349" s="1" t="str">
        <v>202207</v>
      </c>
      <c r="K349" s="1" t="str">
        <v>julho 2022</v>
      </c>
      <c r="L349" s="1" t="str">
        <v>7658</v>
      </c>
      <c r="M349" s="1" t="str">
        <v>5104002.Etanol</v>
      </c>
      <c r="Q349" s="1" t="str">
        <f t="shared" si="15"/>
        <v>5104002.Etanol</v>
      </c>
      <c r="R349" s="1" t="str">
        <f t="shared" si="16"/>
        <v>202207</v>
      </c>
      <c r="S349" s="1">
        <f t="shared" si="17"/>
        <v>-11.38</v>
      </c>
    </row>
    <row r="350" spans="1:19" x14ac:dyDescent="0.2">
      <c r="A350" s="1" t="str">
        <v>1</v>
      </c>
      <c r="B350" s="1" t="str">
        <v>Brasil</v>
      </c>
      <c r="C350" s="1" t="str">
        <v>2</v>
      </c>
      <c r="D350" s="1" t="str">
        <v>%</v>
      </c>
      <c r="E350" s="1" t="str">
        <v>4.59</v>
      </c>
      <c r="F350" s="1" t="str">
        <v>1</v>
      </c>
      <c r="G350" s="1" t="str">
        <v>Brasil</v>
      </c>
      <c r="H350" s="1" t="str">
        <v>63</v>
      </c>
      <c r="I350" s="1" t="str">
        <v>IPCA - Variação mensal</v>
      </c>
      <c r="J350" s="1" t="str">
        <v>202207</v>
      </c>
      <c r="K350" s="1" t="str">
        <v>julho 2022</v>
      </c>
      <c r="L350" s="1" t="str">
        <v>7659</v>
      </c>
      <c r="M350" s="1" t="str">
        <v>5104003.Óleo diesel</v>
      </c>
      <c r="Q350" s="1" t="str">
        <f t="shared" si="15"/>
        <v>5104003.Óleo diesel</v>
      </c>
      <c r="R350" s="1" t="str">
        <f t="shared" si="16"/>
        <v>202207</v>
      </c>
      <c r="S350" s="1">
        <f t="shared" si="17"/>
        <v>4.59</v>
      </c>
    </row>
    <row r="351" spans="1:19" x14ac:dyDescent="0.2">
      <c r="A351" s="1" t="str">
        <v>1</v>
      </c>
      <c r="B351" s="1" t="str">
        <v>Brasil</v>
      </c>
      <c r="C351" s="1" t="str">
        <v>2</v>
      </c>
      <c r="D351" s="1" t="str">
        <v>%</v>
      </c>
      <c r="E351" s="1" t="str">
        <v>-5.67</v>
      </c>
      <c r="F351" s="1" t="str">
        <v>1</v>
      </c>
      <c r="G351" s="1" t="str">
        <v>Brasil</v>
      </c>
      <c r="H351" s="1" t="str">
        <v>63</v>
      </c>
      <c r="I351" s="1" t="str">
        <v>IPCA - Variação mensal</v>
      </c>
      <c r="J351" s="1" t="str">
        <v>202207</v>
      </c>
      <c r="K351" s="1" t="str">
        <v>julho 2022</v>
      </c>
      <c r="L351" s="1" t="str">
        <v>107657</v>
      </c>
      <c r="M351" s="1" t="str">
        <v>5104005.Gás veicular</v>
      </c>
      <c r="Q351" s="1" t="str">
        <f t="shared" si="15"/>
        <v>5104005.Gás veicular</v>
      </c>
      <c r="R351" s="1" t="str">
        <f t="shared" si="16"/>
        <v>202207</v>
      </c>
      <c r="S351" s="1">
        <f t="shared" si="17"/>
        <v>-5.67</v>
      </c>
    </row>
    <row r="352" spans="1:19" x14ac:dyDescent="0.2">
      <c r="A352" s="1" t="str">
        <v>1</v>
      </c>
      <c r="B352" s="1" t="str">
        <v>Brasil</v>
      </c>
      <c r="C352" s="1" t="str">
        <v>2</v>
      </c>
      <c r="D352" s="1" t="str">
        <v>%</v>
      </c>
      <c r="E352" s="1" t="str">
        <v>0.49</v>
      </c>
      <c r="F352" s="1" t="str">
        <v>1</v>
      </c>
      <c r="G352" s="1" t="str">
        <v>Brasil</v>
      </c>
      <c r="H352" s="1" t="str">
        <v>63</v>
      </c>
      <c r="I352" s="1" t="str">
        <v>IPCA - Variação mensal</v>
      </c>
      <c r="J352" s="1" t="str">
        <v>202207</v>
      </c>
      <c r="K352" s="1" t="str">
        <v>julho 2022</v>
      </c>
      <c r="L352" s="1" t="str">
        <v>7660</v>
      </c>
      <c r="M352" s="1" t="str">
        <v>6.Saúde e cuidados pessoais</v>
      </c>
      <c r="Q352" s="1" t="str">
        <f t="shared" si="15"/>
        <v>6.Saúde e cuidados pessoais</v>
      </c>
      <c r="R352" s="1" t="str">
        <f t="shared" si="16"/>
        <v>202207</v>
      </c>
      <c r="S352" s="1">
        <f t="shared" si="17"/>
        <v>0.49</v>
      </c>
    </row>
    <row r="353" spans="1:19" x14ac:dyDescent="0.2">
      <c r="A353" s="1" t="str">
        <v>1</v>
      </c>
      <c r="B353" s="1" t="str">
        <v>Brasil</v>
      </c>
      <c r="C353" s="1" t="str">
        <v>2</v>
      </c>
      <c r="D353" s="1" t="str">
        <v>%</v>
      </c>
      <c r="E353" s="1" t="str">
        <v>0.49</v>
      </c>
      <c r="F353" s="1" t="str">
        <v>1</v>
      </c>
      <c r="G353" s="1" t="str">
        <v>Brasil</v>
      </c>
      <c r="H353" s="1" t="str">
        <v>63</v>
      </c>
      <c r="I353" s="1" t="str">
        <v>IPCA - Variação mensal</v>
      </c>
      <c r="J353" s="1" t="str">
        <v>202207</v>
      </c>
      <c r="K353" s="1" t="str">
        <v>julho 2022</v>
      </c>
      <c r="L353" s="1" t="str">
        <v>7661</v>
      </c>
      <c r="M353" s="1" t="str">
        <v>61.Produtos farmacêuticos e óticos</v>
      </c>
      <c r="Q353" s="1" t="str">
        <f t="shared" si="15"/>
        <v>61.Produtos farmacêuticos e óticos</v>
      </c>
      <c r="R353" s="1" t="str">
        <f t="shared" si="16"/>
        <v>202207</v>
      </c>
      <c r="S353" s="1">
        <f t="shared" si="17"/>
        <v>0.49</v>
      </c>
    </row>
    <row r="354" spans="1:19" x14ac:dyDescent="0.2">
      <c r="A354" s="1" t="str">
        <v>1</v>
      </c>
      <c r="B354" s="1" t="str">
        <v>Brasil</v>
      </c>
      <c r="C354" s="1" t="str">
        <v>2</v>
      </c>
      <c r="D354" s="1" t="str">
        <v>%</v>
      </c>
      <c r="E354" s="1" t="str">
        <v>0.57</v>
      </c>
      <c r="F354" s="1" t="str">
        <v>1</v>
      </c>
      <c r="G354" s="1" t="str">
        <v>Brasil</v>
      </c>
      <c r="H354" s="1" t="str">
        <v>63</v>
      </c>
      <c r="I354" s="1" t="str">
        <v>IPCA - Variação mensal</v>
      </c>
      <c r="J354" s="1" t="str">
        <v>202207</v>
      </c>
      <c r="K354" s="1" t="str">
        <v>julho 2022</v>
      </c>
      <c r="L354" s="1" t="str">
        <v>7662</v>
      </c>
      <c r="M354" s="1" t="str">
        <v>6101.Produtos farmacêuticos</v>
      </c>
      <c r="Q354" s="1" t="str">
        <f t="shared" si="15"/>
        <v>6101.Produtos farmacêuticos</v>
      </c>
      <c r="R354" s="1" t="str">
        <f t="shared" si="16"/>
        <v>202207</v>
      </c>
      <c r="S354" s="1">
        <f t="shared" si="17"/>
        <v>0.56999999999999995</v>
      </c>
    </row>
    <row r="355" spans="1:19" x14ac:dyDescent="0.2">
      <c r="A355" s="1" t="str">
        <v>1</v>
      </c>
      <c r="B355" s="1" t="str">
        <v>Brasil</v>
      </c>
      <c r="C355" s="1" t="str">
        <v>2</v>
      </c>
      <c r="D355" s="1" t="str">
        <v>%</v>
      </c>
      <c r="E355" s="1" t="str">
        <v>1.37</v>
      </c>
      <c r="F355" s="1" t="str">
        <v>1</v>
      </c>
      <c r="G355" s="1" t="str">
        <v>Brasil</v>
      </c>
      <c r="H355" s="1" t="str">
        <v>63</v>
      </c>
      <c r="I355" s="1" t="str">
        <v>IPCA - Variação mensal</v>
      </c>
      <c r="J355" s="1" t="str">
        <v>202207</v>
      </c>
      <c r="K355" s="1" t="str">
        <v>julho 2022</v>
      </c>
      <c r="L355" s="1" t="str">
        <v>7663</v>
      </c>
      <c r="M355" s="1" t="str">
        <v>6101001.Anti-infeccioso e antibiótico</v>
      </c>
      <c r="Q355" s="1" t="str">
        <f t="shared" si="15"/>
        <v>6101001.Anti-infeccioso e antibiótico</v>
      </c>
      <c r="R355" s="1" t="str">
        <f t="shared" si="16"/>
        <v>202207</v>
      </c>
      <c r="S355" s="1">
        <f t="shared" si="17"/>
        <v>1.37</v>
      </c>
    </row>
    <row r="356" spans="1:19" x14ac:dyDescent="0.2">
      <c r="A356" s="1" t="str">
        <v>1</v>
      </c>
      <c r="B356" s="1" t="str">
        <v>Brasil</v>
      </c>
      <c r="C356" s="1" t="str">
        <v>2</v>
      </c>
      <c r="D356" s="1" t="str">
        <v>%</v>
      </c>
      <c r="E356" s="1" t="str">
        <v>0.89</v>
      </c>
      <c r="F356" s="1" t="str">
        <v>1</v>
      </c>
      <c r="G356" s="1" t="str">
        <v>Brasil</v>
      </c>
      <c r="H356" s="1" t="str">
        <v>63</v>
      </c>
      <c r="I356" s="1" t="str">
        <v>IPCA - Variação mensal</v>
      </c>
      <c r="J356" s="1" t="str">
        <v>202207</v>
      </c>
      <c r="K356" s="1" t="str">
        <v>julho 2022</v>
      </c>
      <c r="L356" s="1" t="str">
        <v>7664</v>
      </c>
      <c r="M356" s="1" t="str">
        <v>6101002.Analgésico e antitérmico</v>
      </c>
      <c r="Q356" s="1" t="str">
        <f t="shared" si="15"/>
        <v>6101002.Analgésico e antitérmico</v>
      </c>
      <c r="R356" s="1" t="str">
        <f t="shared" si="16"/>
        <v>202207</v>
      </c>
      <c r="S356" s="1">
        <f t="shared" si="17"/>
        <v>0.89</v>
      </c>
    </row>
    <row r="357" spans="1:19" x14ac:dyDescent="0.2">
      <c r="A357" s="1" t="str">
        <v>1</v>
      </c>
      <c r="B357" s="1" t="str">
        <v>Brasil</v>
      </c>
      <c r="C357" s="1" t="str">
        <v>2</v>
      </c>
      <c r="D357" s="1" t="str">
        <v>%</v>
      </c>
      <c r="E357" s="1" t="str">
        <v>0.34</v>
      </c>
      <c r="F357" s="1" t="str">
        <v>1</v>
      </c>
      <c r="G357" s="1" t="str">
        <v>Brasil</v>
      </c>
      <c r="H357" s="1" t="str">
        <v>63</v>
      </c>
      <c r="I357" s="1" t="str">
        <v>IPCA - Variação mensal</v>
      </c>
      <c r="J357" s="1" t="str">
        <v>202207</v>
      </c>
      <c r="K357" s="1" t="str">
        <v>julho 2022</v>
      </c>
      <c r="L357" s="1" t="str">
        <v>7665</v>
      </c>
      <c r="M357" s="1" t="str">
        <v>6101003.Anti-inflamatório e antirreumático</v>
      </c>
      <c r="Q357" s="1" t="str">
        <f t="shared" si="15"/>
        <v>6101003.Anti-inflamatório e antirreumático</v>
      </c>
      <c r="R357" s="1" t="str">
        <f t="shared" si="16"/>
        <v>202207</v>
      </c>
      <c r="S357" s="1">
        <f t="shared" si="17"/>
        <v>0.34</v>
      </c>
    </row>
    <row r="358" spans="1:19" x14ac:dyDescent="0.2">
      <c r="A358" s="1" t="str">
        <v>1</v>
      </c>
      <c r="B358" s="1" t="str">
        <v>Brasil</v>
      </c>
      <c r="C358" s="1" t="str">
        <v>2</v>
      </c>
      <c r="D358" s="1" t="str">
        <v>%</v>
      </c>
      <c r="E358" s="1" t="str">
        <v>1.87</v>
      </c>
      <c r="F358" s="1" t="str">
        <v>1</v>
      </c>
      <c r="G358" s="1" t="str">
        <v>Brasil</v>
      </c>
      <c r="H358" s="1" t="str">
        <v>63</v>
      </c>
      <c r="I358" s="1" t="str">
        <v>IPCA - Variação mensal</v>
      </c>
      <c r="J358" s="1" t="str">
        <v>202207</v>
      </c>
      <c r="K358" s="1" t="str">
        <v>julho 2022</v>
      </c>
      <c r="L358" s="1" t="str">
        <v>7666</v>
      </c>
      <c r="M358" s="1" t="str">
        <v>6101004.Antigripal e antitussígeno</v>
      </c>
      <c r="Q358" s="1" t="str">
        <f t="shared" si="15"/>
        <v>6101004.Antigripal e antitussígeno</v>
      </c>
      <c r="R358" s="1" t="str">
        <f t="shared" si="16"/>
        <v>202207</v>
      </c>
      <c r="S358" s="1">
        <f t="shared" si="17"/>
        <v>1.87</v>
      </c>
    </row>
    <row r="359" spans="1:19" x14ac:dyDescent="0.2">
      <c r="A359" s="1" t="str">
        <v>1</v>
      </c>
      <c r="B359" s="1" t="str">
        <v>Brasil</v>
      </c>
      <c r="C359" s="1" t="str">
        <v>2</v>
      </c>
      <c r="D359" s="1" t="str">
        <v>%</v>
      </c>
      <c r="E359" s="1" t="str">
        <v>0.46</v>
      </c>
      <c r="F359" s="1" t="str">
        <v>1</v>
      </c>
      <c r="G359" s="1" t="str">
        <v>Brasil</v>
      </c>
      <c r="H359" s="1" t="str">
        <v>63</v>
      </c>
      <c r="I359" s="1" t="str">
        <v>IPCA - Variação mensal</v>
      </c>
      <c r="J359" s="1" t="str">
        <v>202207</v>
      </c>
      <c r="K359" s="1" t="str">
        <v>julho 2022</v>
      </c>
      <c r="L359" s="1" t="str">
        <v>12412</v>
      </c>
      <c r="M359" s="1" t="str">
        <v>6101006.Dermatológico</v>
      </c>
      <c r="Q359" s="1" t="str">
        <f t="shared" si="15"/>
        <v>6101006.Dermatológico</v>
      </c>
      <c r="R359" s="1" t="str">
        <f t="shared" si="16"/>
        <v>202207</v>
      </c>
      <c r="S359" s="1">
        <f t="shared" si="17"/>
        <v>0.46</v>
      </c>
    </row>
    <row r="360" spans="1:19" x14ac:dyDescent="0.2">
      <c r="A360" s="1" t="str">
        <v>1</v>
      </c>
      <c r="B360" s="1" t="str">
        <v>Brasil</v>
      </c>
      <c r="C360" s="1" t="str">
        <v>2</v>
      </c>
      <c r="D360" s="1" t="str">
        <v>%</v>
      </c>
      <c r="E360" s="1" t="str">
        <v>0.38</v>
      </c>
      <c r="F360" s="1" t="str">
        <v>1</v>
      </c>
      <c r="G360" s="1" t="str">
        <v>Brasil</v>
      </c>
      <c r="H360" s="1" t="str">
        <v>63</v>
      </c>
      <c r="I360" s="1" t="str">
        <v>IPCA - Variação mensal</v>
      </c>
      <c r="J360" s="1" t="str">
        <v>202207</v>
      </c>
      <c r="K360" s="1" t="str">
        <v>julho 2022</v>
      </c>
      <c r="L360" s="1" t="str">
        <v>7669</v>
      </c>
      <c r="M360" s="1" t="str">
        <v>6101007.Antialérgico e broncodilatador</v>
      </c>
      <c r="Q360" s="1" t="str">
        <f t="shared" si="15"/>
        <v>6101007.Antialérgico e broncodilatador</v>
      </c>
      <c r="R360" s="1" t="str">
        <f t="shared" si="16"/>
        <v>202207</v>
      </c>
      <c r="S360" s="1">
        <f t="shared" si="17"/>
        <v>0.38</v>
      </c>
    </row>
    <row r="361" spans="1:19" x14ac:dyDescent="0.2">
      <c r="A361" s="1" t="str">
        <v>1</v>
      </c>
      <c r="B361" s="1" t="str">
        <v>Brasil</v>
      </c>
      <c r="C361" s="1" t="str">
        <v>2</v>
      </c>
      <c r="D361" s="1" t="str">
        <v>%</v>
      </c>
      <c r="E361" s="1" t="str">
        <v>0.46</v>
      </c>
      <c r="F361" s="1" t="str">
        <v>1</v>
      </c>
      <c r="G361" s="1" t="str">
        <v>Brasil</v>
      </c>
      <c r="H361" s="1" t="str">
        <v>63</v>
      </c>
      <c r="I361" s="1" t="str">
        <v>IPCA - Variação mensal</v>
      </c>
      <c r="J361" s="1" t="str">
        <v>202207</v>
      </c>
      <c r="K361" s="1" t="str">
        <v>julho 2022</v>
      </c>
      <c r="L361" s="1" t="str">
        <v>7670</v>
      </c>
      <c r="M361" s="1" t="str">
        <v>6101009.Gastroprotetor</v>
      </c>
      <c r="Q361" s="1" t="str">
        <f t="shared" si="15"/>
        <v>6101009.Gastroprotetor</v>
      </c>
      <c r="R361" s="1" t="str">
        <f t="shared" si="16"/>
        <v>202207</v>
      </c>
      <c r="S361" s="1">
        <f t="shared" si="17"/>
        <v>0.46</v>
      </c>
    </row>
    <row r="362" spans="1:19" x14ac:dyDescent="0.2">
      <c r="A362" s="1" t="str">
        <v>1</v>
      </c>
      <c r="B362" s="1" t="str">
        <v>Brasil</v>
      </c>
      <c r="C362" s="1" t="str">
        <v>2</v>
      </c>
      <c r="D362" s="1" t="str">
        <v>%</v>
      </c>
      <c r="E362" s="1" t="str">
        <v>0.61</v>
      </c>
      <c r="F362" s="1" t="str">
        <v>1</v>
      </c>
      <c r="G362" s="1" t="str">
        <v>Brasil</v>
      </c>
      <c r="H362" s="1" t="str">
        <v>63</v>
      </c>
      <c r="I362" s="1" t="str">
        <v>IPCA - Variação mensal</v>
      </c>
      <c r="J362" s="1" t="str">
        <v>202207</v>
      </c>
      <c r="K362" s="1" t="str">
        <v>julho 2022</v>
      </c>
      <c r="L362" s="1" t="str">
        <v>7671</v>
      </c>
      <c r="M362" s="1" t="str">
        <v>6101010.Vitamina e fortificante</v>
      </c>
      <c r="Q362" s="1" t="str">
        <f t="shared" si="15"/>
        <v>6101010.Vitamina e fortificante</v>
      </c>
      <c r="R362" s="1" t="str">
        <f t="shared" si="16"/>
        <v>202207</v>
      </c>
      <c r="S362" s="1">
        <f t="shared" si="17"/>
        <v>0.61</v>
      </c>
    </row>
    <row r="363" spans="1:19" x14ac:dyDescent="0.2">
      <c r="A363" s="1" t="str">
        <v>1</v>
      </c>
      <c r="B363" s="1" t="str">
        <v>Brasil</v>
      </c>
      <c r="C363" s="1" t="str">
        <v>2</v>
      </c>
      <c r="D363" s="1" t="str">
        <v>%</v>
      </c>
      <c r="E363" s="1" t="str">
        <v>-0.25</v>
      </c>
      <c r="F363" s="1" t="str">
        <v>1</v>
      </c>
      <c r="G363" s="1" t="str">
        <v>Brasil</v>
      </c>
      <c r="H363" s="1" t="str">
        <v>63</v>
      </c>
      <c r="I363" s="1" t="str">
        <v>IPCA - Variação mensal</v>
      </c>
      <c r="J363" s="1" t="str">
        <v>202207</v>
      </c>
      <c r="K363" s="1" t="str">
        <v>julho 2022</v>
      </c>
      <c r="L363" s="1" t="str">
        <v>47651</v>
      </c>
      <c r="M363" s="1" t="str">
        <v>6101011.Hormonal</v>
      </c>
      <c r="Q363" s="1" t="str">
        <f t="shared" si="15"/>
        <v>6101011.Hormonal</v>
      </c>
      <c r="R363" s="1" t="str">
        <f t="shared" si="16"/>
        <v>202207</v>
      </c>
      <c r="S363" s="1">
        <f t="shared" si="17"/>
        <v>-0.25</v>
      </c>
    </row>
    <row r="364" spans="1:19" x14ac:dyDescent="0.2">
      <c r="A364" s="1" t="str">
        <v>1</v>
      </c>
      <c r="B364" s="1" t="str">
        <v>Brasil</v>
      </c>
      <c r="C364" s="1" t="str">
        <v>2</v>
      </c>
      <c r="D364" s="1" t="str">
        <v>%</v>
      </c>
      <c r="E364" s="1" t="str">
        <v>0.47</v>
      </c>
      <c r="F364" s="1" t="str">
        <v>1</v>
      </c>
      <c r="G364" s="1" t="str">
        <v>Brasil</v>
      </c>
      <c r="H364" s="1" t="str">
        <v>63</v>
      </c>
      <c r="I364" s="1" t="str">
        <v>IPCA - Variação mensal</v>
      </c>
      <c r="J364" s="1" t="str">
        <v>202207</v>
      </c>
      <c r="K364" s="1" t="str">
        <v>julho 2022</v>
      </c>
      <c r="L364" s="1" t="str">
        <v>7673</v>
      </c>
      <c r="M364" s="1" t="str">
        <v>6101013.Psicotrópico e anorexígeno</v>
      </c>
      <c r="Q364" s="1" t="str">
        <f t="shared" si="15"/>
        <v>6101013.Psicotrópico e anorexígeno</v>
      </c>
      <c r="R364" s="1" t="str">
        <f t="shared" si="16"/>
        <v>202207</v>
      </c>
      <c r="S364" s="1">
        <f t="shared" si="17"/>
        <v>0.47</v>
      </c>
    </row>
    <row r="365" spans="1:19" x14ac:dyDescent="0.2">
      <c r="A365" s="1" t="str">
        <v>1</v>
      </c>
      <c r="B365" s="1" t="str">
        <v>Brasil</v>
      </c>
      <c r="C365" s="1" t="str">
        <v>2</v>
      </c>
      <c r="D365" s="1" t="str">
        <v>%</v>
      </c>
      <c r="E365" s="1" t="str">
        <v>0.17</v>
      </c>
      <c r="F365" s="1" t="str">
        <v>1</v>
      </c>
      <c r="G365" s="1" t="str">
        <v>Brasil</v>
      </c>
      <c r="H365" s="1" t="str">
        <v>63</v>
      </c>
      <c r="I365" s="1" t="str">
        <v>IPCA - Variação mensal</v>
      </c>
      <c r="J365" s="1" t="str">
        <v>202207</v>
      </c>
      <c r="K365" s="1" t="str">
        <v>julho 2022</v>
      </c>
      <c r="L365" s="1" t="str">
        <v>7674</v>
      </c>
      <c r="M365" s="1" t="str">
        <v>6101014.Hipotensor e hipocolesterolêmico</v>
      </c>
      <c r="Q365" s="1" t="str">
        <f t="shared" si="15"/>
        <v>6101014.Hipotensor e hipocolesterolêmico</v>
      </c>
      <c r="R365" s="1" t="str">
        <f t="shared" si="16"/>
        <v>202207</v>
      </c>
      <c r="S365" s="1">
        <f t="shared" si="17"/>
        <v>0.17</v>
      </c>
    </row>
    <row r="366" spans="1:19" x14ac:dyDescent="0.2">
      <c r="A366" s="1" t="str">
        <v>1</v>
      </c>
      <c r="B366" s="1" t="str">
        <v>Brasil</v>
      </c>
      <c r="C366" s="1" t="str">
        <v>2</v>
      </c>
      <c r="D366" s="1" t="str">
        <v>%</v>
      </c>
      <c r="E366" s="1" t="str">
        <v>-0.02</v>
      </c>
      <c r="F366" s="1" t="str">
        <v>1</v>
      </c>
      <c r="G366" s="1" t="str">
        <v>Brasil</v>
      </c>
      <c r="H366" s="1" t="str">
        <v>63</v>
      </c>
      <c r="I366" s="1" t="str">
        <v>IPCA - Variação mensal</v>
      </c>
      <c r="J366" s="1" t="str">
        <v>202207</v>
      </c>
      <c r="K366" s="1" t="str">
        <v>julho 2022</v>
      </c>
      <c r="L366" s="1" t="str">
        <v>107659</v>
      </c>
      <c r="M366" s="1" t="str">
        <v>6101051.Oftalmológico</v>
      </c>
      <c r="Q366" s="1" t="str">
        <f t="shared" si="15"/>
        <v>6101051.Oftalmológico</v>
      </c>
      <c r="R366" s="1" t="str">
        <f t="shared" si="16"/>
        <v>202207</v>
      </c>
      <c r="S366" s="1">
        <f t="shared" si="17"/>
        <v>-0.02</v>
      </c>
    </row>
    <row r="367" spans="1:19" x14ac:dyDescent="0.2">
      <c r="A367" s="1" t="str">
        <v>1</v>
      </c>
      <c r="B367" s="1" t="str">
        <v>Brasil</v>
      </c>
      <c r="C367" s="1" t="str">
        <v>2</v>
      </c>
      <c r="D367" s="1" t="str">
        <v>%</v>
      </c>
      <c r="E367" s="1" t="str">
        <v>0.35</v>
      </c>
      <c r="F367" s="1" t="str">
        <v>1</v>
      </c>
      <c r="G367" s="1" t="str">
        <v>Brasil</v>
      </c>
      <c r="H367" s="1" t="str">
        <v>63</v>
      </c>
      <c r="I367" s="1" t="str">
        <v>IPCA - Variação mensal</v>
      </c>
      <c r="J367" s="1" t="str">
        <v>202207</v>
      </c>
      <c r="K367" s="1" t="str">
        <v>julho 2022</v>
      </c>
      <c r="L367" s="1" t="str">
        <v>7677</v>
      </c>
      <c r="M367" s="1" t="str">
        <v>6101064.Antidiabético</v>
      </c>
      <c r="Q367" s="1" t="str">
        <f t="shared" si="15"/>
        <v>6101064.Antidiabético</v>
      </c>
      <c r="R367" s="1" t="str">
        <f t="shared" si="16"/>
        <v>202207</v>
      </c>
      <c r="S367" s="1">
        <f t="shared" si="17"/>
        <v>0.35</v>
      </c>
    </row>
    <row r="368" spans="1:19" x14ac:dyDescent="0.2">
      <c r="A368" s="1" t="str">
        <v>1</v>
      </c>
      <c r="B368" s="1" t="str">
        <v>Brasil</v>
      </c>
      <c r="C368" s="1" t="str">
        <v>2</v>
      </c>
      <c r="D368" s="1" t="str">
        <v>%</v>
      </c>
      <c r="E368" s="1" t="str">
        <v>0.56</v>
      </c>
      <c r="F368" s="1" t="str">
        <v>1</v>
      </c>
      <c r="G368" s="1" t="str">
        <v>Brasil</v>
      </c>
      <c r="H368" s="1" t="str">
        <v>63</v>
      </c>
      <c r="I368" s="1" t="str">
        <v>IPCA - Variação mensal</v>
      </c>
      <c r="J368" s="1" t="str">
        <v>202207</v>
      </c>
      <c r="K368" s="1" t="str">
        <v>julho 2022</v>
      </c>
      <c r="L368" s="1" t="str">
        <v>47652</v>
      </c>
      <c r="M368" s="1" t="str">
        <v>6101148.Neurológico</v>
      </c>
      <c r="Q368" s="1" t="str">
        <f t="shared" si="15"/>
        <v>6101148.Neurológico</v>
      </c>
      <c r="R368" s="1" t="str">
        <f t="shared" si="16"/>
        <v>202207</v>
      </c>
      <c r="S368" s="1">
        <f t="shared" si="17"/>
        <v>0.56000000000000005</v>
      </c>
    </row>
    <row r="369" spans="1:19" x14ac:dyDescent="0.2">
      <c r="A369" s="1" t="str">
        <v>1</v>
      </c>
      <c r="B369" s="1" t="str">
        <v>Brasil</v>
      </c>
      <c r="C369" s="1" t="str">
        <v>2</v>
      </c>
      <c r="D369" s="1" t="str">
        <v>%</v>
      </c>
      <c r="E369" s="1" t="str">
        <v>-0.61</v>
      </c>
      <c r="F369" s="1" t="str">
        <v>1</v>
      </c>
      <c r="G369" s="1" t="str">
        <v>Brasil</v>
      </c>
      <c r="H369" s="1" t="str">
        <v>63</v>
      </c>
      <c r="I369" s="1" t="str">
        <v>IPCA - Variação mensal</v>
      </c>
      <c r="J369" s="1" t="str">
        <v>202207</v>
      </c>
      <c r="K369" s="1" t="str">
        <v>julho 2022</v>
      </c>
      <c r="L369" s="1" t="str">
        <v>109464</v>
      </c>
      <c r="M369" s="1" t="str">
        <v>6102.Produtos óticos</v>
      </c>
      <c r="Q369" s="1" t="str">
        <f t="shared" si="15"/>
        <v>6102.Produtos óticos</v>
      </c>
      <c r="R369" s="1" t="str">
        <f t="shared" si="16"/>
        <v>202207</v>
      </c>
      <c r="S369" s="1">
        <f t="shared" si="17"/>
        <v>-0.61</v>
      </c>
    </row>
    <row r="370" spans="1:19" x14ac:dyDescent="0.2">
      <c r="A370" s="1" t="str">
        <v>1</v>
      </c>
      <c r="B370" s="1" t="str">
        <v>Brasil</v>
      </c>
      <c r="C370" s="1" t="str">
        <v>2</v>
      </c>
      <c r="D370" s="1" t="str">
        <v>%</v>
      </c>
      <c r="E370" s="1" t="str">
        <v>-0.61</v>
      </c>
      <c r="F370" s="1" t="str">
        <v>1</v>
      </c>
      <c r="G370" s="1" t="str">
        <v>Brasil</v>
      </c>
      <c r="H370" s="1" t="str">
        <v>63</v>
      </c>
      <c r="I370" s="1" t="str">
        <v>IPCA - Variação mensal</v>
      </c>
      <c r="J370" s="1" t="str">
        <v>202207</v>
      </c>
      <c r="K370" s="1" t="str">
        <v>julho 2022</v>
      </c>
      <c r="L370" s="1" t="str">
        <v>47653</v>
      </c>
      <c r="M370" s="1" t="str">
        <v>6102012.Óculos de grau</v>
      </c>
      <c r="Q370" s="1" t="str">
        <f t="shared" si="15"/>
        <v>6102012.Óculos de grau</v>
      </c>
      <c r="R370" s="1" t="str">
        <f t="shared" si="16"/>
        <v>202207</v>
      </c>
      <c r="S370" s="1">
        <f t="shared" si="17"/>
        <v>-0.61</v>
      </c>
    </row>
    <row r="371" spans="1:19" x14ac:dyDescent="0.2">
      <c r="A371" s="1" t="str">
        <v>1</v>
      </c>
      <c r="B371" s="1" t="str">
        <v>Brasil</v>
      </c>
      <c r="C371" s="1" t="str">
        <v>2</v>
      </c>
      <c r="D371" s="1" t="str">
        <v>%</v>
      </c>
      <c r="E371" s="1" t="str">
        <v>1.01</v>
      </c>
      <c r="F371" s="1" t="str">
        <v>1</v>
      </c>
      <c r="G371" s="1" t="str">
        <v>Brasil</v>
      </c>
      <c r="H371" s="1" t="str">
        <v>63</v>
      </c>
      <c r="I371" s="1" t="str">
        <v>IPCA - Variação mensal</v>
      </c>
      <c r="J371" s="1" t="str">
        <v>202207</v>
      </c>
      <c r="K371" s="1" t="str">
        <v>julho 2022</v>
      </c>
      <c r="L371" s="1" t="str">
        <v>7683</v>
      </c>
      <c r="M371" s="1" t="str">
        <v>62.Serviços de saúde</v>
      </c>
      <c r="Q371" s="1" t="str">
        <f t="shared" si="15"/>
        <v>62.Serviços de saúde</v>
      </c>
      <c r="R371" s="1" t="str">
        <f t="shared" si="16"/>
        <v>202207</v>
      </c>
      <c r="S371" s="1">
        <f t="shared" si="17"/>
        <v>1.01</v>
      </c>
    </row>
    <row r="372" spans="1:19" x14ac:dyDescent="0.2">
      <c r="A372" s="1" t="str">
        <v>1</v>
      </c>
      <c r="B372" s="1" t="str">
        <v>Brasil</v>
      </c>
      <c r="C372" s="1" t="str">
        <v>2</v>
      </c>
      <c r="D372" s="1" t="str">
        <v>%</v>
      </c>
      <c r="E372" s="1" t="str">
        <v>0.93</v>
      </c>
      <c r="F372" s="1" t="str">
        <v>1</v>
      </c>
      <c r="G372" s="1" t="str">
        <v>Brasil</v>
      </c>
      <c r="H372" s="1" t="str">
        <v>63</v>
      </c>
      <c r="I372" s="1" t="str">
        <v>IPCA - Variação mensal</v>
      </c>
      <c r="J372" s="1" t="str">
        <v>202207</v>
      </c>
      <c r="K372" s="1" t="str">
        <v>julho 2022</v>
      </c>
      <c r="L372" s="1" t="str">
        <v>7684</v>
      </c>
      <c r="M372" s="1" t="str">
        <v>6201.Serviços médicos e dentários</v>
      </c>
      <c r="Q372" s="1" t="str">
        <f t="shared" si="15"/>
        <v>6201.Serviços médicos e dentários</v>
      </c>
      <c r="R372" s="1" t="str">
        <f t="shared" si="16"/>
        <v>202207</v>
      </c>
      <c r="S372" s="1">
        <f t="shared" si="17"/>
        <v>0.93</v>
      </c>
    </row>
    <row r="373" spans="1:19" x14ac:dyDescent="0.2">
      <c r="A373" s="1" t="str">
        <v>1</v>
      </c>
      <c r="B373" s="1" t="str">
        <v>Brasil</v>
      </c>
      <c r="C373" s="1" t="str">
        <v>2</v>
      </c>
      <c r="D373" s="1" t="str">
        <v>%</v>
      </c>
      <c r="E373" s="1" t="str">
        <v>0.71</v>
      </c>
      <c r="F373" s="1" t="str">
        <v>1</v>
      </c>
      <c r="G373" s="1" t="str">
        <v>Brasil</v>
      </c>
      <c r="H373" s="1" t="str">
        <v>63</v>
      </c>
      <c r="I373" s="1" t="str">
        <v>IPCA - Variação mensal</v>
      </c>
      <c r="J373" s="1" t="str">
        <v>202207</v>
      </c>
      <c r="K373" s="1" t="str">
        <v>julho 2022</v>
      </c>
      <c r="L373" s="1" t="str">
        <v>7685</v>
      </c>
      <c r="M373" s="1" t="str">
        <v>6201002.Médico</v>
      </c>
      <c r="Q373" s="1" t="str">
        <f t="shared" si="15"/>
        <v>6201002.Médico</v>
      </c>
      <c r="R373" s="1" t="str">
        <f t="shared" si="16"/>
        <v>202207</v>
      </c>
      <c r="S373" s="1">
        <f t="shared" si="17"/>
        <v>0.71</v>
      </c>
    </row>
    <row r="374" spans="1:19" x14ac:dyDescent="0.2">
      <c r="A374" s="1" t="str">
        <v>1</v>
      </c>
      <c r="B374" s="1" t="str">
        <v>Brasil</v>
      </c>
      <c r="C374" s="1" t="str">
        <v>2</v>
      </c>
      <c r="D374" s="1" t="str">
        <v>%</v>
      </c>
      <c r="E374" s="1" t="str">
        <v>1.17</v>
      </c>
      <c r="F374" s="1" t="str">
        <v>1</v>
      </c>
      <c r="G374" s="1" t="str">
        <v>Brasil</v>
      </c>
      <c r="H374" s="1" t="str">
        <v>63</v>
      </c>
      <c r="I374" s="1" t="str">
        <v>IPCA - Variação mensal</v>
      </c>
      <c r="J374" s="1" t="str">
        <v>202207</v>
      </c>
      <c r="K374" s="1" t="str">
        <v>julho 2022</v>
      </c>
      <c r="L374" s="1" t="str">
        <v>7686</v>
      </c>
      <c r="M374" s="1" t="str">
        <v>6201003.Dentista</v>
      </c>
      <c r="Q374" s="1" t="str">
        <f t="shared" si="15"/>
        <v>6201003.Dentista</v>
      </c>
      <c r="R374" s="1" t="str">
        <f t="shared" si="16"/>
        <v>202207</v>
      </c>
      <c r="S374" s="1">
        <f t="shared" si="17"/>
        <v>1.17</v>
      </c>
    </row>
    <row r="375" spans="1:19" x14ac:dyDescent="0.2">
      <c r="A375" s="1" t="str">
        <v>1</v>
      </c>
      <c r="B375" s="1" t="str">
        <v>Brasil</v>
      </c>
      <c r="C375" s="1" t="str">
        <v>2</v>
      </c>
      <c r="D375" s="1" t="str">
        <v>%</v>
      </c>
      <c r="E375" s="1" t="str">
        <v>1.79</v>
      </c>
      <c r="F375" s="1" t="str">
        <v>1</v>
      </c>
      <c r="G375" s="1" t="str">
        <v>Brasil</v>
      </c>
      <c r="H375" s="1" t="str">
        <v>63</v>
      </c>
      <c r="I375" s="1" t="str">
        <v>IPCA - Variação mensal</v>
      </c>
      <c r="J375" s="1" t="str">
        <v>202207</v>
      </c>
      <c r="K375" s="1" t="str">
        <v>julho 2022</v>
      </c>
      <c r="L375" s="1" t="str">
        <v>12414</v>
      </c>
      <c r="M375" s="1" t="str">
        <v>6201005.Aparelho ortodôntico</v>
      </c>
      <c r="Q375" s="1" t="str">
        <f t="shared" si="15"/>
        <v>6201005.Aparelho ortodôntico</v>
      </c>
      <c r="R375" s="1" t="str">
        <f t="shared" si="16"/>
        <v>202207</v>
      </c>
      <c r="S375" s="1">
        <f t="shared" si="17"/>
        <v>1.79</v>
      </c>
    </row>
    <row r="376" spans="1:19" x14ac:dyDescent="0.2">
      <c r="A376" s="1" t="str">
        <v>1</v>
      </c>
      <c r="B376" s="1" t="str">
        <v>Brasil</v>
      </c>
      <c r="C376" s="1" t="str">
        <v>2</v>
      </c>
      <c r="D376" s="1" t="str">
        <v>%</v>
      </c>
      <c r="E376" s="1" t="str">
        <v>-2.09</v>
      </c>
      <c r="F376" s="1" t="str">
        <v>1</v>
      </c>
      <c r="G376" s="1" t="str">
        <v>Brasil</v>
      </c>
      <c r="H376" s="1" t="str">
        <v>63</v>
      </c>
      <c r="I376" s="1" t="str">
        <v>IPCA - Variação mensal</v>
      </c>
      <c r="J376" s="1" t="str">
        <v>202207</v>
      </c>
      <c r="K376" s="1" t="str">
        <v>julho 2022</v>
      </c>
      <c r="L376" s="1" t="str">
        <v>12435</v>
      </c>
      <c r="M376" s="1" t="str">
        <v>6201007.Fisioterapeuta</v>
      </c>
      <c r="Q376" s="1" t="str">
        <f t="shared" si="15"/>
        <v>6201007.Fisioterapeuta</v>
      </c>
      <c r="R376" s="1" t="str">
        <f t="shared" si="16"/>
        <v>202207</v>
      </c>
      <c r="S376" s="1">
        <f t="shared" si="17"/>
        <v>-2.09</v>
      </c>
    </row>
    <row r="377" spans="1:19" x14ac:dyDescent="0.2">
      <c r="A377" s="1" t="str">
        <v>1</v>
      </c>
      <c r="B377" s="1" t="str">
        <v>Brasil</v>
      </c>
      <c r="C377" s="1" t="str">
        <v>2</v>
      </c>
      <c r="D377" s="1" t="str">
        <v>%</v>
      </c>
      <c r="E377" s="1" t="str">
        <v>0.48</v>
      </c>
      <c r="F377" s="1" t="str">
        <v>1</v>
      </c>
      <c r="G377" s="1" t="str">
        <v>Brasil</v>
      </c>
      <c r="H377" s="1" t="str">
        <v>63</v>
      </c>
      <c r="I377" s="1" t="str">
        <v>IPCA - Variação mensal</v>
      </c>
      <c r="J377" s="1" t="str">
        <v>202207</v>
      </c>
      <c r="K377" s="1" t="str">
        <v>julho 2022</v>
      </c>
      <c r="L377" s="1" t="str">
        <v>12436</v>
      </c>
      <c r="M377" s="1" t="str">
        <v>6201010.Psicólogo</v>
      </c>
      <c r="Q377" s="1" t="str">
        <f t="shared" si="15"/>
        <v>6201010.Psicólogo</v>
      </c>
      <c r="R377" s="1" t="str">
        <f t="shared" si="16"/>
        <v>202207</v>
      </c>
      <c r="S377" s="1">
        <f t="shared" si="17"/>
        <v>0.48</v>
      </c>
    </row>
    <row r="378" spans="1:19" x14ac:dyDescent="0.2">
      <c r="A378" s="1" t="str">
        <v>1</v>
      </c>
      <c r="B378" s="1" t="str">
        <v>Brasil</v>
      </c>
      <c r="C378" s="1" t="str">
        <v>2</v>
      </c>
      <c r="D378" s="1" t="str">
        <v>%</v>
      </c>
      <c r="E378" s="1" t="str">
        <v>0.44</v>
      </c>
      <c r="F378" s="1" t="str">
        <v>1</v>
      </c>
      <c r="G378" s="1" t="str">
        <v>Brasil</v>
      </c>
      <c r="H378" s="1" t="str">
        <v>63</v>
      </c>
      <c r="I378" s="1" t="str">
        <v>IPCA - Variação mensal</v>
      </c>
      <c r="J378" s="1" t="str">
        <v>202207</v>
      </c>
      <c r="K378" s="1" t="str">
        <v>julho 2022</v>
      </c>
      <c r="L378" s="1" t="str">
        <v>7690</v>
      </c>
      <c r="M378" s="1" t="str">
        <v>6202.Serviços laboratoriais e hospitalares</v>
      </c>
      <c r="Q378" s="1" t="str">
        <f t="shared" si="15"/>
        <v>6202.Serviços laboratoriais e hospitalares</v>
      </c>
      <c r="R378" s="1" t="str">
        <f t="shared" si="16"/>
        <v>202207</v>
      </c>
      <c r="S378" s="1">
        <f t="shared" si="17"/>
        <v>0.44</v>
      </c>
    </row>
    <row r="379" spans="1:19" x14ac:dyDescent="0.2">
      <c r="A379" s="1" t="str">
        <v>1</v>
      </c>
      <c r="B379" s="1" t="str">
        <v>Brasil</v>
      </c>
      <c r="C379" s="1" t="str">
        <v>2</v>
      </c>
      <c r="D379" s="1" t="str">
        <v>%</v>
      </c>
      <c r="E379" s="1" t="str">
        <v>0.27</v>
      </c>
      <c r="F379" s="1" t="str">
        <v>1</v>
      </c>
      <c r="G379" s="1" t="str">
        <v>Brasil</v>
      </c>
      <c r="H379" s="1" t="str">
        <v>63</v>
      </c>
      <c r="I379" s="1" t="str">
        <v>IPCA - Variação mensal</v>
      </c>
      <c r="J379" s="1" t="str">
        <v>202207</v>
      </c>
      <c r="K379" s="1" t="str">
        <v>julho 2022</v>
      </c>
      <c r="L379" s="1" t="str">
        <v>7691</v>
      </c>
      <c r="M379" s="1" t="str">
        <v>6202003.Exame de laboratório</v>
      </c>
      <c r="Q379" s="1" t="str">
        <f t="shared" si="15"/>
        <v>6202003.Exame de laboratório</v>
      </c>
      <c r="R379" s="1" t="str">
        <f t="shared" si="16"/>
        <v>202207</v>
      </c>
      <c r="S379" s="1">
        <f t="shared" si="17"/>
        <v>0.27</v>
      </c>
    </row>
    <row r="380" spans="1:19" x14ac:dyDescent="0.2">
      <c r="A380" s="1" t="str">
        <v>1</v>
      </c>
      <c r="B380" s="1" t="str">
        <v>Brasil</v>
      </c>
      <c r="C380" s="1" t="str">
        <v>2</v>
      </c>
      <c r="D380" s="1" t="str">
        <v>%</v>
      </c>
      <c r="E380" s="1" t="str">
        <v>0.38</v>
      </c>
      <c r="F380" s="1" t="str">
        <v>1</v>
      </c>
      <c r="G380" s="1" t="str">
        <v>Brasil</v>
      </c>
      <c r="H380" s="1" t="str">
        <v>63</v>
      </c>
      <c r="I380" s="1" t="str">
        <v>IPCA - Variação mensal</v>
      </c>
      <c r="J380" s="1" t="str">
        <v>202207</v>
      </c>
      <c r="K380" s="1" t="str">
        <v>julho 2022</v>
      </c>
      <c r="L380" s="1" t="str">
        <v>7692</v>
      </c>
      <c r="M380" s="1" t="str">
        <v>6202004.Hospitalização e cirurgia</v>
      </c>
      <c r="Q380" s="1" t="str">
        <f t="shared" si="15"/>
        <v>6202004.Hospitalização e cirurgia</v>
      </c>
      <c r="R380" s="1" t="str">
        <f t="shared" si="16"/>
        <v>202207</v>
      </c>
      <c r="S380" s="1">
        <f t="shared" si="17"/>
        <v>0.38</v>
      </c>
    </row>
    <row r="381" spans="1:19" x14ac:dyDescent="0.2">
      <c r="A381" s="1" t="str">
        <v>1</v>
      </c>
      <c r="B381" s="1" t="str">
        <v>Brasil</v>
      </c>
      <c r="C381" s="1" t="str">
        <v>2</v>
      </c>
      <c r="D381" s="1" t="str">
        <v>%</v>
      </c>
      <c r="E381" s="1" t="str">
        <v>0.74</v>
      </c>
      <c r="F381" s="1" t="str">
        <v>1</v>
      </c>
      <c r="G381" s="1" t="str">
        <v>Brasil</v>
      </c>
      <c r="H381" s="1" t="str">
        <v>63</v>
      </c>
      <c r="I381" s="1" t="str">
        <v>IPCA - Variação mensal</v>
      </c>
      <c r="J381" s="1" t="str">
        <v>202207</v>
      </c>
      <c r="K381" s="1" t="str">
        <v>julho 2022</v>
      </c>
      <c r="L381" s="1" t="str">
        <v>12416</v>
      </c>
      <c r="M381" s="1" t="str">
        <v>6202006.Exame de imagem</v>
      </c>
      <c r="Q381" s="1" t="str">
        <f t="shared" si="15"/>
        <v>6202006.Exame de imagem</v>
      </c>
      <c r="R381" s="1" t="str">
        <f t="shared" si="16"/>
        <v>202207</v>
      </c>
      <c r="S381" s="1">
        <f t="shared" si="17"/>
        <v>0.74</v>
      </c>
    </row>
    <row r="382" spans="1:19" x14ac:dyDescent="0.2">
      <c r="A382" s="1" t="str">
        <v>1</v>
      </c>
      <c r="B382" s="1" t="str">
        <v>Brasil</v>
      </c>
      <c r="C382" s="1" t="str">
        <v>2</v>
      </c>
      <c r="D382" s="1" t="str">
        <v>%</v>
      </c>
      <c r="E382" s="1" t="str">
        <v>1.13</v>
      </c>
      <c r="F382" s="1" t="str">
        <v>1</v>
      </c>
      <c r="G382" s="1" t="str">
        <v>Brasil</v>
      </c>
      <c r="H382" s="1" t="str">
        <v>63</v>
      </c>
      <c r="I382" s="1" t="str">
        <v>IPCA - Variação mensal</v>
      </c>
      <c r="J382" s="1" t="str">
        <v>202207</v>
      </c>
      <c r="K382" s="1" t="str">
        <v>julho 2022</v>
      </c>
      <c r="L382" s="1" t="str">
        <v>7695</v>
      </c>
      <c r="M382" s="1" t="str">
        <v>6203.Plano de saúde</v>
      </c>
      <c r="Q382" s="1" t="str">
        <f t="shared" si="15"/>
        <v>6203.Plano de saúde</v>
      </c>
      <c r="R382" s="1" t="str">
        <f t="shared" si="16"/>
        <v>202207</v>
      </c>
      <c r="S382" s="1">
        <f t="shared" si="17"/>
        <v>1.1299999999999999</v>
      </c>
    </row>
    <row r="383" spans="1:19" x14ac:dyDescent="0.2">
      <c r="A383" s="1" t="str">
        <v>1</v>
      </c>
      <c r="B383" s="1" t="str">
        <v>Brasil</v>
      </c>
      <c r="C383" s="1" t="str">
        <v>2</v>
      </c>
      <c r="D383" s="1" t="str">
        <v>%</v>
      </c>
      <c r="E383" s="1" t="str">
        <v>1.13</v>
      </c>
      <c r="F383" s="1" t="str">
        <v>1</v>
      </c>
      <c r="G383" s="1" t="str">
        <v>Brasil</v>
      </c>
      <c r="H383" s="1" t="str">
        <v>63</v>
      </c>
      <c r="I383" s="1" t="str">
        <v>IPCA - Variação mensal</v>
      </c>
      <c r="J383" s="1" t="str">
        <v>202207</v>
      </c>
      <c r="K383" s="1" t="str">
        <v>julho 2022</v>
      </c>
      <c r="L383" s="1" t="str">
        <v>7696</v>
      </c>
      <c r="M383" s="1" t="str">
        <v>6203001.Plano de saúde</v>
      </c>
      <c r="Q383" s="1" t="str">
        <f t="shared" si="15"/>
        <v>6203001.Plano de saúde</v>
      </c>
      <c r="R383" s="1" t="str">
        <f t="shared" si="16"/>
        <v>202207</v>
      </c>
      <c r="S383" s="1">
        <f t="shared" si="17"/>
        <v>1.1299999999999999</v>
      </c>
    </row>
    <row r="384" spans="1:19" x14ac:dyDescent="0.2">
      <c r="A384" s="1" t="str">
        <v>1</v>
      </c>
      <c r="B384" s="1" t="str">
        <v>Brasil</v>
      </c>
      <c r="C384" s="1" t="str">
        <v>2</v>
      </c>
      <c r="D384" s="1" t="str">
        <v>%</v>
      </c>
      <c r="E384" s="1" t="str">
        <v>-0.23</v>
      </c>
      <c r="F384" s="1" t="str">
        <v>1</v>
      </c>
      <c r="G384" s="1" t="str">
        <v>Brasil</v>
      </c>
      <c r="H384" s="1" t="str">
        <v>63</v>
      </c>
      <c r="I384" s="1" t="str">
        <v>IPCA - Variação mensal</v>
      </c>
      <c r="J384" s="1" t="str">
        <v>202207</v>
      </c>
      <c r="K384" s="1" t="str">
        <v>julho 2022</v>
      </c>
      <c r="L384" s="1" t="str">
        <v>7697</v>
      </c>
      <c r="M384" s="1" t="str">
        <v>63.Cuidados pessoais</v>
      </c>
      <c r="Q384" s="1" t="str">
        <f t="shared" si="15"/>
        <v>63.Cuidados pessoais</v>
      </c>
      <c r="R384" s="1" t="str">
        <f t="shared" si="16"/>
        <v>202207</v>
      </c>
      <c r="S384" s="1">
        <f t="shared" si="17"/>
        <v>-0.23</v>
      </c>
    </row>
    <row r="385" spans="1:19" x14ac:dyDescent="0.2">
      <c r="A385" s="1" t="str">
        <v>1</v>
      </c>
      <c r="B385" s="1" t="str">
        <v>Brasil</v>
      </c>
      <c r="C385" s="1" t="str">
        <v>2</v>
      </c>
      <c r="D385" s="1" t="str">
        <v>%</v>
      </c>
      <c r="E385" s="1" t="str">
        <v>-0.23</v>
      </c>
      <c r="F385" s="1" t="str">
        <v>1</v>
      </c>
      <c r="G385" s="1" t="str">
        <v>Brasil</v>
      </c>
      <c r="H385" s="1" t="str">
        <v>63</v>
      </c>
      <c r="I385" s="1" t="str">
        <v>IPCA - Variação mensal</v>
      </c>
      <c r="J385" s="1" t="str">
        <v>202207</v>
      </c>
      <c r="K385" s="1" t="str">
        <v>julho 2022</v>
      </c>
      <c r="L385" s="1" t="str">
        <v>7698</v>
      </c>
      <c r="M385" s="1" t="str">
        <v>6301.Higiene pessoal</v>
      </c>
      <c r="Q385" s="1" t="str">
        <f t="shared" si="15"/>
        <v>6301.Higiene pessoal</v>
      </c>
      <c r="R385" s="1" t="str">
        <f t="shared" si="16"/>
        <v>202207</v>
      </c>
      <c r="S385" s="1">
        <f t="shared" si="17"/>
        <v>-0.23</v>
      </c>
    </row>
    <row r="386" spans="1:19" x14ac:dyDescent="0.2">
      <c r="A386" s="1" t="str">
        <v>1</v>
      </c>
      <c r="B386" s="1" t="str">
        <v>Brasil</v>
      </c>
      <c r="C386" s="1" t="str">
        <v>2</v>
      </c>
      <c r="D386" s="1" t="str">
        <v>%</v>
      </c>
      <c r="E386" s="1" t="str">
        <v>1.10</v>
      </c>
      <c r="F386" s="1" t="str">
        <v>1</v>
      </c>
      <c r="G386" s="1" t="str">
        <v>Brasil</v>
      </c>
      <c r="H386" s="1" t="str">
        <v>63</v>
      </c>
      <c r="I386" s="1" t="str">
        <v>IPCA - Variação mensal</v>
      </c>
      <c r="J386" s="1" t="str">
        <v>202207</v>
      </c>
      <c r="K386" s="1" t="str">
        <v>julho 2022</v>
      </c>
      <c r="L386" s="1" t="str">
        <v>7699</v>
      </c>
      <c r="M386" s="1" t="str">
        <v>6301001.Produto para cabelo</v>
      </c>
      <c r="Q386" s="1" t="str">
        <f t="shared" si="15"/>
        <v>6301001.Produto para cabelo</v>
      </c>
      <c r="R386" s="1" t="str">
        <f t="shared" si="16"/>
        <v>202207</v>
      </c>
      <c r="S386" s="1">
        <f t="shared" si="17"/>
        <v>1.1000000000000001</v>
      </c>
    </row>
    <row r="387" spans="1:19" x14ac:dyDescent="0.2">
      <c r="A387" s="1" t="str">
        <v>1</v>
      </c>
      <c r="B387" s="1" t="str">
        <v>Brasil</v>
      </c>
      <c r="C387" s="1" t="str">
        <v>2</v>
      </c>
      <c r="D387" s="1" t="str">
        <v>%</v>
      </c>
      <c r="E387" s="1" t="str">
        <v>0.16</v>
      </c>
      <c r="F387" s="1" t="str">
        <v>1</v>
      </c>
      <c r="G387" s="1" t="str">
        <v>Brasil</v>
      </c>
      <c r="H387" s="1" t="str">
        <v>63</v>
      </c>
      <c r="I387" s="1" t="str">
        <v>IPCA - Variação mensal</v>
      </c>
      <c r="J387" s="1" t="str">
        <v>202207</v>
      </c>
      <c r="K387" s="1" t="str">
        <v>julho 2022</v>
      </c>
      <c r="L387" s="1" t="str">
        <v>12420</v>
      </c>
      <c r="M387" s="1" t="str">
        <v>6301002.Fralda descartável</v>
      </c>
      <c r="Q387" s="1" t="str">
        <f t="shared" si="15"/>
        <v>6301002.Fralda descartável</v>
      </c>
      <c r="R387" s="1" t="str">
        <f t="shared" si="16"/>
        <v>202207</v>
      </c>
      <c r="S387" s="1">
        <f t="shared" si="17"/>
        <v>0.16</v>
      </c>
    </row>
    <row r="388" spans="1:19" x14ac:dyDescent="0.2">
      <c r="A388" s="1" t="str">
        <v>1</v>
      </c>
      <c r="B388" s="1" t="str">
        <v>Brasil</v>
      </c>
      <c r="C388" s="1" t="str">
        <v>2</v>
      </c>
      <c r="D388" s="1" t="str">
        <v>%</v>
      </c>
      <c r="E388" s="1" t="str">
        <v>0.35</v>
      </c>
      <c r="F388" s="1" t="str">
        <v>1</v>
      </c>
      <c r="G388" s="1" t="str">
        <v>Brasil</v>
      </c>
      <c r="H388" s="1" t="str">
        <v>63</v>
      </c>
      <c r="I388" s="1" t="str">
        <v>IPCA - Variação mensal</v>
      </c>
      <c r="J388" s="1" t="str">
        <v>202207</v>
      </c>
      <c r="K388" s="1" t="str">
        <v>julho 2022</v>
      </c>
      <c r="L388" s="1" t="str">
        <v>101642</v>
      </c>
      <c r="M388" s="1" t="str">
        <v>6301004.Produto para barba</v>
      </c>
      <c r="Q388" s="1" t="str">
        <f t="shared" si="15"/>
        <v>6301004.Produto para barba</v>
      </c>
      <c r="R388" s="1" t="str">
        <f t="shared" si="16"/>
        <v>202207</v>
      </c>
      <c r="S388" s="1">
        <f t="shared" si="17"/>
        <v>0.35</v>
      </c>
    </row>
    <row r="389" spans="1:19" x14ac:dyDescent="0.2">
      <c r="A389" s="1" t="str">
        <v>1</v>
      </c>
      <c r="B389" s="1" t="str">
        <v>Brasil</v>
      </c>
      <c r="C389" s="1" t="str">
        <v>2</v>
      </c>
      <c r="D389" s="1" t="str">
        <v>%</v>
      </c>
      <c r="E389" s="1" t="str">
        <v>4.05</v>
      </c>
      <c r="F389" s="1" t="str">
        <v>1</v>
      </c>
      <c r="G389" s="1" t="str">
        <v>Brasil</v>
      </c>
      <c r="H389" s="1" t="str">
        <v>63</v>
      </c>
      <c r="I389" s="1" t="str">
        <v>IPCA - Variação mensal</v>
      </c>
      <c r="J389" s="1" t="str">
        <v>202207</v>
      </c>
      <c r="K389" s="1" t="str">
        <v>julho 2022</v>
      </c>
      <c r="L389" s="1" t="str">
        <v>101644</v>
      </c>
      <c r="M389" s="1" t="str">
        <v>6301006.Produto para pele</v>
      </c>
      <c r="Q389" s="1" t="str">
        <f t="shared" si="15"/>
        <v>6301006.Produto para pele</v>
      </c>
      <c r="R389" s="1" t="str">
        <f t="shared" si="16"/>
        <v>202207</v>
      </c>
      <c r="S389" s="1">
        <f t="shared" si="17"/>
        <v>4.05</v>
      </c>
    </row>
    <row r="390" spans="1:19" x14ac:dyDescent="0.2">
      <c r="A390" s="1" t="str">
        <v>1</v>
      </c>
      <c r="B390" s="1" t="str">
        <v>Brasil</v>
      </c>
      <c r="C390" s="1" t="str">
        <v>2</v>
      </c>
      <c r="D390" s="1" t="str">
        <v>%</v>
      </c>
      <c r="E390" s="1" t="str">
        <v>0.99</v>
      </c>
      <c r="F390" s="1" t="str">
        <v>1</v>
      </c>
      <c r="G390" s="1" t="str">
        <v>Brasil</v>
      </c>
      <c r="H390" s="1" t="str">
        <v>63</v>
      </c>
      <c r="I390" s="1" t="str">
        <v>IPCA - Variação mensal</v>
      </c>
      <c r="J390" s="1" t="str">
        <v>202207</v>
      </c>
      <c r="K390" s="1" t="str">
        <v>julho 2022</v>
      </c>
      <c r="L390" s="1" t="str">
        <v>107661</v>
      </c>
      <c r="M390" s="1" t="str">
        <v>6301007.Produto para higiene bucal</v>
      </c>
      <c r="Q390" s="1" t="str">
        <f t="shared" si="15"/>
        <v>6301007.Produto para higiene bucal</v>
      </c>
      <c r="R390" s="1" t="str">
        <f t="shared" si="16"/>
        <v>202207</v>
      </c>
      <c r="S390" s="1">
        <f t="shared" si="17"/>
        <v>0.99</v>
      </c>
    </row>
    <row r="391" spans="1:19" x14ac:dyDescent="0.2">
      <c r="A391" s="1" t="str">
        <v>1</v>
      </c>
      <c r="B391" s="1" t="str">
        <v>Brasil</v>
      </c>
      <c r="C391" s="1" t="str">
        <v>2</v>
      </c>
      <c r="D391" s="1" t="str">
        <v>%</v>
      </c>
      <c r="E391" s="1" t="str">
        <v>-0.43</v>
      </c>
      <c r="F391" s="1" t="str">
        <v>1</v>
      </c>
      <c r="G391" s="1" t="str">
        <v>Brasil</v>
      </c>
      <c r="H391" s="1" t="str">
        <v>63</v>
      </c>
      <c r="I391" s="1" t="str">
        <v>IPCA - Variação mensal</v>
      </c>
      <c r="J391" s="1" t="str">
        <v>202207</v>
      </c>
      <c r="K391" s="1" t="str">
        <v>julho 2022</v>
      </c>
      <c r="L391" s="1" t="str">
        <v>7703</v>
      </c>
      <c r="M391" s="1" t="str">
        <v>6301010.Produto para unha</v>
      </c>
      <c r="Q391" s="1" t="str">
        <f t="shared" ref="Q391:Q454" si="18">M391</f>
        <v>6301010.Produto para unha</v>
      </c>
      <c r="R391" s="1" t="str">
        <f t="shared" ref="R391:R454" si="19">J391</f>
        <v>202207</v>
      </c>
      <c r="S391" s="1">
        <f t="shared" ref="S391:S454" si="20">IFERROR(_xlfn.NUMBERVALUE(E391,".",","), "")</f>
        <v>-0.43</v>
      </c>
    </row>
    <row r="392" spans="1:19" x14ac:dyDescent="0.2">
      <c r="A392" s="1" t="str">
        <v>1</v>
      </c>
      <c r="B392" s="1" t="str">
        <v>Brasil</v>
      </c>
      <c r="C392" s="1" t="str">
        <v>2</v>
      </c>
      <c r="D392" s="1" t="str">
        <v>%</v>
      </c>
      <c r="E392" s="1" t="str">
        <v>-3.42</v>
      </c>
      <c r="F392" s="1" t="str">
        <v>1</v>
      </c>
      <c r="G392" s="1" t="str">
        <v>Brasil</v>
      </c>
      <c r="H392" s="1" t="str">
        <v>63</v>
      </c>
      <c r="I392" s="1" t="str">
        <v>IPCA - Variação mensal</v>
      </c>
      <c r="J392" s="1" t="str">
        <v>202207</v>
      </c>
      <c r="K392" s="1" t="str">
        <v>julho 2022</v>
      </c>
      <c r="L392" s="1" t="str">
        <v>7704</v>
      </c>
      <c r="M392" s="1" t="str">
        <v>6301011.Perfume</v>
      </c>
      <c r="Q392" s="1" t="str">
        <f t="shared" si="18"/>
        <v>6301011.Perfume</v>
      </c>
      <c r="R392" s="1" t="str">
        <f t="shared" si="19"/>
        <v>202207</v>
      </c>
      <c r="S392" s="1">
        <f t="shared" si="20"/>
        <v>-3.42</v>
      </c>
    </row>
    <row r="393" spans="1:19" x14ac:dyDescent="0.2">
      <c r="A393" s="1" t="str">
        <v>1</v>
      </c>
      <c r="B393" s="1" t="str">
        <v>Brasil</v>
      </c>
      <c r="C393" s="1" t="str">
        <v>2</v>
      </c>
      <c r="D393" s="1" t="str">
        <v>%</v>
      </c>
      <c r="E393" s="1" t="str">
        <v>0.21</v>
      </c>
      <c r="F393" s="1" t="str">
        <v>1</v>
      </c>
      <c r="G393" s="1" t="str">
        <v>Brasil</v>
      </c>
      <c r="H393" s="1" t="str">
        <v>63</v>
      </c>
      <c r="I393" s="1" t="str">
        <v>IPCA - Variação mensal</v>
      </c>
      <c r="J393" s="1" t="str">
        <v>202207</v>
      </c>
      <c r="K393" s="1" t="str">
        <v>julho 2022</v>
      </c>
      <c r="L393" s="1" t="str">
        <v>7707</v>
      </c>
      <c r="M393" s="1" t="str">
        <v>6301014.Desodorante</v>
      </c>
      <c r="Q393" s="1" t="str">
        <f t="shared" si="18"/>
        <v>6301014.Desodorante</v>
      </c>
      <c r="R393" s="1" t="str">
        <f t="shared" si="19"/>
        <v>202207</v>
      </c>
      <c r="S393" s="1">
        <f t="shared" si="20"/>
        <v>0.21</v>
      </c>
    </row>
    <row r="394" spans="1:19" x14ac:dyDescent="0.2">
      <c r="A394" s="1" t="str">
        <v>1</v>
      </c>
      <c r="B394" s="1" t="str">
        <v>Brasil</v>
      </c>
      <c r="C394" s="1" t="str">
        <v>2</v>
      </c>
      <c r="D394" s="1" t="str">
        <v>%</v>
      </c>
      <c r="E394" s="1" t="str">
        <v>0.46</v>
      </c>
      <c r="F394" s="1" t="str">
        <v>1</v>
      </c>
      <c r="G394" s="1" t="str">
        <v>Brasil</v>
      </c>
      <c r="H394" s="1" t="str">
        <v>63</v>
      </c>
      <c r="I394" s="1" t="str">
        <v>IPCA - Variação mensal</v>
      </c>
      <c r="J394" s="1" t="str">
        <v>202207</v>
      </c>
      <c r="K394" s="1" t="str">
        <v>julho 2022</v>
      </c>
      <c r="L394" s="1" t="str">
        <v>7708</v>
      </c>
      <c r="M394" s="1" t="str">
        <v>6301015.Absorvente higiênico</v>
      </c>
      <c r="Q394" s="1" t="str">
        <f t="shared" si="18"/>
        <v>6301015.Absorvente higiênico</v>
      </c>
      <c r="R394" s="1" t="str">
        <f t="shared" si="19"/>
        <v>202207</v>
      </c>
      <c r="S394" s="1">
        <f t="shared" si="20"/>
        <v>0.46</v>
      </c>
    </row>
    <row r="395" spans="1:19" x14ac:dyDescent="0.2">
      <c r="A395" s="1" t="str">
        <v>1</v>
      </c>
      <c r="B395" s="1" t="str">
        <v>Brasil</v>
      </c>
      <c r="C395" s="1" t="str">
        <v>2</v>
      </c>
      <c r="D395" s="1" t="str">
        <v>%</v>
      </c>
      <c r="E395" s="1" t="str">
        <v>1.97</v>
      </c>
      <c r="F395" s="1" t="str">
        <v>1</v>
      </c>
      <c r="G395" s="1" t="str">
        <v>Brasil</v>
      </c>
      <c r="H395" s="1" t="str">
        <v>63</v>
      </c>
      <c r="I395" s="1" t="str">
        <v>IPCA - Variação mensal</v>
      </c>
      <c r="J395" s="1" t="str">
        <v>202207</v>
      </c>
      <c r="K395" s="1" t="str">
        <v>julho 2022</v>
      </c>
      <c r="L395" s="1" t="str">
        <v>7709</v>
      </c>
      <c r="M395" s="1" t="str">
        <v>6301016.Sabonete</v>
      </c>
      <c r="Q395" s="1" t="str">
        <f t="shared" si="18"/>
        <v>6301016.Sabonete</v>
      </c>
      <c r="R395" s="1" t="str">
        <f t="shared" si="19"/>
        <v>202207</v>
      </c>
      <c r="S395" s="1">
        <f t="shared" si="20"/>
        <v>1.97</v>
      </c>
    </row>
    <row r="396" spans="1:19" x14ac:dyDescent="0.2">
      <c r="A396" s="1" t="str">
        <v>1</v>
      </c>
      <c r="B396" s="1" t="str">
        <v>Brasil</v>
      </c>
      <c r="C396" s="1" t="str">
        <v>2</v>
      </c>
      <c r="D396" s="1" t="str">
        <v>%</v>
      </c>
      <c r="E396" s="1" t="str">
        <v>1.01</v>
      </c>
      <c r="F396" s="1" t="str">
        <v>1</v>
      </c>
      <c r="G396" s="1" t="str">
        <v>Brasil</v>
      </c>
      <c r="H396" s="1" t="str">
        <v>63</v>
      </c>
      <c r="I396" s="1" t="str">
        <v>IPCA - Variação mensal</v>
      </c>
      <c r="J396" s="1" t="str">
        <v>202207</v>
      </c>
      <c r="K396" s="1" t="str">
        <v>julho 2022</v>
      </c>
      <c r="L396" s="1" t="str">
        <v>7710</v>
      </c>
      <c r="M396" s="1" t="str">
        <v>6301017.Papel higiênico</v>
      </c>
      <c r="Q396" s="1" t="str">
        <f t="shared" si="18"/>
        <v>6301017.Papel higiênico</v>
      </c>
      <c r="R396" s="1" t="str">
        <f t="shared" si="19"/>
        <v>202207</v>
      </c>
      <c r="S396" s="1">
        <f t="shared" si="20"/>
        <v>1.01</v>
      </c>
    </row>
    <row r="397" spans="1:19" x14ac:dyDescent="0.2">
      <c r="A397" s="1" t="str">
        <v>1</v>
      </c>
      <c r="B397" s="1" t="str">
        <v>Brasil</v>
      </c>
      <c r="C397" s="1" t="str">
        <v>2</v>
      </c>
      <c r="D397" s="1" t="str">
        <v>%</v>
      </c>
      <c r="E397" s="1" t="str">
        <v>-6.68</v>
      </c>
      <c r="F397" s="1" t="str">
        <v>1</v>
      </c>
      <c r="G397" s="1" t="str">
        <v>Brasil</v>
      </c>
      <c r="H397" s="1" t="str">
        <v>63</v>
      </c>
      <c r="I397" s="1" t="str">
        <v>IPCA - Variação mensal</v>
      </c>
      <c r="J397" s="1" t="str">
        <v>202207</v>
      </c>
      <c r="K397" s="1" t="str">
        <v>julho 2022</v>
      </c>
      <c r="L397" s="1" t="str">
        <v>7711</v>
      </c>
      <c r="M397" s="1" t="str">
        <v>6301020.Artigos de maquiagem</v>
      </c>
      <c r="Q397" s="1" t="str">
        <f t="shared" si="18"/>
        <v>6301020.Artigos de maquiagem</v>
      </c>
      <c r="R397" s="1" t="str">
        <f t="shared" si="19"/>
        <v>202207</v>
      </c>
      <c r="S397" s="1">
        <f t="shared" si="20"/>
        <v>-6.68</v>
      </c>
    </row>
    <row r="398" spans="1:19" x14ac:dyDescent="0.2">
      <c r="A398" s="1" t="str">
        <v>1</v>
      </c>
      <c r="B398" s="1" t="str">
        <v>Brasil</v>
      </c>
      <c r="C398" s="1" t="str">
        <v>2</v>
      </c>
      <c r="D398" s="1" t="str">
        <v>%</v>
      </c>
      <c r="E398" s="1" t="str">
        <v>1.13</v>
      </c>
      <c r="F398" s="1" t="str">
        <v>1</v>
      </c>
      <c r="G398" s="1" t="str">
        <v>Brasil</v>
      </c>
      <c r="H398" s="1" t="str">
        <v>63</v>
      </c>
      <c r="I398" s="1" t="str">
        <v>IPCA - Variação mensal</v>
      </c>
      <c r="J398" s="1" t="str">
        <v>202207</v>
      </c>
      <c r="K398" s="1" t="str">
        <v>julho 2022</v>
      </c>
      <c r="L398" s="1" t="str">
        <v>7712</v>
      </c>
      <c r="M398" s="1" t="str">
        <v>7.Despesas pessoais</v>
      </c>
      <c r="Q398" s="1" t="str">
        <f t="shared" si="18"/>
        <v>7.Despesas pessoais</v>
      </c>
      <c r="R398" s="1" t="str">
        <f t="shared" si="19"/>
        <v>202207</v>
      </c>
      <c r="S398" s="1">
        <f t="shared" si="20"/>
        <v>1.1299999999999999</v>
      </c>
    </row>
    <row r="399" spans="1:19" x14ac:dyDescent="0.2">
      <c r="A399" s="1" t="str">
        <v>1</v>
      </c>
      <c r="B399" s="1" t="str">
        <v>Brasil</v>
      </c>
      <c r="C399" s="1" t="str">
        <v>2</v>
      </c>
      <c r="D399" s="1" t="str">
        <v>%</v>
      </c>
      <c r="E399" s="1" t="str">
        <v>0.77</v>
      </c>
      <c r="F399" s="1" t="str">
        <v>1</v>
      </c>
      <c r="G399" s="1" t="str">
        <v>Brasil</v>
      </c>
      <c r="H399" s="1" t="str">
        <v>63</v>
      </c>
      <c r="I399" s="1" t="str">
        <v>IPCA - Variação mensal</v>
      </c>
      <c r="J399" s="1" t="str">
        <v>202207</v>
      </c>
      <c r="K399" s="1" t="str">
        <v>julho 2022</v>
      </c>
      <c r="L399" s="1" t="str">
        <v>7713</v>
      </c>
      <c r="M399" s="1" t="str">
        <v>71.Serviços pessoais</v>
      </c>
      <c r="Q399" s="1" t="str">
        <f t="shared" si="18"/>
        <v>71.Serviços pessoais</v>
      </c>
      <c r="R399" s="1" t="str">
        <f t="shared" si="19"/>
        <v>202207</v>
      </c>
      <c r="S399" s="1">
        <f t="shared" si="20"/>
        <v>0.77</v>
      </c>
    </row>
    <row r="400" spans="1:19" x14ac:dyDescent="0.2">
      <c r="A400" s="1" t="str">
        <v>1</v>
      </c>
      <c r="B400" s="1" t="str">
        <v>Brasil</v>
      </c>
      <c r="C400" s="1" t="str">
        <v>2</v>
      </c>
      <c r="D400" s="1" t="str">
        <v>%</v>
      </c>
      <c r="E400" s="1" t="str">
        <v>0.77</v>
      </c>
      <c r="F400" s="1" t="str">
        <v>1</v>
      </c>
      <c r="G400" s="1" t="str">
        <v>Brasil</v>
      </c>
      <c r="H400" s="1" t="str">
        <v>63</v>
      </c>
      <c r="I400" s="1" t="str">
        <v>IPCA - Variação mensal</v>
      </c>
      <c r="J400" s="1" t="str">
        <v>202207</v>
      </c>
      <c r="K400" s="1" t="str">
        <v>julho 2022</v>
      </c>
      <c r="L400" s="1" t="str">
        <v>7714</v>
      </c>
      <c r="M400" s="1" t="str">
        <v>7101.Serviços pessoais</v>
      </c>
      <c r="Q400" s="1" t="str">
        <f t="shared" si="18"/>
        <v>7101.Serviços pessoais</v>
      </c>
      <c r="R400" s="1" t="str">
        <f t="shared" si="19"/>
        <v>202207</v>
      </c>
      <c r="S400" s="1">
        <f t="shared" si="20"/>
        <v>0.77</v>
      </c>
    </row>
    <row r="401" spans="1:19" x14ac:dyDescent="0.2">
      <c r="A401" s="1" t="str">
        <v>1</v>
      </c>
      <c r="B401" s="1" t="str">
        <v>Brasil</v>
      </c>
      <c r="C401" s="1" t="str">
        <v>2</v>
      </c>
      <c r="D401" s="1" t="str">
        <v>%</v>
      </c>
      <c r="E401" s="1" t="str">
        <v>1.66</v>
      </c>
      <c r="F401" s="1" t="str">
        <v>1</v>
      </c>
      <c r="G401" s="1" t="str">
        <v>Brasil</v>
      </c>
      <c r="H401" s="1" t="str">
        <v>63</v>
      </c>
      <c r="I401" s="1" t="str">
        <v>IPCA - Variação mensal</v>
      </c>
      <c r="J401" s="1" t="str">
        <v>202207</v>
      </c>
      <c r="K401" s="1" t="str">
        <v>julho 2022</v>
      </c>
      <c r="L401" s="1" t="str">
        <v>7715</v>
      </c>
      <c r="M401" s="1" t="str">
        <v>7101001.Costureira</v>
      </c>
      <c r="Q401" s="1" t="str">
        <f t="shared" si="18"/>
        <v>7101001.Costureira</v>
      </c>
      <c r="R401" s="1" t="str">
        <f t="shared" si="19"/>
        <v>202207</v>
      </c>
      <c r="S401" s="1">
        <f t="shared" si="20"/>
        <v>1.66</v>
      </c>
    </row>
    <row r="402" spans="1:19" x14ac:dyDescent="0.2">
      <c r="A402" s="1" t="str">
        <v>1</v>
      </c>
      <c r="B402" s="1" t="str">
        <v>Brasil</v>
      </c>
      <c r="C402" s="1" t="str">
        <v>2</v>
      </c>
      <c r="D402" s="1" t="str">
        <v>%</v>
      </c>
      <c r="E402" s="1" t="str">
        <v>0.89</v>
      </c>
      <c r="F402" s="1" t="str">
        <v>1</v>
      </c>
      <c r="G402" s="1" t="str">
        <v>Brasil</v>
      </c>
      <c r="H402" s="1" t="str">
        <v>63</v>
      </c>
      <c r="I402" s="1" t="str">
        <v>IPCA - Variação mensal</v>
      </c>
      <c r="J402" s="1" t="str">
        <v>202207</v>
      </c>
      <c r="K402" s="1" t="str">
        <v>julho 2022</v>
      </c>
      <c r="L402" s="1" t="str">
        <v>12421</v>
      </c>
      <c r="M402" s="1" t="str">
        <v>7101005.Manicure</v>
      </c>
      <c r="Q402" s="1" t="str">
        <f t="shared" si="18"/>
        <v>7101005.Manicure</v>
      </c>
      <c r="R402" s="1" t="str">
        <f t="shared" si="19"/>
        <v>202207</v>
      </c>
      <c r="S402" s="1">
        <f t="shared" si="20"/>
        <v>0.89</v>
      </c>
    </row>
    <row r="403" spans="1:19" x14ac:dyDescent="0.2">
      <c r="A403" s="1" t="str">
        <v>1</v>
      </c>
      <c r="B403" s="1" t="str">
        <v>Brasil</v>
      </c>
      <c r="C403" s="1" t="str">
        <v>2</v>
      </c>
      <c r="D403" s="1" t="str">
        <v>%</v>
      </c>
      <c r="E403" s="1" t="str">
        <v>1.25</v>
      </c>
      <c r="F403" s="1" t="str">
        <v>1</v>
      </c>
      <c r="G403" s="1" t="str">
        <v>Brasil</v>
      </c>
      <c r="H403" s="1" t="str">
        <v>63</v>
      </c>
      <c r="I403" s="1" t="str">
        <v>IPCA - Variação mensal</v>
      </c>
      <c r="J403" s="1" t="str">
        <v>202207</v>
      </c>
      <c r="K403" s="1" t="str">
        <v>julho 2022</v>
      </c>
      <c r="L403" s="1" t="str">
        <v>7720</v>
      </c>
      <c r="M403" s="1" t="str">
        <v>7101010.Empregado doméstico</v>
      </c>
      <c r="Q403" s="1" t="str">
        <f t="shared" si="18"/>
        <v>7101010.Empregado doméstico</v>
      </c>
      <c r="R403" s="1" t="str">
        <f t="shared" si="19"/>
        <v>202207</v>
      </c>
      <c r="S403" s="1">
        <f t="shared" si="20"/>
        <v>1.25</v>
      </c>
    </row>
    <row r="404" spans="1:19" x14ac:dyDescent="0.2">
      <c r="A404" s="1" t="str">
        <v>1</v>
      </c>
      <c r="B404" s="1" t="str">
        <v>Brasil</v>
      </c>
      <c r="C404" s="1" t="str">
        <v>2</v>
      </c>
      <c r="D404" s="1" t="str">
        <v>%</v>
      </c>
      <c r="E404" s="1" t="str">
        <v>1.01</v>
      </c>
      <c r="F404" s="1" t="str">
        <v>1</v>
      </c>
      <c r="G404" s="1" t="str">
        <v>Brasil</v>
      </c>
      <c r="H404" s="1" t="str">
        <v>63</v>
      </c>
      <c r="I404" s="1" t="str">
        <v>IPCA - Variação mensal</v>
      </c>
      <c r="J404" s="1" t="str">
        <v>202207</v>
      </c>
      <c r="K404" s="1" t="str">
        <v>julho 2022</v>
      </c>
      <c r="L404" s="1" t="str">
        <v>47654</v>
      </c>
      <c r="M404" s="1" t="str">
        <v>7101011.Cabeleireiro e barbeiro</v>
      </c>
      <c r="Q404" s="1" t="str">
        <f t="shared" si="18"/>
        <v>7101011.Cabeleireiro e barbeiro</v>
      </c>
      <c r="R404" s="1" t="str">
        <f t="shared" si="19"/>
        <v>202207</v>
      </c>
      <c r="S404" s="1">
        <f t="shared" si="20"/>
        <v>1.01</v>
      </c>
    </row>
    <row r="405" spans="1:19" x14ac:dyDescent="0.2">
      <c r="A405" s="1" t="str">
        <v>1</v>
      </c>
      <c r="B405" s="1" t="str">
        <v>Brasil</v>
      </c>
      <c r="C405" s="1" t="str">
        <v>2</v>
      </c>
      <c r="D405" s="1" t="str">
        <v>%</v>
      </c>
      <c r="E405" s="1" t="str">
        <v>0.64</v>
      </c>
      <c r="F405" s="1" t="str">
        <v>1</v>
      </c>
      <c r="G405" s="1" t="str">
        <v>Brasil</v>
      </c>
      <c r="H405" s="1" t="str">
        <v>63</v>
      </c>
      <c r="I405" s="1" t="str">
        <v>IPCA - Variação mensal</v>
      </c>
      <c r="J405" s="1" t="str">
        <v>202207</v>
      </c>
      <c r="K405" s="1" t="str">
        <v>julho 2022</v>
      </c>
      <c r="L405" s="1" t="str">
        <v>7721</v>
      </c>
      <c r="M405" s="1" t="str">
        <v>7101014.Depilação</v>
      </c>
      <c r="Q405" s="1" t="str">
        <f t="shared" si="18"/>
        <v>7101014.Depilação</v>
      </c>
      <c r="R405" s="1" t="str">
        <f t="shared" si="19"/>
        <v>202207</v>
      </c>
      <c r="S405" s="1">
        <f t="shared" si="20"/>
        <v>0.64</v>
      </c>
    </row>
    <row r="406" spans="1:19" x14ac:dyDescent="0.2">
      <c r="A406" s="1" t="str">
        <v>1</v>
      </c>
      <c r="B406" s="1" t="str">
        <v>Brasil</v>
      </c>
      <c r="C406" s="1" t="str">
        <v>2</v>
      </c>
      <c r="D406" s="1" t="str">
        <v>%</v>
      </c>
      <c r="E406" s="1" t="str">
        <v>-1.63</v>
      </c>
      <c r="F406" s="1" t="str">
        <v>1</v>
      </c>
      <c r="G406" s="1" t="str">
        <v>Brasil</v>
      </c>
      <c r="H406" s="1" t="str">
        <v>63</v>
      </c>
      <c r="I406" s="1" t="str">
        <v>IPCA - Variação mensal</v>
      </c>
      <c r="J406" s="1" t="str">
        <v>202207</v>
      </c>
      <c r="K406" s="1" t="str">
        <v>julho 2022</v>
      </c>
      <c r="L406" s="1" t="str">
        <v>7723</v>
      </c>
      <c r="M406" s="1" t="str">
        <v>7101034.Cartório</v>
      </c>
      <c r="Q406" s="1" t="str">
        <f t="shared" si="18"/>
        <v>7101034.Cartório</v>
      </c>
      <c r="R406" s="1" t="str">
        <f t="shared" si="19"/>
        <v>202207</v>
      </c>
      <c r="S406" s="1">
        <f t="shared" si="20"/>
        <v>-1.63</v>
      </c>
    </row>
    <row r="407" spans="1:19" x14ac:dyDescent="0.2">
      <c r="A407" s="1" t="str">
        <v>1</v>
      </c>
      <c r="B407" s="1" t="str">
        <v>Brasil</v>
      </c>
      <c r="C407" s="1" t="str">
        <v>2</v>
      </c>
      <c r="D407" s="1" t="str">
        <v>%</v>
      </c>
      <c r="E407" s="1" t="str">
        <v>-2.24</v>
      </c>
      <c r="F407" s="1" t="str">
        <v>1</v>
      </c>
      <c r="G407" s="1" t="str">
        <v>Brasil</v>
      </c>
      <c r="H407" s="1" t="str">
        <v>63</v>
      </c>
      <c r="I407" s="1" t="str">
        <v>IPCA - Variação mensal</v>
      </c>
      <c r="J407" s="1" t="str">
        <v>202207</v>
      </c>
      <c r="K407" s="1" t="str">
        <v>julho 2022</v>
      </c>
      <c r="L407" s="1" t="str">
        <v>7724</v>
      </c>
      <c r="M407" s="1" t="str">
        <v>7101036.Despachante</v>
      </c>
      <c r="Q407" s="1" t="str">
        <f t="shared" si="18"/>
        <v>7101036.Despachante</v>
      </c>
      <c r="R407" s="1" t="str">
        <f t="shared" si="19"/>
        <v>202207</v>
      </c>
      <c r="S407" s="1">
        <f t="shared" si="20"/>
        <v>-2.2400000000000002</v>
      </c>
    </row>
    <row r="408" spans="1:19" x14ac:dyDescent="0.2">
      <c r="A408" s="1" t="str">
        <v>1</v>
      </c>
      <c r="B408" s="1" t="str">
        <v>Brasil</v>
      </c>
      <c r="C408" s="1" t="str">
        <v>2</v>
      </c>
      <c r="D408" s="1" t="str">
        <v>%</v>
      </c>
      <c r="E408" s="1" t="str">
        <v>0.00</v>
      </c>
      <c r="F408" s="1" t="str">
        <v>1</v>
      </c>
      <c r="G408" s="1" t="str">
        <v>Brasil</v>
      </c>
      <c r="H408" s="1" t="str">
        <v>63</v>
      </c>
      <c r="I408" s="1" t="str">
        <v>IPCA - Variação mensal</v>
      </c>
      <c r="J408" s="1" t="str">
        <v>202207</v>
      </c>
      <c r="K408" s="1" t="str">
        <v>julho 2022</v>
      </c>
      <c r="L408" s="1" t="str">
        <v>7727</v>
      </c>
      <c r="M408" s="1" t="str">
        <v>7101076.Serviço bancário</v>
      </c>
      <c r="Q408" s="1" t="str">
        <f t="shared" si="18"/>
        <v>7101076.Serviço bancário</v>
      </c>
      <c r="R408" s="1" t="str">
        <f t="shared" si="19"/>
        <v>202207</v>
      </c>
      <c r="S408" s="1">
        <f t="shared" si="20"/>
        <v>0</v>
      </c>
    </row>
    <row r="409" spans="1:19" x14ac:dyDescent="0.2">
      <c r="A409" s="1" t="str">
        <v>1</v>
      </c>
      <c r="B409" s="1" t="str">
        <v>Brasil</v>
      </c>
      <c r="C409" s="1" t="str">
        <v>2</v>
      </c>
      <c r="D409" s="1" t="str">
        <v>%</v>
      </c>
      <c r="E409" s="1" t="str">
        <v>0.21</v>
      </c>
      <c r="F409" s="1" t="str">
        <v>1</v>
      </c>
      <c r="G409" s="1" t="str">
        <v>Brasil</v>
      </c>
      <c r="H409" s="1" t="str">
        <v>63</v>
      </c>
      <c r="I409" s="1" t="str">
        <v>IPCA - Variação mensal</v>
      </c>
      <c r="J409" s="1" t="str">
        <v>202207</v>
      </c>
      <c r="K409" s="1" t="str">
        <v>julho 2022</v>
      </c>
      <c r="L409" s="1" t="str">
        <v>7728</v>
      </c>
      <c r="M409" s="1" t="str">
        <v>7101090.Conselho de classe</v>
      </c>
      <c r="Q409" s="1" t="str">
        <f t="shared" si="18"/>
        <v>7101090.Conselho de classe</v>
      </c>
      <c r="R409" s="1" t="str">
        <f t="shared" si="19"/>
        <v>202207</v>
      </c>
      <c r="S409" s="1">
        <f t="shared" si="20"/>
        <v>0.21</v>
      </c>
    </row>
    <row r="410" spans="1:19" x14ac:dyDescent="0.2">
      <c r="A410" s="1" t="str">
        <v>1</v>
      </c>
      <c r="B410" s="1" t="str">
        <v>Brasil</v>
      </c>
      <c r="C410" s="1" t="str">
        <v>2</v>
      </c>
      <c r="D410" s="1" t="str">
        <v>%</v>
      </c>
      <c r="E410" s="1" t="str">
        <v>1.02</v>
      </c>
      <c r="F410" s="1" t="str">
        <v>1</v>
      </c>
      <c r="G410" s="1" t="str">
        <v>Brasil</v>
      </c>
      <c r="H410" s="1" t="str">
        <v>63</v>
      </c>
      <c r="I410" s="1" t="str">
        <v>IPCA - Variação mensal</v>
      </c>
      <c r="J410" s="1" t="str">
        <v>202207</v>
      </c>
      <c r="K410" s="1" t="str">
        <v>julho 2022</v>
      </c>
      <c r="L410" s="1" t="str">
        <v>47655</v>
      </c>
      <c r="M410" s="1" t="str">
        <v>7101144.Sobrancelha</v>
      </c>
      <c r="Q410" s="1" t="str">
        <f t="shared" si="18"/>
        <v>7101144.Sobrancelha</v>
      </c>
      <c r="R410" s="1" t="str">
        <f t="shared" si="19"/>
        <v>202207</v>
      </c>
      <c r="S410" s="1">
        <f t="shared" si="20"/>
        <v>1.02</v>
      </c>
    </row>
    <row r="411" spans="1:19" x14ac:dyDescent="0.2">
      <c r="A411" s="1" t="str">
        <v>1</v>
      </c>
      <c r="B411" s="1" t="str">
        <v>Brasil</v>
      </c>
      <c r="C411" s="1" t="str">
        <v>2</v>
      </c>
      <c r="D411" s="1" t="str">
        <v>%</v>
      </c>
      <c r="E411" s="1" t="str">
        <v>1.70</v>
      </c>
      <c r="F411" s="1" t="str">
        <v>1</v>
      </c>
      <c r="G411" s="1" t="str">
        <v>Brasil</v>
      </c>
      <c r="H411" s="1" t="str">
        <v>63</v>
      </c>
      <c r="I411" s="1" t="str">
        <v>IPCA - Variação mensal</v>
      </c>
      <c r="J411" s="1" t="str">
        <v>202207</v>
      </c>
      <c r="K411" s="1" t="str">
        <v>julho 2022</v>
      </c>
      <c r="L411" s="1" t="str">
        <v>47656</v>
      </c>
      <c r="M411" s="1" t="str">
        <v>72.Recreação e fumo</v>
      </c>
      <c r="Q411" s="1" t="str">
        <f t="shared" si="18"/>
        <v>72.Recreação e fumo</v>
      </c>
      <c r="R411" s="1" t="str">
        <f t="shared" si="19"/>
        <v>202207</v>
      </c>
      <c r="S411" s="1">
        <f t="shared" si="20"/>
        <v>1.7</v>
      </c>
    </row>
    <row r="412" spans="1:19" x14ac:dyDescent="0.2">
      <c r="A412" s="1" t="str">
        <v>1</v>
      </c>
      <c r="B412" s="1" t="str">
        <v>Brasil</v>
      </c>
      <c r="C412" s="1" t="str">
        <v>2</v>
      </c>
      <c r="D412" s="1" t="str">
        <v>%</v>
      </c>
      <c r="E412" s="1" t="str">
        <v>1.29</v>
      </c>
      <c r="F412" s="1" t="str">
        <v>1</v>
      </c>
      <c r="G412" s="1" t="str">
        <v>Brasil</v>
      </c>
      <c r="H412" s="1" t="str">
        <v>63</v>
      </c>
      <c r="I412" s="1" t="str">
        <v>IPCA - Variação mensal</v>
      </c>
      <c r="J412" s="1" t="str">
        <v>202207</v>
      </c>
      <c r="K412" s="1" t="str">
        <v>julho 2022</v>
      </c>
      <c r="L412" s="1" t="str">
        <v>7730</v>
      </c>
      <c r="M412" s="1" t="str">
        <v>7201.Recreação</v>
      </c>
      <c r="Q412" s="1" t="str">
        <f t="shared" si="18"/>
        <v>7201.Recreação</v>
      </c>
      <c r="R412" s="1" t="str">
        <f t="shared" si="19"/>
        <v>202207</v>
      </c>
      <c r="S412" s="1">
        <f t="shared" si="20"/>
        <v>1.29</v>
      </c>
    </row>
    <row r="413" spans="1:19" x14ac:dyDescent="0.2">
      <c r="A413" s="1" t="str">
        <v>1</v>
      </c>
      <c r="B413" s="1" t="str">
        <v>Brasil</v>
      </c>
      <c r="C413" s="1" t="str">
        <v>2</v>
      </c>
      <c r="D413" s="1" t="str">
        <v>%</v>
      </c>
      <c r="E413" s="1" t="str">
        <v>0.37</v>
      </c>
      <c r="F413" s="1" t="str">
        <v>1</v>
      </c>
      <c r="G413" s="1" t="str">
        <v>Brasil</v>
      </c>
      <c r="H413" s="1" t="str">
        <v>63</v>
      </c>
      <c r="I413" s="1" t="str">
        <v>IPCA - Variação mensal</v>
      </c>
      <c r="J413" s="1" t="str">
        <v>202207</v>
      </c>
      <c r="K413" s="1" t="str">
        <v>julho 2022</v>
      </c>
      <c r="L413" s="1" t="str">
        <v>7733</v>
      </c>
      <c r="M413" s="1" t="str">
        <v>7201006.Clube</v>
      </c>
      <c r="Q413" s="1" t="str">
        <f t="shared" si="18"/>
        <v>7201006.Clube</v>
      </c>
      <c r="R413" s="1" t="str">
        <f t="shared" si="19"/>
        <v>202207</v>
      </c>
      <c r="S413" s="1">
        <f t="shared" si="20"/>
        <v>0.37</v>
      </c>
    </row>
    <row r="414" spans="1:19" x14ac:dyDescent="0.2">
      <c r="A414" s="1" t="str">
        <v>1</v>
      </c>
      <c r="B414" s="1" t="str">
        <v>Brasil</v>
      </c>
      <c r="C414" s="1" t="str">
        <v>2</v>
      </c>
      <c r="D414" s="1" t="str">
        <v>%</v>
      </c>
      <c r="E414" s="1" t="str">
        <v>0.71</v>
      </c>
      <c r="F414" s="1" t="str">
        <v>1</v>
      </c>
      <c r="G414" s="1" t="str">
        <v>Brasil</v>
      </c>
      <c r="H414" s="1" t="str">
        <v>63</v>
      </c>
      <c r="I414" s="1" t="str">
        <v>IPCA - Variação mensal</v>
      </c>
      <c r="J414" s="1" t="str">
        <v>202207</v>
      </c>
      <c r="K414" s="1" t="str">
        <v>julho 2022</v>
      </c>
      <c r="L414" s="1" t="str">
        <v>7735</v>
      </c>
      <c r="M414" s="1" t="str">
        <v>7201010.Instrumento musical</v>
      </c>
      <c r="Q414" s="1" t="str">
        <f t="shared" si="18"/>
        <v>7201010.Instrumento musical</v>
      </c>
      <c r="R414" s="1" t="str">
        <f t="shared" si="19"/>
        <v>202207</v>
      </c>
      <c r="S414" s="1">
        <f t="shared" si="20"/>
        <v>0.71</v>
      </c>
    </row>
    <row r="415" spans="1:19" x14ac:dyDescent="0.2">
      <c r="A415" s="1" t="str">
        <v>1</v>
      </c>
      <c r="B415" s="1" t="str">
        <v>Brasil</v>
      </c>
      <c r="C415" s="1" t="str">
        <v>2</v>
      </c>
      <c r="D415" s="1" t="str">
        <v>%</v>
      </c>
      <c r="E415" s="1" t="str">
        <v>1.03</v>
      </c>
      <c r="F415" s="1" t="str">
        <v>1</v>
      </c>
      <c r="G415" s="1" t="str">
        <v>Brasil</v>
      </c>
      <c r="H415" s="1" t="str">
        <v>63</v>
      </c>
      <c r="I415" s="1" t="str">
        <v>IPCA - Variação mensal</v>
      </c>
      <c r="J415" s="1" t="str">
        <v>202207</v>
      </c>
      <c r="K415" s="1" t="str">
        <v>julho 2022</v>
      </c>
      <c r="L415" s="1" t="str">
        <v>47657</v>
      </c>
      <c r="M415" s="1" t="str">
        <v>7201015.Tratamento de animais (clínica)</v>
      </c>
      <c r="Q415" s="1" t="str">
        <f t="shared" si="18"/>
        <v>7201015.Tratamento de animais (clínica)</v>
      </c>
      <c r="R415" s="1" t="str">
        <f t="shared" si="19"/>
        <v>202207</v>
      </c>
      <c r="S415" s="1">
        <f t="shared" si="20"/>
        <v>1.03</v>
      </c>
    </row>
    <row r="416" spans="1:19" x14ac:dyDescent="0.2">
      <c r="A416" s="1" t="str">
        <v>1</v>
      </c>
      <c r="B416" s="1" t="str">
        <v>Brasil</v>
      </c>
      <c r="C416" s="1" t="str">
        <v>2</v>
      </c>
      <c r="D416" s="1" t="str">
        <v>%</v>
      </c>
      <c r="E416" s="1" t="str">
        <v>1.45</v>
      </c>
      <c r="F416" s="1" t="str">
        <v>1</v>
      </c>
      <c r="G416" s="1" t="str">
        <v>Brasil</v>
      </c>
      <c r="H416" s="1" t="str">
        <v>63</v>
      </c>
      <c r="I416" s="1" t="str">
        <v>IPCA - Variação mensal</v>
      </c>
      <c r="J416" s="1" t="str">
        <v>202207</v>
      </c>
      <c r="K416" s="1" t="str">
        <v>julho 2022</v>
      </c>
      <c r="L416" s="1" t="str">
        <v>7736</v>
      </c>
      <c r="M416" s="1" t="str">
        <v>7201019.Bicicleta</v>
      </c>
      <c r="Q416" s="1" t="str">
        <f t="shared" si="18"/>
        <v>7201019.Bicicleta</v>
      </c>
      <c r="R416" s="1" t="str">
        <f t="shared" si="19"/>
        <v>202207</v>
      </c>
      <c r="S416" s="1">
        <f t="shared" si="20"/>
        <v>1.45</v>
      </c>
    </row>
    <row r="417" spans="1:19" x14ac:dyDescent="0.2">
      <c r="A417" s="1" t="str">
        <v>1</v>
      </c>
      <c r="B417" s="1" t="str">
        <v>Brasil</v>
      </c>
      <c r="C417" s="1" t="str">
        <v>2</v>
      </c>
      <c r="D417" s="1" t="str">
        <v>%</v>
      </c>
      <c r="E417" s="1" t="str">
        <v>0.58</v>
      </c>
      <c r="F417" s="1" t="str">
        <v>1</v>
      </c>
      <c r="G417" s="1" t="str">
        <v>Brasil</v>
      </c>
      <c r="H417" s="1" t="str">
        <v>63</v>
      </c>
      <c r="I417" s="1" t="str">
        <v>IPCA - Variação mensal</v>
      </c>
      <c r="J417" s="1" t="str">
        <v>202207</v>
      </c>
      <c r="K417" s="1" t="str">
        <v>julho 2022</v>
      </c>
      <c r="L417" s="1" t="str">
        <v>107666</v>
      </c>
      <c r="M417" s="1" t="str">
        <v>7201020.Alimento para animais</v>
      </c>
      <c r="Q417" s="1" t="str">
        <f t="shared" si="18"/>
        <v>7201020.Alimento para animais</v>
      </c>
      <c r="R417" s="1" t="str">
        <f t="shared" si="19"/>
        <v>202207</v>
      </c>
      <c r="S417" s="1">
        <f t="shared" si="20"/>
        <v>0.57999999999999996</v>
      </c>
    </row>
    <row r="418" spans="1:19" x14ac:dyDescent="0.2">
      <c r="A418" s="1" t="str">
        <v>1</v>
      </c>
      <c r="B418" s="1" t="str">
        <v>Brasil</v>
      </c>
      <c r="C418" s="1" t="str">
        <v>2</v>
      </c>
      <c r="D418" s="1" t="str">
        <v>%</v>
      </c>
      <c r="E418" s="1" t="str">
        <v>1.57</v>
      </c>
      <c r="F418" s="1" t="str">
        <v>1</v>
      </c>
      <c r="G418" s="1" t="str">
        <v>Brasil</v>
      </c>
      <c r="H418" s="1" t="str">
        <v>63</v>
      </c>
      <c r="I418" s="1" t="str">
        <v>IPCA - Variação mensal</v>
      </c>
      <c r="J418" s="1" t="str">
        <v>202207</v>
      </c>
      <c r="K418" s="1" t="str">
        <v>julho 2022</v>
      </c>
      <c r="L418" s="1" t="str">
        <v>7738</v>
      </c>
      <c r="M418" s="1" t="str">
        <v>7201023.Brinquedo</v>
      </c>
      <c r="Q418" s="1" t="str">
        <f t="shared" si="18"/>
        <v>7201023.Brinquedo</v>
      </c>
      <c r="R418" s="1" t="str">
        <f t="shared" si="19"/>
        <v>202207</v>
      </c>
      <c r="S418" s="1">
        <f t="shared" si="20"/>
        <v>1.57</v>
      </c>
    </row>
    <row r="419" spans="1:19" x14ac:dyDescent="0.2">
      <c r="A419" s="1" t="str">
        <v>1</v>
      </c>
      <c r="B419" s="1" t="str">
        <v>Brasil</v>
      </c>
      <c r="C419" s="1" t="str">
        <v>2</v>
      </c>
      <c r="D419" s="1" t="str">
        <v>%</v>
      </c>
      <c r="E419" s="1" t="str">
        <v>2.62</v>
      </c>
      <c r="F419" s="1" t="str">
        <v>1</v>
      </c>
      <c r="G419" s="1" t="str">
        <v>Brasil</v>
      </c>
      <c r="H419" s="1" t="str">
        <v>63</v>
      </c>
      <c r="I419" s="1" t="str">
        <v>IPCA - Variação mensal</v>
      </c>
      <c r="J419" s="1" t="str">
        <v>202207</v>
      </c>
      <c r="K419" s="1" t="str">
        <v>julho 2022</v>
      </c>
      <c r="L419" s="1" t="str">
        <v>47658</v>
      </c>
      <c r="M419" s="1" t="str">
        <v>7201054.Casa noturna</v>
      </c>
      <c r="Q419" s="1" t="str">
        <f t="shared" si="18"/>
        <v>7201054.Casa noturna</v>
      </c>
      <c r="R419" s="1" t="str">
        <f t="shared" si="19"/>
        <v>202207</v>
      </c>
      <c r="S419" s="1">
        <f t="shared" si="20"/>
        <v>2.62</v>
      </c>
    </row>
    <row r="420" spans="1:19" x14ac:dyDescent="0.2">
      <c r="A420" s="1" t="str">
        <v>1</v>
      </c>
      <c r="B420" s="1" t="str">
        <v>Brasil</v>
      </c>
      <c r="C420" s="1" t="str">
        <v>2</v>
      </c>
      <c r="D420" s="1" t="str">
        <v>%</v>
      </c>
      <c r="E420" s="1" t="str">
        <v>0.00</v>
      </c>
      <c r="F420" s="1" t="str">
        <v>1</v>
      </c>
      <c r="G420" s="1" t="str">
        <v>Brasil</v>
      </c>
      <c r="H420" s="1" t="str">
        <v>63</v>
      </c>
      <c r="I420" s="1" t="str">
        <v>IPCA - Variação mensal</v>
      </c>
      <c r="J420" s="1" t="str">
        <v>202207</v>
      </c>
      <c r="K420" s="1" t="str">
        <v>julho 2022</v>
      </c>
      <c r="L420" s="1" t="str">
        <v>107668</v>
      </c>
      <c r="M420" s="1" t="str">
        <v>7201063.Jogos de azar</v>
      </c>
      <c r="Q420" s="1" t="str">
        <f t="shared" si="18"/>
        <v>7201063.Jogos de azar</v>
      </c>
      <c r="R420" s="1" t="str">
        <f t="shared" si="19"/>
        <v>202207</v>
      </c>
      <c r="S420" s="1">
        <f t="shared" si="20"/>
        <v>0</v>
      </c>
    </row>
    <row r="421" spans="1:19" x14ac:dyDescent="0.2">
      <c r="A421" s="1" t="str">
        <v>1</v>
      </c>
      <c r="B421" s="1" t="str">
        <v>Brasil</v>
      </c>
      <c r="C421" s="1" t="str">
        <v>2</v>
      </c>
      <c r="D421" s="1" t="str">
        <v>%</v>
      </c>
      <c r="E421" s="1" t="str">
        <v>1.75</v>
      </c>
      <c r="F421" s="1" t="str">
        <v>1</v>
      </c>
      <c r="G421" s="1" t="str">
        <v>Brasil</v>
      </c>
      <c r="H421" s="1" t="str">
        <v>63</v>
      </c>
      <c r="I421" s="1" t="str">
        <v>IPCA - Variação mensal</v>
      </c>
      <c r="J421" s="1" t="str">
        <v>202207</v>
      </c>
      <c r="K421" s="1" t="str">
        <v>julho 2022</v>
      </c>
      <c r="L421" s="1" t="str">
        <v>7746</v>
      </c>
      <c r="M421" s="1" t="str">
        <v>7201067.Material de caça e pesca</v>
      </c>
      <c r="Q421" s="1" t="str">
        <f t="shared" si="18"/>
        <v>7201067.Material de caça e pesca</v>
      </c>
      <c r="R421" s="1" t="str">
        <f t="shared" si="19"/>
        <v>202207</v>
      </c>
      <c r="S421" s="1">
        <f t="shared" si="20"/>
        <v>1.75</v>
      </c>
    </row>
    <row r="422" spans="1:19" x14ac:dyDescent="0.2">
      <c r="A422" s="1" t="str">
        <v>1</v>
      </c>
      <c r="B422" s="1" t="str">
        <v>Brasil</v>
      </c>
      <c r="C422" s="1" t="str">
        <v>2</v>
      </c>
      <c r="D422" s="1" t="str">
        <v>%</v>
      </c>
      <c r="E422" s="1" t="str">
        <v>2.44</v>
      </c>
      <c r="F422" s="1" t="str">
        <v>1</v>
      </c>
      <c r="G422" s="1" t="str">
        <v>Brasil</v>
      </c>
      <c r="H422" s="1" t="str">
        <v>63</v>
      </c>
      <c r="I422" s="1" t="str">
        <v>IPCA - Variação mensal</v>
      </c>
      <c r="J422" s="1" t="str">
        <v>202207</v>
      </c>
      <c r="K422" s="1" t="str">
        <v>julho 2022</v>
      </c>
      <c r="L422" s="1" t="str">
        <v>47659</v>
      </c>
      <c r="M422" s="1" t="str">
        <v>7201090.Hospedagem</v>
      </c>
      <c r="Q422" s="1" t="str">
        <f t="shared" si="18"/>
        <v>7201090.Hospedagem</v>
      </c>
      <c r="R422" s="1" t="str">
        <f t="shared" si="19"/>
        <v>202207</v>
      </c>
      <c r="S422" s="1">
        <f t="shared" si="20"/>
        <v>2.44</v>
      </c>
    </row>
    <row r="423" spans="1:19" x14ac:dyDescent="0.2">
      <c r="A423" s="1" t="str">
        <v>1</v>
      </c>
      <c r="B423" s="1" t="str">
        <v>Brasil</v>
      </c>
      <c r="C423" s="1" t="str">
        <v>2</v>
      </c>
      <c r="D423" s="1" t="str">
        <v>%</v>
      </c>
      <c r="E423" s="1" t="str">
        <v>2.70</v>
      </c>
      <c r="F423" s="1" t="str">
        <v>1</v>
      </c>
      <c r="G423" s="1" t="str">
        <v>Brasil</v>
      </c>
      <c r="H423" s="1" t="str">
        <v>63</v>
      </c>
      <c r="I423" s="1" t="str">
        <v>IPCA - Variação mensal</v>
      </c>
      <c r="J423" s="1" t="str">
        <v>202207</v>
      </c>
      <c r="K423" s="1" t="str">
        <v>julho 2022</v>
      </c>
      <c r="L423" s="1" t="str">
        <v>47660</v>
      </c>
      <c r="M423" s="1" t="str">
        <v>7201095.Pacote turístico</v>
      </c>
      <c r="Q423" s="1" t="str">
        <f t="shared" si="18"/>
        <v>7201095.Pacote turístico</v>
      </c>
      <c r="R423" s="1" t="str">
        <f t="shared" si="19"/>
        <v>202207</v>
      </c>
      <c r="S423" s="1">
        <f t="shared" si="20"/>
        <v>2.7</v>
      </c>
    </row>
    <row r="424" spans="1:19" x14ac:dyDescent="0.2">
      <c r="A424" s="1" t="str">
        <v>1</v>
      </c>
      <c r="B424" s="1" t="str">
        <v>Brasil</v>
      </c>
      <c r="C424" s="1" t="str">
        <v>2</v>
      </c>
      <c r="D424" s="1" t="str">
        <v>%</v>
      </c>
      <c r="E424" s="1" t="str">
        <v>0.78</v>
      </c>
      <c r="F424" s="1" t="str">
        <v>1</v>
      </c>
      <c r="G424" s="1" t="str">
        <v>Brasil</v>
      </c>
      <c r="H424" s="1" t="str">
        <v>63</v>
      </c>
      <c r="I424" s="1" t="str">
        <v>IPCA - Variação mensal</v>
      </c>
      <c r="J424" s="1" t="str">
        <v>202207</v>
      </c>
      <c r="K424" s="1" t="str">
        <v>julho 2022</v>
      </c>
      <c r="L424" s="1" t="str">
        <v>47661</v>
      </c>
      <c r="M424" s="1" t="str">
        <v>7201256.Serviço de higiene para animais</v>
      </c>
      <c r="Q424" s="1" t="str">
        <f t="shared" si="18"/>
        <v>7201256.Serviço de higiene para animais</v>
      </c>
      <c r="R424" s="1" t="str">
        <f t="shared" si="19"/>
        <v>202207</v>
      </c>
      <c r="S424" s="1">
        <f t="shared" si="20"/>
        <v>0.78</v>
      </c>
    </row>
    <row r="425" spans="1:19" x14ac:dyDescent="0.2">
      <c r="A425" s="1" t="str">
        <v>1</v>
      </c>
      <c r="B425" s="1" t="str">
        <v>Brasil</v>
      </c>
      <c r="C425" s="1" t="str">
        <v>2</v>
      </c>
      <c r="D425" s="1" t="str">
        <v>%</v>
      </c>
      <c r="E425" s="1" t="str">
        <v>0.51</v>
      </c>
      <c r="F425" s="1" t="str">
        <v>1</v>
      </c>
      <c r="G425" s="1" t="str">
        <v>Brasil</v>
      </c>
      <c r="H425" s="1" t="str">
        <v>63</v>
      </c>
      <c r="I425" s="1" t="str">
        <v>IPCA - Variação mensal</v>
      </c>
      <c r="J425" s="1" t="str">
        <v>202207</v>
      </c>
      <c r="K425" s="1" t="str">
        <v>julho 2022</v>
      </c>
      <c r="L425" s="1" t="str">
        <v>47662</v>
      </c>
      <c r="M425" s="1" t="str">
        <v>7201266.Cinema, teatro e concertos</v>
      </c>
      <c r="Q425" s="1" t="str">
        <f t="shared" si="18"/>
        <v>7201266.Cinema, teatro e concertos</v>
      </c>
      <c r="R425" s="1" t="str">
        <f t="shared" si="19"/>
        <v>202207</v>
      </c>
      <c r="S425" s="1">
        <f t="shared" si="20"/>
        <v>0.51</v>
      </c>
    </row>
    <row r="426" spans="1:19" x14ac:dyDescent="0.2">
      <c r="A426" s="1" t="str">
        <v>1</v>
      </c>
      <c r="B426" s="1" t="str">
        <v>Brasil</v>
      </c>
      <c r="C426" s="1" t="str">
        <v>2</v>
      </c>
      <c r="D426" s="1" t="str">
        <v>%</v>
      </c>
      <c r="E426" s="1" t="str">
        <v>4.37</v>
      </c>
      <c r="F426" s="1" t="str">
        <v>1</v>
      </c>
      <c r="G426" s="1" t="str">
        <v>Brasil</v>
      </c>
      <c r="H426" s="1" t="str">
        <v>63</v>
      </c>
      <c r="I426" s="1" t="str">
        <v>IPCA - Variação mensal</v>
      </c>
      <c r="J426" s="1" t="str">
        <v>202207</v>
      </c>
      <c r="K426" s="1" t="str">
        <v>julho 2022</v>
      </c>
      <c r="L426" s="1" t="str">
        <v>7758</v>
      </c>
      <c r="M426" s="1" t="str">
        <v>7202.Fumo</v>
      </c>
      <c r="Q426" s="1" t="str">
        <f t="shared" si="18"/>
        <v>7202.Fumo</v>
      </c>
      <c r="R426" s="1" t="str">
        <f t="shared" si="19"/>
        <v>202207</v>
      </c>
      <c r="S426" s="1">
        <f t="shared" si="20"/>
        <v>4.37</v>
      </c>
    </row>
    <row r="427" spans="1:19" x14ac:dyDescent="0.2">
      <c r="A427" s="1" t="str">
        <v>1</v>
      </c>
      <c r="B427" s="1" t="str">
        <v>Brasil</v>
      </c>
      <c r="C427" s="1" t="str">
        <v>2</v>
      </c>
      <c r="D427" s="1" t="str">
        <v>%</v>
      </c>
      <c r="E427" s="1" t="str">
        <v>4.37</v>
      </c>
      <c r="F427" s="1" t="str">
        <v>1</v>
      </c>
      <c r="G427" s="1" t="str">
        <v>Brasil</v>
      </c>
      <c r="H427" s="1" t="str">
        <v>63</v>
      </c>
      <c r="I427" s="1" t="str">
        <v>IPCA - Variação mensal</v>
      </c>
      <c r="J427" s="1" t="str">
        <v>202207</v>
      </c>
      <c r="K427" s="1" t="str">
        <v>julho 2022</v>
      </c>
      <c r="L427" s="1" t="str">
        <v>7759</v>
      </c>
      <c r="M427" s="1" t="str">
        <v>7202041.Cigarro</v>
      </c>
      <c r="Q427" s="1" t="str">
        <f t="shared" si="18"/>
        <v>7202041.Cigarro</v>
      </c>
      <c r="R427" s="1" t="str">
        <f t="shared" si="19"/>
        <v>202207</v>
      </c>
      <c r="S427" s="1">
        <f t="shared" si="20"/>
        <v>4.37</v>
      </c>
    </row>
    <row r="428" spans="1:19" x14ac:dyDescent="0.2">
      <c r="A428" s="1" t="str">
        <v>1</v>
      </c>
      <c r="B428" s="1" t="str">
        <v>Brasil</v>
      </c>
      <c r="C428" s="1" t="str">
        <v>2</v>
      </c>
      <c r="D428" s="1" t="str">
        <v>%</v>
      </c>
      <c r="E428" s="1" t="str">
        <v>0.06</v>
      </c>
      <c r="F428" s="1" t="str">
        <v>1</v>
      </c>
      <c r="G428" s="1" t="str">
        <v>Brasil</v>
      </c>
      <c r="H428" s="1" t="str">
        <v>63</v>
      </c>
      <c r="I428" s="1" t="str">
        <v>IPCA - Variação mensal</v>
      </c>
      <c r="J428" s="1" t="str">
        <v>202207</v>
      </c>
      <c r="K428" s="1" t="str">
        <v>julho 2022</v>
      </c>
      <c r="L428" s="1" t="str">
        <v>7766</v>
      </c>
      <c r="M428" s="1" t="str">
        <v>8.Educação</v>
      </c>
      <c r="Q428" s="1" t="str">
        <f t="shared" si="18"/>
        <v>8.Educação</v>
      </c>
      <c r="R428" s="1" t="str">
        <f t="shared" si="19"/>
        <v>202207</v>
      </c>
      <c r="S428" s="1">
        <f t="shared" si="20"/>
        <v>0.06</v>
      </c>
    </row>
    <row r="429" spans="1:19" x14ac:dyDescent="0.2">
      <c r="A429" s="1" t="str">
        <v>1</v>
      </c>
      <c r="B429" s="1" t="str">
        <v>Brasil</v>
      </c>
      <c r="C429" s="1" t="str">
        <v>2</v>
      </c>
      <c r="D429" s="1" t="str">
        <v>%</v>
      </c>
      <c r="E429" s="1" t="str">
        <v>0.06</v>
      </c>
      <c r="F429" s="1" t="str">
        <v>1</v>
      </c>
      <c r="G429" s="1" t="str">
        <v>Brasil</v>
      </c>
      <c r="H429" s="1" t="str">
        <v>63</v>
      </c>
      <c r="I429" s="1" t="str">
        <v>IPCA - Variação mensal</v>
      </c>
      <c r="J429" s="1" t="str">
        <v>202207</v>
      </c>
      <c r="K429" s="1" t="str">
        <v>julho 2022</v>
      </c>
      <c r="L429" s="1" t="str">
        <v>7767</v>
      </c>
      <c r="M429" s="1" t="str">
        <v>81.Cursos, leitura e papelaria</v>
      </c>
      <c r="Q429" s="1" t="str">
        <f t="shared" si="18"/>
        <v>81.Cursos, leitura e papelaria</v>
      </c>
      <c r="R429" s="1" t="str">
        <f t="shared" si="19"/>
        <v>202207</v>
      </c>
      <c r="S429" s="1">
        <f t="shared" si="20"/>
        <v>0.06</v>
      </c>
    </row>
    <row r="430" spans="1:19" x14ac:dyDescent="0.2">
      <c r="A430" s="1" t="str">
        <v>1</v>
      </c>
      <c r="B430" s="1" t="str">
        <v>Brasil</v>
      </c>
      <c r="C430" s="1" t="str">
        <v>2</v>
      </c>
      <c r="D430" s="1" t="str">
        <v>%</v>
      </c>
      <c r="E430" s="1" t="str">
        <v>0.00</v>
      </c>
      <c r="F430" s="1" t="str">
        <v>1</v>
      </c>
      <c r="G430" s="1" t="str">
        <v>Brasil</v>
      </c>
      <c r="H430" s="1" t="str">
        <v>63</v>
      </c>
      <c r="I430" s="1" t="str">
        <v>IPCA - Variação mensal</v>
      </c>
      <c r="J430" s="1" t="str">
        <v>202207</v>
      </c>
      <c r="K430" s="1" t="str">
        <v>julho 2022</v>
      </c>
      <c r="L430" s="1" t="str">
        <v>12427</v>
      </c>
      <c r="M430" s="1" t="str">
        <v>8101.Cursos regulares</v>
      </c>
      <c r="Q430" s="1" t="str">
        <f t="shared" si="18"/>
        <v>8101.Cursos regulares</v>
      </c>
      <c r="R430" s="1" t="str">
        <f t="shared" si="19"/>
        <v>202207</v>
      </c>
      <c r="S430" s="1">
        <f t="shared" si="20"/>
        <v>0</v>
      </c>
    </row>
    <row r="431" spans="1:19" x14ac:dyDescent="0.2">
      <c r="A431" s="1" t="str">
        <v>1</v>
      </c>
      <c r="B431" s="1" t="str">
        <v>Brasil</v>
      </c>
      <c r="C431" s="1" t="str">
        <v>2</v>
      </c>
      <c r="D431" s="1" t="str">
        <v>%</v>
      </c>
      <c r="E431" s="1" t="str">
        <v>0.00</v>
      </c>
      <c r="F431" s="1" t="str">
        <v>1</v>
      </c>
      <c r="G431" s="1" t="str">
        <v>Brasil</v>
      </c>
      <c r="H431" s="1" t="str">
        <v>63</v>
      </c>
      <c r="I431" s="1" t="str">
        <v>IPCA - Variação mensal</v>
      </c>
      <c r="J431" s="1" t="str">
        <v>202207</v>
      </c>
      <c r="K431" s="1" t="str">
        <v>julho 2022</v>
      </c>
      <c r="L431" s="1" t="str">
        <v>7769</v>
      </c>
      <c r="M431" s="1" t="str">
        <v>8101001.Creche</v>
      </c>
      <c r="Q431" s="1" t="str">
        <f t="shared" si="18"/>
        <v>8101001.Creche</v>
      </c>
      <c r="R431" s="1" t="str">
        <f t="shared" si="19"/>
        <v>202207</v>
      </c>
      <c r="S431" s="1">
        <f t="shared" si="20"/>
        <v>0</v>
      </c>
    </row>
    <row r="432" spans="1:19" x14ac:dyDescent="0.2">
      <c r="A432" s="1" t="str">
        <v>1</v>
      </c>
      <c r="B432" s="1" t="str">
        <v>Brasil</v>
      </c>
      <c r="C432" s="1" t="str">
        <v>2</v>
      </c>
      <c r="D432" s="1" t="str">
        <v>%</v>
      </c>
      <c r="E432" s="1" t="str">
        <v>0.00</v>
      </c>
      <c r="F432" s="1" t="str">
        <v>1</v>
      </c>
      <c r="G432" s="1" t="str">
        <v>Brasil</v>
      </c>
      <c r="H432" s="1" t="str">
        <v>63</v>
      </c>
      <c r="I432" s="1" t="str">
        <v>IPCA - Variação mensal</v>
      </c>
      <c r="J432" s="1" t="str">
        <v>202207</v>
      </c>
      <c r="K432" s="1" t="str">
        <v>julho 2022</v>
      </c>
      <c r="L432" s="1" t="str">
        <v>47663</v>
      </c>
      <c r="M432" s="1" t="str">
        <v>8101002.Pré-escola</v>
      </c>
      <c r="Q432" s="1" t="str">
        <f t="shared" si="18"/>
        <v>8101002.Pré-escola</v>
      </c>
      <c r="R432" s="1" t="str">
        <f t="shared" si="19"/>
        <v>202207</v>
      </c>
      <c r="S432" s="1">
        <f t="shared" si="20"/>
        <v>0</v>
      </c>
    </row>
    <row r="433" spans="1:19" x14ac:dyDescent="0.2">
      <c r="A433" s="1" t="str">
        <v>1</v>
      </c>
      <c r="B433" s="1" t="str">
        <v>Brasil</v>
      </c>
      <c r="C433" s="1" t="str">
        <v>2</v>
      </c>
      <c r="D433" s="1" t="str">
        <v>%</v>
      </c>
      <c r="E433" s="1" t="str">
        <v>0.00</v>
      </c>
      <c r="F433" s="1" t="str">
        <v>1</v>
      </c>
      <c r="G433" s="1" t="str">
        <v>Brasil</v>
      </c>
      <c r="H433" s="1" t="str">
        <v>63</v>
      </c>
      <c r="I433" s="1" t="str">
        <v>IPCA - Variação mensal</v>
      </c>
      <c r="J433" s="1" t="str">
        <v>202207</v>
      </c>
      <c r="K433" s="1" t="str">
        <v>julho 2022</v>
      </c>
      <c r="L433" s="1" t="str">
        <v>107671</v>
      </c>
      <c r="M433" s="1" t="str">
        <v>8101003.Ensino fundamental</v>
      </c>
      <c r="Q433" s="1" t="str">
        <f t="shared" si="18"/>
        <v>8101003.Ensino fundamental</v>
      </c>
      <c r="R433" s="1" t="str">
        <f t="shared" si="19"/>
        <v>202207</v>
      </c>
      <c r="S433" s="1">
        <f t="shared" si="20"/>
        <v>0</v>
      </c>
    </row>
    <row r="434" spans="1:19" x14ac:dyDescent="0.2">
      <c r="A434" s="1" t="str">
        <v>1</v>
      </c>
      <c r="B434" s="1" t="str">
        <v>Brasil</v>
      </c>
      <c r="C434" s="1" t="str">
        <v>2</v>
      </c>
      <c r="D434" s="1" t="str">
        <v>%</v>
      </c>
      <c r="E434" s="1" t="str">
        <v>0.00</v>
      </c>
      <c r="F434" s="1" t="str">
        <v>1</v>
      </c>
      <c r="G434" s="1" t="str">
        <v>Brasil</v>
      </c>
      <c r="H434" s="1" t="str">
        <v>63</v>
      </c>
      <c r="I434" s="1" t="str">
        <v>IPCA - Variação mensal</v>
      </c>
      <c r="J434" s="1" t="str">
        <v>202207</v>
      </c>
      <c r="K434" s="1" t="str">
        <v>julho 2022</v>
      </c>
      <c r="L434" s="1" t="str">
        <v>107672</v>
      </c>
      <c r="M434" s="1" t="str">
        <v>8101004.Ensino médio</v>
      </c>
      <c r="Q434" s="1" t="str">
        <f t="shared" si="18"/>
        <v>8101004.Ensino médio</v>
      </c>
      <c r="R434" s="1" t="str">
        <f t="shared" si="19"/>
        <v>202207</v>
      </c>
      <c r="S434" s="1">
        <f t="shared" si="20"/>
        <v>0</v>
      </c>
    </row>
    <row r="435" spans="1:19" x14ac:dyDescent="0.2">
      <c r="A435" s="1" t="str">
        <v>1</v>
      </c>
      <c r="B435" s="1" t="str">
        <v>Brasil</v>
      </c>
      <c r="C435" s="1" t="str">
        <v>2</v>
      </c>
      <c r="D435" s="1" t="str">
        <v>%</v>
      </c>
      <c r="E435" s="1" t="str">
        <v>0.00</v>
      </c>
      <c r="F435" s="1" t="str">
        <v>1</v>
      </c>
      <c r="G435" s="1" t="str">
        <v>Brasil</v>
      </c>
      <c r="H435" s="1" t="str">
        <v>63</v>
      </c>
      <c r="I435" s="1" t="str">
        <v>IPCA - Variação mensal</v>
      </c>
      <c r="J435" s="1" t="str">
        <v>202207</v>
      </c>
      <c r="K435" s="1" t="str">
        <v>julho 2022</v>
      </c>
      <c r="L435" s="1" t="str">
        <v>107673</v>
      </c>
      <c r="M435" s="1" t="str">
        <v>8101005.Ensino superior</v>
      </c>
      <c r="Q435" s="1" t="str">
        <f t="shared" si="18"/>
        <v>8101005.Ensino superior</v>
      </c>
      <c r="R435" s="1" t="str">
        <f t="shared" si="19"/>
        <v>202207</v>
      </c>
      <c r="S435" s="1">
        <f t="shared" si="20"/>
        <v>0</v>
      </c>
    </row>
    <row r="436" spans="1:19" x14ac:dyDescent="0.2">
      <c r="A436" s="1" t="str">
        <v>1</v>
      </c>
      <c r="B436" s="1" t="str">
        <v>Brasil</v>
      </c>
      <c r="C436" s="1" t="str">
        <v>2</v>
      </c>
      <c r="D436" s="1" t="str">
        <v>%</v>
      </c>
      <c r="E436" s="1" t="str">
        <v>0.00</v>
      </c>
      <c r="F436" s="1" t="str">
        <v>1</v>
      </c>
      <c r="G436" s="1" t="str">
        <v>Brasil</v>
      </c>
      <c r="H436" s="1" t="str">
        <v>63</v>
      </c>
      <c r="I436" s="1" t="str">
        <v>IPCA - Variação mensal</v>
      </c>
      <c r="J436" s="1" t="str">
        <v>202207</v>
      </c>
      <c r="K436" s="1" t="str">
        <v>julho 2022</v>
      </c>
      <c r="L436" s="1" t="str">
        <v>107674</v>
      </c>
      <c r="M436" s="1" t="str">
        <v>8101006.Pós-graduação</v>
      </c>
      <c r="Q436" s="1" t="str">
        <f t="shared" si="18"/>
        <v>8101006.Pós-graduação</v>
      </c>
      <c r="R436" s="1" t="str">
        <f t="shared" si="19"/>
        <v>202207</v>
      </c>
      <c r="S436" s="1">
        <f t="shared" si="20"/>
        <v>0</v>
      </c>
    </row>
    <row r="437" spans="1:19" x14ac:dyDescent="0.2">
      <c r="A437" s="1" t="str">
        <v>1</v>
      </c>
      <c r="B437" s="1" t="str">
        <v>Brasil</v>
      </c>
      <c r="C437" s="1" t="str">
        <v>2</v>
      </c>
      <c r="D437" s="1" t="str">
        <v>%</v>
      </c>
      <c r="E437" s="1" t="str">
        <v>0.00</v>
      </c>
      <c r="F437" s="1" t="str">
        <v>1</v>
      </c>
      <c r="G437" s="1" t="str">
        <v>Brasil</v>
      </c>
      <c r="H437" s="1" t="str">
        <v>63</v>
      </c>
      <c r="I437" s="1" t="str">
        <v>IPCA - Variação mensal</v>
      </c>
      <c r="J437" s="1" t="str">
        <v>202207</v>
      </c>
      <c r="K437" s="1" t="str">
        <v>julho 2022</v>
      </c>
      <c r="L437" s="1" t="str">
        <v>47664</v>
      </c>
      <c r="M437" s="1" t="str">
        <v>8101008.Educação de jovens e adultos</v>
      </c>
      <c r="Q437" s="1" t="str">
        <f t="shared" si="18"/>
        <v>8101008.Educação de jovens e adultos</v>
      </c>
      <c r="R437" s="1" t="str">
        <f t="shared" si="19"/>
        <v>202207</v>
      </c>
      <c r="S437" s="1">
        <f t="shared" si="20"/>
        <v>0</v>
      </c>
    </row>
    <row r="438" spans="1:19" x14ac:dyDescent="0.2">
      <c r="A438" s="1" t="str">
        <v>1</v>
      </c>
      <c r="B438" s="1" t="str">
        <v>Brasil</v>
      </c>
      <c r="C438" s="1" t="str">
        <v>2</v>
      </c>
      <c r="D438" s="1" t="str">
        <v>%</v>
      </c>
      <c r="E438" s="1" t="str">
        <v>0.00</v>
      </c>
      <c r="F438" s="1" t="str">
        <v>1</v>
      </c>
      <c r="G438" s="1" t="str">
        <v>Brasil</v>
      </c>
      <c r="H438" s="1" t="str">
        <v>63</v>
      </c>
      <c r="I438" s="1" t="str">
        <v>IPCA - Variação mensal</v>
      </c>
      <c r="J438" s="1" t="str">
        <v>202207</v>
      </c>
      <c r="K438" s="1" t="str">
        <v>julho 2022</v>
      </c>
      <c r="L438" s="1" t="str">
        <v>47665</v>
      </c>
      <c r="M438" s="1" t="str">
        <v>8101045.Curso técnico</v>
      </c>
      <c r="Q438" s="1" t="str">
        <f t="shared" si="18"/>
        <v>8101045.Curso técnico</v>
      </c>
      <c r="R438" s="1" t="str">
        <f t="shared" si="19"/>
        <v>202207</v>
      </c>
      <c r="S438" s="1">
        <f t="shared" si="20"/>
        <v>0</v>
      </c>
    </row>
    <row r="439" spans="1:19" x14ac:dyDescent="0.2">
      <c r="A439" s="1" t="str">
        <v>1</v>
      </c>
      <c r="B439" s="1" t="str">
        <v>Brasil</v>
      </c>
      <c r="C439" s="1" t="str">
        <v>2</v>
      </c>
      <c r="D439" s="1" t="str">
        <v>%</v>
      </c>
      <c r="E439" s="1" t="str">
        <v>0.04</v>
      </c>
      <c r="F439" s="1" t="str">
        <v>1</v>
      </c>
      <c r="G439" s="1" t="str">
        <v>Brasil</v>
      </c>
      <c r="H439" s="1" t="str">
        <v>63</v>
      </c>
      <c r="I439" s="1" t="str">
        <v>IPCA - Variação mensal</v>
      </c>
      <c r="J439" s="1" t="str">
        <v>202207</v>
      </c>
      <c r="K439" s="1" t="str">
        <v>julho 2022</v>
      </c>
      <c r="L439" s="1" t="str">
        <v>7777</v>
      </c>
      <c r="M439" s="1" t="str">
        <v>8102.Leitura</v>
      </c>
      <c r="Q439" s="1" t="str">
        <f t="shared" si="18"/>
        <v>8102.Leitura</v>
      </c>
      <c r="R439" s="1" t="str">
        <f t="shared" si="19"/>
        <v>202207</v>
      </c>
      <c r="S439" s="1">
        <f t="shared" si="20"/>
        <v>0.04</v>
      </c>
    </row>
    <row r="440" spans="1:19" x14ac:dyDescent="0.2">
      <c r="A440" s="1" t="str">
        <v>1</v>
      </c>
      <c r="B440" s="1" t="str">
        <v>Brasil</v>
      </c>
      <c r="C440" s="1" t="str">
        <v>2</v>
      </c>
      <c r="D440" s="1" t="str">
        <v>%</v>
      </c>
      <c r="E440" s="1" t="str">
        <v>4.62</v>
      </c>
      <c r="F440" s="1" t="str">
        <v>1</v>
      </c>
      <c r="G440" s="1" t="str">
        <v>Brasil</v>
      </c>
      <c r="H440" s="1" t="str">
        <v>63</v>
      </c>
      <c r="I440" s="1" t="str">
        <v>IPCA - Variação mensal</v>
      </c>
      <c r="J440" s="1" t="str">
        <v>202207</v>
      </c>
      <c r="K440" s="1" t="str">
        <v>julho 2022</v>
      </c>
      <c r="L440" s="1" t="str">
        <v>7778</v>
      </c>
      <c r="M440" s="1" t="str">
        <v>8102001.Jornal diário</v>
      </c>
      <c r="Q440" s="1" t="str">
        <f t="shared" si="18"/>
        <v>8102001.Jornal diário</v>
      </c>
      <c r="R440" s="1" t="str">
        <f t="shared" si="19"/>
        <v>202207</v>
      </c>
      <c r="S440" s="1">
        <f t="shared" si="20"/>
        <v>4.62</v>
      </c>
    </row>
    <row r="441" spans="1:19" x14ac:dyDescent="0.2">
      <c r="A441" s="1" t="str">
        <v>1</v>
      </c>
      <c r="B441" s="1" t="str">
        <v>Brasil</v>
      </c>
      <c r="C441" s="1" t="str">
        <v>2</v>
      </c>
      <c r="D441" s="1" t="str">
        <v>%</v>
      </c>
      <c r="E441" s="1" t="str">
        <v>0.00</v>
      </c>
      <c r="F441" s="1" t="str">
        <v>1</v>
      </c>
      <c r="G441" s="1" t="str">
        <v>Brasil</v>
      </c>
      <c r="H441" s="1" t="str">
        <v>63</v>
      </c>
      <c r="I441" s="1" t="str">
        <v>IPCA - Variação mensal</v>
      </c>
      <c r="J441" s="1" t="str">
        <v>202207</v>
      </c>
      <c r="K441" s="1" t="str">
        <v>julho 2022</v>
      </c>
      <c r="L441" s="1" t="str">
        <v>107676</v>
      </c>
      <c r="M441" s="1" t="str">
        <v>8102004.Revista</v>
      </c>
      <c r="Q441" s="1" t="str">
        <f t="shared" si="18"/>
        <v>8102004.Revista</v>
      </c>
      <c r="R441" s="1" t="str">
        <f t="shared" si="19"/>
        <v>202207</v>
      </c>
      <c r="S441" s="1">
        <f t="shared" si="20"/>
        <v>0</v>
      </c>
    </row>
    <row r="442" spans="1:19" x14ac:dyDescent="0.2">
      <c r="A442" s="1" t="str">
        <v>1</v>
      </c>
      <c r="B442" s="1" t="str">
        <v>Brasil</v>
      </c>
      <c r="C442" s="1" t="str">
        <v>2</v>
      </c>
      <c r="D442" s="1" t="str">
        <v>%</v>
      </c>
      <c r="E442" s="1" t="str">
        <v>0.10</v>
      </c>
      <c r="F442" s="1" t="str">
        <v>1</v>
      </c>
      <c r="G442" s="1" t="str">
        <v>Brasil</v>
      </c>
      <c r="H442" s="1" t="str">
        <v>63</v>
      </c>
      <c r="I442" s="1" t="str">
        <v>IPCA - Variação mensal</v>
      </c>
      <c r="J442" s="1" t="str">
        <v>202207</v>
      </c>
      <c r="K442" s="1" t="str">
        <v>julho 2022</v>
      </c>
      <c r="L442" s="1" t="str">
        <v>47666</v>
      </c>
      <c r="M442" s="1" t="str">
        <v>8102007.Livro didático</v>
      </c>
      <c r="Q442" s="1" t="str">
        <f t="shared" si="18"/>
        <v>8102007.Livro didático</v>
      </c>
      <c r="R442" s="1" t="str">
        <f t="shared" si="19"/>
        <v>202207</v>
      </c>
      <c r="S442" s="1">
        <f t="shared" si="20"/>
        <v>0.1</v>
      </c>
    </row>
    <row r="443" spans="1:19" x14ac:dyDescent="0.2">
      <c r="A443" s="1" t="str">
        <v>1</v>
      </c>
      <c r="B443" s="1" t="str">
        <v>Brasil</v>
      </c>
      <c r="C443" s="1" t="str">
        <v>2</v>
      </c>
      <c r="D443" s="1" t="str">
        <v>%</v>
      </c>
      <c r="E443" s="1" t="str">
        <v>-1.69</v>
      </c>
      <c r="F443" s="1" t="str">
        <v>1</v>
      </c>
      <c r="G443" s="1" t="str">
        <v>Brasil</v>
      </c>
      <c r="H443" s="1" t="str">
        <v>63</v>
      </c>
      <c r="I443" s="1" t="str">
        <v>IPCA - Variação mensal</v>
      </c>
      <c r="J443" s="1" t="str">
        <v>202207</v>
      </c>
      <c r="K443" s="1" t="str">
        <v>julho 2022</v>
      </c>
      <c r="L443" s="1" t="str">
        <v>47667</v>
      </c>
      <c r="M443" s="1" t="str">
        <v>8102008.Livro não didático</v>
      </c>
      <c r="Q443" s="1" t="str">
        <f t="shared" si="18"/>
        <v>8102008.Livro não didático</v>
      </c>
      <c r="R443" s="1" t="str">
        <f t="shared" si="19"/>
        <v>202207</v>
      </c>
      <c r="S443" s="1">
        <f t="shared" si="20"/>
        <v>-1.69</v>
      </c>
    </row>
    <row r="444" spans="1:19" x14ac:dyDescent="0.2">
      <c r="A444" s="1" t="str">
        <v>1</v>
      </c>
      <c r="B444" s="1" t="str">
        <v>Brasil</v>
      </c>
      <c r="C444" s="1" t="str">
        <v>2</v>
      </c>
      <c r="D444" s="1" t="str">
        <v>%</v>
      </c>
      <c r="E444" s="1" t="str">
        <v>1.26</v>
      </c>
      <c r="F444" s="1" t="str">
        <v>1</v>
      </c>
      <c r="G444" s="1" t="str">
        <v>Brasil</v>
      </c>
      <c r="H444" s="1" t="str">
        <v>63</v>
      </c>
      <c r="I444" s="1" t="str">
        <v>IPCA - Variação mensal</v>
      </c>
      <c r="J444" s="1" t="str">
        <v>202207</v>
      </c>
      <c r="K444" s="1" t="str">
        <v>julho 2022</v>
      </c>
      <c r="L444" s="1" t="str">
        <v>7782</v>
      </c>
      <c r="M444" s="1" t="str">
        <v>8103.Papelaria</v>
      </c>
      <c r="Q444" s="1" t="str">
        <f t="shared" si="18"/>
        <v>8103.Papelaria</v>
      </c>
      <c r="R444" s="1" t="str">
        <f t="shared" si="19"/>
        <v>202207</v>
      </c>
      <c r="S444" s="1">
        <f t="shared" si="20"/>
        <v>1.26</v>
      </c>
    </row>
    <row r="445" spans="1:19" x14ac:dyDescent="0.2">
      <c r="A445" s="1" t="str">
        <v>1</v>
      </c>
      <c r="B445" s="1" t="str">
        <v>Brasil</v>
      </c>
      <c r="C445" s="1" t="str">
        <v>2</v>
      </c>
      <c r="D445" s="1" t="str">
        <v>%</v>
      </c>
      <c r="E445" s="1" t="str">
        <v>0.62</v>
      </c>
      <c r="F445" s="1" t="str">
        <v>1</v>
      </c>
      <c r="G445" s="1" t="str">
        <v>Brasil</v>
      </c>
      <c r="H445" s="1" t="str">
        <v>63</v>
      </c>
      <c r="I445" s="1" t="str">
        <v>IPCA - Variação mensal</v>
      </c>
      <c r="J445" s="1" t="str">
        <v>202207</v>
      </c>
      <c r="K445" s="1" t="str">
        <v>julho 2022</v>
      </c>
      <c r="L445" s="1" t="str">
        <v>7783</v>
      </c>
      <c r="M445" s="1" t="str">
        <v>8103001.Caderno</v>
      </c>
      <c r="Q445" s="1" t="str">
        <f t="shared" si="18"/>
        <v>8103001.Caderno</v>
      </c>
      <c r="R445" s="1" t="str">
        <f t="shared" si="19"/>
        <v>202207</v>
      </c>
      <c r="S445" s="1">
        <f t="shared" si="20"/>
        <v>0.62</v>
      </c>
    </row>
    <row r="446" spans="1:19" x14ac:dyDescent="0.2">
      <c r="A446" s="1" t="str">
        <v>1</v>
      </c>
      <c r="B446" s="1" t="str">
        <v>Brasil</v>
      </c>
      <c r="C446" s="1" t="str">
        <v>2</v>
      </c>
      <c r="D446" s="1" t="str">
        <v>%</v>
      </c>
      <c r="E446" s="1" t="str">
        <v>1.62</v>
      </c>
      <c r="F446" s="1" t="str">
        <v>1</v>
      </c>
      <c r="G446" s="1" t="str">
        <v>Brasil</v>
      </c>
      <c r="H446" s="1" t="str">
        <v>63</v>
      </c>
      <c r="I446" s="1" t="str">
        <v>IPCA - Variação mensal</v>
      </c>
      <c r="J446" s="1" t="str">
        <v>202207</v>
      </c>
      <c r="K446" s="1" t="str">
        <v>julho 2022</v>
      </c>
      <c r="L446" s="1" t="str">
        <v>7785</v>
      </c>
      <c r="M446" s="1" t="str">
        <v>8103014.Artigos de papelaria</v>
      </c>
      <c r="Q446" s="1" t="str">
        <f t="shared" si="18"/>
        <v>8103014.Artigos de papelaria</v>
      </c>
      <c r="R446" s="1" t="str">
        <f t="shared" si="19"/>
        <v>202207</v>
      </c>
      <c r="S446" s="1">
        <f t="shared" si="20"/>
        <v>1.62</v>
      </c>
    </row>
    <row r="447" spans="1:19" x14ac:dyDescent="0.2">
      <c r="A447" s="1" t="str">
        <v>1</v>
      </c>
      <c r="B447" s="1" t="str">
        <v>Brasil</v>
      </c>
      <c r="C447" s="1" t="str">
        <v>2</v>
      </c>
      <c r="D447" s="1" t="str">
        <v>%</v>
      </c>
      <c r="E447" s="1" t="str">
        <v>0.16</v>
      </c>
      <c r="F447" s="1" t="str">
        <v>1</v>
      </c>
      <c r="G447" s="1" t="str">
        <v>Brasil</v>
      </c>
      <c r="H447" s="1" t="str">
        <v>63</v>
      </c>
      <c r="I447" s="1" t="str">
        <v>IPCA - Variação mensal</v>
      </c>
      <c r="J447" s="1" t="str">
        <v>202207</v>
      </c>
      <c r="K447" s="1" t="str">
        <v>julho 2022</v>
      </c>
      <c r="L447" s="1" t="str">
        <v>107678</v>
      </c>
      <c r="M447" s="1" t="str">
        <v>8104.Cursos diversos</v>
      </c>
      <c r="Q447" s="1" t="str">
        <f t="shared" si="18"/>
        <v>8104.Cursos diversos</v>
      </c>
      <c r="R447" s="1" t="str">
        <f t="shared" si="19"/>
        <v>202207</v>
      </c>
      <c r="S447" s="1">
        <f t="shared" si="20"/>
        <v>0.16</v>
      </c>
    </row>
    <row r="448" spans="1:19" x14ac:dyDescent="0.2">
      <c r="A448" s="1" t="str">
        <v>1</v>
      </c>
      <c r="B448" s="1" t="str">
        <v>Brasil</v>
      </c>
      <c r="C448" s="1" t="str">
        <v>2</v>
      </c>
      <c r="D448" s="1" t="str">
        <v>%</v>
      </c>
      <c r="E448" s="1" t="str">
        <v>0.00</v>
      </c>
      <c r="F448" s="1" t="str">
        <v>1</v>
      </c>
      <c r="G448" s="1" t="str">
        <v>Brasil</v>
      </c>
      <c r="H448" s="1" t="str">
        <v>63</v>
      </c>
      <c r="I448" s="1" t="str">
        <v>IPCA - Variação mensal</v>
      </c>
      <c r="J448" s="1" t="str">
        <v>202207</v>
      </c>
      <c r="K448" s="1" t="str">
        <v>julho 2022</v>
      </c>
      <c r="L448" s="1" t="str">
        <v>107679</v>
      </c>
      <c r="M448" s="1" t="str">
        <v>8104001.Curso preparatório</v>
      </c>
      <c r="Q448" s="1" t="str">
        <f t="shared" si="18"/>
        <v>8104001.Curso preparatório</v>
      </c>
      <c r="R448" s="1" t="str">
        <f t="shared" si="19"/>
        <v>202207</v>
      </c>
      <c r="S448" s="1">
        <f t="shared" si="20"/>
        <v>0</v>
      </c>
    </row>
    <row r="449" spans="1:19" x14ac:dyDescent="0.2">
      <c r="A449" s="1" t="str">
        <v>1</v>
      </c>
      <c r="B449" s="1" t="str">
        <v>Brasil</v>
      </c>
      <c r="C449" s="1" t="str">
        <v>2</v>
      </c>
      <c r="D449" s="1" t="str">
        <v>%</v>
      </c>
      <c r="E449" s="1" t="str">
        <v>0.00</v>
      </c>
      <c r="F449" s="1" t="str">
        <v>1</v>
      </c>
      <c r="G449" s="1" t="str">
        <v>Brasil</v>
      </c>
      <c r="H449" s="1" t="str">
        <v>63</v>
      </c>
      <c r="I449" s="1" t="str">
        <v>IPCA - Variação mensal</v>
      </c>
      <c r="J449" s="1" t="str">
        <v>202207</v>
      </c>
      <c r="K449" s="1" t="str">
        <v>julho 2022</v>
      </c>
      <c r="L449" s="1" t="str">
        <v>107681</v>
      </c>
      <c r="M449" s="1" t="str">
        <v>8104003.Curso de idioma</v>
      </c>
      <c r="Q449" s="1" t="str">
        <f t="shared" si="18"/>
        <v>8104003.Curso de idioma</v>
      </c>
      <c r="R449" s="1" t="str">
        <f t="shared" si="19"/>
        <v>202207</v>
      </c>
      <c r="S449" s="1">
        <f t="shared" si="20"/>
        <v>0</v>
      </c>
    </row>
    <row r="450" spans="1:19" x14ac:dyDescent="0.2">
      <c r="A450" s="1" t="str">
        <v>1</v>
      </c>
      <c r="B450" s="1" t="str">
        <v>Brasil</v>
      </c>
      <c r="C450" s="1" t="str">
        <v>2</v>
      </c>
      <c r="D450" s="1" t="str">
        <v>%</v>
      </c>
      <c r="E450" s="1" t="str">
        <v>-0.49</v>
      </c>
      <c r="F450" s="1" t="str">
        <v>1</v>
      </c>
      <c r="G450" s="1" t="str">
        <v>Brasil</v>
      </c>
      <c r="H450" s="1" t="str">
        <v>63</v>
      </c>
      <c r="I450" s="1" t="str">
        <v>IPCA - Variação mensal</v>
      </c>
      <c r="J450" s="1" t="str">
        <v>202207</v>
      </c>
      <c r="K450" s="1" t="str">
        <v>julho 2022</v>
      </c>
      <c r="L450" s="1" t="str">
        <v>107682</v>
      </c>
      <c r="M450" s="1" t="str">
        <v>8104004.Curso de informática</v>
      </c>
      <c r="Q450" s="1" t="str">
        <f t="shared" si="18"/>
        <v>8104004.Curso de informática</v>
      </c>
      <c r="R450" s="1" t="str">
        <f t="shared" si="19"/>
        <v>202207</v>
      </c>
      <c r="S450" s="1">
        <f t="shared" si="20"/>
        <v>-0.49</v>
      </c>
    </row>
    <row r="451" spans="1:19" x14ac:dyDescent="0.2">
      <c r="A451" s="1" t="str">
        <v>1</v>
      </c>
      <c r="B451" s="1" t="str">
        <v>Brasil</v>
      </c>
      <c r="C451" s="1" t="str">
        <v>2</v>
      </c>
      <c r="D451" s="1" t="str">
        <v>%</v>
      </c>
      <c r="E451" s="1" t="str">
        <v>1.23</v>
      </c>
      <c r="F451" s="1" t="str">
        <v>1</v>
      </c>
      <c r="G451" s="1" t="str">
        <v>Brasil</v>
      </c>
      <c r="H451" s="1" t="str">
        <v>63</v>
      </c>
      <c r="I451" s="1" t="str">
        <v>IPCA - Variação mensal</v>
      </c>
      <c r="J451" s="1" t="str">
        <v>202207</v>
      </c>
      <c r="K451" s="1" t="str">
        <v>julho 2022</v>
      </c>
      <c r="L451" s="1" t="str">
        <v>107683</v>
      </c>
      <c r="M451" s="1" t="str">
        <v>8104005.Autoescola</v>
      </c>
      <c r="Q451" s="1" t="str">
        <f t="shared" si="18"/>
        <v>8104005.Autoescola</v>
      </c>
      <c r="R451" s="1" t="str">
        <f t="shared" si="19"/>
        <v>202207</v>
      </c>
      <c r="S451" s="1">
        <f t="shared" si="20"/>
        <v>1.23</v>
      </c>
    </row>
    <row r="452" spans="1:19" x14ac:dyDescent="0.2">
      <c r="A452" s="1" t="str">
        <v>1</v>
      </c>
      <c r="B452" s="1" t="str">
        <v>Brasil</v>
      </c>
      <c r="C452" s="1" t="str">
        <v>2</v>
      </c>
      <c r="D452" s="1" t="str">
        <v>%</v>
      </c>
      <c r="E452" s="1" t="str">
        <v>0.16</v>
      </c>
      <c r="F452" s="1" t="str">
        <v>1</v>
      </c>
      <c r="G452" s="1" t="str">
        <v>Brasil</v>
      </c>
      <c r="H452" s="1" t="str">
        <v>63</v>
      </c>
      <c r="I452" s="1" t="str">
        <v>IPCA - Variação mensal</v>
      </c>
      <c r="J452" s="1" t="str">
        <v>202207</v>
      </c>
      <c r="K452" s="1" t="str">
        <v>julho 2022</v>
      </c>
      <c r="L452" s="1" t="str">
        <v>12428</v>
      </c>
      <c r="M452" s="1" t="str">
        <v>8104006.Atividades físicas</v>
      </c>
      <c r="Q452" s="1" t="str">
        <f t="shared" si="18"/>
        <v>8104006.Atividades físicas</v>
      </c>
      <c r="R452" s="1" t="str">
        <f t="shared" si="19"/>
        <v>202207</v>
      </c>
      <c r="S452" s="1">
        <f t="shared" si="20"/>
        <v>0.16</v>
      </c>
    </row>
    <row r="453" spans="1:19" x14ac:dyDescent="0.2">
      <c r="A453" s="1" t="str">
        <v>1</v>
      </c>
      <c r="B453" s="1" t="str">
        <v>Brasil</v>
      </c>
      <c r="C453" s="1" t="str">
        <v>2</v>
      </c>
      <c r="D453" s="1" t="str">
        <v>%</v>
      </c>
      <c r="E453" s="1" t="str">
        <v>0.07</v>
      </c>
      <c r="F453" s="1" t="str">
        <v>1</v>
      </c>
      <c r="G453" s="1" t="str">
        <v>Brasil</v>
      </c>
      <c r="H453" s="1" t="str">
        <v>63</v>
      </c>
      <c r="I453" s="1" t="str">
        <v>IPCA - Variação mensal</v>
      </c>
      <c r="J453" s="1" t="str">
        <v>202207</v>
      </c>
      <c r="K453" s="1" t="str">
        <v>julho 2022</v>
      </c>
      <c r="L453" s="1" t="str">
        <v>7786</v>
      </c>
      <c r="M453" s="1" t="str">
        <v>9.Comunicação</v>
      </c>
      <c r="Q453" s="1" t="str">
        <f t="shared" si="18"/>
        <v>9.Comunicação</v>
      </c>
      <c r="R453" s="1" t="str">
        <f t="shared" si="19"/>
        <v>202207</v>
      </c>
      <c r="S453" s="1">
        <f t="shared" si="20"/>
        <v>7.0000000000000007E-2</v>
      </c>
    </row>
    <row r="454" spans="1:19" x14ac:dyDescent="0.2">
      <c r="A454" s="1" t="str">
        <v>1</v>
      </c>
      <c r="B454" s="1" t="str">
        <v>Brasil</v>
      </c>
      <c r="C454" s="1" t="str">
        <v>2</v>
      </c>
      <c r="D454" s="1" t="str">
        <v>%</v>
      </c>
      <c r="E454" s="1" t="str">
        <v>0.07</v>
      </c>
      <c r="F454" s="1" t="str">
        <v>1</v>
      </c>
      <c r="G454" s="1" t="str">
        <v>Brasil</v>
      </c>
      <c r="H454" s="1" t="str">
        <v>63</v>
      </c>
      <c r="I454" s="1" t="str">
        <v>IPCA - Variação mensal</v>
      </c>
      <c r="J454" s="1" t="str">
        <v>202207</v>
      </c>
      <c r="K454" s="1" t="str">
        <v>julho 2022</v>
      </c>
      <c r="L454" s="1" t="str">
        <v>7787</v>
      </c>
      <c r="M454" s="1" t="str">
        <v>91.Comunicação</v>
      </c>
      <c r="Q454" s="1" t="str">
        <f t="shared" si="18"/>
        <v>91.Comunicação</v>
      </c>
      <c r="R454" s="1" t="str">
        <f t="shared" si="19"/>
        <v>202207</v>
      </c>
      <c r="S454" s="1">
        <f t="shared" si="20"/>
        <v>7.0000000000000007E-2</v>
      </c>
    </row>
    <row r="455" spans="1:19" x14ac:dyDescent="0.2">
      <c r="A455" s="1" t="str">
        <v>1</v>
      </c>
      <c r="B455" s="1" t="str">
        <v>Brasil</v>
      </c>
      <c r="C455" s="1" t="str">
        <v>2</v>
      </c>
      <c r="D455" s="1" t="str">
        <v>%</v>
      </c>
      <c r="E455" s="1" t="str">
        <v>0.07</v>
      </c>
      <c r="F455" s="1" t="str">
        <v>1</v>
      </c>
      <c r="G455" s="1" t="str">
        <v>Brasil</v>
      </c>
      <c r="H455" s="1" t="str">
        <v>63</v>
      </c>
      <c r="I455" s="1" t="str">
        <v>IPCA - Variação mensal</v>
      </c>
      <c r="J455" s="1" t="str">
        <v>202207</v>
      </c>
      <c r="K455" s="1" t="str">
        <v>julho 2022</v>
      </c>
      <c r="L455" s="1" t="str">
        <v>7788</v>
      </c>
      <c r="M455" s="1" t="str">
        <v>9101.Comunicação</v>
      </c>
      <c r="Q455" s="1" t="str">
        <f t="shared" ref="Q455:Q463" si="21">M455</f>
        <v>9101.Comunicação</v>
      </c>
      <c r="R455" s="1" t="str">
        <f t="shared" ref="R455:R463" si="22">J455</f>
        <v>202207</v>
      </c>
      <c r="S455" s="1">
        <f t="shared" ref="S455:S463" si="23">IFERROR(_xlfn.NUMBERVALUE(E455,".",","), "")</f>
        <v>7.0000000000000007E-2</v>
      </c>
    </row>
    <row r="456" spans="1:19" x14ac:dyDescent="0.2">
      <c r="A456" s="1" t="str">
        <v>1</v>
      </c>
      <c r="B456" s="1" t="str">
        <v>Brasil</v>
      </c>
      <c r="C456" s="1" t="str">
        <v>2</v>
      </c>
      <c r="D456" s="1" t="str">
        <v>%</v>
      </c>
      <c r="E456" s="1" t="str">
        <v>0.00</v>
      </c>
      <c r="F456" s="1" t="str">
        <v>1</v>
      </c>
      <c r="G456" s="1" t="str">
        <v>Brasil</v>
      </c>
      <c r="H456" s="1" t="str">
        <v>63</v>
      </c>
      <c r="I456" s="1" t="str">
        <v>IPCA - Variação mensal</v>
      </c>
      <c r="J456" s="1" t="str">
        <v>202207</v>
      </c>
      <c r="K456" s="1" t="str">
        <v>julho 2022</v>
      </c>
      <c r="L456" s="1" t="str">
        <v>7789</v>
      </c>
      <c r="M456" s="1" t="str">
        <v>9101001.Correio</v>
      </c>
      <c r="Q456" s="1" t="str">
        <f t="shared" si="21"/>
        <v>9101001.Correio</v>
      </c>
      <c r="R456" s="1" t="str">
        <f t="shared" si="22"/>
        <v>202207</v>
      </c>
      <c r="S456" s="1">
        <f t="shared" si="23"/>
        <v>0</v>
      </c>
    </row>
    <row r="457" spans="1:19" x14ac:dyDescent="0.2">
      <c r="A457" s="1" t="str">
        <v>1</v>
      </c>
      <c r="B457" s="1" t="str">
        <v>Brasil</v>
      </c>
      <c r="C457" s="1" t="str">
        <v>2</v>
      </c>
      <c r="D457" s="1" t="str">
        <v>%</v>
      </c>
      <c r="E457" s="1" t="str">
        <v>0.00</v>
      </c>
      <c r="F457" s="1" t="str">
        <v>1</v>
      </c>
      <c r="G457" s="1" t="str">
        <v>Brasil</v>
      </c>
      <c r="H457" s="1" t="str">
        <v>63</v>
      </c>
      <c r="I457" s="1" t="str">
        <v>IPCA - Variação mensal</v>
      </c>
      <c r="J457" s="1" t="str">
        <v>202207</v>
      </c>
      <c r="K457" s="1" t="str">
        <v>julho 2022</v>
      </c>
      <c r="L457" s="1" t="str">
        <v>47668</v>
      </c>
      <c r="M457" s="1" t="str">
        <v>9101002.Plano de telefonia fixa</v>
      </c>
      <c r="Q457" s="1" t="str">
        <f t="shared" si="21"/>
        <v>9101002.Plano de telefonia fixa</v>
      </c>
      <c r="R457" s="1" t="str">
        <f t="shared" si="22"/>
        <v>202207</v>
      </c>
      <c r="S457" s="1">
        <f t="shared" si="23"/>
        <v>0</v>
      </c>
    </row>
    <row r="458" spans="1:19" x14ac:dyDescent="0.2">
      <c r="A458" s="1" t="str">
        <v>1</v>
      </c>
      <c r="B458" s="1" t="str">
        <v>Brasil</v>
      </c>
      <c r="C458" s="1" t="str">
        <v>2</v>
      </c>
      <c r="D458" s="1" t="str">
        <v>%</v>
      </c>
      <c r="E458" s="1" t="str">
        <v>0.00</v>
      </c>
      <c r="F458" s="1" t="str">
        <v>1</v>
      </c>
      <c r="G458" s="1" t="str">
        <v>Brasil</v>
      </c>
      <c r="H458" s="1" t="str">
        <v>63</v>
      </c>
      <c r="I458" s="1" t="str">
        <v>IPCA - Variação mensal</v>
      </c>
      <c r="J458" s="1" t="str">
        <v>202207</v>
      </c>
      <c r="K458" s="1" t="str">
        <v>julho 2022</v>
      </c>
      <c r="L458" s="1" t="str">
        <v>47669</v>
      </c>
      <c r="M458" s="1" t="str">
        <v>9101008.Plano de telefonia móvel</v>
      </c>
      <c r="Q458" s="1" t="str">
        <f t="shared" si="21"/>
        <v>9101008.Plano de telefonia móvel</v>
      </c>
      <c r="R458" s="1" t="str">
        <f t="shared" si="22"/>
        <v>202207</v>
      </c>
      <c r="S458" s="1">
        <f t="shared" si="23"/>
        <v>0</v>
      </c>
    </row>
    <row r="459" spans="1:19" x14ac:dyDescent="0.2">
      <c r="A459" s="1" t="str">
        <v>1</v>
      </c>
      <c r="B459" s="1" t="str">
        <v>Brasil</v>
      </c>
      <c r="C459" s="1" t="str">
        <v>2</v>
      </c>
      <c r="D459" s="1" t="str">
        <v>%</v>
      </c>
      <c r="E459" s="1" t="str">
        <v>0.00</v>
      </c>
      <c r="F459" s="1" t="str">
        <v>1</v>
      </c>
      <c r="G459" s="1" t="str">
        <v>Brasil</v>
      </c>
      <c r="H459" s="1" t="str">
        <v>63</v>
      </c>
      <c r="I459" s="1" t="str">
        <v>IPCA - Variação mensal</v>
      </c>
      <c r="J459" s="1" t="str">
        <v>202207</v>
      </c>
      <c r="K459" s="1" t="str">
        <v>julho 2022</v>
      </c>
      <c r="L459" s="1" t="str">
        <v>47670</v>
      </c>
      <c r="M459" s="1" t="str">
        <v>9101010.Tv por assinatura</v>
      </c>
      <c r="Q459" s="1" t="str">
        <f t="shared" si="21"/>
        <v>9101010.Tv por assinatura</v>
      </c>
      <c r="R459" s="1" t="str">
        <f t="shared" si="22"/>
        <v>202207</v>
      </c>
      <c r="S459" s="1">
        <f t="shared" si="23"/>
        <v>0</v>
      </c>
    </row>
    <row r="460" spans="1:19" x14ac:dyDescent="0.2">
      <c r="A460" s="1" t="str">
        <v>1</v>
      </c>
      <c r="B460" s="1" t="str">
        <v>Brasil</v>
      </c>
      <c r="C460" s="1" t="str">
        <v>2</v>
      </c>
      <c r="D460" s="1" t="str">
        <v>%</v>
      </c>
      <c r="E460" s="1" t="str">
        <v>0.00</v>
      </c>
      <c r="F460" s="1" t="str">
        <v>1</v>
      </c>
      <c r="G460" s="1" t="str">
        <v>Brasil</v>
      </c>
      <c r="H460" s="1" t="str">
        <v>63</v>
      </c>
      <c r="I460" s="1" t="str">
        <v>IPCA - Variação mensal</v>
      </c>
      <c r="J460" s="1" t="str">
        <v>202207</v>
      </c>
      <c r="K460" s="1" t="str">
        <v>julho 2022</v>
      </c>
      <c r="L460" s="1" t="str">
        <v>107688</v>
      </c>
      <c r="M460" s="1" t="str">
        <v>9101018.Acesso à internet</v>
      </c>
      <c r="Q460" s="1" t="str">
        <f t="shared" si="21"/>
        <v>9101018.Acesso à internet</v>
      </c>
      <c r="R460" s="1" t="str">
        <f t="shared" si="22"/>
        <v>202207</v>
      </c>
      <c r="S460" s="1">
        <f t="shared" si="23"/>
        <v>0</v>
      </c>
    </row>
    <row r="461" spans="1:19" x14ac:dyDescent="0.2">
      <c r="A461" s="1" t="str">
        <v>1</v>
      </c>
      <c r="B461" s="1" t="str">
        <v>Brasil</v>
      </c>
      <c r="C461" s="1" t="str">
        <v>2</v>
      </c>
      <c r="D461" s="1" t="str">
        <v>%</v>
      </c>
      <c r="E461" s="1" t="str">
        <v>0.40</v>
      </c>
      <c r="F461" s="1" t="str">
        <v>1</v>
      </c>
      <c r="G461" s="1" t="str">
        <v>Brasil</v>
      </c>
      <c r="H461" s="1" t="str">
        <v>63</v>
      </c>
      <c r="I461" s="1" t="str">
        <v>IPCA - Variação mensal</v>
      </c>
      <c r="J461" s="1" t="str">
        <v>202207</v>
      </c>
      <c r="K461" s="1" t="str">
        <v>julho 2022</v>
      </c>
      <c r="L461" s="1" t="str">
        <v>7794</v>
      </c>
      <c r="M461" s="1" t="str">
        <v>9101019.Aparelho telefônico</v>
      </c>
      <c r="Q461" s="1" t="str">
        <f t="shared" si="21"/>
        <v>9101019.Aparelho telefônico</v>
      </c>
      <c r="R461" s="1" t="str">
        <f t="shared" si="22"/>
        <v>202207</v>
      </c>
      <c r="S461" s="1">
        <f t="shared" si="23"/>
        <v>0.4</v>
      </c>
    </row>
    <row r="462" spans="1:19" x14ac:dyDescent="0.2">
      <c r="A462" s="1" t="str">
        <v>1</v>
      </c>
      <c r="B462" s="1" t="str">
        <v>Brasil</v>
      </c>
      <c r="C462" s="1" t="str">
        <v>2</v>
      </c>
      <c r="D462" s="1" t="str">
        <v>%</v>
      </c>
      <c r="E462" s="1" t="str">
        <v>0.00</v>
      </c>
      <c r="F462" s="1" t="str">
        <v>1</v>
      </c>
      <c r="G462" s="1" t="str">
        <v>Brasil</v>
      </c>
      <c r="H462" s="1" t="str">
        <v>63</v>
      </c>
      <c r="I462" s="1" t="str">
        <v>IPCA - Variação mensal</v>
      </c>
      <c r="J462" s="1" t="str">
        <v>202207</v>
      </c>
      <c r="K462" s="1" t="str">
        <v>julho 2022</v>
      </c>
      <c r="L462" s="1" t="str">
        <v>47671</v>
      </c>
      <c r="M462" s="1" t="str">
        <v>9101115.Serviços de streaming</v>
      </c>
      <c r="Q462" s="1" t="str">
        <f t="shared" si="21"/>
        <v>9101115.Serviços de streaming</v>
      </c>
      <c r="R462" s="1" t="str">
        <f t="shared" si="22"/>
        <v>202207</v>
      </c>
      <c r="S462" s="1">
        <f t="shared" si="23"/>
        <v>0</v>
      </c>
    </row>
    <row r="463" spans="1:19" x14ac:dyDescent="0.2">
      <c r="A463" s="1" t="str">
        <v>1</v>
      </c>
      <c r="B463" s="1" t="str">
        <v>Brasil</v>
      </c>
      <c r="C463" s="1" t="str">
        <v>2</v>
      </c>
      <c r="D463" s="1" t="str">
        <v>%</v>
      </c>
      <c r="E463" s="1" t="str">
        <v>0.00</v>
      </c>
      <c r="F463" s="1" t="str">
        <v>1</v>
      </c>
      <c r="G463" s="1" t="str">
        <v>Brasil</v>
      </c>
      <c r="H463" s="1" t="str">
        <v>63</v>
      </c>
      <c r="I463" s="1" t="str">
        <v>IPCA - Variação mensal</v>
      </c>
      <c r="J463" s="1" t="str">
        <v>202207</v>
      </c>
      <c r="K463" s="1" t="str">
        <v>julho 2022</v>
      </c>
      <c r="L463" s="1" t="str">
        <v>47672</v>
      </c>
      <c r="M463" s="1" t="str">
        <v>9101116.Combo de telefonia, internet e tv por assinatura</v>
      </c>
      <c r="Q463" s="1" t="str">
        <f t="shared" si="21"/>
        <v>9101116.Combo de telefonia, internet e tv por assinatura</v>
      </c>
      <c r="R463" s="1" t="str">
        <f t="shared" si="22"/>
        <v>202207</v>
      </c>
      <c r="S463" s="1">
        <f t="shared" si="23"/>
        <v>0</v>
      </c>
    </row>
  </sheetData>
  <dataConsolidate function="product"/>
  <hyperlinks>
    <hyperlink ref="A2" r:id="rId1" xr:uid="{4AAA6F76-7758-46C1-BABF-CB9A83C03B8F}"/>
  </hyperlinks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BFAC-BE36-48FB-84C8-E778FC52A59D}">
  <sheetPr codeName="Planilha20"/>
  <dimension ref="A1:B109"/>
  <sheetViews>
    <sheetView workbookViewId="0">
      <selection activeCell="A6" sqref="A6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2.28515625" style="1" bestFit="1" customWidth="1"/>
    <col min="7" max="7" width="7" style="1" bestFit="1" customWidth="1"/>
    <col min="8" max="8" width="7.5703125" style="1" bestFit="1" customWidth="1"/>
    <col min="9" max="9" width="19.28515625" style="1" bestFit="1" customWidth="1"/>
    <col min="10" max="10" width="11.140625" style="1" bestFit="1" customWidth="1"/>
    <col min="11" max="16384" width="9.140625" style="1"/>
  </cols>
  <sheetData>
    <row r="1" spans="1:2" s="3" customFormat="1" x14ac:dyDescent="0.2">
      <c r="A1" s="2" t="s">
        <v>3</v>
      </c>
    </row>
    <row r="2" spans="1:2" ht="15" x14ac:dyDescent="0.25">
      <c r="A2" s="5" t="s">
        <v>14</v>
      </c>
    </row>
    <row r="3" spans="1:2" ht="15" x14ac:dyDescent="0.25">
      <c r="A3" s="5"/>
    </row>
    <row r="4" spans="1:2" s="3" customFormat="1" x14ac:dyDescent="0.2">
      <c r="A4" s="2" t="s">
        <v>1</v>
      </c>
    </row>
    <row r="5" spans="1:2" x14ac:dyDescent="0.2">
      <c r="A5" s="1" t="str" cm="1">
        <f t="array" ref="A5:B109">xlFOCUS_ReadJSONFromWEBSERVICE(A2,,,{1;"resultados";1;"series";1;"serie"})</f>
        <v>199601</v>
      </c>
      <c r="B5" s="1" t="str">
        <v>99.55</v>
      </c>
    </row>
    <row r="6" spans="1:2" x14ac:dyDescent="0.2">
      <c r="A6" s="1" t="str">
        <v>199602</v>
      </c>
      <c r="B6" s="1" t="str">
        <v>100.44</v>
      </c>
    </row>
    <row r="7" spans="1:2" x14ac:dyDescent="0.2">
      <c r="A7" s="1" t="str">
        <v>199603</v>
      </c>
      <c r="B7" s="1" t="str">
        <v>104.38</v>
      </c>
    </row>
    <row r="8" spans="1:2" x14ac:dyDescent="0.2">
      <c r="A8" s="1" t="str">
        <v>199604</v>
      </c>
      <c r="B8" s="1" t="str">
        <v>103.30</v>
      </c>
    </row>
    <row r="9" spans="1:2" x14ac:dyDescent="0.2">
      <c r="A9" s="1" t="str">
        <v>199701</v>
      </c>
      <c r="B9" s="1" t="str">
        <v>104.32</v>
      </c>
    </row>
    <row r="10" spans="1:2" x14ac:dyDescent="0.2">
      <c r="A10" s="1" t="str">
        <v>199702</v>
      </c>
      <c r="B10" s="1" t="str">
        <v>105.02</v>
      </c>
    </row>
    <row r="11" spans="1:2" x14ac:dyDescent="0.2">
      <c r="A11" s="1" t="str">
        <v>199703</v>
      </c>
      <c r="B11" s="1" t="str">
        <v>106.33</v>
      </c>
    </row>
    <row r="12" spans="1:2" x14ac:dyDescent="0.2">
      <c r="A12" s="1" t="str">
        <v>199704</v>
      </c>
      <c r="B12" s="1" t="str">
        <v>107.16</v>
      </c>
    </row>
    <row r="13" spans="1:2" x14ac:dyDescent="0.2">
      <c r="A13" s="1" t="str">
        <v>199801</v>
      </c>
      <c r="B13" s="1" t="str">
        <v>105.07</v>
      </c>
    </row>
    <row r="14" spans="1:2" x14ac:dyDescent="0.2">
      <c r="A14" s="1" t="str">
        <v>199802</v>
      </c>
      <c r="B14" s="1" t="str">
        <v>106.79</v>
      </c>
    </row>
    <row r="15" spans="1:2" x14ac:dyDescent="0.2">
      <c r="A15" s="1" t="str">
        <v>199803</v>
      </c>
      <c r="B15" s="1" t="str">
        <v>106.86</v>
      </c>
    </row>
    <row r="16" spans="1:2" x14ac:dyDescent="0.2">
      <c r="A16" s="1" t="str">
        <v>199804</v>
      </c>
      <c r="B16" s="1" t="str">
        <v>105.59</v>
      </c>
    </row>
    <row r="17" spans="1:2" x14ac:dyDescent="0.2">
      <c r="A17" s="1" t="str">
        <v>199901</v>
      </c>
      <c r="B17" s="1" t="str">
        <v>105.92</v>
      </c>
    </row>
    <row r="18" spans="1:2" x14ac:dyDescent="0.2">
      <c r="A18" s="1" t="str">
        <v>199902</v>
      </c>
      <c r="B18" s="1" t="str">
        <v>106.18</v>
      </c>
    </row>
    <row r="19" spans="1:2" x14ac:dyDescent="0.2">
      <c r="A19" s="1" t="str">
        <v>199903</v>
      </c>
      <c r="B19" s="1" t="str">
        <v>106.37</v>
      </c>
    </row>
    <row r="20" spans="1:2" x14ac:dyDescent="0.2">
      <c r="A20" s="1" t="str">
        <v>199904</v>
      </c>
      <c r="B20" s="1" t="str">
        <v>107.86</v>
      </c>
    </row>
    <row r="21" spans="1:2" x14ac:dyDescent="0.2">
      <c r="A21" s="1" t="str">
        <v>200001</v>
      </c>
      <c r="B21" s="1" t="str">
        <v>108.98</v>
      </c>
    </row>
    <row r="22" spans="1:2" x14ac:dyDescent="0.2">
      <c r="A22" s="1" t="str">
        <v>200002</v>
      </c>
      <c r="B22" s="1" t="str">
        <v>110.52</v>
      </c>
    </row>
    <row r="23" spans="1:2" x14ac:dyDescent="0.2">
      <c r="A23" s="1" t="str">
        <v>200003</v>
      </c>
      <c r="B23" s="1" t="str">
        <v>111.80</v>
      </c>
    </row>
    <row r="24" spans="1:2" x14ac:dyDescent="0.2">
      <c r="A24" s="1" t="str">
        <v>200004</v>
      </c>
      <c r="B24" s="1" t="str">
        <v>113.18</v>
      </c>
    </row>
    <row r="25" spans="1:2" x14ac:dyDescent="0.2">
      <c r="A25" s="1" t="str">
        <v>200101</v>
      </c>
      <c r="B25" s="1" t="str">
        <v>113.64</v>
      </c>
    </row>
    <row r="26" spans="1:2" x14ac:dyDescent="0.2">
      <c r="A26" s="1" t="str">
        <v>200102</v>
      </c>
      <c r="B26" s="1" t="str">
        <v>113.06</v>
      </c>
    </row>
    <row r="27" spans="1:2" x14ac:dyDescent="0.2">
      <c r="A27" s="1" t="str">
        <v>200103</v>
      </c>
      <c r="B27" s="1" t="str">
        <v>112.45</v>
      </c>
    </row>
    <row r="28" spans="1:2" x14ac:dyDescent="0.2">
      <c r="A28" s="1" t="str">
        <v>200104</v>
      </c>
      <c r="B28" s="1" t="str">
        <v>112.16</v>
      </c>
    </row>
    <row r="29" spans="1:2" x14ac:dyDescent="0.2">
      <c r="A29" s="1" t="str">
        <v>200201</v>
      </c>
      <c r="B29" s="1" t="str">
        <v>114.74</v>
      </c>
    </row>
    <row r="30" spans="1:2" x14ac:dyDescent="0.2">
      <c r="A30" s="1" t="str">
        <v>200202</v>
      </c>
      <c r="B30" s="1" t="str">
        <v>115.37</v>
      </c>
    </row>
    <row r="31" spans="1:2" x14ac:dyDescent="0.2">
      <c r="A31" s="1" t="str">
        <v>200203</v>
      </c>
      <c r="B31" s="1" t="str">
        <v>116.82</v>
      </c>
    </row>
    <row r="32" spans="1:2" x14ac:dyDescent="0.2">
      <c r="A32" s="1" t="str">
        <v>200204</v>
      </c>
      <c r="B32" s="1" t="str">
        <v>118.00</v>
      </c>
    </row>
    <row r="33" spans="1:2" x14ac:dyDescent="0.2">
      <c r="A33" s="1" t="str">
        <v>200301</v>
      </c>
      <c r="B33" s="1" t="str">
        <v>117.48</v>
      </c>
    </row>
    <row r="34" spans="1:2" x14ac:dyDescent="0.2">
      <c r="A34" s="1" t="str">
        <v>200302</v>
      </c>
      <c r="B34" s="1" t="str">
        <v>116.47</v>
      </c>
    </row>
    <row r="35" spans="1:2" x14ac:dyDescent="0.2">
      <c r="A35" s="1" t="str">
        <v>200303</v>
      </c>
      <c r="B35" s="1" t="str">
        <v>117.59</v>
      </c>
    </row>
    <row r="36" spans="1:2" x14ac:dyDescent="0.2">
      <c r="A36" s="1" t="str">
        <v>200304</v>
      </c>
      <c r="B36" s="1" t="str">
        <v>118.80</v>
      </c>
    </row>
    <row r="37" spans="1:2" x14ac:dyDescent="0.2">
      <c r="A37" s="1" t="str">
        <v>200401</v>
      </c>
      <c r="B37" s="1" t="str">
        <v>120.47</v>
      </c>
    </row>
    <row r="38" spans="1:2" x14ac:dyDescent="0.2">
      <c r="A38" s="1" t="str">
        <v>200402</v>
      </c>
      <c r="B38" s="1" t="str">
        <v>123.77</v>
      </c>
    </row>
    <row r="39" spans="1:2" x14ac:dyDescent="0.2">
      <c r="A39" s="1" t="str">
        <v>200403</v>
      </c>
      <c r="B39" s="1" t="str">
        <v>125.34</v>
      </c>
    </row>
    <row r="40" spans="1:2" x14ac:dyDescent="0.2">
      <c r="A40" s="1" t="str">
        <v>200404</v>
      </c>
      <c r="B40" s="1" t="str">
        <v>126.30</v>
      </c>
    </row>
    <row r="41" spans="1:2" x14ac:dyDescent="0.2">
      <c r="A41" s="1" t="str">
        <v>200501</v>
      </c>
      <c r="B41" s="1" t="str">
        <v>127.22</v>
      </c>
    </row>
    <row r="42" spans="1:2" x14ac:dyDescent="0.2">
      <c r="A42" s="1" t="str">
        <v>200502</v>
      </c>
      <c r="B42" s="1" t="str">
        <v>128.96</v>
      </c>
    </row>
    <row r="43" spans="1:2" x14ac:dyDescent="0.2">
      <c r="A43" s="1" t="str">
        <v>200503</v>
      </c>
      <c r="B43" s="1" t="str">
        <v>128.01</v>
      </c>
    </row>
    <row r="44" spans="1:2" x14ac:dyDescent="0.2">
      <c r="A44" s="1" t="str">
        <v>200504</v>
      </c>
      <c r="B44" s="1" t="str">
        <v>129.58</v>
      </c>
    </row>
    <row r="45" spans="1:2" x14ac:dyDescent="0.2">
      <c r="A45" s="1" t="str">
        <v>200601</v>
      </c>
      <c r="B45" s="1" t="str">
        <v>131.83</v>
      </c>
    </row>
    <row r="46" spans="1:2" x14ac:dyDescent="0.2">
      <c r="A46" s="1" t="str">
        <v>200602</v>
      </c>
      <c r="B46" s="1" t="str">
        <v>132.14</v>
      </c>
    </row>
    <row r="47" spans="1:2" x14ac:dyDescent="0.2">
      <c r="A47" s="1" t="str">
        <v>200603</v>
      </c>
      <c r="B47" s="1" t="str">
        <v>134.28</v>
      </c>
    </row>
    <row r="48" spans="1:2" x14ac:dyDescent="0.2">
      <c r="A48" s="1" t="str">
        <v>200604</v>
      </c>
      <c r="B48" s="1" t="str">
        <v>135.87</v>
      </c>
    </row>
    <row r="49" spans="1:2" x14ac:dyDescent="0.2">
      <c r="A49" s="1" t="str">
        <v>200701</v>
      </c>
      <c r="B49" s="1" t="str">
        <v>138.61</v>
      </c>
    </row>
    <row r="50" spans="1:2" x14ac:dyDescent="0.2">
      <c r="A50" s="1" t="str">
        <v>200702</v>
      </c>
      <c r="B50" s="1" t="str">
        <v>140.76</v>
      </c>
    </row>
    <row r="51" spans="1:2" x14ac:dyDescent="0.2">
      <c r="A51" s="1" t="str">
        <v>200703</v>
      </c>
      <c r="B51" s="1" t="str">
        <v>142.19</v>
      </c>
    </row>
    <row r="52" spans="1:2" x14ac:dyDescent="0.2">
      <c r="A52" s="1" t="str">
        <v>200704</v>
      </c>
      <c r="B52" s="1" t="str">
        <v>144.43</v>
      </c>
    </row>
    <row r="53" spans="1:2" x14ac:dyDescent="0.2">
      <c r="A53" s="1" t="str">
        <v>200801</v>
      </c>
      <c r="B53" s="1" t="str">
        <v>146.05</v>
      </c>
    </row>
    <row r="54" spans="1:2" x14ac:dyDescent="0.2">
      <c r="A54" s="1" t="str">
        <v>200802</v>
      </c>
      <c r="B54" s="1" t="str">
        <v>149.44</v>
      </c>
    </row>
    <row r="55" spans="1:2" x14ac:dyDescent="0.2">
      <c r="A55" s="1" t="str">
        <v>200803</v>
      </c>
      <c r="B55" s="1" t="str">
        <v>151.64</v>
      </c>
    </row>
    <row r="56" spans="1:2" x14ac:dyDescent="0.2">
      <c r="A56" s="1" t="str">
        <v>200804</v>
      </c>
      <c r="B56" s="1" t="str">
        <v>145.91</v>
      </c>
    </row>
    <row r="57" spans="1:2" x14ac:dyDescent="0.2">
      <c r="A57" s="1" t="str">
        <v>200901</v>
      </c>
      <c r="B57" s="1" t="str">
        <v>143.85</v>
      </c>
    </row>
    <row r="58" spans="1:2" x14ac:dyDescent="0.2">
      <c r="A58" s="1" t="str">
        <v>200902</v>
      </c>
      <c r="B58" s="1" t="str">
        <v>146.48</v>
      </c>
    </row>
    <row r="59" spans="1:2" x14ac:dyDescent="0.2">
      <c r="A59" s="1" t="str">
        <v>200903</v>
      </c>
      <c r="B59" s="1" t="str">
        <v>149.91</v>
      </c>
    </row>
    <row r="60" spans="1:2" x14ac:dyDescent="0.2">
      <c r="A60" s="1" t="str">
        <v>200904</v>
      </c>
      <c r="B60" s="1" t="str">
        <v>153.73</v>
      </c>
    </row>
    <row r="61" spans="1:2" x14ac:dyDescent="0.2">
      <c r="A61" s="1" t="str">
        <v>201001</v>
      </c>
      <c r="B61" s="1" t="str">
        <v>157.19</v>
      </c>
    </row>
    <row r="62" spans="1:2" x14ac:dyDescent="0.2">
      <c r="A62" s="1" t="str">
        <v>201002</v>
      </c>
      <c r="B62" s="1" t="str">
        <v>158.73</v>
      </c>
    </row>
    <row r="63" spans="1:2" x14ac:dyDescent="0.2">
      <c r="A63" s="1" t="str">
        <v>201003</v>
      </c>
      <c r="B63" s="1" t="str">
        <v>160.36</v>
      </c>
    </row>
    <row r="64" spans="1:2" x14ac:dyDescent="0.2">
      <c r="A64" s="1" t="str">
        <v>201004</v>
      </c>
      <c r="B64" s="1" t="str">
        <v>162.57</v>
      </c>
    </row>
    <row r="65" spans="1:2" x14ac:dyDescent="0.2">
      <c r="A65" s="1" t="str">
        <v>201101</v>
      </c>
      <c r="B65" s="1" t="str">
        <v>164.86</v>
      </c>
    </row>
    <row r="66" spans="1:2" x14ac:dyDescent="0.2">
      <c r="A66" s="1" t="str">
        <v>201102</v>
      </c>
      <c r="B66" s="1" t="str">
        <v>166.49</v>
      </c>
    </row>
    <row r="67" spans="1:2" x14ac:dyDescent="0.2">
      <c r="A67" s="1" t="str">
        <v>201103</v>
      </c>
      <c r="B67" s="1" t="str">
        <v>166.13</v>
      </c>
    </row>
    <row r="68" spans="1:2" x14ac:dyDescent="0.2">
      <c r="A68" s="1" t="str">
        <v>201104</v>
      </c>
      <c r="B68" s="1" t="str">
        <v>167.49</v>
      </c>
    </row>
    <row r="69" spans="1:2" x14ac:dyDescent="0.2">
      <c r="A69" s="1" t="str">
        <v>201201</v>
      </c>
      <c r="B69" s="1" t="str">
        <v>165.33</v>
      </c>
    </row>
    <row r="70" spans="1:2" x14ac:dyDescent="0.2">
      <c r="A70" s="1" t="str">
        <v>201202</v>
      </c>
      <c r="B70" s="1" t="str">
        <v>168.18</v>
      </c>
    </row>
    <row r="71" spans="1:2" x14ac:dyDescent="0.2">
      <c r="A71" s="1" t="str">
        <v>201203</v>
      </c>
      <c r="B71" s="1" t="str">
        <v>171.07</v>
      </c>
    </row>
    <row r="72" spans="1:2" x14ac:dyDescent="0.2">
      <c r="A72" s="1" t="str">
        <v>201204</v>
      </c>
      <c r="B72" s="1" t="str">
        <v>171.10</v>
      </c>
    </row>
    <row r="73" spans="1:2" x14ac:dyDescent="0.2">
      <c r="A73" s="1" t="str">
        <v>201301</v>
      </c>
      <c r="B73" s="1" t="str">
        <v>171.83</v>
      </c>
    </row>
    <row r="74" spans="1:2" x14ac:dyDescent="0.2">
      <c r="A74" s="1" t="str">
        <v>201302</v>
      </c>
      <c r="B74" s="1" t="str">
        <v>174.73</v>
      </c>
    </row>
    <row r="75" spans="1:2" x14ac:dyDescent="0.2">
      <c r="A75" s="1" t="str">
        <v>201303</v>
      </c>
      <c r="B75" s="1" t="str">
        <v>175.32</v>
      </c>
    </row>
    <row r="76" spans="1:2" x14ac:dyDescent="0.2">
      <c r="A76" s="1" t="str">
        <v>201304</v>
      </c>
      <c r="B76" s="1" t="str">
        <v>175.53</v>
      </c>
    </row>
    <row r="77" spans="1:2" x14ac:dyDescent="0.2">
      <c r="A77" s="1" t="str">
        <v>201401</v>
      </c>
      <c r="B77" s="1" t="str">
        <v>177.06</v>
      </c>
    </row>
    <row r="78" spans="1:2" x14ac:dyDescent="0.2">
      <c r="A78" s="1" t="str">
        <v>201402</v>
      </c>
      <c r="B78" s="1" t="str">
        <v>174.40</v>
      </c>
    </row>
    <row r="79" spans="1:2" x14ac:dyDescent="0.2">
      <c r="A79" s="1" t="str">
        <v>201403</v>
      </c>
      <c r="B79" s="1" t="str">
        <v>174.36</v>
      </c>
    </row>
    <row r="80" spans="1:2" x14ac:dyDescent="0.2">
      <c r="A80" s="1" t="str">
        <v>201404</v>
      </c>
      <c r="B80" s="1" t="str">
        <v>175.25</v>
      </c>
    </row>
    <row r="81" spans="1:2" x14ac:dyDescent="0.2">
      <c r="A81" s="1" t="str">
        <v>201501</v>
      </c>
      <c r="B81" s="1" t="str">
        <v>174.04</v>
      </c>
    </row>
    <row r="82" spans="1:2" x14ac:dyDescent="0.2">
      <c r="A82" s="1" t="str">
        <v>201502</v>
      </c>
      <c r="B82" s="1" t="str">
        <v>169.52</v>
      </c>
    </row>
    <row r="83" spans="1:2" x14ac:dyDescent="0.2">
      <c r="A83" s="1" t="str">
        <v>201503</v>
      </c>
      <c r="B83" s="1" t="str">
        <v>167.02</v>
      </c>
    </row>
    <row r="84" spans="1:2" x14ac:dyDescent="0.2">
      <c r="A84" s="1" t="str">
        <v>201504</v>
      </c>
      <c r="B84" s="1" t="str">
        <v>165.70</v>
      </c>
    </row>
    <row r="85" spans="1:2" x14ac:dyDescent="0.2">
      <c r="A85" s="1" t="str">
        <v>201601</v>
      </c>
      <c r="B85" s="1" t="str">
        <v>163.04</v>
      </c>
    </row>
    <row r="86" spans="1:2" x14ac:dyDescent="0.2">
      <c r="A86" s="1" t="str">
        <v>201602</v>
      </c>
      <c r="B86" s="1" t="str">
        <v>163.95</v>
      </c>
    </row>
    <row r="87" spans="1:2" x14ac:dyDescent="0.2">
      <c r="A87" s="1" t="str">
        <v>201603</v>
      </c>
      <c r="B87" s="1" t="str">
        <v>162.96</v>
      </c>
    </row>
    <row r="88" spans="1:2" x14ac:dyDescent="0.2">
      <c r="A88" s="1" t="str">
        <v>201604</v>
      </c>
      <c r="B88" s="1" t="str">
        <v>162.61</v>
      </c>
    </row>
    <row r="89" spans="1:2" x14ac:dyDescent="0.2">
      <c r="A89" s="1" t="str">
        <v>201701</v>
      </c>
      <c r="B89" s="1" t="str">
        <v>164.44</v>
      </c>
    </row>
    <row r="90" spans="1:2" x14ac:dyDescent="0.2">
      <c r="A90" s="1" t="str">
        <v>201702</v>
      </c>
      <c r="B90" s="1" t="str">
        <v>165.66</v>
      </c>
    </row>
    <row r="91" spans="1:2" x14ac:dyDescent="0.2">
      <c r="A91" s="1" t="str">
        <v>201703</v>
      </c>
      <c r="B91" s="1" t="str">
        <v>166.17</v>
      </c>
    </row>
    <row r="92" spans="1:2" x14ac:dyDescent="0.2">
      <c r="A92" s="1" t="str">
        <v>201704</v>
      </c>
      <c r="B92" s="1" t="str">
        <v>166.86</v>
      </c>
    </row>
    <row r="93" spans="1:2" x14ac:dyDescent="0.2">
      <c r="A93" s="1" t="str">
        <v>201801</v>
      </c>
      <c r="B93" s="1" t="str">
        <v>167.76</v>
      </c>
    </row>
    <row r="94" spans="1:2" x14ac:dyDescent="0.2">
      <c r="A94" s="1" t="str">
        <v>201802</v>
      </c>
      <c r="B94" s="1" t="str">
        <v>168.04</v>
      </c>
    </row>
    <row r="95" spans="1:2" x14ac:dyDescent="0.2">
      <c r="A95" s="1" t="str">
        <v>201803</v>
      </c>
      <c r="B95" s="1" t="str">
        <v>169.56</v>
      </c>
    </row>
    <row r="96" spans="1:2" x14ac:dyDescent="0.2">
      <c r="A96" s="1" t="str">
        <v>201804</v>
      </c>
      <c r="B96" s="1" t="str">
        <v>168.98</v>
      </c>
    </row>
    <row r="97" spans="1:2" x14ac:dyDescent="0.2">
      <c r="A97" s="1" t="str">
        <v>201901</v>
      </c>
      <c r="B97" s="1" t="str">
        <v>169.61</v>
      </c>
    </row>
    <row r="98" spans="1:2" x14ac:dyDescent="0.2">
      <c r="A98" s="1" t="str">
        <v>201902</v>
      </c>
      <c r="B98" s="1" t="str">
        <v>170.73</v>
      </c>
    </row>
    <row r="99" spans="1:2" x14ac:dyDescent="0.2">
      <c r="A99" s="1" t="str">
        <v>201903</v>
      </c>
      <c r="B99" s="1" t="str">
        <v>170.82</v>
      </c>
    </row>
    <row r="100" spans="1:2" x14ac:dyDescent="0.2">
      <c r="A100" s="1" t="str">
        <v>201904</v>
      </c>
      <c r="B100" s="1" t="str">
        <v>171.39</v>
      </c>
    </row>
    <row r="101" spans="1:2" x14ac:dyDescent="0.2">
      <c r="A101" s="1" t="str">
        <v>202001</v>
      </c>
      <c r="B101" s="1" t="str">
        <v>167.20</v>
      </c>
    </row>
    <row r="102" spans="1:2" x14ac:dyDescent="0.2">
      <c r="A102" s="1" t="str">
        <v>202002</v>
      </c>
      <c r="B102" s="1" t="str">
        <v>152.54</v>
      </c>
    </row>
    <row r="103" spans="1:2" x14ac:dyDescent="0.2">
      <c r="A103" s="1" t="str">
        <v>202003</v>
      </c>
      <c r="B103" s="1" t="str">
        <v>164.58</v>
      </c>
    </row>
    <row r="104" spans="1:2" x14ac:dyDescent="0.2">
      <c r="A104" s="1" t="str">
        <v>202004</v>
      </c>
      <c r="B104" s="1" t="str">
        <v>169.70</v>
      </c>
    </row>
    <row r="105" spans="1:2" x14ac:dyDescent="0.2">
      <c r="A105" s="1" t="str">
        <v>202101</v>
      </c>
      <c r="B105" s="1" t="str">
        <v>171.54</v>
      </c>
    </row>
    <row r="106" spans="1:2" x14ac:dyDescent="0.2">
      <c r="A106" s="1" t="str">
        <v>202102</v>
      </c>
      <c r="B106" s="1" t="str">
        <v>171.17</v>
      </c>
    </row>
    <row r="107" spans="1:2" x14ac:dyDescent="0.2">
      <c r="A107" s="1" t="str">
        <v>202103</v>
      </c>
      <c r="B107" s="1" t="str">
        <v>171.28</v>
      </c>
    </row>
    <row r="108" spans="1:2" x14ac:dyDescent="0.2">
      <c r="A108" s="1" t="str">
        <v>202104</v>
      </c>
      <c r="B108" s="1" t="str">
        <v>172.41</v>
      </c>
    </row>
    <row r="109" spans="1:2" x14ac:dyDescent="0.2">
      <c r="A109" s="1" t="str">
        <v>202201</v>
      </c>
      <c r="B109" s="1" t="str">
        <v>174.13</v>
      </c>
    </row>
  </sheetData>
  <hyperlinks>
    <hyperlink ref="A2" r:id="rId1" xr:uid="{CB7CE2E1-8F7A-4AC9-9086-23DB26288A9A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6D3E63-88EF-48EF-B7DA-615C34E872C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7E89CD-9357-497A-A046-8B1D58D9266B}">
  <ds:schemaRefs/>
</ds:datastoreItem>
</file>

<file path=customXml/itemProps3.xml><?xml version="1.0" encoding="utf-8"?>
<ds:datastoreItem xmlns:ds="http://schemas.openxmlformats.org/officeDocument/2006/customXml" ds:itemID="{15FAA997-FFF9-4A65-B7CF-B6D2C5B8CB23}">
  <ds:schemaRefs/>
</ds:datastoreItem>
</file>

<file path=customXml/itemProps4.xml><?xml version="1.0" encoding="utf-8"?>
<ds:datastoreItem xmlns:ds="http://schemas.openxmlformats.org/officeDocument/2006/customXml" ds:itemID="{A745F269-D3BD-4B4E-987F-5F5FAB0DF6C2}">
  <ds:schemaRefs/>
</ds:datastoreItem>
</file>

<file path=customXml/itemProps5.xml><?xml version="1.0" encoding="utf-8"?>
<ds:datastoreItem xmlns:ds="http://schemas.openxmlformats.org/officeDocument/2006/customXml" ds:itemID="{12ED45F6-45D7-4AB8-A6D8-DA77EDC35497}">
  <ds:schemaRefs/>
</ds:datastoreItem>
</file>

<file path=customXml/itemProps6.xml><?xml version="1.0" encoding="utf-8"?>
<ds:datastoreItem xmlns:ds="http://schemas.openxmlformats.org/officeDocument/2006/customXml" ds:itemID="{A2E47227-741D-4FF4-B747-D491C3613A0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IBGE SIDRA</vt:lpstr>
      <vt:lpstr>IBGE Agregados</vt:lpstr>
      <vt:lpstr>URL to Table (SIDRA)</vt:lpstr>
      <vt:lpstr>URL to Table (Agregados)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 Amaral</cp:lastModifiedBy>
  <dcterms:created xsi:type="dcterms:W3CDTF">2021-12-17T00:04:12Z</dcterms:created>
  <dcterms:modified xsi:type="dcterms:W3CDTF">2022-08-25T21:47:51Z</dcterms:modified>
</cp:coreProperties>
</file>