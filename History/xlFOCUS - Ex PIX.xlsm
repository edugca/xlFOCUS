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C224C46A-DB2D-41D2-8CD0-40FB6DBD2CD4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PIX" sheetId="12" r:id="rId1"/>
    <sheet name="PIX Intraday" sheetId="15" r:id="rId2"/>
    <sheet name="Combined" sheetId="16" r:id="rId3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5" l="1" a="1"/>
  <c r="A8" i="12" a="1"/>
  <c r="A10" i="15" l="1"/>
  <c r="A8" i="12"/>
  <c r="A7" i="15" l="1"/>
  <c r="G422" i="12" l="1"/>
  <c r="G414" i="12"/>
  <c r="G406" i="12"/>
  <c r="G398" i="12"/>
  <c r="G390" i="12"/>
  <c r="G382" i="12"/>
  <c r="G374" i="12"/>
  <c r="G366" i="12"/>
  <c r="G358" i="12"/>
  <c r="G350" i="12"/>
  <c r="G342" i="12"/>
  <c r="G334" i="12"/>
  <c r="G326" i="12"/>
  <c r="G318" i="12"/>
  <c r="G310" i="12"/>
  <c r="F355" i="12"/>
  <c r="F362" i="12"/>
  <c r="G321" i="12"/>
  <c r="G368" i="12"/>
  <c r="F344" i="12"/>
  <c r="G407" i="12"/>
  <c r="F422" i="12"/>
  <c r="F414" i="12"/>
  <c r="F406" i="12"/>
  <c r="F398" i="12"/>
  <c r="F390" i="12"/>
  <c r="F382" i="12"/>
  <c r="F374" i="12"/>
  <c r="F366" i="12"/>
  <c r="F358" i="12"/>
  <c r="F350" i="12"/>
  <c r="F342" i="12"/>
  <c r="F334" i="12"/>
  <c r="F326" i="12"/>
  <c r="F318" i="12"/>
  <c r="F310" i="12"/>
  <c r="F316" i="12"/>
  <c r="G323" i="12"/>
  <c r="F331" i="12"/>
  <c r="G322" i="12"/>
  <c r="G345" i="12"/>
  <c r="F345" i="12"/>
  <c r="G360" i="12"/>
  <c r="F384" i="12"/>
  <c r="F328" i="12"/>
  <c r="G343" i="12"/>
  <c r="F343" i="12"/>
  <c r="G421" i="12"/>
  <c r="G413" i="12"/>
  <c r="G405" i="12"/>
  <c r="G397" i="12"/>
  <c r="G389" i="12"/>
  <c r="G381" i="12"/>
  <c r="G373" i="12"/>
  <c r="G365" i="12"/>
  <c r="G357" i="12"/>
  <c r="G349" i="12"/>
  <c r="G341" i="12"/>
  <c r="G333" i="12"/>
  <c r="G325" i="12"/>
  <c r="G317" i="12"/>
  <c r="G309" i="12"/>
  <c r="G347" i="12"/>
  <c r="F347" i="12"/>
  <c r="G314" i="12"/>
  <c r="G353" i="12"/>
  <c r="F329" i="12"/>
  <c r="G344" i="12"/>
  <c r="F360" i="12"/>
  <c r="G359" i="12"/>
  <c r="F351" i="12"/>
  <c r="F421" i="12"/>
  <c r="F413" i="12"/>
  <c r="F405" i="12"/>
  <c r="F397" i="12"/>
  <c r="F389" i="12"/>
  <c r="F381" i="12"/>
  <c r="F373" i="12"/>
  <c r="F365" i="12"/>
  <c r="F357" i="12"/>
  <c r="F349" i="12"/>
  <c r="F341" i="12"/>
  <c r="F333" i="12"/>
  <c r="F325" i="12"/>
  <c r="F317" i="12"/>
  <c r="F309" i="12"/>
  <c r="F324" i="12"/>
  <c r="G331" i="12"/>
  <c r="F339" i="12"/>
  <c r="F354" i="12"/>
  <c r="F361" i="12"/>
  <c r="G352" i="12"/>
  <c r="F416" i="12"/>
  <c r="G391" i="12"/>
  <c r="G319" i="12"/>
  <c r="G420" i="12"/>
  <c r="G412" i="12"/>
  <c r="G404" i="12"/>
  <c r="G396" i="12"/>
  <c r="G388" i="12"/>
  <c r="G380" i="12"/>
  <c r="G372" i="12"/>
  <c r="G364" i="12"/>
  <c r="G356" i="12"/>
  <c r="G348" i="12"/>
  <c r="G340" i="12"/>
  <c r="G332" i="12"/>
  <c r="G324" i="12"/>
  <c r="G316" i="12"/>
  <c r="F340" i="12"/>
  <c r="F371" i="12"/>
  <c r="F330" i="12"/>
  <c r="F353" i="12"/>
  <c r="G336" i="12"/>
  <c r="F392" i="12"/>
  <c r="F336" i="12"/>
  <c r="G351" i="12"/>
  <c r="H378" i="12" s="1"/>
  <c r="F327" i="12"/>
  <c r="F420" i="12"/>
  <c r="F412" i="12"/>
  <c r="F404" i="12"/>
  <c r="F396" i="12"/>
  <c r="F388" i="12"/>
  <c r="F380" i="12"/>
  <c r="F372" i="12"/>
  <c r="F364" i="12"/>
  <c r="F356" i="12"/>
  <c r="F348" i="12"/>
  <c r="F332" i="12"/>
  <c r="G315" i="12"/>
  <c r="F315" i="12"/>
  <c r="G330" i="12"/>
  <c r="F322" i="12"/>
  <c r="G313" i="12"/>
  <c r="G384" i="12"/>
  <c r="F312" i="12"/>
  <c r="G415" i="12"/>
  <c r="F311" i="12"/>
  <c r="G419" i="12"/>
  <c r="G411" i="12"/>
  <c r="G403" i="12"/>
  <c r="G395" i="12"/>
  <c r="G387" i="12"/>
  <c r="G379" i="12"/>
  <c r="G371" i="12"/>
  <c r="G363" i="12"/>
  <c r="G355" i="12"/>
  <c r="G339" i="12"/>
  <c r="F323" i="12"/>
  <c r="F338" i="12"/>
  <c r="F419" i="12"/>
  <c r="F411" i="12"/>
  <c r="F403" i="12"/>
  <c r="F395" i="12"/>
  <c r="F387" i="12"/>
  <c r="F379" i="12"/>
  <c r="F363" i="12"/>
  <c r="G338" i="12"/>
  <c r="F314" i="12"/>
  <c r="F377" i="12"/>
  <c r="F376" i="12"/>
  <c r="G327" i="12"/>
  <c r="F375" i="12"/>
  <c r="G418" i="12"/>
  <c r="G410" i="12"/>
  <c r="G402" i="12"/>
  <c r="G394" i="12"/>
  <c r="G386" i="12"/>
  <c r="G378" i="12"/>
  <c r="G370" i="12"/>
  <c r="G362" i="12"/>
  <c r="H390" i="12" s="1"/>
  <c r="G354" i="12"/>
  <c r="G346" i="12"/>
  <c r="H371" i="12" s="1"/>
  <c r="F346" i="12"/>
  <c r="G329" i="12"/>
  <c r="G376" i="12"/>
  <c r="F352" i="12"/>
  <c r="G367" i="12"/>
  <c r="F418" i="12"/>
  <c r="F410" i="12"/>
  <c r="F402" i="12"/>
  <c r="F394" i="12"/>
  <c r="F386" i="12"/>
  <c r="F378" i="12"/>
  <c r="F370" i="12"/>
  <c r="F369" i="12"/>
  <c r="F313" i="12"/>
  <c r="F408" i="12"/>
  <c r="G375" i="12"/>
  <c r="H394" i="12" s="1"/>
  <c r="F335" i="12"/>
  <c r="G417" i="12"/>
  <c r="G409" i="12"/>
  <c r="G401" i="12"/>
  <c r="G393" i="12"/>
  <c r="G385" i="12"/>
  <c r="H414" i="12" s="1"/>
  <c r="G377" i="12"/>
  <c r="G369" i="12"/>
  <c r="H398" i="12" s="1"/>
  <c r="G361" i="12"/>
  <c r="G337" i="12"/>
  <c r="F321" i="12"/>
  <c r="G312" i="12"/>
  <c r="H339" i="12" s="1"/>
  <c r="F368" i="12"/>
  <c r="G335" i="12"/>
  <c r="H360" i="12" s="1"/>
  <c r="F359" i="12"/>
  <c r="F417" i="12"/>
  <c r="F409" i="12"/>
  <c r="F401" i="12"/>
  <c r="F393" i="12"/>
  <c r="F385" i="12"/>
  <c r="F337" i="12"/>
  <c r="G328" i="12"/>
  <c r="H356" i="12" s="1"/>
  <c r="F400" i="12"/>
  <c r="G399" i="12"/>
  <c r="G311" i="12"/>
  <c r="G416" i="12"/>
  <c r="G408" i="12"/>
  <c r="G400" i="12"/>
  <c r="G392" i="12"/>
  <c r="H416" i="12" s="1"/>
  <c r="G320" i="12"/>
  <c r="H346" i="12" s="1"/>
  <c r="F320" i="12"/>
  <c r="G383" i="12"/>
  <c r="H411" i="12" s="1"/>
  <c r="F319" i="12"/>
  <c r="F415" i="12"/>
  <c r="F407" i="12"/>
  <c r="F399" i="12"/>
  <c r="F391" i="12"/>
  <c r="F383" i="12"/>
  <c r="F367" i="12"/>
  <c r="H344" i="12"/>
  <c r="H368" i="12"/>
  <c r="H342" i="12"/>
  <c r="H347" i="12"/>
  <c r="G303" i="12"/>
  <c r="G295" i="12"/>
  <c r="G287" i="12"/>
  <c r="G279" i="12"/>
  <c r="G271" i="12"/>
  <c r="G263" i="12"/>
  <c r="G255" i="12"/>
  <c r="G247" i="12"/>
  <c r="G239" i="12"/>
  <c r="G231" i="12"/>
  <c r="G223" i="12"/>
  <c r="G215" i="12"/>
  <c r="G207" i="12"/>
  <c r="G199" i="12"/>
  <c r="G191" i="12"/>
  <c r="G183" i="12"/>
  <c r="G175" i="12"/>
  <c r="G167" i="12"/>
  <c r="G159" i="12"/>
  <c r="G151" i="12"/>
  <c r="G143" i="12"/>
  <c r="G135" i="12"/>
  <c r="G127" i="12"/>
  <c r="G119" i="12"/>
  <c r="G111" i="12"/>
  <c r="G142" i="12"/>
  <c r="G126" i="12"/>
  <c r="G110" i="12"/>
  <c r="F182" i="12"/>
  <c r="F158" i="12"/>
  <c r="F134" i="12"/>
  <c r="F118" i="12"/>
  <c r="G181" i="12"/>
  <c r="G149" i="12"/>
  <c r="G125" i="12"/>
  <c r="F293" i="12"/>
  <c r="F237" i="12"/>
  <c r="F197" i="12"/>
  <c r="F157" i="12"/>
  <c r="F125" i="12"/>
  <c r="G252" i="12"/>
  <c r="G196" i="12"/>
  <c r="G140" i="12"/>
  <c r="F303" i="12"/>
  <c r="F295" i="12"/>
  <c r="F287" i="12"/>
  <c r="F279" i="12"/>
  <c r="F271" i="12"/>
  <c r="F263" i="12"/>
  <c r="F255" i="12"/>
  <c r="F247" i="12"/>
  <c r="F239" i="12"/>
  <c r="F231" i="12"/>
  <c r="F223" i="12"/>
  <c r="F215" i="12"/>
  <c r="F207" i="12"/>
  <c r="F199" i="12"/>
  <c r="F191" i="12"/>
  <c r="F183" i="12"/>
  <c r="F175" i="12"/>
  <c r="F167" i="12"/>
  <c r="F159" i="12"/>
  <c r="F151" i="12"/>
  <c r="F143" i="12"/>
  <c r="F135" i="12"/>
  <c r="F127" i="12"/>
  <c r="F119" i="12"/>
  <c r="F111" i="12"/>
  <c r="G150" i="12"/>
  <c r="G134" i="12"/>
  <c r="G118" i="12"/>
  <c r="F190" i="12"/>
  <c r="F166" i="12"/>
  <c r="F150" i="12"/>
  <c r="F126" i="12"/>
  <c r="F110" i="12"/>
  <c r="G173" i="12"/>
  <c r="G157" i="12"/>
  <c r="G133" i="12"/>
  <c r="F285" i="12"/>
  <c r="F245" i="12"/>
  <c r="F205" i="12"/>
  <c r="F165" i="12"/>
  <c r="F117" i="12"/>
  <c r="G228" i="12"/>
  <c r="G188" i="12"/>
  <c r="G156" i="12"/>
  <c r="G116" i="12"/>
  <c r="F201" i="12"/>
  <c r="G302" i="12"/>
  <c r="G294" i="12"/>
  <c r="G286" i="12"/>
  <c r="G278" i="12"/>
  <c r="G270" i="12"/>
  <c r="G262" i="12"/>
  <c r="G254" i="12"/>
  <c r="G246" i="12"/>
  <c r="G238" i="12"/>
  <c r="G230" i="12"/>
  <c r="G222" i="12"/>
  <c r="G214" i="12"/>
  <c r="G206" i="12"/>
  <c r="G198" i="12"/>
  <c r="G190" i="12"/>
  <c r="G182" i="12"/>
  <c r="G174" i="12"/>
  <c r="G166" i="12"/>
  <c r="G158" i="12"/>
  <c r="F302" i="12"/>
  <c r="F294" i="12"/>
  <c r="F286" i="12"/>
  <c r="F278" i="12"/>
  <c r="F270" i="12"/>
  <c r="F262" i="12"/>
  <c r="F254" i="12"/>
  <c r="F246" i="12"/>
  <c r="F238" i="12"/>
  <c r="F230" i="12"/>
  <c r="F222" i="12"/>
  <c r="F214" i="12"/>
  <c r="F206" i="12"/>
  <c r="F198" i="12"/>
  <c r="F174" i="12"/>
  <c r="F142" i="12"/>
  <c r="G141" i="12"/>
  <c r="G109" i="12"/>
  <c r="F269" i="12"/>
  <c r="F221" i="12"/>
  <c r="F173" i="12"/>
  <c r="F141" i="12"/>
  <c r="F109" i="12"/>
  <c r="G220" i="12"/>
  <c r="G172" i="12"/>
  <c r="G124" i="12"/>
  <c r="F161" i="12"/>
  <c r="G136" i="12"/>
  <c r="G301" i="12"/>
  <c r="G293" i="12"/>
  <c r="G285" i="12"/>
  <c r="G277" i="12"/>
  <c r="G269" i="12"/>
  <c r="G261" i="12"/>
  <c r="G253" i="12"/>
  <c r="G245" i="12"/>
  <c r="G237" i="12"/>
  <c r="G229" i="12"/>
  <c r="G221" i="12"/>
  <c r="G213" i="12"/>
  <c r="G205" i="12"/>
  <c r="G197" i="12"/>
  <c r="G189" i="12"/>
  <c r="G165" i="12"/>
  <c r="G117" i="12"/>
  <c r="F261" i="12"/>
  <c r="F213" i="12"/>
  <c r="F181" i="12"/>
  <c r="F149" i="12"/>
  <c r="G236" i="12"/>
  <c r="G180" i="12"/>
  <c r="G132" i="12"/>
  <c r="F185" i="12"/>
  <c r="F113" i="12"/>
  <c r="F301" i="12"/>
  <c r="F277" i="12"/>
  <c r="F253" i="12"/>
  <c r="F229" i="12"/>
  <c r="F189" i="12"/>
  <c r="F133" i="12"/>
  <c r="G212" i="12"/>
  <c r="G148" i="12"/>
  <c r="F129" i="12"/>
  <c r="G308" i="12"/>
  <c r="G300" i="12"/>
  <c r="G292" i="12"/>
  <c r="G284" i="12"/>
  <c r="G276" i="12"/>
  <c r="G268" i="12"/>
  <c r="G260" i="12"/>
  <c r="G244" i="12"/>
  <c r="G204" i="12"/>
  <c r="G164" i="12"/>
  <c r="F137" i="12"/>
  <c r="F308" i="12"/>
  <c r="F300" i="12"/>
  <c r="F292" i="12"/>
  <c r="F284" i="12"/>
  <c r="F276" i="12"/>
  <c r="F268" i="12"/>
  <c r="F260" i="12"/>
  <c r="F252" i="12"/>
  <c r="F244" i="12"/>
  <c r="F236" i="12"/>
  <c r="F228" i="12"/>
  <c r="F220" i="12"/>
  <c r="F212" i="12"/>
  <c r="F204" i="12"/>
  <c r="F196" i="12"/>
  <c r="F188" i="12"/>
  <c r="F180" i="12"/>
  <c r="F172" i="12"/>
  <c r="F164" i="12"/>
  <c r="F156" i="12"/>
  <c r="F148" i="12"/>
  <c r="F140" i="12"/>
  <c r="F132" i="12"/>
  <c r="F124" i="12"/>
  <c r="F116" i="12"/>
  <c r="F194" i="12"/>
  <c r="F154" i="12"/>
  <c r="G217" i="12"/>
  <c r="G169" i="12"/>
  <c r="G129" i="12"/>
  <c r="F169" i="12"/>
  <c r="G128" i="12"/>
  <c r="G307" i="12"/>
  <c r="G299" i="12"/>
  <c r="H320" i="12" s="1"/>
  <c r="G291" i="12"/>
  <c r="G283" i="12"/>
  <c r="G275" i="12"/>
  <c r="G267" i="12"/>
  <c r="G259" i="12"/>
  <c r="G251" i="12"/>
  <c r="G243" i="12"/>
  <c r="G235" i="12"/>
  <c r="G227" i="12"/>
  <c r="G219" i="12"/>
  <c r="G211" i="12"/>
  <c r="G203" i="12"/>
  <c r="G195" i="12"/>
  <c r="G187" i="12"/>
  <c r="G179" i="12"/>
  <c r="G171" i="12"/>
  <c r="H186" i="12" s="1"/>
  <c r="G163" i="12"/>
  <c r="G155" i="12"/>
  <c r="G147" i="12"/>
  <c r="G139" i="12"/>
  <c r="G131" i="12"/>
  <c r="G123" i="12"/>
  <c r="G115" i="12"/>
  <c r="F115" i="12"/>
  <c r="G146" i="12"/>
  <c r="G122" i="12"/>
  <c r="F226" i="12"/>
  <c r="F186" i="12"/>
  <c r="F146" i="12"/>
  <c r="F114" i="12"/>
  <c r="G193" i="12"/>
  <c r="G153" i="12"/>
  <c r="F193" i="12"/>
  <c r="G120" i="12"/>
  <c r="F307" i="12"/>
  <c r="F299" i="12"/>
  <c r="F291" i="12"/>
  <c r="F283" i="12"/>
  <c r="F275" i="12"/>
  <c r="F267" i="12"/>
  <c r="F259" i="12"/>
  <c r="F251" i="12"/>
  <c r="F243" i="12"/>
  <c r="F235" i="12"/>
  <c r="F227" i="12"/>
  <c r="F219" i="12"/>
  <c r="F211" i="12"/>
  <c r="F203" i="12"/>
  <c r="F195" i="12"/>
  <c r="F187" i="12"/>
  <c r="F179" i="12"/>
  <c r="F171" i="12"/>
  <c r="F163" i="12"/>
  <c r="F155" i="12"/>
  <c r="F147" i="12"/>
  <c r="F139" i="12"/>
  <c r="F131" i="12"/>
  <c r="F123" i="12"/>
  <c r="G154" i="12"/>
  <c r="G130" i="12"/>
  <c r="F218" i="12"/>
  <c r="F170" i="12"/>
  <c r="F138" i="12"/>
  <c r="G225" i="12"/>
  <c r="G177" i="12"/>
  <c r="G121" i="12"/>
  <c r="H144" i="12" s="1"/>
  <c r="F145" i="12"/>
  <c r="G112" i="12"/>
  <c r="H140" i="12" s="1"/>
  <c r="G306" i="12"/>
  <c r="G298" i="12"/>
  <c r="G290" i="12"/>
  <c r="G282" i="12"/>
  <c r="G274" i="12"/>
  <c r="H292" i="12" s="1"/>
  <c r="G266" i="12"/>
  <c r="G258" i="12"/>
  <c r="G250" i="12"/>
  <c r="G242" i="12"/>
  <c r="G234" i="12"/>
  <c r="G226" i="12"/>
  <c r="G218" i="12"/>
  <c r="G210" i="12"/>
  <c r="G202" i="12"/>
  <c r="G194" i="12"/>
  <c r="G186" i="12"/>
  <c r="G178" i="12"/>
  <c r="G170" i="12"/>
  <c r="G162" i="12"/>
  <c r="G138" i="12"/>
  <c r="G114" i="12"/>
  <c r="F202" i="12"/>
  <c r="F162" i="12"/>
  <c r="F122" i="12"/>
  <c r="G209" i="12"/>
  <c r="G161" i="12"/>
  <c r="G113" i="12"/>
  <c r="F153" i="12"/>
  <c r="F306" i="12"/>
  <c r="F298" i="12"/>
  <c r="F290" i="12"/>
  <c r="F282" i="12"/>
  <c r="F274" i="12"/>
  <c r="F266" i="12"/>
  <c r="F258" i="12"/>
  <c r="F250" i="12"/>
  <c r="F242" i="12"/>
  <c r="F234" i="12"/>
  <c r="F210" i="12"/>
  <c r="F178" i="12"/>
  <c r="F130" i="12"/>
  <c r="G201" i="12"/>
  <c r="G145" i="12"/>
  <c r="H172" i="12" s="1"/>
  <c r="F121" i="12"/>
  <c r="G144" i="12"/>
  <c r="G305" i="12"/>
  <c r="H330" i="12" s="1"/>
  <c r="G297" i="12"/>
  <c r="G289" i="12"/>
  <c r="H312" i="12" s="1"/>
  <c r="G281" i="12"/>
  <c r="G273" i="12"/>
  <c r="G265" i="12"/>
  <c r="G257" i="12"/>
  <c r="G249" i="12"/>
  <c r="G241" i="12"/>
  <c r="H259" i="12" s="1"/>
  <c r="G233" i="12"/>
  <c r="G185" i="12"/>
  <c r="G137" i="12"/>
  <c r="G160" i="12"/>
  <c r="F305" i="12"/>
  <c r="F297" i="12"/>
  <c r="F289" i="12"/>
  <c r="F281" i="12"/>
  <c r="F273" i="12"/>
  <c r="F265" i="12"/>
  <c r="F257" i="12"/>
  <c r="F249" i="12"/>
  <c r="F241" i="12"/>
  <c r="F233" i="12"/>
  <c r="F225" i="12"/>
  <c r="F217" i="12"/>
  <c r="F209" i="12"/>
  <c r="F177" i="12"/>
  <c r="G304" i="12"/>
  <c r="G296" i="12"/>
  <c r="G288" i="12"/>
  <c r="G280" i="12"/>
  <c r="H304" i="12" s="1"/>
  <c r="G272" i="12"/>
  <c r="G264" i="12"/>
  <c r="G256" i="12"/>
  <c r="G248" i="12"/>
  <c r="H277" i="12" s="1"/>
  <c r="G240" i="12"/>
  <c r="G232" i="12"/>
  <c r="G224" i="12"/>
  <c r="G216" i="12"/>
  <c r="H245" i="12" s="1"/>
  <c r="G208" i="12"/>
  <c r="H224" i="12" s="1"/>
  <c r="G200" i="12"/>
  <c r="G192" i="12"/>
  <c r="G184" i="12"/>
  <c r="H195" i="12" s="1"/>
  <c r="G176" i="12"/>
  <c r="G168" i="12"/>
  <c r="H192" i="12" s="1"/>
  <c r="G152" i="12"/>
  <c r="H180" i="12" s="1"/>
  <c r="F304" i="12"/>
  <c r="F296" i="12"/>
  <c r="F288" i="12"/>
  <c r="F280" i="12"/>
  <c r="F272" i="12"/>
  <c r="F264" i="12"/>
  <c r="F256" i="12"/>
  <c r="F248" i="12"/>
  <c r="F240" i="12"/>
  <c r="F232" i="12"/>
  <c r="F224" i="12"/>
  <c r="F216" i="12"/>
  <c r="F208" i="12"/>
  <c r="F200" i="12"/>
  <c r="F192" i="12"/>
  <c r="F184" i="12"/>
  <c r="F176" i="12"/>
  <c r="F168" i="12"/>
  <c r="F160" i="12"/>
  <c r="F152" i="12"/>
  <c r="F144" i="12"/>
  <c r="F136" i="12"/>
  <c r="F128" i="12"/>
  <c r="F120" i="12"/>
  <c r="F112" i="12"/>
  <c r="H182" i="12"/>
  <c r="H325" i="12"/>
  <c r="H200" i="12"/>
  <c r="H327" i="12"/>
  <c r="H296" i="12"/>
  <c r="H184" i="12"/>
  <c r="H328" i="12"/>
  <c r="H170" i="12"/>
  <c r="H313" i="12"/>
  <c r="H152" i="12"/>
  <c r="H202" i="12"/>
  <c r="H171" i="12"/>
  <c r="H314" i="12"/>
  <c r="H315" i="12"/>
  <c r="H139" i="12"/>
  <c r="H163" i="12"/>
  <c r="H148" i="12"/>
  <c r="H331" i="12"/>
  <c r="H179" i="12"/>
  <c r="H300" i="12"/>
  <c r="H316" i="12"/>
  <c r="H181" i="12"/>
  <c r="H188" i="12"/>
  <c r="H197" i="12"/>
  <c r="H268" i="12"/>
  <c r="H332" i="12"/>
  <c r="F105" i="12"/>
  <c r="F97" i="12"/>
  <c r="F89" i="12"/>
  <c r="F81" i="12"/>
  <c r="F73" i="12"/>
  <c r="F65" i="12"/>
  <c r="F57" i="12"/>
  <c r="F49" i="12"/>
  <c r="F41" i="12"/>
  <c r="F33" i="12"/>
  <c r="F25" i="12"/>
  <c r="F17" i="12"/>
  <c r="F9" i="12"/>
  <c r="F24" i="12"/>
  <c r="G47" i="12"/>
  <c r="G23" i="12"/>
  <c r="F55" i="12"/>
  <c r="F39" i="12"/>
  <c r="G94" i="12"/>
  <c r="G54" i="12"/>
  <c r="G30" i="12"/>
  <c r="F94" i="12"/>
  <c r="F54" i="12"/>
  <c r="F14" i="12"/>
  <c r="F66" i="12"/>
  <c r="G104" i="12"/>
  <c r="G96" i="12"/>
  <c r="G88" i="12"/>
  <c r="G80" i="12"/>
  <c r="G72" i="12"/>
  <c r="G64" i="12"/>
  <c r="G56" i="12"/>
  <c r="G48" i="12"/>
  <c r="G40" i="12"/>
  <c r="G32" i="12"/>
  <c r="G24" i="12"/>
  <c r="G16" i="12"/>
  <c r="F104" i="12"/>
  <c r="F96" i="12"/>
  <c r="F88" i="12"/>
  <c r="F80" i="12"/>
  <c r="F72" i="12"/>
  <c r="F64" i="12"/>
  <c r="F56" i="12"/>
  <c r="F48" i="12"/>
  <c r="F40" i="12"/>
  <c r="F32" i="12"/>
  <c r="F16" i="12"/>
  <c r="G39" i="12"/>
  <c r="G15" i="12"/>
  <c r="F63" i="12"/>
  <c r="F31" i="12"/>
  <c r="G86" i="12"/>
  <c r="G46" i="12"/>
  <c r="F78" i="12"/>
  <c r="F38" i="12"/>
  <c r="G90" i="12"/>
  <c r="G9" i="12"/>
  <c r="G103" i="12"/>
  <c r="G95" i="12"/>
  <c r="G87" i="12"/>
  <c r="G79" i="12"/>
  <c r="G71" i="12"/>
  <c r="G63" i="12"/>
  <c r="G55" i="12"/>
  <c r="G31" i="12"/>
  <c r="F23" i="12"/>
  <c r="G78" i="12"/>
  <c r="G22" i="12"/>
  <c r="F86" i="12"/>
  <c r="F46" i="12"/>
  <c r="G50" i="12"/>
  <c r="F18" i="12"/>
  <c r="F103" i="12"/>
  <c r="F95" i="12"/>
  <c r="F87" i="12"/>
  <c r="F79" i="12"/>
  <c r="F71" i="12"/>
  <c r="F47" i="12"/>
  <c r="F15" i="12"/>
  <c r="G62" i="12"/>
  <c r="G38" i="12"/>
  <c r="F70" i="12"/>
  <c r="F30" i="12"/>
  <c r="G18" i="12"/>
  <c r="F42" i="12"/>
  <c r="G102" i="12"/>
  <c r="G70" i="12"/>
  <c r="G14" i="12"/>
  <c r="F62" i="12"/>
  <c r="F22" i="12"/>
  <c r="G34" i="12"/>
  <c r="F34" i="12"/>
  <c r="F102" i="12"/>
  <c r="G17" i="12"/>
  <c r="G101" i="12"/>
  <c r="G93" i="12"/>
  <c r="G85" i="12"/>
  <c r="G77" i="12"/>
  <c r="G69" i="12"/>
  <c r="G61" i="12"/>
  <c r="G53" i="12"/>
  <c r="G45" i="12"/>
  <c r="G37" i="12"/>
  <c r="G29" i="12"/>
  <c r="G21" i="12"/>
  <c r="G13" i="12"/>
  <c r="F44" i="12"/>
  <c r="G67" i="12"/>
  <c r="G19" i="12"/>
  <c r="G98" i="12"/>
  <c r="G10" i="12"/>
  <c r="F101" i="12"/>
  <c r="F93" i="12"/>
  <c r="F85" i="12"/>
  <c r="F77" i="12"/>
  <c r="F69" i="12"/>
  <c r="F61" i="12"/>
  <c r="F53" i="12"/>
  <c r="F45" i="12"/>
  <c r="F37" i="12"/>
  <c r="F29" i="12"/>
  <c r="F21" i="12"/>
  <c r="F13" i="12"/>
  <c r="G20" i="12"/>
  <c r="G12" i="12"/>
  <c r="F60" i="12"/>
  <c r="F36" i="12"/>
  <c r="F12" i="12"/>
  <c r="G51" i="12"/>
  <c r="F43" i="12"/>
  <c r="G58" i="12"/>
  <c r="F10" i="12"/>
  <c r="G108" i="12"/>
  <c r="H137" i="12" s="1"/>
  <c r="G100" i="12"/>
  <c r="G92" i="12"/>
  <c r="G84" i="12"/>
  <c r="G76" i="12"/>
  <c r="G68" i="12"/>
  <c r="G60" i="12"/>
  <c r="G52" i="12"/>
  <c r="G44" i="12"/>
  <c r="G36" i="12"/>
  <c r="G28" i="12"/>
  <c r="F76" i="12"/>
  <c r="F28" i="12"/>
  <c r="G59" i="12"/>
  <c r="G27" i="12"/>
  <c r="F35" i="12"/>
  <c r="G82" i="12"/>
  <c r="G33" i="12"/>
  <c r="F108" i="12"/>
  <c r="F100" i="12"/>
  <c r="F92" i="12"/>
  <c r="F84" i="12"/>
  <c r="F68" i="12"/>
  <c r="F52" i="12"/>
  <c r="F20" i="12"/>
  <c r="G43" i="12"/>
  <c r="G11" i="12"/>
  <c r="F27" i="12"/>
  <c r="G74" i="12"/>
  <c r="G25" i="12"/>
  <c r="G107" i="12"/>
  <c r="G99" i="12"/>
  <c r="G91" i="12"/>
  <c r="G83" i="12"/>
  <c r="G75" i="12"/>
  <c r="G35" i="12"/>
  <c r="F19" i="12"/>
  <c r="G42" i="12"/>
  <c r="F26" i="12"/>
  <c r="F107" i="12"/>
  <c r="F99" i="12"/>
  <c r="F91" i="12"/>
  <c r="F83" i="12"/>
  <c r="F75" i="12"/>
  <c r="F67" i="12"/>
  <c r="F59" i="12"/>
  <c r="F51" i="12"/>
  <c r="F11" i="12"/>
  <c r="G26" i="12"/>
  <c r="F50" i="12"/>
  <c r="G106" i="12"/>
  <c r="G66" i="12"/>
  <c r="F106" i="12"/>
  <c r="F98" i="12"/>
  <c r="F90" i="12"/>
  <c r="F82" i="12"/>
  <c r="F74" i="12"/>
  <c r="F58" i="12"/>
  <c r="G105" i="12"/>
  <c r="G97" i="12"/>
  <c r="G89" i="12"/>
  <c r="G81" i="12"/>
  <c r="G73" i="12"/>
  <c r="G65" i="12"/>
  <c r="H91" i="12" s="1"/>
  <c r="G57" i="12"/>
  <c r="G49" i="12"/>
  <c r="G41" i="12"/>
  <c r="H369" i="12"/>
  <c r="H193" i="12"/>
  <c r="H241" i="12"/>
  <c r="H209" i="12"/>
  <c r="H321" i="12"/>
  <c r="H385" i="12"/>
  <c r="H146" i="12"/>
  <c r="H162" i="12"/>
  <c r="H178" i="12"/>
  <c r="H194" i="12"/>
  <c r="H226" i="12"/>
  <c r="H242" i="12"/>
  <c r="H258" i="12"/>
  <c r="H290" i="12"/>
  <c r="H306" i="12"/>
  <c r="H322" i="12"/>
  <c r="H338" i="12"/>
  <c r="H354" i="12"/>
  <c r="H370" i="12"/>
  <c r="H386" i="12"/>
  <c r="H402" i="12"/>
  <c r="H418" i="12"/>
  <c r="H173" i="12"/>
  <c r="H189" i="12"/>
  <c r="H205" i="12"/>
  <c r="H237" i="12"/>
  <c r="H253" i="12"/>
  <c r="H269" i="12"/>
  <c r="H285" i="12"/>
  <c r="H301" i="12"/>
  <c r="H317" i="12"/>
  <c r="H333" i="12"/>
  <c r="H349" i="12"/>
  <c r="H365" i="12"/>
  <c r="H381" i="12"/>
  <c r="H397" i="12"/>
  <c r="H413" i="12"/>
  <c r="H177" i="12"/>
  <c r="H337" i="12"/>
  <c r="H157" i="12"/>
  <c r="H142" i="12"/>
  <c r="H158" i="12"/>
  <c r="H174" i="12"/>
  <c r="H206" i="12"/>
  <c r="H273" i="12"/>
  <c r="H153" i="12"/>
  <c r="H233" i="12"/>
  <c r="H141" i="12"/>
  <c r="H12" i="15"/>
  <c r="H28" i="15"/>
  <c r="H44" i="15"/>
  <c r="G12" i="15"/>
  <c r="G28" i="15"/>
  <c r="G44" i="15"/>
  <c r="H13" i="15"/>
  <c r="H29" i="15"/>
  <c r="H45" i="15"/>
  <c r="G13" i="15"/>
  <c r="G29" i="15"/>
  <c r="G45" i="15"/>
  <c r="G47" i="15"/>
  <c r="G20" i="15"/>
  <c r="G53" i="15"/>
  <c r="G38" i="15"/>
  <c r="H40" i="15"/>
  <c r="H42" i="15"/>
  <c r="H26" i="15"/>
  <c r="H14" i="15"/>
  <c r="H30" i="15"/>
  <c r="H46" i="15"/>
  <c r="G14" i="15"/>
  <c r="G30" i="15"/>
  <c r="G46" i="15"/>
  <c r="H15" i="15"/>
  <c r="H31" i="15"/>
  <c r="H47" i="15"/>
  <c r="G15" i="15"/>
  <c r="G31" i="15"/>
  <c r="H16" i="15"/>
  <c r="H32" i="15"/>
  <c r="H48" i="15"/>
  <c r="G16" i="15"/>
  <c r="G32" i="15"/>
  <c r="G48" i="15"/>
  <c r="G17" i="15"/>
  <c r="G49" i="15"/>
  <c r="G19" i="15"/>
  <c r="G51" i="15"/>
  <c r="H37" i="15"/>
  <c r="H54" i="15"/>
  <c r="G39" i="15"/>
  <c r="H25" i="15"/>
  <c r="H11" i="15"/>
  <c r="H17" i="15"/>
  <c r="H33" i="15"/>
  <c r="H49" i="15"/>
  <c r="G33" i="15"/>
  <c r="H35" i="15"/>
  <c r="H53" i="15"/>
  <c r="G54" i="15"/>
  <c r="G23" i="15"/>
  <c r="H56" i="15"/>
  <c r="H58" i="15"/>
  <c r="H18" i="15"/>
  <c r="H34" i="15"/>
  <c r="H50" i="15"/>
  <c r="G18" i="15"/>
  <c r="G34" i="15"/>
  <c r="G50" i="15"/>
  <c r="G35" i="15"/>
  <c r="G37" i="15"/>
  <c r="G22" i="15"/>
  <c r="H24" i="15"/>
  <c r="G57" i="15"/>
  <c r="G26" i="15"/>
  <c r="G27" i="15"/>
  <c r="H19" i="15"/>
  <c r="H51" i="15"/>
  <c r="G52" i="15"/>
  <c r="H38" i="15"/>
  <c r="G55" i="15"/>
  <c r="G56" i="15"/>
  <c r="G25" i="15"/>
  <c r="G42" i="15"/>
  <c r="G11" i="15"/>
  <c r="H20" i="15"/>
  <c r="H36" i="15"/>
  <c r="H52" i="15"/>
  <c r="G36" i="15"/>
  <c r="H22" i="15"/>
  <c r="H55" i="15"/>
  <c r="G40" i="15"/>
  <c r="H41" i="15"/>
  <c r="H43" i="15"/>
  <c r="H21" i="15"/>
  <c r="G21" i="15"/>
  <c r="H23" i="15"/>
  <c r="G24" i="15"/>
  <c r="H57" i="15"/>
  <c r="H27" i="15"/>
  <c r="H39" i="15"/>
  <c r="G41" i="15"/>
  <c r="G58" i="15"/>
  <c r="G43" i="15"/>
  <c r="F12" i="15"/>
  <c r="F28" i="15"/>
  <c r="F44" i="15"/>
  <c r="F13" i="15"/>
  <c r="F29" i="15"/>
  <c r="F45" i="15"/>
  <c r="F30" i="15"/>
  <c r="F46" i="15"/>
  <c r="F31" i="15"/>
  <c r="F47" i="15"/>
  <c r="F48" i="15"/>
  <c r="F49" i="15"/>
  <c r="F20" i="15"/>
  <c r="F22" i="15"/>
  <c r="F24" i="15"/>
  <c r="F43" i="15"/>
  <c r="F14" i="15"/>
  <c r="F34" i="15"/>
  <c r="F51" i="15"/>
  <c r="F37" i="15"/>
  <c r="F54" i="15"/>
  <c r="F56" i="15"/>
  <c r="F58" i="15"/>
  <c r="F15" i="15"/>
  <c r="F33" i="15"/>
  <c r="F35" i="15"/>
  <c r="F21" i="15"/>
  <c r="F23" i="15"/>
  <c r="F25" i="15"/>
  <c r="F27" i="15"/>
  <c r="F16" i="15"/>
  <c r="F32" i="15"/>
  <c r="F17" i="15"/>
  <c r="F50" i="15"/>
  <c r="F52" i="15"/>
  <c r="F38" i="15"/>
  <c r="F40" i="15"/>
  <c r="F26" i="15"/>
  <c r="F36" i="15"/>
  <c r="F41" i="15"/>
  <c r="F18" i="15"/>
  <c r="F39" i="15"/>
  <c r="F42" i="15"/>
  <c r="F19" i="15"/>
  <c r="F53" i="15"/>
  <c r="F55" i="15"/>
  <c r="F57" i="15"/>
  <c r="F11" i="15"/>
  <c r="H134" i="12" l="1"/>
  <c r="H336" i="12"/>
  <c r="H422" i="12"/>
  <c r="H384" i="12"/>
  <c r="H408" i="12"/>
  <c r="H61" i="12"/>
  <c r="H109" i="12"/>
  <c r="H324" i="12"/>
  <c r="H323" i="12"/>
  <c r="H185" i="12"/>
  <c r="H319" i="12"/>
  <c r="H417" i="12"/>
  <c r="H358" i="12"/>
  <c r="H415" i="12"/>
  <c r="H196" i="12"/>
  <c r="H329" i="12"/>
  <c r="H208" i="12"/>
  <c r="H376" i="12"/>
  <c r="H363" i="12"/>
  <c r="H400" i="12"/>
  <c r="H77" i="12"/>
  <c r="H261" i="12"/>
  <c r="H187" i="12"/>
  <c r="H204" i="12"/>
  <c r="H225" i="12"/>
  <c r="H352" i="12"/>
  <c r="H278" i="12"/>
  <c r="H392" i="12"/>
  <c r="H286" i="12"/>
  <c r="H149" i="12"/>
  <c r="H311" i="12"/>
  <c r="H372" i="12"/>
  <c r="H299" i="12"/>
  <c r="H249" i="12"/>
  <c r="H168" i="12"/>
  <c r="H406" i="12"/>
  <c r="H190" i="12"/>
  <c r="H62" i="12"/>
  <c r="H260" i="12"/>
  <c r="H340" i="12"/>
  <c r="H83" i="12"/>
  <c r="H201" i="12"/>
  <c r="H335" i="12"/>
  <c r="H419" i="12"/>
  <c r="H421" i="12"/>
  <c r="H221" i="12"/>
  <c r="H210" i="12"/>
  <c r="H308" i="12"/>
  <c r="H280" i="12"/>
  <c r="H326" i="12"/>
  <c r="H243" i="12"/>
  <c r="H410" i="12"/>
  <c r="H203" i="12"/>
  <c r="H309" i="12"/>
  <c r="H267" i="12"/>
  <c r="H218" i="12"/>
  <c r="H166" i="12"/>
  <c r="H303" i="12"/>
  <c r="H175" i="12"/>
  <c r="H264" i="12"/>
  <c r="H305" i="12"/>
  <c r="H161" i="12"/>
  <c r="H274" i="12"/>
  <c r="H283" i="12"/>
  <c r="H212" i="12"/>
  <c r="H107" i="12"/>
  <c r="H294" i="12"/>
  <c r="H45" i="12"/>
  <c r="H116" i="12"/>
  <c r="H235" i="12"/>
  <c r="H257" i="12"/>
  <c r="H302" i="12"/>
  <c r="H199" i="12"/>
  <c r="H64" i="12"/>
  <c r="H227" i="12"/>
  <c r="H251" i="12"/>
  <c r="H310" i="12"/>
  <c r="H207" i="12"/>
  <c r="H353" i="12"/>
  <c r="H84" i="12"/>
  <c r="H252" i="12"/>
  <c r="H156" i="12"/>
  <c r="H307" i="12"/>
  <c r="H211" i="12"/>
  <c r="H297" i="12"/>
  <c r="H288" i="12"/>
  <c r="H318" i="12"/>
  <c r="H215" i="12"/>
  <c r="H350" i="12"/>
  <c r="H362" i="12"/>
  <c r="H412" i="12"/>
  <c r="H348" i="12"/>
  <c r="H389" i="12"/>
  <c r="H41" i="12"/>
  <c r="H105" i="12"/>
  <c r="H236" i="12"/>
  <c r="H270" i="12"/>
  <c r="H223" i="12"/>
  <c r="H407" i="12"/>
  <c r="H405" i="12"/>
  <c r="H220" i="12"/>
  <c r="H147" i="12"/>
  <c r="H291" i="12"/>
  <c r="H154" i="12"/>
  <c r="H262" i="12"/>
  <c r="H334" i="12"/>
  <c r="H231" i="12"/>
  <c r="H399" i="12"/>
  <c r="H380" i="12"/>
  <c r="H341" i="12"/>
  <c r="H374" i="12"/>
  <c r="H133" i="12"/>
  <c r="H213" i="12"/>
  <c r="H298" i="12"/>
  <c r="H145" i="12"/>
  <c r="H254" i="12"/>
  <c r="H169" i="12"/>
  <c r="H239" i="12"/>
  <c r="H403" i="12"/>
  <c r="H377" i="12"/>
  <c r="H391" i="12"/>
  <c r="H373" i="12"/>
  <c r="H76" i="12"/>
  <c r="H112" i="12"/>
  <c r="H164" i="12"/>
  <c r="H282" i="12"/>
  <c r="H272" i="12"/>
  <c r="H246" i="12"/>
  <c r="H247" i="12"/>
  <c r="H395" i="12"/>
  <c r="H361" i="12"/>
  <c r="H383" i="12"/>
  <c r="H420" i="12"/>
  <c r="H366" i="12"/>
  <c r="H393" i="12"/>
  <c r="H53" i="12"/>
  <c r="H284" i="12"/>
  <c r="H155" i="12"/>
  <c r="H256" i="12"/>
  <c r="H238" i="12"/>
  <c r="H176" i="12"/>
  <c r="H255" i="12"/>
  <c r="H387" i="12"/>
  <c r="H345" i="12"/>
  <c r="H375" i="12"/>
  <c r="H404" i="12"/>
  <c r="H401" i="12"/>
  <c r="H108" i="12"/>
  <c r="H43" i="12"/>
  <c r="H276" i="12"/>
  <c r="H138" i="12"/>
  <c r="H281" i="12"/>
  <c r="H248" i="12"/>
  <c r="H230" i="12"/>
  <c r="H219" i="12"/>
  <c r="H379" i="12"/>
  <c r="H367" i="12"/>
  <c r="H388" i="12"/>
  <c r="H409" i="12"/>
  <c r="H265" i="12"/>
  <c r="H240" i="12"/>
  <c r="H222" i="12"/>
  <c r="H271" i="12"/>
  <c r="H359" i="12"/>
  <c r="H244" i="12"/>
  <c r="H266" i="12"/>
  <c r="H232" i="12"/>
  <c r="H198" i="12"/>
  <c r="H279" i="12"/>
  <c r="H159" i="12"/>
  <c r="H351" i="12"/>
  <c r="H357" i="12"/>
  <c r="H396" i="12"/>
  <c r="H118" i="12"/>
  <c r="H99" i="12"/>
  <c r="H165" i="12"/>
  <c r="H228" i="12"/>
  <c r="H250" i="12"/>
  <c r="H217" i="12"/>
  <c r="H293" i="12"/>
  <c r="H287" i="12"/>
  <c r="H183" i="12"/>
  <c r="H355" i="12"/>
  <c r="H343" i="12"/>
  <c r="H364" i="12"/>
  <c r="H382" i="12"/>
  <c r="H275" i="12"/>
  <c r="H234" i="12"/>
  <c r="H216" i="12"/>
  <c r="H295" i="12"/>
  <c r="H151" i="12"/>
  <c r="H289" i="12"/>
  <c r="H79" i="12"/>
  <c r="H143" i="12"/>
  <c r="H167" i="12"/>
  <c r="H191" i="12"/>
  <c r="H93" i="12"/>
  <c r="H94" i="12"/>
  <c r="H86" i="12"/>
  <c r="H82" i="12"/>
  <c r="H263" i="12"/>
  <c r="H214" i="12"/>
  <c r="H81" i="12"/>
  <c r="H229" i="12"/>
  <c r="H59" i="12"/>
  <c r="H129" i="12"/>
  <c r="H160" i="12"/>
  <c r="H150" i="12"/>
  <c r="H87" i="12"/>
  <c r="H73" i="12"/>
  <c r="H85" i="12"/>
  <c r="H92" i="12"/>
  <c r="H114" i="12"/>
  <c r="H120" i="12"/>
  <c r="H128" i="12"/>
  <c r="H110" i="12"/>
  <c r="H71" i="12"/>
  <c r="H51" i="12"/>
  <c r="H56" i="12"/>
  <c r="H78" i="12"/>
  <c r="H106" i="12"/>
  <c r="H39" i="12"/>
  <c r="H102" i="12"/>
  <c r="H100" i="12"/>
  <c r="H50" i="12"/>
  <c r="H72" i="12"/>
  <c r="H127" i="12"/>
  <c r="H47" i="12"/>
  <c r="H96" i="12"/>
  <c r="H54" i="12"/>
  <c r="H49" i="12"/>
  <c r="H40" i="12"/>
  <c r="H46" i="12"/>
  <c r="H115" i="12"/>
  <c r="H57" i="12"/>
  <c r="H97" i="12"/>
  <c r="H68" i="12"/>
  <c r="H89" i="12"/>
  <c r="H65" i="12"/>
  <c r="H60" i="12"/>
  <c r="H38" i="12"/>
  <c r="H122" i="12"/>
  <c r="H44" i="12"/>
  <c r="H117" i="12"/>
  <c r="H95" i="12"/>
  <c r="H63" i="12"/>
  <c r="H113" i="12"/>
  <c r="H58" i="12"/>
  <c r="H119" i="12"/>
  <c r="H42" i="12"/>
  <c r="H125" i="12"/>
  <c r="H132" i="12"/>
  <c r="H70" i="12"/>
  <c r="H135" i="12"/>
  <c r="H104" i="12"/>
  <c r="H121" i="12"/>
  <c r="H66" i="12"/>
  <c r="H74" i="12"/>
  <c r="H131" i="12"/>
  <c r="H90" i="12"/>
  <c r="H130" i="12"/>
  <c r="H136" i="12"/>
  <c r="H101" i="12"/>
  <c r="H75" i="12"/>
  <c r="H67" i="12"/>
  <c r="H126" i="12"/>
  <c r="H88" i="12"/>
  <c r="H123" i="12"/>
  <c r="H80" i="12"/>
  <c r="H111" i="12"/>
  <c r="H103" i="12"/>
  <c r="H69" i="12"/>
  <c r="H98" i="12"/>
  <c r="H52" i="12"/>
  <c r="H124" i="12"/>
  <c r="H55" i="12"/>
  <c r="H48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<sst xmlns="http://schemas.openxmlformats.org/spreadsheetml/2006/main" count="15" uniqueCount="10">
  <si>
    <t>Data</t>
  </si>
  <si>
    <t>From JSON to Table</t>
  </si>
  <si>
    <t>Valor</t>
  </si>
  <si>
    <t>Example: PIX statistics</t>
  </si>
  <si>
    <t>URL</t>
  </si>
  <si>
    <t>https://olinda.bcb.gov.br/olinda/servico/SPI/versao/v1/odata/PixLiquidadosAtual?$top=10000&amp;$orderby=Data%20asc&amp;$format=json</t>
  </si>
  <si>
    <t>JSON</t>
  </si>
  <si>
    <t>MM30D</t>
  </si>
  <si>
    <t>https://olinda.bcb.gov.br/olinda/servico/SPI/versao/v1/odata/PixLiquidadosIntradia?$top=10000&amp;$format=json</t>
  </si>
  <si>
    <t>Quantidade (dir.)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</si>
</sst>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\ * #,##0_-;\-&quot;R$&quot;\ * #,##0_-;_-&quot;R$&quot;\ * &quot;-&quot;??_-;_-@_-"/>
    <numFmt numFmtId="165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0" fontId="2" fillId="4" borderId="0" xfId="2" applyFill="1"/>
    <xf numFmtId="14" fontId="2" fillId="4" borderId="0" xfId="2" applyNumberFormat="1" applyFill="1"/>
    <xf numFmtId="0" fontId="6" fillId="3" borderId="0" xfId="2" applyFont="1" applyFill="1"/>
    <xf numFmtId="164" fontId="2" fillId="4" borderId="0" xfId="6" applyNumberFormat="1" applyFont="1" applyFill="1"/>
    <xf numFmtId="165" fontId="2" fillId="4" borderId="0" xfId="5" applyNumberFormat="1" applyFont="1" applyFill="1"/>
  </cellXfs>
  <cellStyles count="7">
    <cellStyle name="Entrada 2" xfId="4" xr:uid="{3571552F-01C5-46A9-B6A2-427FD46A3187}"/>
    <cellStyle name="Hiperlink" xfId="1" builtinId="8"/>
    <cellStyle name="Hiperlink 2" xfId="3" xr:uid="{4FE85F15-950E-4C1A-9045-74450B8FACC8}"/>
    <cellStyle name="Moeda" xfId="6" builtinId="4"/>
    <cellStyle name="Normal" xfId="0" builtinId="0"/>
    <cellStyle name="Normal 2" xfId="2" xr:uid="{44EBA60F-36FD-40B9-B1DB-FB01AEDB0EE1}"/>
    <cellStyle name="Vírgula" xfId="5" builtinId="3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PIX!$G$9:$G$422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B-4940-8EF6-C301A263C643}"/>
            </c:ext>
          </c:extLst>
        </c:ser>
        <c:ser>
          <c:idx val="1"/>
          <c:order val="1"/>
          <c:tx>
            <c:strRef>
              <c:f>PIX!$H$8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9FBB-4940-8EF6-C301A263C643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BB-4940-8EF6-C301A263C643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BB-4940-8EF6-C301A263C6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PIX!$H$9:$H$422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BB-4940-8EF6-C301A263C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140-4ABA-81AE-CE022D701053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3.593398347E-2</c:v>
                </c:pt>
                <c:pt idx="1">
                  <c:v>2.3980943340000001E-2</c:v>
                </c:pt>
                <c:pt idx="2">
                  <c:v>1.8357630739999999E-2</c:v>
                </c:pt>
                <c:pt idx="3">
                  <c:v>1.2739438589999999E-2</c:v>
                </c:pt>
                <c:pt idx="4">
                  <c:v>1.197719152E-2</c:v>
                </c:pt>
                <c:pt idx="5">
                  <c:v>7.5666402300000003E-3</c:v>
                </c:pt>
                <c:pt idx="6">
                  <c:v>0.15549500745</c:v>
                </c:pt>
                <c:pt idx="7">
                  <c:v>4.0211931950000002E-2</c:v>
                </c:pt>
                <c:pt idx="8">
                  <c:v>3.0452933239999997E-2</c:v>
                </c:pt>
                <c:pt idx="9">
                  <c:v>7.8847512599999996E-3</c:v>
                </c:pt>
                <c:pt idx="10">
                  <c:v>1.9206719690000002E-2</c:v>
                </c:pt>
                <c:pt idx="11">
                  <c:v>3.180504713E-2</c:v>
                </c:pt>
                <c:pt idx="12">
                  <c:v>0.17274119488</c:v>
                </c:pt>
                <c:pt idx="13">
                  <c:v>0.14608081852999999</c:v>
                </c:pt>
                <c:pt idx="14">
                  <c:v>0.24257933238999999</c:v>
                </c:pt>
                <c:pt idx="15">
                  <c:v>0.28758080160999999</c:v>
                </c:pt>
                <c:pt idx="16">
                  <c:v>0.44206690732999998</c:v>
                </c:pt>
                <c:pt idx="17">
                  <c:v>0.54690741287</c:v>
                </c:pt>
                <c:pt idx="18">
                  <c:v>0.65844895101000001</c:v>
                </c:pt>
                <c:pt idx="19">
                  <c:v>0.73863931470999999</c:v>
                </c:pt>
                <c:pt idx="20">
                  <c:v>0.78874235322999997</c:v>
                </c:pt>
                <c:pt idx="21">
                  <c:v>0.83274069438999998</c:v>
                </c:pt>
                <c:pt idx="22">
                  <c:v>0.88544619852999995</c:v>
                </c:pt>
                <c:pt idx="23">
                  <c:v>0.86918599727000001</c:v>
                </c:pt>
                <c:pt idx="24">
                  <c:v>0.80144843658999998</c:v>
                </c:pt>
                <c:pt idx="25">
                  <c:v>0.74237175561000002</c:v>
                </c:pt>
                <c:pt idx="26">
                  <c:v>0.72160269957000001</c:v>
                </c:pt>
                <c:pt idx="27">
                  <c:v>0.76805861422999999</c:v>
                </c:pt>
                <c:pt idx="28">
                  <c:v>0.86310831418</c:v>
                </c:pt>
                <c:pt idx="29">
                  <c:v>0.89802584135999997</c:v>
                </c:pt>
                <c:pt idx="30">
                  <c:v>0.93585036916999997</c:v>
                </c:pt>
                <c:pt idx="31">
                  <c:v>0.97755700416000002</c:v>
                </c:pt>
                <c:pt idx="32">
                  <c:v>0.96708668986000001</c:v>
                </c:pt>
                <c:pt idx="33">
                  <c:v>0.95024079791999994</c:v>
                </c:pt>
                <c:pt idx="34">
                  <c:v>0.84784720611999997</c:v>
                </c:pt>
                <c:pt idx="35">
                  <c:v>0.69346597230999996</c:v>
                </c:pt>
                <c:pt idx="36">
                  <c:v>0.54227110794000011</c:v>
                </c:pt>
                <c:pt idx="37">
                  <c:v>0.44741064674999997</c:v>
                </c:pt>
                <c:pt idx="38">
                  <c:v>0.39099793577999997</c:v>
                </c:pt>
                <c:pt idx="39">
                  <c:v>0.33723454818999998</c:v>
                </c:pt>
                <c:pt idx="40">
                  <c:v>0.19171284786000001</c:v>
                </c:pt>
                <c:pt idx="41">
                  <c:v>0.16101582707000001</c:v>
                </c:pt>
                <c:pt idx="42">
                  <c:v>0.13984723668999999</c:v>
                </c:pt>
                <c:pt idx="43">
                  <c:v>0.11872684462000001</c:v>
                </c:pt>
                <c:pt idx="44">
                  <c:v>9.6645795280000002E-2</c:v>
                </c:pt>
                <c:pt idx="45">
                  <c:v>7.7647996650000009E-2</c:v>
                </c:pt>
                <c:pt idx="46">
                  <c:v>5.9558928560000002E-2</c:v>
                </c:pt>
                <c:pt idx="47">
                  <c:v>4.4569867530000001E-2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FE8-4F56-AFBD-8B3ACA05E8D4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278782</c:v>
                </c:pt>
                <c:pt idx="1">
                  <c:v>203677</c:v>
                </c:pt>
                <c:pt idx="2">
                  <c:v>146798</c:v>
                </c:pt>
                <c:pt idx="3">
                  <c:v>107762</c:v>
                </c:pt>
                <c:pt idx="4">
                  <c:v>81177</c:v>
                </c:pt>
                <c:pt idx="5">
                  <c:v>62581</c:v>
                </c:pt>
                <c:pt idx="6">
                  <c:v>61202</c:v>
                </c:pt>
                <c:pt idx="7">
                  <c:v>51903</c:v>
                </c:pt>
                <c:pt idx="8">
                  <c:v>47342</c:v>
                </c:pt>
                <c:pt idx="9">
                  <c:v>44449</c:v>
                </c:pt>
                <c:pt idx="10">
                  <c:v>70694</c:v>
                </c:pt>
                <c:pt idx="11">
                  <c:v>113971</c:v>
                </c:pt>
                <c:pt idx="12">
                  <c:v>223342</c:v>
                </c:pt>
                <c:pt idx="13">
                  <c:v>303092</c:v>
                </c:pt>
                <c:pt idx="14">
                  <c:v>447644</c:v>
                </c:pt>
                <c:pt idx="15">
                  <c:v>572341</c:v>
                </c:pt>
                <c:pt idx="16">
                  <c:v>761573</c:v>
                </c:pt>
                <c:pt idx="17">
                  <c:v>929964</c:v>
                </c:pt>
                <c:pt idx="18">
                  <c:v>1083174</c:v>
                </c:pt>
                <c:pt idx="19">
                  <c:v>1193934</c:v>
                </c:pt>
                <c:pt idx="20">
                  <c:v>1291980</c:v>
                </c:pt>
                <c:pt idx="21">
                  <c:v>1365221</c:v>
                </c:pt>
                <c:pt idx="22">
                  <c:v>1438543</c:v>
                </c:pt>
                <c:pt idx="23">
                  <c:v>1475587</c:v>
                </c:pt>
                <c:pt idx="24">
                  <c:v>1467667</c:v>
                </c:pt>
                <c:pt idx="25">
                  <c:v>1430006</c:v>
                </c:pt>
                <c:pt idx="26">
                  <c:v>1368184</c:v>
                </c:pt>
                <c:pt idx="27">
                  <c:v>1325684</c:v>
                </c:pt>
                <c:pt idx="28">
                  <c:v>1304829</c:v>
                </c:pt>
                <c:pt idx="29">
                  <c:v>1286089</c:v>
                </c:pt>
                <c:pt idx="30">
                  <c:v>1281098</c:v>
                </c:pt>
                <c:pt idx="31">
                  <c:v>1292377</c:v>
                </c:pt>
                <c:pt idx="32">
                  <c:v>1309579</c:v>
                </c:pt>
                <c:pt idx="33">
                  <c:v>1324618</c:v>
                </c:pt>
                <c:pt idx="34">
                  <c:v>1321971</c:v>
                </c:pt>
                <c:pt idx="35">
                  <c:v>1304800</c:v>
                </c:pt>
                <c:pt idx="36">
                  <c:v>1268932</c:v>
                </c:pt>
                <c:pt idx="37">
                  <c:v>1247156</c:v>
                </c:pt>
                <c:pt idx="38">
                  <c:v>1224532</c:v>
                </c:pt>
                <c:pt idx="39">
                  <c:v>1180707</c:v>
                </c:pt>
                <c:pt idx="40">
                  <c:v>1082654</c:v>
                </c:pt>
                <c:pt idx="41">
                  <c:v>1004472</c:v>
                </c:pt>
                <c:pt idx="42">
                  <c:v>915063</c:v>
                </c:pt>
                <c:pt idx="43">
                  <c:v>809048</c:v>
                </c:pt>
                <c:pt idx="44">
                  <c:v>693298</c:v>
                </c:pt>
                <c:pt idx="45">
                  <c:v>574704</c:v>
                </c:pt>
                <c:pt idx="46">
                  <c:v>451964</c:v>
                </c:pt>
                <c:pt idx="47">
                  <c:v>344054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PIX!$G$9:$G$422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C-47DA-9BC9-FEA3EB2E2479}"/>
            </c:ext>
          </c:extLst>
        </c:ser>
        <c:ser>
          <c:idx val="1"/>
          <c:order val="1"/>
          <c:tx>
            <c:strRef>
              <c:f>PIX!$H$8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B2C-47DA-9BC9-FEA3EB2E2479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2C-47DA-9BC9-FEA3EB2E2479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2C-47DA-9BC9-FEA3EB2E24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PIX!$F$9:$F$422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PIX!$H$9:$H$422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2C-47DA-9BC9-FEA3EB2E2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3.593398347E-2</c:v>
                </c:pt>
                <c:pt idx="1">
                  <c:v>2.3980943340000001E-2</c:v>
                </c:pt>
                <c:pt idx="2">
                  <c:v>1.8357630739999999E-2</c:v>
                </c:pt>
                <c:pt idx="3">
                  <c:v>1.2739438589999999E-2</c:v>
                </c:pt>
                <c:pt idx="4">
                  <c:v>1.197719152E-2</c:v>
                </c:pt>
                <c:pt idx="5">
                  <c:v>7.5666402300000003E-3</c:v>
                </c:pt>
                <c:pt idx="6">
                  <c:v>0.15549500745</c:v>
                </c:pt>
                <c:pt idx="7">
                  <c:v>4.0211931950000002E-2</c:v>
                </c:pt>
                <c:pt idx="8">
                  <c:v>3.0452933239999997E-2</c:v>
                </c:pt>
                <c:pt idx="9">
                  <c:v>7.8847512599999996E-3</c:v>
                </c:pt>
                <c:pt idx="10">
                  <c:v>1.9206719690000002E-2</c:v>
                </c:pt>
                <c:pt idx="11">
                  <c:v>3.180504713E-2</c:v>
                </c:pt>
                <c:pt idx="12">
                  <c:v>0.17274119488</c:v>
                </c:pt>
                <c:pt idx="13">
                  <c:v>0.14608081852999999</c:v>
                </c:pt>
                <c:pt idx="14">
                  <c:v>0.24257933238999999</c:v>
                </c:pt>
                <c:pt idx="15">
                  <c:v>0.28758080160999999</c:v>
                </c:pt>
                <c:pt idx="16">
                  <c:v>0.44206690732999998</c:v>
                </c:pt>
                <c:pt idx="17">
                  <c:v>0.54690741287</c:v>
                </c:pt>
                <c:pt idx="18">
                  <c:v>0.65844895101000001</c:v>
                </c:pt>
                <c:pt idx="19">
                  <c:v>0.73863931470999999</c:v>
                </c:pt>
                <c:pt idx="20">
                  <c:v>0.78874235322999997</c:v>
                </c:pt>
                <c:pt idx="21">
                  <c:v>0.83274069438999998</c:v>
                </c:pt>
                <c:pt idx="22">
                  <c:v>0.88544619852999995</c:v>
                </c:pt>
                <c:pt idx="23">
                  <c:v>0.86918599727000001</c:v>
                </c:pt>
                <c:pt idx="24">
                  <c:v>0.80144843658999998</c:v>
                </c:pt>
                <c:pt idx="25">
                  <c:v>0.74237175561000002</c:v>
                </c:pt>
                <c:pt idx="26">
                  <c:v>0.72160269957000001</c:v>
                </c:pt>
                <c:pt idx="27">
                  <c:v>0.76805861422999999</c:v>
                </c:pt>
                <c:pt idx="28">
                  <c:v>0.86310831418</c:v>
                </c:pt>
                <c:pt idx="29">
                  <c:v>0.89802584135999997</c:v>
                </c:pt>
                <c:pt idx="30">
                  <c:v>0.93585036916999997</c:v>
                </c:pt>
                <c:pt idx="31">
                  <c:v>0.97755700416000002</c:v>
                </c:pt>
                <c:pt idx="32">
                  <c:v>0.96708668986000001</c:v>
                </c:pt>
                <c:pt idx="33">
                  <c:v>0.95024079791999994</c:v>
                </c:pt>
                <c:pt idx="34">
                  <c:v>0.84784720611999997</c:v>
                </c:pt>
                <c:pt idx="35">
                  <c:v>0.69346597230999996</c:v>
                </c:pt>
                <c:pt idx="36">
                  <c:v>0.54227110794000011</c:v>
                </c:pt>
                <c:pt idx="37">
                  <c:v>0.44741064674999997</c:v>
                </c:pt>
                <c:pt idx="38">
                  <c:v>0.39099793577999997</c:v>
                </c:pt>
                <c:pt idx="39">
                  <c:v>0.33723454818999998</c:v>
                </c:pt>
                <c:pt idx="40">
                  <c:v>0.19171284786000001</c:v>
                </c:pt>
                <c:pt idx="41">
                  <c:v>0.16101582707000001</c:v>
                </c:pt>
                <c:pt idx="42">
                  <c:v>0.13984723668999999</c:v>
                </c:pt>
                <c:pt idx="43">
                  <c:v>0.11872684462000001</c:v>
                </c:pt>
                <c:pt idx="44">
                  <c:v>9.6645795280000002E-2</c:v>
                </c:pt>
                <c:pt idx="45">
                  <c:v>7.7647996650000009E-2</c:v>
                </c:pt>
                <c:pt idx="46">
                  <c:v>5.9558928560000002E-2</c:v>
                </c:pt>
                <c:pt idx="47">
                  <c:v>4.4569867530000001E-2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278782</c:v>
                </c:pt>
                <c:pt idx="1">
                  <c:v>203677</c:v>
                </c:pt>
                <c:pt idx="2">
                  <c:v>146798</c:v>
                </c:pt>
                <c:pt idx="3">
                  <c:v>107762</c:v>
                </c:pt>
                <c:pt idx="4">
                  <c:v>81177</c:v>
                </c:pt>
                <c:pt idx="5">
                  <c:v>62581</c:v>
                </c:pt>
                <c:pt idx="6">
                  <c:v>61202</c:v>
                </c:pt>
                <c:pt idx="7">
                  <c:v>51903</c:v>
                </c:pt>
                <c:pt idx="8">
                  <c:v>47342</c:v>
                </c:pt>
                <c:pt idx="9">
                  <c:v>44449</c:v>
                </c:pt>
                <c:pt idx="10">
                  <c:v>70694</c:v>
                </c:pt>
                <c:pt idx="11">
                  <c:v>113971</c:v>
                </c:pt>
                <c:pt idx="12">
                  <c:v>223342</c:v>
                </c:pt>
                <c:pt idx="13">
                  <c:v>303092</c:v>
                </c:pt>
                <c:pt idx="14">
                  <c:v>447644</c:v>
                </c:pt>
                <c:pt idx="15">
                  <c:v>572341</c:v>
                </c:pt>
                <c:pt idx="16">
                  <c:v>761573</c:v>
                </c:pt>
                <c:pt idx="17">
                  <c:v>929964</c:v>
                </c:pt>
                <c:pt idx="18">
                  <c:v>1083174</c:v>
                </c:pt>
                <c:pt idx="19">
                  <c:v>1193934</c:v>
                </c:pt>
                <c:pt idx="20">
                  <c:v>1291980</c:v>
                </c:pt>
                <c:pt idx="21">
                  <c:v>1365221</c:v>
                </c:pt>
                <c:pt idx="22">
                  <c:v>1438543</c:v>
                </c:pt>
                <c:pt idx="23">
                  <c:v>1475587</c:v>
                </c:pt>
                <c:pt idx="24">
                  <c:v>1467667</c:v>
                </c:pt>
                <c:pt idx="25">
                  <c:v>1430006</c:v>
                </c:pt>
                <c:pt idx="26">
                  <c:v>1368184</c:v>
                </c:pt>
                <c:pt idx="27">
                  <c:v>1325684</c:v>
                </c:pt>
                <c:pt idx="28">
                  <c:v>1304829</c:v>
                </c:pt>
                <c:pt idx="29">
                  <c:v>1286089</c:v>
                </c:pt>
                <c:pt idx="30">
                  <c:v>1281098</c:v>
                </c:pt>
                <c:pt idx="31">
                  <c:v>1292377</c:v>
                </c:pt>
                <c:pt idx="32">
                  <c:v>1309579</c:v>
                </c:pt>
                <c:pt idx="33">
                  <c:v>1324618</c:v>
                </c:pt>
                <c:pt idx="34">
                  <c:v>1321971</c:v>
                </c:pt>
                <c:pt idx="35">
                  <c:v>1304800</c:v>
                </c:pt>
                <c:pt idx="36">
                  <c:v>1268932</c:v>
                </c:pt>
                <c:pt idx="37">
                  <c:v>1247156</c:v>
                </c:pt>
                <c:pt idx="38">
                  <c:v>1224532</c:v>
                </c:pt>
                <c:pt idx="39">
                  <c:v>1180707</c:v>
                </c:pt>
                <c:pt idx="40">
                  <c:v>1082654</c:v>
                </c:pt>
                <c:pt idx="41">
                  <c:v>1004472</c:v>
                </c:pt>
                <c:pt idx="42">
                  <c:v>915063</c:v>
                </c:pt>
                <c:pt idx="43">
                  <c:v>809048</c:v>
                </c:pt>
                <c:pt idx="44">
                  <c:v>693298</c:v>
                </c:pt>
                <c:pt idx="45">
                  <c:v>574704</c:v>
                </c:pt>
                <c:pt idx="46">
                  <c:v>451964</c:v>
                </c:pt>
                <c:pt idx="47">
                  <c:v>344054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8</xdr:row>
      <xdr:rowOff>28574</xdr:rowOff>
    </xdr:from>
    <xdr:to>
      <xdr:col>20</xdr:col>
      <xdr:colOff>390525</xdr:colOff>
      <xdr:row>25</xdr:row>
      <xdr:rowOff>85725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8507409-A287-4CCB-A8C9-8FECF7B07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10</xdr:row>
      <xdr:rowOff>28574</xdr:rowOff>
    </xdr:from>
    <xdr:to>
      <xdr:col>20</xdr:col>
      <xdr:colOff>1190625</xdr:colOff>
      <xdr:row>28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7E5A75-1272-49FC-895D-88357F700B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533400</xdr:colOff>
      <xdr:row>18</xdr:row>
      <xdr:rowOff>57151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3A72BDD-D9F3-4B4A-ADAB-40F56A6AF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57150</xdr:rowOff>
    </xdr:from>
    <xdr:to>
      <xdr:col>14</xdr:col>
      <xdr:colOff>535200</xdr:colOff>
      <xdr:row>35</xdr:row>
      <xdr:rowOff>116250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A62AC0-B232-4D40-A64F-E2249D842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linda.bcb.gov.br/olinda/servico/SPI/versao/v1/odata/PixLiquidadosAtual?$top=10000&amp;$orderby=Data%20asc&amp;$format=jso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linda.bcb.gov.br/olinda/servico/SPI/versao/v1/odata/PixLiquidadosIntradia?$top=10000&amp;$format=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432"/>
  <sheetViews>
    <sheetView tabSelected="1" workbookViewId="0">
      <selection activeCell="A9" sqref="A9"/>
    </sheetView>
  </sheetViews>
  <sheetFormatPr defaultRowHeight="12.75" x14ac:dyDescent="0.2"/>
  <cols>
    <col min="1" max="1" width="10.7109375" style="1" customWidth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5</v>
      </c>
    </row>
    <row r="7" spans="1:271" s="3" customFormat="1" x14ac:dyDescent="0.2">
      <c r="A7" s="2" t="s">
        <v>1</v>
      </c>
    </row>
    <row r="8" spans="1:271" ht="15" x14ac:dyDescent="0.25">
      <c r="A8" s="1" t="str" cm="1">
        <f t="array" ref="A8:D432">xlFOCUS_ReadJSONFromWEBSERVICE(A4,TRUE)</f>
        <v>Data</v>
      </c>
      <c r="B8" s="1" t="str">
        <v>Quantidade</v>
      </c>
      <c r="C8" s="1" t="str">
        <v>Total</v>
      </c>
      <c r="D8" s="1" t="str">
        <v>Media</v>
      </c>
      <c r="F8" s="5" t="s">
        <v>0</v>
      </c>
      <c r="G8" s="5" t="s">
        <v>2</v>
      </c>
      <c r="H8" s="5" t="s">
        <v>7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 t="str">
        <v>2020-11-03</v>
      </c>
      <c r="B9" s="1">
        <v>2345</v>
      </c>
      <c r="C9" s="1">
        <v>210.24</v>
      </c>
      <c r="D9" s="1">
        <v>89.65</v>
      </c>
      <c r="F9" s="6">
        <f t="shared" ref="F9:F72" si="0">DATE(LEFT(A9,4),MID(A9,6,2),RIGHT(A9,2))</f>
        <v>44138</v>
      </c>
      <c r="G9" s="8">
        <f t="shared" ref="G9:G72" si="1">D9</f>
        <v>89.65</v>
      </c>
      <c r="H9" s="8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 t="str">
        <v>2020-11-04</v>
      </c>
      <c r="B10" s="1">
        <v>2629</v>
      </c>
      <c r="C10" s="1">
        <v>336.37</v>
      </c>
      <c r="D10" s="1">
        <v>127.94</v>
      </c>
      <c r="F10" s="6">
        <f t="shared" si="0"/>
        <v>44139</v>
      </c>
      <c r="G10" s="8">
        <f t="shared" si="1"/>
        <v>127.94</v>
      </c>
      <c r="H10" s="8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2020-11-05</v>
      </c>
      <c r="B11" s="1">
        <v>16669</v>
      </c>
      <c r="C11" s="1">
        <v>2685.84</v>
      </c>
      <c r="D11" s="1">
        <v>161.13</v>
      </c>
      <c r="F11" s="6">
        <f t="shared" si="0"/>
        <v>44140</v>
      </c>
      <c r="G11" s="8">
        <f t="shared" si="1"/>
        <v>161.13</v>
      </c>
      <c r="H11" s="8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2020-11-06</v>
      </c>
      <c r="B12" s="1">
        <v>57936</v>
      </c>
      <c r="C12" s="1">
        <v>21133.81</v>
      </c>
      <c r="D12" s="1">
        <v>364.78</v>
      </c>
      <c r="F12" s="6">
        <f t="shared" si="0"/>
        <v>44141</v>
      </c>
      <c r="G12" s="8">
        <f t="shared" si="1"/>
        <v>364.78</v>
      </c>
      <c r="H12" s="8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2020-11-07</v>
      </c>
      <c r="B13" s="1">
        <v>11089</v>
      </c>
      <c r="C13" s="1">
        <v>2333.89</v>
      </c>
      <c r="D13" s="1">
        <v>210.47</v>
      </c>
      <c r="F13" s="6">
        <f t="shared" si="0"/>
        <v>44142</v>
      </c>
      <c r="G13" s="8">
        <f t="shared" si="1"/>
        <v>210.47</v>
      </c>
      <c r="H13" s="8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2020-11-08</v>
      </c>
      <c r="B14" s="1">
        <v>7049</v>
      </c>
      <c r="C14" s="1">
        <v>1493.58</v>
      </c>
      <c r="D14" s="1">
        <v>211.88</v>
      </c>
      <c r="F14" s="6">
        <f t="shared" si="0"/>
        <v>44143</v>
      </c>
      <c r="G14" s="8">
        <f t="shared" si="1"/>
        <v>211.88</v>
      </c>
      <c r="H14" s="8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2020-11-09</v>
      </c>
      <c r="B15" s="1">
        <v>88184</v>
      </c>
      <c r="C15" s="1">
        <v>37004.03</v>
      </c>
      <c r="D15" s="1">
        <v>419.62</v>
      </c>
      <c r="F15" s="6">
        <f t="shared" si="0"/>
        <v>44144</v>
      </c>
      <c r="G15" s="8">
        <f t="shared" si="1"/>
        <v>419.62</v>
      </c>
      <c r="H15" s="8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2020-11-10</v>
      </c>
      <c r="B16" s="1">
        <v>135444</v>
      </c>
      <c r="C16" s="1">
        <v>55316.78</v>
      </c>
      <c r="D16" s="1">
        <v>408.41</v>
      </c>
      <c r="F16" s="6">
        <f t="shared" si="0"/>
        <v>44145</v>
      </c>
      <c r="G16" s="8">
        <f t="shared" si="1"/>
        <v>408.41</v>
      </c>
      <c r="H16" s="8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2020-11-11</v>
      </c>
      <c r="B17" s="1">
        <v>216871</v>
      </c>
      <c r="C17" s="1">
        <v>85757.62</v>
      </c>
      <c r="D17" s="1">
        <v>395.43</v>
      </c>
      <c r="F17" s="6">
        <f t="shared" si="0"/>
        <v>44146</v>
      </c>
      <c r="G17" s="8">
        <f t="shared" si="1"/>
        <v>395.43</v>
      </c>
      <c r="H17" s="8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2020-11-12</v>
      </c>
      <c r="B18" s="1">
        <v>288401</v>
      </c>
      <c r="C18" s="1">
        <v>118321.97</v>
      </c>
      <c r="D18" s="1">
        <v>410.27</v>
      </c>
      <c r="F18" s="6">
        <f t="shared" si="0"/>
        <v>44147</v>
      </c>
      <c r="G18" s="8">
        <f t="shared" si="1"/>
        <v>410.27</v>
      </c>
      <c r="H18" s="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2020-11-13</v>
      </c>
      <c r="B19" s="1">
        <v>675142</v>
      </c>
      <c r="C19" s="1">
        <v>334582.87</v>
      </c>
      <c r="D19" s="1">
        <v>495.57</v>
      </c>
      <c r="F19" s="6">
        <f t="shared" si="0"/>
        <v>44148</v>
      </c>
      <c r="G19" s="8">
        <f t="shared" si="1"/>
        <v>495.57</v>
      </c>
      <c r="H19" s="8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2020-11-14</v>
      </c>
      <c r="B20" s="1">
        <v>247320</v>
      </c>
      <c r="C20" s="1">
        <v>75222.740000000005</v>
      </c>
      <c r="D20" s="1">
        <v>304.14999999999998</v>
      </c>
      <c r="F20" s="6">
        <f t="shared" si="0"/>
        <v>44149</v>
      </c>
      <c r="G20" s="8">
        <f t="shared" si="1"/>
        <v>304.14999999999998</v>
      </c>
      <c r="H20" s="8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2020-11-15</v>
      </c>
      <c r="B21" s="1">
        <v>161228</v>
      </c>
      <c r="C21" s="1">
        <v>49204.61</v>
      </c>
      <c r="D21" s="1">
        <v>305.19</v>
      </c>
      <c r="F21" s="6">
        <f t="shared" si="0"/>
        <v>44150</v>
      </c>
      <c r="G21" s="8">
        <f t="shared" si="1"/>
        <v>305.19</v>
      </c>
      <c r="H21" s="8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2020-11-16</v>
      </c>
      <c r="B22" s="1">
        <v>1515848</v>
      </c>
      <c r="C22" s="1">
        <v>971013.58</v>
      </c>
      <c r="D22" s="1">
        <v>640.57000000000005</v>
      </c>
      <c r="F22" s="6">
        <f t="shared" si="0"/>
        <v>44151</v>
      </c>
      <c r="G22" s="8">
        <f t="shared" si="1"/>
        <v>640.57000000000005</v>
      </c>
      <c r="H22" s="8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2020-11-17</v>
      </c>
      <c r="B23" s="1">
        <v>1599192</v>
      </c>
      <c r="C23" s="1">
        <v>1215901.44</v>
      </c>
      <c r="D23" s="1">
        <v>760.32</v>
      </c>
      <c r="F23" s="6">
        <f t="shared" si="0"/>
        <v>44152</v>
      </c>
      <c r="G23" s="8">
        <f t="shared" si="1"/>
        <v>760.32</v>
      </c>
      <c r="H23" s="8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2020-11-18</v>
      </c>
      <c r="B24" s="1">
        <v>1551002</v>
      </c>
      <c r="C24" s="1">
        <v>1535833.34</v>
      </c>
      <c r="D24" s="1">
        <v>990.22</v>
      </c>
      <c r="F24" s="6">
        <f t="shared" si="0"/>
        <v>44153</v>
      </c>
      <c r="G24" s="8">
        <f t="shared" si="1"/>
        <v>990.22</v>
      </c>
      <c r="H24" s="8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2020-11-19</v>
      </c>
      <c r="B25" s="1">
        <v>1638797</v>
      </c>
      <c r="C25" s="1">
        <v>1710098.64</v>
      </c>
      <c r="D25" s="1">
        <v>1043.51</v>
      </c>
      <c r="F25" s="6">
        <f t="shared" si="0"/>
        <v>44154</v>
      </c>
      <c r="G25" s="8">
        <f t="shared" si="1"/>
        <v>1043.51</v>
      </c>
      <c r="H25" s="8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2020-11-20</v>
      </c>
      <c r="B26" s="1">
        <v>1957506</v>
      </c>
      <c r="C26" s="1">
        <v>1824187.41</v>
      </c>
      <c r="D26" s="1">
        <v>931.89</v>
      </c>
      <c r="F26" s="6">
        <f t="shared" si="0"/>
        <v>44155</v>
      </c>
      <c r="G26" s="8">
        <f t="shared" si="1"/>
        <v>931.89</v>
      </c>
      <c r="H26" s="8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2020-11-21</v>
      </c>
      <c r="B27" s="1">
        <v>1217467</v>
      </c>
      <c r="C27" s="1">
        <v>417082.25</v>
      </c>
      <c r="D27" s="1">
        <v>342.58</v>
      </c>
      <c r="F27" s="6">
        <f t="shared" si="0"/>
        <v>44156</v>
      </c>
      <c r="G27" s="8">
        <f t="shared" si="1"/>
        <v>342.58</v>
      </c>
      <c r="H27" s="8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2020-11-22</v>
      </c>
      <c r="B28" s="1">
        <v>889213</v>
      </c>
      <c r="C28" s="1">
        <v>268648.17</v>
      </c>
      <c r="D28" s="1">
        <v>302.12</v>
      </c>
      <c r="F28" s="6">
        <f t="shared" si="0"/>
        <v>44157</v>
      </c>
      <c r="G28" s="8">
        <f t="shared" si="1"/>
        <v>302.12</v>
      </c>
      <c r="H28" s="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2020-11-23</v>
      </c>
      <c r="B29" s="1">
        <v>1972991</v>
      </c>
      <c r="C29" s="1">
        <v>2167485.89</v>
      </c>
      <c r="D29" s="1">
        <v>1098.58</v>
      </c>
      <c r="F29" s="6">
        <f t="shared" si="0"/>
        <v>44158</v>
      </c>
      <c r="G29" s="8">
        <f t="shared" si="1"/>
        <v>1098.58</v>
      </c>
      <c r="H29" s="8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2020-11-24</v>
      </c>
      <c r="B30" s="1">
        <v>1873269</v>
      </c>
      <c r="C30" s="1">
        <v>1887517.32</v>
      </c>
      <c r="D30" s="1">
        <v>1007.61</v>
      </c>
      <c r="F30" s="6">
        <f t="shared" si="0"/>
        <v>44159</v>
      </c>
      <c r="G30" s="8">
        <f t="shared" si="1"/>
        <v>1007.61</v>
      </c>
      <c r="H30" s="8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2020-11-25</v>
      </c>
      <c r="B31" s="1">
        <v>2069499</v>
      </c>
      <c r="C31" s="1">
        <v>2405210.63</v>
      </c>
      <c r="D31" s="1">
        <v>1162.22</v>
      </c>
      <c r="F31" s="6">
        <f t="shared" si="0"/>
        <v>44160</v>
      </c>
      <c r="G31" s="8">
        <f t="shared" si="1"/>
        <v>1162.22</v>
      </c>
      <c r="H31" s="8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2020-11-26</v>
      </c>
      <c r="B32" s="1">
        <v>1990462</v>
      </c>
      <c r="C32" s="1">
        <v>2299506.0499999998</v>
      </c>
      <c r="D32" s="1">
        <v>1155.26</v>
      </c>
      <c r="F32" s="6">
        <f t="shared" si="0"/>
        <v>44161</v>
      </c>
      <c r="G32" s="8">
        <f t="shared" si="1"/>
        <v>1155.26</v>
      </c>
      <c r="H32" s="8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2020-11-27</v>
      </c>
      <c r="B33" s="1">
        <v>2639482</v>
      </c>
      <c r="C33" s="1">
        <v>2890943.52</v>
      </c>
      <c r="D33" s="1">
        <v>1095.27</v>
      </c>
      <c r="F33" s="6">
        <f t="shared" si="0"/>
        <v>44162</v>
      </c>
      <c r="G33" s="8">
        <f t="shared" si="1"/>
        <v>1095.27</v>
      </c>
      <c r="H33" s="8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2020-11-28</v>
      </c>
      <c r="B34" s="1">
        <v>1934940</v>
      </c>
      <c r="C34" s="1">
        <v>789826.32</v>
      </c>
      <c r="D34" s="1">
        <v>408.19</v>
      </c>
      <c r="F34" s="6">
        <f t="shared" si="0"/>
        <v>44163</v>
      </c>
      <c r="G34" s="8">
        <f t="shared" si="1"/>
        <v>408.19</v>
      </c>
      <c r="H34" s="8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2020-11-29</v>
      </c>
      <c r="B35" s="1">
        <v>1264607</v>
      </c>
      <c r="C35" s="1">
        <v>437297.85</v>
      </c>
      <c r="D35" s="1">
        <v>345.8</v>
      </c>
      <c r="F35" s="6">
        <f t="shared" si="0"/>
        <v>44164</v>
      </c>
      <c r="G35" s="8">
        <f t="shared" si="1"/>
        <v>345.8</v>
      </c>
      <c r="H35" s="8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2020-11-30</v>
      </c>
      <c r="B36" s="1">
        <v>3500313</v>
      </c>
      <c r="C36" s="1">
        <v>4265689.59</v>
      </c>
      <c r="D36" s="1">
        <v>1218.6600000000001</v>
      </c>
      <c r="F36" s="6">
        <f t="shared" si="0"/>
        <v>44165</v>
      </c>
      <c r="G36" s="8">
        <f t="shared" si="1"/>
        <v>1218.6600000000001</v>
      </c>
      <c r="H36" s="8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2020-12-01</v>
      </c>
      <c r="B37" s="1">
        <v>3433475</v>
      </c>
      <c r="C37" s="1">
        <v>3749325.94</v>
      </c>
      <c r="D37" s="1">
        <v>1091.99</v>
      </c>
      <c r="F37" s="6">
        <f t="shared" si="0"/>
        <v>44166</v>
      </c>
      <c r="G37" s="8">
        <f t="shared" si="1"/>
        <v>1091.99</v>
      </c>
      <c r="H37" s="8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2020-12-02</v>
      </c>
      <c r="B38" s="1">
        <v>3177418</v>
      </c>
      <c r="C38" s="1">
        <v>3142714.99</v>
      </c>
      <c r="D38" s="1">
        <v>989.08</v>
      </c>
      <c r="F38" s="6">
        <f t="shared" si="0"/>
        <v>44167</v>
      </c>
      <c r="G38" s="8">
        <f t="shared" si="1"/>
        <v>989.08</v>
      </c>
      <c r="H38" s="8">
        <f t="shared" ref="H38:H101" si="2">AVERAGE(G9:G38)</f>
        <v>616.27866666666682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2020-12-03</v>
      </c>
      <c r="B39" s="1">
        <v>3069529</v>
      </c>
      <c r="C39" s="1">
        <v>3238651.74</v>
      </c>
      <c r="D39" s="1">
        <v>1055.0999999999999</v>
      </c>
      <c r="F39" s="6">
        <f t="shared" si="0"/>
        <v>44168</v>
      </c>
      <c r="G39" s="8">
        <f t="shared" si="1"/>
        <v>1055.0999999999999</v>
      </c>
      <c r="H39" s="8">
        <f t="shared" si="2"/>
        <v>648.46033333333332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2020-12-04</v>
      </c>
      <c r="B40" s="1">
        <v>4377506</v>
      </c>
      <c r="C40" s="1">
        <v>4604368.93</v>
      </c>
      <c r="D40" s="1">
        <v>1051.82</v>
      </c>
      <c r="F40" s="6">
        <f t="shared" si="0"/>
        <v>44169</v>
      </c>
      <c r="G40" s="8">
        <f t="shared" si="1"/>
        <v>1051.82</v>
      </c>
      <c r="H40" s="8">
        <f t="shared" si="2"/>
        <v>679.25633333333337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2020-12-05</v>
      </c>
      <c r="B41" s="1">
        <v>2640884</v>
      </c>
      <c r="C41" s="1">
        <v>1042062</v>
      </c>
      <c r="D41" s="1">
        <v>394.59</v>
      </c>
      <c r="F41" s="6">
        <f t="shared" si="0"/>
        <v>44170</v>
      </c>
      <c r="G41" s="8">
        <f t="shared" si="1"/>
        <v>394.59</v>
      </c>
      <c r="H41" s="8">
        <f t="shared" si="2"/>
        <v>687.03833333333341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2020-12-06</v>
      </c>
      <c r="B42" s="1">
        <v>1726674</v>
      </c>
      <c r="C42" s="1">
        <v>595987.80000000005</v>
      </c>
      <c r="D42" s="1">
        <v>345.17</v>
      </c>
      <c r="F42" s="6">
        <f t="shared" si="0"/>
        <v>44171</v>
      </c>
      <c r="G42" s="8">
        <f t="shared" si="1"/>
        <v>345.17</v>
      </c>
      <c r="H42" s="8">
        <f t="shared" si="2"/>
        <v>686.3846666666667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2020-12-07</v>
      </c>
      <c r="B43" s="1">
        <v>4019110</v>
      </c>
      <c r="C43" s="1">
        <v>4527911.05</v>
      </c>
      <c r="D43" s="1">
        <v>1126.5999999999999</v>
      </c>
      <c r="F43" s="6">
        <f t="shared" si="0"/>
        <v>44172</v>
      </c>
      <c r="G43" s="8">
        <f t="shared" si="1"/>
        <v>1126.5999999999999</v>
      </c>
      <c r="H43" s="8">
        <f t="shared" si="2"/>
        <v>716.92233333333331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2020-12-08</v>
      </c>
      <c r="B44" s="1">
        <v>3836662</v>
      </c>
      <c r="C44" s="1">
        <v>3449241.91</v>
      </c>
      <c r="D44" s="1">
        <v>899.02</v>
      </c>
      <c r="F44" s="6">
        <f t="shared" si="0"/>
        <v>44173</v>
      </c>
      <c r="G44" s="8">
        <f t="shared" si="1"/>
        <v>899.02</v>
      </c>
      <c r="H44" s="8">
        <f t="shared" si="2"/>
        <v>739.82699999999988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2020-12-09</v>
      </c>
      <c r="B45" s="1">
        <v>4030272</v>
      </c>
      <c r="C45" s="1">
        <v>3727354.1</v>
      </c>
      <c r="D45" s="1">
        <v>924.84</v>
      </c>
      <c r="F45" s="6">
        <f t="shared" si="0"/>
        <v>44174</v>
      </c>
      <c r="G45" s="8">
        <f t="shared" si="1"/>
        <v>924.84</v>
      </c>
      <c r="H45" s="8">
        <f t="shared" si="2"/>
        <v>756.66766666666661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2020-12-10</v>
      </c>
      <c r="B46" s="1">
        <v>4246652</v>
      </c>
      <c r="C46" s="1">
        <v>4271782.47</v>
      </c>
      <c r="D46" s="1">
        <v>1005.92</v>
      </c>
      <c r="F46" s="6">
        <f t="shared" si="0"/>
        <v>44175</v>
      </c>
      <c r="G46" s="8">
        <f t="shared" si="1"/>
        <v>1005.92</v>
      </c>
      <c r="H46" s="8">
        <f t="shared" si="2"/>
        <v>776.58466666666641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2020-12-11</v>
      </c>
      <c r="B47" s="1">
        <v>4270741</v>
      </c>
      <c r="C47" s="1">
        <v>4170689.95</v>
      </c>
      <c r="D47" s="1">
        <v>976.57</v>
      </c>
      <c r="F47" s="6">
        <f t="shared" si="0"/>
        <v>44176</v>
      </c>
      <c r="G47" s="8">
        <f t="shared" si="1"/>
        <v>976.57</v>
      </c>
      <c r="H47" s="8">
        <f t="shared" si="2"/>
        <v>795.95599999999979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2020-12-12</v>
      </c>
      <c r="B48" s="1">
        <v>3137715</v>
      </c>
      <c r="C48" s="1">
        <v>1063724.77</v>
      </c>
      <c r="D48" s="1">
        <v>339.01</v>
      </c>
      <c r="F48" s="6">
        <f t="shared" si="0"/>
        <v>44177</v>
      </c>
      <c r="G48" s="8">
        <f t="shared" si="1"/>
        <v>339.01</v>
      </c>
      <c r="H48" s="8">
        <f t="shared" si="2"/>
        <v>793.5806666666665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2020-12-13</v>
      </c>
      <c r="B49" s="1">
        <v>1827014</v>
      </c>
      <c r="C49" s="1">
        <v>547498.84</v>
      </c>
      <c r="D49" s="1">
        <v>299.67</v>
      </c>
      <c r="F49" s="6">
        <f t="shared" si="0"/>
        <v>44178</v>
      </c>
      <c r="G49" s="8">
        <f t="shared" si="1"/>
        <v>299.67</v>
      </c>
      <c r="H49" s="8">
        <f t="shared" si="2"/>
        <v>787.05066666666642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2020-12-14</v>
      </c>
      <c r="B50" s="1">
        <v>4479740</v>
      </c>
      <c r="C50" s="1">
        <v>4761114.4400000004</v>
      </c>
      <c r="D50" s="1">
        <v>1062.81</v>
      </c>
      <c r="F50" s="6">
        <f t="shared" si="0"/>
        <v>44179</v>
      </c>
      <c r="G50" s="8">
        <f t="shared" si="1"/>
        <v>1062.81</v>
      </c>
      <c r="H50" s="8">
        <f t="shared" si="2"/>
        <v>812.33933333333312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2020-12-15</v>
      </c>
      <c r="B51" s="1">
        <v>4925857</v>
      </c>
      <c r="C51" s="1">
        <v>5347981.72</v>
      </c>
      <c r="D51" s="1">
        <v>1085.7</v>
      </c>
      <c r="F51" s="6">
        <f t="shared" si="0"/>
        <v>44180</v>
      </c>
      <c r="G51" s="8">
        <f t="shared" si="1"/>
        <v>1085.7</v>
      </c>
      <c r="H51" s="8">
        <f t="shared" si="2"/>
        <v>838.35633333333317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2020-12-16</v>
      </c>
      <c r="B52" s="1">
        <v>4678531</v>
      </c>
      <c r="C52" s="1">
        <v>4263257.1500000004</v>
      </c>
      <c r="D52" s="1">
        <v>911.24</v>
      </c>
      <c r="F52" s="6">
        <f t="shared" si="0"/>
        <v>44181</v>
      </c>
      <c r="G52" s="8">
        <f t="shared" si="1"/>
        <v>911.24</v>
      </c>
      <c r="H52" s="8">
        <f t="shared" si="2"/>
        <v>847.37866666666639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2020-12-17</v>
      </c>
      <c r="B53" s="1">
        <v>4606031</v>
      </c>
      <c r="C53" s="1">
        <v>4479670.1900000004</v>
      </c>
      <c r="D53" s="1">
        <v>972.57</v>
      </c>
      <c r="F53" s="6">
        <f t="shared" si="0"/>
        <v>44182</v>
      </c>
      <c r="G53" s="8">
        <f t="shared" si="1"/>
        <v>972.57</v>
      </c>
      <c r="H53" s="8">
        <f t="shared" si="2"/>
        <v>854.45366666666655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2020-12-18</v>
      </c>
      <c r="B54" s="1">
        <v>6596876</v>
      </c>
      <c r="C54" s="1">
        <v>6595479</v>
      </c>
      <c r="D54" s="1">
        <v>999.79</v>
      </c>
      <c r="F54" s="6">
        <f t="shared" si="0"/>
        <v>44183</v>
      </c>
      <c r="G54" s="8">
        <f t="shared" si="1"/>
        <v>999.79</v>
      </c>
      <c r="H54" s="8">
        <f t="shared" si="2"/>
        <v>854.77266666666662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2020-12-19</v>
      </c>
      <c r="B55" s="1">
        <v>3821515</v>
      </c>
      <c r="C55" s="1">
        <v>1350547.52</v>
      </c>
      <c r="D55" s="1">
        <v>353.41</v>
      </c>
      <c r="F55" s="6">
        <f t="shared" si="0"/>
        <v>44184</v>
      </c>
      <c r="G55" s="8">
        <f t="shared" si="1"/>
        <v>353.41</v>
      </c>
      <c r="H55" s="8">
        <f t="shared" si="2"/>
        <v>831.76933333333329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2020-12-20</v>
      </c>
      <c r="B56" s="1">
        <v>2910300</v>
      </c>
      <c r="C56" s="1">
        <v>901678.35</v>
      </c>
      <c r="D56" s="1">
        <v>309.82</v>
      </c>
      <c r="F56" s="6">
        <f t="shared" si="0"/>
        <v>44185</v>
      </c>
      <c r="G56" s="8">
        <f t="shared" si="1"/>
        <v>309.82</v>
      </c>
      <c r="H56" s="8">
        <f t="shared" si="2"/>
        <v>811.03366666666659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2020-12-21</v>
      </c>
      <c r="B57" s="1">
        <v>5958775</v>
      </c>
      <c r="C57" s="1">
        <v>5922064.9000000004</v>
      </c>
      <c r="D57" s="1">
        <v>993.84</v>
      </c>
      <c r="F57" s="6">
        <f t="shared" si="0"/>
        <v>44186</v>
      </c>
      <c r="G57" s="8">
        <f t="shared" si="1"/>
        <v>993.84</v>
      </c>
      <c r="H57" s="8">
        <f t="shared" si="2"/>
        <v>832.74233333333336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2020-12-22</v>
      </c>
      <c r="B58" s="1">
        <v>5565693</v>
      </c>
      <c r="C58" s="1">
        <v>4993481.79</v>
      </c>
      <c r="D58" s="1">
        <v>897.19</v>
      </c>
      <c r="F58" s="6">
        <f t="shared" si="0"/>
        <v>44187</v>
      </c>
      <c r="G58" s="8">
        <f t="shared" si="1"/>
        <v>897.19</v>
      </c>
      <c r="H58" s="8">
        <f t="shared" si="2"/>
        <v>852.57799999999997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 t="str">
        <v>2020-12-23</v>
      </c>
      <c r="B59" s="1">
        <v>6050946</v>
      </c>
      <c r="C59" s="1">
        <v>5792354.0199999996</v>
      </c>
      <c r="D59" s="1">
        <v>957.26</v>
      </c>
      <c r="F59" s="6">
        <f t="shared" si="0"/>
        <v>44188</v>
      </c>
      <c r="G59" s="8">
        <f t="shared" si="1"/>
        <v>957.26</v>
      </c>
      <c r="H59" s="8">
        <f t="shared" si="2"/>
        <v>847.86733333333336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 t="str">
        <v>2020-12-24</v>
      </c>
      <c r="B60" s="1">
        <v>4174981</v>
      </c>
      <c r="C60" s="1">
        <v>2933145.86</v>
      </c>
      <c r="D60" s="1">
        <v>702.55</v>
      </c>
      <c r="F60" s="6">
        <f t="shared" si="0"/>
        <v>44189</v>
      </c>
      <c r="G60" s="8">
        <f t="shared" si="1"/>
        <v>702.55</v>
      </c>
      <c r="H60" s="8">
        <f t="shared" si="2"/>
        <v>837.69866666666667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 t="str">
        <v>2020-12-25</v>
      </c>
      <c r="B61" s="1">
        <v>1622897</v>
      </c>
      <c r="C61" s="1">
        <v>590867.68000000005</v>
      </c>
      <c r="D61" s="1">
        <v>364.08</v>
      </c>
      <c r="F61" s="6">
        <f t="shared" si="0"/>
        <v>44190</v>
      </c>
      <c r="G61" s="8">
        <f t="shared" si="1"/>
        <v>364.08</v>
      </c>
      <c r="H61" s="8">
        <f t="shared" si="2"/>
        <v>811.09399999999994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 t="str">
        <v>2020-12-26</v>
      </c>
      <c r="B62" s="1">
        <v>2602030</v>
      </c>
      <c r="C62" s="1">
        <v>842506.54</v>
      </c>
      <c r="D62" s="1">
        <v>323.79000000000002</v>
      </c>
      <c r="F62" s="6">
        <f t="shared" si="0"/>
        <v>44191</v>
      </c>
      <c r="G62" s="8">
        <f t="shared" si="1"/>
        <v>323.79000000000002</v>
      </c>
      <c r="H62" s="8">
        <f t="shared" si="2"/>
        <v>783.37833333333344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 t="str">
        <v>2020-12-27</v>
      </c>
      <c r="B63" s="1">
        <v>1935748</v>
      </c>
      <c r="C63" s="1">
        <v>569565.5</v>
      </c>
      <c r="D63" s="1">
        <v>294.24</v>
      </c>
      <c r="F63" s="6">
        <f t="shared" si="0"/>
        <v>44192</v>
      </c>
      <c r="G63" s="8">
        <f t="shared" si="1"/>
        <v>294.24</v>
      </c>
      <c r="H63" s="8">
        <f t="shared" si="2"/>
        <v>756.67733333333342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 t="str">
        <v>2020-12-28</v>
      </c>
      <c r="B64" s="1">
        <v>5133292</v>
      </c>
      <c r="C64" s="1">
        <v>6022395.0099999998</v>
      </c>
      <c r="D64" s="1">
        <v>1173.2</v>
      </c>
      <c r="F64" s="6">
        <f t="shared" si="0"/>
        <v>44193</v>
      </c>
      <c r="G64" s="8">
        <f t="shared" si="1"/>
        <v>1173.2</v>
      </c>
      <c r="H64" s="8">
        <f t="shared" si="2"/>
        <v>782.17766666666671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 t="str">
        <v>2020-12-29</v>
      </c>
      <c r="B65" s="1">
        <v>5668721</v>
      </c>
      <c r="C65" s="1">
        <v>5506344.3600000003</v>
      </c>
      <c r="D65" s="1">
        <v>971.36</v>
      </c>
      <c r="F65" s="6">
        <f t="shared" si="0"/>
        <v>44194</v>
      </c>
      <c r="G65" s="8">
        <f t="shared" si="1"/>
        <v>971.36</v>
      </c>
      <c r="H65" s="8">
        <f t="shared" si="2"/>
        <v>803.0296666666668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 t="str">
        <v>2020-12-30</v>
      </c>
      <c r="B66" s="1">
        <v>6255656</v>
      </c>
      <c r="C66" s="1">
        <v>6014866</v>
      </c>
      <c r="D66" s="1">
        <v>961.51</v>
      </c>
      <c r="F66" s="6">
        <f t="shared" si="0"/>
        <v>44195</v>
      </c>
      <c r="G66" s="8">
        <f t="shared" si="1"/>
        <v>961.51</v>
      </c>
      <c r="H66" s="8">
        <f t="shared" si="2"/>
        <v>794.45800000000008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 t="str">
        <v>2020-12-31</v>
      </c>
      <c r="B67" s="1">
        <v>4109712</v>
      </c>
      <c r="C67" s="1">
        <v>2182091.4700000002</v>
      </c>
      <c r="D67" s="1">
        <v>530.96</v>
      </c>
      <c r="F67" s="6">
        <f t="shared" si="0"/>
        <v>44196</v>
      </c>
      <c r="G67" s="8">
        <f t="shared" si="1"/>
        <v>530.96</v>
      </c>
      <c r="H67" s="8">
        <f t="shared" si="2"/>
        <v>775.75699999999995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 t="str">
        <v>2021-01-01</v>
      </c>
      <c r="B68" s="1">
        <v>1577421</v>
      </c>
      <c r="C68" s="1">
        <v>610710.91</v>
      </c>
      <c r="D68" s="1">
        <v>387.16</v>
      </c>
      <c r="F68" s="6">
        <f t="shared" si="0"/>
        <v>44197</v>
      </c>
      <c r="G68" s="8">
        <f t="shared" si="1"/>
        <v>387.16</v>
      </c>
      <c r="H68" s="8">
        <f t="shared" si="2"/>
        <v>755.69299999999998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 t="str">
        <v>2021-01-02</v>
      </c>
      <c r="B69" s="1">
        <v>2451605</v>
      </c>
      <c r="C69" s="1">
        <v>817741.44</v>
      </c>
      <c r="D69" s="1">
        <v>333.55</v>
      </c>
      <c r="F69" s="6">
        <f t="shared" si="0"/>
        <v>44198</v>
      </c>
      <c r="G69" s="8">
        <f t="shared" si="1"/>
        <v>333.55</v>
      </c>
      <c r="H69" s="8">
        <f t="shared" si="2"/>
        <v>731.64133333333336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 t="str">
        <v>2021-01-03</v>
      </c>
      <c r="B70" s="1">
        <v>2061213</v>
      </c>
      <c r="C70" s="1">
        <v>668476.06999999995</v>
      </c>
      <c r="D70" s="1">
        <v>324.31</v>
      </c>
      <c r="F70" s="6">
        <f t="shared" si="0"/>
        <v>44199</v>
      </c>
      <c r="G70" s="8">
        <f t="shared" si="1"/>
        <v>324.31</v>
      </c>
      <c r="H70" s="8">
        <f t="shared" si="2"/>
        <v>707.39099999999996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 t="str">
        <v>2021-01-04</v>
      </c>
      <c r="B71" s="1">
        <v>5935544</v>
      </c>
      <c r="C71" s="1">
        <v>7772210.3300000001</v>
      </c>
      <c r="D71" s="1">
        <v>1309.44</v>
      </c>
      <c r="F71" s="6">
        <f t="shared" si="0"/>
        <v>44200</v>
      </c>
      <c r="G71" s="8">
        <f t="shared" si="1"/>
        <v>1309.44</v>
      </c>
      <c r="H71" s="8">
        <f t="shared" si="2"/>
        <v>737.88599999999997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 t="str">
        <v>2021-01-05</v>
      </c>
      <c r="B72" s="1">
        <v>6655576</v>
      </c>
      <c r="C72" s="1">
        <v>6438224.8700000001</v>
      </c>
      <c r="D72" s="1">
        <v>967.34</v>
      </c>
      <c r="F72" s="6">
        <f t="shared" si="0"/>
        <v>44201</v>
      </c>
      <c r="G72" s="8">
        <f t="shared" si="1"/>
        <v>967.34</v>
      </c>
      <c r="H72" s="8">
        <f t="shared" si="2"/>
        <v>758.625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 t="str">
        <v>2021-01-06</v>
      </c>
      <c r="B73" s="1">
        <v>6264677</v>
      </c>
      <c r="C73" s="1">
        <v>5668543.0800000001</v>
      </c>
      <c r="D73" s="1">
        <v>904.84</v>
      </c>
      <c r="F73" s="6">
        <f t="shared" ref="F73:F136" si="3">DATE(LEFT(A73,4),MID(A73,6,2),RIGHT(A73,2))</f>
        <v>44202</v>
      </c>
      <c r="G73" s="8">
        <f t="shared" ref="G73:G136" si="4">D73</f>
        <v>904.84</v>
      </c>
      <c r="H73" s="8">
        <f t="shared" si="2"/>
        <v>751.23299999999995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 t="str">
        <v>2021-01-07</v>
      </c>
      <c r="B74" s="1">
        <v>7430684</v>
      </c>
      <c r="C74" s="1">
        <v>6732860.3600000003</v>
      </c>
      <c r="D74" s="1">
        <v>906.09</v>
      </c>
      <c r="F74" s="6">
        <f t="shared" si="3"/>
        <v>44203</v>
      </c>
      <c r="G74" s="8">
        <f t="shared" si="4"/>
        <v>906.09</v>
      </c>
      <c r="H74" s="8">
        <f t="shared" si="2"/>
        <v>751.46866666666654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 t="str">
        <v>2021-01-08</v>
      </c>
      <c r="B75" s="1">
        <v>8062044</v>
      </c>
      <c r="C75" s="1">
        <v>7083097.4500000002</v>
      </c>
      <c r="D75" s="1">
        <v>878.57</v>
      </c>
      <c r="F75" s="6">
        <f t="shared" si="3"/>
        <v>44204</v>
      </c>
      <c r="G75" s="8">
        <f t="shared" si="4"/>
        <v>878.57</v>
      </c>
      <c r="H75" s="8">
        <f t="shared" si="2"/>
        <v>749.92633333333333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 t="str">
        <v>2021-01-09</v>
      </c>
      <c r="B76" s="1">
        <v>4522432</v>
      </c>
      <c r="C76" s="1">
        <v>1567788.87</v>
      </c>
      <c r="D76" s="1">
        <v>346.67</v>
      </c>
      <c r="F76" s="6">
        <f t="shared" si="3"/>
        <v>44205</v>
      </c>
      <c r="G76" s="8">
        <f t="shared" si="4"/>
        <v>346.67</v>
      </c>
      <c r="H76" s="8">
        <f t="shared" si="2"/>
        <v>727.9513333333332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 t="str">
        <v>2021-01-10</v>
      </c>
      <c r="B77" s="1">
        <v>2826034</v>
      </c>
      <c r="C77" s="1">
        <v>935035.68</v>
      </c>
      <c r="D77" s="1">
        <v>330.86</v>
      </c>
      <c r="F77" s="6">
        <f t="shared" si="3"/>
        <v>44206</v>
      </c>
      <c r="G77" s="8">
        <f t="shared" si="4"/>
        <v>330.86</v>
      </c>
      <c r="H77" s="8">
        <f t="shared" si="2"/>
        <v>706.4276666666666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 t="str">
        <v>2021-01-11</v>
      </c>
      <c r="B78" s="1">
        <v>7463448</v>
      </c>
      <c r="C78" s="1">
        <v>7323638.6399999997</v>
      </c>
      <c r="D78" s="1">
        <v>981.27</v>
      </c>
      <c r="F78" s="6">
        <f t="shared" si="3"/>
        <v>44207</v>
      </c>
      <c r="G78" s="8">
        <f t="shared" si="4"/>
        <v>981.27</v>
      </c>
      <c r="H78" s="8">
        <f t="shared" si="2"/>
        <v>727.8363333333333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 t="str">
        <v>2021-01-12</v>
      </c>
      <c r="B79" s="1">
        <v>6276577</v>
      </c>
      <c r="C79" s="1">
        <v>5667021.0199999996</v>
      </c>
      <c r="D79" s="1">
        <v>902.88</v>
      </c>
      <c r="F79" s="6">
        <f t="shared" si="3"/>
        <v>44208</v>
      </c>
      <c r="G79" s="8">
        <f t="shared" si="4"/>
        <v>902.88</v>
      </c>
      <c r="H79" s="8">
        <f t="shared" si="2"/>
        <v>747.94333333333338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 t="str">
        <v>2021-01-13</v>
      </c>
      <c r="B80" s="1">
        <v>5805840</v>
      </c>
      <c r="C80" s="1">
        <v>5199900.2</v>
      </c>
      <c r="D80" s="1">
        <v>895.63</v>
      </c>
      <c r="F80" s="6">
        <f t="shared" si="3"/>
        <v>44209</v>
      </c>
      <c r="G80" s="8">
        <f t="shared" si="4"/>
        <v>895.63</v>
      </c>
      <c r="H80" s="8">
        <f t="shared" si="2"/>
        <v>742.37066666666681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 t="str">
        <v>2021-01-14</v>
      </c>
      <c r="B81" s="1">
        <v>5703042</v>
      </c>
      <c r="C81" s="1">
        <v>5131747.17</v>
      </c>
      <c r="D81" s="1">
        <v>899.83</v>
      </c>
      <c r="F81" s="6">
        <f t="shared" si="3"/>
        <v>44210</v>
      </c>
      <c r="G81" s="8">
        <f t="shared" si="4"/>
        <v>899.83</v>
      </c>
      <c r="H81" s="8">
        <f t="shared" si="2"/>
        <v>736.17500000000007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 t="str">
        <v>2021-01-15</v>
      </c>
      <c r="B82" s="1">
        <v>7415667</v>
      </c>
      <c r="C82" s="1">
        <v>6936586.8399999999</v>
      </c>
      <c r="D82" s="1">
        <v>935.4</v>
      </c>
      <c r="F82" s="6">
        <f t="shared" si="3"/>
        <v>44211</v>
      </c>
      <c r="G82" s="8">
        <f t="shared" si="4"/>
        <v>935.4</v>
      </c>
      <c r="H82" s="8">
        <f t="shared" si="2"/>
        <v>736.98033333333353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 t="str">
        <v>2021-01-16</v>
      </c>
      <c r="B83" s="1">
        <v>4261864</v>
      </c>
      <c r="C83" s="1">
        <v>1357616.01</v>
      </c>
      <c r="D83" s="1">
        <v>318.55</v>
      </c>
      <c r="F83" s="6">
        <f t="shared" si="3"/>
        <v>44212</v>
      </c>
      <c r="G83" s="8">
        <f t="shared" si="4"/>
        <v>318.55</v>
      </c>
      <c r="H83" s="8">
        <f t="shared" si="2"/>
        <v>715.17966666666678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 t="str">
        <v>2021-01-17</v>
      </c>
      <c r="B84" s="1">
        <v>2477355</v>
      </c>
      <c r="C84" s="1">
        <v>691626.36</v>
      </c>
      <c r="D84" s="1">
        <v>279.18</v>
      </c>
      <c r="F84" s="6">
        <f t="shared" si="3"/>
        <v>44213</v>
      </c>
      <c r="G84" s="8">
        <f t="shared" si="4"/>
        <v>279.18</v>
      </c>
      <c r="H84" s="8">
        <f t="shared" si="2"/>
        <v>691.15933333333339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 t="str">
        <v>2021-01-18</v>
      </c>
      <c r="B85" s="1">
        <v>6271988</v>
      </c>
      <c r="C85" s="1">
        <v>6233589.2000000002</v>
      </c>
      <c r="D85" s="1">
        <v>993.88</v>
      </c>
      <c r="F85" s="6">
        <f t="shared" si="3"/>
        <v>44214</v>
      </c>
      <c r="G85" s="8">
        <f t="shared" si="4"/>
        <v>993.88</v>
      </c>
      <c r="H85" s="8">
        <f t="shared" si="2"/>
        <v>712.50833333333344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 t="str">
        <v>2021-01-19</v>
      </c>
      <c r="B86" s="1">
        <v>6374252</v>
      </c>
      <c r="C86" s="1">
        <v>5641803.8399999999</v>
      </c>
      <c r="D86" s="1">
        <v>885.09</v>
      </c>
      <c r="F86" s="6">
        <f t="shared" si="3"/>
        <v>44215</v>
      </c>
      <c r="G86" s="8">
        <f t="shared" si="4"/>
        <v>885.09</v>
      </c>
      <c r="H86" s="8">
        <f t="shared" si="2"/>
        <v>731.68400000000008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 t="str">
        <v>2021-01-20</v>
      </c>
      <c r="B87" s="1">
        <v>7523531</v>
      </c>
      <c r="C87" s="1">
        <v>6908177.5599999996</v>
      </c>
      <c r="D87" s="1">
        <v>918.21</v>
      </c>
      <c r="F87" s="6">
        <f t="shared" si="3"/>
        <v>44216</v>
      </c>
      <c r="G87" s="8">
        <f t="shared" si="4"/>
        <v>918.21</v>
      </c>
      <c r="H87" s="8">
        <f t="shared" si="2"/>
        <v>729.16300000000012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 t="str">
        <v>2021-01-21</v>
      </c>
      <c r="B88" s="1">
        <v>6612862</v>
      </c>
      <c r="C88" s="1">
        <v>5486086.8399999999</v>
      </c>
      <c r="D88" s="1">
        <v>829.61</v>
      </c>
      <c r="F88" s="6">
        <f t="shared" si="3"/>
        <v>44217</v>
      </c>
      <c r="G88" s="8">
        <f t="shared" si="4"/>
        <v>829.61</v>
      </c>
      <c r="H88" s="8">
        <f t="shared" si="2"/>
        <v>726.91033333333337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 t="str">
        <v>2021-01-22</v>
      </c>
      <c r="B89" s="1">
        <v>6826694</v>
      </c>
      <c r="C89" s="1">
        <v>6313862.6399999997</v>
      </c>
      <c r="D89" s="1">
        <v>924.88</v>
      </c>
      <c r="F89" s="6">
        <f t="shared" si="3"/>
        <v>44218</v>
      </c>
      <c r="G89" s="8">
        <f t="shared" si="4"/>
        <v>924.88</v>
      </c>
      <c r="H89" s="8">
        <f t="shared" si="2"/>
        <v>725.83100000000002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 t="str">
        <v>2021-01-23</v>
      </c>
      <c r="B90" s="1">
        <v>4377954</v>
      </c>
      <c r="C90" s="1">
        <v>1303385.7</v>
      </c>
      <c r="D90" s="1">
        <v>297.72000000000003</v>
      </c>
      <c r="F90" s="6">
        <f t="shared" si="3"/>
        <v>44219</v>
      </c>
      <c r="G90" s="8">
        <f t="shared" si="4"/>
        <v>297.72000000000003</v>
      </c>
      <c r="H90" s="8">
        <f t="shared" si="2"/>
        <v>712.3366666666667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 t="str">
        <v>2021-01-24</v>
      </c>
      <c r="B91" s="1">
        <v>2593246</v>
      </c>
      <c r="C91" s="1">
        <v>675172.02</v>
      </c>
      <c r="D91" s="1">
        <v>260.36</v>
      </c>
      <c r="F91" s="6">
        <f t="shared" si="3"/>
        <v>44220</v>
      </c>
      <c r="G91" s="8">
        <f t="shared" si="4"/>
        <v>260.36</v>
      </c>
      <c r="H91" s="8">
        <f t="shared" si="2"/>
        <v>708.87933333333342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 t="str">
        <v>2021-01-25</v>
      </c>
      <c r="B92" s="1">
        <v>6108034</v>
      </c>
      <c r="C92" s="1">
        <v>6238580.1500000004</v>
      </c>
      <c r="D92" s="1">
        <v>1021.37</v>
      </c>
      <c r="F92" s="6">
        <f t="shared" si="3"/>
        <v>44221</v>
      </c>
      <c r="G92" s="8">
        <f t="shared" si="4"/>
        <v>1021.37</v>
      </c>
      <c r="H92" s="8">
        <f t="shared" si="2"/>
        <v>732.13200000000006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 t="str">
        <v>2021-01-26</v>
      </c>
      <c r="B93" s="1">
        <v>6178365</v>
      </c>
      <c r="C93" s="1">
        <v>5979410.4100000001</v>
      </c>
      <c r="D93" s="1">
        <v>967.8</v>
      </c>
      <c r="F93" s="6">
        <f t="shared" si="3"/>
        <v>44222</v>
      </c>
      <c r="G93" s="8">
        <f t="shared" si="4"/>
        <v>967.8</v>
      </c>
      <c r="H93" s="8">
        <f t="shared" si="2"/>
        <v>754.58400000000006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 t="str">
        <v>2021-01-27</v>
      </c>
      <c r="B94" s="1">
        <v>6224330</v>
      </c>
      <c r="C94" s="1">
        <v>5538994.2400000002</v>
      </c>
      <c r="D94" s="1">
        <v>889.89</v>
      </c>
      <c r="F94" s="6">
        <f t="shared" si="3"/>
        <v>44223</v>
      </c>
      <c r="G94" s="8">
        <f t="shared" si="4"/>
        <v>889.89</v>
      </c>
      <c r="H94" s="8">
        <f t="shared" si="2"/>
        <v>745.14033333333327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 t="str">
        <v>2021-01-28</v>
      </c>
      <c r="B95" s="1">
        <v>6436942</v>
      </c>
      <c r="C95" s="1">
        <v>5846217.1600000001</v>
      </c>
      <c r="D95" s="1">
        <v>908.23</v>
      </c>
      <c r="F95" s="6">
        <f t="shared" si="3"/>
        <v>44224</v>
      </c>
      <c r="G95" s="8">
        <f t="shared" si="4"/>
        <v>908.23</v>
      </c>
      <c r="H95" s="8">
        <f t="shared" si="2"/>
        <v>743.03599999999994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 t="str">
        <v>2021-01-29</v>
      </c>
      <c r="B96" s="1">
        <v>8760453</v>
      </c>
      <c r="C96" s="1">
        <v>8542141.3000000007</v>
      </c>
      <c r="D96" s="1">
        <v>975.08</v>
      </c>
      <c r="F96" s="6">
        <f t="shared" si="3"/>
        <v>44225</v>
      </c>
      <c r="G96" s="8">
        <f t="shared" si="4"/>
        <v>975.08</v>
      </c>
      <c r="H96" s="8">
        <f t="shared" si="2"/>
        <v>743.48833333333323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 t="str">
        <v>2021-01-30</v>
      </c>
      <c r="B97" s="1">
        <v>5181591</v>
      </c>
      <c r="C97" s="1">
        <v>1685627.51</v>
      </c>
      <c r="D97" s="1">
        <v>325.31</v>
      </c>
      <c r="F97" s="6">
        <f t="shared" si="3"/>
        <v>44226</v>
      </c>
      <c r="G97" s="8">
        <f t="shared" si="4"/>
        <v>325.31</v>
      </c>
      <c r="H97" s="8">
        <f t="shared" si="2"/>
        <v>736.63333333333333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 t="str">
        <v>2021-01-31</v>
      </c>
      <c r="B98" s="1">
        <v>3104842</v>
      </c>
      <c r="C98" s="1">
        <v>923683.46</v>
      </c>
      <c r="D98" s="1">
        <v>297.5</v>
      </c>
      <c r="F98" s="6">
        <f t="shared" si="3"/>
        <v>44227</v>
      </c>
      <c r="G98" s="8">
        <f t="shared" si="4"/>
        <v>297.5</v>
      </c>
      <c r="H98" s="8">
        <f t="shared" si="2"/>
        <v>733.64466666666669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 t="str">
        <v>2021-02-01</v>
      </c>
      <c r="B99" s="1">
        <v>8283643</v>
      </c>
      <c r="C99" s="1">
        <v>8287126.7400000002</v>
      </c>
      <c r="D99" s="1">
        <v>1000.42</v>
      </c>
      <c r="F99" s="6">
        <f t="shared" si="3"/>
        <v>44228</v>
      </c>
      <c r="G99" s="8">
        <f t="shared" si="4"/>
        <v>1000.42</v>
      </c>
      <c r="H99" s="8">
        <f t="shared" si="2"/>
        <v>755.87366666666651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 t="str">
        <v>2021-02-02</v>
      </c>
      <c r="B100" s="1">
        <v>8050791</v>
      </c>
      <c r="C100" s="1">
        <v>6798450.4800000004</v>
      </c>
      <c r="D100" s="1">
        <v>844.45</v>
      </c>
      <c r="F100" s="6">
        <f t="shared" si="3"/>
        <v>44229</v>
      </c>
      <c r="G100" s="8">
        <f t="shared" si="4"/>
        <v>844.45</v>
      </c>
      <c r="H100" s="8">
        <f t="shared" si="2"/>
        <v>773.21166666666659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 t="str">
        <v>2021-02-03</v>
      </c>
      <c r="B101" s="1">
        <v>7907948</v>
      </c>
      <c r="C101" s="1">
        <v>6760698.3700000001</v>
      </c>
      <c r="D101" s="1">
        <v>854.92</v>
      </c>
      <c r="F101" s="6">
        <f t="shared" si="3"/>
        <v>44230</v>
      </c>
      <c r="G101" s="8">
        <f t="shared" si="4"/>
        <v>854.92</v>
      </c>
      <c r="H101" s="8">
        <f t="shared" si="2"/>
        <v>758.06099999999992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 t="str">
        <v>2021-02-04</v>
      </c>
      <c r="B102" s="1">
        <v>8239245</v>
      </c>
      <c r="C102" s="1">
        <v>7002028.3899999997</v>
      </c>
      <c r="D102" s="1">
        <v>849.84</v>
      </c>
      <c r="F102" s="6">
        <f t="shared" si="3"/>
        <v>44231</v>
      </c>
      <c r="G102" s="8">
        <f t="shared" si="4"/>
        <v>849.84</v>
      </c>
      <c r="H102" s="8">
        <f t="shared" ref="H102:H165" si="5">AVERAGE(G73:G102)</f>
        <v>754.14433333333341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 t="str">
        <v>2021-02-05</v>
      </c>
      <c r="B103" s="1">
        <v>13185267</v>
      </c>
      <c r="C103" s="1">
        <v>11395309.48</v>
      </c>
      <c r="D103" s="1">
        <v>864.25</v>
      </c>
      <c r="F103" s="6">
        <f t="shared" si="3"/>
        <v>44232</v>
      </c>
      <c r="G103" s="8">
        <f t="shared" si="4"/>
        <v>864.25</v>
      </c>
      <c r="H103" s="8">
        <f t="shared" si="5"/>
        <v>752.79133333333334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 t="str">
        <v>2021-02-06</v>
      </c>
      <c r="B104" s="1">
        <v>6972369</v>
      </c>
      <c r="C104" s="1">
        <v>2255536.5299999998</v>
      </c>
      <c r="D104" s="1">
        <v>323.5</v>
      </c>
      <c r="F104" s="6">
        <f t="shared" si="3"/>
        <v>44233</v>
      </c>
      <c r="G104" s="8">
        <f t="shared" si="4"/>
        <v>323.5</v>
      </c>
      <c r="H104" s="8">
        <f t="shared" si="5"/>
        <v>733.37166666666656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 t="str">
        <v>2021-02-07</v>
      </c>
      <c r="B105" s="1">
        <v>3961858</v>
      </c>
      <c r="C105" s="1">
        <v>1127914.27</v>
      </c>
      <c r="D105" s="1">
        <v>284.69</v>
      </c>
      <c r="F105" s="6">
        <f t="shared" si="3"/>
        <v>44234</v>
      </c>
      <c r="G105" s="8">
        <f t="shared" si="4"/>
        <v>284.69</v>
      </c>
      <c r="H105" s="8">
        <f t="shared" si="5"/>
        <v>713.57566666666639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 t="str">
        <v>2021-02-08</v>
      </c>
      <c r="B106" s="1">
        <v>10178783</v>
      </c>
      <c r="C106" s="1">
        <v>8608986.7799999993</v>
      </c>
      <c r="D106" s="1">
        <v>845.78</v>
      </c>
      <c r="F106" s="6">
        <f t="shared" si="3"/>
        <v>44235</v>
      </c>
      <c r="G106" s="8">
        <f t="shared" si="4"/>
        <v>845.78</v>
      </c>
      <c r="H106" s="8">
        <f t="shared" si="5"/>
        <v>730.21266666666645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 t="str">
        <v>2021-02-09</v>
      </c>
      <c r="B107" s="1">
        <v>10180755</v>
      </c>
      <c r="C107" s="1">
        <v>7641001.1200000001</v>
      </c>
      <c r="D107" s="1">
        <v>750.53</v>
      </c>
      <c r="F107" s="6">
        <f t="shared" si="3"/>
        <v>44236</v>
      </c>
      <c r="G107" s="8">
        <f t="shared" si="4"/>
        <v>750.53</v>
      </c>
      <c r="H107" s="8">
        <f t="shared" si="5"/>
        <v>744.20166666666637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 t="str">
        <v>2021-02-10</v>
      </c>
      <c r="B108" s="1">
        <v>10679222</v>
      </c>
      <c r="C108" s="1">
        <v>8963515.9399999995</v>
      </c>
      <c r="D108" s="1">
        <v>839.34</v>
      </c>
      <c r="F108" s="6">
        <f t="shared" si="3"/>
        <v>44237</v>
      </c>
      <c r="G108" s="8">
        <f t="shared" si="4"/>
        <v>839.34</v>
      </c>
      <c r="H108" s="8">
        <f t="shared" si="5"/>
        <v>739.47066666666638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 t="str">
        <v>2021-02-11</v>
      </c>
      <c r="B109" s="1">
        <v>8119021</v>
      </c>
      <c r="C109" s="1">
        <v>6544735.6299999999</v>
      </c>
      <c r="D109" s="1">
        <v>806.1</v>
      </c>
      <c r="F109" s="6">
        <f t="shared" si="3"/>
        <v>44238</v>
      </c>
      <c r="G109" s="8">
        <f t="shared" si="4"/>
        <v>806.1</v>
      </c>
      <c r="H109" s="8">
        <f t="shared" si="5"/>
        <v>736.24466666666638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 t="str">
        <v>2021-02-12</v>
      </c>
      <c r="B110" s="1">
        <v>10596529</v>
      </c>
      <c r="C110" s="1">
        <v>9326962.8000000007</v>
      </c>
      <c r="D110" s="1">
        <v>880.19</v>
      </c>
      <c r="F110" s="6">
        <f t="shared" si="3"/>
        <v>44239</v>
      </c>
      <c r="G110" s="8">
        <f t="shared" si="4"/>
        <v>880.19</v>
      </c>
      <c r="H110" s="8">
        <f t="shared" si="5"/>
        <v>735.72999999999968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 t="str">
        <v>2021-02-13</v>
      </c>
      <c r="B111" s="1">
        <v>6300178</v>
      </c>
      <c r="C111" s="1">
        <v>1927211.05</v>
      </c>
      <c r="D111" s="1">
        <v>305.89999999999998</v>
      </c>
      <c r="F111" s="6">
        <f t="shared" si="3"/>
        <v>44240</v>
      </c>
      <c r="G111" s="8">
        <f t="shared" si="4"/>
        <v>305.89999999999998</v>
      </c>
      <c r="H111" s="8">
        <f t="shared" si="5"/>
        <v>715.93233333333308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 t="str">
        <v>2021-02-14</v>
      </c>
      <c r="B112" s="1">
        <v>3667793</v>
      </c>
      <c r="C112" s="1">
        <v>955804.69</v>
      </c>
      <c r="D112" s="1">
        <v>260.58999999999997</v>
      </c>
      <c r="F112" s="6">
        <f t="shared" si="3"/>
        <v>44241</v>
      </c>
      <c r="G112" s="8">
        <f t="shared" si="4"/>
        <v>260.58999999999997</v>
      </c>
      <c r="H112" s="8">
        <f t="shared" si="5"/>
        <v>693.43866666666668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 t="str">
        <v>2021-02-15</v>
      </c>
      <c r="B113" s="1">
        <v>6911188</v>
      </c>
      <c r="C113" s="1">
        <v>3603607.83</v>
      </c>
      <c r="D113" s="1">
        <v>521.41999999999996</v>
      </c>
      <c r="F113" s="6">
        <f t="shared" si="3"/>
        <v>44242</v>
      </c>
      <c r="G113" s="8">
        <f t="shared" si="4"/>
        <v>521.41999999999996</v>
      </c>
      <c r="H113" s="8">
        <f t="shared" si="5"/>
        <v>700.20099999999979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 t="str">
        <v>2021-02-16</v>
      </c>
      <c r="B114" s="1">
        <v>5807263</v>
      </c>
      <c r="C114" s="1">
        <v>2349340.9</v>
      </c>
      <c r="D114" s="1">
        <v>404.55</v>
      </c>
      <c r="F114" s="6">
        <f t="shared" si="3"/>
        <v>44243</v>
      </c>
      <c r="G114" s="8">
        <f t="shared" si="4"/>
        <v>404.55</v>
      </c>
      <c r="H114" s="8">
        <f t="shared" si="5"/>
        <v>704.37999999999988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 t="str">
        <v>2021-02-17</v>
      </c>
      <c r="B115" s="1">
        <v>8801944</v>
      </c>
      <c r="C115" s="1">
        <v>9352777.75</v>
      </c>
      <c r="D115" s="1">
        <v>1062.58</v>
      </c>
      <c r="F115" s="6">
        <f t="shared" si="3"/>
        <v>44244</v>
      </c>
      <c r="G115" s="8">
        <f t="shared" si="4"/>
        <v>1062.58</v>
      </c>
      <c r="H115" s="8">
        <f t="shared" si="5"/>
        <v>706.67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 t="str">
        <v>2021-02-18</v>
      </c>
      <c r="B116" s="1">
        <v>9285846</v>
      </c>
      <c r="C116" s="1">
        <v>7944232.5199999996</v>
      </c>
      <c r="D116" s="1">
        <v>855.52</v>
      </c>
      <c r="F116" s="6">
        <f t="shared" si="3"/>
        <v>44245</v>
      </c>
      <c r="G116" s="8">
        <f t="shared" si="4"/>
        <v>855.52</v>
      </c>
      <c r="H116" s="8">
        <f t="shared" si="5"/>
        <v>705.68433333333337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 t="str">
        <v>2021-02-19</v>
      </c>
      <c r="B117" s="1">
        <v>11148558</v>
      </c>
      <c r="C117" s="1">
        <v>8879118.2599999998</v>
      </c>
      <c r="D117" s="1">
        <v>796.44</v>
      </c>
      <c r="F117" s="6">
        <f t="shared" si="3"/>
        <v>44246</v>
      </c>
      <c r="G117" s="8">
        <f t="shared" si="4"/>
        <v>796.44</v>
      </c>
      <c r="H117" s="8">
        <f t="shared" si="5"/>
        <v>701.6253333333334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 t="str">
        <v>2021-02-20</v>
      </c>
      <c r="B118" s="1">
        <v>6831039</v>
      </c>
      <c r="C118" s="1">
        <v>2026088.2</v>
      </c>
      <c r="D118" s="1">
        <v>296.60000000000002</v>
      </c>
      <c r="F118" s="6">
        <f t="shared" si="3"/>
        <v>44247</v>
      </c>
      <c r="G118" s="8">
        <f t="shared" si="4"/>
        <v>296.60000000000002</v>
      </c>
      <c r="H118" s="8">
        <f t="shared" si="5"/>
        <v>683.85833333333335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 t="str">
        <v>2021-02-21</v>
      </c>
      <c r="B119" s="1">
        <v>3920144</v>
      </c>
      <c r="C119" s="1">
        <v>965281.45</v>
      </c>
      <c r="D119" s="1">
        <v>246.24</v>
      </c>
      <c r="F119" s="6">
        <f t="shared" si="3"/>
        <v>44248</v>
      </c>
      <c r="G119" s="8">
        <f t="shared" si="4"/>
        <v>246.24</v>
      </c>
      <c r="H119" s="8">
        <f t="shared" si="5"/>
        <v>661.23700000000019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 t="str">
        <v>2021-02-22</v>
      </c>
      <c r="B120" s="1">
        <v>9732717</v>
      </c>
      <c r="C120" s="1">
        <v>9484308.1500000004</v>
      </c>
      <c r="D120" s="1">
        <v>974.48</v>
      </c>
      <c r="F120" s="6">
        <f t="shared" si="3"/>
        <v>44249</v>
      </c>
      <c r="G120" s="8">
        <f t="shared" si="4"/>
        <v>974.48</v>
      </c>
      <c r="H120" s="8">
        <f t="shared" si="5"/>
        <v>683.79566666666676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 t="str">
        <v>2021-02-23</v>
      </c>
      <c r="B121" s="1">
        <v>9033199</v>
      </c>
      <c r="C121" s="1">
        <v>7514962.5099999998</v>
      </c>
      <c r="D121" s="1">
        <v>831.93</v>
      </c>
      <c r="F121" s="6">
        <f t="shared" si="3"/>
        <v>44250</v>
      </c>
      <c r="G121" s="8">
        <f t="shared" si="4"/>
        <v>831.93</v>
      </c>
      <c r="H121" s="8">
        <f t="shared" si="5"/>
        <v>702.84800000000007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 t="str">
        <v>2021-02-24</v>
      </c>
      <c r="B122" s="1">
        <v>8775564</v>
      </c>
      <c r="C122" s="1">
        <v>7043316.2199999997</v>
      </c>
      <c r="D122" s="1">
        <v>802.61</v>
      </c>
      <c r="F122" s="6">
        <f t="shared" si="3"/>
        <v>44251</v>
      </c>
      <c r="G122" s="8">
        <f t="shared" si="4"/>
        <v>802.61</v>
      </c>
      <c r="H122" s="8">
        <f t="shared" si="5"/>
        <v>695.55600000000004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 t="str">
        <v>2021-02-25</v>
      </c>
      <c r="B123" s="1">
        <v>8985272</v>
      </c>
      <c r="C123" s="1">
        <v>8130893.8200000003</v>
      </c>
      <c r="D123" s="1">
        <v>904.91</v>
      </c>
      <c r="F123" s="6">
        <f t="shared" si="3"/>
        <v>44252</v>
      </c>
      <c r="G123" s="8">
        <f t="shared" si="4"/>
        <v>904.91</v>
      </c>
      <c r="H123" s="8">
        <f t="shared" si="5"/>
        <v>693.45966666666675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 t="str">
        <v>2021-02-26</v>
      </c>
      <c r="B124" s="1">
        <v>11897931</v>
      </c>
      <c r="C124" s="1">
        <v>11097480.199999999</v>
      </c>
      <c r="D124" s="1">
        <v>932.72</v>
      </c>
      <c r="F124" s="6">
        <f t="shared" si="3"/>
        <v>44253</v>
      </c>
      <c r="G124" s="8">
        <f t="shared" si="4"/>
        <v>932.72</v>
      </c>
      <c r="H124" s="8">
        <f t="shared" si="5"/>
        <v>694.88733333333346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 t="str">
        <v>2021-02-27</v>
      </c>
      <c r="B125" s="1">
        <v>7337695</v>
      </c>
      <c r="C125" s="1">
        <v>2305342.58</v>
      </c>
      <c r="D125" s="1">
        <v>314.18</v>
      </c>
      <c r="F125" s="6">
        <f t="shared" si="3"/>
        <v>44254</v>
      </c>
      <c r="G125" s="8">
        <f t="shared" si="4"/>
        <v>314.18</v>
      </c>
      <c r="H125" s="8">
        <f t="shared" si="5"/>
        <v>675.08566666666673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 t="str">
        <v>2021-02-28</v>
      </c>
      <c r="B126" s="1">
        <v>4626212</v>
      </c>
      <c r="C126" s="1">
        <v>1313209.78</v>
      </c>
      <c r="D126" s="1">
        <v>283.86</v>
      </c>
      <c r="F126" s="6">
        <f t="shared" si="3"/>
        <v>44255</v>
      </c>
      <c r="G126" s="8">
        <f t="shared" si="4"/>
        <v>283.86</v>
      </c>
      <c r="H126" s="8">
        <f t="shared" si="5"/>
        <v>652.04500000000007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 t="str">
        <v>2021-03-01</v>
      </c>
      <c r="B127" s="1">
        <v>11347173</v>
      </c>
      <c r="C127" s="1">
        <v>11304643.460000001</v>
      </c>
      <c r="D127" s="1">
        <v>996.25</v>
      </c>
      <c r="F127" s="6">
        <f t="shared" si="3"/>
        <v>44256</v>
      </c>
      <c r="G127" s="8">
        <f t="shared" si="4"/>
        <v>996.25</v>
      </c>
      <c r="H127" s="8">
        <f t="shared" si="5"/>
        <v>674.40966666666668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 t="str">
        <v>2021-03-02</v>
      </c>
      <c r="B128" s="1">
        <v>11102218</v>
      </c>
      <c r="C128" s="1">
        <v>9114573.8399999999</v>
      </c>
      <c r="D128" s="1">
        <v>820.97</v>
      </c>
      <c r="F128" s="6">
        <f t="shared" si="3"/>
        <v>44257</v>
      </c>
      <c r="G128" s="8">
        <f t="shared" si="4"/>
        <v>820.97</v>
      </c>
      <c r="H128" s="8">
        <f t="shared" si="5"/>
        <v>691.85866666666675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 t="str">
        <v>2021-03-03</v>
      </c>
      <c r="B129" s="1">
        <v>10616330</v>
      </c>
      <c r="C129" s="1">
        <v>8432363.0099999998</v>
      </c>
      <c r="D129" s="1">
        <v>794.28</v>
      </c>
      <c r="F129" s="6">
        <f t="shared" si="3"/>
        <v>44258</v>
      </c>
      <c r="G129" s="8">
        <f t="shared" si="4"/>
        <v>794.28</v>
      </c>
      <c r="H129" s="8">
        <f t="shared" si="5"/>
        <v>684.98733333333337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 t="str">
        <v>2021-03-04</v>
      </c>
      <c r="B130" s="1">
        <v>10798392</v>
      </c>
      <c r="C130" s="1">
        <v>9222008.9199999999</v>
      </c>
      <c r="D130" s="1">
        <v>854.02</v>
      </c>
      <c r="F130" s="6">
        <f t="shared" si="3"/>
        <v>44259</v>
      </c>
      <c r="G130" s="8">
        <f t="shared" si="4"/>
        <v>854.02</v>
      </c>
      <c r="H130" s="8">
        <f t="shared" si="5"/>
        <v>685.30633333333344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 t="str">
        <v>2021-03-05</v>
      </c>
      <c r="B131" s="1">
        <v>16335450</v>
      </c>
      <c r="C131" s="1">
        <v>13654324.960000001</v>
      </c>
      <c r="D131" s="1">
        <v>835.87</v>
      </c>
      <c r="F131" s="6">
        <f t="shared" si="3"/>
        <v>44260</v>
      </c>
      <c r="G131" s="8">
        <f t="shared" si="4"/>
        <v>835.87</v>
      </c>
      <c r="H131" s="8">
        <f t="shared" si="5"/>
        <v>684.67133333333345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 t="str">
        <v>2021-03-06</v>
      </c>
      <c r="B132" s="1">
        <v>8924639</v>
      </c>
      <c r="C132" s="1">
        <v>2935670.29</v>
      </c>
      <c r="D132" s="1">
        <v>328.94</v>
      </c>
      <c r="F132" s="6">
        <f t="shared" si="3"/>
        <v>44261</v>
      </c>
      <c r="G132" s="8">
        <f t="shared" si="4"/>
        <v>328.94</v>
      </c>
      <c r="H132" s="8">
        <f t="shared" si="5"/>
        <v>667.30800000000011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 t="str">
        <v>2021-03-07</v>
      </c>
      <c r="B133" s="1">
        <v>5683600</v>
      </c>
      <c r="C133" s="1">
        <v>1606468.54</v>
      </c>
      <c r="D133" s="1">
        <v>282.64999999999998</v>
      </c>
      <c r="F133" s="6">
        <f t="shared" si="3"/>
        <v>44262</v>
      </c>
      <c r="G133" s="8">
        <f t="shared" si="4"/>
        <v>282.64999999999998</v>
      </c>
      <c r="H133" s="8">
        <f t="shared" si="5"/>
        <v>647.92133333333334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 t="str">
        <v>2021-03-08</v>
      </c>
      <c r="B134" s="1">
        <v>13401774</v>
      </c>
      <c r="C134" s="1">
        <v>10823709.49</v>
      </c>
      <c r="D134" s="1">
        <v>807.63</v>
      </c>
      <c r="F134" s="6">
        <f t="shared" si="3"/>
        <v>44263</v>
      </c>
      <c r="G134" s="8">
        <f t="shared" si="4"/>
        <v>807.63</v>
      </c>
      <c r="H134" s="8">
        <f t="shared" si="5"/>
        <v>664.05899999999997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 t="str">
        <v>2021-03-09</v>
      </c>
      <c r="B135" s="1">
        <v>12595330</v>
      </c>
      <c r="C135" s="1">
        <v>9256848.4199999999</v>
      </c>
      <c r="D135" s="1">
        <v>734.94</v>
      </c>
      <c r="F135" s="6">
        <f t="shared" si="3"/>
        <v>44264</v>
      </c>
      <c r="G135" s="8">
        <f t="shared" si="4"/>
        <v>734.94</v>
      </c>
      <c r="H135" s="8">
        <f t="shared" si="5"/>
        <v>679.06733333333329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 t="str">
        <v>2021-03-10</v>
      </c>
      <c r="B136" s="1">
        <v>13464664</v>
      </c>
      <c r="C136" s="1">
        <v>10828316.98</v>
      </c>
      <c r="D136" s="1">
        <v>804.2</v>
      </c>
      <c r="F136" s="6">
        <f t="shared" si="3"/>
        <v>44265</v>
      </c>
      <c r="G136" s="8">
        <f t="shared" si="4"/>
        <v>804.2</v>
      </c>
      <c r="H136" s="8">
        <f t="shared" si="5"/>
        <v>677.68133333333333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 t="str">
        <v>2021-03-11</v>
      </c>
      <c r="B137" s="1">
        <v>11232254</v>
      </c>
      <c r="C137" s="1">
        <v>8786136.6099999994</v>
      </c>
      <c r="D137" s="1">
        <v>782.22</v>
      </c>
      <c r="F137" s="6">
        <f t="shared" ref="F137:F200" si="6">DATE(LEFT(A137,4),MID(A137,6,2),RIGHT(A137,2))</f>
        <v>44266</v>
      </c>
      <c r="G137" s="8">
        <f t="shared" ref="G137:G200" si="7">D137</f>
        <v>782.22</v>
      </c>
      <c r="H137" s="8">
        <f t="shared" si="5"/>
        <v>678.73766666666677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 t="str">
        <v>2021-03-12</v>
      </c>
      <c r="B138" s="1">
        <v>12095634</v>
      </c>
      <c r="C138" s="1">
        <v>9479938.2300000004</v>
      </c>
      <c r="D138" s="1">
        <v>783.75</v>
      </c>
      <c r="F138" s="6">
        <f t="shared" si="6"/>
        <v>44267</v>
      </c>
      <c r="G138" s="8">
        <f t="shared" si="7"/>
        <v>783.75</v>
      </c>
      <c r="H138" s="8">
        <f t="shared" si="5"/>
        <v>676.88466666666682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1:271" ht="15" x14ac:dyDescent="0.25">
      <c r="A139" s="1" t="str">
        <v>2021-03-13</v>
      </c>
      <c r="B139" s="1">
        <v>7968781</v>
      </c>
      <c r="C139" s="1">
        <v>2382429.63</v>
      </c>
      <c r="D139" s="1">
        <v>298.97000000000003</v>
      </c>
      <c r="F139" s="6">
        <f t="shared" si="6"/>
        <v>44268</v>
      </c>
      <c r="G139" s="8">
        <f t="shared" si="7"/>
        <v>298.97000000000003</v>
      </c>
      <c r="H139" s="8">
        <f t="shared" si="5"/>
        <v>659.98033333333342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</row>
    <row r="140" spans="1:271" ht="15" x14ac:dyDescent="0.25">
      <c r="A140" s="1" t="str">
        <v>2021-03-14</v>
      </c>
      <c r="B140" s="1">
        <v>4802850</v>
      </c>
      <c r="C140" s="1">
        <v>1237954.94</v>
      </c>
      <c r="D140" s="1">
        <v>257.75</v>
      </c>
      <c r="F140" s="6">
        <f t="shared" si="6"/>
        <v>44269</v>
      </c>
      <c r="G140" s="8">
        <f t="shared" si="7"/>
        <v>257.75</v>
      </c>
      <c r="H140" s="8">
        <f t="shared" si="5"/>
        <v>639.23233333333349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</row>
    <row r="141" spans="1:271" ht="15" x14ac:dyDescent="0.25">
      <c r="A141" s="1" t="str">
        <v>2021-03-15</v>
      </c>
      <c r="B141" s="1">
        <v>12834733</v>
      </c>
      <c r="C141" s="1">
        <v>11093474.33</v>
      </c>
      <c r="D141" s="1">
        <v>864.33</v>
      </c>
      <c r="F141" s="6">
        <f t="shared" si="6"/>
        <v>44270</v>
      </c>
      <c r="G141" s="8">
        <f t="shared" si="7"/>
        <v>864.33</v>
      </c>
      <c r="H141" s="8">
        <f t="shared" si="5"/>
        <v>657.84666666666681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1:271" ht="15" x14ac:dyDescent="0.25">
      <c r="A142" s="1" t="str">
        <v>2021-03-16</v>
      </c>
      <c r="B142" s="1">
        <v>11382263</v>
      </c>
      <c r="C142" s="1">
        <v>8644742.7100000009</v>
      </c>
      <c r="D142" s="1">
        <v>759.49</v>
      </c>
      <c r="F142" s="6">
        <f t="shared" si="6"/>
        <v>44271</v>
      </c>
      <c r="G142" s="8">
        <f t="shared" si="7"/>
        <v>759.49</v>
      </c>
      <c r="H142" s="8">
        <f t="shared" si="5"/>
        <v>674.47666666666692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1:271" ht="15" x14ac:dyDescent="0.25">
      <c r="A143" s="1" t="str">
        <v>2021-03-17</v>
      </c>
      <c r="B143" s="1">
        <v>10592852</v>
      </c>
      <c r="C143" s="1">
        <v>7777513.6799999997</v>
      </c>
      <c r="D143" s="1">
        <v>734.22</v>
      </c>
      <c r="F143" s="6">
        <f t="shared" si="6"/>
        <v>44272</v>
      </c>
      <c r="G143" s="8">
        <f t="shared" si="7"/>
        <v>734.22</v>
      </c>
      <c r="H143" s="8">
        <f t="shared" si="5"/>
        <v>681.57000000000028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1:271" ht="15" x14ac:dyDescent="0.25">
      <c r="A144" s="1" t="str">
        <v>2021-03-18</v>
      </c>
      <c r="B144" s="1">
        <v>10265969</v>
      </c>
      <c r="C144" s="1">
        <v>7739368.6500000004</v>
      </c>
      <c r="D144" s="1">
        <v>753.89</v>
      </c>
      <c r="F144" s="6">
        <f t="shared" si="6"/>
        <v>44273</v>
      </c>
      <c r="G144" s="8">
        <f t="shared" si="7"/>
        <v>753.89</v>
      </c>
      <c r="H144" s="8">
        <f t="shared" si="5"/>
        <v>693.21466666666686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1:152" ht="15" x14ac:dyDescent="0.25">
      <c r="A145" s="1" t="str">
        <v>2021-03-19</v>
      </c>
      <c r="B145" s="1">
        <v>12740172</v>
      </c>
      <c r="C145" s="1">
        <v>9666147.4900000002</v>
      </c>
      <c r="D145" s="1">
        <v>758.71</v>
      </c>
      <c r="F145" s="6">
        <f t="shared" si="6"/>
        <v>44274</v>
      </c>
      <c r="G145" s="8">
        <f t="shared" si="7"/>
        <v>758.71</v>
      </c>
      <c r="H145" s="8">
        <f t="shared" si="5"/>
        <v>683.08566666666673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1:152" ht="15" x14ac:dyDescent="0.25">
      <c r="A146" s="1" t="str">
        <v>2021-03-20</v>
      </c>
      <c r="B146" s="1">
        <v>8468007</v>
      </c>
      <c r="C146" s="1">
        <v>2372174.66</v>
      </c>
      <c r="D146" s="1">
        <v>280.13</v>
      </c>
      <c r="F146" s="6">
        <f t="shared" si="6"/>
        <v>44275</v>
      </c>
      <c r="G146" s="8">
        <f t="shared" si="7"/>
        <v>280.13</v>
      </c>
      <c r="H146" s="8">
        <f t="shared" si="5"/>
        <v>663.90600000000018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1:152" ht="15" x14ac:dyDescent="0.25">
      <c r="A147" s="1" t="str">
        <v>2021-03-21</v>
      </c>
      <c r="B147" s="1">
        <v>4978096</v>
      </c>
      <c r="C147" s="1">
        <v>1187646.8799999999</v>
      </c>
      <c r="D147" s="1">
        <v>238.57</v>
      </c>
      <c r="F147" s="6">
        <f t="shared" si="6"/>
        <v>44276</v>
      </c>
      <c r="G147" s="8">
        <f t="shared" si="7"/>
        <v>238.57</v>
      </c>
      <c r="H147" s="8">
        <f t="shared" si="5"/>
        <v>645.31033333333335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1:152" ht="15" x14ac:dyDescent="0.25">
      <c r="A148" s="1" t="str">
        <v>2021-03-22</v>
      </c>
      <c r="B148" s="1">
        <v>11720082</v>
      </c>
      <c r="C148" s="1">
        <v>10523475.59</v>
      </c>
      <c r="D148" s="1">
        <v>897.9</v>
      </c>
      <c r="F148" s="6">
        <f t="shared" si="6"/>
        <v>44277</v>
      </c>
      <c r="G148" s="8">
        <f t="shared" si="7"/>
        <v>897.9</v>
      </c>
      <c r="H148" s="8">
        <f t="shared" si="5"/>
        <v>665.35366666666664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1:152" ht="15" x14ac:dyDescent="0.25">
      <c r="A149" s="1" t="str">
        <v>2021-03-23</v>
      </c>
      <c r="B149" s="1">
        <v>10687860</v>
      </c>
      <c r="C149" s="1">
        <v>7947398.0099999998</v>
      </c>
      <c r="D149" s="1">
        <v>743.59</v>
      </c>
      <c r="F149" s="6">
        <f t="shared" si="6"/>
        <v>44278</v>
      </c>
      <c r="G149" s="8">
        <f t="shared" si="7"/>
        <v>743.59</v>
      </c>
      <c r="H149" s="8">
        <f t="shared" si="5"/>
        <v>681.93200000000002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1:152" ht="15" x14ac:dyDescent="0.25">
      <c r="A150" s="1" t="str">
        <v>2021-03-24</v>
      </c>
      <c r="B150" s="1">
        <v>10769070</v>
      </c>
      <c r="C150" s="1">
        <v>8077549.1299999999</v>
      </c>
      <c r="D150" s="1">
        <v>750.07</v>
      </c>
      <c r="F150" s="6">
        <f t="shared" si="6"/>
        <v>44279</v>
      </c>
      <c r="G150" s="8">
        <f t="shared" si="7"/>
        <v>750.07</v>
      </c>
      <c r="H150" s="8">
        <f t="shared" si="5"/>
        <v>674.4516666666666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1:152" ht="15" x14ac:dyDescent="0.25">
      <c r="A151" s="1" t="str">
        <v>2021-03-25</v>
      </c>
      <c r="B151" s="1">
        <v>11419576</v>
      </c>
      <c r="C151" s="1">
        <v>9217657.0299999993</v>
      </c>
      <c r="D151" s="1">
        <v>807.18</v>
      </c>
      <c r="F151" s="6">
        <f t="shared" si="6"/>
        <v>44280</v>
      </c>
      <c r="G151" s="8">
        <f t="shared" si="7"/>
        <v>807.18</v>
      </c>
      <c r="H151" s="8">
        <f t="shared" si="5"/>
        <v>673.62666666666667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1:152" ht="15" x14ac:dyDescent="0.25">
      <c r="A152" s="1" t="str">
        <v>2021-03-26</v>
      </c>
      <c r="B152" s="1">
        <v>11896345</v>
      </c>
      <c r="C152" s="1">
        <v>9018407.0500000007</v>
      </c>
      <c r="D152" s="1">
        <v>758.08</v>
      </c>
      <c r="F152" s="6">
        <f t="shared" si="6"/>
        <v>44281</v>
      </c>
      <c r="G152" s="8">
        <f t="shared" si="7"/>
        <v>758.08</v>
      </c>
      <c r="H152" s="8">
        <f t="shared" si="5"/>
        <v>672.14233333333323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1:152" ht="15" x14ac:dyDescent="0.25">
      <c r="A153" s="1" t="str">
        <v>2021-03-27</v>
      </c>
      <c r="B153" s="1">
        <v>7836423</v>
      </c>
      <c r="C153" s="1">
        <v>2137868.73</v>
      </c>
      <c r="D153" s="1">
        <v>272.81</v>
      </c>
      <c r="F153" s="6">
        <f t="shared" si="6"/>
        <v>44282</v>
      </c>
      <c r="G153" s="8">
        <f t="shared" si="7"/>
        <v>272.81</v>
      </c>
      <c r="H153" s="8">
        <f t="shared" si="5"/>
        <v>651.07233333333329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1:152" ht="15" x14ac:dyDescent="0.25">
      <c r="A154" s="1" t="str">
        <v>2021-03-28</v>
      </c>
      <c r="B154" s="1">
        <v>4830093</v>
      </c>
      <c r="C154" s="1">
        <v>1097370.92</v>
      </c>
      <c r="D154" s="1">
        <v>227.19</v>
      </c>
      <c r="F154" s="6">
        <f t="shared" si="6"/>
        <v>44283</v>
      </c>
      <c r="G154" s="8">
        <f t="shared" si="7"/>
        <v>227.19</v>
      </c>
      <c r="H154" s="8">
        <f t="shared" si="5"/>
        <v>627.55466666666666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1:152" ht="15" x14ac:dyDescent="0.25">
      <c r="A155" s="1" t="str">
        <v>2021-03-29</v>
      </c>
      <c r="B155" s="1">
        <v>10731951</v>
      </c>
      <c r="C155" s="1">
        <v>9803980.5700000003</v>
      </c>
      <c r="D155" s="1">
        <v>913.53</v>
      </c>
      <c r="F155" s="6">
        <f t="shared" si="6"/>
        <v>44284</v>
      </c>
      <c r="G155" s="8">
        <f t="shared" si="7"/>
        <v>913.53</v>
      </c>
      <c r="H155" s="8">
        <f t="shared" si="5"/>
        <v>647.5329999999999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1:152" ht="15" x14ac:dyDescent="0.25">
      <c r="A156" s="1" t="str">
        <v>2021-03-30</v>
      </c>
      <c r="B156" s="1">
        <v>12274293</v>
      </c>
      <c r="C156" s="1">
        <v>10425175.310000001</v>
      </c>
      <c r="D156" s="1">
        <v>849.35</v>
      </c>
      <c r="F156" s="6">
        <f t="shared" si="6"/>
        <v>44285</v>
      </c>
      <c r="G156" s="8">
        <f t="shared" si="7"/>
        <v>849.35</v>
      </c>
      <c r="H156" s="8">
        <f t="shared" si="5"/>
        <v>666.38266666666652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1:152" ht="15" x14ac:dyDescent="0.25">
      <c r="A157" s="1" t="str">
        <v>2021-03-31</v>
      </c>
      <c r="B157" s="1">
        <v>14662738</v>
      </c>
      <c r="C157" s="1">
        <v>12545432.199999999</v>
      </c>
      <c r="D157" s="1">
        <v>855.6</v>
      </c>
      <c r="F157" s="6">
        <f t="shared" si="6"/>
        <v>44286</v>
      </c>
      <c r="G157" s="8">
        <f t="shared" si="7"/>
        <v>855.6</v>
      </c>
      <c r="H157" s="8">
        <f t="shared" si="5"/>
        <v>661.69433333333313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1:152" ht="15" x14ac:dyDescent="0.25">
      <c r="A158" s="1" t="str">
        <v>2021-04-01</v>
      </c>
      <c r="B158" s="1">
        <v>16559387</v>
      </c>
      <c r="C158" s="1">
        <v>13531711.42</v>
      </c>
      <c r="D158" s="1">
        <v>817.16</v>
      </c>
      <c r="F158" s="6">
        <f t="shared" si="6"/>
        <v>44287</v>
      </c>
      <c r="G158" s="8">
        <f t="shared" si="7"/>
        <v>817.16</v>
      </c>
      <c r="H158" s="8">
        <f t="shared" si="5"/>
        <v>661.56733333333307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1:152" ht="15" x14ac:dyDescent="0.25">
      <c r="A159" s="1" t="str">
        <v>2021-04-02</v>
      </c>
      <c r="B159" s="1">
        <v>8213951</v>
      </c>
      <c r="C159" s="1">
        <v>2675455.83</v>
      </c>
      <c r="D159" s="1">
        <v>325.72000000000003</v>
      </c>
      <c r="F159" s="6">
        <f t="shared" si="6"/>
        <v>44288</v>
      </c>
      <c r="G159" s="8">
        <f t="shared" si="7"/>
        <v>325.72000000000003</v>
      </c>
      <c r="H159" s="8">
        <f t="shared" si="5"/>
        <v>645.94866666666655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1:152" ht="15" x14ac:dyDescent="0.25">
      <c r="A160" s="1" t="str">
        <v>2021-04-03</v>
      </c>
      <c r="B160" s="1">
        <v>9062830</v>
      </c>
      <c r="C160" s="1">
        <v>2301887.9300000002</v>
      </c>
      <c r="D160" s="1">
        <v>253.99</v>
      </c>
      <c r="F160" s="6">
        <f t="shared" si="6"/>
        <v>44289</v>
      </c>
      <c r="G160" s="8">
        <f t="shared" si="7"/>
        <v>253.99</v>
      </c>
      <c r="H160" s="8">
        <f t="shared" si="5"/>
        <v>625.94766666666669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1:152" ht="15" x14ac:dyDescent="0.25">
      <c r="A161" s="1" t="str">
        <v>2021-04-04</v>
      </c>
      <c r="B161" s="1">
        <v>5706667</v>
      </c>
      <c r="C161" s="1">
        <v>1398379.61</v>
      </c>
      <c r="D161" s="1">
        <v>245.04</v>
      </c>
      <c r="F161" s="6">
        <f t="shared" si="6"/>
        <v>44290</v>
      </c>
      <c r="G161" s="8">
        <f t="shared" si="7"/>
        <v>245.04</v>
      </c>
      <c r="H161" s="8">
        <f t="shared" si="5"/>
        <v>606.25333333333344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1:152" ht="15" x14ac:dyDescent="0.25">
      <c r="A162" s="1" t="str">
        <v>2021-04-05</v>
      </c>
      <c r="B162" s="1">
        <v>16289268</v>
      </c>
      <c r="C162" s="1">
        <v>14565114.310000001</v>
      </c>
      <c r="D162" s="1">
        <v>894.15</v>
      </c>
      <c r="F162" s="6">
        <f t="shared" si="6"/>
        <v>44291</v>
      </c>
      <c r="G162" s="8">
        <f t="shared" si="7"/>
        <v>894.15</v>
      </c>
      <c r="H162" s="8">
        <f t="shared" si="5"/>
        <v>625.09366666666688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1:152" ht="15" x14ac:dyDescent="0.25">
      <c r="A163" s="1" t="str">
        <v>2021-04-06</v>
      </c>
      <c r="B163" s="1">
        <v>15877274</v>
      </c>
      <c r="C163" s="1">
        <v>12200330.26</v>
      </c>
      <c r="D163" s="1">
        <v>768.41</v>
      </c>
      <c r="F163" s="6">
        <f t="shared" si="6"/>
        <v>44292</v>
      </c>
      <c r="G163" s="8">
        <f t="shared" si="7"/>
        <v>768.41</v>
      </c>
      <c r="H163" s="8">
        <f t="shared" si="5"/>
        <v>641.28566666666688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1:152" ht="15" x14ac:dyDescent="0.25">
      <c r="A164" s="1" t="str">
        <v>2021-04-07</v>
      </c>
      <c r="B164" s="1">
        <v>19398892</v>
      </c>
      <c r="C164" s="1">
        <v>13077243.77</v>
      </c>
      <c r="D164" s="1">
        <v>674.12</v>
      </c>
      <c r="F164" s="6">
        <f t="shared" si="6"/>
        <v>44293</v>
      </c>
      <c r="G164" s="8">
        <f t="shared" si="7"/>
        <v>674.12</v>
      </c>
      <c r="H164" s="8">
        <f t="shared" si="5"/>
        <v>636.83533333333332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1:152" ht="15" x14ac:dyDescent="0.25">
      <c r="A165" s="1" t="str">
        <v>2021-04-08</v>
      </c>
      <c r="B165" s="1">
        <v>17921836</v>
      </c>
      <c r="C165" s="1">
        <v>11787167.33</v>
      </c>
      <c r="D165" s="1">
        <v>657.7</v>
      </c>
      <c r="F165" s="6">
        <f t="shared" si="6"/>
        <v>44294</v>
      </c>
      <c r="G165" s="8">
        <f t="shared" si="7"/>
        <v>657.7</v>
      </c>
      <c r="H165" s="8">
        <f t="shared" si="5"/>
        <v>634.26066666666679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1:152" ht="15" x14ac:dyDescent="0.25">
      <c r="A166" s="1" t="str">
        <v>2021-04-09</v>
      </c>
      <c r="B166" s="1">
        <v>17973331</v>
      </c>
      <c r="C166" s="1">
        <v>12571503.33</v>
      </c>
      <c r="D166" s="1">
        <v>699.45</v>
      </c>
      <c r="F166" s="6">
        <f t="shared" si="6"/>
        <v>44295</v>
      </c>
      <c r="G166" s="8">
        <f t="shared" si="7"/>
        <v>699.45</v>
      </c>
      <c r="H166" s="8">
        <f t="shared" ref="H166:H229" si="8">AVERAGE(G137:G166)</f>
        <v>630.76900000000012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1:152" ht="15" x14ac:dyDescent="0.25">
      <c r="A167" s="1" t="str">
        <v>2021-04-10</v>
      </c>
      <c r="B167" s="1">
        <v>12004964</v>
      </c>
      <c r="C167" s="1">
        <v>3572581.99</v>
      </c>
      <c r="D167" s="1">
        <v>297.58999999999997</v>
      </c>
      <c r="F167" s="6">
        <f t="shared" si="6"/>
        <v>44296</v>
      </c>
      <c r="G167" s="8">
        <f t="shared" si="7"/>
        <v>297.58999999999997</v>
      </c>
      <c r="H167" s="8">
        <f t="shared" si="8"/>
        <v>614.61466666666672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1:152" ht="15" x14ac:dyDescent="0.25">
      <c r="A168" s="1" t="str">
        <v>2021-04-11</v>
      </c>
      <c r="B168" s="1">
        <v>7044510</v>
      </c>
      <c r="C168" s="1">
        <v>1753070.83</v>
      </c>
      <c r="D168" s="1">
        <v>248.86</v>
      </c>
      <c r="F168" s="6">
        <f t="shared" si="6"/>
        <v>44297</v>
      </c>
      <c r="G168" s="8">
        <f t="shared" si="7"/>
        <v>248.86</v>
      </c>
      <c r="H168" s="8">
        <f t="shared" si="8"/>
        <v>596.78500000000008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1:152" ht="15" x14ac:dyDescent="0.25">
      <c r="A169" s="1" t="str">
        <v>2021-04-12</v>
      </c>
      <c r="B169" s="1">
        <v>15051225</v>
      </c>
      <c r="C169" s="1">
        <v>12773852.85</v>
      </c>
      <c r="D169" s="1">
        <v>848.69</v>
      </c>
      <c r="F169" s="6">
        <f t="shared" si="6"/>
        <v>44298</v>
      </c>
      <c r="G169" s="8">
        <f t="shared" si="7"/>
        <v>848.69</v>
      </c>
      <c r="H169" s="8">
        <f t="shared" si="8"/>
        <v>615.10900000000004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1:152" ht="15" x14ac:dyDescent="0.25">
      <c r="A170" s="1" t="str">
        <v>2021-04-13</v>
      </c>
      <c r="B170" s="1">
        <v>15127115</v>
      </c>
      <c r="C170" s="1">
        <v>10545154.460000001</v>
      </c>
      <c r="D170" s="1">
        <v>697.1</v>
      </c>
      <c r="F170" s="6">
        <f t="shared" si="6"/>
        <v>44299</v>
      </c>
      <c r="G170" s="8">
        <f t="shared" si="7"/>
        <v>697.1</v>
      </c>
      <c r="H170" s="8">
        <f t="shared" si="8"/>
        <v>629.75400000000002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1:152" ht="15" x14ac:dyDescent="0.25">
      <c r="A171" s="1" t="str">
        <v>2021-04-14</v>
      </c>
      <c r="B171" s="1">
        <v>14724886</v>
      </c>
      <c r="C171" s="1">
        <v>10069358.75</v>
      </c>
      <c r="D171" s="1">
        <v>683.83</v>
      </c>
      <c r="F171" s="6">
        <f t="shared" si="6"/>
        <v>44300</v>
      </c>
      <c r="G171" s="8">
        <f t="shared" si="7"/>
        <v>683.83</v>
      </c>
      <c r="H171" s="8">
        <f t="shared" si="8"/>
        <v>623.73733333333337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1:152" ht="15" x14ac:dyDescent="0.25">
      <c r="A172" s="1" t="str">
        <v>2021-04-15</v>
      </c>
      <c r="B172" s="1">
        <v>16600302</v>
      </c>
      <c r="C172" s="1">
        <v>12608566.41</v>
      </c>
      <c r="D172" s="1">
        <v>759.54</v>
      </c>
      <c r="F172" s="6">
        <f t="shared" si="6"/>
        <v>44301</v>
      </c>
      <c r="G172" s="8">
        <f t="shared" si="7"/>
        <v>759.54</v>
      </c>
      <c r="H172" s="8">
        <f t="shared" si="8"/>
        <v>623.73900000000003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1:152" ht="15" x14ac:dyDescent="0.25">
      <c r="A173" s="1" t="str">
        <v>2021-04-16</v>
      </c>
      <c r="B173" s="1">
        <v>16143306</v>
      </c>
      <c r="C173" s="1">
        <v>11364533.449999999</v>
      </c>
      <c r="D173" s="1">
        <v>703.98</v>
      </c>
      <c r="F173" s="6">
        <f t="shared" si="6"/>
        <v>44302</v>
      </c>
      <c r="G173" s="8">
        <f t="shared" si="7"/>
        <v>703.98</v>
      </c>
      <c r="H173" s="8">
        <f t="shared" si="8"/>
        <v>622.73100000000011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1:152" ht="15" x14ac:dyDescent="0.25">
      <c r="A174" s="1" t="str">
        <v>2021-04-17</v>
      </c>
      <c r="B174" s="1">
        <v>10642982</v>
      </c>
      <c r="C174" s="1">
        <v>2865282.39</v>
      </c>
      <c r="D174" s="1">
        <v>269.22000000000003</v>
      </c>
      <c r="F174" s="6">
        <f t="shared" si="6"/>
        <v>44303</v>
      </c>
      <c r="G174" s="8">
        <f t="shared" si="7"/>
        <v>269.22000000000003</v>
      </c>
      <c r="H174" s="8">
        <f t="shared" si="8"/>
        <v>606.57533333333356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1:152" ht="15" x14ac:dyDescent="0.25">
      <c r="A175" s="1" t="str">
        <v>2021-04-18</v>
      </c>
      <c r="B175" s="1">
        <v>6413482</v>
      </c>
      <c r="C175" s="1">
        <v>1582863.33</v>
      </c>
      <c r="D175" s="1">
        <v>246.8</v>
      </c>
      <c r="F175" s="6">
        <f t="shared" si="6"/>
        <v>44304</v>
      </c>
      <c r="G175" s="8">
        <f t="shared" si="7"/>
        <v>246.8</v>
      </c>
      <c r="H175" s="8">
        <f t="shared" si="8"/>
        <v>589.51166666666688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1:152" ht="15" x14ac:dyDescent="0.25">
      <c r="A176" s="1" t="str">
        <v>2021-04-19</v>
      </c>
      <c r="B176" s="1">
        <v>13879818</v>
      </c>
      <c r="C176" s="1">
        <v>11707511.109999999</v>
      </c>
      <c r="D176" s="1">
        <v>843.49</v>
      </c>
      <c r="F176" s="6">
        <f t="shared" si="6"/>
        <v>44305</v>
      </c>
      <c r="G176" s="8">
        <f t="shared" si="7"/>
        <v>843.49</v>
      </c>
      <c r="H176" s="8">
        <f t="shared" si="8"/>
        <v>608.29033333333359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1:152" ht="15" x14ac:dyDescent="0.25">
      <c r="A177" s="1" t="str">
        <v>2021-04-20</v>
      </c>
      <c r="B177" s="1">
        <v>18033503</v>
      </c>
      <c r="C177" s="1">
        <v>14131329.01</v>
      </c>
      <c r="D177" s="1">
        <v>783.62</v>
      </c>
      <c r="F177" s="6">
        <f t="shared" si="6"/>
        <v>44306</v>
      </c>
      <c r="G177" s="8">
        <f t="shared" si="7"/>
        <v>783.62</v>
      </c>
      <c r="H177" s="8">
        <f t="shared" si="8"/>
        <v>626.45866666666689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1:152" ht="15" x14ac:dyDescent="0.25">
      <c r="A178" s="1" t="str">
        <v>2021-04-21</v>
      </c>
      <c r="B178" s="1">
        <v>10266044</v>
      </c>
      <c r="C178" s="1">
        <v>3238384.3</v>
      </c>
      <c r="D178" s="1">
        <v>315.45</v>
      </c>
      <c r="F178" s="6">
        <f t="shared" si="6"/>
        <v>44307</v>
      </c>
      <c r="G178" s="8">
        <f t="shared" si="7"/>
        <v>315.45</v>
      </c>
      <c r="H178" s="8">
        <f t="shared" si="8"/>
        <v>607.0436666666667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1:152" ht="15" x14ac:dyDescent="0.25">
      <c r="A179" s="1" t="str">
        <v>2021-04-22</v>
      </c>
      <c r="B179" s="1">
        <v>14908610</v>
      </c>
      <c r="C179" s="1">
        <v>11928126.01</v>
      </c>
      <c r="D179" s="1">
        <v>800.08</v>
      </c>
      <c r="F179" s="6">
        <f t="shared" si="6"/>
        <v>44308</v>
      </c>
      <c r="G179" s="8">
        <f t="shared" si="7"/>
        <v>800.08</v>
      </c>
      <c r="H179" s="8">
        <f t="shared" si="8"/>
        <v>608.92666666666673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1:152" ht="15" x14ac:dyDescent="0.25">
      <c r="A180" s="1" t="str">
        <v>2021-04-23</v>
      </c>
      <c r="B180" s="1">
        <v>15782102</v>
      </c>
      <c r="C180" s="1">
        <v>11743904.699999999</v>
      </c>
      <c r="D180" s="1">
        <v>744.13</v>
      </c>
      <c r="F180" s="6">
        <f t="shared" si="6"/>
        <v>44309</v>
      </c>
      <c r="G180" s="8">
        <f t="shared" si="7"/>
        <v>744.13</v>
      </c>
      <c r="H180" s="8">
        <f t="shared" si="8"/>
        <v>608.72866666666675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1:152" ht="15" x14ac:dyDescent="0.25">
      <c r="A181" s="1" t="str">
        <v>2021-04-24</v>
      </c>
      <c r="B181" s="1">
        <v>11220168</v>
      </c>
      <c r="C181" s="1">
        <v>2855316.92</v>
      </c>
      <c r="D181" s="1">
        <v>254.48</v>
      </c>
      <c r="F181" s="6">
        <f t="shared" si="6"/>
        <v>44310</v>
      </c>
      <c r="G181" s="8">
        <f t="shared" si="7"/>
        <v>254.48</v>
      </c>
      <c r="H181" s="8">
        <f t="shared" si="8"/>
        <v>590.30533333333346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1:152" ht="15" x14ac:dyDescent="0.25">
      <c r="A182" s="1" t="str">
        <v>2021-04-25</v>
      </c>
      <c r="B182" s="1">
        <v>6751665</v>
      </c>
      <c r="C182" s="1">
        <v>1509719.48</v>
      </c>
      <c r="D182" s="1">
        <v>223.61</v>
      </c>
      <c r="F182" s="6">
        <f t="shared" si="6"/>
        <v>44311</v>
      </c>
      <c r="G182" s="8">
        <f t="shared" si="7"/>
        <v>223.61</v>
      </c>
      <c r="H182" s="8">
        <f t="shared" si="8"/>
        <v>572.48966666666672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1:152" ht="15" x14ac:dyDescent="0.25">
      <c r="A183" s="1" t="str">
        <v>2021-04-26</v>
      </c>
      <c r="B183" s="1">
        <v>14572586</v>
      </c>
      <c r="C183" s="1">
        <v>13396639.039999999</v>
      </c>
      <c r="D183" s="1">
        <v>919.3</v>
      </c>
      <c r="F183" s="6">
        <f t="shared" si="6"/>
        <v>44312</v>
      </c>
      <c r="G183" s="8">
        <f t="shared" si="7"/>
        <v>919.3</v>
      </c>
      <c r="H183" s="8">
        <f t="shared" si="8"/>
        <v>594.03933333333339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1:152" ht="15" x14ac:dyDescent="0.25">
      <c r="A184" s="1" t="str">
        <v>2021-04-27</v>
      </c>
      <c r="B184" s="1">
        <v>14619906</v>
      </c>
      <c r="C184" s="1">
        <v>10350974.960000001</v>
      </c>
      <c r="D184" s="1">
        <v>708.01</v>
      </c>
      <c r="F184" s="6">
        <f t="shared" si="6"/>
        <v>44313</v>
      </c>
      <c r="G184" s="8">
        <f t="shared" si="7"/>
        <v>708.01</v>
      </c>
      <c r="H184" s="8">
        <f t="shared" si="8"/>
        <v>610.06666666666649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1:152" ht="15" x14ac:dyDescent="0.25">
      <c r="A185" s="1" t="str">
        <v>2021-04-28</v>
      </c>
      <c r="B185" s="1">
        <v>14378972</v>
      </c>
      <c r="C185" s="1">
        <v>10810542.699999999</v>
      </c>
      <c r="D185" s="1">
        <v>751.83</v>
      </c>
      <c r="F185" s="6">
        <f t="shared" si="6"/>
        <v>44314</v>
      </c>
      <c r="G185" s="8">
        <f t="shared" si="7"/>
        <v>751.83</v>
      </c>
      <c r="H185" s="8">
        <f t="shared" si="8"/>
        <v>604.67666666666662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1:152" ht="15" x14ac:dyDescent="0.25">
      <c r="A186" s="1" t="str">
        <v>2021-04-29</v>
      </c>
      <c r="B186" s="1">
        <v>14668577</v>
      </c>
      <c r="C186" s="1">
        <v>11737484.02</v>
      </c>
      <c r="D186" s="1">
        <v>800.18</v>
      </c>
      <c r="F186" s="6">
        <f t="shared" si="6"/>
        <v>44315</v>
      </c>
      <c r="G186" s="8">
        <f t="shared" si="7"/>
        <v>800.18</v>
      </c>
      <c r="H186" s="8">
        <f t="shared" si="8"/>
        <v>603.03766666666672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1:152" ht="15" x14ac:dyDescent="0.25">
      <c r="A187" s="1" t="str">
        <v>2021-04-30</v>
      </c>
      <c r="B187" s="1">
        <v>20834105</v>
      </c>
      <c r="C187" s="1">
        <v>18946885.440000001</v>
      </c>
      <c r="D187" s="1">
        <v>909.42</v>
      </c>
      <c r="F187" s="6">
        <f t="shared" si="6"/>
        <v>44316</v>
      </c>
      <c r="G187" s="8">
        <f t="shared" si="7"/>
        <v>909.42</v>
      </c>
      <c r="H187" s="8">
        <f t="shared" si="8"/>
        <v>604.83166666666659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1:152" ht="15" x14ac:dyDescent="0.25">
      <c r="A188" s="1" t="str">
        <v>2021-05-01</v>
      </c>
      <c r="B188" s="1">
        <v>12313270</v>
      </c>
      <c r="C188" s="1">
        <v>3478351.08</v>
      </c>
      <c r="D188" s="1">
        <v>282.49</v>
      </c>
      <c r="F188" s="6">
        <f t="shared" si="6"/>
        <v>44317</v>
      </c>
      <c r="G188" s="8">
        <f t="shared" si="7"/>
        <v>282.49</v>
      </c>
      <c r="H188" s="8">
        <f t="shared" si="8"/>
        <v>587.0093333333333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1:152" ht="15" x14ac:dyDescent="0.25">
      <c r="A189" s="1" t="str">
        <v>2021-05-02</v>
      </c>
      <c r="B189" s="1">
        <v>7871527</v>
      </c>
      <c r="C189" s="1">
        <v>1952873.89</v>
      </c>
      <c r="D189" s="1">
        <v>248.09</v>
      </c>
      <c r="F189" s="6">
        <f t="shared" si="6"/>
        <v>44318</v>
      </c>
      <c r="G189" s="8">
        <f t="shared" si="7"/>
        <v>248.09</v>
      </c>
      <c r="H189" s="8">
        <f t="shared" si="8"/>
        <v>584.42166666666674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1:152" ht="15" x14ac:dyDescent="0.25">
      <c r="A190" s="1" t="str">
        <v>2021-05-03</v>
      </c>
      <c r="B190" s="1">
        <v>18598298</v>
      </c>
      <c r="C190" s="1">
        <v>16202375.74</v>
      </c>
      <c r="D190" s="1">
        <v>871.18</v>
      </c>
      <c r="F190" s="6">
        <f t="shared" si="6"/>
        <v>44319</v>
      </c>
      <c r="G190" s="8">
        <f t="shared" si="7"/>
        <v>871.18</v>
      </c>
      <c r="H190" s="8">
        <f t="shared" si="8"/>
        <v>604.99466666666672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1:152" ht="15" x14ac:dyDescent="0.25">
      <c r="A191" s="1" t="str">
        <v>2021-05-04</v>
      </c>
      <c r="B191" s="1">
        <v>18089788</v>
      </c>
      <c r="C191" s="1">
        <v>13018939.140000001</v>
      </c>
      <c r="D191" s="1">
        <v>719.68</v>
      </c>
      <c r="F191" s="6">
        <f t="shared" si="6"/>
        <v>44320</v>
      </c>
      <c r="G191" s="8">
        <f t="shared" si="7"/>
        <v>719.68</v>
      </c>
      <c r="H191" s="8">
        <f t="shared" si="8"/>
        <v>620.81600000000003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1:152" ht="15" x14ac:dyDescent="0.25">
      <c r="A192" s="1" t="str">
        <v>2021-05-05</v>
      </c>
      <c r="B192" s="1">
        <v>20247886</v>
      </c>
      <c r="C192" s="1">
        <v>15288287.039999999</v>
      </c>
      <c r="D192" s="1">
        <v>755.06</v>
      </c>
      <c r="F192" s="6">
        <f t="shared" si="6"/>
        <v>44321</v>
      </c>
      <c r="G192" s="8">
        <f t="shared" si="7"/>
        <v>755.06</v>
      </c>
      <c r="H192" s="8">
        <f t="shared" si="8"/>
        <v>616.17966666666678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1:152" ht="15" x14ac:dyDescent="0.25">
      <c r="A193" s="1" t="str">
        <v>2021-05-06</v>
      </c>
      <c r="B193" s="1">
        <v>19801453</v>
      </c>
      <c r="C193" s="1">
        <v>14358309.4</v>
      </c>
      <c r="D193" s="1">
        <v>725.11</v>
      </c>
      <c r="F193" s="6">
        <f t="shared" si="6"/>
        <v>44322</v>
      </c>
      <c r="G193" s="8">
        <f t="shared" si="7"/>
        <v>725.11</v>
      </c>
      <c r="H193" s="8">
        <f t="shared" si="8"/>
        <v>614.7363333333335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1:152" ht="15" x14ac:dyDescent="0.25">
      <c r="A194" s="1" t="str">
        <v>2021-05-07</v>
      </c>
      <c r="B194" s="1">
        <v>26550012</v>
      </c>
      <c r="C194" s="1">
        <v>18078589.510000002</v>
      </c>
      <c r="D194" s="1">
        <v>680.93</v>
      </c>
      <c r="F194" s="6">
        <f t="shared" si="6"/>
        <v>44323</v>
      </c>
      <c r="G194" s="8">
        <f t="shared" si="7"/>
        <v>680.93</v>
      </c>
      <c r="H194" s="8">
        <f t="shared" si="8"/>
        <v>614.96333333333337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1:152" ht="15" x14ac:dyDescent="0.25">
      <c r="A195" s="1" t="str">
        <v>2021-05-08</v>
      </c>
      <c r="B195" s="1">
        <v>17343843</v>
      </c>
      <c r="C195" s="1">
        <v>4598344.46</v>
      </c>
      <c r="D195" s="1">
        <v>265.13</v>
      </c>
      <c r="F195" s="6">
        <f t="shared" si="6"/>
        <v>44324</v>
      </c>
      <c r="G195" s="8">
        <f t="shared" si="7"/>
        <v>265.13</v>
      </c>
      <c r="H195" s="8">
        <f t="shared" si="8"/>
        <v>601.87766666666676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1:152" ht="15" x14ac:dyDescent="0.25">
      <c r="A196" s="1" t="str">
        <v>2021-05-09</v>
      </c>
      <c r="B196" s="1">
        <v>9273297</v>
      </c>
      <c r="C196" s="1">
        <v>2233845.91</v>
      </c>
      <c r="D196" s="1">
        <v>240.89</v>
      </c>
      <c r="F196" s="6">
        <f t="shared" si="6"/>
        <v>44325</v>
      </c>
      <c r="G196" s="8">
        <f t="shared" si="7"/>
        <v>240.89</v>
      </c>
      <c r="H196" s="8">
        <f t="shared" si="8"/>
        <v>586.59233333333339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1:152" ht="15" x14ac:dyDescent="0.25">
      <c r="A197" s="1" t="str">
        <v>2021-05-10</v>
      </c>
      <c r="B197" s="1">
        <v>22643061</v>
      </c>
      <c r="C197" s="1">
        <v>19098963.699999999</v>
      </c>
      <c r="D197" s="1">
        <v>843.48</v>
      </c>
      <c r="F197" s="6">
        <f t="shared" si="6"/>
        <v>44326</v>
      </c>
      <c r="G197" s="8">
        <f t="shared" si="7"/>
        <v>843.48</v>
      </c>
      <c r="H197" s="8">
        <f t="shared" si="8"/>
        <v>604.7886666666667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1:152" ht="15" x14ac:dyDescent="0.25">
      <c r="A198" s="1" t="str">
        <v>2021-05-11</v>
      </c>
      <c r="B198" s="1">
        <v>19568660</v>
      </c>
      <c r="C198" s="1">
        <v>13221187.02</v>
      </c>
      <c r="D198" s="1">
        <v>675.63</v>
      </c>
      <c r="F198" s="6">
        <f t="shared" si="6"/>
        <v>44327</v>
      </c>
      <c r="G198" s="8">
        <f t="shared" si="7"/>
        <v>675.63</v>
      </c>
      <c r="H198" s="8">
        <f t="shared" si="8"/>
        <v>619.0143333333333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1:152" ht="15" x14ac:dyDescent="0.25">
      <c r="A199" s="1" t="str">
        <v>2021-05-12</v>
      </c>
      <c r="B199" s="1">
        <v>18012986</v>
      </c>
      <c r="C199" s="1">
        <v>11750224.130000001</v>
      </c>
      <c r="D199" s="1">
        <v>652.32000000000005</v>
      </c>
      <c r="F199" s="6">
        <f t="shared" si="6"/>
        <v>44328</v>
      </c>
      <c r="G199" s="8">
        <f t="shared" si="7"/>
        <v>652.32000000000005</v>
      </c>
      <c r="H199" s="8">
        <f t="shared" si="8"/>
        <v>612.46866666666676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1:152" ht="15" x14ac:dyDescent="0.25">
      <c r="A200" s="1" t="str">
        <v>2021-05-13</v>
      </c>
      <c r="B200" s="1">
        <v>17205875</v>
      </c>
      <c r="C200" s="1">
        <v>11329560.73</v>
      </c>
      <c r="D200" s="1">
        <v>658.47</v>
      </c>
      <c r="F200" s="6">
        <f t="shared" si="6"/>
        <v>44329</v>
      </c>
      <c r="G200" s="8">
        <f t="shared" si="7"/>
        <v>658.47</v>
      </c>
      <c r="H200" s="8">
        <f t="shared" si="8"/>
        <v>611.18100000000004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1:152" ht="15" x14ac:dyDescent="0.25">
      <c r="A201" s="1" t="str">
        <v>2021-05-14</v>
      </c>
      <c r="B201" s="1">
        <v>20487133</v>
      </c>
      <c r="C201" s="1">
        <v>13857734.08</v>
      </c>
      <c r="D201" s="1">
        <v>676.41</v>
      </c>
      <c r="F201" s="6">
        <f t="shared" ref="F201:F264" si="9">DATE(LEFT(A201,4),MID(A201,6,2),RIGHT(A201,2))</f>
        <v>44330</v>
      </c>
      <c r="G201" s="8">
        <f t="shared" ref="G201:G264" si="10">D201</f>
        <v>676.41</v>
      </c>
      <c r="H201" s="8">
        <f t="shared" si="8"/>
        <v>610.93366666666657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1:152" ht="15" x14ac:dyDescent="0.25">
      <c r="A202" s="1" t="str">
        <v>2021-05-15</v>
      </c>
      <c r="B202" s="1">
        <v>14569585</v>
      </c>
      <c r="C202" s="1">
        <v>3723907.31</v>
      </c>
      <c r="D202" s="1">
        <v>255.59</v>
      </c>
      <c r="F202" s="6">
        <f t="shared" si="9"/>
        <v>44331</v>
      </c>
      <c r="G202" s="8">
        <f t="shared" si="10"/>
        <v>255.59</v>
      </c>
      <c r="H202" s="8">
        <f t="shared" si="8"/>
        <v>594.13533333333328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1:152" ht="15" x14ac:dyDescent="0.25">
      <c r="A203" s="1" t="str">
        <v>2021-05-16</v>
      </c>
      <c r="B203" s="1">
        <v>9070679</v>
      </c>
      <c r="C203" s="1">
        <v>1935487.56</v>
      </c>
      <c r="D203" s="1">
        <v>213.38</v>
      </c>
      <c r="F203" s="6">
        <f t="shared" si="9"/>
        <v>44332</v>
      </c>
      <c r="G203" s="8">
        <f t="shared" si="10"/>
        <v>213.38</v>
      </c>
      <c r="H203" s="8">
        <f t="shared" si="8"/>
        <v>577.78199999999993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1:152" ht="15" x14ac:dyDescent="0.25">
      <c r="A204" s="1" t="str">
        <v>2021-05-17</v>
      </c>
      <c r="B204" s="1">
        <v>18294732</v>
      </c>
      <c r="C204" s="1">
        <v>15943521.640000001</v>
      </c>
      <c r="D204" s="1">
        <v>871.48</v>
      </c>
      <c r="F204" s="6">
        <f t="shared" si="9"/>
        <v>44333</v>
      </c>
      <c r="G204" s="8">
        <f t="shared" si="10"/>
        <v>871.48</v>
      </c>
      <c r="H204" s="8">
        <f t="shared" si="8"/>
        <v>597.85733333333326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1:152" ht="15" x14ac:dyDescent="0.25">
      <c r="A205" s="1" t="str">
        <v>2021-05-18</v>
      </c>
      <c r="B205" s="1">
        <v>17947101</v>
      </c>
      <c r="C205" s="1">
        <v>11746388.6</v>
      </c>
      <c r="D205" s="1">
        <v>654.5</v>
      </c>
      <c r="F205" s="6">
        <f t="shared" si="9"/>
        <v>44334</v>
      </c>
      <c r="G205" s="8">
        <f t="shared" si="10"/>
        <v>654.5</v>
      </c>
      <c r="H205" s="8">
        <f t="shared" si="8"/>
        <v>611.44733333333329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1:152" ht="15" x14ac:dyDescent="0.25">
      <c r="A206" s="1" t="str">
        <v>2021-05-19</v>
      </c>
      <c r="B206" s="1">
        <v>18925479</v>
      </c>
      <c r="C206" s="1">
        <v>11985417.17</v>
      </c>
      <c r="D206" s="1">
        <v>633.29999999999995</v>
      </c>
      <c r="F206" s="6">
        <f t="shared" si="9"/>
        <v>44335</v>
      </c>
      <c r="G206" s="8">
        <f t="shared" si="10"/>
        <v>633.29999999999995</v>
      </c>
      <c r="H206" s="8">
        <f t="shared" si="8"/>
        <v>604.44099999999992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1:152" ht="15" x14ac:dyDescent="0.25">
      <c r="A207" s="1" t="str">
        <v>2021-05-20</v>
      </c>
      <c r="B207" s="1">
        <v>22611851</v>
      </c>
      <c r="C207" s="1">
        <v>15052016.119999999</v>
      </c>
      <c r="D207" s="1">
        <v>665.67</v>
      </c>
      <c r="F207" s="6">
        <f t="shared" si="9"/>
        <v>44336</v>
      </c>
      <c r="G207" s="8">
        <f t="shared" si="10"/>
        <v>665.67</v>
      </c>
      <c r="H207" s="8">
        <f t="shared" si="8"/>
        <v>600.50933333333319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1:152" ht="15" x14ac:dyDescent="0.25">
      <c r="A208" s="1" t="str">
        <v>2021-05-21</v>
      </c>
      <c r="B208" s="1">
        <v>21666709</v>
      </c>
      <c r="C208" s="1">
        <v>13242096.91</v>
      </c>
      <c r="D208" s="1">
        <v>611.16999999999996</v>
      </c>
      <c r="F208" s="6">
        <f t="shared" si="9"/>
        <v>44337</v>
      </c>
      <c r="G208" s="8">
        <f t="shared" si="10"/>
        <v>611.16999999999996</v>
      </c>
      <c r="H208" s="8">
        <f t="shared" si="8"/>
        <v>610.36666666666645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1:152" ht="15" x14ac:dyDescent="0.25">
      <c r="A209" s="1" t="str">
        <v>2021-05-22</v>
      </c>
      <c r="B209" s="1">
        <v>15271229</v>
      </c>
      <c r="C209" s="1">
        <v>3391411.51</v>
      </c>
      <c r="D209" s="1">
        <v>222.08</v>
      </c>
      <c r="F209" s="6">
        <f t="shared" si="9"/>
        <v>44338</v>
      </c>
      <c r="G209" s="8">
        <f t="shared" si="10"/>
        <v>222.08</v>
      </c>
      <c r="H209" s="8">
        <f t="shared" si="8"/>
        <v>591.09999999999991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1:152" ht="15" x14ac:dyDescent="0.25">
      <c r="A210" s="1" t="str">
        <v>2021-05-23</v>
      </c>
      <c r="B210" s="1">
        <v>9687561</v>
      </c>
      <c r="C210" s="1">
        <v>1878443.76</v>
      </c>
      <c r="D210" s="1">
        <v>193.9</v>
      </c>
      <c r="F210" s="6">
        <f t="shared" si="9"/>
        <v>44339</v>
      </c>
      <c r="G210" s="8">
        <f t="shared" si="10"/>
        <v>193.9</v>
      </c>
      <c r="H210" s="8">
        <f t="shared" si="8"/>
        <v>572.7589999999999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1:152" ht="15" x14ac:dyDescent="0.25">
      <c r="A211" s="1" t="str">
        <v>2021-05-24</v>
      </c>
      <c r="B211" s="1">
        <v>17919673</v>
      </c>
      <c r="C211" s="1">
        <v>12887183.91</v>
      </c>
      <c r="D211" s="1">
        <v>719.16</v>
      </c>
      <c r="F211" s="6">
        <f t="shared" si="9"/>
        <v>44340</v>
      </c>
      <c r="G211" s="8">
        <f t="shared" si="10"/>
        <v>719.16</v>
      </c>
      <c r="H211" s="8">
        <f t="shared" si="8"/>
        <v>588.24833333333322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1:152" ht="15" x14ac:dyDescent="0.25">
      <c r="A212" s="1" t="str">
        <v>2021-05-25</v>
      </c>
      <c r="B212" s="1">
        <v>19541194</v>
      </c>
      <c r="C212" s="1">
        <v>13098410.02</v>
      </c>
      <c r="D212" s="1">
        <v>670.3</v>
      </c>
      <c r="F212" s="6">
        <f t="shared" si="9"/>
        <v>44341</v>
      </c>
      <c r="G212" s="8">
        <f t="shared" si="10"/>
        <v>670.3</v>
      </c>
      <c r="H212" s="8">
        <f t="shared" si="8"/>
        <v>603.13799999999981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1:152" ht="15" x14ac:dyDescent="0.25">
      <c r="A213" s="1" t="str">
        <v>2021-05-26</v>
      </c>
      <c r="B213" s="1">
        <v>18642985</v>
      </c>
      <c r="C213" s="1">
        <v>11330748.689999999</v>
      </c>
      <c r="D213" s="1">
        <v>607.78</v>
      </c>
      <c r="F213" s="6">
        <f t="shared" si="9"/>
        <v>44342</v>
      </c>
      <c r="G213" s="8">
        <f t="shared" si="10"/>
        <v>607.78</v>
      </c>
      <c r="H213" s="8">
        <f t="shared" si="8"/>
        <v>592.75399999999979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1:152" ht="15" x14ac:dyDescent="0.25">
      <c r="A214" s="1" t="str">
        <v>2021-05-27</v>
      </c>
      <c r="B214" s="1">
        <v>19657635</v>
      </c>
      <c r="C214" s="1">
        <v>11808201.550000001</v>
      </c>
      <c r="D214" s="1">
        <v>600.69000000000005</v>
      </c>
      <c r="F214" s="6">
        <f t="shared" si="9"/>
        <v>44343</v>
      </c>
      <c r="G214" s="8">
        <f t="shared" si="10"/>
        <v>600.69000000000005</v>
      </c>
      <c r="H214" s="8">
        <f t="shared" si="8"/>
        <v>589.17666666666651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1:152" ht="15" x14ac:dyDescent="0.25">
      <c r="A215" s="1" t="str">
        <v>2021-05-28</v>
      </c>
      <c r="B215" s="1">
        <v>22625371</v>
      </c>
      <c r="C215" s="1">
        <v>15474907.49</v>
      </c>
      <c r="D215" s="1">
        <v>683.96</v>
      </c>
      <c r="F215" s="6">
        <f t="shared" si="9"/>
        <v>44344</v>
      </c>
      <c r="G215" s="8">
        <f t="shared" si="10"/>
        <v>683.96</v>
      </c>
      <c r="H215" s="8">
        <f t="shared" si="8"/>
        <v>586.91433333333327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1:152" ht="15" x14ac:dyDescent="0.25">
      <c r="A216" s="1" t="str">
        <v>2021-05-29</v>
      </c>
      <c r="B216" s="1">
        <v>17149771</v>
      </c>
      <c r="C216" s="1">
        <v>4201272.76</v>
      </c>
      <c r="D216" s="1">
        <v>244.98</v>
      </c>
      <c r="F216" s="6">
        <f t="shared" si="9"/>
        <v>44345</v>
      </c>
      <c r="G216" s="8">
        <f t="shared" si="10"/>
        <v>244.98</v>
      </c>
      <c r="H216" s="8">
        <f t="shared" si="8"/>
        <v>568.40766666666661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1:152" ht="15" x14ac:dyDescent="0.25">
      <c r="A217" s="1" t="str">
        <v>2021-05-30</v>
      </c>
      <c r="B217" s="1">
        <v>10505461</v>
      </c>
      <c r="C217" s="1">
        <v>2131624.04</v>
      </c>
      <c r="D217" s="1">
        <v>202.91</v>
      </c>
      <c r="F217" s="6">
        <f t="shared" si="9"/>
        <v>44346</v>
      </c>
      <c r="G217" s="8">
        <f t="shared" si="10"/>
        <v>202.91</v>
      </c>
      <c r="H217" s="8">
        <f t="shared" si="8"/>
        <v>544.85733333333326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1:152" ht="15" x14ac:dyDescent="0.25">
      <c r="A218" s="1" t="str">
        <v>2021-05-31</v>
      </c>
      <c r="B218" s="1">
        <v>21183763</v>
      </c>
      <c r="C218" s="1">
        <v>19082902.850000001</v>
      </c>
      <c r="D218" s="1">
        <v>900.83</v>
      </c>
      <c r="F218" s="6">
        <f t="shared" si="9"/>
        <v>44347</v>
      </c>
      <c r="G218" s="8">
        <f t="shared" si="10"/>
        <v>900.83</v>
      </c>
      <c r="H218" s="8">
        <f t="shared" si="8"/>
        <v>565.46866666666654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1:152" ht="15" x14ac:dyDescent="0.25">
      <c r="A219" s="1" t="str">
        <v>2021-06-01</v>
      </c>
      <c r="B219" s="1">
        <v>24536828</v>
      </c>
      <c r="C219" s="1">
        <v>16855306.140000001</v>
      </c>
      <c r="D219" s="1">
        <v>686.94</v>
      </c>
      <c r="F219" s="6">
        <f t="shared" si="9"/>
        <v>44348</v>
      </c>
      <c r="G219" s="8">
        <f t="shared" si="10"/>
        <v>686.94</v>
      </c>
      <c r="H219" s="8">
        <f t="shared" si="8"/>
        <v>580.09699999999998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1:152" ht="15" x14ac:dyDescent="0.25">
      <c r="A220" s="1" t="str">
        <v>2021-06-02</v>
      </c>
      <c r="B220" s="1">
        <v>23593904</v>
      </c>
      <c r="C220" s="1">
        <v>15803478.49</v>
      </c>
      <c r="D220" s="1">
        <v>669.81</v>
      </c>
      <c r="F220" s="6">
        <f t="shared" si="9"/>
        <v>44349</v>
      </c>
      <c r="G220" s="8">
        <f t="shared" si="10"/>
        <v>669.81</v>
      </c>
      <c r="H220" s="8">
        <f t="shared" si="8"/>
        <v>573.3846666666667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1:152" ht="15" x14ac:dyDescent="0.25">
      <c r="A221" s="1" t="str">
        <v>2021-06-03</v>
      </c>
      <c r="B221" s="1">
        <v>15977499</v>
      </c>
      <c r="C221" s="1">
        <v>4836202.84</v>
      </c>
      <c r="D221" s="1">
        <v>302.69</v>
      </c>
      <c r="F221" s="6">
        <f t="shared" si="9"/>
        <v>44350</v>
      </c>
      <c r="G221" s="8">
        <f t="shared" si="10"/>
        <v>302.69</v>
      </c>
      <c r="H221" s="8">
        <f t="shared" si="8"/>
        <v>559.48500000000001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1:152" ht="15" x14ac:dyDescent="0.25">
      <c r="A222" s="1" t="str">
        <v>2021-06-04</v>
      </c>
      <c r="B222" s="1">
        <v>24945880</v>
      </c>
      <c r="C222" s="1">
        <v>17229599.27</v>
      </c>
      <c r="D222" s="1">
        <v>690.68</v>
      </c>
      <c r="F222" s="6">
        <f t="shared" si="9"/>
        <v>44351</v>
      </c>
      <c r="G222" s="8">
        <f t="shared" si="10"/>
        <v>690.68</v>
      </c>
      <c r="H222" s="8">
        <f t="shared" si="8"/>
        <v>557.33899999999994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1:152" ht="15" x14ac:dyDescent="0.25">
      <c r="A223" s="1" t="str">
        <v>2021-06-05</v>
      </c>
      <c r="B223" s="1">
        <v>18988268</v>
      </c>
      <c r="C223" s="1">
        <v>4949673.82</v>
      </c>
      <c r="D223" s="1">
        <v>260.67</v>
      </c>
      <c r="F223" s="6">
        <f t="shared" si="9"/>
        <v>44352</v>
      </c>
      <c r="G223" s="8">
        <f t="shared" si="10"/>
        <v>260.67</v>
      </c>
      <c r="H223" s="8">
        <f t="shared" si="8"/>
        <v>541.85766666666666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1:152" ht="15" x14ac:dyDescent="0.25">
      <c r="A224" s="1" t="str">
        <v>2021-06-06</v>
      </c>
      <c r="B224" s="1">
        <v>11709225</v>
      </c>
      <c r="C224" s="1">
        <v>2489314.2799999998</v>
      </c>
      <c r="D224" s="1">
        <v>212.59</v>
      </c>
      <c r="F224" s="6">
        <f t="shared" si="9"/>
        <v>44353</v>
      </c>
      <c r="G224" s="8">
        <f t="shared" si="10"/>
        <v>212.59</v>
      </c>
      <c r="H224" s="8">
        <f t="shared" si="8"/>
        <v>526.24633333333338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1:152" ht="15" x14ac:dyDescent="0.25">
      <c r="A225" s="1" t="str">
        <v>2021-06-07</v>
      </c>
      <c r="B225" s="1">
        <v>27112608</v>
      </c>
      <c r="C225" s="1">
        <v>20827416.780000001</v>
      </c>
      <c r="D225" s="1">
        <v>768.18</v>
      </c>
      <c r="F225" s="6">
        <f t="shared" si="9"/>
        <v>44354</v>
      </c>
      <c r="G225" s="8">
        <f t="shared" si="10"/>
        <v>768.18</v>
      </c>
      <c r="H225" s="8">
        <f t="shared" si="8"/>
        <v>543.0146666666667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1:152" ht="15" x14ac:dyDescent="0.25">
      <c r="A226" s="1" t="str">
        <v>2021-06-08</v>
      </c>
      <c r="B226" s="1">
        <v>26824445</v>
      </c>
      <c r="C226" s="1">
        <v>16395215.15</v>
      </c>
      <c r="D226" s="1">
        <v>611.20000000000005</v>
      </c>
      <c r="F226" s="6">
        <f t="shared" si="9"/>
        <v>44355</v>
      </c>
      <c r="G226" s="8">
        <f t="shared" si="10"/>
        <v>611.20000000000005</v>
      </c>
      <c r="H226" s="8">
        <f t="shared" si="8"/>
        <v>555.35833333333335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1:152" ht="15" x14ac:dyDescent="0.25">
      <c r="A227" s="1" t="str">
        <v>2021-06-09</v>
      </c>
      <c r="B227" s="1">
        <v>24444552</v>
      </c>
      <c r="C227" s="1">
        <v>14986128.380000001</v>
      </c>
      <c r="D227" s="1">
        <v>613.07000000000005</v>
      </c>
      <c r="F227" s="6">
        <f t="shared" si="9"/>
        <v>44356</v>
      </c>
      <c r="G227" s="8">
        <f t="shared" si="10"/>
        <v>613.07000000000005</v>
      </c>
      <c r="H227" s="8">
        <f t="shared" si="8"/>
        <v>547.67800000000011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1:152" ht="15" x14ac:dyDescent="0.25">
      <c r="A228" s="1" t="str">
        <v>2021-06-10</v>
      </c>
      <c r="B228" s="1">
        <v>25600687</v>
      </c>
      <c r="C228" s="1">
        <v>17629709.170000002</v>
      </c>
      <c r="D228" s="1">
        <v>688.64</v>
      </c>
      <c r="F228" s="6">
        <f t="shared" si="9"/>
        <v>44357</v>
      </c>
      <c r="G228" s="8">
        <f t="shared" si="10"/>
        <v>688.64</v>
      </c>
      <c r="H228" s="8">
        <f t="shared" si="8"/>
        <v>548.11166666666679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1:152" ht="15" x14ac:dyDescent="0.25">
      <c r="A229" s="1" t="str">
        <v>2021-06-11</v>
      </c>
      <c r="B229" s="1">
        <v>24780555</v>
      </c>
      <c r="C229" s="1">
        <v>14999058.310000001</v>
      </c>
      <c r="D229" s="1">
        <v>605.28</v>
      </c>
      <c r="F229" s="6">
        <f t="shared" si="9"/>
        <v>44358</v>
      </c>
      <c r="G229" s="8">
        <f t="shared" si="10"/>
        <v>605.28</v>
      </c>
      <c r="H229" s="8">
        <f t="shared" si="8"/>
        <v>546.5436666666667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1:152" ht="15" x14ac:dyDescent="0.25">
      <c r="A230" s="1" t="str">
        <v>2021-06-12</v>
      </c>
      <c r="B230" s="1">
        <v>17624444</v>
      </c>
      <c r="C230" s="1">
        <v>3916426.32</v>
      </c>
      <c r="D230" s="1">
        <v>222.22</v>
      </c>
      <c r="F230" s="6">
        <f t="shared" si="9"/>
        <v>44359</v>
      </c>
      <c r="G230" s="8">
        <f t="shared" si="10"/>
        <v>222.22</v>
      </c>
      <c r="H230" s="8">
        <f t="shared" ref="H230:H293" si="11">AVERAGE(G201:G230)</f>
        <v>532.00199999999995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1:152" ht="15" x14ac:dyDescent="0.25">
      <c r="A231" s="1" t="str">
        <v>2021-06-13</v>
      </c>
      <c r="B231" s="1">
        <v>10690454</v>
      </c>
      <c r="C231" s="1">
        <v>2004213.77</v>
      </c>
      <c r="D231" s="1">
        <v>187.48</v>
      </c>
      <c r="F231" s="6">
        <f t="shared" si="9"/>
        <v>44360</v>
      </c>
      <c r="G231" s="8">
        <f t="shared" si="10"/>
        <v>187.48</v>
      </c>
      <c r="H231" s="8">
        <f t="shared" si="11"/>
        <v>515.70433333333335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1:152" ht="15" x14ac:dyDescent="0.25">
      <c r="A232" s="1" t="str">
        <v>2021-06-14</v>
      </c>
      <c r="B232" s="1">
        <v>20632308</v>
      </c>
      <c r="C232" s="1">
        <v>15071882.4</v>
      </c>
      <c r="D232" s="1">
        <v>730.5</v>
      </c>
      <c r="F232" s="6">
        <f t="shared" si="9"/>
        <v>44361</v>
      </c>
      <c r="G232" s="8">
        <f t="shared" si="10"/>
        <v>730.5</v>
      </c>
      <c r="H232" s="8">
        <f t="shared" si="11"/>
        <v>531.53466666666668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1:152" ht="15" x14ac:dyDescent="0.25">
      <c r="A233" s="1" t="str">
        <v>2021-06-15</v>
      </c>
      <c r="B233" s="1">
        <v>23709672</v>
      </c>
      <c r="C233" s="1">
        <v>16794134.329999998</v>
      </c>
      <c r="D233" s="1">
        <v>708.32</v>
      </c>
      <c r="F233" s="6">
        <f t="shared" si="9"/>
        <v>44362</v>
      </c>
      <c r="G233" s="8">
        <f t="shared" si="10"/>
        <v>708.32</v>
      </c>
      <c r="H233" s="8">
        <f t="shared" si="11"/>
        <v>548.03266666666673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1:152" ht="15" x14ac:dyDescent="0.25">
      <c r="A234" s="1" t="str">
        <v>2021-06-16</v>
      </c>
      <c r="B234" s="1">
        <v>21324705</v>
      </c>
      <c r="C234" s="1">
        <v>13821273.83</v>
      </c>
      <c r="D234" s="1">
        <v>648.13</v>
      </c>
      <c r="F234" s="6">
        <f t="shared" si="9"/>
        <v>44363</v>
      </c>
      <c r="G234" s="8">
        <f t="shared" si="10"/>
        <v>648.13</v>
      </c>
      <c r="H234" s="8">
        <f t="shared" si="11"/>
        <v>540.58766666666656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1:152" ht="15" x14ac:dyDescent="0.25">
      <c r="A235" s="1" t="str">
        <v>2021-06-17</v>
      </c>
      <c r="B235" s="1">
        <v>20392133</v>
      </c>
      <c r="C235" s="1">
        <v>12534104.689999999</v>
      </c>
      <c r="D235" s="1">
        <v>614.65</v>
      </c>
      <c r="F235" s="6">
        <f t="shared" si="9"/>
        <v>44364</v>
      </c>
      <c r="G235" s="8">
        <f t="shared" si="10"/>
        <v>614.65</v>
      </c>
      <c r="H235" s="8">
        <f t="shared" si="11"/>
        <v>539.25933333333319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1:152" ht="15" x14ac:dyDescent="0.25">
      <c r="A236" s="1" t="str">
        <v>2021-06-18</v>
      </c>
      <c r="B236" s="1">
        <v>23998991</v>
      </c>
      <c r="C236" s="1">
        <v>15343961.57</v>
      </c>
      <c r="D236" s="1">
        <v>639.36</v>
      </c>
      <c r="F236" s="6">
        <f t="shared" si="9"/>
        <v>44365</v>
      </c>
      <c r="G236" s="8">
        <f t="shared" si="10"/>
        <v>639.36</v>
      </c>
      <c r="H236" s="8">
        <f t="shared" si="11"/>
        <v>539.46133333333319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1:152" ht="15" x14ac:dyDescent="0.25">
      <c r="A237" s="1" t="str">
        <v>2021-06-19</v>
      </c>
      <c r="B237" s="1">
        <v>18492470</v>
      </c>
      <c r="C237" s="1">
        <v>4078485.15</v>
      </c>
      <c r="D237" s="1">
        <v>220.55</v>
      </c>
      <c r="F237" s="6">
        <f t="shared" si="9"/>
        <v>44366</v>
      </c>
      <c r="G237" s="8">
        <f t="shared" si="10"/>
        <v>220.55</v>
      </c>
      <c r="H237" s="8">
        <f t="shared" si="11"/>
        <v>524.62399999999991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1:152" ht="15" x14ac:dyDescent="0.25">
      <c r="A238" s="1" t="str">
        <v>2021-06-20</v>
      </c>
      <c r="B238" s="1">
        <v>11700057</v>
      </c>
      <c r="C238" s="1">
        <v>2201469.34</v>
      </c>
      <c r="D238" s="1">
        <v>188.16</v>
      </c>
      <c r="F238" s="6">
        <f t="shared" si="9"/>
        <v>44367</v>
      </c>
      <c r="G238" s="8">
        <f t="shared" si="10"/>
        <v>188.16</v>
      </c>
      <c r="H238" s="8">
        <f t="shared" si="11"/>
        <v>510.5236666666666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1:152" ht="15" x14ac:dyDescent="0.25">
      <c r="A239" s="1" t="str">
        <v>2021-06-21</v>
      </c>
      <c r="B239" s="1">
        <v>22281320</v>
      </c>
      <c r="C239" s="1">
        <v>16747608.119999999</v>
      </c>
      <c r="D239" s="1">
        <v>751.64</v>
      </c>
      <c r="F239" s="6">
        <f t="shared" si="9"/>
        <v>44368</v>
      </c>
      <c r="G239" s="8">
        <f t="shared" si="10"/>
        <v>751.64</v>
      </c>
      <c r="H239" s="8">
        <f t="shared" si="11"/>
        <v>528.17566666666653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1:152" ht="15" x14ac:dyDescent="0.25">
      <c r="A240" s="1" t="str">
        <v>2021-06-22</v>
      </c>
      <c r="B240" s="1">
        <v>21740942</v>
      </c>
      <c r="C240" s="1">
        <v>13246209.890000001</v>
      </c>
      <c r="D240" s="1">
        <v>609.27</v>
      </c>
      <c r="F240" s="6">
        <f t="shared" si="9"/>
        <v>44369</v>
      </c>
      <c r="G240" s="8">
        <f t="shared" si="10"/>
        <v>609.27</v>
      </c>
      <c r="H240" s="8">
        <f t="shared" si="11"/>
        <v>542.02133333333325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1:152" ht="15" x14ac:dyDescent="0.25">
      <c r="A241" s="1" t="str">
        <v>2021-06-23</v>
      </c>
      <c r="B241" s="1">
        <v>21804745</v>
      </c>
      <c r="C241" s="1">
        <v>12565814.369999999</v>
      </c>
      <c r="D241" s="1">
        <v>576.29</v>
      </c>
      <c r="F241" s="6">
        <f t="shared" si="9"/>
        <v>44370</v>
      </c>
      <c r="G241" s="8">
        <f t="shared" si="10"/>
        <v>576.29</v>
      </c>
      <c r="H241" s="8">
        <f t="shared" si="11"/>
        <v>537.2589999999999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1:152" ht="15" x14ac:dyDescent="0.25">
      <c r="A242" s="1" t="str">
        <v>2021-06-24</v>
      </c>
      <c r="B242" s="1">
        <v>19971160</v>
      </c>
      <c r="C242" s="1">
        <v>11788937.77</v>
      </c>
      <c r="D242" s="1">
        <v>590.29999999999995</v>
      </c>
      <c r="F242" s="6">
        <f t="shared" si="9"/>
        <v>44371</v>
      </c>
      <c r="G242" s="8">
        <f t="shared" si="10"/>
        <v>590.29999999999995</v>
      </c>
      <c r="H242" s="8">
        <f t="shared" si="11"/>
        <v>534.59233333333327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1:152" ht="15" x14ac:dyDescent="0.25">
      <c r="A243" s="1" t="str">
        <v>2021-06-25</v>
      </c>
      <c r="B243" s="1">
        <v>24027044</v>
      </c>
      <c r="C243" s="1">
        <v>15386596.939999999</v>
      </c>
      <c r="D243" s="1">
        <v>640.39</v>
      </c>
      <c r="F243" s="6">
        <f t="shared" si="9"/>
        <v>44372</v>
      </c>
      <c r="G243" s="8">
        <f t="shared" si="10"/>
        <v>640.39</v>
      </c>
      <c r="H243" s="8">
        <f t="shared" si="11"/>
        <v>535.67933333333326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1:152" ht="15" x14ac:dyDescent="0.25">
      <c r="A244" s="1" t="str">
        <v>2021-06-26</v>
      </c>
      <c r="B244" s="1">
        <v>18269456</v>
      </c>
      <c r="C244" s="1">
        <v>3888303.8</v>
      </c>
      <c r="D244" s="1">
        <v>212.83</v>
      </c>
      <c r="F244" s="6">
        <f t="shared" si="9"/>
        <v>44373</v>
      </c>
      <c r="G244" s="8">
        <f t="shared" si="10"/>
        <v>212.83</v>
      </c>
      <c r="H244" s="8">
        <f t="shared" si="11"/>
        <v>522.75066666666646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1:152" ht="15" x14ac:dyDescent="0.25">
      <c r="A245" s="1" t="str">
        <v>2021-06-27</v>
      </c>
      <c r="B245" s="1">
        <v>11340610</v>
      </c>
      <c r="C245" s="1">
        <v>1915413.43</v>
      </c>
      <c r="D245" s="1">
        <v>168.9</v>
      </c>
      <c r="F245" s="6">
        <f t="shared" si="9"/>
        <v>44374</v>
      </c>
      <c r="G245" s="8">
        <f t="shared" si="10"/>
        <v>168.9</v>
      </c>
      <c r="H245" s="8">
        <f t="shared" si="11"/>
        <v>505.58199999999982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1:152" ht="15" x14ac:dyDescent="0.25">
      <c r="A246" s="1" t="str">
        <v>2021-06-28</v>
      </c>
      <c r="B246" s="1">
        <v>20468798</v>
      </c>
      <c r="C246" s="1">
        <v>16024633.57</v>
      </c>
      <c r="D246" s="1">
        <v>782.88</v>
      </c>
      <c r="F246" s="6">
        <f t="shared" si="9"/>
        <v>44375</v>
      </c>
      <c r="G246" s="8">
        <f t="shared" si="10"/>
        <v>782.88</v>
      </c>
      <c r="H246" s="8">
        <f t="shared" si="11"/>
        <v>523.51199999999983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1:152" ht="15" x14ac:dyDescent="0.25">
      <c r="A247" s="1" t="str">
        <v>2021-06-29</v>
      </c>
      <c r="B247" s="1">
        <v>21071410</v>
      </c>
      <c r="C247" s="1">
        <v>15594413.470000001</v>
      </c>
      <c r="D247" s="1">
        <v>740.07</v>
      </c>
      <c r="F247" s="6">
        <f t="shared" si="9"/>
        <v>44376</v>
      </c>
      <c r="G247" s="8">
        <f t="shared" si="10"/>
        <v>740.07</v>
      </c>
      <c r="H247" s="8">
        <f t="shared" si="11"/>
        <v>541.4173333333332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1:152" ht="15" x14ac:dyDescent="0.25">
      <c r="A248" s="1" t="str">
        <v>2021-06-30</v>
      </c>
      <c r="B248" s="1">
        <v>27962473</v>
      </c>
      <c r="C248" s="1">
        <v>21438088.620000001</v>
      </c>
      <c r="D248" s="1">
        <v>766.67</v>
      </c>
      <c r="F248" s="6">
        <f t="shared" si="9"/>
        <v>44377</v>
      </c>
      <c r="G248" s="8">
        <f t="shared" si="10"/>
        <v>766.67</v>
      </c>
      <c r="H248" s="8">
        <f t="shared" si="11"/>
        <v>536.94533333333322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1:152" ht="15" x14ac:dyDescent="0.25">
      <c r="A249" s="1" t="str">
        <v>2021-07-01</v>
      </c>
      <c r="B249" s="1">
        <v>27985785</v>
      </c>
      <c r="C249" s="1">
        <v>19070280.050000001</v>
      </c>
      <c r="D249" s="1">
        <v>681.43</v>
      </c>
      <c r="F249" s="6">
        <f t="shared" si="9"/>
        <v>44378</v>
      </c>
      <c r="G249" s="8">
        <f t="shared" si="10"/>
        <v>681.43</v>
      </c>
      <c r="H249" s="8">
        <f t="shared" si="11"/>
        <v>536.76166666666654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1:152" ht="15" x14ac:dyDescent="0.25">
      <c r="A250" s="1" t="str">
        <v>2021-07-02</v>
      </c>
      <c r="B250" s="1">
        <v>27534069</v>
      </c>
      <c r="C250" s="1">
        <v>16889668.629999999</v>
      </c>
      <c r="D250" s="1">
        <v>613.41</v>
      </c>
      <c r="F250" s="6">
        <f t="shared" si="9"/>
        <v>44379</v>
      </c>
      <c r="G250" s="8">
        <f t="shared" si="10"/>
        <v>613.41</v>
      </c>
      <c r="H250" s="8">
        <f t="shared" si="11"/>
        <v>534.88166666666655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1:152" ht="15" x14ac:dyDescent="0.25">
      <c r="A251" s="1" t="str">
        <v>2021-07-03</v>
      </c>
      <c r="B251" s="1">
        <v>20481300</v>
      </c>
      <c r="C251" s="1">
        <v>4989380.1500000004</v>
      </c>
      <c r="D251" s="1">
        <v>243.61</v>
      </c>
      <c r="F251" s="6">
        <f t="shared" si="9"/>
        <v>44380</v>
      </c>
      <c r="G251" s="8">
        <f t="shared" si="10"/>
        <v>243.61</v>
      </c>
      <c r="H251" s="8">
        <f t="shared" si="11"/>
        <v>532.91233333333321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1:152" ht="15" x14ac:dyDescent="0.25">
      <c r="A252" s="1" t="str">
        <v>2021-07-04</v>
      </c>
      <c r="B252" s="1">
        <v>12791693</v>
      </c>
      <c r="C252" s="1">
        <v>2613001.64</v>
      </c>
      <c r="D252" s="1">
        <v>204.27</v>
      </c>
      <c r="F252" s="6">
        <f t="shared" si="9"/>
        <v>44381</v>
      </c>
      <c r="G252" s="8">
        <f t="shared" si="10"/>
        <v>204.27</v>
      </c>
      <c r="H252" s="8">
        <f t="shared" si="11"/>
        <v>516.69866666666667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1:152" ht="15" x14ac:dyDescent="0.25">
      <c r="A253" s="1" t="str">
        <v>2021-07-05</v>
      </c>
      <c r="B253" s="1">
        <v>27912645</v>
      </c>
      <c r="C253" s="1">
        <v>21363890.699999999</v>
      </c>
      <c r="D253" s="1">
        <v>765.38</v>
      </c>
      <c r="F253" s="6">
        <f t="shared" si="9"/>
        <v>44382</v>
      </c>
      <c r="G253" s="8">
        <f t="shared" si="10"/>
        <v>765.38</v>
      </c>
      <c r="H253" s="8">
        <f t="shared" si="11"/>
        <v>533.52233333333322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1:152" ht="15" x14ac:dyDescent="0.25">
      <c r="A254" s="1" t="str">
        <v>2021-07-06</v>
      </c>
      <c r="B254" s="1">
        <v>31329619</v>
      </c>
      <c r="C254" s="1">
        <v>19484160.030000001</v>
      </c>
      <c r="D254" s="1">
        <v>621.91</v>
      </c>
      <c r="F254" s="6">
        <f t="shared" si="9"/>
        <v>44383</v>
      </c>
      <c r="G254" s="8">
        <f t="shared" si="10"/>
        <v>621.91</v>
      </c>
      <c r="H254" s="8">
        <f t="shared" si="11"/>
        <v>547.16633333333323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1:152" ht="15" x14ac:dyDescent="0.25">
      <c r="A255" s="1" t="str">
        <v>2021-07-07</v>
      </c>
      <c r="B255" s="1">
        <v>30939275</v>
      </c>
      <c r="C255" s="1">
        <v>18357321.600000001</v>
      </c>
      <c r="D255" s="1">
        <v>593.33000000000004</v>
      </c>
      <c r="F255" s="6">
        <f t="shared" si="9"/>
        <v>44384</v>
      </c>
      <c r="G255" s="8">
        <f t="shared" si="10"/>
        <v>593.33000000000004</v>
      </c>
      <c r="H255" s="8">
        <f t="shared" si="11"/>
        <v>541.33799999999985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1:152" ht="15" x14ac:dyDescent="0.25">
      <c r="A256" s="1" t="str">
        <v>2021-07-08</v>
      </c>
      <c r="B256" s="1">
        <v>28626004</v>
      </c>
      <c r="C256" s="1">
        <v>17490222.09</v>
      </c>
      <c r="D256" s="1">
        <v>610.99</v>
      </c>
      <c r="F256" s="6">
        <f t="shared" si="9"/>
        <v>44385</v>
      </c>
      <c r="G256" s="8">
        <f t="shared" si="10"/>
        <v>610.99</v>
      </c>
      <c r="H256" s="8">
        <f t="shared" si="11"/>
        <v>541.3309999999999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1:152" ht="15" x14ac:dyDescent="0.25">
      <c r="A257" s="1" t="str">
        <v>2021-07-09</v>
      </c>
      <c r="B257" s="1">
        <v>27046393</v>
      </c>
      <c r="C257" s="1">
        <v>13929115.220000001</v>
      </c>
      <c r="D257" s="1">
        <v>515.01</v>
      </c>
      <c r="F257" s="6">
        <f t="shared" si="9"/>
        <v>44386</v>
      </c>
      <c r="G257" s="8">
        <f t="shared" si="10"/>
        <v>515.01</v>
      </c>
      <c r="H257" s="8">
        <f t="shared" si="11"/>
        <v>538.0623333333333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1:152" ht="15" x14ac:dyDescent="0.25">
      <c r="A258" s="1" t="str">
        <v>2021-07-10</v>
      </c>
      <c r="B258" s="1">
        <v>21539922</v>
      </c>
      <c r="C258" s="1">
        <v>5101579.16</v>
      </c>
      <c r="D258" s="1">
        <v>236.84</v>
      </c>
      <c r="F258" s="6">
        <f t="shared" si="9"/>
        <v>44387</v>
      </c>
      <c r="G258" s="8">
        <f t="shared" si="10"/>
        <v>236.84</v>
      </c>
      <c r="H258" s="8">
        <f t="shared" si="11"/>
        <v>523.00233333333335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1:152" ht="15" x14ac:dyDescent="0.25">
      <c r="A259" s="1" t="str">
        <v>2021-07-11</v>
      </c>
      <c r="B259" s="1">
        <v>13046696</v>
      </c>
      <c r="C259" s="1">
        <v>2555040.63</v>
      </c>
      <c r="D259" s="1">
        <v>195.84</v>
      </c>
      <c r="F259" s="6">
        <f t="shared" si="9"/>
        <v>44388</v>
      </c>
      <c r="G259" s="8">
        <f t="shared" si="10"/>
        <v>195.84</v>
      </c>
      <c r="H259" s="8">
        <f t="shared" si="11"/>
        <v>509.35433333333339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1:152" ht="15" x14ac:dyDescent="0.25">
      <c r="A260" s="1" t="str">
        <v>2021-07-12</v>
      </c>
      <c r="B260" s="1">
        <v>26942414</v>
      </c>
      <c r="C260" s="1">
        <v>21604780.899999999</v>
      </c>
      <c r="D260" s="1">
        <v>801.89</v>
      </c>
      <c r="F260" s="6">
        <f t="shared" si="9"/>
        <v>44389</v>
      </c>
      <c r="G260" s="8">
        <f t="shared" si="10"/>
        <v>801.89</v>
      </c>
      <c r="H260" s="8">
        <f t="shared" si="11"/>
        <v>528.67666666666673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ht="15" x14ac:dyDescent="0.25">
      <c r="A261" s="1" t="str">
        <v>2021-07-13</v>
      </c>
      <c r="B261" s="1">
        <v>25692651</v>
      </c>
      <c r="C261" s="1">
        <v>15527073.470000001</v>
      </c>
      <c r="D261" s="1">
        <v>604.34</v>
      </c>
      <c r="F261" s="6">
        <f t="shared" si="9"/>
        <v>44390</v>
      </c>
      <c r="G261" s="8">
        <f t="shared" si="10"/>
        <v>604.34</v>
      </c>
      <c r="H261" s="8">
        <f t="shared" si="11"/>
        <v>542.572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1:152" x14ac:dyDescent="0.2">
      <c r="A262" s="1" t="str">
        <v>2021-07-14</v>
      </c>
      <c r="B262" s="1">
        <v>24579583</v>
      </c>
      <c r="C262" s="1">
        <v>14676692.17</v>
      </c>
      <c r="D262" s="1">
        <v>597.11</v>
      </c>
      <c r="F262" s="6">
        <f t="shared" si="9"/>
        <v>44391</v>
      </c>
      <c r="G262" s="8">
        <f t="shared" si="10"/>
        <v>597.11</v>
      </c>
      <c r="H262" s="8">
        <f t="shared" si="11"/>
        <v>538.12566666666669</v>
      </c>
    </row>
    <row r="263" spans="1:152" x14ac:dyDescent="0.2">
      <c r="A263" s="1" t="str">
        <v>2021-07-15</v>
      </c>
      <c r="B263" s="1">
        <v>27239159</v>
      </c>
      <c r="C263" s="1">
        <v>19209994.370000001</v>
      </c>
      <c r="D263" s="1">
        <v>705.23</v>
      </c>
      <c r="F263" s="6">
        <f t="shared" si="9"/>
        <v>44392</v>
      </c>
      <c r="G263" s="8">
        <f t="shared" si="10"/>
        <v>705.23</v>
      </c>
      <c r="H263" s="8">
        <f t="shared" si="11"/>
        <v>538.02266666666662</v>
      </c>
    </row>
    <row r="264" spans="1:152" x14ac:dyDescent="0.2">
      <c r="A264" s="1" t="str">
        <v>2021-07-16</v>
      </c>
      <c r="B264" s="1">
        <v>26355492</v>
      </c>
      <c r="C264" s="1">
        <v>15833719.220000001</v>
      </c>
      <c r="D264" s="1">
        <v>600.77</v>
      </c>
      <c r="F264" s="6">
        <f t="shared" si="9"/>
        <v>44393</v>
      </c>
      <c r="G264" s="8">
        <f t="shared" si="10"/>
        <v>600.77</v>
      </c>
      <c r="H264" s="8">
        <f t="shared" si="11"/>
        <v>536.44400000000007</v>
      </c>
    </row>
    <row r="265" spans="1:152" x14ac:dyDescent="0.2">
      <c r="A265" s="1" t="str">
        <v>2021-07-17</v>
      </c>
      <c r="B265" s="1">
        <v>20218304</v>
      </c>
      <c r="C265" s="1">
        <v>4361757.79</v>
      </c>
      <c r="D265" s="1">
        <v>215.73</v>
      </c>
      <c r="F265" s="6">
        <f t="shared" ref="F265:F328" si="12">DATE(LEFT(A265,4),MID(A265,6,2),RIGHT(A265,2))</f>
        <v>44394</v>
      </c>
      <c r="G265" s="8">
        <f t="shared" ref="G265:G328" si="13">D265</f>
        <v>215.73</v>
      </c>
      <c r="H265" s="8">
        <f t="shared" si="11"/>
        <v>523.14666666666665</v>
      </c>
    </row>
    <row r="266" spans="1:152" x14ac:dyDescent="0.2">
      <c r="A266" s="1" t="str">
        <v>2021-07-18</v>
      </c>
      <c r="B266" s="1">
        <v>12571826</v>
      </c>
      <c r="C266" s="1">
        <v>2177771.0699999998</v>
      </c>
      <c r="D266" s="1">
        <v>173.23</v>
      </c>
      <c r="F266" s="6">
        <f t="shared" si="12"/>
        <v>44395</v>
      </c>
      <c r="G266" s="8">
        <f t="shared" si="13"/>
        <v>173.23</v>
      </c>
      <c r="H266" s="8">
        <f t="shared" si="11"/>
        <v>507.60899999999998</v>
      </c>
    </row>
    <row r="267" spans="1:152" x14ac:dyDescent="0.2">
      <c r="A267" s="1" t="str">
        <v>2021-07-19</v>
      </c>
      <c r="B267" s="1">
        <v>23219250</v>
      </c>
      <c r="C267" s="1">
        <v>16843797.309999999</v>
      </c>
      <c r="D267" s="1">
        <v>725.42</v>
      </c>
      <c r="F267" s="6">
        <f t="shared" si="12"/>
        <v>44396</v>
      </c>
      <c r="G267" s="8">
        <f t="shared" si="13"/>
        <v>725.42</v>
      </c>
      <c r="H267" s="8">
        <f t="shared" si="11"/>
        <v>524.43799999999999</v>
      </c>
    </row>
    <row r="268" spans="1:152" x14ac:dyDescent="0.2">
      <c r="A268" s="1" t="str">
        <v>2021-07-20</v>
      </c>
      <c r="B268" s="1">
        <v>28204693</v>
      </c>
      <c r="C268" s="1">
        <v>19023209.27</v>
      </c>
      <c r="D268" s="1">
        <v>674.47</v>
      </c>
      <c r="F268" s="6">
        <f t="shared" si="12"/>
        <v>44397</v>
      </c>
      <c r="G268" s="8">
        <f t="shared" si="13"/>
        <v>674.47</v>
      </c>
      <c r="H268" s="8">
        <f t="shared" si="11"/>
        <v>540.64833333333331</v>
      </c>
    </row>
    <row r="269" spans="1:152" x14ac:dyDescent="0.2">
      <c r="A269" s="1" t="str">
        <v>2021-07-21</v>
      </c>
      <c r="B269" s="1">
        <v>25834235</v>
      </c>
      <c r="C269" s="1">
        <v>14595414.68</v>
      </c>
      <c r="D269" s="1">
        <v>564.96</v>
      </c>
      <c r="F269" s="6">
        <f t="shared" si="12"/>
        <v>44398</v>
      </c>
      <c r="G269" s="8">
        <f t="shared" si="13"/>
        <v>564.96</v>
      </c>
      <c r="H269" s="8">
        <f t="shared" si="11"/>
        <v>534.42566666666664</v>
      </c>
    </row>
    <row r="270" spans="1:152" x14ac:dyDescent="0.2">
      <c r="A270" s="1" t="str">
        <v>2021-07-22</v>
      </c>
      <c r="B270" s="1">
        <v>24349671</v>
      </c>
      <c r="C270" s="1">
        <v>13786577.59</v>
      </c>
      <c r="D270" s="1">
        <v>566.19000000000005</v>
      </c>
      <c r="F270" s="6">
        <f t="shared" si="12"/>
        <v>44399</v>
      </c>
      <c r="G270" s="8">
        <f t="shared" si="13"/>
        <v>566.19000000000005</v>
      </c>
      <c r="H270" s="8">
        <f t="shared" si="11"/>
        <v>532.98966666666672</v>
      </c>
    </row>
    <row r="271" spans="1:152" x14ac:dyDescent="0.2">
      <c r="A271" s="1" t="str">
        <v>2021-07-23</v>
      </c>
      <c r="B271" s="1">
        <v>26589708</v>
      </c>
      <c r="C271" s="1">
        <v>16886408.059999999</v>
      </c>
      <c r="D271" s="1">
        <v>635.07000000000005</v>
      </c>
      <c r="F271" s="6">
        <f t="shared" si="12"/>
        <v>44400</v>
      </c>
      <c r="G271" s="8">
        <f t="shared" si="13"/>
        <v>635.07000000000005</v>
      </c>
      <c r="H271" s="8">
        <f t="shared" si="11"/>
        <v>534.94899999999996</v>
      </c>
    </row>
    <row r="272" spans="1:152" x14ac:dyDescent="0.2">
      <c r="A272" s="1" t="str">
        <v>2021-07-24</v>
      </c>
      <c r="B272" s="1">
        <v>20818705</v>
      </c>
      <c r="C272" s="1">
        <v>4302587.9800000004</v>
      </c>
      <c r="D272" s="1">
        <v>206.67</v>
      </c>
      <c r="F272" s="6">
        <f t="shared" si="12"/>
        <v>44401</v>
      </c>
      <c r="G272" s="8">
        <f t="shared" si="13"/>
        <v>206.67</v>
      </c>
      <c r="H272" s="8">
        <f t="shared" si="11"/>
        <v>522.16133333333335</v>
      </c>
    </row>
    <row r="273" spans="1:8" x14ac:dyDescent="0.2">
      <c r="A273" s="1" t="str">
        <v>2021-07-25</v>
      </c>
      <c r="B273" s="1">
        <v>12988529</v>
      </c>
      <c r="C273" s="1">
        <v>2194443.9300000002</v>
      </c>
      <c r="D273" s="1">
        <v>168.95</v>
      </c>
      <c r="F273" s="6">
        <f t="shared" si="12"/>
        <v>44402</v>
      </c>
      <c r="G273" s="8">
        <f t="shared" si="13"/>
        <v>168.95</v>
      </c>
      <c r="H273" s="8">
        <f t="shared" si="11"/>
        <v>506.44666666666672</v>
      </c>
    </row>
    <row r="274" spans="1:8" x14ac:dyDescent="0.2">
      <c r="A274" s="1" t="str">
        <v>2021-07-26</v>
      </c>
      <c r="B274" s="1">
        <v>23568674</v>
      </c>
      <c r="C274" s="1">
        <v>17757747.149999999</v>
      </c>
      <c r="D274" s="1">
        <v>753.45</v>
      </c>
      <c r="F274" s="6">
        <f t="shared" si="12"/>
        <v>44403</v>
      </c>
      <c r="G274" s="8">
        <f t="shared" si="13"/>
        <v>753.45</v>
      </c>
      <c r="H274" s="8">
        <f t="shared" si="11"/>
        <v>524.46733333333339</v>
      </c>
    </row>
    <row r="275" spans="1:8" x14ac:dyDescent="0.2">
      <c r="A275" s="1" t="str">
        <v>2021-07-27</v>
      </c>
      <c r="B275" s="1">
        <v>23629791</v>
      </c>
      <c r="C275" s="1">
        <v>14459427.779999999</v>
      </c>
      <c r="D275" s="1">
        <v>611.91999999999996</v>
      </c>
      <c r="F275" s="6">
        <f t="shared" si="12"/>
        <v>44404</v>
      </c>
      <c r="G275" s="8">
        <f t="shared" si="13"/>
        <v>611.91999999999996</v>
      </c>
      <c r="H275" s="8">
        <f t="shared" si="11"/>
        <v>539.23466666666661</v>
      </c>
    </row>
    <row r="276" spans="1:8" x14ac:dyDescent="0.2">
      <c r="A276" s="1" t="str">
        <v>2021-07-28</v>
      </c>
      <c r="B276" s="1">
        <v>23702852</v>
      </c>
      <c r="C276" s="1">
        <v>14327387.42</v>
      </c>
      <c r="D276" s="1">
        <v>604.46</v>
      </c>
      <c r="F276" s="6">
        <f t="shared" si="12"/>
        <v>44405</v>
      </c>
      <c r="G276" s="8">
        <f t="shared" si="13"/>
        <v>604.46</v>
      </c>
      <c r="H276" s="8">
        <f t="shared" si="11"/>
        <v>533.28733333333344</v>
      </c>
    </row>
    <row r="277" spans="1:8" x14ac:dyDescent="0.2">
      <c r="A277" s="1" t="str">
        <v>2021-07-29</v>
      </c>
      <c r="B277" s="1">
        <v>23861477</v>
      </c>
      <c r="C277" s="1">
        <v>15082823.189999999</v>
      </c>
      <c r="D277" s="1">
        <v>632.1</v>
      </c>
      <c r="F277" s="6">
        <f t="shared" si="12"/>
        <v>44406</v>
      </c>
      <c r="G277" s="8">
        <f t="shared" si="13"/>
        <v>632.1</v>
      </c>
      <c r="H277" s="8">
        <f t="shared" si="11"/>
        <v>529.68833333333339</v>
      </c>
    </row>
    <row r="278" spans="1:8" x14ac:dyDescent="0.2">
      <c r="A278" s="1" t="str">
        <v>2021-07-30</v>
      </c>
      <c r="B278" s="1">
        <v>32906974</v>
      </c>
      <c r="C278" s="1">
        <v>23362508</v>
      </c>
      <c r="D278" s="1">
        <v>709.96</v>
      </c>
      <c r="F278" s="6">
        <f t="shared" si="12"/>
        <v>44407</v>
      </c>
      <c r="G278" s="8">
        <f t="shared" si="13"/>
        <v>709.96</v>
      </c>
      <c r="H278" s="8">
        <f t="shared" si="11"/>
        <v>527.79800000000012</v>
      </c>
    </row>
    <row r="279" spans="1:8" x14ac:dyDescent="0.2">
      <c r="A279" s="1" t="str">
        <v>2021-07-31</v>
      </c>
      <c r="B279" s="1">
        <v>23171414</v>
      </c>
      <c r="C279" s="1">
        <v>5564714.8600000003</v>
      </c>
      <c r="D279" s="1">
        <v>240.15</v>
      </c>
      <c r="F279" s="6">
        <f t="shared" si="12"/>
        <v>44408</v>
      </c>
      <c r="G279" s="8">
        <f t="shared" si="13"/>
        <v>240.15</v>
      </c>
      <c r="H279" s="8">
        <f t="shared" si="11"/>
        <v>513.08866666666677</v>
      </c>
    </row>
    <row r="280" spans="1:8" x14ac:dyDescent="0.2">
      <c r="A280" s="1" t="str">
        <v>2021-08-01</v>
      </c>
      <c r="B280" s="1">
        <v>12588622</v>
      </c>
      <c r="C280" s="1">
        <v>2539237.91</v>
      </c>
      <c r="D280" s="1">
        <v>201.71</v>
      </c>
      <c r="F280" s="6">
        <f t="shared" si="12"/>
        <v>44409</v>
      </c>
      <c r="G280" s="8">
        <f t="shared" si="13"/>
        <v>201.71</v>
      </c>
      <c r="H280" s="8">
        <f t="shared" si="11"/>
        <v>499.36533333333335</v>
      </c>
    </row>
    <row r="281" spans="1:8" x14ac:dyDescent="0.2">
      <c r="A281" s="1" t="str">
        <v>2021-08-02</v>
      </c>
      <c r="B281" s="1">
        <v>29663858</v>
      </c>
      <c r="C281" s="1">
        <v>22455734.460000001</v>
      </c>
      <c r="D281" s="1">
        <v>757.01</v>
      </c>
      <c r="F281" s="6">
        <f t="shared" si="12"/>
        <v>44410</v>
      </c>
      <c r="G281" s="8">
        <f t="shared" si="13"/>
        <v>757.01</v>
      </c>
      <c r="H281" s="8">
        <f t="shared" si="11"/>
        <v>516.47866666666675</v>
      </c>
    </row>
    <row r="282" spans="1:8" x14ac:dyDescent="0.2">
      <c r="A282" s="1" t="str">
        <v>2021-08-03</v>
      </c>
      <c r="B282" s="1">
        <v>27729244</v>
      </c>
      <c r="C282" s="1">
        <v>17607194.18</v>
      </c>
      <c r="D282" s="1">
        <v>634.97</v>
      </c>
      <c r="F282" s="6">
        <f t="shared" si="12"/>
        <v>44411</v>
      </c>
      <c r="G282" s="8">
        <f t="shared" si="13"/>
        <v>634.97</v>
      </c>
      <c r="H282" s="8">
        <f t="shared" si="11"/>
        <v>530.83533333333344</v>
      </c>
    </row>
    <row r="283" spans="1:8" x14ac:dyDescent="0.2">
      <c r="A283" s="1" t="str">
        <v>2021-08-04</v>
      </c>
      <c r="B283" s="1">
        <v>28004102</v>
      </c>
      <c r="C283" s="1">
        <v>16982062.969999999</v>
      </c>
      <c r="D283" s="1">
        <v>606.41</v>
      </c>
      <c r="F283" s="6">
        <f t="shared" si="12"/>
        <v>44412</v>
      </c>
      <c r="G283" s="8">
        <f t="shared" si="13"/>
        <v>606.41</v>
      </c>
      <c r="H283" s="8">
        <f t="shared" si="11"/>
        <v>525.53633333333335</v>
      </c>
    </row>
    <row r="284" spans="1:8" x14ac:dyDescent="0.2">
      <c r="A284" s="1" t="str">
        <v>2021-08-05</v>
      </c>
      <c r="B284" s="1">
        <v>31815790</v>
      </c>
      <c r="C284" s="1">
        <v>21091243.289999999</v>
      </c>
      <c r="D284" s="1">
        <v>662.92</v>
      </c>
      <c r="F284" s="6">
        <f t="shared" si="12"/>
        <v>44413</v>
      </c>
      <c r="G284" s="8">
        <f t="shared" si="13"/>
        <v>662.92</v>
      </c>
      <c r="H284" s="8">
        <f t="shared" si="11"/>
        <v>526.90333333333342</v>
      </c>
    </row>
    <row r="285" spans="1:8" x14ac:dyDescent="0.2">
      <c r="A285" s="1" t="str">
        <v>2021-08-06</v>
      </c>
      <c r="B285" s="1">
        <v>40461988</v>
      </c>
      <c r="C285" s="1">
        <v>24872725.66</v>
      </c>
      <c r="D285" s="1">
        <v>614.72</v>
      </c>
      <c r="F285" s="6">
        <f t="shared" si="12"/>
        <v>44414</v>
      </c>
      <c r="G285" s="8">
        <f t="shared" si="13"/>
        <v>614.72</v>
      </c>
      <c r="H285" s="8">
        <f t="shared" si="11"/>
        <v>527.61633333333327</v>
      </c>
    </row>
    <row r="286" spans="1:8" x14ac:dyDescent="0.2">
      <c r="A286" s="1" t="str">
        <v>2021-08-07</v>
      </c>
      <c r="B286" s="1">
        <v>27080207</v>
      </c>
      <c r="C286" s="1">
        <v>6357386.6799999997</v>
      </c>
      <c r="D286" s="1">
        <v>234.76</v>
      </c>
      <c r="F286" s="6">
        <f t="shared" si="12"/>
        <v>44415</v>
      </c>
      <c r="G286" s="8">
        <f t="shared" si="13"/>
        <v>234.76</v>
      </c>
      <c r="H286" s="8">
        <f t="shared" si="11"/>
        <v>515.07533333333333</v>
      </c>
    </row>
    <row r="287" spans="1:8" x14ac:dyDescent="0.2">
      <c r="A287" s="1" t="str">
        <v>2021-08-08</v>
      </c>
      <c r="B287" s="1">
        <v>15210008</v>
      </c>
      <c r="C287" s="1">
        <v>3004509.8</v>
      </c>
      <c r="D287" s="1">
        <v>197.54</v>
      </c>
      <c r="F287" s="6">
        <f t="shared" si="12"/>
        <v>44416</v>
      </c>
      <c r="G287" s="8">
        <f t="shared" si="13"/>
        <v>197.54</v>
      </c>
      <c r="H287" s="8">
        <f t="shared" si="11"/>
        <v>504.49300000000005</v>
      </c>
    </row>
    <row r="288" spans="1:8" x14ac:dyDescent="0.2">
      <c r="A288" s="1" t="str">
        <v>2021-08-09</v>
      </c>
      <c r="B288" s="1">
        <v>31424740</v>
      </c>
      <c r="C288" s="1">
        <v>22009527.32</v>
      </c>
      <c r="D288" s="1">
        <v>700.39</v>
      </c>
      <c r="F288" s="6">
        <f t="shared" si="12"/>
        <v>44417</v>
      </c>
      <c r="G288" s="8">
        <f t="shared" si="13"/>
        <v>700.39</v>
      </c>
      <c r="H288" s="8">
        <f t="shared" si="11"/>
        <v>519.94466666666665</v>
      </c>
    </row>
    <row r="289" spans="1:8" x14ac:dyDescent="0.2">
      <c r="A289" s="1" t="str">
        <v>2021-08-10</v>
      </c>
      <c r="B289" s="1">
        <v>32201756</v>
      </c>
      <c r="C289" s="1">
        <v>22303439.210000001</v>
      </c>
      <c r="D289" s="1">
        <v>692.62</v>
      </c>
      <c r="F289" s="6">
        <f t="shared" si="12"/>
        <v>44418</v>
      </c>
      <c r="G289" s="8">
        <f t="shared" si="13"/>
        <v>692.62</v>
      </c>
      <c r="H289" s="8">
        <f t="shared" si="11"/>
        <v>536.50400000000002</v>
      </c>
    </row>
    <row r="290" spans="1:8" x14ac:dyDescent="0.2">
      <c r="A290" s="1" t="str">
        <v>2021-08-11</v>
      </c>
      <c r="B290" s="1">
        <v>27981443</v>
      </c>
      <c r="C290" s="1">
        <v>17187878.77</v>
      </c>
      <c r="D290" s="1">
        <v>614.26</v>
      </c>
      <c r="F290" s="6">
        <f t="shared" si="12"/>
        <v>44419</v>
      </c>
      <c r="G290" s="8">
        <f t="shared" si="13"/>
        <v>614.26</v>
      </c>
      <c r="H290" s="8">
        <f t="shared" si="11"/>
        <v>530.24966666666671</v>
      </c>
    </row>
    <row r="291" spans="1:8" x14ac:dyDescent="0.2">
      <c r="A291" s="1" t="str">
        <v>2021-08-12</v>
      </c>
      <c r="B291" s="1">
        <v>26284328</v>
      </c>
      <c r="C291" s="1">
        <v>15657105.68</v>
      </c>
      <c r="D291" s="1">
        <v>595.67999999999995</v>
      </c>
      <c r="F291" s="6">
        <f t="shared" si="12"/>
        <v>44420</v>
      </c>
      <c r="G291" s="8">
        <f t="shared" si="13"/>
        <v>595.67999999999995</v>
      </c>
      <c r="H291" s="8">
        <f t="shared" si="11"/>
        <v>529.9609999999999</v>
      </c>
    </row>
    <row r="292" spans="1:8" x14ac:dyDescent="0.2">
      <c r="A292" s="1" t="str">
        <v>2021-08-13</v>
      </c>
      <c r="B292" s="1">
        <v>29929034</v>
      </c>
      <c r="C292" s="1">
        <v>18223563.68</v>
      </c>
      <c r="D292" s="1">
        <v>608.89</v>
      </c>
      <c r="F292" s="6">
        <f t="shared" si="12"/>
        <v>44421</v>
      </c>
      <c r="G292" s="8">
        <f t="shared" si="13"/>
        <v>608.89</v>
      </c>
      <c r="H292" s="8">
        <f t="shared" si="11"/>
        <v>530.35366666666664</v>
      </c>
    </row>
    <row r="293" spans="1:8" x14ac:dyDescent="0.2">
      <c r="A293" s="1" t="str">
        <v>2021-08-14</v>
      </c>
      <c r="B293" s="1">
        <v>22721766</v>
      </c>
      <c r="C293" s="1">
        <v>5004333.1399999997</v>
      </c>
      <c r="D293" s="1">
        <v>220.24</v>
      </c>
      <c r="F293" s="6">
        <f t="shared" si="12"/>
        <v>44422</v>
      </c>
      <c r="G293" s="8">
        <f t="shared" si="13"/>
        <v>220.24</v>
      </c>
      <c r="H293" s="8">
        <f t="shared" si="11"/>
        <v>514.1873333333333</v>
      </c>
    </row>
    <row r="294" spans="1:8" x14ac:dyDescent="0.2">
      <c r="A294" s="1" t="str">
        <v>2021-08-15</v>
      </c>
      <c r="B294" s="1">
        <v>14437291</v>
      </c>
      <c r="C294" s="1">
        <v>2746297.53</v>
      </c>
      <c r="D294" s="1">
        <v>190.22</v>
      </c>
      <c r="F294" s="6">
        <f t="shared" si="12"/>
        <v>44423</v>
      </c>
      <c r="G294" s="8">
        <f t="shared" si="13"/>
        <v>190.22</v>
      </c>
      <c r="H294" s="8">
        <f t="shared" ref="H294:H357" si="14">AVERAGE(G265:G294)</f>
        <v>500.5023333333333</v>
      </c>
    </row>
    <row r="295" spans="1:8" x14ac:dyDescent="0.2">
      <c r="A295" s="1" t="str">
        <v>2021-08-16</v>
      </c>
      <c r="B295" s="1">
        <v>27555285</v>
      </c>
      <c r="C295" s="1">
        <v>22807555.280000001</v>
      </c>
      <c r="D295" s="1">
        <v>827.7</v>
      </c>
      <c r="F295" s="6">
        <f t="shared" si="12"/>
        <v>44424</v>
      </c>
      <c r="G295" s="8">
        <f t="shared" si="13"/>
        <v>827.7</v>
      </c>
      <c r="H295" s="8">
        <f t="shared" si="14"/>
        <v>520.90133333333335</v>
      </c>
    </row>
    <row r="296" spans="1:8" x14ac:dyDescent="0.2">
      <c r="A296" s="1" t="str">
        <v>2021-08-17</v>
      </c>
      <c r="B296" s="1">
        <v>25829033</v>
      </c>
      <c r="C296" s="1">
        <v>16272337.789999999</v>
      </c>
      <c r="D296" s="1">
        <v>630</v>
      </c>
      <c r="F296" s="6">
        <f t="shared" si="12"/>
        <v>44425</v>
      </c>
      <c r="G296" s="8">
        <f t="shared" si="13"/>
        <v>630</v>
      </c>
      <c r="H296" s="8">
        <f t="shared" si="14"/>
        <v>536.12700000000007</v>
      </c>
    </row>
    <row r="297" spans="1:8" x14ac:dyDescent="0.2">
      <c r="A297" s="1" t="str">
        <v>2021-08-18</v>
      </c>
      <c r="B297" s="1">
        <v>25061512</v>
      </c>
      <c r="C297" s="1">
        <v>15406606.67</v>
      </c>
      <c r="D297" s="1">
        <v>614.75</v>
      </c>
      <c r="F297" s="6">
        <f t="shared" si="12"/>
        <v>44426</v>
      </c>
      <c r="G297" s="8">
        <f t="shared" si="13"/>
        <v>614.75</v>
      </c>
      <c r="H297" s="8">
        <f t="shared" si="14"/>
        <v>532.43799999999999</v>
      </c>
    </row>
    <row r="298" spans="1:8" x14ac:dyDescent="0.2">
      <c r="A298" s="1" t="str">
        <v>2021-08-19</v>
      </c>
      <c r="B298" s="1">
        <v>25591957</v>
      </c>
      <c r="C298" s="1">
        <v>15745027.810000001</v>
      </c>
      <c r="D298" s="1">
        <v>615.23</v>
      </c>
      <c r="F298" s="6">
        <f t="shared" si="12"/>
        <v>44427</v>
      </c>
      <c r="G298" s="8">
        <f t="shared" si="13"/>
        <v>615.23</v>
      </c>
      <c r="H298" s="8">
        <f t="shared" si="14"/>
        <v>530.46333333333337</v>
      </c>
    </row>
    <row r="299" spans="1:8" x14ac:dyDescent="0.2">
      <c r="A299" s="1" t="str">
        <v>2021-08-20</v>
      </c>
      <c r="B299" s="1">
        <v>33783850</v>
      </c>
      <c r="C299" s="1">
        <v>21813279.539999999</v>
      </c>
      <c r="D299" s="1">
        <v>645.66999999999996</v>
      </c>
      <c r="F299" s="6">
        <f t="shared" si="12"/>
        <v>44428</v>
      </c>
      <c r="G299" s="8">
        <f t="shared" si="13"/>
        <v>645.66999999999996</v>
      </c>
      <c r="H299" s="8">
        <f t="shared" si="14"/>
        <v>533.15366666666671</v>
      </c>
    </row>
    <row r="300" spans="1:8" x14ac:dyDescent="0.2">
      <c r="A300" s="1" t="str">
        <v>2021-08-21</v>
      </c>
      <c r="B300" s="1">
        <v>25092034</v>
      </c>
      <c r="C300" s="1">
        <v>5121602.1900000004</v>
      </c>
      <c r="D300" s="1">
        <v>204.11</v>
      </c>
      <c r="F300" s="6">
        <f t="shared" si="12"/>
        <v>44429</v>
      </c>
      <c r="G300" s="8">
        <f t="shared" si="13"/>
        <v>204.11</v>
      </c>
      <c r="H300" s="8">
        <f t="shared" si="14"/>
        <v>521.08433333333335</v>
      </c>
    </row>
    <row r="301" spans="1:8" x14ac:dyDescent="0.2">
      <c r="A301" s="1" t="str">
        <v>2021-08-22</v>
      </c>
      <c r="B301" s="1">
        <v>14913683</v>
      </c>
      <c r="C301" s="1">
        <v>2454698.2400000002</v>
      </c>
      <c r="D301" s="1">
        <v>164.59</v>
      </c>
      <c r="F301" s="6">
        <f t="shared" si="12"/>
        <v>44430</v>
      </c>
      <c r="G301" s="8">
        <f t="shared" si="13"/>
        <v>164.59</v>
      </c>
      <c r="H301" s="8">
        <f t="shared" si="14"/>
        <v>505.4016666666667</v>
      </c>
    </row>
    <row r="302" spans="1:8" x14ac:dyDescent="0.2">
      <c r="A302" s="1" t="str">
        <v>2021-08-23</v>
      </c>
      <c r="B302" s="1">
        <v>27236546</v>
      </c>
      <c r="C302" s="1">
        <v>18806411.170000002</v>
      </c>
      <c r="D302" s="1">
        <v>690.48</v>
      </c>
      <c r="F302" s="6">
        <f t="shared" si="12"/>
        <v>44431</v>
      </c>
      <c r="G302" s="8">
        <f t="shared" si="13"/>
        <v>690.48</v>
      </c>
      <c r="H302" s="8">
        <f t="shared" si="14"/>
        <v>521.52866666666671</v>
      </c>
    </row>
    <row r="303" spans="1:8" x14ac:dyDescent="0.2">
      <c r="A303" s="1" t="str">
        <v>2021-08-24</v>
      </c>
      <c r="B303" s="1">
        <v>26697300</v>
      </c>
      <c r="C303" s="1">
        <v>16159384.279999999</v>
      </c>
      <c r="D303" s="1">
        <v>605.28</v>
      </c>
      <c r="F303" s="6">
        <f t="shared" si="12"/>
        <v>44432</v>
      </c>
      <c r="G303" s="8">
        <f t="shared" si="13"/>
        <v>605.28</v>
      </c>
      <c r="H303" s="8">
        <f t="shared" si="14"/>
        <v>536.07300000000009</v>
      </c>
    </row>
    <row r="304" spans="1:8" x14ac:dyDescent="0.2">
      <c r="A304" s="1" t="str">
        <v>2021-08-25</v>
      </c>
      <c r="B304" s="1">
        <v>27769189</v>
      </c>
      <c r="C304" s="1">
        <v>17853652.140000001</v>
      </c>
      <c r="D304" s="1">
        <v>642.92999999999995</v>
      </c>
      <c r="F304" s="6">
        <f t="shared" si="12"/>
        <v>44433</v>
      </c>
      <c r="G304" s="8">
        <f t="shared" si="13"/>
        <v>642.92999999999995</v>
      </c>
      <c r="H304" s="8">
        <f t="shared" si="14"/>
        <v>532.38900000000001</v>
      </c>
    </row>
    <row r="305" spans="1:8" x14ac:dyDescent="0.2">
      <c r="A305" s="1" t="str">
        <v>2021-08-26</v>
      </c>
      <c r="B305" s="1">
        <v>27088735</v>
      </c>
      <c r="C305" s="1">
        <v>16007378.25</v>
      </c>
      <c r="D305" s="1">
        <v>590.91999999999996</v>
      </c>
      <c r="F305" s="6">
        <f t="shared" si="12"/>
        <v>44434</v>
      </c>
      <c r="G305" s="8">
        <f t="shared" si="13"/>
        <v>590.91999999999996</v>
      </c>
      <c r="H305" s="8">
        <f t="shared" si="14"/>
        <v>531.68900000000008</v>
      </c>
    </row>
    <row r="306" spans="1:8" x14ac:dyDescent="0.2">
      <c r="A306" s="1" t="str">
        <v>2021-08-27</v>
      </c>
      <c r="B306" s="1">
        <v>28170541</v>
      </c>
      <c r="C306" s="1">
        <v>17366603.989999998</v>
      </c>
      <c r="D306" s="1">
        <v>616.48</v>
      </c>
      <c r="F306" s="6">
        <f t="shared" si="12"/>
        <v>44435</v>
      </c>
      <c r="G306" s="8">
        <f t="shared" si="13"/>
        <v>616.48</v>
      </c>
      <c r="H306" s="8">
        <f t="shared" si="14"/>
        <v>532.08966666666674</v>
      </c>
    </row>
    <row r="307" spans="1:8" x14ac:dyDescent="0.2">
      <c r="A307" s="1" t="str">
        <v>2021-08-28</v>
      </c>
      <c r="B307" s="1">
        <v>25545867</v>
      </c>
      <c r="C307" s="1">
        <v>5658627.7599999998</v>
      </c>
      <c r="D307" s="1">
        <v>221.51</v>
      </c>
      <c r="F307" s="6">
        <f t="shared" si="12"/>
        <v>44436</v>
      </c>
      <c r="G307" s="8">
        <f t="shared" si="13"/>
        <v>221.51</v>
      </c>
      <c r="H307" s="8">
        <f t="shared" si="14"/>
        <v>518.40333333333342</v>
      </c>
    </row>
    <row r="308" spans="1:8" x14ac:dyDescent="0.2">
      <c r="A308" s="1" t="str">
        <v>2021-08-29</v>
      </c>
      <c r="B308" s="1">
        <v>15204286</v>
      </c>
      <c r="C308" s="1">
        <v>2551961.7000000002</v>
      </c>
      <c r="D308" s="1">
        <v>167.84</v>
      </c>
      <c r="F308" s="6">
        <f t="shared" si="12"/>
        <v>44437</v>
      </c>
      <c r="G308" s="8">
        <f t="shared" si="13"/>
        <v>167.84</v>
      </c>
      <c r="H308" s="8">
        <f t="shared" si="14"/>
        <v>500.3326666666668</v>
      </c>
    </row>
    <row r="309" spans="1:8" x14ac:dyDescent="0.2">
      <c r="A309" s="1" t="str">
        <v>2021-08-30</v>
      </c>
      <c r="B309" s="1">
        <v>28752232</v>
      </c>
      <c r="C309" s="1">
        <v>22840711.059999999</v>
      </c>
      <c r="D309" s="1">
        <v>794.4</v>
      </c>
      <c r="F309" s="6">
        <f t="shared" si="12"/>
        <v>44438</v>
      </c>
      <c r="G309" s="8">
        <f t="shared" si="13"/>
        <v>794.4</v>
      </c>
      <c r="H309" s="8">
        <f t="shared" si="14"/>
        <v>518.80766666666671</v>
      </c>
    </row>
    <row r="310" spans="1:8" x14ac:dyDescent="0.2">
      <c r="A310" s="1" t="str">
        <v>2021-08-31</v>
      </c>
      <c r="B310" s="1">
        <v>33364622</v>
      </c>
      <c r="C310" s="1">
        <v>23096470.050000001</v>
      </c>
      <c r="D310" s="1">
        <v>692.24</v>
      </c>
      <c r="F310" s="6">
        <f t="shared" si="12"/>
        <v>44439</v>
      </c>
      <c r="G310" s="8">
        <f t="shared" si="13"/>
        <v>692.24</v>
      </c>
      <c r="H310" s="8">
        <f t="shared" si="14"/>
        <v>535.1586666666667</v>
      </c>
    </row>
    <row r="311" spans="1:8" x14ac:dyDescent="0.2">
      <c r="A311" s="1" t="str">
        <v>2021-09-01</v>
      </c>
      <c r="B311" s="1">
        <v>33618042</v>
      </c>
      <c r="C311" s="1">
        <v>21389034.699999999</v>
      </c>
      <c r="D311" s="1">
        <v>636.24</v>
      </c>
      <c r="F311" s="6">
        <f t="shared" si="12"/>
        <v>44440</v>
      </c>
      <c r="G311" s="8">
        <f t="shared" si="13"/>
        <v>636.24</v>
      </c>
      <c r="H311" s="8">
        <f t="shared" si="14"/>
        <v>531.13300000000004</v>
      </c>
    </row>
    <row r="312" spans="1:8" x14ac:dyDescent="0.2">
      <c r="A312" s="1" t="str">
        <v>2021-09-02</v>
      </c>
      <c r="B312" s="1">
        <v>32231043</v>
      </c>
      <c r="C312" s="1">
        <v>19878090.43</v>
      </c>
      <c r="D312" s="1">
        <v>616.74</v>
      </c>
      <c r="F312" s="6">
        <f t="shared" si="12"/>
        <v>44441</v>
      </c>
      <c r="G312" s="8">
        <f t="shared" si="13"/>
        <v>616.74</v>
      </c>
      <c r="H312" s="8">
        <f t="shared" si="14"/>
        <v>530.52533333333338</v>
      </c>
    </row>
    <row r="313" spans="1:8" x14ac:dyDescent="0.2">
      <c r="A313" s="1" t="str">
        <v>2021-09-03</v>
      </c>
      <c r="B313" s="1">
        <v>37646230</v>
      </c>
      <c r="C313" s="1">
        <v>24302454.43</v>
      </c>
      <c r="D313" s="1">
        <v>645.54999999999995</v>
      </c>
      <c r="F313" s="6">
        <f t="shared" si="12"/>
        <v>44442</v>
      </c>
      <c r="G313" s="8">
        <f t="shared" si="13"/>
        <v>645.54999999999995</v>
      </c>
      <c r="H313" s="8">
        <f t="shared" si="14"/>
        <v>531.83000000000004</v>
      </c>
    </row>
    <row r="314" spans="1:8" x14ac:dyDescent="0.2">
      <c r="A314" s="1" t="str">
        <v>2021-09-04</v>
      </c>
      <c r="B314" s="1">
        <v>28165373</v>
      </c>
      <c r="C314" s="1">
        <v>6733474.4000000004</v>
      </c>
      <c r="D314" s="1">
        <v>239.07</v>
      </c>
      <c r="F314" s="6">
        <f t="shared" si="12"/>
        <v>44443</v>
      </c>
      <c r="G314" s="8">
        <f t="shared" si="13"/>
        <v>239.07</v>
      </c>
      <c r="H314" s="8">
        <f t="shared" si="14"/>
        <v>517.7016666666666</v>
      </c>
    </row>
    <row r="315" spans="1:8" x14ac:dyDescent="0.2">
      <c r="A315" s="1" t="str">
        <v>2021-09-05</v>
      </c>
      <c r="B315" s="1">
        <v>16860105</v>
      </c>
      <c r="C315" s="1">
        <v>3263236.6</v>
      </c>
      <c r="D315" s="1">
        <v>193.55</v>
      </c>
      <c r="F315" s="6">
        <f t="shared" si="12"/>
        <v>44444</v>
      </c>
      <c r="G315" s="8">
        <f t="shared" si="13"/>
        <v>193.55</v>
      </c>
      <c r="H315" s="8">
        <f t="shared" si="14"/>
        <v>503.66266666666655</v>
      </c>
    </row>
    <row r="316" spans="1:8" x14ac:dyDescent="0.2">
      <c r="A316" s="1" t="str">
        <v>2021-09-06</v>
      </c>
      <c r="B316" s="1">
        <v>35746869</v>
      </c>
      <c r="C316" s="1">
        <v>24461253.670000002</v>
      </c>
      <c r="D316" s="1">
        <v>684.29</v>
      </c>
      <c r="F316" s="6">
        <f t="shared" si="12"/>
        <v>44445</v>
      </c>
      <c r="G316" s="8">
        <f t="shared" si="13"/>
        <v>684.29</v>
      </c>
      <c r="H316" s="8">
        <f t="shared" si="14"/>
        <v>518.64700000000005</v>
      </c>
    </row>
    <row r="317" spans="1:8" x14ac:dyDescent="0.2">
      <c r="A317" s="1" t="str">
        <v>2021-09-07</v>
      </c>
      <c r="B317" s="1">
        <v>21091322</v>
      </c>
      <c r="C317" s="1">
        <v>5481989.8899999997</v>
      </c>
      <c r="D317" s="1">
        <v>259.92</v>
      </c>
      <c r="F317" s="6">
        <f t="shared" si="12"/>
        <v>44446</v>
      </c>
      <c r="G317" s="8">
        <f t="shared" si="13"/>
        <v>259.92</v>
      </c>
      <c r="H317" s="8">
        <f t="shared" si="14"/>
        <v>520.72633333333329</v>
      </c>
    </row>
    <row r="318" spans="1:8" x14ac:dyDescent="0.2">
      <c r="A318" s="1" t="str">
        <v>2021-09-08</v>
      </c>
      <c r="B318" s="1">
        <v>36286271</v>
      </c>
      <c r="C318" s="1">
        <v>22714099.210000001</v>
      </c>
      <c r="D318" s="1">
        <v>625.97</v>
      </c>
      <c r="F318" s="6">
        <f t="shared" si="12"/>
        <v>44447</v>
      </c>
      <c r="G318" s="8">
        <f t="shared" si="13"/>
        <v>625.97</v>
      </c>
      <c r="H318" s="8">
        <f t="shared" si="14"/>
        <v>518.24566666666647</v>
      </c>
    </row>
    <row r="319" spans="1:8" x14ac:dyDescent="0.2">
      <c r="A319" s="1" t="str">
        <v>2021-09-09</v>
      </c>
      <c r="B319" s="1">
        <v>34186814</v>
      </c>
      <c r="C319" s="1">
        <v>21063190.100000001</v>
      </c>
      <c r="D319" s="1">
        <v>616.12</v>
      </c>
      <c r="F319" s="6">
        <f t="shared" si="12"/>
        <v>44448</v>
      </c>
      <c r="G319" s="8">
        <f t="shared" si="13"/>
        <v>616.12</v>
      </c>
      <c r="H319" s="8">
        <f t="shared" si="14"/>
        <v>515.69566666666663</v>
      </c>
    </row>
    <row r="320" spans="1:8" x14ac:dyDescent="0.2">
      <c r="A320" s="1" t="str">
        <v>2021-09-10</v>
      </c>
      <c r="B320" s="1">
        <v>38148657</v>
      </c>
      <c r="C320" s="1">
        <v>26355645.27</v>
      </c>
      <c r="D320" s="1">
        <v>690.87</v>
      </c>
      <c r="F320" s="6">
        <f t="shared" si="12"/>
        <v>44449</v>
      </c>
      <c r="G320" s="8">
        <f t="shared" si="13"/>
        <v>690.87</v>
      </c>
      <c r="H320" s="8">
        <f t="shared" si="14"/>
        <v>518.24933333333331</v>
      </c>
    </row>
    <row r="321" spans="1:8" x14ac:dyDescent="0.2">
      <c r="A321" s="1" t="str">
        <v>2021-09-11</v>
      </c>
      <c r="B321" s="1">
        <v>26166248</v>
      </c>
      <c r="C321" s="1">
        <v>5884520.8499999996</v>
      </c>
      <c r="D321" s="1">
        <v>224.89</v>
      </c>
      <c r="F321" s="6">
        <f t="shared" si="12"/>
        <v>44450</v>
      </c>
      <c r="G321" s="8">
        <f t="shared" si="13"/>
        <v>224.89</v>
      </c>
      <c r="H321" s="8">
        <f t="shared" si="14"/>
        <v>505.88966666666664</v>
      </c>
    </row>
    <row r="322" spans="1:8" x14ac:dyDescent="0.2">
      <c r="A322" s="1" t="str">
        <v>2021-09-12</v>
      </c>
      <c r="B322" s="1">
        <v>16043370</v>
      </c>
      <c r="C322" s="1">
        <v>2837941.74</v>
      </c>
      <c r="D322" s="1">
        <v>176.89</v>
      </c>
      <c r="F322" s="6">
        <f t="shared" si="12"/>
        <v>44451</v>
      </c>
      <c r="G322" s="8">
        <f t="shared" si="13"/>
        <v>176.89</v>
      </c>
      <c r="H322" s="8">
        <f t="shared" si="14"/>
        <v>491.48966666666661</v>
      </c>
    </row>
    <row r="323" spans="1:8" x14ac:dyDescent="0.2">
      <c r="A323" s="1" t="str">
        <v>2021-09-13</v>
      </c>
      <c r="B323" s="1">
        <v>29759311</v>
      </c>
      <c r="C323" s="1">
        <v>20981291.210000001</v>
      </c>
      <c r="D323" s="1">
        <v>705.03</v>
      </c>
      <c r="F323" s="6">
        <f t="shared" si="12"/>
        <v>44452</v>
      </c>
      <c r="G323" s="8">
        <f t="shared" si="13"/>
        <v>705.03</v>
      </c>
      <c r="H323" s="8">
        <f t="shared" si="14"/>
        <v>507.64933333333323</v>
      </c>
    </row>
    <row r="324" spans="1:8" x14ac:dyDescent="0.2">
      <c r="A324" s="1" t="str">
        <v>2021-09-14</v>
      </c>
      <c r="B324" s="1">
        <v>29068328</v>
      </c>
      <c r="C324" s="1">
        <v>18047897</v>
      </c>
      <c r="D324" s="1">
        <v>620.88</v>
      </c>
      <c r="F324" s="6">
        <f t="shared" si="12"/>
        <v>44453</v>
      </c>
      <c r="G324" s="8">
        <f t="shared" si="13"/>
        <v>620.88</v>
      </c>
      <c r="H324" s="8">
        <f t="shared" si="14"/>
        <v>522.00466666666659</v>
      </c>
    </row>
    <row r="325" spans="1:8" x14ac:dyDescent="0.2">
      <c r="A325" s="1" t="str">
        <v>2021-09-15</v>
      </c>
      <c r="B325" s="1">
        <v>33436586</v>
      </c>
      <c r="C325" s="1">
        <v>22115177.649999999</v>
      </c>
      <c r="D325" s="1">
        <v>661.41</v>
      </c>
      <c r="F325" s="6">
        <f t="shared" si="12"/>
        <v>44454</v>
      </c>
      <c r="G325" s="8">
        <f t="shared" si="13"/>
        <v>661.41</v>
      </c>
      <c r="H325" s="8">
        <f t="shared" si="14"/>
        <v>516.46166666666659</v>
      </c>
    </row>
    <row r="326" spans="1:8" x14ac:dyDescent="0.2">
      <c r="A326" s="1" t="str">
        <v>2021-09-16</v>
      </c>
      <c r="B326" s="1">
        <v>29115784</v>
      </c>
      <c r="C326" s="1">
        <v>17988658.98</v>
      </c>
      <c r="D326" s="1">
        <v>617.83000000000004</v>
      </c>
      <c r="F326" s="6">
        <f t="shared" si="12"/>
        <v>44455</v>
      </c>
      <c r="G326" s="8">
        <f t="shared" si="13"/>
        <v>617.83000000000004</v>
      </c>
      <c r="H326" s="8">
        <f t="shared" si="14"/>
        <v>516.05599999999993</v>
      </c>
    </row>
    <row r="327" spans="1:8" x14ac:dyDescent="0.2">
      <c r="A327" s="1" t="str">
        <v>2021-09-17</v>
      </c>
      <c r="B327" s="1">
        <v>31723593</v>
      </c>
      <c r="C327" s="1">
        <v>19117262.210000001</v>
      </c>
      <c r="D327" s="1">
        <v>602.62</v>
      </c>
      <c r="F327" s="6">
        <f t="shared" si="12"/>
        <v>44456</v>
      </c>
      <c r="G327" s="8">
        <f t="shared" si="13"/>
        <v>602.62</v>
      </c>
      <c r="H327" s="8">
        <f t="shared" si="14"/>
        <v>515.65166666666653</v>
      </c>
    </row>
    <row r="328" spans="1:8" x14ac:dyDescent="0.2">
      <c r="A328" s="1" t="str">
        <v>2021-09-18</v>
      </c>
      <c r="B328" s="1">
        <v>25395691</v>
      </c>
      <c r="C328" s="1">
        <v>5280537.8099999996</v>
      </c>
      <c r="D328" s="1">
        <v>207.93</v>
      </c>
      <c r="F328" s="6">
        <f t="shared" si="12"/>
        <v>44457</v>
      </c>
      <c r="G328" s="8">
        <f t="shared" si="13"/>
        <v>207.93</v>
      </c>
      <c r="H328" s="8">
        <f t="shared" si="14"/>
        <v>502.07499999999999</v>
      </c>
    </row>
    <row r="329" spans="1:8" x14ac:dyDescent="0.2">
      <c r="A329" s="1" t="str">
        <v>2021-09-19</v>
      </c>
      <c r="B329" s="1">
        <v>15833764</v>
      </c>
      <c r="C329" s="1">
        <v>2642456.17</v>
      </c>
      <c r="D329" s="1">
        <v>166.89</v>
      </c>
      <c r="F329" s="6">
        <f t="shared" ref="F329:F392" si="15">DATE(LEFT(A329,4),MID(A329,6,2),RIGHT(A329,2))</f>
        <v>44458</v>
      </c>
      <c r="G329" s="8">
        <f t="shared" ref="G329:G392" si="16">D329</f>
        <v>166.89</v>
      </c>
      <c r="H329" s="8">
        <f t="shared" si="14"/>
        <v>486.11566666666664</v>
      </c>
    </row>
    <row r="330" spans="1:8" x14ac:dyDescent="0.2">
      <c r="A330" s="1" t="str">
        <v>2021-09-20</v>
      </c>
      <c r="B330" s="1">
        <v>32761418</v>
      </c>
      <c r="C330" s="1">
        <v>24455083.09</v>
      </c>
      <c r="D330" s="1">
        <v>746.46</v>
      </c>
      <c r="F330" s="6">
        <f t="shared" si="15"/>
        <v>44459</v>
      </c>
      <c r="G330" s="8">
        <f t="shared" si="16"/>
        <v>746.46</v>
      </c>
      <c r="H330" s="8">
        <f t="shared" si="14"/>
        <v>504.19400000000002</v>
      </c>
    </row>
    <row r="331" spans="1:8" x14ac:dyDescent="0.2">
      <c r="A331" s="1" t="str">
        <v>2021-09-21</v>
      </c>
      <c r="B331" s="1">
        <v>30428774</v>
      </c>
      <c r="C331" s="1">
        <v>18714939.170000002</v>
      </c>
      <c r="D331" s="1">
        <v>615.04</v>
      </c>
      <c r="F331" s="6">
        <f t="shared" si="15"/>
        <v>44460</v>
      </c>
      <c r="G331" s="8">
        <f t="shared" si="16"/>
        <v>615.04</v>
      </c>
      <c r="H331" s="8">
        <f t="shared" si="14"/>
        <v>519.20900000000006</v>
      </c>
    </row>
    <row r="332" spans="1:8" x14ac:dyDescent="0.2">
      <c r="A332" s="1" t="str">
        <v>2021-09-22</v>
      </c>
      <c r="B332" s="1">
        <v>29537470</v>
      </c>
      <c r="C332" s="1">
        <v>17000545.73</v>
      </c>
      <c r="D332" s="1">
        <v>575.55999999999995</v>
      </c>
      <c r="F332" s="6">
        <f t="shared" si="15"/>
        <v>44461</v>
      </c>
      <c r="G332" s="8">
        <f t="shared" si="16"/>
        <v>575.55999999999995</v>
      </c>
      <c r="H332" s="8">
        <f t="shared" si="14"/>
        <v>515.37833333333333</v>
      </c>
    </row>
    <row r="333" spans="1:8" x14ac:dyDescent="0.2">
      <c r="A333" s="1" t="str">
        <v>2021-09-23</v>
      </c>
      <c r="B333" s="1">
        <v>28739151</v>
      </c>
      <c r="C333" s="1">
        <v>17009697.100000001</v>
      </c>
      <c r="D333" s="1">
        <v>591.86</v>
      </c>
      <c r="F333" s="6">
        <f t="shared" si="15"/>
        <v>44462</v>
      </c>
      <c r="G333" s="8">
        <f t="shared" si="16"/>
        <v>591.86</v>
      </c>
      <c r="H333" s="8">
        <f t="shared" si="14"/>
        <v>514.93100000000004</v>
      </c>
    </row>
    <row r="334" spans="1:8" x14ac:dyDescent="0.2">
      <c r="A334" s="1" t="str">
        <v>2021-09-24</v>
      </c>
      <c r="B334" s="1">
        <v>32496950</v>
      </c>
      <c r="C334" s="1">
        <v>19389795.5</v>
      </c>
      <c r="D334" s="1">
        <v>596.66999999999996</v>
      </c>
      <c r="F334" s="6">
        <f t="shared" si="15"/>
        <v>44463</v>
      </c>
      <c r="G334" s="8">
        <f t="shared" si="16"/>
        <v>596.66999999999996</v>
      </c>
      <c r="H334" s="8">
        <f t="shared" si="14"/>
        <v>513.38900000000001</v>
      </c>
    </row>
    <row r="335" spans="1:8" x14ac:dyDescent="0.2">
      <c r="A335" s="1" t="str">
        <v>2021-09-25</v>
      </c>
      <c r="B335" s="1">
        <v>25668813</v>
      </c>
      <c r="C335" s="1">
        <v>5088310.42</v>
      </c>
      <c r="D335" s="1">
        <v>198.23</v>
      </c>
      <c r="F335" s="6">
        <f t="shared" si="15"/>
        <v>44464</v>
      </c>
      <c r="G335" s="8">
        <f t="shared" si="16"/>
        <v>198.23</v>
      </c>
      <c r="H335" s="8">
        <f t="shared" si="14"/>
        <v>500.29933333333332</v>
      </c>
    </row>
    <row r="336" spans="1:8" x14ac:dyDescent="0.2">
      <c r="A336" s="1" t="str">
        <v>2021-09-26</v>
      </c>
      <c r="B336" s="1">
        <v>16060276</v>
      </c>
      <c r="C336" s="1">
        <v>2536782.42</v>
      </c>
      <c r="D336" s="1">
        <v>157.94999999999999</v>
      </c>
      <c r="F336" s="6">
        <f t="shared" si="15"/>
        <v>44465</v>
      </c>
      <c r="G336" s="8">
        <f t="shared" si="16"/>
        <v>157.94999999999999</v>
      </c>
      <c r="H336" s="8">
        <f t="shared" si="14"/>
        <v>485.01500000000004</v>
      </c>
    </row>
    <row r="337" spans="1:8" x14ac:dyDescent="0.2">
      <c r="A337" s="1" t="str">
        <v>2021-09-27</v>
      </c>
      <c r="B337" s="1">
        <v>28691395</v>
      </c>
      <c r="C337" s="1">
        <v>21096437.48</v>
      </c>
      <c r="D337" s="1">
        <v>735.29</v>
      </c>
      <c r="F337" s="6">
        <f t="shared" si="15"/>
        <v>44466</v>
      </c>
      <c r="G337" s="8">
        <f t="shared" si="16"/>
        <v>735.29</v>
      </c>
      <c r="H337" s="8">
        <f t="shared" si="14"/>
        <v>502.14100000000013</v>
      </c>
    </row>
    <row r="338" spans="1:8" x14ac:dyDescent="0.2">
      <c r="A338" s="1" t="str">
        <v>2021-09-28</v>
      </c>
      <c r="B338" s="1">
        <v>28840568</v>
      </c>
      <c r="C338" s="1">
        <v>17964083.350000001</v>
      </c>
      <c r="D338" s="1">
        <v>622.88</v>
      </c>
      <c r="F338" s="6">
        <f t="shared" si="15"/>
        <v>44467</v>
      </c>
      <c r="G338" s="8">
        <f t="shared" si="16"/>
        <v>622.88</v>
      </c>
      <c r="H338" s="8">
        <f t="shared" si="14"/>
        <v>517.30900000000008</v>
      </c>
    </row>
    <row r="339" spans="1:8" x14ac:dyDescent="0.2">
      <c r="A339" s="1" t="str">
        <v>2021-09-29</v>
      </c>
      <c r="B339" s="1">
        <v>29911830</v>
      </c>
      <c r="C339" s="1">
        <v>18902824.789999999</v>
      </c>
      <c r="D339" s="1">
        <v>631.95000000000005</v>
      </c>
      <c r="F339" s="6">
        <f t="shared" si="15"/>
        <v>44468</v>
      </c>
      <c r="G339" s="8">
        <f t="shared" si="16"/>
        <v>631.95000000000005</v>
      </c>
      <c r="H339" s="8">
        <f t="shared" si="14"/>
        <v>511.89400000000018</v>
      </c>
    </row>
    <row r="340" spans="1:8" x14ac:dyDescent="0.2">
      <c r="A340" s="1" t="str">
        <v>2021-09-30</v>
      </c>
      <c r="B340" s="1">
        <v>37554104</v>
      </c>
      <c r="C340" s="1">
        <v>26944627.329999998</v>
      </c>
      <c r="D340" s="1">
        <v>717.49</v>
      </c>
      <c r="F340" s="6">
        <f t="shared" si="15"/>
        <v>44469</v>
      </c>
      <c r="G340" s="8">
        <f t="shared" si="16"/>
        <v>717.49</v>
      </c>
      <c r="H340" s="8">
        <f t="shared" si="14"/>
        <v>512.73566666666682</v>
      </c>
    </row>
    <row r="341" spans="1:8" x14ac:dyDescent="0.2">
      <c r="A341" s="1" t="str">
        <v>2021-10-01</v>
      </c>
      <c r="B341" s="1">
        <v>40881959</v>
      </c>
      <c r="C341" s="1">
        <v>26827201.010000002</v>
      </c>
      <c r="D341" s="1">
        <v>656.21</v>
      </c>
      <c r="F341" s="6">
        <f t="shared" si="15"/>
        <v>44470</v>
      </c>
      <c r="G341" s="8">
        <f t="shared" si="16"/>
        <v>656.21</v>
      </c>
      <c r="H341" s="8">
        <f t="shared" si="14"/>
        <v>513.40133333333335</v>
      </c>
    </row>
    <row r="342" spans="1:8" x14ac:dyDescent="0.2">
      <c r="A342" s="1" t="str">
        <v>2021-10-02</v>
      </c>
      <c r="B342" s="1">
        <v>30049651</v>
      </c>
      <c r="C342" s="1">
        <v>6627850</v>
      </c>
      <c r="D342" s="1">
        <v>220.56</v>
      </c>
      <c r="F342" s="6">
        <f t="shared" si="15"/>
        <v>44471</v>
      </c>
      <c r="G342" s="8">
        <f t="shared" si="16"/>
        <v>220.56</v>
      </c>
      <c r="H342" s="8">
        <f t="shared" si="14"/>
        <v>500.19533333333328</v>
      </c>
    </row>
    <row r="343" spans="1:8" x14ac:dyDescent="0.2">
      <c r="A343" s="1" t="str">
        <v>2021-10-03</v>
      </c>
      <c r="B343" s="1">
        <v>18201441</v>
      </c>
      <c r="C343" s="1">
        <v>3294638.15</v>
      </c>
      <c r="D343" s="1">
        <v>181.01</v>
      </c>
      <c r="F343" s="6">
        <f t="shared" si="15"/>
        <v>44472</v>
      </c>
      <c r="G343" s="8">
        <f t="shared" si="16"/>
        <v>181.01</v>
      </c>
      <c r="H343" s="8">
        <f t="shared" si="14"/>
        <v>484.71066666666667</v>
      </c>
    </row>
    <row r="344" spans="1:8" x14ac:dyDescent="0.2">
      <c r="A344" s="1" t="str">
        <v>2021-10-04</v>
      </c>
      <c r="B344" s="1">
        <v>29323614</v>
      </c>
      <c r="C344" s="1">
        <v>22043656.309999999</v>
      </c>
      <c r="D344" s="1">
        <v>751.74</v>
      </c>
      <c r="F344" s="6">
        <f t="shared" si="15"/>
        <v>44473</v>
      </c>
      <c r="G344" s="8">
        <f t="shared" si="16"/>
        <v>751.74</v>
      </c>
      <c r="H344" s="8">
        <f t="shared" si="14"/>
        <v>501.79966666666667</v>
      </c>
    </row>
    <row r="345" spans="1:8" x14ac:dyDescent="0.2">
      <c r="A345" s="1" t="str">
        <v>2021-10-05</v>
      </c>
      <c r="B345" s="1">
        <v>38660923</v>
      </c>
      <c r="C345" s="1">
        <v>25157004.600000001</v>
      </c>
      <c r="D345" s="1">
        <v>650.71</v>
      </c>
      <c r="F345" s="6">
        <f t="shared" si="15"/>
        <v>44474</v>
      </c>
      <c r="G345" s="8">
        <f t="shared" si="16"/>
        <v>650.71</v>
      </c>
      <c r="H345" s="8">
        <f t="shared" si="14"/>
        <v>517.03833333333341</v>
      </c>
    </row>
    <row r="346" spans="1:8" x14ac:dyDescent="0.2">
      <c r="A346" s="1" t="str">
        <v>2021-10-06</v>
      </c>
      <c r="B346" s="1">
        <v>44765258</v>
      </c>
      <c r="C346" s="1">
        <v>25643478.260000002</v>
      </c>
      <c r="D346" s="1">
        <v>572.84</v>
      </c>
      <c r="F346" s="6">
        <f t="shared" si="15"/>
        <v>44475</v>
      </c>
      <c r="G346" s="8">
        <f t="shared" si="16"/>
        <v>572.84</v>
      </c>
      <c r="H346" s="8">
        <f t="shared" si="14"/>
        <v>513.32333333333338</v>
      </c>
    </row>
    <row r="347" spans="1:8" x14ac:dyDescent="0.2">
      <c r="A347" s="1" t="str">
        <v>2021-10-07</v>
      </c>
      <c r="B347" s="1">
        <v>42036135</v>
      </c>
      <c r="C347" s="1">
        <v>23251313.809999999</v>
      </c>
      <c r="D347" s="1">
        <v>553.13</v>
      </c>
      <c r="F347" s="6">
        <f t="shared" si="15"/>
        <v>44476</v>
      </c>
      <c r="G347" s="8">
        <f t="shared" si="16"/>
        <v>553.13</v>
      </c>
      <c r="H347" s="8">
        <f t="shared" si="14"/>
        <v>523.09699999999998</v>
      </c>
    </row>
    <row r="348" spans="1:8" x14ac:dyDescent="0.2">
      <c r="A348" s="1" t="str">
        <v>2021-10-08</v>
      </c>
      <c r="B348" s="1">
        <v>42485818</v>
      </c>
      <c r="C348" s="1">
        <v>25155844.129999999</v>
      </c>
      <c r="D348" s="1">
        <v>592.1</v>
      </c>
      <c r="F348" s="6">
        <f t="shared" si="15"/>
        <v>44477</v>
      </c>
      <c r="G348" s="8">
        <f t="shared" si="16"/>
        <v>592.1</v>
      </c>
      <c r="H348" s="8">
        <f t="shared" si="14"/>
        <v>521.96799999999996</v>
      </c>
    </row>
    <row r="349" spans="1:8" x14ac:dyDescent="0.2">
      <c r="A349" s="1" t="str">
        <v>2021-10-09</v>
      </c>
      <c r="B349" s="1">
        <v>29958791</v>
      </c>
      <c r="C349" s="1">
        <v>6692422.5899999999</v>
      </c>
      <c r="D349" s="1">
        <v>223.39</v>
      </c>
      <c r="F349" s="6">
        <f t="shared" si="15"/>
        <v>44478</v>
      </c>
      <c r="G349" s="8">
        <f t="shared" si="16"/>
        <v>223.39</v>
      </c>
      <c r="H349" s="8">
        <f t="shared" si="14"/>
        <v>508.8769999999999</v>
      </c>
    </row>
    <row r="350" spans="1:8" x14ac:dyDescent="0.2">
      <c r="A350" s="1" t="str">
        <v>2021-10-10</v>
      </c>
      <c r="B350" s="1">
        <v>19111200</v>
      </c>
      <c r="C350" s="1">
        <v>3603134.04</v>
      </c>
      <c r="D350" s="1">
        <v>188.54</v>
      </c>
      <c r="F350" s="6">
        <f t="shared" si="15"/>
        <v>44479</v>
      </c>
      <c r="G350" s="8">
        <f t="shared" si="16"/>
        <v>188.54</v>
      </c>
      <c r="H350" s="8">
        <f t="shared" si="14"/>
        <v>492.13266666666664</v>
      </c>
    </row>
    <row r="351" spans="1:8" x14ac:dyDescent="0.2">
      <c r="A351" s="1" t="str">
        <v>2021-10-11</v>
      </c>
      <c r="B351" s="1">
        <v>35006742</v>
      </c>
      <c r="C351" s="1">
        <v>24216560.300000001</v>
      </c>
      <c r="D351" s="1">
        <v>691.77</v>
      </c>
      <c r="F351" s="6">
        <f t="shared" si="15"/>
        <v>44480</v>
      </c>
      <c r="G351" s="8">
        <f t="shared" si="16"/>
        <v>691.77</v>
      </c>
      <c r="H351" s="8">
        <f t="shared" si="14"/>
        <v>507.69533333333334</v>
      </c>
    </row>
    <row r="352" spans="1:8" x14ac:dyDescent="0.2">
      <c r="A352" s="1" t="str">
        <v>2021-10-12</v>
      </c>
      <c r="B352" s="1">
        <v>20381587</v>
      </c>
      <c r="C352" s="1">
        <v>4550892.7699999996</v>
      </c>
      <c r="D352" s="1">
        <v>223.28</v>
      </c>
      <c r="F352" s="6">
        <f t="shared" si="15"/>
        <v>44481</v>
      </c>
      <c r="G352" s="8">
        <f t="shared" si="16"/>
        <v>223.28</v>
      </c>
      <c r="H352" s="8">
        <f t="shared" si="14"/>
        <v>509.24166666666673</v>
      </c>
    </row>
    <row r="353" spans="1:8" x14ac:dyDescent="0.2">
      <c r="A353" s="1" t="str">
        <v>2021-10-13</v>
      </c>
      <c r="B353" s="1">
        <v>33626164</v>
      </c>
      <c r="C353" s="1">
        <v>21979978.989999998</v>
      </c>
      <c r="D353" s="1">
        <v>653.66</v>
      </c>
      <c r="F353" s="6">
        <f t="shared" si="15"/>
        <v>44482</v>
      </c>
      <c r="G353" s="8">
        <f t="shared" si="16"/>
        <v>653.66</v>
      </c>
      <c r="H353" s="8">
        <f t="shared" si="14"/>
        <v>507.52933333333328</v>
      </c>
    </row>
    <row r="354" spans="1:8" x14ac:dyDescent="0.2">
      <c r="A354" s="1" t="str">
        <v>2021-10-14</v>
      </c>
      <c r="B354" s="1">
        <v>32063466</v>
      </c>
      <c r="C354" s="1">
        <v>19049310.239999998</v>
      </c>
      <c r="D354" s="1">
        <v>594.11</v>
      </c>
      <c r="F354" s="6">
        <f t="shared" si="15"/>
        <v>44483</v>
      </c>
      <c r="G354" s="8">
        <f t="shared" si="16"/>
        <v>594.11</v>
      </c>
      <c r="H354" s="8">
        <f t="shared" si="14"/>
        <v>506.63700000000006</v>
      </c>
    </row>
    <row r="355" spans="1:8" x14ac:dyDescent="0.2">
      <c r="A355" s="1" t="str">
        <v>2021-10-15</v>
      </c>
      <c r="B355" s="1">
        <v>39098089</v>
      </c>
      <c r="C355" s="1">
        <v>25879343.050000001</v>
      </c>
      <c r="D355" s="1">
        <v>661.91</v>
      </c>
      <c r="F355" s="6">
        <f t="shared" si="15"/>
        <v>44484</v>
      </c>
      <c r="G355" s="8">
        <f t="shared" si="16"/>
        <v>661.91</v>
      </c>
      <c r="H355" s="8">
        <f t="shared" si="14"/>
        <v>506.65366666666665</v>
      </c>
    </row>
    <row r="356" spans="1:8" x14ac:dyDescent="0.2">
      <c r="A356" s="1" t="str">
        <v>2021-10-16</v>
      </c>
      <c r="B356" s="1">
        <v>28117016</v>
      </c>
      <c r="C356" s="1">
        <v>6027984.0700000003</v>
      </c>
      <c r="D356" s="1">
        <v>214.39</v>
      </c>
      <c r="F356" s="6">
        <f t="shared" si="15"/>
        <v>44485</v>
      </c>
      <c r="G356" s="8">
        <f t="shared" si="16"/>
        <v>214.39</v>
      </c>
      <c r="H356" s="8">
        <f t="shared" si="14"/>
        <v>493.20566666666667</v>
      </c>
    </row>
    <row r="357" spans="1:8" x14ac:dyDescent="0.2">
      <c r="A357" s="1" t="str">
        <v>2021-10-17</v>
      </c>
      <c r="B357" s="1">
        <v>17212937</v>
      </c>
      <c r="C357" s="1">
        <v>2844161.28</v>
      </c>
      <c r="D357" s="1">
        <v>165.23</v>
      </c>
      <c r="F357" s="6">
        <f t="shared" si="15"/>
        <v>44486</v>
      </c>
      <c r="G357" s="8">
        <f t="shared" si="16"/>
        <v>165.23</v>
      </c>
      <c r="H357" s="8">
        <f t="shared" si="14"/>
        <v>478.62600000000003</v>
      </c>
    </row>
    <row r="358" spans="1:8" x14ac:dyDescent="0.2">
      <c r="A358" s="1" t="str">
        <v>2021-10-18</v>
      </c>
      <c r="B358" s="1">
        <v>30228460</v>
      </c>
      <c r="C358" s="1">
        <v>20943277.050000001</v>
      </c>
      <c r="D358" s="1">
        <v>692.83</v>
      </c>
      <c r="F358" s="6">
        <f t="shared" si="15"/>
        <v>44487</v>
      </c>
      <c r="G358" s="8">
        <f t="shared" si="16"/>
        <v>692.83</v>
      </c>
      <c r="H358" s="8">
        <f t="shared" ref="H358:H421" si="17">AVERAGE(G329:G358)</f>
        <v>494.78933333333333</v>
      </c>
    </row>
    <row r="359" spans="1:8" x14ac:dyDescent="0.2">
      <c r="A359" s="1" t="str">
        <v>2021-10-19</v>
      </c>
      <c r="B359" s="1">
        <v>30354077</v>
      </c>
      <c r="C359" s="1">
        <v>18611920.289999999</v>
      </c>
      <c r="D359" s="1">
        <v>613.16</v>
      </c>
      <c r="F359" s="6">
        <f t="shared" si="15"/>
        <v>44488</v>
      </c>
      <c r="G359" s="8">
        <f t="shared" si="16"/>
        <v>613.16</v>
      </c>
      <c r="H359" s="8">
        <f t="shared" si="17"/>
        <v>509.66500000000002</v>
      </c>
    </row>
    <row r="360" spans="1:8" x14ac:dyDescent="0.2">
      <c r="A360" s="1" t="str">
        <v>2021-10-20</v>
      </c>
      <c r="B360" s="1">
        <v>37664131</v>
      </c>
      <c r="C360" s="1">
        <v>23636028.949999999</v>
      </c>
      <c r="D360" s="1">
        <v>627.54999999999995</v>
      </c>
      <c r="F360" s="6">
        <f t="shared" si="15"/>
        <v>44489</v>
      </c>
      <c r="G360" s="8">
        <f t="shared" si="16"/>
        <v>627.54999999999995</v>
      </c>
      <c r="H360" s="8">
        <f t="shared" si="17"/>
        <v>505.70133333333331</v>
      </c>
    </row>
    <row r="361" spans="1:8" x14ac:dyDescent="0.2">
      <c r="A361" s="1" t="str">
        <v>2021-10-21</v>
      </c>
      <c r="B361" s="1">
        <v>33360845</v>
      </c>
      <c r="C361" s="1">
        <v>18333097.030000001</v>
      </c>
      <c r="D361" s="1">
        <v>549.54</v>
      </c>
      <c r="F361" s="6">
        <f t="shared" si="15"/>
        <v>44490</v>
      </c>
      <c r="G361" s="8">
        <f t="shared" si="16"/>
        <v>549.54</v>
      </c>
      <c r="H361" s="8">
        <f t="shared" si="17"/>
        <v>503.51800000000003</v>
      </c>
    </row>
    <row r="362" spans="1:8" x14ac:dyDescent="0.2">
      <c r="A362" s="1" t="str">
        <v>2021-10-22</v>
      </c>
      <c r="B362" s="1">
        <v>36169599</v>
      </c>
      <c r="C362" s="1">
        <v>20526581.300000001</v>
      </c>
      <c r="D362" s="1">
        <v>567.51</v>
      </c>
      <c r="F362" s="6">
        <f t="shared" si="15"/>
        <v>44491</v>
      </c>
      <c r="G362" s="8">
        <f t="shared" si="16"/>
        <v>567.51</v>
      </c>
      <c r="H362" s="8">
        <f t="shared" si="17"/>
        <v>503.24966666666666</v>
      </c>
    </row>
    <row r="363" spans="1:8" x14ac:dyDescent="0.2">
      <c r="A363" s="1" t="str">
        <v>2021-10-23</v>
      </c>
      <c r="B363" s="1">
        <v>29273441</v>
      </c>
      <c r="C363" s="1">
        <v>5597554.46</v>
      </c>
      <c r="D363" s="1">
        <v>191.22</v>
      </c>
      <c r="F363" s="6">
        <f t="shared" si="15"/>
        <v>44492</v>
      </c>
      <c r="G363" s="8">
        <f t="shared" si="16"/>
        <v>191.22</v>
      </c>
      <c r="H363" s="8">
        <f t="shared" si="17"/>
        <v>489.8950000000001</v>
      </c>
    </row>
    <row r="364" spans="1:8" x14ac:dyDescent="0.2">
      <c r="A364" s="1" t="str">
        <v>2021-10-24</v>
      </c>
      <c r="B364" s="1">
        <v>17787490</v>
      </c>
      <c r="C364" s="1">
        <v>2774237.5</v>
      </c>
      <c r="D364" s="1">
        <v>155.97</v>
      </c>
      <c r="F364" s="6">
        <f t="shared" si="15"/>
        <v>44493</v>
      </c>
      <c r="G364" s="8">
        <f t="shared" si="16"/>
        <v>155.97</v>
      </c>
      <c r="H364" s="8">
        <f t="shared" si="17"/>
        <v>475.20499999999998</v>
      </c>
    </row>
    <row r="365" spans="1:8" x14ac:dyDescent="0.2">
      <c r="A365" s="1" t="str">
        <v>2021-10-25</v>
      </c>
      <c r="B365" s="1">
        <v>32143659</v>
      </c>
      <c r="C365" s="1">
        <v>23435445.800000001</v>
      </c>
      <c r="D365" s="1">
        <v>729.08</v>
      </c>
      <c r="F365" s="6">
        <f t="shared" si="15"/>
        <v>44494</v>
      </c>
      <c r="G365" s="8">
        <f t="shared" si="16"/>
        <v>729.08</v>
      </c>
      <c r="H365" s="8">
        <f t="shared" si="17"/>
        <v>492.89999999999986</v>
      </c>
    </row>
    <row r="366" spans="1:8" x14ac:dyDescent="0.2">
      <c r="A366" s="1" t="str">
        <v>2021-10-26</v>
      </c>
      <c r="B366" s="1">
        <v>31542128</v>
      </c>
      <c r="C366" s="1">
        <v>18616560.350000001</v>
      </c>
      <c r="D366" s="1">
        <v>590.21</v>
      </c>
      <c r="F366" s="6">
        <f t="shared" si="15"/>
        <v>44495</v>
      </c>
      <c r="G366" s="8">
        <f t="shared" si="16"/>
        <v>590.21</v>
      </c>
      <c r="H366" s="8">
        <f t="shared" si="17"/>
        <v>507.30866666666662</v>
      </c>
    </row>
    <row r="367" spans="1:8" x14ac:dyDescent="0.2">
      <c r="A367" s="1" t="str">
        <v>2021-10-27</v>
      </c>
      <c r="B367" s="1">
        <v>32308662</v>
      </c>
      <c r="C367" s="1">
        <v>18425855.57</v>
      </c>
      <c r="D367" s="1">
        <v>570.30999999999995</v>
      </c>
      <c r="F367" s="6">
        <f t="shared" si="15"/>
        <v>44496</v>
      </c>
      <c r="G367" s="8">
        <f t="shared" si="16"/>
        <v>570.30999999999995</v>
      </c>
      <c r="H367" s="8">
        <f t="shared" si="17"/>
        <v>501.80933333333309</v>
      </c>
    </row>
    <row r="368" spans="1:8" x14ac:dyDescent="0.2">
      <c r="A368" s="1" t="str">
        <v>2021-10-28</v>
      </c>
      <c r="B368" s="1">
        <v>33584349</v>
      </c>
      <c r="C368" s="1">
        <v>20144060.16</v>
      </c>
      <c r="D368" s="1">
        <v>599.79999999999995</v>
      </c>
      <c r="F368" s="6">
        <f t="shared" si="15"/>
        <v>44497</v>
      </c>
      <c r="G368" s="8">
        <f t="shared" si="16"/>
        <v>599.79999999999995</v>
      </c>
      <c r="H368" s="8">
        <f t="shared" si="17"/>
        <v>501.03999999999985</v>
      </c>
    </row>
    <row r="369" spans="1:8" x14ac:dyDescent="0.2">
      <c r="A369" s="1" t="str">
        <v>2021-10-29</v>
      </c>
      <c r="B369" s="1">
        <v>41701438</v>
      </c>
      <c r="C369" s="1">
        <v>27576227.460000001</v>
      </c>
      <c r="D369" s="1">
        <v>661.28</v>
      </c>
      <c r="F369" s="6">
        <f t="shared" si="15"/>
        <v>44498</v>
      </c>
      <c r="G369" s="8">
        <f t="shared" si="16"/>
        <v>661.28</v>
      </c>
      <c r="H369" s="8">
        <f t="shared" si="17"/>
        <v>502.01766666666651</v>
      </c>
    </row>
    <row r="370" spans="1:8" x14ac:dyDescent="0.2">
      <c r="A370" s="1" t="str">
        <v>2021-10-30</v>
      </c>
      <c r="B370" s="1">
        <v>33157787</v>
      </c>
      <c r="C370" s="1">
        <v>7227274.3700000001</v>
      </c>
      <c r="D370" s="1">
        <v>217.97</v>
      </c>
      <c r="F370" s="6">
        <f t="shared" si="15"/>
        <v>44499</v>
      </c>
      <c r="G370" s="8">
        <f t="shared" si="16"/>
        <v>217.97</v>
      </c>
      <c r="H370" s="8">
        <f t="shared" si="17"/>
        <v>485.3669999999999</v>
      </c>
    </row>
    <row r="371" spans="1:8" x14ac:dyDescent="0.2">
      <c r="A371" s="1" t="str">
        <v>2021-10-31</v>
      </c>
      <c r="B371" s="1">
        <v>19605040</v>
      </c>
      <c r="C371" s="1">
        <v>3384043.04</v>
      </c>
      <c r="D371" s="1">
        <v>172.61</v>
      </c>
      <c r="F371" s="6">
        <f t="shared" si="15"/>
        <v>44500</v>
      </c>
      <c r="G371" s="8">
        <f t="shared" si="16"/>
        <v>172.61</v>
      </c>
      <c r="H371" s="8">
        <f t="shared" si="17"/>
        <v>469.24699999999979</v>
      </c>
    </row>
    <row r="372" spans="1:8" x14ac:dyDescent="0.2">
      <c r="A372" s="1" t="str">
        <v>2021-11-01</v>
      </c>
      <c r="B372" s="1">
        <v>36483495</v>
      </c>
      <c r="C372" s="1">
        <v>24223822.91</v>
      </c>
      <c r="D372" s="1">
        <v>663.97</v>
      </c>
      <c r="F372" s="6">
        <f t="shared" si="15"/>
        <v>44501</v>
      </c>
      <c r="G372" s="8">
        <f t="shared" si="16"/>
        <v>663.97</v>
      </c>
      <c r="H372" s="8">
        <f t="shared" si="17"/>
        <v>484.02733333333322</v>
      </c>
    </row>
    <row r="373" spans="1:8" x14ac:dyDescent="0.2">
      <c r="A373" s="1" t="str">
        <v>2021-11-02</v>
      </c>
      <c r="B373" s="1">
        <v>22959513</v>
      </c>
      <c r="C373" s="1">
        <v>5438702.9699999997</v>
      </c>
      <c r="D373" s="1">
        <v>236.88</v>
      </c>
      <c r="F373" s="6">
        <f t="shared" si="15"/>
        <v>44502</v>
      </c>
      <c r="G373" s="8">
        <f t="shared" si="16"/>
        <v>236.88</v>
      </c>
      <c r="H373" s="8">
        <f t="shared" si="17"/>
        <v>485.88966666666641</v>
      </c>
    </row>
    <row r="374" spans="1:8" x14ac:dyDescent="0.2">
      <c r="A374" s="1" t="str">
        <v>2021-11-03</v>
      </c>
      <c r="B374" s="1">
        <v>37328992</v>
      </c>
      <c r="C374" s="1">
        <v>24043591.52</v>
      </c>
      <c r="D374" s="1">
        <v>644.1</v>
      </c>
      <c r="F374" s="6">
        <f t="shared" si="15"/>
        <v>44503</v>
      </c>
      <c r="G374" s="8">
        <f t="shared" si="16"/>
        <v>644.1</v>
      </c>
      <c r="H374" s="8">
        <f t="shared" si="17"/>
        <v>482.30166666666651</v>
      </c>
    </row>
    <row r="375" spans="1:8" x14ac:dyDescent="0.2">
      <c r="A375" s="1" t="str">
        <v>2021-11-04</v>
      </c>
      <c r="B375" s="1">
        <v>37192971</v>
      </c>
      <c r="C375" s="1">
        <v>22767422.789999999</v>
      </c>
      <c r="D375" s="1">
        <v>612.14</v>
      </c>
      <c r="F375" s="6">
        <f t="shared" si="15"/>
        <v>44504</v>
      </c>
      <c r="G375" s="8">
        <f t="shared" si="16"/>
        <v>612.14</v>
      </c>
      <c r="H375" s="8">
        <f t="shared" si="17"/>
        <v>481.01599999999985</v>
      </c>
    </row>
    <row r="376" spans="1:8" x14ac:dyDescent="0.2">
      <c r="A376" s="1" t="str">
        <v>2021-11-05</v>
      </c>
      <c r="B376" s="1">
        <v>50045289</v>
      </c>
      <c r="C376" s="1">
        <v>32171471.879999999</v>
      </c>
      <c r="D376" s="1">
        <v>642.85</v>
      </c>
      <c r="F376" s="6">
        <f t="shared" si="15"/>
        <v>44505</v>
      </c>
      <c r="G376" s="8">
        <f t="shared" si="16"/>
        <v>642.85</v>
      </c>
      <c r="H376" s="8">
        <f t="shared" si="17"/>
        <v>483.34966666666668</v>
      </c>
    </row>
    <row r="377" spans="1:8" x14ac:dyDescent="0.2">
      <c r="A377" s="1" t="str">
        <v>2021-11-06</v>
      </c>
      <c r="B377" s="1">
        <v>36475683</v>
      </c>
      <c r="C377" s="1">
        <v>8765231.1099999994</v>
      </c>
      <c r="D377" s="1">
        <v>240.3</v>
      </c>
      <c r="F377" s="6">
        <f t="shared" si="15"/>
        <v>44506</v>
      </c>
      <c r="G377" s="8">
        <f t="shared" si="16"/>
        <v>240.3</v>
      </c>
      <c r="H377" s="8">
        <f t="shared" si="17"/>
        <v>472.92199999999991</v>
      </c>
    </row>
    <row r="378" spans="1:8" x14ac:dyDescent="0.2">
      <c r="A378" s="1" t="str">
        <v>2021-11-07</v>
      </c>
      <c r="B378" s="1">
        <v>21922002</v>
      </c>
      <c r="C378" s="1">
        <v>4083954.42</v>
      </c>
      <c r="D378" s="1">
        <v>186.29</v>
      </c>
      <c r="F378" s="6">
        <f t="shared" si="15"/>
        <v>44507</v>
      </c>
      <c r="G378" s="8">
        <f t="shared" si="16"/>
        <v>186.29</v>
      </c>
      <c r="H378" s="8">
        <f t="shared" si="17"/>
        <v>459.39499999999992</v>
      </c>
    </row>
    <row r="379" spans="1:8" x14ac:dyDescent="0.2">
      <c r="A379" s="1" t="str">
        <v>2021-11-08</v>
      </c>
      <c r="B379" s="1">
        <v>42464500</v>
      </c>
      <c r="C379" s="1">
        <v>27452737.289999999</v>
      </c>
      <c r="D379" s="1">
        <v>646.49</v>
      </c>
      <c r="F379" s="6">
        <f t="shared" si="15"/>
        <v>44508</v>
      </c>
      <c r="G379" s="8">
        <f t="shared" si="16"/>
        <v>646.49</v>
      </c>
      <c r="H379" s="8">
        <f t="shared" si="17"/>
        <v>473.49833333333328</v>
      </c>
    </row>
    <row r="380" spans="1:8" x14ac:dyDescent="0.2">
      <c r="A380" s="1" t="str">
        <v>2021-11-09</v>
      </c>
      <c r="B380" s="1">
        <v>39891637</v>
      </c>
      <c r="C380" s="1">
        <v>23285656.219999999</v>
      </c>
      <c r="D380" s="1">
        <v>583.72</v>
      </c>
      <c r="F380" s="6">
        <f t="shared" si="15"/>
        <v>44509</v>
      </c>
      <c r="G380" s="8">
        <f t="shared" si="16"/>
        <v>583.72</v>
      </c>
      <c r="H380" s="8">
        <f t="shared" si="17"/>
        <v>486.67099999999999</v>
      </c>
    </row>
    <row r="381" spans="1:8" x14ac:dyDescent="0.2">
      <c r="A381" s="1" t="str">
        <v>2021-11-10</v>
      </c>
      <c r="B381" s="1">
        <v>42349180</v>
      </c>
      <c r="C381" s="1">
        <v>28544583.68</v>
      </c>
      <c r="D381" s="1">
        <v>674.03</v>
      </c>
      <c r="F381" s="6">
        <f t="shared" si="15"/>
        <v>44510</v>
      </c>
      <c r="G381" s="8">
        <f t="shared" si="16"/>
        <v>674.03</v>
      </c>
      <c r="H381" s="8">
        <f t="shared" si="17"/>
        <v>486.07966666666664</v>
      </c>
    </row>
    <row r="382" spans="1:8" x14ac:dyDescent="0.2">
      <c r="A382" s="1" t="str">
        <v>2021-11-11</v>
      </c>
      <c r="B382" s="1">
        <v>37608436</v>
      </c>
      <c r="C382" s="1">
        <v>20898298.149999999</v>
      </c>
      <c r="D382" s="1">
        <v>555.67999999999995</v>
      </c>
      <c r="F382" s="6">
        <f t="shared" si="15"/>
        <v>44511</v>
      </c>
      <c r="G382" s="8">
        <f t="shared" si="16"/>
        <v>555.67999999999995</v>
      </c>
      <c r="H382" s="8">
        <f t="shared" si="17"/>
        <v>497.15966666666662</v>
      </c>
    </row>
    <row r="383" spans="1:8" x14ac:dyDescent="0.2">
      <c r="A383" s="1" t="str">
        <v>2021-11-12</v>
      </c>
      <c r="B383" s="1">
        <v>41448985</v>
      </c>
      <c r="C383" s="1">
        <v>24858698.77</v>
      </c>
      <c r="D383" s="1">
        <v>599.74</v>
      </c>
      <c r="F383" s="6">
        <f t="shared" si="15"/>
        <v>44512</v>
      </c>
      <c r="G383" s="8">
        <f t="shared" si="16"/>
        <v>599.74</v>
      </c>
      <c r="H383" s="8">
        <f t="shared" si="17"/>
        <v>495.36233333333331</v>
      </c>
    </row>
    <row r="384" spans="1:8" x14ac:dyDescent="0.2">
      <c r="A384" s="1" t="str">
        <v>2021-11-13</v>
      </c>
      <c r="B384" s="1">
        <v>31324256</v>
      </c>
      <c r="C384" s="1">
        <v>6593616.3499999996</v>
      </c>
      <c r="D384" s="1">
        <v>210.5</v>
      </c>
      <c r="F384" s="6">
        <f t="shared" si="15"/>
        <v>44513</v>
      </c>
      <c r="G384" s="8">
        <f t="shared" si="16"/>
        <v>210.5</v>
      </c>
      <c r="H384" s="8">
        <f t="shared" si="17"/>
        <v>482.57533333333328</v>
      </c>
    </row>
    <row r="385" spans="1:8" x14ac:dyDescent="0.2">
      <c r="A385" s="1" t="str">
        <v>2021-11-14</v>
      </c>
      <c r="B385" s="1">
        <v>18822531</v>
      </c>
      <c r="C385" s="1">
        <v>2985613.68</v>
      </c>
      <c r="D385" s="1">
        <v>158.62</v>
      </c>
      <c r="F385" s="6">
        <f t="shared" si="15"/>
        <v>44514</v>
      </c>
      <c r="G385" s="8">
        <f t="shared" si="16"/>
        <v>158.62</v>
      </c>
      <c r="H385" s="8">
        <f t="shared" si="17"/>
        <v>465.79900000000004</v>
      </c>
    </row>
    <row r="386" spans="1:8" x14ac:dyDescent="0.2">
      <c r="A386" s="1" t="str">
        <v>2021-11-15</v>
      </c>
      <c r="B386" s="1">
        <v>21811133</v>
      </c>
      <c r="C386" s="1">
        <v>4788323.82</v>
      </c>
      <c r="D386" s="1">
        <v>219.54</v>
      </c>
      <c r="F386" s="6">
        <f t="shared" si="15"/>
        <v>44515</v>
      </c>
      <c r="G386" s="8">
        <f t="shared" si="16"/>
        <v>219.54</v>
      </c>
      <c r="H386" s="8">
        <f t="shared" si="17"/>
        <v>465.97066666666672</v>
      </c>
    </row>
    <row r="387" spans="1:8" x14ac:dyDescent="0.2">
      <c r="A387" s="1" t="str">
        <v>2021-11-16</v>
      </c>
      <c r="B387" s="1">
        <v>36477711</v>
      </c>
      <c r="C387" s="1">
        <v>28278443.199999999</v>
      </c>
      <c r="D387" s="1">
        <v>775.23</v>
      </c>
      <c r="F387" s="6">
        <f t="shared" si="15"/>
        <v>44516</v>
      </c>
      <c r="G387" s="8">
        <f t="shared" si="16"/>
        <v>775.23</v>
      </c>
      <c r="H387" s="8">
        <f t="shared" si="17"/>
        <v>486.30400000000003</v>
      </c>
    </row>
    <row r="388" spans="1:8" x14ac:dyDescent="0.2">
      <c r="A388" s="1" t="str">
        <v>2021-11-17</v>
      </c>
      <c r="B388" s="1">
        <v>35973650</v>
      </c>
      <c r="C388" s="1">
        <v>21869186.300000001</v>
      </c>
      <c r="D388" s="1">
        <v>607.91999999999996</v>
      </c>
      <c r="F388" s="6">
        <f t="shared" si="15"/>
        <v>44517</v>
      </c>
      <c r="G388" s="8">
        <f t="shared" si="16"/>
        <v>607.91999999999996</v>
      </c>
      <c r="H388" s="8">
        <f t="shared" si="17"/>
        <v>483.4736666666667</v>
      </c>
    </row>
    <row r="389" spans="1:8" x14ac:dyDescent="0.2">
      <c r="A389" s="1" t="str">
        <v>2021-11-18</v>
      </c>
      <c r="B389" s="1">
        <v>33699447</v>
      </c>
      <c r="C389" s="1">
        <v>19551388.879999999</v>
      </c>
      <c r="D389" s="1">
        <v>580.16999999999996</v>
      </c>
      <c r="F389" s="6">
        <f t="shared" si="15"/>
        <v>44518</v>
      </c>
      <c r="G389" s="8">
        <f t="shared" si="16"/>
        <v>580.16999999999996</v>
      </c>
      <c r="H389" s="8">
        <f t="shared" si="17"/>
        <v>482.37400000000002</v>
      </c>
    </row>
    <row r="390" spans="1:8" x14ac:dyDescent="0.2">
      <c r="A390" s="1" t="str">
        <v>2021-11-19</v>
      </c>
      <c r="B390" s="1">
        <v>41473269</v>
      </c>
      <c r="C390" s="1">
        <v>24595754.399999999</v>
      </c>
      <c r="D390" s="1">
        <v>593.04999999999995</v>
      </c>
      <c r="F390" s="6">
        <f t="shared" si="15"/>
        <v>44519</v>
      </c>
      <c r="G390" s="8">
        <f t="shared" si="16"/>
        <v>593.04999999999995</v>
      </c>
      <c r="H390" s="8">
        <f t="shared" si="17"/>
        <v>481.2240000000001</v>
      </c>
    </row>
    <row r="391" spans="1:8" x14ac:dyDescent="0.2">
      <c r="A391" s="1" t="str">
        <v>2021-11-20</v>
      </c>
      <c r="B391" s="1">
        <v>32886351</v>
      </c>
      <c r="C391" s="1">
        <v>6724689.9699999997</v>
      </c>
      <c r="D391" s="1">
        <v>204.48</v>
      </c>
      <c r="F391" s="6">
        <f t="shared" si="15"/>
        <v>44520</v>
      </c>
      <c r="G391" s="8">
        <f t="shared" si="16"/>
        <v>204.48</v>
      </c>
      <c r="H391" s="8">
        <f t="shared" si="17"/>
        <v>469.72200000000004</v>
      </c>
    </row>
    <row r="392" spans="1:8" x14ac:dyDescent="0.2">
      <c r="A392" s="1" t="str">
        <v>2021-11-21</v>
      </c>
      <c r="B392" s="1">
        <v>20136664</v>
      </c>
      <c r="C392" s="1">
        <v>3148873.08</v>
      </c>
      <c r="D392" s="1">
        <v>156.38</v>
      </c>
      <c r="F392" s="6">
        <f t="shared" si="15"/>
        <v>44521</v>
      </c>
      <c r="G392" s="8">
        <f t="shared" si="16"/>
        <v>156.38</v>
      </c>
      <c r="H392" s="8">
        <f t="shared" si="17"/>
        <v>456.01766666666668</v>
      </c>
    </row>
    <row r="393" spans="1:8" x14ac:dyDescent="0.2">
      <c r="A393" s="1" t="str">
        <v>2021-11-22</v>
      </c>
      <c r="B393" s="1">
        <v>36693723</v>
      </c>
      <c r="C393" s="1">
        <v>24248466.170000002</v>
      </c>
      <c r="D393" s="1">
        <v>660.83</v>
      </c>
      <c r="F393" s="6">
        <f t="shared" ref="F393:F422" si="18">DATE(LEFT(A393,4),MID(A393,6,2),RIGHT(A393,2))</f>
        <v>44522</v>
      </c>
      <c r="G393" s="8">
        <f t="shared" ref="G393:G422" si="19">D393</f>
        <v>660.83</v>
      </c>
      <c r="H393" s="8">
        <f t="shared" si="17"/>
        <v>471.67133333333339</v>
      </c>
    </row>
    <row r="394" spans="1:8" x14ac:dyDescent="0.2">
      <c r="A394" s="1" t="str">
        <v>2021-11-23</v>
      </c>
      <c r="B394" s="1">
        <v>35027294</v>
      </c>
      <c r="C394" s="1">
        <v>19681459.379999999</v>
      </c>
      <c r="D394" s="1">
        <v>561.89</v>
      </c>
      <c r="F394" s="6">
        <f t="shared" si="18"/>
        <v>44523</v>
      </c>
      <c r="G394" s="8">
        <f t="shared" si="19"/>
        <v>561.89</v>
      </c>
      <c r="H394" s="8">
        <f t="shared" si="17"/>
        <v>485.202</v>
      </c>
    </row>
    <row r="395" spans="1:8" x14ac:dyDescent="0.2">
      <c r="A395" s="1" t="str">
        <v>2021-11-24</v>
      </c>
      <c r="B395" s="1">
        <v>34866562</v>
      </c>
      <c r="C395" s="1">
        <v>19139655.379999999</v>
      </c>
      <c r="D395" s="1">
        <v>548.94000000000005</v>
      </c>
      <c r="F395" s="6">
        <f t="shared" si="18"/>
        <v>44524</v>
      </c>
      <c r="G395" s="8">
        <f t="shared" si="19"/>
        <v>548.94000000000005</v>
      </c>
      <c r="H395" s="8">
        <f t="shared" si="17"/>
        <v>479.19733333333335</v>
      </c>
    </row>
    <row r="396" spans="1:8" x14ac:dyDescent="0.2">
      <c r="A396" s="1" t="str">
        <v>2021-11-25</v>
      </c>
      <c r="B396" s="1">
        <v>36317693</v>
      </c>
      <c r="C396" s="1">
        <v>21621886.800000001</v>
      </c>
      <c r="D396" s="1">
        <v>595.35</v>
      </c>
      <c r="F396" s="6">
        <f t="shared" si="18"/>
        <v>44525</v>
      </c>
      <c r="G396" s="8">
        <f t="shared" si="19"/>
        <v>595.35</v>
      </c>
      <c r="H396" s="8">
        <f t="shared" si="17"/>
        <v>479.36866666666663</v>
      </c>
    </row>
    <row r="397" spans="1:8" x14ac:dyDescent="0.2">
      <c r="A397" s="1" t="str">
        <v>2021-11-26</v>
      </c>
      <c r="B397" s="1">
        <v>42057192</v>
      </c>
      <c r="C397" s="1">
        <v>23475800.289999999</v>
      </c>
      <c r="D397" s="1">
        <v>558.19000000000005</v>
      </c>
      <c r="F397" s="6">
        <f t="shared" si="18"/>
        <v>44526</v>
      </c>
      <c r="G397" s="8">
        <f t="shared" si="19"/>
        <v>558.19000000000005</v>
      </c>
      <c r="H397" s="8">
        <f t="shared" si="17"/>
        <v>478.96466666666669</v>
      </c>
    </row>
    <row r="398" spans="1:8" x14ac:dyDescent="0.2">
      <c r="A398" s="1" t="str">
        <v>2021-11-27</v>
      </c>
      <c r="B398" s="1">
        <v>30716979</v>
      </c>
      <c r="C398" s="1">
        <v>6138643.1100000003</v>
      </c>
      <c r="D398" s="1">
        <v>199.85</v>
      </c>
      <c r="F398" s="6">
        <f t="shared" si="18"/>
        <v>44527</v>
      </c>
      <c r="G398" s="8">
        <f t="shared" si="19"/>
        <v>199.85</v>
      </c>
      <c r="H398" s="8">
        <f t="shared" si="17"/>
        <v>465.63299999999998</v>
      </c>
    </row>
    <row r="399" spans="1:8" x14ac:dyDescent="0.2">
      <c r="A399" s="1" t="str">
        <v>2021-11-28</v>
      </c>
      <c r="B399" s="1">
        <v>19501839</v>
      </c>
      <c r="C399" s="1">
        <v>3137366.76</v>
      </c>
      <c r="D399" s="1">
        <v>160.88</v>
      </c>
      <c r="F399" s="6">
        <f t="shared" si="18"/>
        <v>44528</v>
      </c>
      <c r="G399" s="8">
        <f t="shared" si="19"/>
        <v>160.88</v>
      </c>
      <c r="H399" s="8">
        <f t="shared" si="17"/>
        <v>448.95299999999992</v>
      </c>
    </row>
    <row r="400" spans="1:8" x14ac:dyDescent="0.2">
      <c r="A400" s="1" t="str">
        <v>2021-11-29</v>
      </c>
      <c r="B400" s="1">
        <v>35071142</v>
      </c>
      <c r="C400" s="1">
        <v>24749751.710000001</v>
      </c>
      <c r="D400" s="1">
        <v>705.7</v>
      </c>
      <c r="F400" s="6">
        <f t="shared" si="18"/>
        <v>44529</v>
      </c>
      <c r="G400" s="8">
        <f t="shared" si="19"/>
        <v>705.7</v>
      </c>
      <c r="H400" s="8">
        <f t="shared" si="17"/>
        <v>465.21066666666667</v>
      </c>
    </row>
    <row r="401" spans="1:8" x14ac:dyDescent="0.2">
      <c r="A401" s="1" t="str">
        <v>2021-11-30</v>
      </c>
      <c r="B401" s="1">
        <v>46124302</v>
      </c>
      <c r="C401" s="1">
        <v>31083294.859999999</v>
      </c>
      <c r="D401" s="1">
        <v>673.9</v>
      </c>
      <c r="F401" s="6">
        <f t="shared" si="18"/>
        <v>44530</v>
      </c>
      <c r="G401" s="8">
        <f t="shared" si="19"/>
        <v>673.9</v>
      </c>
      <c r="H401" s="8">
        <f t="shared" si="17"/>
        <v>481.9203333333333</v>
      </c>
    </row>
    <row r="402" spans="1:8" x14ac:dyDescent="0.2">
      <c r="A402" s="1" t="str">
        <v>2021-12-01</v>
      </c>
      <c r="B402" s="1">
        <v>49293448</v>
      </c>
      <c r="C402" s="1">
        <v>28998496.27</v>
      </c>
      <c r="D402" s="1">
        <v>588.28</v>
      </c>
      <c r="F402" s="6">
        <f t="shared" si="18"/>
        <v>44531</v>
      </c>
      <c r="G402" s="8">
        <f t="shared" si="19"/>
        <v>588.28</v>
      </c>
      <c r="H402" s="8">
        <f t="shared" si="17"/>
        <v>479.39733333333334</v>
      </c>
    </row>
    <row r="403" spans="1:8" x14ac:dyDescent="0.2">
      <c r="A403" s="1" t="str">
        <v>2021-12-02</v>
      </c>
      <c r="B403" s="1">
        <v>43089997</v>
      </c>
      <c r="C403" s="1">
        <v>22748341.48</v>
      </c>
      <c r="D403" s="1">
        <v>527.92999999999995</v>
      </c>
      <c r="F403" s="6">
        <f t="shared" si="18"/>
        <v>44532</v>
      </c>
      <c r="G403" s="8">
        <f t="shared" si="19"/>
        <v>527.92999999999995</v>
      </c>
      <c r="H403" s="8">
        <f t="shared" si="17"/>
        <v>489.09899999999999</v>
      </c>
    </row>
    <row r="404" spans="1:8" x14ac:dyDescent="0.2">
      <c r="A404" s="1" t="str">
        <v>2021-12-03</v>
      </c>
      <c r="B404" s="1">
        <v>47360791</v>
      </c>
      <c r="C404" s="1">
        <v>26626927.02</v>
      </c>
      <c r="D404" s="1">
        <v>562.21</v>
      </c>
      <c r="F404" s="6">
        <f t="shared" si="18"/>
        <v>44533</v>
      </c>
      <c r="G404" s="8">
        <f t="shared" si="19"/>
        <v>562.21</v>
      </c>
      <c r="H404" s="8">
        <f t="shared" si="17"/>
        <v>486.36933333333337</v>
      </c>
    </row>
    <row r="405" spans="1:8" x14ac:dyDescent="0.2">
      <c r="A405" s="1" t="str">
        <v>2021-12-04</v>
      </c>
      <c r="B405" s="1">
        <v>38135207</v>
      </c>
      <c r="C405" s="1">
        <v>8908868.9499999993</v>
      </c>
      <c r="D405" s="1">
        <v>233.61</v>
      </c>
      <c r="F405" s="6">
        <f t="shared" si="18"/>
        <v>44534</v>
      </c>
      <c r="G405" s="8">
        <f t="shared" si="19"/>
        <v>233.61</v>
      </c>
      <c r="H405" s="8">
        <f t="shared" si="17"/>
        <v>473.75166666666678</v>
      </c>
    </row>
    <row r="406" spans="1:8" x14ac:dyDescent="0.2">
      <c r="A406" s="1" t="str">
        <v>2021-12-05</v>
      </c>
      <c r="B406" s="1">
        <v>23633736</v>
      </c>
      <c r="C406" s="1">
        <v>4355286.55</v>
      </c>
      <c r="D406" s="1">
        <v>184.28</v>
      </c>
      <c r="F406" s="6">
        <f t="shared" si="18"/>
        <v>44535</v>
      </c>
      <c r="G406" s="8">
        <f t="shared" si="19"/>
        <v>184.28</v>
      </c>
      <c r="H406" s="8">
        <f t="shared" si="17"/>
        <v>458.46600000000007</v>
      </c>
    </row>
    <row r="407" spans="1:8" x14ac:dyDescent="0.2">
      <c r="A407" s="1" t="str">
        <v>2021-12-06</v>
      </c>
      <c r="B407" s="1">
        <v>49646931</v>
      </c>
      <c r="C407" s="1">
        <v>33260774.149999999</v>
      </c>
      <c r="D407" s="1">
        <v>669.95</v>
      </c>
      <c r="F407" s="6">
        <f t="shared" si="18"/>
        <v>44536</v>
      </c>
      <c r="G407" s="8">
        <f t="shared" si="19"/>
        <v>669.95</v>
      </c>
      <c r="H407" s="8">
        <f t="shared" si="17"/>
        <v>472.78766666666678</v>
      </c>
    </row>
    <row r="408" spans="1:8" x14ac:dyDescent="0.2">
      <c r="A408" s="1" t="str">
        <v>2021-12-07</v>
      </c>
      <c r="B408" s="1">
        <v>48808533</v>
      </c>
      <c r="C408" s="1">
        <v>27966333.469999999</v>
      </c>
      <c r="D408" s="1">
        <v>572.98</v>
      </c>
      <c r="F408" s="6">
        <f t="shared" si="18"/>
        <v>44537</v>
      </c>
      <c r="G408" s="8">
        <f t="shared" si="19"/>
        <v>572.98</v>
      </c>
      <c r="H408" s="8">
        <f t="shared" si="17"/>
        <v>485.67733333333337</v>
      </c>
    </row>
    <row r="409" spans="1:8" x14ac:dyDescent="0.2">
      <c r="A409" s="1" t="str">
        <v>2021-12-08</v>
      </c>
      <c r="B409" s="1">
        <v>43651429</v>
      </c>
      <c r="C409" s="1">
        <v>23441613.690000001</v>
      </c>
      <c r="D409" s="1">
        <v>537.02</v>
      </c>
      <c r="F409" s="6">
        <f t="shared" si="18"/>
        <v>44538</v>
      </c>
      <c r="G409" s="8">
        <f t="shared" si="19"/>
        <v>537.02</v>
      </c>
      <c r="H409" s="8">
        <f t="shared" si="17"/>
        <v>482.02833333333348</v>
      </c>
    </row>
    <row r="410" spans="1:8" x14ac:dyDescent="0.2">
      <c r="A410" s="1" t="str">
        <v>2021-12-09</v>
      </c>
      <c r="B410" s="1">
        <v>43910474</v>
      </c>
      <c r="C410" s="1">
        <v>24425800.890000001</v>
      </c>
      <c r="D410" s="1">
        <v>556.26</v>
      </c>
      <c r="F410" s="6">
        <f t="shared" si="18"/>
        <v>44539</v>
      </c>
      <c r="G410" s="8">
        <f t="shared" si="19"/>
        <v>556.26</v>
      </c>
      <c r="H410" s="8">
        <f t="shared" si="17"/>
        <v>481.11300000000011</v>
      </c>
    </row>
    <row r="411" spans="1:8" x14ac:dyDescent="0.2">
      <c r="A411" s="1" t="str">
        <v>2021-12-10</v>
      </c>
      <c r="B411" s="1">
        <v>50307220</v>
      </c>
      <c r="C411" s="1">
        <v>31237079.640000001</v>
      </c>
      <c r="D411" s="1">
        <v>620.92999999999995</v>
      </c>
      <c r="F411" s="6">
        <f t="shared" si="18"/>
        <v>44540</v>
      </c>
      <c r="G411" s="8">
        <f t="shared" si="19"/>
        <v>620.92999999999995</v>
      </c>
      <c r="H411" s="8">
        <f t="shared" si="17"/>
        <v>479.34300000000013</v>
      </c>
    </row>
    <row r="412" spans="1:8" x14ac:dyDescent="0.2">
      <c r="A412" s="1" t="str">
        <v>2021-12-11</v>
      </c>
      <c r="B412" s="1">
        <v>36303156</v>
      </c>
      <c r="C412" s="1">
        <v>7800229.5999999996</v>
      </c>
      <c r="D412" s="1">
        <v>214.86</v>
      </c>
      <c r="F412" s="6">
        <f t="shared" si="18"/>
        <v>44541</v>
      </c>
      <c r="G412" s="8">
        <f t="shared" si="19"/>
        <v>214.86</v>
      </c>
      <c r="H412" s="8">
        <f t="shared" si="17"/>
        <v>467.98233333333349</v>
      </c>
    </row>
    <row r="413" spans="1:8" x14ac:dyDescent="0.2">
      <c r="A413" s="1" t="str">
        <v>2021-12-12</v>
      </c>
      <c r="B413" s="1">
        <v>23082767</v>
      </c>
      <c r="C413" s="1">
        <v>3706423.66</v>
      </c>
      <c r="D413" s="1">
        <v>160.57</v>
      </c>
      <c r="F413" s="6">
        <f t="shared" si="18"/>
        <v>44542</v>
      </c>
      <c r="G413" s="8">
        <f t="shared" si="19"/>
        <v>160.57</v>
      </c>
      <c r="H413" s="8">
        <f t="shared" si="17"/>
        <v>453.34333333333353</v>
      </c>
    </row>
    <row r="414" spans="1:8" x14ac:dyDescent="0.2">
      <c r="A414" s="1" t="str">
        <v>2021-12-13</v>
      </c>
      <c r="B414" s="1">
        <v>39168924</v>
      </c>
      <c r="C414" s="1">
        <v>25994120.309999999</v>
      </c>
      <c r="D414" s="1">
        <v>663.64</v>
      </c>
      <c r="F414" s="6">
        <f t="shared" si="18"/>
        <v>44543</v>
      </c>
      <c r="G414" s="8">
        <f t="shared" si="19"/>
        <v>663.64</v>
      </c>
      <c r="H414" s="8">
        <f t="shared" si="17"/>
        <v>468.44800000000009</v>
      </c>
    </row>
    <row r="415" spans="1:8" x14ac:dyDescent="0.2">
      <c r="A415" s="1" t="str">
        <v>2021-12-14</v>
      </c>
      <c r="B415" s="1">
        <v>40055123</v>
      </c>
      <c r="C415" s="1">
        <v>23102736.07</v>
      </c>
      <c r="D415" s="1">
        <v>576.77</v>
      </c>
      <c r="F415" s="6">
        <f t="shared" si="18"/>
        <v>44544</v>
      </c>
      <c r="G415" s="8">
        <f t="shared" si="19"/>
        <v>576.77</v>
      </c>
      <c r="H415" s="8">
        <f t="shared" si="17"/>
        <v>482.38633333333348</v>
      </c>
    </row>
    <row r="416" spans="1:8" x14ac:dyDescent="0.2">
      <c r="A416" s="1" t="str">
        <v>2021-12-15</v>
      </c>
      <c r="B416" s="1">
        <v>45873628</v>
      </c>
      <c r="C416" s="1">
        <v>29538148.559999999</v>
      </c>
      <c r="D416" s="1">
        <v>643.9</v>
      </c>
      <c r="F416" s="6">
        <f t="shared" si="18"/>
        <v>44545</v>
      </c>
      <c r="G416" s="8">
        <f t="shared" si="19"/>
        <v>643.9</v>
      </c>
      <c r="H416" s="8">
        <f t="shared" si="17"/>
        <v>496.53166666666675</v>
      </c>
    </row>
    <row r="417" spans="1:8" x14ac:dyDescent="0.2">
      <c r="A417" s="1" t="str">
        <v>2021-12-16</v>
      </c>
      <c r="B417" s="1">
        <v>42715370</v>
      </c>
      <c r="C417" s="1">
        <v>23657121.899999999</v>
      </c>
      <c r="D417" s="1">
        <v>553.83000000000004</v>
      </c>
      <c r="F417" s="6">
        <f t="shared" si="18"/>
        <v>44546</v>
      </c>
      <c r="G417" s="8">
        <f t="shared" si="19"/>
        <v>553.83000000000004</v>
      </c>
      <c r="H417" s="8">
        <f t="shared" si="17"/>
        <v>489.15166666666676</v>
      </c>
    </row>
    <row r="418" spans="1:8" x14ac:dyDescent="0.2">
      <c r="A418" s="1" t="str">
        <v>2021-12-17</v>
      </c>
      <c r="B418" s="1">
        <v>46205805</v>
      </c>
      <c r="C418" s="1">
        <v>27561258.559999999</v>
      </c>
      <c r="D418" s="1">
        <v>596.49</v>
      </c>
      <c r="F418" s="6">
        <f t="shared" si="18"/>
        <v>44547</v>
      </c>
      <c r="G418" s="8">
        <f t="shared" si="19"/>
        <v>596.49</v>
      </c>
      <c r="H418" s="8">
        <f t="shared" si="17"/>
        <v>488.77066666666667</v>
      </c>
    </row>
    <row r="419" spans="1:8" x14ac:dyDescent="0.2">
      <c r="A419" s="1" t="str">
        <v>2021-12-18</v>
      </c>
      <c r="B419" s="1">
        <v>38892082</v>
      </c>
      <c r="C419" s="1">
        <v>8683457.3900000006</v>
      </c>
      <c r="D419" s="1">
        <v>223.27</v>
      </c>
      <c r="F419" s="6">
        <f t="shared" si="18"/>
        <v>44548</v>
      </c>
      <c r="G419" s="8">
        <f t="shared" si="19"/>
        <v>223.27</v>
      </c>
      <c r="H419" s="8">
        <f t="shared" si="17"/>
        <v>476.87399999999997</v>
      </c>
    </row>
    <row r="420" spans="1:8" x14ac:dyDescent="0.2">
      <c r="A420" s="1" t="str">
        <v>2021-12-19</v>
      </c>
      <c r="B420" s="1">
        <v>24313369</v>
      </c>
      <c r="C420" s="1">
        <v>4218161.8899999997</v>
      </c>
      <c r="D420" s="1">
        <v>173.49</v>
      </c>
      <c r="F420" s="6">
        <f t="shared" si="18"/>
        <v>44549</v>
      </c>
      <c r="G420" s="8">
        <f t="shared" si="19"/>
        <v>173.49</v>
      </c>
      <c r="H420" s="8">
        <f t="shared" si="17"/>
        <v>462.88866666666667</v>
      </c>
    </row>
    <row r="421" spans="1:8" x14ac:dyDescent="0.2">
      <c r="A421" s="1" t="str">
        <v>2021-12-20</v>
      </c>
      <c r="B421" s="1">
        <v>51946935</v>
      </c>
      <c r="C421" s="1">
        <v>36800098.840000004</v>
      </c>
      <c r="D421" s="1">
        <v>708.42</v>
      </c>
      <c r="F421" s="6">
        <f t="shared" si="18"/>
        <v>44550</v>
      </c>
      <c r="G421" s="8">
        <f t="shared" si="19"/>
        <v>708.42</v>
      </c>
      <c r="H421" s="8">
        <f t="shared" si="17"/>
        <v>479.68666666666667</v>
      </c>
    </row>
    <row r="422" spans="1:8" x14ac:dyDescent="0.2">
      <c r="A422" s="1" t="str">
        <v>2021-12-21</v>
      </c>
      <c r="B422" s="1">
        <v>47408729</v>
      </c>
      <c r="C422" s="1">
        <v>26159395.579999998</v>
      </c>
      <c r="D422" s="1">
        <v>551.78</v>
      </c>
      <c r="F422" s="6">
        <f t="shared" si="18"/>
        <v>44551</v>
      </c>
      <c r="G422" s="8">
        <f t="shared" si="19"/>
        <v>551.78</v>
      </c>
      <c r="H422" s="8">
        <f t="shared" ref="H422:H485" si="20">AVERAGE(G393:G422)</f>
        <v>492.86666666666667</v>
      </c>
    </row>
    <row r="423" spans="1:8" x14ac:dyDescent="0.2">
      <c r="A423" s="1" t="str">
        <v>2021-12-22</v>
      </c>
      <c r="B423" s="1">
        <v>46338986</v>
      </c>
      <c r="C423" s="1">
        <v>25092073.68</v>
      </c>
      <c r="D423" s="1">
        <v>541.49</v>
      </c>
    </row>
    <row r="424" spans="1:8" x14ac:dyDescent="0.2">
      <c r="A424" s="1" t="str">
        <v>2021-12-23</v>
      </c>
      <c r="B424" s="1">
        <v>47305144</v>
      </c>
      <c r="C424" s="1">
        <v>27861677.710000001</v>
      </c>
      <c r="D424" s="1">
        <v>588.98</v>
      </c>
    </row>
    <row r="425" spans="1:8" x14ac:dyDescent="0.2">
      <c r="A425" s="1" t="str">
        <v>2021-12-24</v>
      </c>
      <c r="B425" s="1">
        <v>37760232</v>
      </c>
      <c r="C425" s="1">
        <v>14182311.24</v>
      </c>
      <c r="D425" s="1">
        <v>375.59</v>
      </c>
    </row>
    <row r="426" spans="1:8" x14ac:dyDescent="0.2">
      <c r="A426" s="1" t="str">
        <v>2021-12-25</v>
      </c>
      <c r="B426" s="1">
        <v>14906018</v>
      </c>
      <c r="C426" s="1">
        <v>2735837.28</v>
      </c>
      <c r="D426" s="1">
        <v>183.54</v>
      </c>
    </row>
    <row r="427" spans="1:8" x14ac:dyDescent="0.2">
      <c r="A427" s="1" t="str">
        <v>2021-12-26</v>
      </c>
      <c r="B427" s="1">
        <v>18578102</v>
      </c>
      <c r="C427" s="1">
        <v>3090814.56</v>
      </c>
      <c r="D427" s="1">
        <v>166.37</v>
      </c>
    </row>
    <row r="428" spans="1:8" x14ac:dyDescent="0.2">
      <c r="A428" s="1" t="str">
        <v>2021-12-27</v>
      </c>
      <c r="B428" s="1">
        <v>35535064</v>
      </c>
      <c r="C428" s="1">
        <v>23374916.66</v>
      </c>
      <c r="D428" s="1">
        <v>657.8</v>
      </c>
    </row>
    <row r="429" spans="1:8" x14ac:dyDescent="0.2">
      <c r="A429" s="1" t="str">
        <v>2021-12-28</v>
      </c>
      <c r="B429" s="1">
        <v>36065852</v>
      </c>
      <c r="C429" s="1">
        <v>21154448.079999998</v>
      </c>
      <c r="D429" s="1">
        <v>586.54999999999995</v>
      </c>
    </row>
    <row r="430" spans="1:8" x14ac:dyDescent="0.2">
      <c r="A430" s="1" t="str">
        <v>2021-12-29</v>
      </c>
      <c r="B430" s="1">
        <v>36986829</v>
      </c>
      <c r="C430" s="1">
        <v>20799252.739999998</v>
      </c>
      <c r="D430" s="1">
        <v>562.34</v>
      </c>
    </row>
    <row r="431" spans="1:8" x14ac:dyDescent="0.2">
      <c r="A431" s="1" t="str">
        <v>2021-12-30</v>
      </c>
      <c r="B431" s="1">
        <v>43383893</v>
      </c>
      <c r="C431" s="1">
        <v>25708519.300000001</v>
      </c>
      <c r="D431" s="1">
        <v>592.58000000000004</v>
      </c>
    </row>
    <row r="432" spans="1:8" x14ac:dyDescent="0.2">
      <c r="A432" s="1" t="str">
        <v>2021-12-31</v>
      </c>
      <c r="B432" s="1">
        <v>33736977</v>
      </c>
      <c r="C432" s="1">
        <v>9240234.9299999997</v>
      </c>
      <c r="D432" s="1">
        <v>273.89</v>
      </c>
    </row>
  </sheetData>
  <hyperlinks>
    <hyperlink ref="A4" r:id="rId1" xr:uid="{AEE613B1-F43B-4E27-A2E8-19D0E47FCAF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3BC0-41FD-4CC9-84FB-D4F97E9E5822}">
  <sheetPr codeName="Planilha13"/>
  <dimension ref="A1:JK263"/>
  <sheetViews>
    <sheetView workbookViewId="0">
      <selection activeCell="A11" sqref="A11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7.28515625" style="1" customWidth="1"/>
    <col min="7" max="7" width="12.5703125" style="1" customWidth="1"/>
    <col min="8" max="8" width="16.8554687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8</v>
      </c>
    </row>
    <row r="6" spans="1:271" s="3" customFormat="1" x14ac:dyDescent="0.2">
      <c r="A6" s="2" t="s">
        <v>6</v>
      </c>
    </row>
    <row r="7" spans="1:271" x14ac:dyDescent="0.2">
      <c r="A7" s="1" t="str">
        <f>_xlfn.WEBSERVICE(A4)</f>
        <v>{"@odata.context":"https://was-p.bcnet.bcb.gov.br/olinda/servico/SPI/versao/v1/odata$metadata#PixLiquidadosIntradia","value":[{"Horario":"00:00","QuantidadeMedia":278782,"TotalMedio":35933983.47},{"Horario":"00:30","QuantidadeMedia":203677,"TotalMedio":23980943.34},{"Horario":"01:00","QuantidadeMedia":146798,"TotalMedio":18357630.74},{"Horario":"01:30","QuantidadeMedia":107762,"TotalMedio":12739438.59},{"Horario":"02:00","QuantidadeMedia":81177,"TotalMedio":11977191.52},{"Horario":"02:30","QuantidadeMedia":62581,"TotalMedio":7566640.23},{"Horario":"03:00","QuantidadeMedia":61202,"TotalMedio":155495007.45},{"Horario":"03:30","QuantidadeMedia":51903,"TotalMedio":40211931.95},{"Horario":"04:00","QuantidadeMedia":47342,"TotalMedio":30452933.24},{"Horario":"04:30","QuantidadeMedia":44449,"TotalMedio":7884751.26},{"Horario":"05:00","QuantidadeMedia":70694,"TotalMedio":19206719.69},{"Horario":"05:30","QuantidadeMedia":113971,"TotalMedio":31805047.13},{"Horario":"06:00","QuantidadeMedia":223342,"TotalMedio":172741194.88},{"Horario":"06:30","QuantidadeMedia":303092,"TotalMedio":146080818.53},{"Horario":"07:00","QuantidadeMedia":447644,"TotalMedio":242579332.39},{"Horario":"07:30","QuantidadeMedia":572341,"TotalMedio":287580801.61},{"Horario":"08:00","QuantidadeMedia":761573,"TotalMedio":442066907.33},{"Horario":"08:30","QuantidadeMedia":929964,"TotalMedio":546907412.87},{"Horario":"09:00","QuantidadeMedia":1083174,"TotalMedio":658448951.01},{"Horario":"09:30","QuantidadeMedia":1193934,"TotalMedio":738639314.71},{"Horario":"10:00","QuantidadeMedia":1291980,"TotalMedio":788742353.23},{"Horario":"10:30","QuantidadeMedia":1365221,"TotalMedio":832740694.39},{"Horario":"11:00","QuantidadeMedia":1438543,"TotalMedio":885446198.53},{"Horario":"11:30","QuantidadeMedia":1475587,"TotalMedio":869185997.27},{"Horario":"12:00","QuantidadeMedia":1467667,"TotalMedio":801448436.59},{"Horario":"12:30","QuantidadeMedia":1430006,"TotalMedio":742371755.61},{"Horario":"13:00","QuantidadeMedia":1368184,"TotalMedio":721602699.57},{"Horario":"13:30","QuantidadeMedia":1325684,"TotalMedio":768058614.23},{"Horario":"14:00","QuantidadeMedia":1304829,"TotalMedio":863108314.18},{"Horario":"14:30","QuantidadeMedia":1286089,"TotalMedio":898025841.36},{"Horario":"15:00","QuantidadeMedia":1281098,"TotalMedio":935850369.17},{"Horario":"15:30","QuantidadeMedia":1292377,"TotalMedio":977557004.16},{"Horario":"16:00","QuantidadeMedia":1309579,"TotalMedio":967086689.86},{"Horario":"16:30","QuantidadeMedia":1324618,"TotalMedio":950240797.92},{"Horario":"17:00","QuantidadeMedia":1321971,"TotalMedio":847847206.12},{"Horario":"17:30","QuantidadeMedia":1304800,"TotalMedio":693465972.31},{"Horario":"18:00","QuantidadeMedia":1268932,"TotalMedio":542271107.94},{"Horario":"18:30","QuantidadeMedia":1247156,"TotalMedio":447410646.75},{"Horario":"19:00","QuantidadeMedia":1224532,"TotalMedio":390997935.78},{"Horario":"19:30","QuantidadeMedia":1180707,"TotalMedio":337234548.19},{"Horario":"20:00","QuantidadeMedia":1082654,"TotalMedio":191712847.86},{"Horario":"20:30","QuantidadeMedia":1004472,"TotalMedio":161015827.07},{"Horario":"21:00","QuantidadeMedia":915063,"TotalMedio":139847236.69},{"Horario":"21:30","QuantidadeMedia":809048,"TotalMedio":118726844.62},{"Horario":"22:00","QuantidadeMedia":693298,"TotalMedio":96645795.28},{"Horario":"22:30","QuantidadeMedia":574704,"TotalMedio":77647996.65},{"Horario":"23:00","QuantidadeMedia":451964,"TotalMedio":59558928.56},{"Horario":"23:30","QuantidadeMedia":344054,"TotalMedio":44569867.53}]}</v>
      </c>
    </row>
    <row r="9" spans="1:271" s="3" customFormat="1" x14ac:dyDescent="0.2">
      <c r="A9" s="2" t="s">
        <v>1</v>
      </c>
    </row>
    <row r="10" spans="1:271" ht="15" x14ac:dyDescent="0.25">
      <c r="A10" s="1" t="str" cm="1">
        <f t="array" ref="A10:C58">xlFOCUS_ReadJSON(A7,TRUE)</f>
        <v>Horario</v>
      </c>
      <c r="B10" s="1" t="str">
        <v>QuantidadeMedia</v>
      </c>
      <c r="C10" s="1" t="str">
        <v>TotalMedio</v>
      </c>
      <c r="F10" s="5" t="s">
        <v>0</v>
      </c>
      <c r="G10" s="5" t="s">
        <v>9</v>
      </c>
      <c r="H10" s="5" t="s">
        <v>2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00:00</v>
      </c>
      <c r="B11" s="1">
        <v>278782</v>
      </c>
      <c r="C11" s="1">
        <v>35933983.469999999</v>
      </c>
      <c r="F11" s="6" t="str">
        <f>A11</f>
        <v>00:00</v>
      </c>
      <c r="G11" s="9">
        <f>B11</f>
        <v>278782</v>
      </c>
      <c r="H11" s="8">
        <f>C11/1000000000</f>
        <v>3.593398347E-2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00:30</v>
      </c>
      <c r="B12" s="1">
        <v>203677</v>
      </c>
      <c r="C12" s="1">
        <v>23980943.34</v>
      </c>
      <c r="F12" s="6" t="str">
        <f t="shared" ref="F12:F58" si="0">A12</f>
        <v>00:30</v>
      </c>
      <c r="G12" s="9">
        <f t="shared" ref="G12:G58" si="1">B12</f>
        <v>203677</v>
      </c>
      <c r="H12" s="8">
        <f t="shared" ref="H12:H58" si="2">C12/1000000000</f>
        <v>2.3980943340000001E-2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01:00</v>
      </c>
      <c r="B13" s="1">
        <v>146798</v>
      </c>
      <c r="C13" s="1">
        <v>18357630.739999998</v>
      </c>
      <c r="F13" s="6" t="str">
        <f t="shared" si="0"/>
        <v>01:00</v>
      </c>
      <c r="G13" s="9">
        <f t="shared" si="1"/>
        <v>146798</v>
      </c>
      <c r="H13" s="8">
        <f t="shared" si="2"/>
        <v>1.8357630739999999E-2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01:30</v>
      </c>
      <c r="B14" s="1">
        <v>107762</v>
      </c>
      <c r="C14" s="1">
        <v>12739438.59</v>
      </c>
      <c r="F14" s="6" t="str">
        <f t="shared" si="0"/>
        <v>01:30</v>
      </c>
      <c r="G14" s="9">
        <f t="shared" si="1"/>
        <v>107762</v>
      </c>
      <c r="H14" s="8">
        <f t="shared" si="2"/>
        <v>1.2739438589999999E-2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02:00</v>
      </c>
      <c r="B15" s="1">
        <v>81177</v>
      </c>
      <c r="C15" s="1">
        <v>11977191.52</v>
      </c>
      <c r="F15" s="6" t="str">
        <f t="shared" si="0"/>
        <v>02:00</v>
      </c>
      <c r="G15" s="9">
        <f t="shared" si="1"/>
        <v>81177</v>
      </c>
      <c r="H15" s="8">
        <f t="shared" si="2"/>
        <v>1.197719152E-2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02:30</v>
      </c>
      <c r="B16" s="1">
        <v>62581</v>
      </c>
      <c r="C16" s="1">
        <v>7566640.2300000004</v>
      </c>
      <c r="F16" s="6" t="str">
        <f t="shared" si="0"/>
        <v>02:30</v>
      </c>
      <c r="G16" s="9">
        <f t="shared" si="1"/>
        <v>62581</v>
      </c>
      <c r="H16" s="8">
        <f t="shared" si="2"/>
        <v>7.5666402300000003E-3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03:00</v>
      </c>
      <c r="B17" s="1">
        <v>61202</v>
      </c>
      <c r="C17" s="1">
        <v>155495007.44999999</v>
      </c>
      <c r="F17" s="6" t="str">
        <f t="shared" si="0"/>
        <v>03:00</v>
      </c>
      <c r="G17" s="9">
        <f t="shared" si="1"/>
        <v>61202</v>
      </c>
      <c r="H17" s="8">
        <f t="shared" si="2"/>
        <v>0.15549500745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03:30</v>
      </c>
      <c r="B18" s="1">
        <v>51903</v>
      </c>
      <c r="C18" s="1">
        <v>40211931.950000003</v>
      </c>
      <c r="F18" s="6" t="str">
        <f t="shared" si="0"/>
        <v>03:30</v>
      </c>
      <c r="G18" s="9">
        <f t="shared" si="1"/>
        <v>51903</v>
      </c>
      <c r="H18" s="8">
        <f t="shared" si="2"/>
        <v>4.0211931950000002E-2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04:00</v>
      </c>
      <c r="B19" s="1">
        <v>47342</v>
      </c>
      <c r="C19" s="1">
        <v>30452933.239999998</v>
      </c>
      <c r="F19" s="6" t="str">
        <f t="shared" si="0"/>
        <v>04:00</v>
      </c>
      <c r="G19" s="9">
        <f t="shared" si="1"/>
        <v>47342</v>
      </c>
      <c r="H19" s="8">
        <f t="shared" si="2"/>
        <v>3.0452933239999997E-2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04:30</v>
      </c>
      <c r="B20" s="1">
        <v>44449</v>
      </c>
      <c r="C20" s="1">
        <v>7884751.2599999998</v>
      </c>
      <c r="F20" s="6" t="str">
        <f t="shared" si="0"/>
        <v>04:30</v>
      </c>
      <c r="G20" s="9">
        <f t="shared" si="1"/>
        <v>44449</v>
      </c>
      <c r="H20" s="8">
        <f t="shared" si="2"/>
        <v>7.8847512599999996E-3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05:00</v>
      </c>
      <c r="B21" s="1">
        <v>70694</v>
      </c>
      <c r="C21" s="1">
        <v>19206719.690000001</v>
      </c>
      <c r="F21" s="6" t="str">
        <f t="shared" si="0"/>
        <v>05:00</v>
      </c>
      <c r="G21" s="9">
        <f t="shared" si="1"/>
        <v>70694</v>
      </c>
      <c r="H21" s="8">
        <f t="shared" si="2"/>
        <v>1.9206719690000002E-2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05:30</v>
      </c>
      <c r="B22" s="1">
        <v>113971</v>
      </c>
      <c r="C22" s="1">
        <v>31805047.129999999</v>
      </c>
      <c r="F22" s="6" t="str">
        <f t="shared" si="0"/>
        <v>05:30</v>
      </c>
      <c r="G22" s="9">
        <f t="shared" si="1"/>
        <v>113971</v>
      </c>
      <c r="H22" s="8">
        <f t="shared" si="2"/>
        <v>3.180504713E-2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06:00</v>
      </c>
      <c r="B23" s="1">
        <v>223342</v>
      </c>
      <c r="C23" s="1">
        <v>172741194.88</v>
      </c>
      <c r="F23" s="6" t="str">
        <f t="shared" si="0"/>
        <v>06:00</v>
      </c>
      <c r="G23" s="9">
        <f t="shared" si="1"/>
        <v>223342</v>
      </c>
      <c r="H23" s="8">
        <f t="shared" si="2"/>
        <v>0.17274119488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06:30</v>
      </c>
      <c r="B24" s="1">
        <v>303092</v>
      </c>
      <c r="C24" s="1">
        <v>146080818.53</v>
      </c>
      <c r="F24" s="6" t="str">
        <f t="shared" si="0"/>
        <v>06:30</v>
      </c>
      <c r="G24" s="9">
        <f t="shared" si="1"/>
        <v>303092</v>
      </c>
      <c r="H24" s="8">
        <f t="shared" si="2"/>
        <v>0.14608081852999999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07:00</v>
      </c>
      <c r="B25" s="1">
        <v>447644</v>
      </c>
      <c r="C25" s="1">
        <v>242579332.38999999</v>
      </c>
      <c r="F25" s="6" t="str">
        <f t="shared" si="0"/>
        <v>07:00</v>
      </c>
      <c r="G25" s="9">
        <f t="shared" si="1"/>
        <v>447644</v>
      </c>
      <c r="H25" s="8">
        <f t="shared" si="2"/>
        <v>0.24257933238999999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07:30</v>
      </c>
      <c r="B26" s="1">
        <v>572341</v>
      </c>
      <c r="C26" s="1">
        <v>287580801.61000001</v>
      </c>
      <c r="F26" s="6" t="str">
        <f t="shared" si="0"/>
        <v>07:30</v>
      </c>
      <c r="G26" s="9">
        <f t="shared" si="1"/>
        <v>572341</v>
      </c>
      <c r="H26" s="8">
        <f t="shared" si="2"/>
        <v>0.28758080160999999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08:00</v>
      </c>
      <c r="B27" s="1">
        <v>761573</v>
      </c>
      <c r="C27" s="1">
        <v>442066907.32999998</v>
      </c>
      <c r="F27" s="6" t="str">
        <f t="shared" si="0"/>
        <v>08:00</v>
      </c>
      <c r="G27" s="9">
        <f t="shared" si="1"/>
        <v>761573</v>
      </c>
      <c r="H27" s="8">
        <f t="shared" si="2"/>
        <v>0.44206690732999998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08:30</v>
      </c>
      <c r="B28" s="1">
        <v>929964</v>
      </c>
      <c r="C28" s="1">
        <v>546907412.87</v>
      </c>
      <c r="F28" s="6" t="str">
        <f t="shared" si="0"/>
        <v>08:30</v>
      </c>
      <c r="G28" s="9">
        <f t="shared" si="1"/>
        <v>929964</v>
      </c>
      <c r="H28" s="8">
        <f t="shared" si="2"/>
        <v>0.54690741287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09:00</v>
      </c>
      <c r="B29" s="1">
        <v>1083174</v>
      </c>
      <c r="C29" s="1">
        <v>658448951.00999999</v>
      </c>
      <c r="F29" s="6" t="str">
        <f t="shared" si="0"/>
        <v>09:00</v>
      </c>
      <c r="G29" s="9">
        <f t="shared" si="1"/>
        <v>1083174</v>
      </c>
      <c r="H29" s="8">
        <f t="shared" si="2"/>
        <v>0.65844895101000001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09:30</v>
      </c>
      <c r="B30" s="1">
        <v>1193934</v>
      </c>
      <c r="C30" s="1">
        <v>738639314.71000004</v>
      </c>
      <c r="F30" s="6" t="str">
        <f t="shared" si="0"/>
        <v>09:30</v>
      </c>
      <c r="G30" s="9">
        <f t="shared" si="1"/>
        <v>1193934</v>
      </c>
      <c r="H30" s="8">
        <f t="shared" si="2"/>
        <v>0.73863931470999999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10:00</v>
      </c>
      <c r="B31" s="1">
        <v>1291980</v>
      </c>
      <c r="C31" s="1">
        <v>788742353.23000002</v>
      </c>
      <c r="F31" s="6" t="str">
        <f t="shared" si="0"/>
        <v>10:00</v>
      </c>
      <c r="G31" s="9">
        <f t="shared" si="1"/>
        <v>1291980</v>
      </c>
      <c r="H31" s="8">
        <f t="shared" si="2"/>
        <v>0.78874235322999997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10:30</v>
      </c>
      <c r="B32" s="1">
        <v>1365221</v>
      </c>
      <c r="C32" s="1">
        <v>832740694.38999999</v>
      </c>
      <c r="F32" s="6" t="str">
        <f t="shared" si="0"/>
        <v>10:30</v>
      </c>
      <c r="G32" s="9">
        <f t="shared" si="1"/>
        <v>1365221</v>
      </c>
      <c r="H32" s="8">
        <f t="shared" si="2"/>
        <v>0.83274069438999998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11:00</v>
      </c>
      <c r="B33" s="1">
        <v>1438543</v>
      </c>
      <c r="C33" s="1">
        <v>885446198.52999997</v>
      </c>
      <c r="F33" s="6" t="str">
        <f t="shared" si="0"/>
        <v>11:00</v>
      </c>
      <c r="G33" s="9">
        <f t="shared" si="1"/>
        <v>1438543</v>
      </c>
      <c r="H33" s="8">
        <f t="shared" si="2"/>
        <v>0.88544619852999995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11:30</v>
      </c>
      <c r="B34" s="1">
        <v>1475587</v>
      </c>
      <c r="C34" s="1">
        <v>869185997.26999998</v>
      </c>
      <c r="F34" s="6" t="str">
        <f t="shared" si="0"/>
        <v>11:30</v>
      </c>
      <c r="G34" s="9">
        <f t="shared" si="1"/>
        <v>1475587</v>
      </c>
      <c r="H34" s="8">
        <f t="shared" si="2"/>
        <v>0.86918599727000001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12:00</v>
      </c>
      <c r="B35" s="1">
        <v>1467667</v>
      </c>
      <c r="C35" s="1">
        <v>801448436.59000003</v>
      </c>
      <c r="F35" s="6" t="str">
        <f t="shared" si="0"/>
        <v>12:00</v>
      </c>
      <c r="G35" s="9">
        <f t="shared" si="1"/>
        <v>1467667</v>
      </c>
      <c r="H35" s="8">
        <f t="shared" si="2"/>
        <v>0.80144843658999998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12:30</v>
      </c>
      <c r="B36" s="1">
        <v>1430006</v>
      </c>
      <c r="C36" s="1">
        <v>742371755.61000001</v>
      </c>
      <c r="F36" s="6" t="str">
        <f t="shared" si="0"/>
        <v>12:30</v>
      </c>
      <c r="G36" s="9">
        <f t="shared" si="1"/>
        <v>1430006</v>
      </c>
      <c r="H36" s="8">
        <f t="shared" si="2"/>
        <v>0.74237175561000002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13:00</v>
      </c>
      <c r="B37" s="1">
        <v>1368184</v>
      </c>
      <c r="C37" s="1">
        <v>721602699.57000005</v>
      </c>
      <c r="F37" s="6" t="str">
        <f t="shared" si="0"/>
        <v>13:00</v>
      </c>
      <c r="G37" s="9">
        <f t="shared" si="1"/>
        <v>1368184</v>
      </c>
      <c r="H37" s="8">
        <f t="shared" si="2"/>
        <v>0.72160269957000001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13:30</v>
      </c>
      <c r="B38" s="1">
        <v>1325684</v>
      </c>
      <c r="C38" s="1">
        <v>768058614.23000002</v>
      </c>
      <c r="F38" s="6" t="str">
        <f t="shared" si="0"/>
        <v>13:30</v>
      </c>
      <c r="G38" s="9">
        <f t="shared" si="1"/>
        <v>1325684</v>
      </c>
      <c r="H38" s="8">
        <f t="shared" si="2"/>
        <v>0.76805861422999999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14:00</v>
      </c>
      <c r="B39" s="1">
        <v>1304829</v>
      </c>
      <c r="C39" s="1">
        <v>863108314.17999995</v>
      </c>
      <c r="F39" s="6" t="str">
        <f t="shared" si="0"/>
        <v>14:00</v>
      </c>
      <c r="G39" s="9">
        <f t="shared" si="1"/>
        <v>1304829</v>
      </c>
      <c r="H39" s="8">
        <f t="shared" si="2"/>
        <v>0.86310831418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14:30</v>
      </c>
      <c r="B40" s="1">
        <v>1286089</v>
      </c>
      <c r="C40" s="1">
        <v>898025841.36000001</v>
      </c>
      <c r="F40" s="6" t="str">
        <f t="shared" si="0"/>
        <v>14:30</v>
      </c>
      <c r="G40" s="9">
        <f t="shared" si="1"/>
        <v>1286089</v>
      </c>
      <c r="H40" s="8">
        <f t="shared" si="2"/>
        <v>0.89802584135999997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15:00</v>
      </c>
      <c r="B41" s="1">
        <v>1281098</v>
      </c>
      <c r="C41" s="1">
        <v>935850369.16999996</v>
      </c>
      <c r="F41" s="6" t="str">
        <f t="shared" si="0"/>
        <v>15:00</v>
      </c>
      <c r="G41" s="9">
        <f t="shared" si="1"/>
        <v>1281098</v>
      </c>
      <c r="H41" s="8">
        <f t="shared" si="2"/>
        <v>0.93585036916999997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15:30</v>
      </c>
      <c r="B42" s="1">
        <v>1292377</v>
      </c>
      <c r="C42" s="1">
        <v>977557004.15999997</v>
      </c>
      <c r="F42" s="6" t="str">
        <f t="shared" si="0"/>
        <v>15:30</v>
      </c>
      <c r="G42" s="9">
        <f t="shared" si="1"/>
        <v>1292377</v>
      </c>
      <c r="H42" s="8">
        <f t="shared" si="2"/>
        <v>0.97755700416000002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16:00</v>
      </c>
      <c r="B43" s="1">
        <v>1309579</v>
      </c>
      <c r="C43" s="1">
        <v>967086689.86000001</v>
      </c>
      <c r="F43" s="6" t="str">
        <f t="shared" si="0"/>
        <v>16:00</v>
      </c>
      <c r="G43" s="9">
        <f t="shared" si="1"/>
        <v>1309579</v>
      </c>
      <c r="H43" s="8">
        <f t="shared" si="2"/>
        <v>0.96708668986000001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16:30</v>
      </c>
      <c r="B44" s="1">
        <v>1324618</v>
      </c>
      <c r="C44" s="1">
        <v>950240797.91999996</v>
      </c>
      <c r="F44" s="6" t="str">
        <f t="shared" si="0"/>
        <v>16:30</v>
      </c>
      <c r="G44" s="9">
        <f t="shared" si="1"/>
        <v>1324618</v>
      </c>
      <c r="H44" s="8">
        <f t="shared" si="2"/>
        <v>0.95024079791999994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17:00</v>
      </c>
      <c r="B45" s="1">
        <v>1321971</v>
      </c>
      <c r="C45" s="1">
        <v>847847206.12</v>
      </c>
      <c r="F45" s="6" t="str">
        <f t="shared" si="0"/>
        <v>17:00</v>
      </c>
      <c r="G45" s="9">
        <f t="shared" si="1"/>
        <v>1321971</v>
      </c>
      <c r="H45" s="8">
        <f t="shared" si="2"/>
        <v>0.84784720611999997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17:30</v>
      </c>
      <c r="B46" s="1">
        <v>1304800</v>
      </c>
      <c r="C46" s="1">
        <v>693465972.30999994</v>
      </c>
      <c r="F46" s="6" t="str">
        <f t="shared" si="0"/>
        <v>17:30</v>
      </c>
      <c r="G46" s="9">
        <f t="shared" si="1"/>
        <v>1304800</v>
      </c>
      <c r="H46" s="8">
        <f t="shared" si="2"/>
        <v>0.69346597230999996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18:00</v>
      </c>
      <c r="B47" s="1">
        <v>1268932</v>
      </c>
      <c r="C47" s="1">
        <v>542271107.94000006</v>
      </c>
      <c r="F47" s="6" t="str">
        <f t="shared" si="0"/>
        <v>18:00</v>
      </c>
      <c r="G47" s="9">
        <f t="shared" si="1"/>
        <v>1268932</v>
      </c>
      <c r="H47" s="8">
        <f t="shared" si="2"/>
        <v>0.54227110794000011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18:30</v>
      </c>
      <c r="B48" s="1">
        <v>1247156</v>
      </c>
      <c r="C48" s="1">
        <v>447410646.75</v>
      </c>
      <c r="F48" s="6" t="str">
        <f t="shared" si="0"/>
        <v>18:30</v>
      </c>
      <c r="G48" s="9">
        <f t="shared" si="1"/>
        <v>1247156</v>
      </c>
      <c r="H48" s="8">
        <f t="shared" si="2"/>
        <v>0.44741064674999997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19:00</v>
      </c>
      <c r="B49" s="1">
        <v>1224532</v>
      </c>
      <c r="C49" s="1">
        <v>390997935.77999997</v>
      </c>
      <c r="F49" s="6" t="str">
        <f t="shared" si="0"/>
        <v>19:00</v>
      </c>
      <c r="G49" s="9">
        <f t="shared" si="1"/>
        <v>1224532</v>
      </c>
      <c r="H49" s="8">
        <f t="shared" si="2"/>
        <v>0.39099793577999997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19:30</v>
      </c>
      <c r="B50" s="1">
        <v>1180707</v>
      </c>
      <c r="C50" s="1">
        <v>337234548.19</v>
      </c>
      <c r="F50" s="6" t="str">
        <f t="shared" si="0"/>
        <v>19:30</v>
      </c>
      <c r="G50" s="9">
        <f t="shared" si="1"/>
        <v>1180707</v>
      </c>
      <c r="H50" s="8">
        <f t="shared" si="2"/>
        <v>0.33723454818999998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20:00</v>
      </c>
      <c r="B51" s="1">
        <v>1082654</v>
      </c>
      <c r="C51" s="1">
        <v>191712847.86000001</v>
      </c>
      <c r="F51" s="6" t="str">
        <f t="shared" si="0"/>
        <v>20:00</v>
      </c>
      <c r="G51" s="9">
        <f t="shared" si="1"/>
        <v>1082654</v>
      </c>
      <c r="H51" s="8">
        <f t="shared" si="2"/>
        <v>0.19171284786000001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20:30</v>
      </c>
      <c r="B52" s="1">
        <v>1004472</v>
      </c>
      <c r="C52" s="1">
        <v>161015827.06999999</v>
      </c>
      <c r="F52" s="6" t="str">
        <f t="shared" si="0"/>
        <v>20:30</v>
      </c>
      <c r="G52" s="9">
        <f t="shared" si="1"/>
        <v>1004472</v>
      </c>
      <c r="H52" s="8">
        <f t="shared" si="2"/>
        <v>0.16101582707000001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21:00</v>
      </c>
      <c r="B53" s="1">
        <v>915063</v>
      </c>
      <c r="C53" s="1">
        <v>139847236.69</v>
      </c>
      <c r="F53" s="6" t="str">
        <f t="shared" si="0"/>
        <v>21:00</v>
      </c>
      <c r="G53" s="9">
        <f t="shared" si="1"/>
        <v>915063</v>
      </c>
      <c r="H53" s="8">
        <f t="shared" si="2"/>
        <v>0.13984723668999999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21:30</v>
      </c>
      <c r="B54" s="1">
        <v>809048</v>
      </c>
      <c r="C54" s="1">
        <v>118726844.62</v>
      </c>
      <c r="F54" s="6" t="str">
        <f t="shared" si="0"/>
        <v>21:30</v>
      </c>
      <c r="G54" s="9">
        <f t="shared" si="1"/>
        <v>809048</v>
      </c>
      <c r="H54" s="8">
        <f t="shared" si="2"/>
        <v>0.11872684462000001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22:00</v>
      </c>
      <c r="B55" s="1">
        <v>693298</v>
      </c>
      <c r="C55" s="1">
        <v>96645795.280000001</v>
      </c>
      <c r="F55" s="6" t="str">
        <f t="shared" si="0"/>
        <v>22:00</v>
      </c>
      <c r="G55" s="9">
        <f t="shared" si="1"/>
        <v>693298</v>
      </c>
      <c r="H55" s="8">
        <f t="shared" si="2"/>
        <v>9.6645795280000002E-2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22:30</v>
      </c>
      <c r="B56" s="1">
        <v>574704</v>
      </c>
      <c r="C56" s="1">
        <v>77647996.650000006</v>
      </c>
      <c r="F56" s="6" t="str">
        <f t="shared" si="0"/>
        <v>22:30</v>
      </c>
      <c r="G56" s="9">
        <f t="shared" si="1"/>
        <v>574704</v>
      </c>
      <c r="H56" s="8">
        <f t="shared" si="2"/>
        <v>7.7647996650000009E-2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23:00</v>
      </c>
      <c r="B57" s="1">
        <v>451964</v>
      </c>
      <c r="C57" s="1">
        <v>59558928.560000002</v>
      </c>
      <c r="F57" s="6" t="str">
        <f t="shared" si="0"/>
        <v>23:00</v>
      </c>
      <c r="G57" s="9">
        <f t="shared" si="1"/>
        <v>451964</v>
      </c>
      <c r="H57" s="8">
        <f t="shared" si="2"/>
        <v>5.9558928560000002E-2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23:30</v>
      </c>
      <c r="B58" s="1">
        <v>344054</v>
      </c>
      <c r="C58" s="1">
        <v>44569867.530000001</v>
      </c>
      <c r="F58" s="6" t="str">
        <f t="shared" si="0"/>
        <v>23:30</v>
      </c>
      <c r="G58" s="9">
        <f t="shared" si="1"/>
        <v>344054</v>
      </c>
      <c r="H58" s="8">
        <f t="shared" si="2"/>
        <v>4.4569867530000001E-2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21:271" ht="15" x14ac:dyDescent="0.25"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21:271" ht="15" x14ac:dyDescent="0.25"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21:271" ht="15" x14ac:dyDescent="0.25"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21:271" ht="15" x14ac:dyDescent="0.25"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21:271" ht="15" x14ac:dyDescent="0.25"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21:271" ht="15" x14ac:dyDescent="0.25"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21:271" ht="15" x14ac:dyDescent="0.25"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21:271" ht="15" x14ac:dyDescent="0.25"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21:271" ht="15" x14ac:dyDescent="0.25"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21:271" ht="15" x14ac:dyDescent="0.25"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21:271" ht="15" x14ac:dyDescent="0.25"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21:271" ht="15" x14ac:dyDescent="0.25"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21:271" ht="15" x14ac:dyDescent="0.25"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21:271" ht="15" x14ac:dyDescent="0.25"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21:271" ht="15" x14ac:dyDescent="0.25"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21:271" ht="15" x14ac:dyDescent="0.25"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21:271" ht="15" x14ac:dyDescent="0.25"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21:271" ht="15" x14ac:dyDescent="0.25"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21:271" ht="15" x14ac:dyDescent="0.25"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21:271" ht="15" x14ac:dyDescent="0.25"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21:271" ht="15" x14ac:dyDescent="0.25"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21:271" ht="15" x14ac:dyDescent="0.25"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21:271" ht="15" x14ac:dyDescent="0.25"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21:271" ht="15" x14ac:dyDescent="0.25"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21:271" ht="15" x14ac:dyDescent="0.25"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21:271" ht="15" x14ac:dyDescent="0.25"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21:271" ht="15" x14ac:dyDescent="0.25"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21:271" ht="15" x14ac:dyDescent="0.25"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21:271" ht="15" x14ac:dyDescent="0.25"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21:271" ht="15" x14ac:dyDescent="0.25"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21:271" ht="15" x14ac:dyDescent="0.25"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21:271" ht="15" x14ac:dyDescent="0.25"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21:271" ht="15" x14ac:dyDescent="0.25"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21:271" ht="15" x14ac:dyDescent="0.25"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21:271" ht="15" x14ac:dyDescent="0.25"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21:271" ht="15" x14ac:dyDescent="0.25"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21:271" ht="15" x14ac:dyDescent="0.25"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21:271" ht="15" x14ac:dyDescent="0.25"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21:271" ht="15" x14ac:dyDescent="0.25"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21:271" ht="15" x14ac:dyDescent="0.25"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21:271" ht="15" x14ac:dyDescent="0.2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21:271" ht="15" x14ac:dyDescent="0.2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21:271" ht="15" x14ac:dyDescent="0.2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21:271" ht="15" x14ac:dyDescent="0.2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21:271" ht="15" x14ac:dyDescent="0.2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21:271" ht="15" x14ac:dyDescent="0.2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21:271" ht="15" x14ac:dyDescent="0.2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21:271" ht="15" x14ac:dyDescent="0.2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21:271" ht="15" x14ac:dyDescent="0.2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21:271" ht="15" x14ac:dyDescent="0.2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21:271" ht="15" x14ac:dyDescent="0.2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21:271" ht="15" x14ac:dyDescent="0.2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21:271" ht="15" x14ac:dyDescent="0.2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21:271" ht="15" x14ac:dyDescent="0.2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21:271" ht="15" x14ac:dyDescent="0.2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21:271" ht="15" x14ac:dyDescent="0.2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21:271" ht="15" x14ac:dyDescent="0.25"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21:271" ht="15" x14ac:dyDescent="0.25"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21:271" ht="15" x14ac:dyDescent="0.25"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21:271" ht="15" x14ac:dyDescent="0.25"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21:271" ht="15" x14ac:dyDescent="0.25"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21:271" ht="15" x14ac:dyDescent="0.25"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21:271" ht="15" x14ac:dyDescent="0.25"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21:271" ht="15" x14ac:dyDescent="0.25"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21:271" ht="15" x14ac:dyDescent="0.25"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21:271" ht="15" x14ac:dyDescent="0.25"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21:271" ht="15" x14ac:dyDescent="0.25"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21:271" ht="15" x14ac:dyDescent="0.25"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21:271" ht="15" x14ac:dyDescent="0.25"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21:271" ht="15" x14ac:dyDescent="0.25"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21:271" ht="15" x14ac:dyDescent="0.25"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21:271" ht="15" x14ac:dyDescent="0.25"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21:271" ht="15" x14ac:dyDescent="0.25"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21:271" ht="15" x14ac:dyDescent="0.25"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21:271" ht="15" x14ac:dyDescent="0.25"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</row>
    <row r="140" spans="21:271" ht="15" x14ac:dyDescent="0.25"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</row>
    <row r="141" spans="21:271" ht="15" x14ac:dyDescent="0.25"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21:271" ht="15" x14ac:dyDescent="0.25"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21:271" ht="15" x14ac:dyDescent="0.25"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21:271" ht="15" x14ac:dyDescent="0.25"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21:152" ht="15" x14ac:dyDescent="0.25"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21:152" ht="15" x14ac:dyDescent="0.25"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21:152" ht="15" x14ac:dyDescent="0.25"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21:152" ht="15" x14ac:dyDescent="0.25"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21:152" ht="15" x14ac:dyDescent="0.25"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21:152" ht="15" x14ac:dyDescent="0.25"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21:152" ht="15" x14ac:dyDescent="0.25"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21:152" ht="15" x14ac:dyDescent="0.25"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21:152" ht="15" x14ac:dyDescent="0.25"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21:152" ht="15" x14ac:dyDescent="0.25"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21:152" ht="15" x14ac:dyDescent="0.25"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21:152" ht="15" x14ac:dyDescent="0.25"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21:152" ht="15" x14ac:dyDescent="0.25"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21:152" ht="15" x14ac:dyDescent="0.25"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21:152" ht="15" x14ac:dyDescent="0.25"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21:152" ht="15" x14ac:dyDescent="0.25"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21:152" ht="15" x14ac:dyDescent="0.25"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21:152" ht="15" x14ac:dyDescent="0.25"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21:152" ht="15" x14ac:dyDescent="0.25"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21:152" ht="15" x14ac:dyDescent="0.25"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21:152" ht="15" x14ac:dyDescent="0.25"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21:152" ht="15" x14ac:dyDescent="0.25"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21:152" ht="15" x14ac:dyDescent="0.25"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21:152" ht="15" x14ac:dyDescent="0.25"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21:152" ht="15" x14ac:dyDescent="0.25"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21:152" ht="15" x14ac:dyDescent="0.25"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21:152" ht="15" x14ac:dyDescent="0.25"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21:152" ht="15" x14ac:dyDescent="0.25"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21:152" ht="15" x14ac:dyDescent="0.25"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21:152" ht="15" x14ac:dyDescent="0.25"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21:152" ht="15" x14ac:dyDescent="0.25"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21:152" ht="15" x14ac:dyDescent="0.25"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21:152" ht="15" x14ac:dyDescent="0.25"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21:152" ht="15" x14ac:dyDescent="0.25"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21:152" ht="15" x14ac:dyDescent="0.25"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21:152" ht="15" x14ac:dyDescent="0.25"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21:152" ht="15" x14ac:dyDescent="0.25"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21:152" ht="15" x14ac:dyDescent="0.25"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21:152" ht="15" x14ac:dyDescent="0.25"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21:152" ht="15" x14ac:dyDescent="0.25"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21:152" ht="15" x14ac:dyDescent="0.25"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21:152" ht="15" x14ac:dyDescent="0.25"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21:152" ht="15" x14ac:dyDescent="0.25"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21:152" ht="15" x14ac:dyDescent="0.25"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21:152" ht="15" x14ac:dyDescent="0.25"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21:152" ht="15" x14ac:dyDescent="0.25"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21:152" ht="15" x14ac:dyDescent="0.25"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21:152" ht="15" x14ac:dyDescent="0.25"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21:152" ht="15" x14ac:dyDescent="0.25"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21:152" ht="15" x14ac:dyDescent="0.25"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21:152" ht="15" x14ac:dyDescent="0.25"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21:152" ht="15" x14ac:dyDescent="0.25"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21:152" ht="15" x14ac:dyDescent="0.25"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21:152" ht="15" x14ac:dyDescent="0.25"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21:152" ht="15" x14ac:dyDescent="0.25"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21:152" ht="15" x14ac:dyDescent="0.25"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21:152" ht="15" x14ac:dyDescent="0.25"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21:152" ht="15" x14ac:dyDescent="0.25"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21:152" ht="15" x14ac:dyDescent="0.25"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21:152" ht="15" x14ac:dyDescent="0.25"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21:152" ht="15" x14ac:dyDescent="0.25"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21:152" ht="15" x14ac:dyDescent="0.25"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21:152" ht="15" x14ac:dyDescent="0.25"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21:152" ht="15" x14ac:dyDescent="0.25"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21:152" ht="15" x14ac:dyDescent="0.25"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21:152" ht="15" x14ac:dyDescent="0.25"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21:152" ht="15" x14ac:dyDescent="0.25"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21:152" ht="15" x14ac:dyDescent="0.25"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21:152" ht="15" x14ac:dyDescent="0.25"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21:152" ht="15" x14ac:dyDescent="0.25"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21:152" ht="15" x14ac:dyDescent="0.25"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21:152" ht="15" x14ac:dyDescent="0.25"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21:152" ht="15" x14ac:dyDescent="0.25"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21:152" ht="15" x14ac:dyDescent="0.25"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21:152" ht="15" x14ac:dyDescent="0.25"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21:152" ht="15" x14ac:dyDescent="0.25"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21:152" ht="15" x14ac:dyDescent="0.25"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21:152" ht="15" x14ac:dyDescent="0.25"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21:152" ht="15" x14ac:dyDescent="0.25"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21:152" ht="15" x14ac:dyDescent="0.25"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21:152" ht="15" x14ac:dyDescent="0.25"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21:152" ht="15" x14ac:dyDescent="0.25"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21:152" ht="15" x14ac:dyDescent="0.25"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21:152" ht="15" x14ac:dyDescent="0.25"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21:152" ht="15" x14ac:dyDescent="0.25"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21:152" ht="15" x14ac:dyDescent="0.25"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21:152" ht="15" x14ac:dyDescent="0.25"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21:152" ht="15" x14ac:dyDescent="0.25"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21:152" ht="15" x14ac:dyDescent="0.25"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21:152" ht="15" x14ac:dyDescent="0.25"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21:152" ht="15" x14ac:dyDescent="0.25"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21:152" ht="15" x14ac:dyDescent="0.25"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21:152" ht="15" x14ac:dyDescent="0.25"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21:152" ht="15" x14ac:dyDescent="0.25"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21:152" ht="15" x14ac:dyDescent="0.25"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21:152" ht="15" x14ac:dyDescent="0.25"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21:152" ht="15" x14ac:dyDescent="0.25"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21:152" ht="15" x14ac:dyDescent="0.25"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21:152" ht="15" x14ac:dyDescent="0.25"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21:152" ht="15" x14ac:dyDescent="0.25"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21:152" ht="15" x14ac:dyDescent="0.25"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21:152" ht="15" x14ac:dyDescent="0.25"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21:152" ht="15" x14ac:dyDescent="0.25"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21:152" ht="15" x14ac:dyDescent="0.25"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21:152" ht="15" x14ac:dyDescent="0.25"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21:152" ht="15" x14ac:dyDescent="0.25"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21:152" ht="15" x14ac:dyDescent="0.25"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21:152" ht="15" x14ac:dyDescent="0.25"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21:152" ht="15" x14ac:dyDescent="0.25"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21:152" ht="15" x14ac:dyDescent="0.25"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21:152" ht="15" x14ac:dyDescent="0.25"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21:152" ht="15" x14ac:dyDescent="0.25"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21:152" ht="15" x14ac:dyDescent="0.25"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21:152" ht="15" x14ac:dyDescent="0.25"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21:152" ht="15" x14ac:dyDescent="0.25"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21:152" ht="15" x14ac:dyDescent="0.25"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21:152" ht="15" x14ac:dyDescent="0.25"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21:152" ht="15" x14ac:dyDescent="0.25"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</row>
    <row r="263" spans="21:152" ht="15" x14ac:dyDescent="0.25"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</row>
  </sheetData>
  <hyperlinks>
    <hyperlink ref="A4" r:id="rId1" xr:uid="{2AB9E649-86EF-489D-858D-BC09083DCE8A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BFB52-8E62-47A5-A6DB-7CFF98C85439}">
  <sheetPr codeName="Planilha1"/>
  <dimension ref="A1"/>
  <sheetViews>
    <sheetView zoomScale="85" zoomScaleNormal="85" workbookViewId="0">
      <selection activeCell="S24" sqref="S2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PIX</vt:lpstr>
      <vt:lpstr>PIX Intraday</vt:lpstr>
      <vt:lpstr>Combined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2022-01-02T02:12:04Z</dcterms:modified>
</cp:coreProperties>
</file>